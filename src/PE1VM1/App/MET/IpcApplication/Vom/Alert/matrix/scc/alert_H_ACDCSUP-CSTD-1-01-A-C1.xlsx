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E7A7E92-BFCA-4741-9EA7-06F82C0664D1}" xr6:coauthVersionLast="47" xr6:coauthVersionMax="47" xr10:uidLastSave="{00000000-0000-0000-0000-000000000000}"/>
  <bookViews>
    <workbookView xWindow="-7575" yWindow="-16320" windowWidth="29040" windowHeight="15720" xr2:uid="{00000000-000D-0000-FFFF-FFFF00000000}"/>
  </bookViews>
  <sheets>
    <sheet name="表紙（承認）" sheetId="13" r:id="rId1"/>
    <sheet name="表紙" sheetId="1" r:id="rId2"/>
    <sheet name="はじめに" sheetId="10" r:id="rId3"/>
    <sheet name="Matrix" sheetId="4" r:id="rId4"/>
    <sheet name="Config_IF" sheetId="11" r:id="rId5"/>
    <sheet name="CH_Design" sheetId="5" r:id="rId6"/>
    <sheet name="H_ACDCSUP" sheetId="8" r:id="rId7"/>
    <sheet name="Reference" sheetId="12"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_xlnm.Print_Area" localSheetId="0">'表紙（承認）'!$A$1:$AN$49</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3" l="1"/>
  <c r="B12" i="1"/>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R12"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AT12" i="8"/>
  <c r="C12" i="8"/>
  <c r="C142" i="8" s="1"/>
  <c r="AT11" i="8"/>
  <c r="C11" i="8"/>
  <c r="C141" i="8" s="1"/>
  <c r="AT10" i="8"/>
  <c r="C10" i="8"/>
  <c r="C140" i="8" s="1"/>
  <c r="C9" i="8"/>
  <c r="C139" i="8" s="1"/>
  <c r="C8" i="8"/>
  <c r="C138" i="8" s="1"/>
  <c r="C7" i="8"/>
  <c r="AW6" i="8"/>
  <c r="C6" i="8"/>
  <c r="C136" i="8" s="1"/>
  <c r="AM121" i="8" l="1"/>
  <c r="AN122" i="8"/>
  <c r="AR57" i="8"/>
  <c r="AS20" i="8"/>
  <c r="AO189" i="8"/>
  <c r="AR60" i="8"/>
  <c r="AS52" i="8"/>
  <c r="AR16" i="8"/>
  <c r="AS26" i="8"/>
  <c r="AM163" i="8"/>
  <c r="AS34" i="8"/>
  <c r="AL182" i="8"/>
  <c r="AR34" i="8"/>
  <c r="AS25" i="8"/>
  <c r="AS40" i="8"/>
  <c r="AS65" i="8"/>
  <c r="AS48" i="8"/>
  <c r="AS14" i="8"/>
  <c r="AS15" i="8"/>
  <c r="AO138" i="8"/>
  <c r="AQ138" i="8" s="1"/>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Q139" i="8" s="1"/>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0" i="8" l="1"/>
  <c r="AS9" i="8"/>
  <c r="AR9" i="8"/>
  <c r="AR10"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U11" i="8" s="1"/>
  <c r="AL26" i="8"/>
  <c r="AL27" i="8"/>
  <c r="AL20" i="8"/>
  <c r="AL59" i="8"/>
  <c r="AL56" i="8"/>
  <c r="AL49" i="8"/>
  <c r="AL25" i="8"/>
  <c r="AL65" i="8"/>
  <c r="AL37" i="8"/>
  <c r="AW16" i="8"/>
  <c r="AU15" i="8" s="1"/>
  <c r="AL42" i="8"/>
  <c r="AL15" i="8"/>
  <c r="AL12" i="8"/>
  <c r="AL52" i="8"/>
  <c r="AL43" i="8"/>
  <c r="AL44" i="8"/>
  <c r="AL32" i="8"/>
  <c r="AL16" i="8"/>
  <c r="AL62" i="8"/>
  <c r="AL19" i="8"/>
  <c r="AL7" i="8"/>
  <c r="AT7" i="8" s="1"/>
  <c r="AL57" i="8"/>
  <c r="AL38" i="8"/>
  <c r="AW9" i="8"/>
  <c r="AU10" i="8" s="1"/>
  <c r="AL6" i="8"/>
  <c r="AT6" i="8" s="1"/>
  <c r="AL11" i="8"/>
  <c r="AL21" i="8"/>
  <c r="AL41" i="8"/>
  <c r="AL22" i="8"/>
  <c r="AL31" i="8"/>
  <c r="AL40" i="8"/>
  <c r="AL45" i="8"/>
  <c r="AL60" i="8"/>
  <c r="AL30" i="8"/>
  <c r="AL48" i="8"/>
  <c r="AL29" i="8"/>
  <c r="AL34" i="8"/>
  <c r="AL54" i="8"/>
  <c r="AL17" i="8"/>
  <c r="AL67" i="8"/>
  <c r="AL39" i="8"/>
  <c r="AL10" i="8"/>
  <c r="AL51" i="8"/>
  <c r="AL13" i="8"/>
  <c r="AL58" i="8"/>
  <c r="AW10" i="8"/>
  <c r="AU14" i="8" s="1"/>
  <c r="AL14" i="8"/>
  <c r="AL63" i="8"/>
  <c r="AL55" i="8"/>
  <c r="AL46" i="8"/>
  <c r="AL35" i="8"/>
  <c r="AL36" i="8"/>
  <c r="AL9" i="8"/>
  <c r="AT9" i="8" s="1"/>
  <c r="AL23" i="8"/>
  <c r="AL64" i="8"/>
  <c r="AL69" i="8"/>
  <c r="AL61" i="8"/>
  <c r="AL53" i="8"/>
  <c r="AL18" i="8"/>
  <c r="AL47" i="8"/>
  <c r="L14" i="4"/>
  <c r="AT5" i="8" l="1"/>
  <c r="AS5" i="8"/>
  <c r="AR5" i="8"/>
  <c r="AV5" i="8"/>
  <c r="B14"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<sst xmlns="http://schemas.openxmlformats.org/spreadsheetml/2006/main" count="2620" uniqueCount="301">
  <si>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</si>
  <si>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</si>
  <si>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</si>
  <si>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</si>
  <si>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</si>
  <si>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</si>
  <si>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</si>
  <si>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</si>
  <si>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</si>
  <si>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</si>
  <si>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</si>
  <si>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</si>
  <si>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</si>
  <si>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</si>
  <si>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</si>
  <si>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</si>
  <si>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</si>
  <si>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</si>
  <si>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</si>
  <si>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</si>
  <si>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</si>
  <si>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</si>
  <si>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</si>
  <si>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</si>
  <si>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</si>
  <si>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</si>
  <si>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</si>
  <si>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</si>
  <si>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</si>
  <si>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</si>
  <si>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</si>
  <si>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</si>
  <si>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</si>
  <si>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</si>
  <si>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</si>
  <si>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</si>
  <si>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</si>
  <si>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</si>
  <si>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</si>
  <si>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</si>
  <si>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</si>
  <si>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</si>
  <si>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</si>
  <si>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</si>
  <si>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</si>
  <si>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</si>
  <si>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</si>
  <si>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</si>
  <si>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</si>
  <si>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</si>
  <si>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</si>
  <si>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</si>
  <si>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</si>
  <si>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</si>
  <si>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</si>
  <si>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</si>
  <si>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</si>
  <si>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</si>
  <si>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</si>
  <si>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</si>
  <si>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</si>
  <si>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</si>
  <si>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</si>
  <si>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</si>
  <si>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</si>
  <si>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</si>
  <si>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</si>
  <si>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</si>
  <si>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</si>
  <si>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</si>
  <si>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</si>
  <si>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</si>
  <si>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</si>
  <si>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</si>
  <si>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</si>
  <si>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</si>
  <si>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</si>
  <si>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</si>
  <si>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</si>
  <si>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</si>
  <si>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</si>
  <si>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</si>
  <si>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</si>
  <si>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</si>
  <si>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</si>
  <si>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</si>
  <si>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</si>
  <si>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</si>
  <si>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</si>
  <si>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</si>
  <si>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</si>
  <si>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</si>
  <si>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</si>
  <si>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</si>
  <si>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</si>
  <si>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</si>
  <si>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</si>
  <si>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</si>
  <si>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</si>
  <si>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</si>
  <si>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</si>
  <si>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</si>
  <si>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</si>
  <si>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</si>
  <si>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</si>
  <si>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</si>
  <si>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</si>
  <si>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</si>
  <si>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</si>
  <si>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</si>
  <si>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</si>
  <si>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</si>
  <si>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</si>
  <si>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</si>
  <si>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</si>
  <si>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</si>
  <si>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</si>
  <si>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</si>
  <si>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</si>
  <si>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</si>
  <si>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</si>
  <si>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</si>
  <si>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</si>
  <si>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</si>
  <si>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</si>
  <si>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</si>
  <si>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</si>
  <si>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</si>
  <si>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</si>
  <si>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</si>
  <si>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</si>
  <si>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</si>
  <si>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</si>
  <si>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</si>
  <si>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</si>
  <si>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</si>
  <si>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</si>
  <si>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</si>
  <si>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</si>
  <si>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</si>
  <si>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</si>
  <si>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</si>
  <si>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</si>
  <si>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</si>
  <si>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</si>
  <si>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</si>
  <si>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</si>
  <si>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</si>
  <si>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</si>
  <si>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</si>
  <si>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</si>
  <si>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</si>
  <si>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</si>
  <si>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</si>
  <si>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</si>
  <si>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</si>
  <si>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</si>
  <si>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</si>
  <si>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</si>
  <si>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</si>
  <si>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</si>
  <si>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</si>
  <si>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</si>
  <si>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</si>
  <si>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</si>
  <si>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</si>
  <si>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</si>
  <si>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</si>
  <si>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</si>
  <si>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</si>
  <si>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</si>
  <si>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</si>
  <si>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</si>
  <si>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</si>
  <si>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</si>
  <si>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</si>
  <si>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</si>
  <si>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</si>
  <si>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</si>
  <si>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</si>
  <si>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</si>
  <si>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</si>
  <si>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</si>
  <si>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</si>
  <si>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</si>
  <si>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</si>
  <si>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</si>
  <si>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</si>
  <si>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</si>
  <si>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</si>
  <si>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</si>
  <si>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</si>
  <si>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</si>
  <si>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</si>
  <si>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</si>
  <si>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</si>
  <si>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</si>
  <si>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</si>
  <si>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</si>
  <si>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</si>
  <si>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</si>
  <si>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</si>
  <si>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</si>
  <si>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</si>
  <si>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</si>
  <si>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</si>
  <si>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</si>
  <si>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</si>
  <si>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</si>
  <si>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</si>
  <si>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</si>
  <si>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</si>
  <si>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</si>
  <si>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</si>
  <si>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</si>
  <si>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</si>
  <si>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</si>
  <si>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</si>
  <si>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vd_g_AlertH_acdcsupInit</t>
  </si>
  <si>
    <t>－</t>
    <phoneticPr fontId="2"/>
  </si>
  <si>
    <t>ALERT_CH_H_ACDCSUP</t>
  </si>
  <si>
    <t>BAT_DRAIN</t>
    <phoneticPr fontId="2"/>
  </si>
  <si>
    <t>NO_FUEL</t>
    <phoneticPr fontId="2"/>
  </si>
  <si>
    <t>EXPOW</t>
    <phoneticPr fontId="2"/>
  </si>
  <si>
    <t>EXPOW_VEH</t>
    <phoneticPr fontId="2"/>
  </si>
  <si>
    <t>PLG1G10_STS</t>
    <phoneticPr fontId="2"/>
  </si>
  <si>
    <t>PIINFDSP_SIG</t>
    <phoneticPr fontId="2"/>
  </si>
  <si>
    <t>PIINFD08_SIG</t>
    <phoneticPr fontId="2"/>
  </si>
  <si>
    <t>BAT_DRAIN</t>
  </si>
  <si>
    <t>NO_FUEL</t>
  </si>
  <si>
    <t>EXPOW</t>
  </si>
  <si>
    <t>EXPOW_VEH</t>
  </si>
  <si>
    <t>H_ACDCSUP判定</t>
    <rPh sb="9" eb="11">
      <t>ハンテイ</t>
    </rPh>
    <phoneticPr fontId="2"/>
  </si>
  <si>
    <t>ALERT_CH_H_ACDCSUP</t>
    <phoneticPr fontId="2"/>
  </si>
  <si>
    <t>PLG1G10</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</si>
  <si>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</si>
  <si>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非表示(0b)/
表示(1b)</t>
    <rPh sb="0" eb="3">
      <t>ヒヒョウジ</t>
    </rPh>
    <rPh sb="9" eb="11">
      <t>ヒョウジ</t>
    </rPh>
    <phoneticPr fontId="2"/>
  </si>
  <si>
    <t>駆動用電池の残量低下による給電停止(01000001b)/
燃料の残量低下による給電停止(01000010b)/
外部給電器の要因による給電停止(01001001b)/
外部給電器または車両の要因による給電停止(01001010b)/
未定義(上記以外)</t>
    <rPh sb="0" eb="3">
      <t>クドウヨウ</t>
    </rPh>
    <rPh sb="3" eb="5">
      <t>デンチ</t>
    </rPh>
    <rPh sb="6" eb="8">
      <t>ザンリョウ</t>
    </rPh>
    <rPh sb="8" eb="10">
      <t>テイカ</t>
    </rPh>
    <rPh sb="13" eb="15">
      <t>キュウデン</t>
    </rPh>
    <rPh sb="15" eb="17">
      <t>テイシ</t>
    </rPh>
    <rPh sb="118" eb="121">
      <t>ミテイギ</t>
    </rPh>
    <rPh sb="122" eb="124">
      <t>ジョウキ</t>
    </rPh>
    <rPh sb="124" eb="126">
      <t>イガイ</t>
    </rPh>
    <phoneticPr fontId="2"/>
  </si>
  <si>
    <t>UNKNOWN/
BAT_DRAIN/
NO_FUEL/
EXPOW/
EXPOW_VEH</t>
    <phoneticPr fontId="2"/>
  </si>
  <si>
    <t>*</t>
    <phoneticPr fontId="2"/>
  </si>
  <si>
    <t>1b</t>
    <phoneticPr fontId="2"/>
  </si>
  <si>
    <t>00b</t>
    <phoneticPr fontId="2"/>
  </si>
  <si>
    <t>0b</t>
    <phoneticPr fontId="2"/>
  </si>
  <si>
    <t>********b</t>
    <phoneticPr fontId="2"/>
  </si>
  <si>
    <t>01000001b</t>
    <phoneticPr fontId="2"/>
  </si>
  <si>
    <t>01000010b</t>
    <phoneticPr fontId="2"/>
  </si>
  <si>
    <t>01001001b</t>
    <phoneticPr fontId="2"/>
  </si>
  <si>
    <t>01001010b</t>
    <phoneticPr fontId="2"/>
  </si>
  <si>
    <t>上記以外</t>
    <rPh sb="0" eb="2">
      <t>ジョウキ</t>
    </rPh>
    <rPh sb="2" eb="4">
      <t>イガイ</t>
    </rPh>
    <phoneticPr fontId="2"/>
  </si>
  <si>
    <t>01b</t>
    <phoneticPr fontId="2"/>
  </si>
  <si>
    <t>*b</t>
    <phoneticPr fontId="2"/>
  </si>
  <si>
    <t>10b</t>
    <phoneticPr fontId="2"/>
  </si>
  <si>
    <t>11b</t>
    <phoneticPr fontId="2"/>
  </si>
  <si>
    <t>伊藤</t>
    <rPh sb="0" eb="2">
      <t>イトウ</t>
    </rPh>
    <phoneticPr fontId="2"/>
  </si>
  <si>
    <t>BAT_WT-ON + 通常 + 非表示 + *</t>
    <rPh sb="12" eb="14">
      <t>ツウジョウ</t>
    </rPh>
    <rPh sb="17" eb="20">
      <t>ヒヒョウジ</t>
    </rPh>
    <phoneticPr fontId="2"/>
  </si>
  <si>
    <t>BAT_WT-ON + 通常 + 表示 + 駆動用電池の残量低下による給電停止</t>
    <rPh sb="12" eb="14">
      <t>ツウジョウ</t>
    </rPh>
    <rPh sb="17" eb="19">
      <t>ヒョウジ</t>
    </rPh>
    <phoneticPr fontId="2"/>
  </si>
  <si>
    <t>BAT_WT-ON + 通常 + 表示 + 燃料の残量低下による給電停止</t>
    <rPh sb="12" eb="14">
      <t>ツウジョウ</t>
    </rPh>
    <rPh sb="17" eb="19">
      <t>ヒョウジ</t>
    </rPh>
    <phoneticPr fontId="2"/>
  </si>
  <si>
    <t>BAT_WT-ON + 通常 + 表示 + 外部給電器の要因による給電停止</t>
    <rPh sb="12" eb="14">
      <t>ツウジョウ</t>
    </rPh>
    <rPh sb="17" eb="19">
      <t>ヒョウジ</t>
    </rPh>
    <phoneticPr fontId="2"/>
  </si>
  <si>
    <t>BAT_WT-ON + 通常 + 表示 + 外部給電器または車両の要因による給電停止</t>
    <rPh sb="12" eb="14">
      <t>ツウジョウ</t>
    </rPh>
    <rPh sb="17" eb="19">
      <t>ヒョウジ</t>
    </rPh>
    <phoneticPr fontId="2"/>
  </si>
  <si>
    <t>BAT_WT-ON + 通常 + 表示 + 未定義</t>
    <rPh sb="12" eb="14">
      <t>ツウジョウ</t>
    </rPh>
    <rPh sb="17" eb="19">
      <t>ヒョウジ</t>
    </rPh>
    <rPh sb="22" eb="25">
      <t>ミテイギ</t>
    </rPh>
    <phoneticPr fontId="2"/>
  </si>
  <si>
    <t>BAT_WT-ON + 未受信 + * + *</t>
    <rPh sb="12" eb="13">
      <t>ミ</t>
    </rPh>
    <rPh sb="13" eb="15">
      <t>ジュシン</t>
    </rPh>
    <phoneticPr fontId="2"/>
  </si>
  <si>
    <t>BAT_WT-ON + 通信途絶 + * + *</t>
    <rPh sb="12" eb="14">
      <t>ツウシン</t>
    </rPh>
    <rPh sb="14" eb="16">
      <t>トゼツ</t>
    </rPh>
    <phoneticPr fontId="2"/>
  </si>
  <si>
    <t>BAT_WT-ON + 未受信通信途絶 + * + *</t>
    <rPh sb="12" eb="13">
      <t>ミ</t>
    </rPh>
    <rPh sb="13" eb="15">
      <t>ジュシン</t>
    </rPh>
    <rPh sb="15" eb="17">
      <t>ツウシン</t>
    </rPh>
    <rPh sb="17" eb="19">
      <t>トゼツ</t>
    </rPh>
    <phoneticPr fontId="2"/>
  </si>
  <si>
    <t>BAT_WT-OFF + * + * + * + *</t>
    <phoneticPr fontId="2"/>
  </si>
  <si>
    <t>新規作成(流用元：alert_H_ACDCSUP-CSTD-0-02-B-C2.xlsx)
050D CV　変更対応分
[Matrix]シート
・ロケーション変更
[Reference]シート
・キャプチャ更新</t>
    <rPh sb="0" eb="2">
      <t>シンキ</t>
    </rPh>
    <rPh sb="2" eb="4">
      <t>サクセイ</t>
    </rPh>
    <rPh sb="5" eb="8">
      <t>リュウヨウモト</t>
    </rPh>
    <rPh sb="55" eb="60">
      <t>ヘンコウタイオウブン</t>
    </rPh>
    <rPh sb="80" eb="82">
      <t>ヘンコウ</t>
    </rPh>
    <rPh sb="104" eb="106">
      <t>コウシン</t>
    </rPh>
    <phoneticPr fontId="2"/>
  </si>
  <si>
    <t>1.1.0</t>
    <phoneticPr fontId="2"/>
  </si>
  <si>
    <t>臼井</t>
    <rPh sb="0" eb="2">
      <t>ウスイ</t>
    </rPh>
    <phoneticPr fontId="2"/>
  </si>
  <si>
    <t>面企画#2 CV対応(流用元：032D alert_H_ACDCSUP-CSTD-0-02-C-C2.xlsx)
[Matrix]シート
・対象仕様書、ロケーション変更
[Reference]シート
・キャプチャ更新</t>
    <rPh sb="106" eb="108">
      <t>コウシン</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</si>
  <si>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</si>
  <si>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</si>
  <si>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</si>
  <si>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1.2.0</t>
    <phoneticPr fontId="2"/>
  </si>
  <si>
    <t>大野</t>
    <rPh sb="0" eb="2">
      <t>オオノ</t>
    </rPh>
    <phoneticPr fontId="2"/>
  </si>
  <si>
    <t>面企画#2 1A対応(流用元：面企画#2 alert_H_ACDCSUP-CSTD-0-02-D-C3.xlsx)
[Matrix]シート
・対象仕様書、ロケーション変更
[Reference]シート
・キャプチャ更新、RW仕様書名変更</t>
    <rPh sb="15" eb="18">
      <t>メンキカク</t>
    </rPh>
    <rPh sb="107" eb="109">
      <t>コウシン</t>
    </rPh>
    <rPh sb="112" eb="115">
      <t>シヨウショ</t>
    </rPh>
    <rPh sb="115" eb="116">
      <t>メイ</t>
    </rPh>
    <rPh sb="116" eb="118">
      <t>ヘンコウ</t>
    </rPh>
    <phoneticPr fontId="2"/>
  </si>
  <si>
    <t>H_ACDCSUP-CSTD-1-11</t>
  </si>
  <si>
    <t>H_ACDCSUP-CSTD-1-12</t>
  </si>
  <si>
    <t>H_ACDCSUP-CSTD-1-13</t>
  </si>
  <si>
    <t>H_ACDCSUP-CSTD-1-14</t>
  </si>
  <si>
    <t>H_ACDCSUP-CSTD-1-13</t>
    <phoneticPr fontId="2"/>
  </si>
  <si>
    <t>H_ACDCSUP-CSTD-1-14</t>
    <phoneticPr fontId="2"/>
  </si>
  <si>
    <t>1.3.0</t>
    <phoneticPr fontId="2"/>
  </si>
  <si>
    <t>19pfv3 CV事前 対応(流用元：面企画#2 alert_H_ACDCSUP-CSTD-0-03-A-C4.xlsx)
[Matrix]シート
・対象仕様書、ロケーション変更
[Reference]シート
・キャプチャ更新</t>
    <rPh sb="9" eb="11">
      <t>ジゼン</t>
    </rPh>
    <rPh sb="19" eb="22">
      <t>メンキカク</t>
    </rPh>
    <rPh sb="111" eb="113">
      <t>コウシン</t>
    </rPh>
    <phoneticPr fontId="2"/>
  </si>
  <si>
    <t>H_ACDCSUP-CSTD-1-11/
H_ACDCSUP-CSTD-1-12/
H_ACDCSUP-CSTD-1-13/
H_ACDCSUP-CSTD-1-14/
-</t>
  </si>
  <si>
    <t>承認</t>
  </si>
  <si>
    <t>検討</t>
  </si>
  <si>
    <t>作成</t>
  </si>
  <si>
    <t>&lt;DN確認印&gt;</t>
  </si>
  <si>
    <t>&lt;DN検討印&gt;</t>
  </si>
  <si>
    <t>&lt;DT確認印&gt;</t>
  </si>
  <si>
    <t>&lt;DT検討印&gt;</t>
  </si>
  <si>
    <t>DENSO TECHNO PHIL. INC</t>
  </si>
  <si>
    <t>承認欄 [DT]</t>
    <phoneticPr fontId="2"/>
  </si>
  <si>
    <t>承認者</t>
    <phoneticPr fontId="2"/>
  </si>
  <si>
    <t>DT Anna</t>
    <phoneticPr fontId="2"/>
  </si>
  <si>
    <t>1.3.1</t>
    <phoneticPr fontId="2"/>
  </si>
  <si>
    <t>DTPH Kiko</t>
    <phoneticPr fontId="2"/>
  </si>
  <si>
    <t>品質総点検(R4)：Alert設計書の修正対応
ファイル名の変更(流用元：alert_H_ACDCSUP-CSTD-1-00-A-C1.xlsx)
[Matrix]シート
・対象仕様書の変更
・ロケーションの変更</t>
    <phoneticPr fontId="2"/>
  </si>
  <si>
    <t>MET-H_ACDCSUP-CSTD-1-01-A-C1.docx</t>
    <phoneticPr fontId="2"/>
  </si>
  <si>
    <t>https://aip01.dndev.net/svn/met/toyota/std/rd/spec/19PFver3/tags/00.Product/v4.12.d/</t>
    <phoneticPr fontId="2"/>
  </si>
  <si>
    <t>(株)NTTデータMSE</t>
  </si>
  <si>
    <t>デンソーテクノ(株)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</si>
</sst>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11"/>
      <name val="Meiryo UI"/>
      <family val="3"/>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9">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lightUp">
        <bgColor theme="0" tint="-0.24994659260841701"/>
      </patternFill>
    </fill>
    <fill>
      <patternFill patternType="solid">
        <fgColor rgb="FFFFFFFF"/>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4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0" borderId="14" xfId="0" applyBorder="1" applyAlignment="1">
      <alignment vertical="center" wrapText="1"/>
    </xf>
    <xf numFmtId="14" fontId="0" fillId="0" borderId="14" xfId="0" applyNumberFormat="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2" xfId="0" applyFill="1" applyBorder="1" applyAlignment="1">
      <alignment vertical="center" textRotation="90"/>
    </xf>
    <xf numFmtId="14" fontId="0" fillId="0" borderId="7" xfId="0" applyNumberFormat="1" applyBorder="1">
      <alignment vertical="center"/>
    </xf>
    <xf numFmtId="0" fontId="13" fillId="0" borderId="0" xfId="0" applyFont="1">
      <alignment vertical="center"/>
    </xf>
    <xf numFmtId="0" fontId="17" fillId="0" borderId="0" xfId="0" applyFont="1">
      <alignment vertical="center"/>
    </xf>
    <xf numFmtId="0" fontId="18" fillId="12" borderId="43" xfId="0" applyFont="1" applyFill="1" applyBorder="1">
      <alignment vertical="center"/>
    </xf>
    <xf numFmtId="0" fontId="13" fillId="12" borderId="74" xfId="0" applyFont="1" applyFill="1" applyBorder="1">
      <alignment vertical="center"/>
    </xf>
    <xf numFmtId="0" fontId="13" fillId="12" borderId="44" xfId="0" applyFont="1" applyFill="1" applyBorder="1">
      <alignment vertical="center"/>
    </xf>
    <xf numFmtId="0" fontId="13" fillId="13" borderId="74" xfId="0" applyFont="1" applyFill="1" applyBorder="1">
      <alignment vertical="center"/>
    </xf>
    <xf numFmtId="0" fontId="13" fillId="13" borderId="44" xfId="0" applyFont="1" applyFill="1" applyBorder="1">
      <alignment vertical="center"/>
    </xf>
    <xf numFmtId="0" fontId="13" fillId="12" borderId="47" xfId="0" applyFont="1" applyFill="1" applyBorder="1">
      <alignment vertical="center"/>
    </xf>
    <xf numFmtId="0" fontId="13" fillId="12" borderId="23" xfId="0" applyFont="1" applyFill="1" applyBorder="1" applyAlignment="1">
      <alignment vertical="center"/>
    </xf>
    <xf numFmtId="0" fontId="13" fillId="12" borderId="18" xfId="0" applyFont="1" applyFill="1" applyBorder="1" applyAlignment="1">
      <alignment vertical="center"/>
    </xf>
    <xf numFmtId="0" fontId="13" fillId="12" borderId="22" xfId="0" applyFont="1" applyFill="1" applyBorder="1">
      <alignment vertical="center"/>
    </xf>
    <xf numFmtId="0" fontId="13" fillId="13" borderId="36" xfId="0" applyFont="1" applyFill="1" applyBorder="1" applyAlignment="1">
      <alignment vertical="center"/>
    </xf>
    <xf numFmtId="0" fontId="13" fillId="13" borderId="23" xfId="0" applyFont="1" applyFill="1" applyBorder="1" applyAlignment="1">
      <alignment vertical="center"/>
    </xf>
    <xf numFmtId="0" fontId="13" fillId="13" borderId="18" xfId="0" applyFont="1" applyFill="1" applyBorder="1" applyAlignment="1">
      <alignment vertical="center"/>
    </xf>
    <xf numFmtId="0" fontId="13" fillId="12" borderId="19" xfId="0" applyFont="1" applyFill="1" applyBorder="1">
      <alignment vertical="center"/>
    </xf>
    <xf numFmtId="0" fontId="13" fillId="0" borderId="27" xfId="0" applyFont="1" applyBorder="1" applyAlignment="1">
      <alignment vertical="center"/>
    </xf>
    <xf numFmtId="0" fontId="13" fillId="0" borderId="12" xfId="0" applyFont="1" applyBorder="1" applyAlignment="1">
      <alignment vertical="center"/>
    </xf>
    <xf numFmtId="0" fontId="13" fillId="0" borderId="50" xfId="0" applyFont="1" applyBorder="1" applyAlignment="1">
      <alignment vertical="center"/>
    </xf>
    <xf numFmtId="0" fontId="13" fillId="0" borderId="33" xfId="0" applyFont="1" applyBorder="1">
      <alignment vertical="center"/>
    </xf>
    <xf numFmtId="0" fontId="13" fillId="15" borderId="31" xfId="0" applyFont="1" applyFill="1" applyBorder="1">
      <alignment vertical="center"/>
    </xf>
    <xf numFmtId="0" fontId="13" fillId="24" borderId="2" xfId="0" applyFont="1" applyFill="1" applyBorder="1">
      <alignment vertical="center"/>
    </xf>
    <xf numFmtId="0" fontId="13" fillId="23" borderId="2" xfId="0" applyFont="1" applyFill="1" applyBorder="1">
      <alignment vertical="center"/>
    </xf>
    <xf numFmtId="0" fontId="13" fillId="15" borderId="7" xfId="0" applyFont="1" applyFill="1" applyBorder="1">
      <alignment vertical="center"/>
    </xf>
    <xf numFmtId="0" fontId="13" fillId="18" borderId="31" xfId="0" quotePrefix="1" applyFont="1" applyFill="1" applyBorder="1">
      <alignment vertical="center"/>
    </xf>
    <xf numFmtId="0" fontId="13" fillId="0" borderId="2" xfId="0" quotePrefix="1" applyFont="1" applyBorder="1">
      <alignment vertical="center"/>
    </xf>
    <xf numFmtId="0" fontId="13" fillId="20" borderId="31" xfId="0" applyFont="1" applyFill="1" applyBorder="1">
      <alignment vertical="center"/>
    </xf>
    <xf numFmtId="0" fontId="13" fillId="25" borderId="2" xfId="0" applyFont="1" applyFill="1" applyBorder="1">
      <alignment vertical="center"/>
    </xf>
    <xf numFmtId="0" fontId="13" fillId="26" borderId="2" xfId="0" applyFont="1" applyFill="1" applyBorder="1">
      <alignment vertical="center"/>
    </xf>
    <xf numFmtId="0" fontId="13" fillId="15" borderId="7" xfId="0" applyFont="1" applyFill="1" applyBorder="1" applyAlignment="1">
      <alignment vertical="center" wrapText="1"/>
    </xf>
    <xf numFmtId="0" fontId="13" fillId="12" borderId="19" xfId="0" applyFont="1" applyFill="1" applyBorder="1" applyAlignment="1">
      <alignment vertical="center" wrapText="1"/>
    </xf>
    <xf numFmtId="0" fontId="13" fillId="0" borderId="2" xfId="0" applyFont="1" applyBorder="1">
      <alignment vertical="center"/>
    </xf>
    <xf numFmtId="0" fontId="13" fillId="0" borderId="27" xfId="0" applyFont="1" applyBorder="1">
      <alignment vertical="center"/>
    </xf>
    <xf numFmtId="0" fontId="13" fillId="14" borderId="33" xfId="0" applyFont="1" applyFill="1" applyBorder="1">
      <alignment vertical="center"/>
    </xf>
    <xf numFmtId="0" fontId="13" fillId="18" borderId="31" xfId="0" applyFont="1" applyFill="1" applyBorder="1" applyAlignment="1">
      <alignment vertical="center" textRotation="255"/>
    </xf>
    <xf numFmtId="0" fontId="13" fillId="0" borderId="2" xfId="0" applyFont="1" applyBorder="1" applyAlignment="1">
      <alignment vertical="center" wrapText="1"/>
    </xf>
    <xf numFmtId="0" fontId="13" fillId="0" borderId="27" xfId="0" applyFont="1" applyBorder="1" applyAlignment="1">
      <alignment vertical="center" wrapText="1"/>
    </xf>
    <xf numFmtId="0" fontId="13" fillId="12" borderId="48" xfId="0" applyFont="1" applyFill="1" applyBorder="1">
      <alignment vertical="center"/>
    </xf>
    <xf numFmtId="0" fontId="13" fillId="18" borderId="32" xfId="0" applyFont="1" applyFill="1" applyBorder="1" applyAlignment="1">
      <alignment vertical="center" wrapText="1"/>
    </xf>
    <xf numFmtId="0" fontId="13" fillId="0" borderId="16" xfId="0" applyFont="1" applyBorder="1" applyAlignment="1">
      <alignment vertical="center" wrapText="1"/>
    </xf>
    <xf numFmtId="0" fontId="13" fillId="0" borderId="28" xfId="0" applyFont="1" applyBorder="1" applyAlignment="1">
      <alignment vertical="center" wrapText="1"/>
    </xf>
    <xf numFmtId="0" fontId="13" fillId="0" borderId="34" xfId="0" applyFont="1" applyBorder="1" applyAlignment="1">
      <alignment vertical="center" wrapText="1"/>
    </xf>
    <xf numFmtId="0" fontId="13" fillId="15" borderId="32" xfId="0" applyFont="1" applyFill="1" applyBorder="1" applyAlignment="1">
      <alignment vertical="center" wrapText="1"/>
    </xf>
    <xf numFmtId="0" fontId="16" fillId="24" borderId="16" xfId="0" applyFont="1" applyFill="1" applyBorder="1" applyAlignment="1">
      <alignment vertical="center" wrapText="1"/>
    </xf>
    <xf numFmtId="0" fontId="13" fillId="23" borderId="16" xfId="0" applyFont="1" applyFill="1" applyBorder="1" applyAlignment="1">
      <alignment vertical="center" wrapText="1"/>
    </xf>
    <xf numFmtId="0" fontId="13" fillId="15" borderId="17" xfId="0" applyFont="1" applyFill="1" applyBorder="1" applyAlignment="1">
      <alignment vertical="center" wrapText="1"/>
    </xf>
    <xf numFmtId="0" fontId="13" fillId="0" borderId="49" xfId="0" applyFont="1" applyBorder="1">
      <alignment vertical="center"/>
    </xf>
    <xf numFmtId="0" fontId="13" fillId="15" borderId="31" xfId="0" applyFont="1" applyFill="1" applyBorder="1" applyAlignment="1">
      <alignment horizontal="center" vertical="center"/>
    </xf>
    <xf numFmtId="0" fontId="13" fillId="0" borderId="31" xfId="0" applyFont="1" applyFill="1" applyBorder="1" applyAlignment="1">
      <alignment horizontal="center" vertical="center"/>
    </xf>
    <xf numFmtId="0" fontId="13" fillId="0" borderId="14" xfId="0" applyFont="1" applyBorder="1" applyAlignment="1">
      <alignment horizontal="center" vertical="center"/>
    </xf>
    <xf numFmtId="0" fontId="13" fillId="0" borderId="29" xfId="0" applyFont="1" applyBorder="1" applyAlignment="1">
      <alignment horizontal="center" vertical="center"/>
    </xf>
    <xf numFmtId="0" fontId="13" fillId="0" borderId="24" xfId="0" applyFont="1" applyBorder="1" applyAlignment="1">
      <alignment horizontal="center" vertical="center"/>
    </xf>
    <xf numFmtId="0" fontId="13" fillId="15" borderId="25" xfId="0" applyFont="1" applyFill="1" applyBorder="1" applyAlignment="1">
      <alignment horizontal="center" vertical="center"/>
    </xf>
    <xf numFmtId="0" fontId="13" fillId="24" borderId="14" xfId="0" applyFont="1" applyFill="1" applyBorder="1" applyAlignment="1">
      <alignment horizontal="center" vertical="center"/>
    </xf>
    <xf numFmtId="0" fontId="13" fillId="23" borderId="63" xfId="0" applyFont="1" applyFill="1" applyBorder="1" applyAlignment="1">
      <alignment vertical="center" wrapText="1"/>
    </xf>
    <xf numFmtId="0" fontId="13" fillId="15" borderId="72" xfId="0" applyFont="1" applyFill="1" applyBorder="1" applyAlignment="1">
      <alignment vertical="center" wrapText="1"/>
    </xf>
    <xf numFmtId="0" fontId="13" fillId="0" borderId="25" xfId="0" applyFont="1" applyFill="1" applyBorder="1" applyAlignment="1">
      <alignment horizontal="center" vertical="center"/>
    </xf>
    <xf numFmtId="0" fontId="13" fillId="23" borderId="14" xfId="0" applyFont="1" applyFill="1" applyBorder="1" applyAlignment="1">
      <alignment horizontal="center" vertical="center"/>
    </xf>
    <xf numFmtId="0" fontId="13" fillId="15" borderId="15" xfId="0" applyFont="1" applyFill="1" applyBorder="1" applyAlignment="1">
      <alignment horizontal="center" vertical="center"/>
    </xf>
    <xf numFmtId="0" fontId="13" fillId="0" borderId="2" xfId="0" applyFont="1" applyBorder="1" applyAlignment="1">
      <alignment horizontal="center" vertical="center"/>
    </xf>
    <xf numFmtId="0" fontId="13" fillId="0" borderId="27" xfId="0" applyFont="1" applyBorder="1" applyAlignment="1">
      <alignment horizontal="center" vertical="center"/>
    </xf>
    <xf numFmtId="0" fontId="13" fillId="0" borderId="33" xfId="0" applyFont="1" applyBorder="1" applyAlignment="1">
      <alignment horizontal="center" vertical="center"/>
    </xf>
    <xf numFmtId="0" fontId="13" fillId="15" borderId="31" xfId="0" applyFont="1" applyFill="1" applyBorder="1" applyAlignment="1">
      <alignment horizontal="center" vertical="center" wrapText="1"/>
    </xf>
    <xf numFmtId="0" fontId="16" fillId="24" borderId="2" xfId="0" applyFont="1" applyFill="1" applyBorder="1" applyAlignment="1">
      <alignment horizontal="center" vertical="center"/>
    </xf>
    <xf numFmtId="0" fontId="13" fillId="23" borderId="2" xfId="0" applyFont="1" applyFill="1" applyBorder="1" applyAlignment="1">
      <alignment horizontal="center" vertical="center"/>
    </xf>
    <xf numFmtId="0" fontId="13" fillId="15" borderId="7" xfId="0" applyFont="1" applyFill="1" applyBorder="1" applyAlignment="1">
      <alignment horizontal="center" vertical="center"/>
    </xf>
    <xf numFmtId="0" fontId="13" fillId="24" borderId="2" xfId="0" applyFont="1" applyFill="1" applyBorder="1" applyAlignment="1">
      <alignment horizontal="center" vertical="center"/>
    </xf>
    <xf numFmtId="0" fontId="13" fillId="0" borderId="19" xfId="0" applyFont="1" applyBorder="1">
      <alignment vertical="center"/>
    </xf>
    <xf numFmtId="0" fontId="13" fillId="0" borderId="62" xfId="0" applyFont="1" applyBorder="1" applyAlignment="1">
      <alignment horizontal="center" vertical="center"/>
    </xf>
    <xf numFmtId="0" fontId="13" fillId="0" borderId="64" xfId="0" applyFont="1" applyBorder="1" applyAlignment="1">
      <alignment horizontal="center" vertical="center"/>
    </xf>
    <xf numFmtId="0" fontId="13" fillId="0" borderId="77" xfId="0" applyFont="1" applyBorder="1" applyAlignment="1">
      <alignment horizontal="center" vertical="center"/>
    </xf>
    <xf numFmtId="0" fontId="13" fillId="15" borderId="65" xfId="0" applyFont="1" applyFill="1" applyBorder="1" applyAlignment="1">
      <alignment horizontal="center" vertical="center"/>
    </xf>
    <xf numFmtId="0" fontId="13" fillId="23" borderId="62" xfId="0" applyFont="1" applyFill="1" applyBorder="1" applyAlignment="1">
      <alignment horizontal="center" vertical="center"/>
    </xf>
    <xf numFmtId="0" fontId="13" fillId="15" borderId="78" xfId="0" applyFont="1" applyFill="1" applyBorder="1" applyAlignment="1">
      <alignment horizontal="center" vertical="center"/>
    </xf>
    <xf numFmtId="0" fontId="13" fillId="0" borderId="20" xfId="0" applyFont="1" applyBorder="1">
      <alignment vertical="center"/>
    </xf>
    <xf numFmtId="0" fontId="13" fillId="15" borderId="26" xfId="0" applyFont="1" applyFill="1" applyBorder="1" applyAlignment="1">
      <alignment horizontal="center" vertical="center"/>
    </xf>
    <xf numFmtId="0" fontId="13" fillId="0" borderId="26" xfId="0" applyFont="1" applyFill="1" applyBorder="1" applyAlignment="1">
      <alignment horizontal="center" vertical="center" wrapText="1"/>
    </xf>
    <xf numFmtId="0" fontId="13" fillId="0" borderId="9" xfId="0" applyFont="1" applyBorder="1" applyAlignment="1">
      <alignment horizontal="center" vertical="center"/>
    </xf>
    <xf numFmtId="0" fontId="13" fillId="0" borderId="30" xfId="0" applyFont="1" applyBorder="1" applyAlignment="1">
      <alignment horizontal="center" vertical="center"/>
    </xf>
    <xf numFmtId="0" fontId="13" fillId="0" borderId="35" xfId="0" applyFont="1" applyBorder="1" applyAlignment="1">
      <alignment horizontal="center" vertical="center"/>
    </xf>
    <xf numFmtId="0" fontId="13" fillId="24" borderId="9" xfId="0" applyFont="1" applyFill="1" applyBorder="1" applyAlignment="1">
      <alignment horizontal="center" vertical="center"/>
    </xf>
    <xf numFmtId="0" fontId="13" fillId="23" borderId="9" xfId="0" applyFont="1" applyFill="1" applyBorder="1" applyAlignment="1">
      <alignment horizontal="center" vertical="center"/>
    </xf>
    <xf numFmtId="0" fontId="13" fillId="15" borderId="10" xfId="0" applyFont="1" applyFill="1" applyBorder="1" applyAlignment="1">
      <alignment horizontal="center" vertical="center"/>
    </xf>
    <xf numFmtId="0" fontId="13" fillId="0" borderId="0" xfId="0" applyFont="1" applyAlignment="1">
      <alignment vertical="center"/>
    </xf>
    <xf numFmtId="0" fontId="19" fillId="0" borderId="0" xfId="0" applyFont="1">
      <alignment vertical="center"/>
    </xf>
    <xf numFmtId="0" fontId="17" fillId="0" borderId="0" xfId="0" applyFont="1" applyFill="1" applyBorder="1" applyAlignment="1">
      <alignment vertical="center"/>
    </xf>
    <xf numFmtId="0" fontId="13" fillId="0" borderId="0" xfId="0" applyFont="1" applyFill="1" applyBorder="1" applyAlignment="1">
      <alignment vertical="center"/>
    </xf>
    <xf numFmtId="0" fontId="18" fillId="0" borderId="0" xfId="0" applyFont="1" applyFill="1" applyBorder="1" applyAlignment="1">
      <alignment vertical="center"/>
    </xf>
    <xf numFmtId="0" fontId="16"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0" xfId="0" quotePrefix="1" applyFont="1" applyFill="1" applyBorder="1" applyAlignment="1">
      <alignment vertical="center"/>
    </xf>
    <xf numFmtId="0" fontId="13" fillId="0" borderId="0" xfId="0" applyFont="1" applyFill="1" applyBorder="1" applyAlignment="1">
      <alignment vertical="center" wrapText="1"/>
    </xf>
    <xf numFmtId="0" fontId="13" fillId="0" borderId="0" xfId="0" applyFont="1" applyFill="1" applyBorder="1" applyAlignment="1">
      <alignment vertical="center" textRotation="255"/>
    </xf>
    <xf numFmtId="0" fontId="16" fillId="0" borderId="0" xfId="0" applyFont="1" applyFill="1" applyBorder="1" applyAlignment="1">
      <alignment vertical="center" wrapText="1"/>
    </xf>
    <xf numFmtId="0" fontId="13" fillId="0" borderId="0" xfId="0" applyFont="1" applyFill="1" applyBorder="1">
      <alignment vertical="center"/>
    </xf>
    <xf numFmtId="0" fontId="13" fillId="0" borderId="0" xfId="0" applyFont="1" applyFill="1" applyBorder="1" applyAlignment="1">
      <alignment horizontal="center" vertical="center"/>
    </xf>
    <xf numFmtId="0" fontId="0" fillId="0" borderId="2" xfId="0" applyFill="1" applyBorder="1" applyAlignment="1">
      <alignment vertical="center" wrapText="1"/>
    </xf>
    <xf numFmtId="0" fontId="20" fillId="27" borderId="64" xfId="2" applyFill="1" applyBorder="1">
      <alignment vertical="center"/>
    </xf>
    <xf numFmtId="0" fontId="20" fillId="27" borderId="66" xfId="2" applyFill="1" applyBorder="1">
      <alignment vertical="center"/>
    </xf>
    <xf numFmtId="0" fontId="20" fillId="27" borderId="65" xfId="2" applyFill="1" applyBorder="1">
      <alignment vertical="center"/>
    </xf>
    <xf numFmtId="0" fontId="20" fillId="0" borderId="0" xfId="2">
      <alignment vertical="center"/>
    </xf>
    <xf numFmtId="0" fontId="20" fillId="27" borderId="79" xfId="2" applyFill="1" applyBorder="1">
      <alignment vertical="center"/>
    </xf>
    <xf numFmtId="0" fontId="20" fillId="27" borderId="0" xfId="2" applyFill="1">
      <alignment vertical="center"/>
    </xf>
    <xf numFmtId="0" fontId="20" fillId="27" borderId="80" xfId="2" applyFill="1" applyBorder="1">
      <alignment vertical="center"/>
    </xf>
    <xf numFmtId="0" fontId="9" fillId="27" borderId="0" xfId="2" applyFont="1" applyFill="1">
      <alignment vertical="center"/>
    </xf>
    <xf numFmtId="0" fontId="20" fillId="27" borderId="81" xfId="2" applyFill="1" applyBorder="1">
      <alignment vertical="center"/>
    </xf>
    <xf numFmtId="0" fontId="20" fillId="27" borderId="82" xfId="2" applyFill="1" applyBorder="1">
      <alignment vertical="center"/>
    </xf>
    <xf numFmtId="0" fontId="22" fillId="27" borderId="0" xfId="2" applyFont="1" applyFill="1" applyAlignment="1">
      <alignment horizontal="center" vertical="center"/>
    </xf>
    <xf numFmtId="0" fontId="20" fillId="27" borderId="29" xfId="2" applyFill="1" applyBorder="1">
      <alignment vertical="center"/>
    </xf>
    <xf numFmtId="0" fontId="20" fillId="27" borderId="11" xfId="2" applyFill="1" applyBorder="1">
      <alignment vertical="center"/>
    </xf>
    <xf numFmtId="0" fontId="20" fillId="27" borderId="25" xfId="2" applyFill="1" applyBorder="1">
      <alignment vertical="center"/>
    </xf>
    <xf numFmtId="0" fontId="20" fillId="27" borderId="83" xfId="2"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0" borderId="26" xfId="0" applyBorder="1">
      <alignment vertical="center"/>
    </xf>
    <xf numFmtId="14" fontId="0" fillId="0" borderId="2" xfId="0" applyNumberFormat="1" applyBorder="1">
      <alignment vertical="center"/>
    </xf>
    <xf numFmtId="0" fontId="20" fillId="27" borderId="0" xfId="2" applyFill="1" applyBorder="1">
      <alignment vertical="center"/>
    </xf>
    <xf numFmtId="0" fontId="0" fillId="10" borderId="28" xfId="0" applyFill="1" applyBorder="1">
      <alignment vertical="center"/>
    </xf>
    <xf numFmtId="0" fontId="0" fillId="0" borderId="60" xfId="0" applyBorder="1">
      <alignment vertical="center"/>
    </xf>
    <xf numFmtId="0" fontId="0" fillId="0" borderId="2" xfId="0" applyBorder="1" applyAlignment="1">
      <alignment vertical="center" wrapText="1"/>
    </xf>
    <xf numFmtId="0" fontId="20" fillId="27" borderId="27" xfId="2" applyFill="1" applyBorder="1" applyAlignment="1">
      <alignment horizontal="center" vertical="center"/>
    </xf>
    <xf numFmtId="0" fontId="20" fillId="27" borderId="12" xfId="2" applyFill="1" applyBorder="1" applyAlignment="1">
      <alignment horizontal="center" vertical="center"/>
    </xf>
    <xf numFmtId="0" fontId="20" fillId="27" borderId="31" xfId="2" applyFill="1" applyBorder="1" applyAlignment="1">
      <alignment horizontal="center" vertical="center"/>
    </xf>
    <xf numFmtId="0" fontId="21" fillId="27" borderId="79" xfId="2" applyFont="1" applyFill="1" applyBorder="1" applyAlignment="1">
      <alignment horizontal="center" vertical="center"/>
    </xf>
    <xf numFmtId="0" fontId="20" fillId="27" borderId="0" xfId="2" applyFill="1" applyAlignment="1">
      <alignment horizontal="center" vertical="center"/>
    </xf>
    <xf numFmtId="0" fontId="20" fillId="27" borderId="80" xfId="2" applyFill="1" applyBorder="1" applyAlignment="1">
      <alignment horizontal="center" vertical="center"/>
    </xf>
    <xf numFmtId="0" fontId="20" fillId="27"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8" borderId="4" xfId="0" applyFill="1" applyBorder="1" applyAlignment="1">
      <alignment horizontal="center" vertical="center"/>
    </xf>
    <xf numFmtId="0" fontId="0" fillId="28"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12" xfId="0"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3" fillId="18" borderId="27" xfId="0" applyFont="1" applyFill="1" applyBorder="1" applyAlignment="1">
      <alignment horizontal="left" vertical="center"/>
    </xf>
    <xf numFmtId="0" fontId="13" fillId="18" borderId="12" xfId="0" applyFont="1" applyFill="1" applyBorder="1" applyAlignment="1">
      <alignment horizontal="left" vertical="center"/>
    </xf>
    <xf numFmtId="0" fontId="13" fillId="18" borderId="31" xfId="0" applyFont="1" applyFill="1" applyBorder="1" applyAlignment="1">
      <alignment horizontal="left" vertical="center"/>
    </xf>
    <xf numFmtId="0" fontId="13" fillId="18" borderId="68" xfId="0" applyFont="1" applyFill="1" applyBorder="1" applyAlignment="1">
      <alignment horizontal="left" vertical="center"/>
    </xf>
  </cellXfs>
  <cellStyles count="4">
    <cellStyle name="ハイパーリンク" xfId="1" builtinId="8"/>
    <cellStyle name="標準" xfId="0" builtinId="0"/>
    <cellStyle name="標準 3 3 4 3" xfId="3" xr:uid="{8DDA0C53-AD58-4C96-A26A-9B85B1B1FE1A}"/>
    <cellStyle name="標準 5" xfId="2" xr:uid="{AF1FDCD2-47F8-4C33-93B5-5E39E8F3758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 Type="http://schemas.openxmlformats.org/officeDocument/2006/relationships/image" Target="../media/image5.png"/><Relationship Id="rId21" Type="http://schemas.openxmlformats.org/officeDocument/2006/relationships/image" Target="../media/image23.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6.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95250</xdr:rowOff>
        </xdr:from>
        <xdr:to>
          <xdr:col>38</xdr:col>
          <xdr:colOff>95250</xdr:colOff>
          <xdr:row>39</xdr:row>
          <xdr:rowOff>104775</xdr:rowOff>
        </xdr:to>
        <xdr:sp macro="" textlink="">
          <xdr:nvSpPr>
            <xdr:cNvPr id="28673" name="inei1_ASUNCIO ANNA MA" hidden="1">
              <a:extLst>
                <a:ext uri="{63B3BB69-23CF-44E3-9099-C40C66FF867C}">
                  <a14:compatExt spid="_x0000_s28673"/>
                </a:ext>
                <a:ext uri="{FF2B5EF4-FFF2-40B4-BE49-F238E27FC236}">
                  <a16:creationId xmlns:a16="http://schemas.microsoft.com/office/drawing/2014/main" id="{00000000-0008-0000-0000-00000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35</xdr:col>
      <xdr:colOff>0</xdr:colOff>
      <xdr:row>44</xdr:row>
      <xdr:rowOff>0</xdr:rowOff>
    </xdr:from>
    <xdr:to>
      <xdr:col>38</xdr:col>
      <xdr:colOff>57079</xdr:colOff>
      <xdr:row>47</xdr:row>
      <xdr:rowOff>57079</xdr:rowOff>
    </xdr:to>
    <xdr:pic>
      <xdr:nvPicPr>
        <xdr:cNvPr id="3" name="図 2">
          <a:extLst>
            <a:ext uri="{FF2B5EF4-FFF2-40B4-BE49-F238E27FC236}">
              <a16:creationId xmlns:a16="http://schemas.microsoft.com/office/drawing/2014/main" id="{2891A02A-5259-4206-A2C8-22BACB7128B8}"/>
            </a:ext>
          </a:extLst>
        </xdr:cNvPr>
        <xdr:cNvPicPr>
          <a:picLocks noChangeAspect="1"/>
        </xdr:cNvPicPr>
      </xdr:nvPicPr>
      <xdr:blipFill>
        <a:blip xmlns:r="http://schemas.openxmlformats.org/officeDocument/2006/relationships" r:embed="rId1"/>
        <a:stretch>
          <a:fillRect/>
        </a:stretch>
      </xdr:blipFill>
      <xdr:spPr>
        <a:xfrm>
          <a:off x="6000750" y="79248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130</xdr:row>
      <xdr:rowOff>0</xdr:rowOff>
    </xdr:from>
    <xdr:to>
      <xdr:col>32</xdr:col>
      <xdr:colOff>572618</xdr:colOff>
      <xdr:row>175</xdr:row>
      <xdr:rowOff>10603</xdr:rowOff>
    </xdr:to>
    <xdr:pic>
      <xdr:nvPicPr>
        <xdr:cNvPr id="63" name="図 62">
          <a:extLst>
            <a:ext uri="{FF2B5EF4-FFF2-40B4-BE49-F238E27FC236}">
              <a16:creationId xmlns:a16="http://schemas.microsoft.com/office/drawing/2014/main" id="{397646CC-96D5-4BC9-8BD6-99F8DF12AE94}"/>
            </a:ext>
          </a:extLst>
        </xdr:cNvPr>
        <xdr:cNvPicPr>
          <a:picLocks noChangeAspect="1"/>
        </xdr:cNvPicPr>
      </xdr:nvPicPr>
      <xdr:blipFill>
        <a:blip xmlns:r="http://schemas.openxmlformats.org/officeDocument/2006/relationships" r:embed="rId1"/>
        <a:stretch>
          <a:fillRect/>
        </a:stretch>
      </xdr:blipFill>
      <xdr:spPr>
        <a:xfrm>
          <a:off x="22278975" y="25346025"/>
          <a:ext cx="8011643" cy="7725853"/>
        </a:xfrm>
        <a:prstGeom prst="rect">
          <a:avLst/>
        </a:prstGeom>
      </xdr:spPr>
    </xdr:pic>
    <xdr:clientData/>
  </xdr:twoCellAnchor>
  <xdr:twoCellAnchor editAs="oneCell">
    <xdr:from>
      <xdr:col>21</xdr:col>
      <xdr:colOff>0</xdr:colOff>
      <xdr:row>110</xdr:row>
      <xdr:rowOff>0</xdr:rowOff>
    </xdr:from>
    <xdr:to>
      <xdr:col>32</xdr:col>
      <xdr:colOff>582144</xdr:colOff>
      <xdr:row>128</xdr:row>
      <xdr:rowOff>152852</xdr:rowOff>
    </xdr:to>
    <xdr:pic>
      <xdr:nvPicPr>
        <xdr:cNvPr id="35" name="図 34">
          <a:extLst>
            <a:ext uri="{FF2B5EF4-FFF2-40B4-BE49-F238E27FC236}">
              <a16:creationId xmlns:a16="http://schemas.microsoft.com/office/drawing/2014/main" id="{AE12DB69-FE08-45B7-AD6B-15A325748B95}"/>
            </a:ext>
          </a:extLst>
        </xdr:cNvPr>
        <xdr:cNvPicPr>
          <a:picLocks noChangeAspect="1"/>
        </xdr:cNvPicPr>
      </xdr:nvPicPr>
      <xdr:blipFill>
        <a:blip xmlns:r="http://schemas.openxmlformats.org/officeDocument/2006/relationships" r:embed="rId2"/>
        <a:stretch>
          <a:fillRect/>
        </a:stretch>
      </xdr:blipFill>
      <xdr:spPr>
        <a:xfrm>
          <a:off x="22278975" y="21917025"/>
          <a:ext cx="8021169" cy="3238952"/>
        </a:xfrm>
        <a:prstGeom prst="rect">
          <a:avLst/>
        </a:prstGeom>
      </xdr:spPr>
    </xdr:pic>
    <xdr:clientData/>
  </xdr:twoCellAnchor>
  <xdr:twoCellAnchor editAs="oneCell">
    <xdr:from>
      <xdr:col>21</xdr:col>
      <xdr:colOff>0</xdr:colOff>
      <xdr:row>24</xdr:row>
      <xdr:rowOff>0</xdr:rowOff>
    </xdr:from>
    <xdr:to>
      <xdr:col>32</xdr:col>
      <xdr:colOff>639302</xdr:colOff>
      <xdr:row>68</xdr:row>
      <xdr:rowOff>1060</xdr:rowOff>
    </xdr:to>
    <xdr:pic>
      <xdr:nvPicPr>
        <xdr:cNvPr id="32" name="図 31">
          <a:extLst>
            <a:ext uri="{FF2B5EF4-FFF2-40B4-BE49-F238E27FC236}">
              <a16:creationId xmlns:a16="http://schemas.microsoft.com/office/drawing/2014/main" id="{80BF8EC2-919B-44E7-BDC1-B0B70E597326}"/>
            </a:ext>
          </a:extLst>
        </xdr:cNvPr>
        <xdr:cNvPicPr>
          <a:picLocks noChangeAspect="1"/>
        </xdr:cNvPicPr>
      </xdr:nvPicPr>
      <xdr:blipFill>
        <a:blip xmlns:r="http://schemas.openxmlformats.org/officeDocument/2006/relationships" r:embed="rId3"/>
        <a:stretch>
          <a:fillRect/>
        </a:stretch>
      </xdr:blipFill>
      <xdr:spPr>
        <a:xfrm>
          <a:off x="22278975" y="7124700"/>
          <a:ext cx="8078327" cy="7592485"/>
        </a:xfrm>
        <a:prstGeom prst="rect">
          <a:avLst/>
        </a:prstGeom>
      </xdr:spPr>
    </xdr:pic>
    <xdr:clientData/>
  </xdr:twoCellAnchor>
  <xdr:twoCellAnchor editAs="oneCell">
    <xdr:from>
      <xdr:col>10</xdr:col>
      <xdr:colOff>225543</xdr:colOff>
      <xdr:row>0</xdr:row>
      <xdr:rowOff>68036</xdr:rowOff>
    </xdr:from>
    <xdr:to>
      <xdr:col>12</xdr:col>
      <xdr:colOff>1567543</xdr:colOff>
      <xdr:row>2</xdr:row>
      <xdr:rowOff>120306</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7333914" y="68036"/>
          <a:ext cx="3780400" cy="378841"/>
        </a:xfrm>
        <a:prstGeom prst="borderCallout1">
          <a:avLst>
            <a:gd name="adj1" fmla="val 38295"/>
            <a:gd name="adj2" fmla="val -1002"/>
            <a:gd name="adj3" fmla="val 138342"/>
            <a:gd name="adj4" fmla="val -13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xdr:col>
      <xdr:colOff>217714</xdr:colOff>
      <xdr:row>22</xdr:row>
      <xdr:rowOff>108856</xdr:rowOff>
    </xdr:from>
    <xdr:to>
      <xdr:col>12</xdr:col>
      <xdr:colOff>3200400</xdr:colOff>
      <xdr:row>26</xdr:row>
      <xdr:rowOff>97971</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6640285" y="6770913"/>
          <a:ext cx="6106886" cy="642258"/>
        </a:xfrm>
        <a:prstGeom prst="borderCallout1">
          <a:avLst>
            <a:gd name="adj1" fmla="val 2811"/>
            <a:gd name="adj2" fmla="val 16923"/>
            <a:gd name="adj3" fmla="val -72447"/>
            <a:gd name="adj4" fmla="val 39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実施条件や途絶時のふるまいに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の状態による差異がないため、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FACT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状態の参照もしない。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xdr:col>
      <xdr:colOff>0</xdr:colOff>
      <xdr:row>10</xdr:row>
      <xdr:rowOff>13607</xdr:rowOff>
    </xdr:from>
    <xdr:to>
      <xdr:col>10</xdr:col>
      <xdr:colOff>1</xdr:colOff>
      <xdr:row>20</xdr:row>
      <xdr:rowOff>13607</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5876925" y="4547507"/>
          <a:ext cx="2057401" cy="1733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xdr:row>
      <xdr:rowOff>0</xdr:rowOff>
    </xdr:from>
    <xdr:to>
      <xdr:col>33</xdr:col>
      <xdr:colOff>58291</xdr:colOff>
      <xdr:row>22</xdr:row>
      <xdr:rowOff>162820</xdr:rowOff>
    </xdr:to>
    <xdr:pic>
      <xdr:nvPicPr>
        <xdr:cNvPr id="6" name="図 5">
          <a:extLst>
            <a:ext uri="{FF2B5EF4-FFF2-40B4-BE49-F238E27FC236}">
              <a16:creationId xmlns:a16="http://schemas.microsoft.com/office/drawing/2014/main" id="{B9FD93C0-E332-4C96-9B8A-A7E9CC8C4778}"/>
            </a:ext>
          </a:extLst>
        </xdr:cNvPr>
        <xdr:cNvPicPr>
          <a:picLocks noChangeAspect="1"/>
        </xdr:cNvPicPr>
      </xdr:nvPicPr>
      <xdr:blipFill>
        <a:blip xmlns:r="http://schemas.openxmlformats.org/officeDocument/2006/relationships" r:embed="rId4"/>
        <a:stretch>
          <a:fillRect/>
        </a:stretch>
      </xdr:blipFill>
      <xdr:spPr>
        <a:xfrm>
          <a:off x="22278975" y="533400"/>
          <a:ext cx="8173591" cy="6411220"/>
        </a:xfrm>
        <a:prstGeom prst="rect">
          <a:avLst/>
        </a:prstGeom>
      </xdr:spPr>
    </xdr:pic>
    <xdr:clientData/>
  </xdr:twoCellAnchor>
  <xdr:twoCellAnchor editAs="oneCell">
    <xdr:from>
      <xdr:col>36</xdr:col>
      <xdr:colOff>123825</xdr:colOff>
      <xdr:row>20</xdr:row>
      <xdr:rowOff>152400</xdr:rowOff>
    </xdr:from>
    <xdr:to>
      <xdr:col>42</xdr:col>
      <xdr:colOff>566599</xdr:colOff>
      <xdr:row>26</xdr:row>
      <xdr:rowOff>163020</xdr:rowOff>
    </xdr:to>
    <xdr:sp macro="" textlink="">
      <xdr:nvSpPr>
        <xdr:cNvPr id="56" name="線吹き出し 1 (枠付き) 65">
          <a:extLst>
            <a:ext uri="{FF2B5EF4-FFF2-40B4-BE49-F238E27FC236}">
              <a16:creationId xmlns:a16="http://schemas.microsoft.com/office/drawing/2014/main" id="{8CBBCA39-BEFD-47C5-A800-29C048B0ADED}"/>
            </a:ext>
          </a:extLst>
        </xdr:cNvPr>
        <xdr:cNvSpPr/>
      </xdr:nvSpPr>
      <xdr:spPr>
        <a:xfrm>
          <a:off x="32546925" y="6591300"/>
          <a:ext cx="4500424" cy="1039320"/>
        </a:xfrm>
        <a:prstGeom prst="borderCallout1">
          <a:avLst>
            <a:gd name="adj1" fmla="val 50084"/>
            <a:gd name="adj2" fmla="val -239"/>
            <a:gd name="adj3" fmla="val -267310"/>
            <a:gd name="adj4" fmla="val -475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実施対象となる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638175</xdr:colOff>
      <xdr:row>8</xdr:row>
      <xdr:rowOff>1438274</xdr:rowOff>
    </xdr:from>
    <xdr:to>
      <xdr:col>33</xdr:col>
      <xdr:colOff>9525</xdr:colOff>
      <xdr:row>8</xdr:row>
      <xdr:rowOff>1695449</xdr:rowOff>
    </xdr:to>
    <xdr:sp macro="" textlink="">
      <xdr:nvSpPr>
        <xdr:cNvPr id="58" name="正方形/長方形 57">
          <a:extLst>
            <a:ext uri="{FF2B5EF4-FFF2-40B4-BE49-F238E27FC236}">
              <a16:creationId xmlns:a16="http://schemas.microsoft.com/office/drawing/2014/main" id="{C6B067A7-2316-4286-B1A2-811137916BC2}"/>
            </a:ext>
          </a:extLst>
        </xdr:cNvPr>
        <xdr:cNvSpPr/>
      </xdr:nvSpPr>
      <xdr:spPr>
        <a:xfrm>
          <a:off x="22917150" y="3019424"/>
          <a:ext cx="7486650" cy="2571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628650</xdr:colOff>
      <xdr:row>9</xdr:row>
      <xdr:rowOff>57149</xdr:rowOff>
    </xdr:from>
    <xdr:to>
      <xdr:col>33</xdr:col>
      <xdr:colOff>0</xdr:colOff>
      <xdr:row>9</xdr:row>
      <xdr:rowOff>314324</xdr:rowOff>
    </xdr:to>
    <xdr:sp macro="" textlink="">
      <xdr:nvSpPr>
        <xdr:cNvPr id="59" name="正方形/長方形 58">
          <a:extLst>
            <a:ext uri="{FF2B5EF4-FFF2-40B4-BE49-F238E27FC236}">
              <a16:creationId xmlns:a16="http://schemas.microsoft.com/office/drawing/2014/main" id="{5FC23EF3-C0BA-4550-9A26-1DCB5FD705F8}"/>
            </a:ext>
          </a:extLst>
        </xdr:cNvPr>
        <xdr:cNvSpPr/>
      </xdr:nvSpPr>
      <xdr:spPr>
        <a:xfrm>
          <a:off x="22907625" y="3657599"/>
          <a:ext cx="7486650" cy="2571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571500</xdr:colOff>
      <xdr:row>36</xdr:row>
      <xdr:rowOff>161924</xdr:rowOff>
    </xdr:from>
    <xdr:to>
      <xdr:col>32</xdr:col>
      <xdr:colOff>619125</xdr:colOff>
      <xdr:row>38</xdr:row>
      <xdr:rowOff>28575</xdr:rowOff>
    </xdr:to>
    <xdr:sp macro="" textlink="">
      <xdr:nvSpPr>
        <xdr:cNvPr id="60" name="正方形/長方形 59">
          <a:extLst>
            <a:ext uri="{FF2B5EF4-FFF2-40B4-BE49-F238E27FC236}">
              <a16:creationId xmlns:a16="http://schemas.microsoft.com/office/drawing/2014/main" id="{9F7D5EB5-FF1A-48F2-9BA1-912075245934}"/>
            </a:ext>
          </a:extLst>
        </xdr:cNvPr>
        <xdr:cNvSpPr/>
      </xdr:nvSpPr>
      <xdr:spPr>
        <a:xfrm>
          <a:off x="22850475" y="9391649"/>
          <a:ext cx="7486650" cy="2095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542925</xdr:colOff>
      <xdr:row>40</xdr:row>
      <xdr:rowOff>114299</xdr:rowOff>
    </xdr:from>
    <xdr:to>
      <xdr:col>32</xdr:col>
      <xdr:colOff>590550</xdr:colOff>
      <xdr:row>41</xdr:row>
      <xdr:rowOff>152400</xdr:rowOff>
    </xdr:to>
    <xdr:sp macro="" textlink="">
      <xdr:nvSpPr>
        <xdr:cNvPr id="61" name="正方形/長方形 60">
          <a:extLst>
            <a:ext uri="{FF2B5EF4-FFF2-40B4-BE49-F238E27FC236}">
              <a16:creationId xmlns:a16="http://schemas.microsoft.com/office/drawing/2014/main" id="{79E50E4A-73B3-4A82-BFE2-63AFF6BF1EF5}"/>
            </a:ext>
          </a:extLst>
        </xdr:cNvPr>
        <xdr:cNvSpPr/>
      </xdr:nvSpPr>
      <xdr:spPr>
        <a:xfrm>
          <a:off x="22821900" y="10029824"/>
          <a:ext cx="7486650" cy="2095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9525</xdr:colOff>
      <xdr:row>8</xdr:row>
      <xdr:rowOff>1566862</xdr:rowOff>
    </xdr:from>
    <xdr:to>
      <xdr:col>36</xdr:col>
      <xdr:colOff>123825</xdr:colOff>
      <xdr:row>23</xdr:row>
      <xdr:rowOff>157710</xdr:rowOff>
    </xdr:to>
    <xdr:cxnSp macro="">
      <xdr:nvCxnSpPr>
        <xdr:cNvPr id="62" name="直線コネクタ 61">
          <a:extLst>
            <a:ext uri="{FF2B5EF4-FFF2-40B4-BE49-F238E27FC236}">
              <a16:creationId xmlns:a16="http://schemas.microsoft.com/office/drawing/2014/main" id="{09D91336-7E86-4324-812D-F4FB1B0FAADC}"/>
            </a:ext>
          </a:extLst>
        </xdr:cNvPr>
        <xdr:cNvCxnSpPr>
          <a:stCxn id="56" idx="2"/>
          <a:endCxn id="58" idx="3"/>
        </xdr:cNvCxnSpPr>
      </xdr:nvCxnSpPr>
      <xdr:spPr>
        <a:xfrm flipH="1" flipV="1">
          <a:off x="30403800" y="3148012"/>
          <a:ext cx="2143125" cy="3962948"/>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590550</xdr:colOff>
      <xdr:row>23</xdr:row>
      <xdr:rowOff>157710</xdr:rowOff>
    </xdr:from>
    <xdr:to>
      <xdr:col>36</xdr:col>
      <xdr:colOff>123825</xdr:colOff>
      <xdr:row>41</xdr:row>
      <xdr:rowOff>47625</xdr:rowOff>
    </xdr:to>
    <xdr:cxnSp macro="">
      <xdr:nvCxnSpPr>
        <xdr:cNvPr id="68" name="直線コネクタ 67">
          <a:extLst>
            <a:ext uri="{FF2B5EF4-FFF2-40B4-BE49-F238E27FC236}">
              <a16:creationId xmlns:a16="http://schemas.microsoft.com/office/drawing/2014/main" id="{3C3E0501-4C7C-46BA-8C22-C0D927F07E7F}"/>
            </a:ext>
          </a:extLst>
        </xdr:cNvPr>
        <xdr:cNvCxnSpPr>
          <a:stCxn id="56" idx="2"/>
          <a:endCxn id="61" idx="3"/>
        </xdr:cNvCxnSpPr>
      </xdr:nvCxnSpPr>
      <xdr:spPr>
        <a:xfrm flipH="1">
          <a:off x="30308550" y="7110960"/>
          <a:ext cx="2238375" cy="3023640"/>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619125</xdr:colOff>
      <xdr:row>23</xdr:row>
      <xdr:rowOff>157710</xdr:rowOff>
    </xdr:from>
    <xdr:to>
      <xdr:col>36</xdr:col>
      <xdr:colOff>123825</xdr:colOff>
      <xdr:row>37</xdr:row>
      <xdr:rowOff>95250</xdr:rowOff>
    </xdr:to>
    <xdr:cxnSp macro="">
      <xdr:nvCxnSpPr>
        <xdr:cNvPr id="75" name="直線コネクタ 74">
          <a:extLst>
            <a:ext uri="{FF2B5EF4-FFF2-40B4-BE49-F238E27FC236}">
              <a16:creationId xmlns:a16="http://schemas.microsoft.com/office/drawing/2014/main" id="{DF6C729E-6ACC-4446-A272-5CCCBFEB53E4}"/>
            </a:ext>
          </a:extLst>
        </xdr:cNvPr>
        <xdr:cNvCxnSpPr>
          <a:stCxn id="56" idx="2"/>
          <a:endCxn id="60" idx="3"/>
        </xdr:cNvCxnSpPr>
      </xdr:nvCxnSpPr>
      <xdr:spPr>
        <a:xfrm flipH="1">
          <a:off x="30337125" y="7110960"/>
          <a:ext cx="2209800" cy="2385465"/>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69</xdr:row>
      <xdr:rowOff>0</xdr:rowOff>
    </xdr:from>
    <xdr:to>
      <xdr:col>32</xdr:col>
      <xdr:colOff>553565</xdr:colOff>
      <xdr:row>110</xdr:row>
      <xdr:rowOff>29560</xdr:rowOff>
    </xdr:to>
    <xdr:pic>
      <xdr:nvPicPr>
        <xdr:cNvPr id="33" name="図 32">
          <a:extLst>
            <a:ext uri="{FF2B5EF4-FFF2-40B4-BE49-F238E27FC236}">
              <a16:creationId xmlns:a16="http://schemas.microsoft.com/office/drawing/2014/main" id="{0B17F8B6-3137-4336-BB32-6AEB09A7C302}"/>
            </a:ext>
          </a:extLst>
        </xdr:cNvPr>
        <xdr:cNvPicPr>
          <a:picLocks noChangeAspect="1"/>
        </xdr:cNvPicPr>
      </xdr:nvPicPr>
      <xdr:blipFill>
        <a:blip xmlns:r="http://schemas.openxmlformats.org/officeDocument/2006/relationships" r:embed="rId5"/>
        <a:stretch>
          <a:fillRect/>
        </a:stretch>
      </xdr:blipFill>
      <xdr:spPr>
        <a:xfrm>
          <a:off x="22278975" y="14887575"/>
          <a:ext cx="7992590" cy="7059010"/>
        </a:xfrm>
        <a:prstGeom prst="rect">
          <a:avLst/>
        </a:prstGeom>
      </xdr:spPr>
    </xdr:pic>
    <xdr:clientData/>
  </xdr:twoCellAnchor>
  <xdr:twoCellAnchor editAs="oneCell">
    <xdr:from>
      <xdr:col>20</xdr:col>
      <xdr:colOff>647700</xdr:colOff>
      <xdr:row>99</xdr:row>
      <xdr:rowOff>57150</xdr:rowOff>
    </xdr:from>
    <xdr:to>
      <xdr:col>32</xdr:col>
      <xdr:colOff>628650</xdr:colOff>
      <xdr:row>122</xdr:row>
      <xdr:rowOff>161925</xdr:rowOff>
    </xdr:to>
    <xdr:sp macro="" textlink="">
      <xdr:nvSpPr>
        <xdr:cNvPr id="84" name="正方形/長方形 83">
          <a:extLst>
            <a:ext uri="{FF2B5EF4-FFF2-40B4-BE49-F238E27FC236}">
              <a16:creationId xmlns:a16="http://schemas.microsoft.com/office/drawing/2014/main" id="{FB6A2565-00D9-4A2C-8739-BDFE5380BAC8}"/>
            </a:ext>
          </a:extLst>
        </xdr:cNvPr>
        <xdr:cNvSpPr/>
      </xdr:nvSpPr>
      <xdr:spPr>
        <a:xfrm>
          <a:off x="22250400" y="20088225"/>
          <a:ext cx="8096250" cy="40481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0</xdr:colOff>
      <xdr:row>104</xdr:row>
      <xdr:rowOff>0</xdr:rowOff>
    </xdr:from>
    <xdr:to>
      <xdr:col>36</xdr:col>
      <xdr:colOff>371475</xdr:colOff>
      <xdr:row>107</xdr:row>
      <xdr:rowOff>133350</xdr:rowOff>
    </xdr:to>
    <xdr:sp macro="" textlink="">
      <xdr:nvSpPr>
        <xdr:cNvPr id="85" name="線吹き出し 1 (枠付き) 65">
          <a:extLst>
            <a:ext uri="{FF2B5EF4-FFF2-40B4-BE49-F238E27FC236}">
              <a16:creationId xmlns:a16="http://schemas.microsoft.com/office/drawing/2014/main" id="{7F5757F7-1A70-48EB-8E7B-D0A222EF0E98}"/>
            </a:ext>
          </a:extLst>
        </xdr:cNvPr>
        <xdr:cNvSpPr/>
      </xdr:nvSpPr>
      <xdr:spPr>
        <a:xfrm>
          <a:off x="31070550" y="20888325"/>
          <a:ext cx="1724025" cy="647700"/>
        </a:xfrm>
        <a:prstGeom prst="borderCallout1">
          <a:avLst>
            <a:gd name="adj1" fmla="val 50084"/>
            <a:gd name="adj2" fmla="val -239"/>
            <a:gd name="adj3" fmla="val 17711"/>
            <a:gd name="adj4" fmla="val -40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438150</xdr:colOff>
      <xdr:row>151</xdr:row>
      <xdr:rowOff>28575</xdr:rowOff>
    </xdr:from>
    <xdr:to>
      <xdr:col>33</xdr:col>
      <xdr:colOff>104774</xdr:colOff>
      <xdr:row>152</xdr:row>
      <xdr:rowOff>47625</xdr:rowOff>
    </xdr:to>
    <xdr:sp macro="" textlink="">
      <xdr:nvSpPr>
        <xdr:cNvPr id="89" name="正方形/長方形 88">
          <a:extLst>
            <a:ext uri="{FF2B5EF4-FFF2-40B4-BE49-F238E27FC236}">
              <a16:creationId xmlns:a16="http://schemas.microsoft.com/office/drawing/2014/main" id="{15C03615-1BA7-4FE5-B160-B2B5F60D2771}"/>
            </a:ext>
          </a:extLst>
        </xdr:cNvPr>
        <xdr:cNvSpPr/>
      </xdr:nvSpPr>
      <xdr:spPr>
        <a:xfrm>
          <a:off x="22717125" y="28975050"/>
          <a:ext cx="778192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419100</xdr:colOff>
      <xdr:row>147</xdr:row>
      <xdr:rowOff>66675</xdr:rowOff>
    </xdr:from>
    <xdr:to>
      <xdr:col>33</xdr:col>
      <xdr:colOff>85724</xdr:colOff>
      <xdr:row>148</xdr:row>
      <xdr:rowOff>114300</xdr:rowOff>
    </xdr:to>
    <xdr:sp macro="" textlink="">
      <xdr:nvSpPr>
        <xdr:cNvPr id="90" name="正方形/長方形 89">
          <a:extLst>
            <a:ext uri="{FF2B5EF4-FFF2-40B4-BE49-F238E27FC236}">
              <a16:creationId xmlns:a16="http://schemas.microsoft.com/office/drawing/2014/main" id="{C302CDAE-0E3A-4B27-981E-1C58F75B66AC}"/>
            </a:ext>
          </a:extLst>
        </xdr:cNvPr>
        <xdr:cNvSpPr/>
      </xdr:nvSpPr>
      <xdr:spPr>
        <a:xfrm>
          <a:off x="22698075" y="28327350"/>
          <a:ext cx="7781924"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276225</xdr:colOff>
      <xdr:row>148</xdr:row>
      <xdr:rowOff>47625</xdr:rowOff>
    </xdr:from>
    <xdr:to>
      <xdr:col>40</xdr:col>
      <xdr:colOff>238125</xdr:colOff>
      <xdr:row>151</xdr:row>
      <xdr:rowOff>28575</xdr:rowOff>
    </xdr:to>
    <xdr:sp macro="" textlink="">
      <xdr:nvSpPr>
        <xdr:cNvPr id="93" name="線吹き出し 1 (枠付き) 97">
          <a:extLst>
            <a:ext uri="{FF2B5EF4-FFF2-40B4-BE49-F238E27FC236}">
              <a16:creationId xmlns:a16="http://schemas.microsoft.com/office/drawing/2014/main" id="{08F9A1B7-406B-4FF9-A6E8-CE094B9B3219}"/>
            </a:ext>
          </a:extLst>
        </xdr:cNvPr>
        <xdr:cNvSpPr/>
      </xdr:nvSpPr>
      <xdr:spPr>
        <a:xfrm>
          <a:off x="32023050" y="28479750"/>
          <a:ext cx="3343275" cy="495300"/>
        </a:xfrm>
        <a:prstGeom prst="borderCallout1">
          <a:avLst>
            <a:gd name="adj1" fmla="val 50084"/>
            <a:gd name="adj2" fmla="val -239"/>
            <a:gd name="adj3" fmla="val 109181"/>
            <a:gd name="adj4" fmla="val -45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実施対象となる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信号の初期値は非表示</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85724</xdr:colOff>
      <xdr:row>148</xdr:row>
      <xdr:rowOff>4763</xdr:rowOff>
    </xdr:from>
    <xdr:to>
      <xdr:col>35</xdr:col>
      <xdr:colOff>276225</xdr:colOff>
      <xdr:row>149</xdr:row>
      <xdr:rowOff>123825</xdr:rowOff>
    </xdr:to>
    <xdr:cxnSp macro="">
      <xdr:nvCxnSpPr>
        <xdr:cNvPr id="100" name="直線コネクタ 99">
          <a:extLst>
            <a:ext uri="{FF2B5EF4-FFF2-40B4-BE49-F238E27FC236}">
              <a16:creationId xmlns:a16="http://schemas.microsoft.com/office/drawing/2014/main" id="{5533C925-0731-4478-9656-C6AD088BFBEF}"/>
            </a:ext>
          </a:extLst>
        </xdr:cNvPr>
        <xdr:cNvCxnSpPr>
          <a:stCxn id="93" idx="2"/>
          <a:endCxn id="90" idx="3"/>
        </xdr:cNvCxnSpPr>
      </xdr:nvCxnSpPr>
      <xdr:spPr>
        <a:xfrm flipH="1" flipV="1">
          <a:off x="30479999" y="28436888"/>
          <a:ext cx="1543051" cy="290512"/>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177</xdr:row>
      <xdr:rowOff>0</xdr:rowOff>
    </xdr:from>
    <xdr:to>
      <xdr:col>32</xdr:col>
      <xdr:colOff>353512</xdr:colOff>
      <xdr:row>203</xdr:row>
      <xdr:rowOff>105412</xdr:rowOff>
    </xdr:to>
    <xdr:pic>
      <xdr:nvPicPr>
        <xdr:cNvPr id="76" name="図 75">
          <a:extLst>
            <a:ext uri="{FF2B5EF4-FFF2-40B4-BE49-F238E27FC236}">
              <a16:creationId xmlns:a16="http://schemas.microsoft.com/office/drawing/2014/main" id="{12F42AEF-D731-4EAF-8C96-CC006346FB5E}"/>
            </a:ext>
          </a:extLst>
        </xdr:cNvPr>
        <xdr:cNvPicPr>
          <a:picLocks noChangeAspect="1"/>
        </xdr:cNvPicPr>
      </xdr:nvPicPr>
      <xdr:blipFill>
        <a:blip xmlns:r="http://schemas.openxmlformats.org/officeDocument/2006/relationships" r:embed="rId6"/>
        <a:stretch>
          <a:fillRect/>
        </a:stretch>
      </xdr:blipFill>
      <xdr:spPr>
        <a:xfrm>
          <a:off x="22278975" y="33404175"/>
          <a:ext cx="7792537" cy="4563112"/>
        </a:xfrm>
        <a:prstGeom prst="rect">
          <a:avLst/>
        </a:prstGeom>
      </xdr:spPr>
    </xdr:pic>
    <xdr:clientData/>
  </xdr:twoCellAnchor>
  <xdr:twoCellAnchor editAs="oneCell">
    <xdr:from>
      <xdr:col>33</xdr:col>
      <xdr:colOff>0</xdr:colOff>
      <xdr:row>177</xdr:row>
      <xdr:rowOff>0</xdr:rowOff>
    </xdr:from>
    <xdr:to>
      <xdr:col>44</xdr:col>
      <xdr:colOff>410670</xdr:colOff>
      <xdr:row>204</xdr:row>
      <xdr:rowOff>153067</xdr:rowOff>
    </xdr:to>
    <xdr:pic>
      <xdr:nvPicPr>
        <xdr:cNvPr id="78" name="図 77">
          <a:extLst>
            <a:ext uri="{FF2B5EF4-FFF2-40B4-BE49-F238E27FC236}">
              <a16:creationId xmlns:a16="http://schemas.microsoft.com/office/drawing/2014/main" id="{381A6400-DD06-463E-84B1-E21847CBB3BD}"/>
            </a:ext>
          </a:extLst>
        </xdr:cNvPr>
        <xdr:cNvPicPr>
          <a:picLocks noChangeAspect="1"/>
        </xdr:cNvPicPr>
      </xdr:nvPicPr>
      <xdr:blipFill>
        <a:blip xmlns:r="http://schemas.openxmlformats.org/officeDocument/2006/relationships" r:embed="rId7"/>
        <a:stretch>
          <a:fillRect/>
        </a:stretch>
      </xdr:blipFill>
      <xdr:spPr>
        <a:xfrm>
          <a:off x="30394275" y="33404175"/>
          <a:ext cx="7849695" cy="4782217"/>
        </a:xfrm>
        <a:prstGeom prst="rect">
          <a:avLst/>
        </a:prstGeom>
      </xdr:spPr>
    </xdr:pic>
    <xdr:clientData/>
  </xdr:twoCellAnchor>
  <xdr:twoCellAnchor editAs="oneCell">
    <xdr:from>
      <xdr:col>20</xdr:col>
      <xdr:colOff>537884</xdr:colOff>
      <xdr:row>176</xdr:row>
      <xdr:rowOff>89648</xdr:rowOff>
    </xdr:from>
    <xdr:to>
      <xdr:col>56</xdr:col>
      <xdr:colOff>33618</xdr:colOff>
      <xdr:row>210</xdr:row>
      <xdr:rowOff>156882</xdr:rowOff>
    </xdr:to>
    <xdr:sp macro="" textlink="">
      <xdr:nvSpPr>
        <xdr:cNvPr id="101" name="正方形/長方形 100">
          <a:extLst>
            <a:ext uri="{FF2B5EF4-FFF2-40B4-BE49-F238E27FC236}">
              <a16:creationId xmlns:a16="http://schemas.microsoft.com/office/drawing/2014/main" id="{EF0DC2A5-D4B4-43E9-8285-6E6FD0FE237F}"/>
            </a:ext>
          </a:extLst>
        </xdr:cNvPr>
        <xdr:cNvSpPr/>
      </xdr:nvSpPr>
      <xdr:spPr>
        <a:xfrm>
          <a:off x="22131619" y="32766001"/>
          <a:ext cx="23700440" cy="57822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0</xdr:colOff>
      <xdr:row>177</xdr:row>
      <xdr:rowOff>0</xdr:rowOff>
    </xdr:from>
    <xdr:to>
      <xdr:col>56</xdr:col>
      <xdr:colOff>6076</xdr:colOff>
      <xdr:row>210</xdr:row>
      <xdr:rowOff>6938</xdr:rowOff>
    </xdr:to>
    <xdr:pic>
      <xdr:nvPicPr>
        <xdr:cNvPr id="79" name="図 78">
          <a:extLst>
            <a:ext uri="{FF2B5EF4-FFF2-40B4-BE49-F238E27FC236}">
              <a16:creationId xmlns:a16="http://schemas.microsoft.com/office/drawing/2014/main" id="{31029D31-BDB4-497F-8D6D-C60A8FB725D9}"/>
            </a:ext>
          </a:extLst>
        </xdr:cNvPr>
        <xdr:cNvPicPr>
          <a:picLocks noChangeAspect="1"/>
        </xdr:cNvPicPr>
      </xdr:nvPicPr>
      <xdr:blipFill>
        <a:blip xmlns:r="http://schemas.openxmlformats.org/officeDocument/2006/relationships" r:embed="rId8"/>
        <a:stretch>
          <a:fillRect/>
        </a:stretch>
      </xdr:blipFill>
      <xdr:spPr>
        <a:xfrm>
          <a:off x="38402559" y="32844441"/>
          <a:ext cx="7401958" cy="5553850"/>
        </a:xfrm>
        <a:prstGeom prst="rect">
          <a:avLst/>
        </a:prstGeom>
      </xdr:spPr>
    </xdr:pic>
    <xdr:clientData/>
  </xdr:twoCellAnchor>
  <xdr:twoCellAnchor editAs="oneCell">
    <xdr:from>
      <xdr:col>15</xdr:col>
      <xdr:colOff>605118</xdr:colOff>
      <xdr:row>191</xdr:row>
      <xdr:rowOff>145678</xdr:rowOff>
    </xdr:from>
    <xdr:to>
      <xdr:col>18</xdr:col>
      <xdr:colOff>365313</xdr:colOff>
      <xdr:row>194</xdr:row>
      <xdr:rowOff>126628</xdr:rowOff>
    </xdr:to>
    <xdr:sp macro="" textlink="">
      <xdr:nvSpPr>
        <xdr:cNvPr id="103" name="線吹き出し 1 (枠付き) 97">
          <a:extLst>
            <a:ext uri="{FF2B5EF4-FFF2-40B4-BE49-F238E27FC236}">
              <a16:creationId xmlns:a16="http://schemas.microsoft.com/office/drawing/2014/main" id="{34DE1941-3ED3-4006-832C-3A4DE1F88D98}"/>
            </a:ext>
          </a:extLst>
        </xdr:cNvPr>
        <xdr:cNvSpPr/>
      </xdr:nvSpPr>
      <xdr:spPr>
        <a:xfrm>
          <a:off x="17290677" y="35343354"/>
          <a:ext cx="3323665" cy="485215"/>
        </a:xfrm>
        <a:prstGeom prst="borderCallout1">
          <a:avLst>
            <a:gd name="adj1" fmla="val 57012"/>
            <a:gd name="adj2" fmla="val 99896"/>
            <a:gd name="adj3" fmla="val -40935"/>
            <a:gd name="adj4" fmla="val 145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213</xdr:row>
      <xdr:rowOff>0</xdr:rowOff>
    </xdr:from>
    <xdr:to>
      <xdr:col>32</xdr:col>
      <xdr:colOff>499135</xdr:colOff>
      <xdr:row>256</xdr:row>
      <xdr:rowOff>33723</xdr:rowOff>
    </xdr:to>
    <xdr:pic>
      <xdr:nvPicPr>
        <xdr:cNvPr id="80" name="図 79">
          <a:extLst>
            <a:ext uri="{FF2B5EF4-FFF2-40B4-BE49-F238E27FC236}">
              <a16:creationId xmlns:a16="http://schemas.microsoft.com/office/drawing/2014/main" id="{5E08040A-1627-4C34-B81A-AC221C9FB0C2}"/>
            </a:ext>
          </a:extLst>
        </xdr:cNvPr>
        <xdr:cNvPicPr>
          <a:picLocks noChangeAspect="1"/>
        </xdr:cNvPicPr>
      </xdr:nvPicPr>
      <xdr:blipFill>
        <a:blip xmlns:r="http://schemas.openxmlformats.org/officeDocument/2006/relationships" r:embed="rId9"/>
        <a:stretch>
          <a:fillRect/>
        </a:stretch>
      </xdr:blipFill>
      <xdr:spPr>
        <a:xfrm>
          <a:off x="22315714" y="40658143"/>
          <a:ext cx="7983064" cy="7640116"/>
        </a:xfrm>
        <a:prstGeom prst="rect">
          <a:avLst/>
        </a:prstGeom>
      </xdr:spPr>
    </xdr:pic>
    <xdr:clientData/>
  </xdr:twoCellAnchor>
  <xdr:twoCellAnchor editAs="oneCell">
    <xdr:from>
      <xdr:col>33</xdr:col>
      <xdr:colOff>0</xdr:colOff>
      <xdr:row>213</xdr:row>
      <xdr:rowOff>0</xdr:rowOff>
    </xdr:from>
    <xdr:to>
      <xdr:col>44</xdr:col>
      <xdr:colOff>108556</xdr:colOff>
      <xdr:row>246</xdr:row>
      <xdr:rowOff>173650</xdr:rowOff>
    </xdr:to>
    <xdr:pic>
      <xdr:nvPicPr>
        <xdr:cNvPr id="81" name="図 80">
          <a:extLst>
            <a:ext uri="{FF2B5EF4-FFF2-40B4-BE49-F238E27FC236}">
              <a16:creationId xmlns:a16="http://schemas.microsoft.com/office/drawing/2014/main" id="{B1C4861B-7580-408F-A8C4-E92C2307B4F9}"/>
            </a:ext>
          </a:extLst>
        </xdr:cNvPr>
        <xdr:cNvPicPr>
          <a:picLocks noChangeAspect="1"/>
        </xdr:cNvPicPr>
      </xdr:nvPicPr>
      <xdr:blipFill>
        <a:blip xmlns:r="http://schemas.openxmlformats.org/officeDocument/2006/relationships" r:embed="rId10"/>
        <a:stretch>
          <a:fillRect/>
        </a:stretch>
      </xdr:blipFill>
      <xdr:spPr>
        <a:xfrm>
          <a:off x="30480000" y="40658143"/>
          <a:ext cx="7592485" cy="6011114"/>
        </a:xfrm>
        <a:prstGeom prst="rect">
          <a:avLst/>
        </a:prstGeom>
      </xdr:spPr>
    </xdr:pic>
    <xdr:clientData/>
  </xdr:twoCellAnchor>
  <xdr:twoCellAnchor editAs="oneCell">
    <xdr:from>
      <xdr:col>45</xdr:col>
      <xdr:colOff>0</xdr:colOff>
      <xdr:row>213</xdr:row>
      <xdr:rowOff>0</xdr:rowOff>
    </xdr:from>
    <xdr:to>
      <xdr:col>55</xdr:col>
      <xdr:colOff>674598</xdr:colOff>
      <xdr:row>239</xdr:row>
      <xdr:rowOff>116319</xdr:rowOff>
    </xdr:to>
    <xdr:pic>
      <xdr:nvPicPr>
        <xdr:cNvPr id="83" name="図 82">
          <a:extLst>
            <a:ext uri="{FF2B5EF4-FFF2-40B4-BE49-F238E27FC236}">
              <a16:creationId xmlns:a16="http://schemas.microsoft.com/office/drawing/2014/main" id="{2AC8B3E8-29B0-4475-9659-FC716FBB47B9}"/>
            </a:ext>
          </a:extLst>
        </xdr:cNvPr>
        <xdr:cNvPicPr>
          <a:picLocks noChangeAspect="1"/>
        </xdr:cNvPicPr>
      </xdr:nvPicPr>
      <xdr:blipFill>
        <a:blip xmlns:r="http://schemas.openxmlformats.org/officeDocument/2006/relationships" r:embed="rId11"/>
        <a:stretch>
          <a:fillRect/>
        </a:stretch>
      </xdr:blipFill>
      <xdr:spPr>
        <a:xfrm>
          <a:off x="38644286" y="40658143"/>
          <a:ext cx="7478169" cy="4715533"/>
        </a:xfrm>
        <a:prstGeom prst="rect">
          <a:avLst/>
        </a:prstGeom>
      </xdr:spPr>
    </xdr:pic>
    <xdr:clientData/>
  </xdr:twoCellAnchor>
  <xdr:twoCellAnchor editAs="oneCell">
    <xdr:from>
      <xdr:col>45</xdr:col>
      <xdr:colOff>0</xdr:colOff>
      <xdr:row>241</xdr:row>
      <xdr:rowOff>0</xdr:rowOff>
    </xdr:from>
    <xdr:to>
      <xdr:col>56</xdr:col>
      <xdr:colOff>99030</xdr:colOff>
      <xdr:row>259</xdr:row>
      <xdr:rowOff>140618</xdr:rowOff>
    </xdr:to>
    <xdr:pic>
      <xdr:nvPicPr>
        <xdr:cNvPr id="86" name="図 85">
          <a:extLst>
            <a:ext uri="{FF2B5EF4-FFF2-40B4-BE49-F238E27FC236}">
              <a16:creationId xmlns:a16="http://schemas.microsoft.com/office/drawing/2014/main" id="{3A97455F-3055-40A1-9927-E3725D439DDC}"/>
            </a:ext>
          </a:extLst>
        </xdr:cNvPr>
        <xdr:cNvPicPr>
          <a:picLocks noChangeAspect="1"/>
        </xdr:cNvPicPr>
      </xdr:nvPicPr>
      <xdr:blipFill>
        <a:blip xmlns:r="http://schemas.openxmlformats.org/officeDocument/2006/relationships" r:embed="rId12"/>
        <a:stretch>
          <a:fillRect/>
        </a:stretch>
      </xdr:blipFill>
      <xdr:spPr>
        <a:xfrm>
          <a:off x="38644286" y="45611143"/>
          <a:ext cx="7582958" cy="3324689"/>
        </a:xfrm>
        <a:prstGeom prst="rect">
          <a:avLst/>
        </a:prstGeom>
      </xdr:spPr>
    </xdr:pic>
    <xdr:clientData/>
  </xdr:twoCellAnchor>
  <xdr:twoCellAnchor editAs="oneCell">
    <xdr:from>
      <xdr:col>20</xdr:col>
      <xdr:colOff>503463</xdr:colOff>
      <xdr:row>212</xdr:row>
      <xdr:rowOff>136071</xdr:rowOff>
    </xdr:from>
    <xdr:to>
      <xdr:col>44</xdr:col>
      <xdr:colOff>272142</xdr:colOff>
      <xdr:row>258</xdr:row>
      <xdr:rowOff>0</xdr:rowOff>
    </xdr:to>
    <xdr:sp macro="" textlink="">
      <xdr:nvSpPr>
        <xdr:cNvPr id="108" name="正方形/長方形 107">
          <a:extLst>
            <a:ext uri="{FF2B5EF4-FFF2-40B4-BE49-F238E27FC236}">
              <a16:creationId xmlns:a16="http://schemas.microsoft.com/office/drawing/2014/main" id="{0A73E2E0-1616-4DDE-8B9E-8982D881B8D2}"/>
            </a:ext>
          </a:extLst>
        </xdr:cNvPr>
        <xdr:cNvSpPr/>
      </xdr:nvSpPr>
      <xdr:spPr>
        <a:xfrm>
          <a:off x="22138820" y="40617321"/>
          <a:ext cx="16097251" cy="800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884464</xdr:colOff>
      <xdr:row>227</xdr:row>
      <xdr:rowOff>81643</xdr:rowOff>
    </xdr:from>
    <xdr:to>
      <xdr:col>18</xdr:col>
      <xdr:colOff>644659</xdr:colOff>
      <xdr:row>230</xdr:row>
      <xdr:rowOff>62594</xdr:rowOff>
    </xdr:to>
    <xdr:sp macro="" textlink="">
      <xdr:nvSpPr>
        <xdr:cNvPr id="109" name="線吹き出し 1 (枠付き) 97">
          <a:extLst>
            <a:ext uri="{FF2B5EF4-FFF2-40B4-BE49-F238E27FC236}">
              <a16:creationId xmlns:a16="http://schemas.microsoft.com/office/drawing/2014/main" id="{7220DD6F-D505-4778-AA7C-6395380760D6}"/>
            </a:ext>
          </a:extLst>
        </xdr:cNvPr>
        <xdr:cNvSpPr/>
      </xdr:nvSpPr>
      <xdr:spPr>
        <a:xfrm>
          <a:off x="17594035" y="43216286"/>
          <a:ext cx="3325267" cy="511629"/>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44</xdr:col>
      <xdr:colOff>625929</xdr:colOff>
      <xdr:row>212</xdr:row>
      <xdr:rowOff>0</xdr:rowOff>
    </xdr:from>
    <xdr:to>
      <xdr:col>56</xdr:col>
      <xdr:colOff>108858</xdr:colOff>
      <xdr:row>240</xdr:row>
      <xdr:rowOff>81643</xdr:rowOff>
    </xdr:to>
    <xdr:sp macro="" textlink="">
      <xdr:nvSpPr>
        <xdr:cNvPr id="110" name="正方形/長方形 109">
          <a:extLst>
            <a:ext uri="{FF2B5EF4-FFF2-40B4-BE49-F238E27FC236}">
              <a16:creationId xmlns:a16="http://schemas.microsoft.com/office/drawing/2014/main" id="{AFA8E283-B232-4CF4-827D-5BE5D60C489B}"/>
            </a:ext>
          </a:extLst>
        </xdr:cNvPr>
        <xdr:cNvSpPr/>
      </xdr:nvSpPr>
      <xdr:spPr>
        <a:xfrm>
          <a:off x="38589858" y="40481250"/>
          <a:ext cx="7647214" cy="50346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0</xdr:colOff>
      <xdr:row>223</xdr:row>
      <xdr:rowOff>0</xdr:rowOff>
    </xdr:from>
    <xdr:to>
      <xdr:col>62</xdr:col>
      <xdr:colOff>603839</xdr:colOff>
      <xdr:row>225</xdr:row>
      <xdr:rowOff>157843</xdr:rowOff>
    </xdr:to>
    <xdr:sp macro="" textlink="">
      <xdr:nvSpPr>
        <xdr:cNvPr id="114" name="線吹き出し 1 (枠付き) 97">
          <a:extLst>
            <a:ext uri="{FF2B5EF4-FFF2-40B4-BE49-F238E27FC236}">
              <a16:creationId xmlns:a16="http://schemas.microsoft.com/office/drawing/2014/main" id="{45C35FE5-D1A2-469B-9B3B-A7039D44CCFC}"/>
            </a:ext>
          </a:extLst>
        </xdr:cNvPr>
        <xdr:cNvSpPr/>
      </xdr:nvSpPr>
      <xdr:spPr>
        <a:xfrm>
          <a:off x="47488929" y="42427071"/>
          <a:ext cx="3325267" cy="511629"/>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45</xdr:col>
      <xdr:colOff>13607</xdr:colOff>
      <xdr:row>241</xdr:row>
      <xdr:rowOff>57150</xdr:rowOff>
    </xdr:from>
    <xdr:to>
      <xdr:col>56</xdr:col>
      <xdr:colOff>261258</xdr:colOff>
      <xdr:row>253</xdr:row>
      <xdr:rowOff>122464</xdr:rowOff>
    </xdr:to>
    <xdr:sp macro="" textlink="">
      <xdr:nvSpPr>
        <xdr:cNvPr id="115" name="正方形/長方形 114">
          <a:extLst>
            <a:ext uri="{FF2B5EF4-FFF2-40B4-BE49-F238E27FC236}">
              <a16:creationId xmlns:a16="http://schemas.microsoft.com/office/drawing/2014/main" id="{8E398287-EF84-46DE-A150-720C9C1224AD}"/>
            </a:ext>
          </a:extLst>
        </xdr:cNvPr>
        <xdr:cNvSpPr/>
      </xdr:nvSpPr>
      <xdr:spPr>
        <a:xfrm flipV="1">
          <a:off x="38657893" y="45668293"/>
          <a:ext cx="7731579" cy="21880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166007</xdr:colOff>
      <xdr:row>247</xdr:row>
      <xdr:rowOff>84364</xdr:rowOff>
    </xdr:from>
    <xdr:to>
      <xdr:col>63</xdr:col>
      <xdr:colOff>89489</xdr:colOff>
      <xdr:row>250</xdr:row>
      <xdr:rowOff>65314</xdr:rowOff>
    </xdr:to>
    <xdr:sp macro="" textlink="">
      <xdr:nvSpPr>
        <xdr:cNvPr id="116" name="線吹き出し 1 (枠付き) 97">
          <a:extLst>
            <a:ext uri="{FF2B5EF4-FFF2-40B4-BE49-F238E27FC236}">
              <a16:creationId xmlns:a16="http://schemas.microsoft.com/office/drawing/2014/main" id="{EA199917-42B3-4A0B-90FA-436176869497}"/>
            </a:ext>
          </a:extLst>
        </xdr:cNvPr>
        <xdr:cNvSpPr/>
      </xdr:nvSpPr>
      <xdr:spPr>
        <a:xfrm>
          <a:off x="47654936" y="46756864"/>
          <a:ext cx="3325267" cy="511629"/>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VdsCI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261</xdr:row>
      <xdr:rowOff>0</xdr:rowOff>
    </xdr:from>
    <xdr:to>
      <xdr:col>32</xdr:col>
      <xdr:colOff>260977</xdr:colOff>
      <xdr:row>293</xdr:row>
      <xdr:rowOff>26648</xdr:rowOff>
    </xdr:to>
    <xdr:pic>
      <xdr:nvPicPr>
        <xdr:cNvPr id="87" name="図 86">
          <a:extLst>
            <a:ext uri="{FF2B5EF4-FFF2-40B4-BE49-F238E27FC236}">
              <a16:creationId xmlns:a16="http://schemas.microsoft.com/office/drawing/2014/main" id="{4865F772-71DB-4329-A753-C97A1522298A}"/>
            </a:ext>
          </a:extLst>
        </xdr:cNvPr>
        <xdr:cNvPicPr>
          <a:picLocks noChangeAspect="1"/>
        </xdr:cNvPicPr>
      </xdr:nvPicPr>
      <xdr:blipFill>
        <a:blip xmlns:r="http://schemas.openxmlformats.org/officeDocument/2006/relationships" r:embed="rId13"/>
        <a:stretch>
          <a:fillRect/>
        </a:stretch>
      </xdr:blipFill>
      <xdr:spPr>
        <a:xfrm>
          <a:off x="22315714" y="49149000"/>
          <a:ext cx="7744906" cy="5687219"/>
        </a:xfrm>
        <a:prstGeom prst="rect">
          <a:avLst/>
        </a:prstGeom>
      </xdr:spPr>
    </xdr:pic>
    <xdr:clientData/>
  </xdr:twoCellAnchor>
  <xdr:twoCellAnchor editAs="oneCell">
    <xdr:from>
      <xdr:col>33</xdr:col>
      <xdr:colOff>0</xdr:colOff>
      <xdr:row>261</xdr:row>
      <xdr:rowOff>0</xdr:rowOff>
    </xdr:from>
    <xdr:to>
      <xdr:col>43</xdr:col>
      <xdr:colOff>665071</xdr:colOff>
      <xdr:row>287</xdr:row>
      <xdr:rowOff>59161</xdr:rowOff>
    </xdr:to>
    <xdr:pic>
      <xdr:nvPicPr>
        <xdr:cNvPr id="88" name="図 87">
          <a:extLst>
            <a:ext uri="{FF2B5EF4-FFF2-40B4-BE49-F238E27FC236}">
              <a16:creationId xmlns:a16="http://schemas.microsoft.com/office/drawing/2014/main" id="{8B13F198-2413-4F37-B0A7-187D0FB9516F}"/>
            </a:ext>
          </a:extLst>
        </xdr:cNvPr>
        <xdr:cNvPicPr>
          <a:picLocks noChangeAspect="1"/>
        </xdr:cNvPicPr>
      </xdr:nvPicPr>
      <xdr:blipFill>
        <a:blip xmlns:r="http://schemas.openxmlformats.org/officeDocument/2006/relationships" r:embed="rId14"/>
        <a:stretch>
          <a:fillRect/>
        </a:stretch>
      </xdr:blipFill>
      <xdr:spPr>
        <a:xfrm>
          <a:off x="30480000" y="49149000"/>
          <a:ext cx="7468642" cy="4658375"/>
        </a:xfrm>
        <a:prstGeom prst="rect">
          <a:avLst/>
        </a:prstGeom>
      </xdr:spPr>
    </xdr:pic>
    <xdr:clientData/>
  </xdr:twoCellAnchor>
  <xdr:twoCellAnchor editAs="oneCell">
    <xdr:from>
      <xdr:col>20</xdr:col>
      <xdr:colOff>476250</xdr:colOff>
      <xdr:row>260</xdr:row>
      <xdr:rowOff>95249</xdr:rowOff>
    </xdr:from>
    <xdr:to>
      <xdr:col>44</xdr:col>
      <xdr:colOff>244929</xdr:colOff>
      <xdr:row>294</xdr:row>
      <xdr:rowOff>81643</xdr:rowOff>
    </xdr:to>
    <xdr:sp macro="" textlink="">
      <xdr:nvSpPr>
        <xdr:cNvPr id="118" name="正方形/長方形 117">
          <a:extLst>
            <a:ext uri="{FF2B5EF4-FFF2-40B4-BE49-F238E27FC236}">
              <a16:creationId xmlns:a16="http://schemas.microsoft.com/office/drawing/2014/main" id="{77E0DE60-8432-4B2F-A8B3-11F9D22293C9}"/>
            </a:ext>
          </a:extLst>
        </xdr:cNvPr>
        <xdr:cNvSpPr/>
      </xdr:nvSpPr>
      <xdr:spPr>
        <a:xfrm>
          <a:off x="22111607" y="49067356"/>
          <a:ext cx="16097251" cy="60007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857251</xdr:colOff>
      <xdr:row>275</xdr:row>
      <xdr:rowOff>81643</xdr:rowOff>
    </xdr:from>
    <xdr:to>
      <xdr:col>18</xdr:col>
      <xdr:colOff>617446</xdr:colOff>
      <xdr:row>278</xdr:row>
      <xdr:rowOff>62593</xdr:rowOff>
    </xdr:to>
    <xdr:sp macro="" textlink="">
      <xdr:nvSpPr>
        <xdr:cNvPr id="119" name="線吹き出し 1 (枠付き) 97">
          <a:extLst>
            <a:ext uri="{FF2B5EF4-FFF2-40B4-BE49-F238E27FC236}">
              <a16:creationId xmlns:a16="http://schemas.microsoft.com/office/drawing/2014/main" id="{2C19C784-6993-4DE4-AA0B-2921E0871579}"/>
            </a:ext>
          </a:extLst>
        </xdr:cNvPr>
        <xdr:cNvSpPr/>
      </xdr:nvSpPr>
      <xdr:spPr>
        <a:xfrm>
          <a:off x="17566822" y="51707143"/>
          <a:ext cx="3325267" cy="511629"/>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15</xdr:col>
      <xdr:colOff>891267</xdr:colOff>
      <xdr:row>328</xdr:row>
      <xdr:rowOff>3401</xdr:rowOff>
    </xdr:from>
    <xdr:to>
      <xdr:col>18</xdr:col>
      <xdr:colOff>576624</xdr:colOff>
      <xdr:row>330</xdr:row>
      <xdr:rowOff>151039</xdr:rowOff>
    </xdr:to>
    <xdr:sp macro="" textlink="">
      <xdr:nvSpPr>
        <xdr:cNvPr id="121" name="線吹き出し 1 (枠付き) 97">
          <a:extLst>
            <a:ext uri="{FF2B5EF4-FFF2-40B4-BE49-F238E27FC236}">
              <a16:creationId xmlns:a16="http://schemas.microsoft.com/office/drawing/2014/main" id="{3CEA04B2-1749-40CD-B39C-74DCCD243509}"/>
            </a:ext>
          </a:extLst>
        </xdr:cNvPr>
        <xdr:cNvSpPr/>
      </xdr:nvSpPr>
      <xdr:spPr>
        <a:xfrm>
          <a:off x="17631455" y="57796339"/>
          <a:ext cx="3257232" cy="481013"/>
        </a:xfrm>
        <a:prstGeom prst="borderCallout1">
          <a:avLst>
            <a:gd name="adj1" fmla="val 39132"/>
            <a:gd name="adj2" fmla="val 101668"/>
            <a:gd name="adj3" fmla="val -134257"/>
            <a:gd name="adj4" fmla="val 139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警告のため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298</xdr:row>
      <xdr:rowOff>0</xdr:rowOff>
    </xdr:from>
    <xdr:to>
      <xdr:col>32</xdr:col>
      <xdr:colOff>89503</xdr:colOff>
      <xdr:row>341</xdr:row>
      <xdr:rowOff>167093</xdr:rowOff>
    </xdr:to>
    <xdr:pic>
      <xdr:nvPicPr>
        <xdr:cNvPr id="123" name="図 122">
          <a:extLst>
            <a:ext uri="{FF2B5EF4-FFF2-40B4-BE49-F238E27FC236}">
              <a16:creationId xmlns:a16="http://schemas.microsoft.com/office/drawing/2014/main" id="{5F878123-7EBC-48A9-AF3A-875519A7AF26}"/>
            </a:ext>
          </a:extLst>
        </xdr:cNvPr>
        <xdr:cNvPicPr>
          <a:picLocks noChangeAspect="1"/>
        </xdr:cNvPicPr>
      </xdr:nvPicPr>
      <xdr:blipFill>
        <a:blip xmlns:r="http://schemas.openxmlformats.org/officeDocument/2006/relationships" r:embed="rId15"/>
        <a:stretch>
          <a:fillRect/>
        </a:stretch>
      </xdr:blipFill>
      <xdr:spPr>
        <a:xfrm>
          <a:off x="22315714" y="55694036"/>
          <a:ext cx="7573432" cy="7773486"/>
        </a:xfrm>
        <a:prstGeom prst="rect">
          <a:avLst/>
        </a:prstGeom>
      </xdr:spPr>
    </xdr:pic>
    <xdr:clientData/>
  </xdr:twoCellAnchor>
  <xdr:twoCellAnchor editAs="oneCell">
    <xdr:from>
      <xdr:col>33</xdr:col>
      <xdr:colOff>0</xdr:colOff>
      <xdr:row>298</xdr:row>
      <xdr:rowOff>0</xdr:rowOff>
    </xdr:from>
    <xdr:to>
      <xdr:col>44</xdr:col>
      <xdr:colOff>308608</xdr:colOff>
      <xdr:row>343</xdr:row>
      <xdr:rowOff>60991</xdr:rowOff>
    </xdr:to>
    <xdr:pic>
      <xdr:nvPicPr>
        <xdr:cNvPr id="105" name="図 104">
          <a:extLst>
            <a:ext uri="{FF2B5EF4-FFF2-40B4-BE49-F238E27FC236}">
              <a16:creationId xmlns:a16="http://schemas.microsoft.com/office/drawing/2014/main" id="{5C45A8BA-ED63-45A6-9B63-60459E397DF7}"/>
            </a:ext>
          </a:extLst>
        </xdr:cNvPr>
        <xdr:cNvPicPr>
          <a:picLocks noChangeAspect="1"/>
        </xdr:cNvPicPr>
      </xdr:nvPicPr>
      <xdr:blipFill>
        <a:blip xmlns:r="http://schemas.openxmlformats.org/officeDocument/2006/relationships" r:embed="rId16"/>
        <a:stretch>
          <a:fillRect/>
        </a:stretch>
      </xdr:blipFill>
      <xdr:spPr>
        <a:xfrm>
          <a:off x="30480000" y="55694036"/>
          <a:ext cx="7792537" cy="8021169"/>
        </a:xfrm>
        <a:prstGeom prst="rect">
          <a:avLst/>
        </a:prstGeom>
      </xdr:spPr>
    </xdr:pic>
    <xdr:clientData/>
  </xdr:twoCellAnchor>
  <xdr:twoCellAnchor editAs="oneCell">
    <xdr:from>
      <xdr:col>45</xdr:col>
      <xdr:colOff>0</xdr:colOff>
      <xdr:row>298</xdr:row>
      <xdr:rowOff>0</xdr:rowOff>
    </xdr:from>
    <xdr:to>
      <xdr:col>56</xdr:col>
      <xdr:colOff>318136</xdr:colOff>
      <xdr:row>343</xdr:row>
      <xdr:rowOff>156255</xdr:rowOff>
    </xdr:to>
    <xdr:pic>
      <xdr:nvPicPr>
        <xdr:cNvPr id="106" name="図 105">
          <a:extLst>
            <a:ext uri="{FF2B5EF4-FFF2-40B4-BE49-F238E27FC236}">
              <a16:creationId xmlns:a16="http://schemas.microsoft.com/office/drawing/2014/main" id="{190601FB-EFDE-4839-993F-3B70448C9168}"/>
            </a:ext>
          </a:extLst>
        </xdr:cNvPr>
        <xdr:cNvPicPr>
          <a:picLocks noChangeAspect="1"/>
        </xdr:cNvPicPr>
      </xdr:nvPicPr>
      <xdr:blipFill>
        <a:blip xmlns:r="http://schemas.openxmlformats.org/officeDocument/2006/relationships" r:embed="rId17"/>
        <a:stretch>
          <a:fillRect/>
        </a:stretch>
      </xdr:blipFill>
      <xdr:spPr>
        <a:xfrm>
          <a:off x="38644286" y="55694036"/>
          <a:ext cx="7802064" cy="8116433"/>
        </a:xfrm>
        <a:prstGeom prst="rect">
          <a:avLst/>
        </a:prstGeom>
      </xdr:spPr>
    </xdr:pic>
    <xdr:clientData/>
  </xdr:twoCellAnchor>
  <xdr:twoCellAnchor>
    <xdr:from>
      <xdr:col>21</xdr:col>
      <xdr:colOff>0</xdr:colOff>
      <xdr:row>343</xdr:row>
      <xdr:rowOff>0</xdr:rowOff>
    </xdr:from>
    <xdr:to>
      <xdr:col>32</xdr:col>
      <xdr:colOff>432451</xdr:colOff>
      <xdr:row>391</xdr:row>
      <xdr:rowOff>110382</xdr:rowOff>
    </xdr:to>
    <xdr:grpSp>
      <xdr:nvGrpSpPr>
        <xdr:cNvPr id="125" name="グループ化 124">
          <a:extLst>
            <a:ext uri="{FF2B5EF4-FFF2-40B4-BE49-F238E27FC236}">
              <a16:creationId xmlns:a16="http://schemas.microsoft.com/office/drawing/2014/main" id="{80899CEE-4871-4B9C-8929-2B9FDB0D8C26}"/>
            </a:ext>
          </a:extLst>
        </xdr:cNvPr>
        <xdr:cNvGrpSpPr/>
      </xdr:nvGrpSpPr>
      <xdr:grpSpPr>
        <a:xfrm>
          <a:off x="22266088" y="60747088"/>
          <a:ext cx="7828334" cy="8178618"/>
          <a:chOff x="22315714" y="63654214"/>
          <a:chExt cx="7916380" cy="8601239"/>
        </a:xfrm>
      </xdr:grpSpPr>
      <xdr:pic>
        <xdr:nvPicPr>
          <xdr:cNvPr id="107" name="図 106">
            <a:extLst>
              <a:ext uri="{FF2B5EF4-FFF2-40B4-BE49-F238E27FC236}">
                <a16:creationId xmlns:a16="http://schemas.microsoft.com/office/drawing/2014/main" id="{93ED8835-E7C0-4DD0-BC28-3E693FDC0126}"/>
              </a:ext>
            </a:extLst>
          </xdr:cNvPr>
          <xdr:cNvPicPr>
            <a:picLocks noChangeAspect="1"/>
          </xdr:cNvPicPr>
        </xdr:nvPicPr>
        <xdr:blipFill>
          <a:blip xmlns:r="http://schemas.openxmlformats.org/officeDocument/2006/relationships" r:embed="rId18"/>
          <a:stretch>
            <a:fillRect/>
          </a:stretch>
        </xdr:blipFill>
        <xdr:spPr>
          <a:xfrm>
            <a:off x="22315714" y="63654214"/>
            <a:ext cx="7916380" cy="7449590"/>
          </a:xfrm>
          <a:prstGeom prst="rect">
            <a:avLst/>
          </a:prstGeom>
        </xdr:spPr>
      </xdr:pic>
      <xdr:pic>
        <xdr:nvPicPr>
          <xdr:cNvPr id="122" name="図 121">
            <a:extLst>
              <a:ext uri="{FF2B5EF4-FFF2-40B4-BE49-F238E27FC236}">
                <a16:creationId xmlns:a16="http://schemas.microsoft.com/office/drawing/2014/main" id="{B4CFBF50-B9D8-45EF-B60E-8BDA23A165E6}"/>
              </a:ext>
            </a:extLst>
          </xdr:cNvPr>
          <xdr:cNvPicPr>
            <a:picLocks noChangeAspect="1"/>
          </xdr:cNvPicPr>
        </xdr:nvPicPr>
        <xdr:blipFill>
          <a:blip xmlns:r="http://schemas.openxmlformats.org/officeDocument/2006/relationships" r:embed="rId19"/>
          <a:stretch>
            <a:fillRect/>
          </a:stretch>
        </xdr:blipFill>
        <xdr:spPr>
          <a:xfrm>
            <a:off x="22601464" y="71083714"/>
            <a:ext cx="7573432" cy="1171739"/>
          </a:xfrm>
          <a:prstGeom prst="rect">
            <a:avLst/>
          </a:prstGeom>
        </xdr:spPr>
      </xdr:pic>
    </xdr:grpSp>
    <xdr:clientData/>
  </xdr:twoCellAnchor>
  <xdr:twoCellAnchor editAs="oneCell">
    <xdr:from>
      <xdr:col>20</xdr:col>
      <xdr:colOff>472168</xdr:colOff>
      <xdr:row>297</xdr:row>
      <xdr:rowOff>29255</xdr:rowOff>
    </xdr:from>
    <xdr:to>
      <xdr:col>57</xdr:col>
      <xdr:colOff>190499</xdr:colOff>
      <xdr:row>393</xdr:row>
      <xdr:rowOff>166686</xdr:rowOff>
    </xdr:to>
    <xdr:sp macro="" textlink="">
      <xdr:nvSpPr>
        <xdr:cNvPr id="120" name="正方形/長方形 119">
          <a:extLst>
            <a:ext uri="{FF2B5EF4-FFF2-40B4-BE49-F238E27FC236}">
              <a16:creationId xmlns:a16="http://schemas.microsoft.com/office/drawing/2014/main" id="{954C4409-3169-4541-B9EC-1DEF45093AE7}"/>
            </a:ext>
          </a:extLst>
        </xdr:cNvPr>
        <xdr:cNvSpPr/>
      </xdr:nvSpPr>
      <xdr:spPr>
        <a:xfrm flipV="1">
          <a:off x="22117731" y="52654880"/>
          <a:ext cx="24388081" cy="1613943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396</xdr:row>
      <xdr:rowOff>0</xdr:rowOff>
    </xdr:from>
    <xdr:to>
      <xdr:col>32</xdr:col>
      <xdr:colOff>477340</xdr:colOff>
      <xdr:row>428</xdr:row>
      <xdr:rowOff>162692</xdr:rowOff>
    </xdr:to>
    <xdr:pic>
      <xdr:nvPicPr>
        <xdr:cNvPr id="129" name="図 128">
          <a:extLst>
            <a:ext uri="{FF2B5EF4-FFF2-40B4-BE49-F238E27FC236}">
              <a16:creationId xmlns:a16="http://schemas.microsoft.com/office/drawing/2014/main" id="{5AE23A7F-219E-40E0-9A3B-021764456054}"/>
            </a:ext>
          </a:extLst>
        </xdr:cNvPr>
        <xdr:cNvPicPr>
          <a:picLocks noChangeAspect="1"/>
        </xdr:cNvPicPr>
      </xdr:nvPicPr>
      <xdr:blipFill>
        <a:blip xmlns:r="http://schemas.openxmlformats.org/officeDocument/2006/relationships" r:embed="rId20"/>
        <a:stretch>
          <a:fillRect/>
        </a:stretch>
      </xdr:blipFill>
      <xdr:spPr>
        <a:xfrm>
          <a:off x="22312313" y="69127688"/>
          <a:ext cx="7811590" cy="5496692"/>
        </a:xfrm>
        <a:prstGeom prst="rect">
          <a:avLst/>
        </a:prstGeom>
      </xdr:spPr>
    </xdr:pic>
    <xdr:clientData/>
  </xdr:twoCellAnchor>
  <xdr:twoCellAnchor editAs="oneCell">
    <xdr:from>
      <xdr:col>21</xdr:col>
      <xdr:colOff>0</xdr:colOff>
      <xdr:row>429</xdr:row>
      <xdr:rowOff>0</xdr:rowOff>
    </xdr:from>
    <xdr:to>
      <xdr:col>32</xdr:col>
      <xdr:colOff>391603</xdr:colOff>
      <xdr:row>460</xdr:row>
      <xdr:rowOff>24537</xdr:rowOff>
    </xdr:to>
    <xdr:pic>
      <xdr:nvPicPr>
        <xdr:cNvPr id="132" name="図 131">
          <a:extLst>
            <a:ext uri="{FF2B5EF4-FFF2-40B4-BE49-F238E27FC236}">
              <a16:creationId xmlns:a16="http://schemas.microsoft.com/office/drawing/2014/main" id="{5BEFDFFC-D82C-4977-A6C5-FD1D45DCDAA8}"/>
            </a:ext>
          </a:extLst>
        </xdr:cNvPr>
        <xdr:cNvPicPr>
          <a:picLocks noChangeAspect="1"/>
        </xdr:cNvPicPr>
      </xdr:nvPicPr>
      <xdr:blipFill>
        <a:blip xmlns:r="http://schemas.openxmlformats.org/officeDocument/2006/relationships" r:embed="rId21"/>
        <a:stretch>
          <a:fillRect/>
        </a:stretch>
      </xdr:blipFill>
      <xdr:spPr>
        <a:xfrm>
          <a:off x="22312313" y="74628375"/>
          <a:ext cx="7725853" cy="5191850"/>
        </a:xfrm>
        <a:prstGeom prst="rect">
          <a:avLst/>
        </a:prstGeom>
      </xdr:spPr>
    </xdr:pic>
    <xdr:clientData/>
  </xdr:twoCellAnchor>
  <xdr:twoCellAnchor>
    <xdr:from>
      <xdr:col>32</xdr:col>
      <xdr:colOff>600074</xdr:colOff>
      <xdr:row>396</xdr:row>
      <xdr:rowOff>0</xdr:rowOff>
    </xdr:from>
    <xdr:to>
      <xdr:col>44</xdr:col>
      <xdr:colOff>304799</xdr:colOff>
      <xdr:row>460</xdr:row>
      <xdr:rowOff>114769</xdr:rowOff>
    </xdr:to>
    <xdr:grpSp>
      <xdr:nvGrpSpPr>
        <xdr:cNvPr id="135" name="グループ化 134">
          <a:extLst>
            <a:ext uri="{FF2B5EF4-FFF2-40B4-BE49-F238E27FC236}">
              <a16:creationId xmlns:a16="http://schemas.microsoft.com/office/drawing/2014/main" id="{7F0837D6-0CF6-46E9-8442-026573AA7F85}"/>
            </a:ext>
          </a:extLst>
        </xdr:cNvPr>
        <xdr:cNvGrpSpPr/>
      </xdr:nvGrpSpPr>
      <xdr:grpSpPr>
        <a:xfrm>
          <a:off x="30262045" y="69655765"/>
          <a:ext cx="7772960" cy="10872416"/>
          <a:chOff x="30335401" y="71610682"/>
          <a:chExt cx="7809615" cy="11198405"/>
        </a:xfrm>
      </xdr:grpSpPr>
      <xdr:pic>
        <xdr:nvPicPr>
          <xdr:cNvPr id="133" name="図 132">
            <a:extLst>
              <a:ext uri="{FF2B5EF4-FFF2-40B4-BE49-F238E27FC236}">
                <a16:creationId xmlns:a16="http://schemas.microsoft.com/office/drawing/2014/main" id="{FDB85B90-C111-4B59-9C00-02415A9532EC}"/>
              </a:ext>
            </a:extLst>
          </xdr:cNvPr>
          <xdr:cNvPicPr>
            <a:picLocks noChangeAspect="1"/>
          </xdr:cNvPicPr>
        </xdr:nvPicPr>
        <xdr:blipFill>
          <a:blip xmlns:r="http://schemas.openxmlformats.org/officeDocument/2006/relationships" r:embed="rId22"/>
          <a:stretch>
            <a:fillRect/>
          </a:stretch>
        </xdr:blipFill>
        <xdr:spPr>
          <a:xfrm>
            <a:off x="30410727" y="71610682"/>
            <a:ext cx="7725840" cy="7922835"/>
          </a:xfrm>
          <a:prstGeom prst="rect">
            <a:avLst/>
          </a:prstGeom>
        </xdr:spPr>
      </xdr:pic>
      <xdr:pic>
        <xdr:nvPicPr>
          <xdr:cNvPr id="134" name="図 133">
            <a:extLst>
              <a:ext uri="{FF2B5EF4-FFF2-40B4-BE49-F238E27FC236}">
                <a16:creationId xmlns:a16="http://schemas.microsoft.com/office/drawing/2014/main" id="{5591070E-FD50-4FF3-8FD0-E915C8224E99}"/>
              </a:ext>
            </a:extLst>
          </xdr:cNvPr>
          <xdr:cNvPicPr>
            <a:picLocks noChangeAspect="1"/>
          </xdr:cNvPicPr>
        </xdr:nvPicPr>
        <xdr:blipFill>
          <a:blip xmlns:r="http://schemas.openxmlformats.org/officeDocument/2006/relationships" r:embed="rId23"/>
          <a:stretch>
            <a:fillRect/>
          </a:stretch>
        </xdr:blipFill>
        <xdr:spPr>
          <a:xfrm>
            <a:off x="30335401" y="79455819"/>
            <a:ext cx="7809615" cy="3353268"/>
          </a:xfrm>
          <a:prstGeom prst="rect">
            <a:avLst/>
          </a:prstGeom>
        </xdr:spPr>
      </xdr:pic>
    </xdr:grpSp>
    <xdr:clientData/>
  </xdr:twoCellAnchor>
  <xdr:twoCellAnchor editAs="oneCell">
    <xdr:from>
      <xdr:col>45</xdr:col>
      <xdr:colOff>0</xdr:colOff>
      <xdr:row>396</xdr:row>
      <xdr:rowOff>0</xdr:rowOff>
    </xdr:from>
    <xdr:to>
      <xdr:col>56</xdr:col>
      <xdr:colOff>115354</xdr:colOff>
      <xdr:row>419</xdr:row>
      <xdr:rowOff>124393</xdr:rowOff>
    </xdr:to>
    <xdr:pic>
      <xdr:nvPicPr>
        <xdr:cNvPr id="136" name="図 135">
          <a:extLst>
            <a:ext uri="{FF2B5EF4-FFF2-40B4-BE49-F238E27FC236}">
              <a16:creationId xmlns:a16="http://schemas.microsoft.com/office/drawing/2014/main" id="{51F9CCEE-9F51-4BD7-89E3-E63971712BD1}"/>
            </a:ext>
          </a:extLst>
        </xdr:cNvPr>
        <xdr:cNvPicPr>
          <a:picLocks noChangeAspect="1"/>
        </xdr:cNvPicPr>
      </xdr:nvPicPr>
      <xdr:blipFill>
        <a:blip xmlns:r="http://schemas.openxmlformats.org/officeDocument/2006/relationships" r:embed="rId24"/>
        <a:stretch>
          <a:fillRect/>
        </a:stretch>
      </xdr:blipFill>
      <xdr:spPr>
        <a:xfrm>
          <a:off x="38509575" y="70951725"/>
          <a:ext cx="7554379" cy="4067743"/>
        </a:xfrm>
        <a:prstGeom prst="rect">
          <a:avLst/>
        </a:prstGeom>
      </xdr:spPr>
    </xdr:pic>
    <xdr:clientData/>
  </xdr:twoCellAnchor>
  <xdr:twoCellAnchor editAs="oneCell">
    <xdr:from>
      <xdr:col>21</xdr:col>
      <xdr:colOff>0</xdr:colOff>
      <xdr:row>462</xdr:row>
      <xdr:rowOff>0</xdr:rowOff>
    </xdr:from>
    <xdr:to>
      <xdr:col>32</xdr:col>
      <xdr:colOff>77249</xdr:colOff>
      <xdr:row>494</xdr:row>
      <xdr:rowOff>105555</xdr:rowOff>
    </xdr:to>
    <xdr:pic>
      <xdr:nvPicPr>
        <xdr:cNvPr id="137" name="図 136">
          <a:extLst>
            <a:ext uri="{FF2B5EF4-FFF2-40B4-BE49-F238E27FC236}">
              <a16:creationId xmlns:a16="http://schemas.microsoft.com/office/drawing/2014/main" id="{D94C8EF7-1F2E-48B6-98A7-BEC532B69716}"/>
            </a:ext>
          </a:extLst>
        </xdr:cNvPr>
        <xdr:cNvPicPr>
          <a:picLocks noChangeAspect="1"/>
        </xdr:cNvPicPr>
      </xdr:nvPicPr>
      <xdr:blipFill>
        <a:blip xmlns:r="http://schemas.openxmlformats.org/officeDocument/2006/relationships" r:embed="rId25"/>
        <a:stretch>
          <a:fillRect/>
        </a:stretch>
      </xdr:blipFill>
      <xdr:spPr>
        <a:xfrm>
          <a:off x="22278975" y="82267425"/>
          <a:ext cx="7516274" cy="5591955"/>
        </a:xfrm>
        <a:prstGeom prst="rect">
          <a:avLst/>
        </a:prstGeom>
      </xdr:spPr>
    </xdr:pic>
    <xdr:clientData/>
  </xdr:twoCellAnchor>
  <xdr:twoCellAnchor editAs="oneCell">
    <xdr:from>
      <xdr:col>20</xdr:col>
      <xdr:colOff>470645</xdr:colOff>
      <xdr:row>395</xdr:row>
      <xdr:rowOff>112058</xdr:rowOff>
    </xdr:from>
    <xdr:to>
      <xdr:col>56</xdr:col>
      <xdr:colOff>414618</xdr:colOff>
      <xdr:row>460</xdr:row>
      <xdr:rowOff>156881</xdr:rowOff>
    </xdr:to>
    <xdr:sp macro="" textlink="">
      <xdr:nvSpPr>
        <xdr:cNvPr id="138" name="正方形/長方形 137">
          <a:extLst>
            <a:ext uri="{FF2B5EF4-FFF2-40B4-BE49-F238E27FC236}">
              <a16:creationId xmlns:a16="http://schemas.microsoft.com/office/drawing/2014/main" id="{7FC2F2ED-892A-4BD5-BA4A-41FFED1BE1A6}"/>
            </a:ext>
          </a:extLst>
        </xdr:cNvPr>
        <xdr:cNvSpPr/>
      </xdr:nvSpPr>
      <xdr:spPr>
        <a:xfrm>
          <a:off x="22064380" y="69599734"/>
          <a:ext cx="24148679" cy="109705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795618</xdr:colOff>
      <xdr:row>415</xdr:row>
      <xdr:rowOff>165688</xdr:rowOff>
    </xdr:from>
    <xdr:to>
      <xdr:col>18</xdr:col>
      <xdr:colOff>555813</xdr:colOff>
      <xdr:row>418</xdr:row>
      <xdr:rowOff>146638</xdr:rowOff>
    </xdr:to>
    <xdr:sp macro="" textlink="">
      <xdr:nvSpPr>
        <xdr:cNvPr id="139" name="線吹き出し 1 (枠付き) 97">
          <a:extLst>
            <a:ext uri="{FF2B5EF4-FFF2-40B4-BE49-F238E27FC236}">
              <a16:creationId xmlns:a16="http://schemas.microsoft.com/office/drawing/2014/main" id="{F2E48012-FE86-4F74-A6D0-D7A2E278280E}"/>
            </a:ext>
          </a:extLst>
        </xdr:cNvPr>
        <xdr:cNvSpPr/>
      </xdr:nvSpPr>
      <xdr:spPr>
        <a:xfrm>
          <a:off x="17481177" y="73015129"/>
          <a:ext cx="3323665" cy="485215"/>
        </a:xfrm>
        <a:prstGeom prst="borderCallout1">
          <a:avLst>
            <a:gd name="adj1" fmla="val 57012"/>
            <a:gd name="adj2" fmla="val 99896"/>
            <a:gd name="adj3" fmla="val -48914"/>
            <a:gd name="adj4" fmla="val 1376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526676</xdr:colOff>
      <xdr:row>462</xdr:row>
      <xdr:rowOff>78440</xdr:rowOff>
    </xdr:from>
    <xdr:to>
      <xdr:col>32</xdr:col>
      <xdr:colOff>246529</xdr:colOff>
      <xdr:row>495</xdr:row>
      <xdr:rowOff>100852</xdr:rowOff>
    </xdr:to>
    <xdr:sp macro="" textlink="">
      <xdr:nvSpPr>
        <xdr:cNvPr id="140" name="正方形/長方形 139">
          <a:extLst>
            <a:ext uri="{FF2B5EF4-FFF2-40B4-BE49-F238E27FC236}">
              <a16:creationId xmlns:a16="http://schemas.microsoft.com/office/drawing/2014/main" id="{9A1D2C7E-FE2C-4571-B085-153A122AB47A}"/>
            </a:ext>
          </a:extLst>
        </xdr:cNvPr>
        <xdr:cNvSpPr/>
      </xdr:nvSpPr>
      <xdr:spPr>
        <a:xfrm flipV="1">
          <a:off x="22120411" y="80828028"/>
          <a:ext cx="7788089" cy="556932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118782</xdr:colOff>
      <xdr:row>478</xdr:row>
      <xdr:rowOff>139273</xdr:rowOff>
    </xdr:from>
    <xdr:to>
      <xdr:col>39</xdr:col>
      <xdr:colOff>42264</xdr:colOff>
      <xdr:row>481</xdr:row>
      <xdr:rowOff>120222</xdr:rowOff>
    </xdr:to>
    <xdr:sp macro="" textlink="">
      <xdr:nvSpPr>
        <xdr:cNvPr id="141" name="線吹き出し 1 (枠付き) 97">
          <a:extLst>
            <a:ext uri="{FF2B5EF4-FFF2-40B4-BE49-F238E27FC236}">
              <a16:creationId xmlns:a16="http://schemas.microsoft.com/office/drawing/2014/main" id="{1C89DD99-9196-4034-927C-657FC521146A}"/>
            </a:ext>
          </a:extLst>
        </xdr:cNvPr>
        <xdr:cNvSpPr/>
      </xdr:nvSpPr>
      <xdr:spPr>
        <a:xfrm>
          <a:off x="31125458" y="83578273"/>
          <a:ext cx="3285247" cy="485214"/>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VdsCI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側で対応するため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497</xdr:row>
      <xdr:rowOff>0</xdr:rowOff>
    </xdr:from>
    <xdr:to>
      <xdr:col>32</xdr:col>
      <xdr:colOff>472865</xdr:colOff>
      <xdr:row>533</xdr:row>
      <xdr:rowOff>45674</xdr:rowOff>
    </xdr:to>
    <xdr:pic>
      <xdr:nvPicPr>
        <xdr:cNvPr id="144" name="図 143">
          <a:extLst>
            <a:ext uri="{FF2B5EF4-FFF2-40B4-BE49-F238E27FC236}">
              <a16:creationId xmlns:a16="http://schemas.microsoft.com/office/drawing/2014/main" id="{2F61D555-F063-4187-953C-D18A8DAB11C7}"/>
            </a:ext>
          </a:extLst>
        </xdr:cNvPr>
        <xdr:cNvPicPr>
          <a:picLocks noChangeAspect="1"/>
        </xdr:cNvPicPr>
      </xdr:nvPicPr>
      <xdr:blipFill>
        <a:blip xmlns:r="http://schemas.openxmlformats.org/officeDocument/2006/relationships" r:embed="rId26"/>
        <a:stretch>
          <a:fillRect/>
        </a:stretch>
      </xdr:blipFill>
      <xdr:spPr>
        <a:xfrm>
          <a:off x="22266088" y="86632676"/>
          <a:ext cx="7868748" cy="6096851"/>
        </a:xfrm>
        <a:prstGeom prst="rect">
          <a:avLst/>
        </a:prstGeom>
      </xdr:spPr>
    </xdr:pic>
    <xdr:clientData/>
  </xdr:twoCellAnchor>
  <xdr:twoCellAnchor editAs="oneCell">
    <xdr:from>
      <xdr:col>20</xdr:col>
      <xdr:colOff>504265</xdr:colOff>
      <xdr:row>512</xdr:row>
      <xdr:rowOff>89647</xdr:rowOff>
    </xdr:from>
    <xdr:to>
      <xdr:col>33</xdr:col>
      <xdr:colOff>212911</xdr:colOff>
      <xdr:row>533</xdr:row>
      <xdr:rowOff>22412</xdr:rowOff>
    </xdr:to>
    <xdr:sp macro="" textlink="">
      <xdr:nvSpPr>
        <xdr:cNvPr id="145" name="正方形/長方形 144">
          <a:extLst>
            <a:ext uri="{FF2B5EF4-FFF2-40B4-BE49-F238E27FC236}">
              <a16:creationId xmlns:a16="http://schemas.microsoft.com/office/drawing/2014/main" id="{3939BE8A-C112-4519-AF8D-ADEB5DCEEA5A}"/>
            </a:ext>
          </a:extLst>
        </xdr:cNvPr>
        <xdr:cNvSpPr/>
      </xdr:nvSpPr>
      <xdr:spPr>
        <a:xfrm flipV="1">
          <a:off x="22098000" y="89243647"/>
          <a:ext cx="8449235" cy="34626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123265</xdr:colOff>
      <xdr:row>521</xdr:row>
      <xdr:rowOff>134470</xdr:rowOff>
    </xdr:from>
    <xdr:to>
      <xdr:col>40</xdr:col>
      <xdr:colOff>46747</xdr:colOff>
      <xdr:row>524</xdr:row>
      <xdr:rowOff>115419</xdr:rowOff>
    </xdr:to>
    <xdr:sp macro="" textlink="">
      <xdr:nvSpPr>
        <xdr:cNvPr id="146" name="線吹き出し 1 (枠付き) 97">
          <a:extLst>
            <a:ext uri="{FF2B5EF4-FFF2-40B4-BE49-F238E27FC236}">
              <a16:creationId xmlns:a16="http://schemas.microsoft.com/office/drawing/2014/main" id="{DA973D46-FC73-41A1-896B-ED51136E0F81}"/>
            </a:ext>
          </a:extLst>
        </xdr:cNvPr>
        <xdr:cNvSpPr/>
      </xdr:nvSpPr>
      <xdr:spPr>
        <a:xfrm>
          <a:off x="31802294" y="90801264"/>
          <a:ext cx="3285247" cy="485214"/>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534</xdr:row>
      <xdr:rowOff>0</xdr:rowOff>
    </xdr:from>
    <xdr:to>
      <xdr:col>32</xdr:col>
      <xdr:colOff>549076</xdr:colOff>
      <xdr:row>580</xdr:row>
      <xdr:rowOff>136689</xdr:rowOff>
    </xdr:to>
    <xdr:pic>
      <xdr:nvPicPr>
        <xdr:cNvPr id="147" name="図 146">
          <a:extLst>
            <a:ext uri="{FF2B5EF4-FFF2-40B4-BE49-F238E27FC236}">
              <a16:creationId xmlns:a16="http://schemas.microsoft.com/office/drawing/2014/main" id="{323E385E-1FE6-4641-9E37-4595CBAAF51D}"/>
            </a:ext>
          </a:extLst>
        </xdr:cNvPr>
        <xdr:cNvPicPr>
          <a:picLocks noChangeAspect="1"/>
        </xdr:cNvPicPr>
      </xdr:nvPicPr>
      <xdr:blipFill>
        <a:blip xmlns:r="http://schemas.openxmlformats.org/officeDocument/2006/relationships" r:embed="rId27"/>
        <a:stretch>
          <a:fillRect/>
        </a:stretch>
      </xdr:blipFill>
      <xdr:spPr>
        <a:xfrm>
          <a:off x="22266088" y="92851941"/>
          <a:ext cx="7944959" cy="7868748"/>
        </a:xfrm>
        <a:prstGeom prst="rect">
          <a:avLst/>
        </a:prstGeom>
      </xdr:spPr>
    </xdr:pic>
    <xdr:clientData/>
  </xdr:twoCellAnchor>
  <xdr:twoCellAnchor editAs="oneCell">
    <xdr:from>
      <xdr:col>22</xdr:col>
      <xdr:colOff>56030</xdr:colOff>
      <xdr:row>549</xdr:row>
      <xdr:rowOff>67233</xdr:rowOff>
    </xdr:from>
    <xdr:to>
      <xdr:col>33</xdr:col>
      <xdr:colOff>1</xdr:colOff>
      <xdr:row>551</xdr:row>
      <xdr:rowOff>89646</xdr:rowOff>
    </xdr:to>
    <xdr:sp macro="" textlink="">
      <xdr:nvSpPr>
        <xdr:cNvPr id="148" name="正方形/長方形 147">
          <a:extLst>
            <a:ext uri="{FF2B5EF4-FFF2-40B4-BE49-F238E27FC236}">
              <a16:creationId xmlns:a16="http://schemas.microsoft.com/office/drawing/2014/main" id="{ED5B667A-89C9-4B10-A2D3-5821C006ABD8}"/>
            </a:ext>
          </a:extLst>
        </xdr:cNvPr>
        <xdr:cNvSpPr/>
      </xdr:nvSpPr>
      <xdr:spPr>
        <a:xfrm flipV="1">
          <a:off x="22994471" y="95440498"/>
          <a:ext cx="7339854" cy="3585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51548</xdr:colOff>
      <xdr:row>555</xdr:row>
      <xdr:rowOff>107575</xdr:rowOff>
    </xdr:from>
    <xdr:to>
      <xdr:col>32</xdr:col>
      <xdr:colOff>667872</xdr:colOff>
      <xdr:row>557</xdr:row>
      <xdr:rowOff>129987</xdr:rowOff>
    </xdr:to>
    <xdr:sp macro="" textlink="">
      <xdr:nvSpPr>
        <xdr:cNvPr id="149" name="正方形/長方形 148">
          <a:extLst>
            <a:ext uri="{FF2B5EF4-FFF2-40B4-BE49-F238E27FC236}">
              <a16:creationId xmlns:a16="http://schemas.microsoft.com/office/drawing/2014/main" id="{1D6ADEB6-381C-4A63-BEEF-3C41E8EA6F99}"/>
            </a:ext>
          </a:extLst>
        </xdr:cNvPr>
        <xdr:cNvSpPr/>
      </xdr:nvSpPr>
      <xdr:spPr>
        <a:xfrm flipV="1">
          <a:off x="22989989" y="96489369"/>
          <a:ext cx="7339854" cy="3585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571500</xdr:colOff>
      <xdr:row>551</xdr:row>
      <xdr:rowOff>89646</xdr:rowOff>
    </xdr:from>
    <xdr:to>
      <xdr:col>39</xdr:col>
      <xdr:colOff>494982</xdr:colOff>
      <xdr:row>555</xdr:row>
      <xdr:rowOff>145676</xdr:rowOff>
    </xdr:to>
    <xdr:sp macro="" textlink="">
      <xdr:nvSpPr>
        <xdr:cNvPr id="150" name="線吹き出し 1 (枠付き) 97">
          <a:extLst>
            <a:ext uri="{FF2B5EF4-FFF2-40B4-BE49-F238E27FC236}">
              <a16:creationId xmlns:a16="http://schemas.microsoft.com/office/drawing/2014/main" id="{7A4B357E-E4C6-4767-ABEF-09475A52A497}"/>
            </a:ext>
          </a:extLst>
        </xdr:cNvPr>
        <xdr:cNvSpPr/>
      </xdr:nvSpPr>
      <xdr:spPr>
        <a:xfrm>
          <a:off x="31578176" y="95799087"/>
          <a:ext cx="3285247" cy="728383"/>
        </a:xfrm>
        <a:prstGeom prst="borderCallout1">
          <a:avLst>
            <a:gd name="adj1" fmla="val 49033"/>
            <a:gd name="adj2" fmla="val 50"/>
            <a:gd name="adj3" fmla="val -30297"/>
            <a:gd name="adj4" fmla="val -37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途絶判定時間は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5000ms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途絶判定後に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667872</xdr:colOff>
      <xdr:row>553</xdr:row>
      <xdr:rowOff>117661</xdr:rowOff>
    </xdr:from>
    <xdr:to>
      <xdr:col>34</xdr:col>
      <xdr:colOff>571500</xdr:colOff>
      <xdr:row>556</xdr:row>
      <xdr:rowOff>118781</xdr:rowOff>
    </xdr:to>
    <xdr:cxnSp macro="">
      <xdr:nvCxnSpPr>
        <xdr:cNvPr id="152" name="直線コネクタ 151">
          <a:extLst>
            <a:ext uri="{FF2B5EF4-FFF2-40B4-BE49-F238E27FC236}">
              <a16:creationId xmlns:a16="http://schemas.microsoft.com/office/drawing/2014/main" id="{786CB1F7-5E52-44E3-BB37-1E9FCFB75EAD}"/>
            </a:ext>
          </a:extLst>
        </xdr:cNvPr>
        <xdr:cNvCxnSpPr>
          <a:stCxn id="150" idx="2"/>
          <a:endCxn id="149" idx="3"/>
        </xdr:cNvCxnSpPr>
      </xdr:nvCxnSpPr>
      <xdr:spPr>
        <a:xfrm flipH="1">
          <a:off x="30329843" y="96163279"/>
          <a:ext cx="1248333" cy="505384"/>
        </a:xfrm>
        <a:prstGeom prst="line">
          <a:avLst/>
        </a:prstGeom>
        <a:ln w="22225">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0</xdr:colOff>
      <xdr:row>581</xdr:row>
      <xdr:rowOff>0</xdr:rowOff>
    </xdr:from>
    <xdr:to>
      <xdr:col>32</xdr:col>
      <xdr:colOff>653865</xdr:colOff>
      <xdr:row>594</xdr:row>
      <xdr:rowOff>24961</xdr:rowOff>
    </xdr:to>
    <xdr:pic>
      <xdr:nvPicPr>
        <xdr:cNvPr id="155" name="図 154">
          <a:extLst>
            <a:ext uri="{FF2B5EF4-FFF2-40B4-BE49-F238E27FC236}">
              <a16:creationId xmlns:a16="http://schemas.microsoft.com/office/drawing/2014/main" id="{22EDE00C-8553-47D5-8525-5C4D374F16A3}"/>
            </a:ext>
          </a:extLst>
        </xdr:cNvPr>
        <xdr:cNvPicPr>
          <a:picLocks noChangeAspect="1"/>
        </xdr:cNvPicPr>
      </xdr:nvPicPr>
      <xdr:blipFill>
        <a:blip xmlns:r="http://schemas.openxmlformats.org/officeDocument/2006/relationships" r:embed="rId28"/>
        <a:stretch>
          <a:fillRect/>
        </a:stretch>
      </xdr:blipFill>
      <xdr:spPr>
        <a:xfrm>
          <a:off x="22266088" y="100752088"/>
          <a:ext cx="8049748" cy="22101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D4BC-58A8-4FDB-AB6C-7930BB849A88}">
  <dimension ref="A1:AN49"/>
  <sheetViews>
    <sheetView tabSelected="1" view="pageBreakPreview" zoomScale="85" zoomScaleNormal="100" zoomScaleSheetLayoutView="85" workbookViewId="0">
      <selection activeCell="AX14" sqref="AX14"/>
    </sheetView>
  </sheetViews>
  <sheetFormatPr defaultRowHeight="13.5"/>
  <cols>
    <col min="1" max="40" width="2.25" style="256" customWidth="1"/>
    <col min="41" max="16384" width="9" style="256"/>
  </cols>
  <sheetData>
    <row r="1" spans="1:40" ht="13.5" customHeight="1">
      <c r="A1" s="253"/>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5"/>
    </row>
    <row r="2" spans="1:40" ht="13.5" customHeight="1">
      <c r="A2" s="257"/>
      <c r="B2" s="258"/>
      <c r="C2" s="258"/>
      <c r="D2" s="258"/>
      <c r="E2" s="258"/>
      <c r="F2" s="258"/>
      <c r="G2" s="258"/>
      <c r="H2" s="258"/>
      <c r="I2" s="258"/>
      <c r="J2" s="258"/>
      <c r="K2" s="258"/>
      <c r="L2" s="258"/>
      <c r="M2" s="258"/>
      <c r="N2" s="258"/>
      <c r="O2" s="258"/>
      <c r="P2" s="258"/>
      <c r="Q2" s="258"/>
      <c r="R2" s="258"/>
      <c r="S2" s="258"/>
      <c r="T2" s="258"/>
      <c r="U2" s="258"/>
      <c r="V2" s="258"/>
      <c r="W2" s="258"/>
      <c r="X2" s="258"/>
      <c r="Y2" s="258"/>
      <c r="Z2" s="258"/>
      <c r="AA2" s="258"/>
      <c r="AB2" s="258"/>
      <c r="AC2" s="258"/>
      <c r="AD2" s="258"/>
      <c r="AE2" s="258"/>
      <c r="AF2" s="258"/>
      <c r="AG2" s="258"/>
      <c r="AH2" s="258"/>
      <c r="AI2" s="258"/>
      <c r="AJ2" s="258"/>
      <c r="AK2" s="258"/>
      <c r="AL2" s="258"/>
      <c r="AM2" s="258"/>
      <c r="AN2" s="259"/>
    </row>
    <row r="3" spans="1:40" ht="13.5" customHeight="1">
      <c r="A3" s="257"/>
      <c r="B3" s="258"/>
      <c r="C3" s="258"/>
      <c r="D3" s="258"/>
      <c r="E3" s="258"/>
      <c r="F3" s="258"/>
      <c r="G3" s="258"/>
      <c r="H3" s="258"/>
      <c r="I3" s="258"/>
      <c r="J3" s="258"/>
      <c r="K3" s="258"/>
      <c r="L3" s="258"/>
      <c r="M3" s="258"/>
      <c r="N3" s="258"/>
      <c r="O3" s="258"/>
      <c r="P3" s="258"/>
      <c r="Q3" s="258"/>
      <c r="R3" s="258"/>
      <c r="S3" s="258"/>
      <c r="T3" s="258"/>
      <c r="U3" s="258"/>
      <c r="V3" s="258"/>
      <c r="W3" s="258"/>
      <c r="X3" s="258"/>
      <c r="Y3" s="258"/>
      <c r="Z3" s="258"/>
      <c r="AA3" s="258"/>
      <c r="AB3" s="258"/>
      <c r="AC3" s="258"/>
      <c r="AD3" s="258"/>
      <c r="AE3" s="258"/>
      <c r="AF3" s="258"/>
      <c r="AG3" s="258"/>
      <c r="AH3" s="258"/>
      <c r="AI3" s="258"/>
      <c r="AJ3" s="258"/>
      <c r="AK3" s="258"/>
      <c r="AL3" s="258"/>
      <c r="AM3" s="258"/>
      <c r="AN3" s="259"/>
    </row>
    <row r="4" spans="1:40" ht="13.5" customHeight="1">
      <c r="A4" s="257"/>
      <c r="B4" s="258"/>
      <c r="C4" s="258"/>
      <c r="D4" s="258"/>
      <c r="E4" s="258"/>
      <c r="F4" s="258"/>
      <c r="G4" s="258"/>
      <c r="H4" s="258"/>
      <c r="I4" s="258"/>
      <c r="J4" s="258"/>
      <c r="K4" s="258"/>
      <c r="L4" s="258"/>
      <c r="M4" s="258"/>
      <c r="N4" s="258"/>
      <c r="O4" s="258"/>
      <c r="P4" s="258"/>
      <c r="Q4" s="258"/>
      <c r="R4" s="258"/>
      <c r="S4" s="258"/>
      <c r="T4" s="258"/>
      <c r="U4" s="258"/>
      <c r="V4" s="258"/>
      <c r="W4" s="258"/>
      <c r="X4" s="258"/>
      <c r="Y4" s="258"/>
      <c r="Z4" s="258"/>
      <c r="AA4" s="258"/>
      <c r="AB4" s="258"/>
      <c r="AC4" s="258"/>
      <c r="AD4" s="258"/>
      <c r="AE4" s="258"/>
      <c r="AF4" s="258"/>
      <c r="AG4" s="258"/>
      <c r="AH4" s="258"/>
      <c r="AI4" s="258"/>
      <c r="AJ4" s="258"/>
      <c r="AK4" s="258"/>
      <c r="AL4" s="258"/>
      <c r="AM4" s="258"/>
      <c r="AN4" s="259"/>
    </row>
    <row r="5" spans="1:40" ht="13.5" customHeight="1">
      <c r="A5" s="257"/>
      <c r="B5" s="258"/>
      <c r="C5" s="258"/>
      <c r="D5" s="258"/>
      <c r="E5" s="258"/>
      <c r="F5" s="258"/>
      <c r="G5" s="258"/>
      <c r="H5" s="258"/>
      <c r="I5" s="258"/>
      <c r="J5" s="258"/>
      <c r="K5" s="258"/>
      <c r="L5" s="258"/>
      <c r="M5" s="258"/>
      <c r="N5" s="258"/>
      <c r="O5" s="258"/>
      <c r="P5" s="258"/>
      <c r="Q5" s="258"/>
      <c r="R5" s="258"/>
      <c r="S5" s="258"/>
      <c r="T5" s="258"/>
      <c r="U5" s="258"/>
      <c r="V5" s="258"/>
      <c r="W5" s="258"/>
      <c r="X5" s="258"/>
      <c r="Y5" s="258"/>
      <c r="Z5" s="258"/>
      <c r="AA5" s="258"/>
      <c r="AB5" s="258"/>
      <c r="AC5" s="258"/>
      <c r="AD5" s="258"/>
      <c r="AE5" s="258"/>
      <c r="AF5" s="258"/>
      <c r="AG5" s="258"/>
      <c r="AH5" s="258"/>
      <c r="AI5" s="258"/>
      <c r="AJ5" s="258"/>
      <c r="AK5" s="258"/>
      <c r="AL5" s="258"/>
      <c r="AM5" s="258"/>
      <c r="AN5" s="259"/>
    </row>
    <row r="6" spans="1:40" ht="13.5" customHeight="1">
      <c r="A6" s="257"/>
      <c r="B6" s="258"/>
      <c r="C6" s="258"/>
      <c r="D6" s="258"/>
      <c r="E6" s="258"/>
      <c r="F6" s="258"/>
      <c r="G6" s="258"/>
      <c r="H6" s="258"/>
      <c r="I6" s="258"/>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9"/>
    </row>
    <row r="7" spans="1:40" ht="13.5" customHeight="1">
      <c r="A7" s="257"/>
      <c r="B7" s="258"/>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9"/>
    </row>
    <row r="8" spans="1:40" ht="13.5" customHeight="1">
      <c r="A8" s="257"/>
      <c r="B8" s="258"/>
      <c r="C8" s="258"/>
      <c r="D8" s="258"/>
      <c r="E8" s="258"/>
      <c r="F8" s="258"/>
      <c r="G8" s="258"/>
      <c r="H8" s="258"/>
      <c r="I8" s="258"/>
      <c r="J8" s="258"/>
      <c r="K8" s="258"/>
      <c r="L8" s="258"/>
      <c r="M8" s="258"/>
      <c r="N8" s="258"/>
      <c r="O8" s="258"/>
      <c r="P8" s="258"/>
      <c r="Q8" s="258"/>
      <c r="R8" s="258"/>
      <c r="S8" s="258"/>
      <c r="T8" s="258"/>
      <c r="U8" s="258"/>
      <c r="V8" s="258"/>
      <c r="W8" s="258"/>
      <c r="X8" s="258"/>
      <c r="Y8" s="258"/>
      <c r="Z8" s="258"/>
      <c r="AA8" s="258"/>
      <c r="AB8" s="258"/>
      <c r="AC8" s="258"/>
      <c r="AD8" s="258"/>
      <c r="AE8" s="258"/>
      <c r="AF8" s="258"/>
      <c r="AG8" s="258"/>
      <c r="AH8" s="258"/>
      <c r="AI8" s="258"/>
      <c r="AJ8" s="258"/>
      <c r="AK8" s="258"/>
      <c r="AL8" s="258"/>
      <c r="AM8" s="258"/>
      <c r="AN8" s="259"/>
    </row>
    <row r="9" spans="1:40" ht="28.5" customHeight="1">
      <c r="A9" s="280" t="str">
        <f ca="1">MID(CELL("filename",A1), FIND("[",CELL("filename",A1))+1, FIND("]",CELL("filename",A1))-FIND("[",CELL("filename",A1))-6)</f>
        <v>alert_H_ACDCSUP-CSTD-1-01-A-C1</v>
      </c>
      <c r="B9" s="281"/>
      <c r="C9" s="281"/>
      <c r="D9" s="281"/>
      <c r="E9" s="281"/>
      <c r="F9" s="281"/>
      <c r="G9" s="281"/>
      <c r="H9" s="281"/>
      <c r="I9" s="281"/>
      <c r="J9" s="281"/>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2"/>
    </row>
    <row r="10" spans="1:40" ht="28.5" customHeight="1">
      <c r="A10" s="280"/>
      <c r="B10" s="281"/>
      <c r="C10" s="281"/>
      <c r="D10" s="281"/>
      <c r="E10" s="281"/>
      <c r="F10" s="281"/>
      <c r="G10" s="281"/>
      <c r="H10" s="281"/>
      <c r="I10" s="281"/>
      <c r="J10" s="281"/>
      <c r="K10" s="281"/>
      <c r="L10" s="281"/>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2"/>
    </row>
    <row r="11" spans="1:40" ht="13.5" customHeight="1">
      <c r="A11" s="257"/>
      <c r="B11" s="258"/>
      <c r="C11" s="258"/>
      <c r="D11" s="258"/>
      <c r="E11" s="258"/>
      <c r="F11" s="258"/>
      <c r="G11" s="258"/>
      <c r="H11" s="258"/>
      <c r="I11" s="258"/>
      <c r="J11" s="258"/>
      <c r="K11" s="258"/>
      <c r="L11" s="258"/>
      <c r="M11" s="258"/>
      <c r="N11" s="258"/>
      <c r="O11" s="258"/>
      <c r="P11" s="258"/>
      <c r="Q11" s="258"/>
      <c r="R11" s="258"/>
      <c r="S11" s="258"/>
      <c r="T11" s="258"/>
      <c r="U11" s="258"/>
      <c r="V11" s="258"/>
      <c r="W11" s="258"/>
      <c r="X11" s="258"/>
      <c r="Y11" s="258"/>
      <c r="Z11" s="258"/>
      <c r="AA11" s="258"/>
      <c r="AB11" s="258"/>
      <c r="AC11" s="258"/>
      <c r="AD11" s="258"/>
      <c r="AE11" s="258"/>
      <c r="AF11" s="258"/>
      <c r="AG11" s="258"/>
      <c r="AH11" s="258"/>
      <c r="AI11" s="258"/>
      <c r="AJ11" s="258"/>
      <c r="AK11" s="258"/>
      <c r="AL11" s="258"/>
      <c r="AM11" s="258"/>
      <c r="AN11" s="259"/>
    </row>
    <row r="12" spans="1:40" ht="13.5" customHeight="1">
      <c r="A12" s="257"/>
      <c r="B12" s="258"/>
      <c r="C12" s="258"/>
      <c r="D12" s="258"/>
      <c r="E12" s="258"/>
      <c r="F12" s="258"/>
      <c r="G12" s="258"/>
      <c r="H12" s="258"/>
      <c r="I12" s="258"/>
      <c r="J12" s="258"/>
      <c r="K12" s="258"/>
      <c r="L12" s="258"/>
      <c r="M12" s="258"/>
      <c r="N12" s="258"/>
      <c r="O12" s="258"/>
      <c r="P12" s="258"/>
      <c r="Q12" s="258"/>
      <c r="R12" s="258"/>
      <c r="S12" s="258"/>
      <c r="T12" s="258"/>
      <c r="U12" s="258"/>
      <c r="V12" s="258"/>
      <c r="W12" s="258"/>
      <c r="X12" s="258"/>
      <c r="Y12" s="258"/>
      <c r="Z12" s="258"/>
      <c r="AA12" s="258"/>
      <c r="AB12" s="258"/>
      <c r="AC12" s="258"/>
      <c r="AD12" s="258"/>
      <c r="AE12" s="258"/>
      <c r="AF12" s="258"/>
      <c r="AG12" s="258"/>
      <c r="AH12" s="258"/>
      <c r="AI12" s="258"/>
      <c r="AJ12" s="258"/>
      <c r="AK12" s="258"/>
      <c r="AL12" s="258"/>
      <c r="AM12" s="258"/>
      <c r="AN12" s="259"/>
    </row>
    <row r="13" spans="1:40" ht="13.5" customHeight="1">
      <c r="A13" s="257"/>
      <c r="B13" s="258"/>
      <c r="C13" s="258"/>
      <c r="D13" s="258"/>
      <c r="E13" s="258"/>
      <c r="F13" s="258"/>
      <c r="G13" s="258"/>
      <c r="H13" s="258"/>
      <c r="I13" s="258"/>
      <c r="J13" s="258"/>
      <c r="K13" s="258"/>
      <c r="L13" s="258"/>
      <c r="M13" s="258"/>
      <c r="N13" s="258"/>
      <c r="O13" s="258"/>
      <c r="P13" s="258"/>
      <c r="Q13" s="258"/>
      <c r="R13" s="258"/>
      <c r="S13" s="258"/>
      <c r="T13" s="258"/>
      <c r="U13" s="258"/>
      <c r="V13" s="258"/>
      <c r="W13" s="258"/>
      <c r="X13" s="258"/>
      <c r="Y13" s="258"/>
      <c r="Z13" s="258"/>
      <c r="AA13" s="258"/>
      <c r="AB13" s="258"/>
      <c r="AC13" s="258"/>
      <c r="AD13" s="258"/>
      <c r="AE13" s="258"/>
      <c r="AF13" s="258"/>
      <c r="AG13" s="258"/>
      <c r="AH13" s="258"/>
      <c r="AI13" s="258"/>
      <c r="AJ13" s="258"/>
      <c r="AK13" s="258"/>
      <c r="AL13" s="258"/>
      <c r="AM13" s="258"/>
      <c r="AN13" s="259"/>
    </row>
    <row r="14" spans="1:40" ht="13.5" customHeight="1">
      <c r="A14" s="257"/>
      <c r="B14" s="258"/>
      <c r="C14" s="258"/>
      <c r="D14" s="258"/>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9"/>
    </row>
    <row r="15" spans="1:40" ht="13.5" customHeight="1">
      <c r="A15" s="257"/>
      <c r="B15" s="258"/>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9"/>
    </row>
    <row r="16" spans="1:40" ht="13.5" customHeight="1">
      <c r="A16" s="257"/>
      <c r="B16" s="258"/>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9"/>
    </row>
    <row r="17" spans="1:40" ht="13.5" customHeight="1">
      <c r="A17" s="257"/>
      <c r="B17" s="258"/>
      <c r="C17" s="258"/>
      <c r="D17" s="258"/>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9"/>
    </row>
    <row r="18" spans="1:40" ht="13.5" customHeight="1">
      <c r="A18" s="257"/>
      <c r="B18" s="258"/>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9"/>
    </row>
    <row r="19" spans="1:40" ht="13.5" customHeight="1">
      <c r="A19" s="257"/>
      <c r="B19" s="258"/>
      <c r="C19" s="258"/>
      <c r="D19" s="2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9"/>
    </row>
    <row r="20" spans="1:40" ht="13.5" customHeight="1">
      <c r="A20" s="257"/>
      <c r="B20" s="258"/>
      <c r="C20" s="258"/>
      <c r="D20" s="258"/>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9"/>
    </row>
    <row r="21" spans="1:40" ht="13.5" customHeight="1">
      <c r="A21" s="257"/>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9"/>
    </row>
    <row r="22" spans="1:40" ht="13.5" customHeight="1">
      <c r="A22" s="257"/>
      <c r="B22" s="258"/>
      <c r="C22" s="258"/>
      <c r="D22" s="258"/>
      <c r="E22" s="258"/>
      <c r="F22" s="258"/>
      <c r="G22" s="258"/>
      <c r="H22" s="258"/>
      <c r="I22" s="258"/>
      <c r="J22" s="258"/>
      <c r="K22" s="258"/>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9"/>
    </row>
    <row r="23" spans="1:40" ht="13.5" customHeight="1">
      <c r="A23" s="257"/>
      <c r="B23" s="258"/>
      <c r="C23" s="258"/>
      <c r="D23" s="258"/>
      <c r="E23" s="258"/>
      <c r="F23" s="258"/>
      <c r="G23" s="258"/>
      <c r="H23" s="258"/>
      <c r="I23" s="258"/>
      <c r="J23" s="258"/>
      <c r="K23" s="258"/>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9"/>
    </row>
    <row r="24" spans="1:40" ht="13.5" customHeight="1">
      <c r="A24" s="257"/>
      <c r="B24" s="258"/>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c r="AL24" s="258"/>
      <c r="AM24" s="258"/>
      <c r="AN24" s="259"/>
    </row>
    <row r="25" spans="1:40" ht="13.5" customHeight="1">
      <c r="A25" s="257"/>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9"/>
    </row>
    <row r="26" spans="1:40" ht="13.5" customHeight="1">
      <c r="A26" s="257"/>
      <c r="B26" s="258"/>
      <c r="C26" s="258"/>
      <c r="D26" s="258"/>
      <c r="E26" s="258"/>
      <c r="F26" s="258"/>
      <c r="G26" s="258"/>
      <c r="H26" s="258"/>
      <c r="I26" s="258"/>
      <c r="J26" s="258"/>
      <c r="K26" s="258"/>
      <c r="L26" s="258"/>
      <c r="M26" s="258"/>
      <c r="N26" s="258"/>
      <c r="O26" s="258"/>
      <c r="P26" s="258"/>
      <c r="Q26" s="258"/>
      <c r="R26" s="258"/>
      <c r="S26" s="258"/>
      <c r="T26" s="258"/>
      <c r="U26" s="258"/>
      <c r="V26" s="258"/>
      <c r="W26" s="258"/>
      <c r="X26" s="258"/>
      <c r="Y26" s="260" t="s">
        <v>299</v>
      </c>
      <c r="Z26" s="258"/>
      <c r="AA26" s="258"/>
      <c r="AB26" s="258"/>
      <c r="AC26" s="258"/>
      <c r="AD26" s="258"/>
      <c r="AE26" s="258"/>
      <c r="AF26" s="258"/>
      <c r="AG26" s="258"/>
      <c r="AH26" s="258"/>
      <c r="AI26" s="258"/>
      <c r="AJ26" s="258"/>
      <c r="AK26" s="258"/>
      <c r="AL26" s="258"/>
      <c r="AM26" s="258"/>
      <c r="AN26" s="259"/>
    </row>
    <row r="27" spans="1:40" ht="13.5" customHeight="1">
      <c r="A27" s="257"/>
      <c r="B27" s="258"/>
      <c r="C27" s="258"/>
      <c r="D27" s="258"/>
      <c r="E27" s="258"/>
      <c r="F27" s="258"/>
      <c r="G27" s="258"/>
      <c r="H27" s="258"/>
      <c r="I27" s="258"/>
      <c r="J27" s="258"/>
      <c r="K27" s="258"/>
      <c r="L27" s="258"/>
      <c r="M27" s="258"/>
      <c r="N27" s="258"/>
      <c r="O27" s="258"/>
      <c r="P27" s="258"/>
      <c r="Q27" s="258"/>
      <c r="R27" s="258"/>
      <c r="S27" s="258"/>
      <c r="T27" s="258"/>
      <c r="U27" s="258"/>
      <c r="V27" s="258"/>
      <c r="W27" s="258"/>
      <c r="X27" s="258"/>
      <c r="Y27" s="277" t="s">
        <v>283</v>
      </c>
      <c r="Z27" s="278"/>
      <c r="AA27" s="278"/>
      <c r="AB27" s="278"/>
      <c r="AC27" s="279"/>
      <c r="AD27" s="277" t="s">
        <v>284</v>
      </c>
      <c r="AE27" s="278"/>
      <c r="AF27" s="278"/>
      <c r="AG27" s="278"/>
      <c r="AH27" s="279"/>
      <c r="AI27" s="283" t="s">
        <v>285</v>
      </c>
      <c r="AJ27" s="278"/>
      <c r="AK27" s="278"/>
      <c r="AL27" s="278"/>
      <c r="AM27" s="279"/>
      <c r="AN27" s="259"/>
    </row>
    <row r="28" spans="1:40" ht="13.5" customHeight="1">
      <c r="A28" s="257"/>
      <c r="B28" s="258"/>
      <c r="C28" s="258"/>
      <c r="D28" s="258"/>
      <c r="E28" s="258"/>
      <c r="F28" s="258"/>
      <c r="G28" s="258"/>
      <c r="H28" s="258"/>
      <c r="I28" s="258"/>
      <c r="J28" s="258"/>
      <c r="K28" s="258"/>
      <c r="L28" s="258"/>
      <c r="M28" s="258"/>
      <c r="N28" s="258"/>
      <c r="O28" s="258"/>
      <c r="P28" s="258"/>
      <c r="Q28" s="258"/>
      <c r="R28" s="258"/>
      <c r="S28" s="258"/>
      <c r="T28" s="258"/>
      <c r="U28" s="258"/>
      <c r="V28" s="258"/>
      <c r="W28" s="258"/>
      <c r="X28" s="258"/>
      <c r="Y28" s="253"/>
      <c r="Z28" s="254"/>
      <c r="AA28" s="254"/>
      <c r="AB28" s="254"/>
      <c r="AC28" s="255"/>
      <c r="AD28" s="253"/>
      <c r="AE28" s="254"/>
      <c r="AF28" s="254"/>
      <c r="AG28" s="254"/>
      <c r="AH28" s="254"/>
      <c r="AI28" s="261"/>
      <c r="AJ28" s="254"/>
      <c r="AK28" s="254"/>
      <c r="AL28" s="254"/>
      <c r="AM28" s="255"/>
      <c r="AN28" s="259"/>
    </row>
    <row r="29" spans="1:40" ht="13.5" customHeight="1">
      <c r="A29" s="257"/>
      <c r="B29" s="258"/>
      <c r="C29" s="258"/>
      <c r="D29" s="258"/>
      <c r="E29" s="258"/>
      <c r="F29" s="258"/>
      <c r="G29" s="258"/>
      <c r="H29" s="258"/>
      <c r="I29" s="258"/>
      <c r="J29" s="258"/>
      <c r="K29" s="258"/>
      <c r="L29" s="258"/>
      <c r="M29" s="258"/>
      <c r="N29" s="258"/>
      <c r="O29" s="258"/>
      <c r="P29" s="258"/>
      <c r="Q29" s="258"/>
      <c r="R29" s="258"/>
      <c r="S29" s="258"/>
      <c r="T29" s="258"/>
      <c r="U29" s="258"/>
      <c r="V29" s="258"/>
      <c r="W29" s="258"/>
      <c r="X29" s="258"/>
      <c r="Y29" s="257"/>
      <c r="Z29" s="258"/>
      <c r="AA29" s="258"/>
      <c r="AB29" s="258"/>
      <c r="AC29" s="259"/>
      <c r="AD29" s="257"/>
      <c r="AE29" s="258"/>
      <c r="AF29" s="258"/>
      <c r="AG29" s="258"/>
      <c r="AH29" s="259"/>
      <c r="AI29" s="257"/>
      <c r="AJ29" s="262"/>
      <c r="AK29" s="258"/>
      <c r="AL29" s="258"/>
      <c r="AM29" s="259"/>
      <c r="AN29" s="259"/>
    </row>
    <row r="30" spans="1:40" ht="13.5" customHeight="1">
      <c r="A30" s="257"/>
      <c r="B30" s="258"/>
      <c r="C30" s="258"/>
      <c r="D30" s="258"/>
      <c r="E30" s="258"/>
      <c r="F30" s="258"/>
      <c r="G30" s="258"/>
      <c r="H30" s="258"/>
      <c r="I30" s="258"/>
      <c r="J30" s="258"/>
      <c r="K30" s="258"/>
      <c r="L30" s="258"/>
      <c r="M30" s="258"/>
      <c r="N30" s="258"/>
      <c r="O30" s="258"/>
      <c r="P30" s="258"/>
      <c r="Q30" s="258"/>
      <c r="R30" s="258"/>
      <c r="S30" s="258"/>
      <c r="T30" s="258"/>
      <c r="U30" s="258"/>
      <c r="V30" s="258"/>
      <c r="W30" s="258"/>
      <c r="X30" s="258"/>
      <c r="Y30" s="257"/>
      <c r="Z30" s="258"/>
      <c r="AA30" s="263" t="s">
        <v>286</v>
      </c>
      <c r="AB30" s="258"/>
      <c r="AC30" s="259"/>
      <c r="AD30" s="257"/>
      <c r="AE30" s="258"/>
      <c r="AF30" s="263" t="s">
        <v>287</v>
      </c>
      <c r="AG30" s="258"/>
      <c r="AH30" s="259"/>
      <c r="AI30" s="257"/>
      <c r="AJ30" s="258"/>
      <c r="AK30" s="262"/>
      <c r="AL30" s="258"/>
      <c r="AM30" s="259"/>
      <c r="AN30" s="259"/>
    </row>
    <row r="31" spans="1:40" ht="13.5" customHeight="1">
      <c r="A31" s="257"/>
      <c r="B31" s="258"/>
      <c r="C31" s="258"/>
      <c r="D31" s="258"/>
      <c r="E31" s="258"/>
      <c r="F31" s="258"/>
      <c r="G31" s="258"/>
      <c r="H31" s="258"/>
      <c r="I31" s="258"/>
      <c r="J31" s="258"/>
      <c r="K31" s="258"/>
      <c r="L31" s="258"/>
      <c r="M31" s="258"/>
      <c r="N31" s="258"/>
      <c r="O31" s="258"/>
      <c r="P31" s="258"/>
      <c r="Q31" s="258"/>
      <c r="R31" s="258"/>
      <c r="S31" s="258"/>
      <c r="T31" s="258"/>
      <c r="U31" s="258"/>
      <c r="V31" s="258"/>
      <c r="W31" s="258"/>
      <c r="X31" s="258"/>
      <c r="Y31" s="257"/>
      <c r="Z31" s="258"/>
      <c r="AA31" s="258"/>
      <c r="AB31" s="258"/>
      <c r="AC31" s="259"/>
      <c r="AD31" s="257"/>
      <c r="AE31" s="258"/>
      <c r="AF31" s="258"/>
      <c r="AG31" s="258"/>
      <c r="AH31" s="259"/>
      <c r="AI31" s="257"/>
      <c r="AJ31" s="258"/>
      <c r="AK31" s="258"/>
      <c r="AL31" s="262"/>
      <c r="AM31" s="259"/>
      <c r="AN31" s="259"/>
    </row>
    <row r="32" spans="1:40" ht="13.5" customHeight="1">
      <c r="A32" s="257"/>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64"/>
      <c r="Z32" s="265"/>
      <c r="AA32" s="265"/>
      <c r="AB32" s="265"/>
      <c r="AC32" s="266"/>
      <c r="AD32" s="264"/>
      <c r="AE32" s="265"/>
      <c r="AF32" s="265"/>
      <c r="AG32" s="265"/>
      <c r="AH32" s="266"/>
      <c r="AI32" s="264"/>
      <c r="AJ32" s="265"/>
      <c r="AK32" s="265"/>
      <c r="AL32" s="265"/>
      <c r="AM32" s="267"/>
      <c r="AN32" s="259"/>
    </row>
    <row r="33" spans="1:40" ht="13.5" customHeight="1">
      <c r="A33" s="257"/>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9"/>
    </row>
    <row r="34" spans="1:40" ht="13.5" customHeight="1">
      <c r="A34" s="257"/>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60" t="s">
        <v>300</v>
      </c>
      <c r="Z34" s="258"/>
      <c r="AA34" s="258"/>
      <c r="AB34" s="258"/>
      <c r="AC34" s="258"/>
      <c r="AD34" s="258"/>
      <c r="AE34" s="258"/>
      <c r="AF34" s="258"/>
      <c r="AG34" s="258"/>
      <c r="AH34" s="258"/>
      <c r="AI34" s="258"/>
      <c r="AJ34" s="258"/>
      <c r="AK34" s="258"/>
      <c r="AL34" s="258"/>
      <c r="AM34" s="258"/>
      <c r="AN34" s="259"/>
    </row>
    <row r="35" spans="1:40" ht="13.5" customHeight="1">
      <c r="A35" s="257"/>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77" t="s">
        <v>283</v>
      </c>
      <c r="Z35" s="278"/>
      <c r="AA35" s="278"/>
      <c r="AB35" s="278"/>
      <c r="AC35" s="279"/>
      <c r="AD35" s="277" t="s">
        <v>284</v>
      </c>
      <c r="AE35" s="278"/>
      <c r="AF35" s="278"/>
      <c r="AG35" s="278"/>
      <c r="AH35" s="279"/>
      <c r="AI35" s="283" t="s">
        <v>285</v>
      </c>
      <c r="AJ35" s="278"/>
      <c r="AK35" s="278"/>
      <c r="AL35" s="278"/>
      <c r="AM35" s="279"/>
      <c r="AN35" s="259"/>
    </row>
    <row r="36" spans="1:40" ht="13.5" customHeight="1">
      <c r="A36" s="257"/>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3"/>
      <c r="Z36" s="254"/>
      <c r="AA36" s="254"/>
      <c r="AB36" s="254"/>
      <c r="AC36" s="255"/>
      <c r="AD36" s="253"/>
      <c r="AE36" s="254"/>
      <c r="AF36" s="254"/>
      <c r="AG36" s="254"/>
      <c r="AH36" s="254"/>
      <c r="AI36" s="253"/>
      <c r="AJ36" s="254"/>
      <c r="AK36" s="254"/>
      <c r="AL36" s="254"/>
      <c r="AM36" s="255"/>
      <c r="AN36" s="259"/>
    </row>
    <row r="37" spans="1:40" ht="13.5" customHeight="1">
      <c r="A37" s="257"/>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7"/>
      <c r="Z37" s="258"/>
      <c r="AA37" s="258"/>
      <c r="AB37" s="258"/>
      <c r="AC37" s="259"/>
      <c r="AD37" s="257"/>
      <c r="AE37" s="258"/>
      <c r="AF37" s="258"/>
      <c r="AG37" s="258"/>
      <c r="AH37" s="259"/>
      <c r="AI37" s="257"/>
      <c r="AJ37" s="258"/>
      <c r="AK37" s="258"/>
      <c r="AL37" s="258"/>
      <c r="AM37" s="259"/>
      <c r="AN37" s="259"/>
    </row>
    <row r="38" spans="1:40" ht="13.5" customHeight="1">
      <c r="A38" s="257"/>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7"/>
      <c r="Z38" s="258"/>
      <c r="AA38" s="263" t="s">
        <v>288</v>
      </c>
      <c r="AB38" s="258"/>
      <c r="AC38" s="259"/>
      <c r="AD38" s="257"/>
      <c r="AE38" s="258"/>
      <c r="AF38" s="263" t="s">
        <v>289</v>
      </c>
      <c r="AG38" s="258"/>
      <c r="AH38" s="259"/>
      <c r="AI38" s="257"/>
      <c r="AJ38" s="258"/>
      <c r="AK38" s="263" t="s">
        <v>289</v>
      </c>
      <c r="AL38" s="258"/>
      <c r="AM38" s="259"/>
      <c r="AN38" s="259"/>
    </row>
    <row r="39" spans="1:40" ht="13.5" customHeight="1">
      <c r="A39" s="257"/>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7"/>
      <c r="Z39" s="258"/>
      <c r="AA39" s="258"/>
      <c r="AB39" s="258"/>
      <c r="AC39" s="259"/>
      <c r="AD39" s="257"/>
      <c r="AE39" s="258"/>
      <c r="AF39" s="258"/>
      <c r="AG39" s="258"/>
      <c r="AH39" s="259"/>
      <c r="AI39" s="257"/>
      <c r="AJ39" s="258"/>
      <c r="AK39" s="258"/>
      <c r="AL39" s="258"/>
      <c r="AM39" s="259"/>
      <c r="AN39" s="259"/>
    </row>
    <row r="40" spans="1:40" ht="13.5" customHeight="1">
      <c r="A40" s="257"/>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64"/>
      <c r="Z40" s="265"/>
      <c r="AA40" s="265"/>
      <c r="AB40" s="265"/>
      <c r="AC40" s="266"/>
      <c r="AD40" s="264"/>
      <c r="AE40" s="265"/>
      <c r="AF40" s="265"/>
      <c r="AG40" s="265"/>
      <c r="AH40" s="266"/>
      <c r="AI40" s="264"/>
      <c r="AJ40" s="265"/>
      <c r="AK40" s="265"/>
      <c r="AL40" s="265"/>
      <c r="AM40" s="266"/>
      <c r="AN40" s="259"/>
    </row>
    <row r="41" spans="1:40" ht="13.5" customHeight="1">
      <c r="A41" s="257"/>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9"/>
    </row>
    <row r="42" spans="1:40" ht="13.5" customHeight="1">
      <c r="A42" s="257"/>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60" t="s">
        <v>290</v>
      </c>
      <c r="Z42" s="258"/>
      <c r="AA42" s="258"/>
      <c r="AB42" s="258"/>
      <c r="AC42" s="258"/>
      <c r="AD42" s="258"/>
      <c r="AE42" s="258"/>
      <c r="AF42" s="258"/>
      <c r="AG42" s="258"/>
      <c r="AH42" s="258"/>
      <c r="AI42" s="258"/>
      <c r="AJ42" s="258"/>
      <c r="AK42" s="258"/>
      <c r="AL42" s="258"/>
      <c r="AM42" s="258"/>
      <c r="AN42" s="259"/>
    </row>
    <row r="43" spans="1:40" ht="13.5" customHeight="1">
      <c r="A43" s="257"/>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77" t="s">
        <v>283</v>
      </c>
      <c r="Z43" s="278"/>
      <c r="AA43" s="278"/>
      <c r="AB43" s="278"/>
      <c r="AC43" s="279"/>
      <c r="AD43" s="277" t="s">
        <v>284</v>
      </c>
      <c r="AE43" s="278"/>
      <c r="AF43" s="278"/>
      <c r="AG43" s="278"/>
      <c r="AH43" s="279"/>
      <c r="AI43" s="277" t="s">
        <v>285</v>
      </c>
      <c r="AJ43" s="278"/>
      <c r="AK43" s="278"/>
      <c r="AL43" s="278"/>
      <c r="AM43" s="279"/>
      <c r="AN43" s="259"/>
    </row>
    <row r="44" spans="1:40" ht="13.5" customHeight="1">
      <c r="A44" s="257"/>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61"/>
      <c r="Z44" s="254"/>
      <c r="AA44" s="254"/>
      <c r="AB44" s="254"/>
      <c r="AC44" s="255"/>
      <c r="AD44" s="253"/>
      <c r="AE44" s="254"/>
      <c r="AF44" s="254"/>
      <c r="AG44" s="254"/>
      <c r="AH44" s="255"/>
      <c r="AI44" s="253"/>
      <c r="AJ44" s="254"/>
      <c r="AK44" s="254"/>
      <c r="AL44" s="254"/>
      <c r="AM44" s="255"/>
      <c r="AN44" s="259"/>
    </row>
    <row r="45" spans="1:40" ht="13.5" customHeight="1">
      <c r="A45" s="257"/>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7"/>
      <c r="Z45" s="262"/>
      <c r="AA45" s="258"/>
      <c r="AB45" s="258"/>
      <c r="AC45" s="259"/>
      <c r="AD45" s="257"/>
      <c r="AE45" s="273"/>
      <c r="AF45" s="273"/>
      <c r="AG45" s="273"/>
      <c r="AH45" s="259"/>
      <c r="AI45" s="257"/>
      <c r="AJ45" s="273"/>
      <c r="AK45" s="273"/>
      <c r="AL45" s="273"/>
      <c r="AM45" s="259"/>
      <c r="AN45" s="259"/>
    </row>
    <row r="46" spans="1:40" ht="13.5" customHeight="1">
      <c r="A46" s="257"/>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7"/>
      <c r="Z46" s="258"/>
      <c r="AA46" s="262"/>
      <c r="AB46" s="258"/>
      <c r="AC46" s="259"/>
      <c r="AD46" s="257"/>
      <c r="AE46" s="273"/>
      <c r="AF46" s="273"/>
      <c r="AG46" s="273"/>
      <c r="AH46" s="259"/>
      <c r="AI46" s="257"/>
      <c r="AJ46" s="273"/>
      <c r="AK46" s="273"/>
      <c r="AL46" s="273"/>
      <c r="AM46" s="259"/>
      <c r="AN46" s="259"/>
    </row>
    <row r="47" spans="1:40" ht="13.5" customHeight="1">
      <c r="A47" s="257"/>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7"/>
      <c r="Z47" s="258"/>
      <c r="AA47" s="258"/>
      <c r="AB47" s="262"/>
      <c r="AC47" s="259"/>
      <c r="AD47" s="257"/>
      <c r="AE47" s="273"/>
      <c r="AF47" s="273"/>
      <c r="AG47" s="273"/>
      <c r="AH47" s="259"/>
      <c r="AI47" s="257"/>
      <c r="AJ47" s="273"/>
      <c r="AK47" s="273"/>
      <c r="AL47" s="273"/>
      <c r="AM47" s="259"/>
      <c r="AN47" s="259"/>
    </row>
    <row r="48" spans="1:40" ht="13.5" customHeight="1">
      <c r="A48" s="257"/>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64"/>
      <c r="Z48" s="265"/>
      <c r="AA48" s="265"/>
      <c r="AB48" s="265"/>
      <c r="AC48" s="267"/>
      <c r="AD48" s="264"/>
      <c r="AE48" s="265"/>
      <c r="AF48" s="265"/>
      <c r="AG48" s="265"/>
      <c r="AH48" s="266"/>
      <c r="AI48" s="264"/>
      <c r="AJ48" s="265"/>
      <c r="AK48" s="265"/>
      <c r="AL48" s="265"/>
      <c r="AM48" s="266"/>
      <c r="AN48" s="259"/>
    </row>
    <row r="49" spans="1:40" ht="13.5" customHeight="1">
      <c r="A49" s="264"/>
      <c r="B49" s="265"/>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6"/>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8673" r:id="rId4">
          <objectPr defaultSize="0" r:id="rId5">
            <anchor>
              <from>
                <xdr:col>34</xdr:col>
                <xdr:colOff>85725</xdr:colOff>
                <xdr:row>35</xdr:row>
                <xdr:rowOff>95250</xdr:rowOff>
              </from>
              <to>
                <xdr:col>38</xdr:col>
                <xdr:colOff>95250</xdr:colOff>
                <xdr:row>39</xdr:row>
                <xdr:rowOff>104775</xdr:rowOff>
              </to>
            </anchor>
          </objectPr>
        </oleObject>
      </mc:Choice>
      <mc:Fallback>
        <oleObject progId="Dstmp.StampObject.7" shapeId="286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election activeCell="AC9" sqref="AC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84" t="s">
        <v>14</v>
      </c>
      <c r="J2" s="284"/>
      <c r="K2" s="284"/>
      <c r="L2" s="284"/>
      <c r="M2" s="284"/>
      <c r="N2" s="284"/>
      <c r="O2" s="284"/>
      <c r="P2" s="284"/>
      <c r="Q2" s="284"/>
      <c r="R2" s="284"/>
    </row>
    <row r="3" spans="2:24" ht="25.5" customHeight="1">
      <c r="C3" s="6"/>
      <c r="D3" s="10" t="str">
        <f ca="1">REPLACE(LEFT(CELL("filename",$B$1),FIND(".xls",CELL("filename",$B$1))-1),1,FIND("[",CELL("filename",$B$1)),)</f>
        <v>alert_H_ACDCSUP-CSTD-1-01-A-C1</v>
      </c>
      <c r="E3" s="6"/>
      <c r="F3" s="6"/>
      <c r="H3" s="8" t="s">
        <v>189</v>
      </c>
      <c r="I3" s="285" t="s">
        <v>188</v>
      </c>
      <c r="J3" s="286"/>
      <c r="K3" s="286"/>
      <c r="L3" s="286"/>
      <c r="M3" s="286"/>
      <c r="N3" s="286"/>
      <c r="O3" s="286"/>
      <c r="P3" s="286"/>
      <c r="Q3" s="286"/>
      <c r="R3" s="286"/>
    </row>
    <row r="4" spans="2:24" ht="25.5" customHeight="1">
      <c r="C4" s="6"/>
      <c r="D4" s="6"/>
      <c r="E4" s="21" t="str">
        <f>DGET(B8:C15,"Ver.",H4:H5)</f>
        <v>1.3.0</v>
      </c>
      <c r="F4" s="6"/>
      <c r="H4" s="9" t="s">
        <v>16</v>
      </c>
    </row>
    <row r="5" spans="2:24" ht="25.5" customHeight="1">
      <c r="C5" s="6"/>
      <c r="D5" s="6"/>
      <c r="E5" s="6"/>
      <c r="F5" s="6"/>
      <c r="H5" s="11">
        <f>MAX(B9:B15)</f>
        <v>4</v>
      </c>
    </row>
    <row r="6" spans="2:24" ht="14.25" thickBot="1"/>
    <row r="7" spans="2:24">
      <c r="C7" s="289" t="s">
        <v>0</v>
      </c>
      <c r="D7" s="290"/>
      <c r="E7" s="291" t="s">
        <v>2</v>
      </c>
      <c r="F7" s="291"/>
      <c r="G7" s="292" t="s">
        <v>5</v>
      </c>
      <c r="H7" s="292"/>
      <c r="I7" s="292"/>
      <c r="J7" s="292"/>
      <c r="K7" s="292"/>
      <c r="L7" s="292"/>
      <c r="M7" s="293" t="s">
        <v>12</v>
      </c>
      <c r="N7" s="293"/>
      <c r="O7" s="293"/>
      <c r="P7" s="293"/>
      <c r="Q7" s="293"/>
      <c r="R7" s="294"/>
      <c r="S7" s="287" t="s">
        <v>291</v>
      </c>
      <c r="T7" s="287"/>
      <c r="U7" s="287"/>
      <c r="V7" s="287"/>
      <c r="W7" s="287"/>
      <c r="X7" s="288"/>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74" t="s">
        <v>11</v>
      </c>
      <c r="S8" s="16" t="s">
        <v>292</v>
      </c>
      <c r="T8" s="16" t="s">
        <v>7</v>
      </c>
      <c r="U8" s="16" t="s">
        <v>8</v>
      </c>
      <c r="V8" s="16" t="s">
        <v>9</v>
      </c>
      <c r="W8" s="16" t="s">
        <v>10</v>
      </c>
      <c r="X8" s="268" t="s">
        <v>11</v>
      </c>
    </row>
    <row r="9" spans="2:24" ht="95.25" thickTop="1">
      <c r="B9" s="9">
        <f>IF(C9=0,0,ROW()-ROW($B$8))</f>
        <v>1</v>
      </c>
      <c r="C9" s="12" t="s">
        <v>15</v>
      </c>
      <c r="D9" s="148" t="s">
        <v>264</v>
      </c>
      <c r="E9" s="13" t="s">
        <v>32</v>
      </c>
      <c r="F9" s="13" t="s">
        <v>217</v>
      </c>
      <c r="G9" s="13" t="s">
        <v>32</v>
      </c>
      <c r="H9" s="13" t="s">
        <v>32</v>
      </c>
      <c r="I9" s="13" t="s">
        <v>32</v>
      </c>
      <c r="J9" s="13" t="s">
        <v>32</v>
      </c>
      <c r="K9" s="13" t="s">
        <v>32</v>
      </c>
      <c r="L9" s="13" t="s">
        <v>32</v>
      </c>
      <c r="M9" s="13"/>
      <c r="N9" s="149"/>
      <c r="O9" s="13"/>
      <c r="P9" s="149"/>
      <c r="Q9" s="13" t="s">
        <v>253</v>
      </c>
      <c r="R9" s="149">
        <v>44376</v>
      </c>
      <c r="S9" s="269" t="s">
        <v>32</v>
      </c>
      <c r="T9" s="269" t="s">
        <v>32</v>
      </c>
      <c r="U9" s="269" t="s">
        <v>32</v>
      </c>
      <c r="V9" s="269" t="s">
        <v>32</v>
      </c>
      <c r="W9" s="269" t="s">
        <v>32</v>
      </c>
      <c r="X9" s="275" t="s">
        <v>32</v>
      </c>
    </row>
    <row r="10" spans="2:24" ht="67.5">
      <c r="B10" s="9">
        <f t="shared" ref="B10:B14" si="0">IF(C10=0,0,ROW()-ROW($B$8))</f>
        <v>2</v>
      </c>
      <c r="C10" s="2" t="s">
        <v>265</v>
      </c>
      <c r="D10" s="252" t="s">
        <v>267</v>
      </c>
      <c r="E10" s="13" t="s">
        <v>32</v>
      </c>
      <c r="F10" s="13" t="s">
        <v>217</v>
      </c>
      <c r="G10" s="13" t="s">
        <v>32</v>
      </c>
      <c r="H10" s="13" t="s">
        <v>32</v>
      </c>
      <c r="I10" s="13" t="s">
        <v>32</v>
      </c>
      <c r="J10" s="13" t="s">
        <v>32</v>
      </c>
      <c r="K10" s="13" t="s">
        <v>32</v>
      </c>
      <c r="L10" s="13" t="s">
        <v>32</v>
      </c>
      <c r="M10" s="1"/>
      <c r="N10" s="1"/>
      <c r="O10" s="1"/>
      <c r="P10" s="1"/>
      <c r="Q10" s="1" t="s">
        <v>266</v>
      </c>
      <c r="R10" s="272">
        <v>44574</v>
      </c>
      <c r="S10" s="269" t="s">
        <v>32</v>
      </c>
      <c r="T10" s="269" t="s">
        <v>32</v>
      </c>
      <c r="U10" s="269" t="s">
        <v>32</v>
      </c>
      <c r="V10" s="269" t="s">
        <v>32</v>
      </c>
      <c r="W10" s="269" t="s">
        <v>32</v>
      </c>
      <c r="X10" s="275" t="s">
        <v>32</v>
      </c>
    </row>
    <row r="11" spans="2:24" ht="67.5">
      <c r="B11" s="9">
        <f t="shared" si="0"/>
        <v>3</v>
      </c>
      <c r="C11" s="2" t="s">
        <v>271</v>
      </c>
      <c r="D11" s="252" t="s">
        <v>273</v>
      </c>
      <c r="E11" s="13" t="s">
        <v>32</v>
      </c>
      <c r="F11" s="13" t="s">
        <v>217</v>
      </c>
      <c r="G11" s="13" t="s">
        <v>32</v>
      </c>
      <c r="H11" s="13" t="s">
        <v>32</v>
      </c>
      <c r="I11" s="13" t="s">
        <v>32</v>
      </c>
      <c r="J11" s="13" t="s">
        <v>32</v>
      </c>
      <c r="K11" s="13" t="s">
        <v>32</v>
      </c>
      <c r="L11" s="13" t="s">
        <v>32</v>
      </c>
      <c r="M11" s="1"/>
      <c r="N11" s="1"/>
      <c r="O11" s="1"/>
      <c r="P11" s="1"/>
      <c r="Q11" s="1" t="s">
        <v>272</v>
      </c>
      <c r="R11" s="272">
        <v>44775</v>
      </c>
      <c r="S11" s="269" t="s">
        <v>32</v>
      </c>
      <c r="T11" s="269" t="s">
        <v>32</v>
      </c>
      <c r="U11" s="269" t="s">
        <v>32</v>
      </c>
      <c r="V11" s="269" t="s">
        <v>32</v>
      </c>
      <c r="W11" s="269" t="s">
        <v>32</v>
      </c>
      <c r="X11" s="275" t="s">
        <v>32</v>
      </c>
    </row>
    <row r="12" spans="2:24" ht="67.5">
      <c r="B12" s="9">
        <f t="shared" ref="B12" si="1">IF(C12=0,0,ROW()-ROW($B$8))</f>
        <v>4</v>
      </c>
      <c r="C12" s="2" t="s">
        <v>280</v>
      </c>
      <c r="D12" s="252" t="s">
        <v>281</v>
      </c>
      <c r="E12" s="13" t="s">
        <v>32</v>
      </c>
      <c r="F12" s="13" t="s">
        <v>217</v>
      </c>
      <c r="G12" s="13" t="s">
        <v>32</v>
      </c>
      <c r="H12" s="13" t="s">
        <v>32</v>
      </c>
      <c r="I12" s="13" t="s">
        <v>32</v>
      </c>
      <c r="J12" s="13" t="s">
        <v>32</v>
      </c>
      <c r="K12" s="13" t="s">
        <v>32</v>
      </c>
      <c r="L12" s="13" t="s">
        <v>32</v>
      </c>
      <c r="M12" s="1" t="s">
        <v>32</v>
      </c>
      <c r="N12" s="1" t="s">
        <v>32</v>
      </c>
      <c r="O12" s="1" t="s">
        <v>32</v>
      </c>
      <c r="P12" s="1" t="s">
        <v>32</v>
      </c>
      <c r="Q12" s="1" t="s">
        <v>32</v>
      </c>
      <c r="R12" s="272" t="s">
        <v>32</v>
      </c>
      <c r="S12" s="269" t="s">
        <v>32</v>
      </c>
      <c r="T12" s="13" t="s">
        <v>32</v>
      </c>
      <c r="U12" s="13" t="s">
        <v>32</v>
      </c>
      <c r="V12" s="13" t="s">
        <v>32</v>
      </c>
      <c r="W12" s="13" t="s">
        <v>293</v>
      </c>
      <c r="X12" s="156">
        <v>45327</v>
      </c>
    </row>
    <row r="13" spans="2:24" ht="67.5">
      <c r="C13" s="2" t="s">
        <v>294</v>
      </c>
      <c r="D13" s="276" t="s">
        <v>296</v>
      </c>
      <c r="E13" s="1" t="s">
        <v>32</v>
      </c>
      <c r="F13" s="1" t="s">
        <v>32</v>
      </c>
      <c r="G13" s="1" t="s">
        <v>32</v>
      </c>
      <c r="H13" s="1" t="s">
        <v>32</v>
      </c>
      <c r="I13" s="1" t="s">
        <v>32</v>
      </c>
      <c r="J13" s="1" t="s">
        <v>32</v>
      </c>
      <c r="K13" s="1" t="s">
        <v>32</v>
      </c>
      <c r="L13" s="1" t="s">
        <v>32</v>
      </c>
      <c r="M13" s="1"/>
      <c r="N13" s="1"/>
      <c r="O13" s="1"/>
      <c r="P13" s="1"/>
      <c r="Q13" s="1"/>
      <c r="R13" s="1"/>
      <c r="S13" s="1"/>
      <c r="T13" s="1"/>
      <c r="U13" s="1"/>
      <c r="V13" s="272"/>
      <c r="W13" s="1" t="s">
        <v>295</v>
      </c>
      <c r="X13" s="156">
        <v>45810</v>
      </c>
    </row>
    <row r="14" spans="2:24" ht="14.25" thickBot="1">
      <c r="B14" s="9">
        <f t="shared" si="0"/>
        <v>0</v>
      </c>
      <c r="C14" s="3"/>
      <c r="D14" s="4"/>
      <c r="E14" s="4"/>
      <c r="F14" s="4"/>
      <c r="G14" s="4"/>
      <c r="H14" s="4"/>
      <c r="I14" s="4"/>
      <c r="J14" s="4"/>
      <c r="K14" s="4"/>
      <c r="L14" s="4"/>
      <c r="M14" s="4"/>
      <c r="N14" s="4"/>
      <c r="O14" s="4"/>
      <c r="P14" s="4"/>
      <c r="Q14" s="4"/>
      <c r="R14" s="4"/>
      <c r="S14" s="271"/>
      <c r="T14" s="4"/>
      <c r="U14" s="4"/>
      <c r="V14" s="4"/>
      <c r="W14" s="4"/>
      <c r="X14" s="270"/>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9" t="s">
        <v>138</v>
      </c>
    </row>
    <row r="3" spans="2:5">
      <c r="C3" t="s">
        <v>148</v>
      </c>
    </row>
    <row r="6" spans="2:5" ht="14.25" thickBot="1">
      <c r="B6" s="119" t="s">
        <v>139</v>
      </c>
      <c r="C6" s="119"/>
    </row>
    <row r="7" spans="2:5" ht="14.25" thickBot="1">
      <c r="C7" s="50" t="s">
        <v>141</v>
      </c>
      <c r="D7" s="58"/>
      <c r="E7" s="51" t="s">
        <v>149</v>
      </c>
    </row>
    <row r="8" spans="2:5" ht="20.25" customHeight="1" thickTop="1">
      <c r="C8" s="123">
        <v>0</v>
      </c>
      <c r="D8" s="59" t="s">
        <v>150</v>
      </c>
      <c r="E8" s="122" t="s">
        <v>268</v>
      </c>
    </row>
    <row r="9" spans="2:5">
      <c r="C9" s="129"/>
      <c r="D9" s="131"/>
      <c r="E9" s="130"/>
    </row>
    <row r="10" spans="2:5" ht="14.25" thickBot="1">
      <c r="C10" s="127"/>
      <c r="D10" s="61"/>
      <c r="E10" s="5"/>
    </row>
    <row r="11" spans="2:5">
      <c r="C11" s="125"/>
    </row>
    <row r="12" spans="2:5" ht="14.25" thickBot="1">
      <c r="B12" s="120" t="s">
        <v>140</v>
      </c>
      <c r="C12" s="57"/>
      <c r="D12" s="57"/>
    </row>
    <row r="13" spans="2:5" ht="14.25" thickBot="1">
      <c r="B13" s="121"/>
      <c r="C13" s="126" t="s">
        <v>141</v>
      </c>
      <c r="D13" s="58" t="s">
        <v>142</v>
      </c>
      <c r="E13" s="51" t="s">
        <v>143</v>
      </c>
    </row>
    <row r="14" spans="2:5" ht="14.25" thickTop="1">
      <c r="C14" s="123">
        <v>0</v>
      </c>
      <c r="D14" s="59" t="s">
        <v>155</v>
      </c>
      <c r="E14" s="128" t="s">
        <v>156</v>
      </c>
    </row>
    <row r="15" spans="2:5">
      <c r="C15" s="124">
        <v>1</v>
      </c>
      <c r="D15" s="60" t="s">
        <v>24</v>
      </c>
      <c r="E15" s="49" t="s">
        <v>144</v>
      </c>
    </row>
    <row r="16" spans="2:5">
      <c r="C16" s="124">
        <v>2</v>
      </c>
      <c r="D16" s="60" t="s">
        <v>25</v>
      </c>
      <c r="E16" s="49" t="s">
        <v>145</v>
      </c>
    </row>
    <row r="17" spans="2:5">
      <c r="C17" s="124">
        <v>3</v>
      </c>
      <c r="D17" s="60" t="s">
        <v>26</v>
      </c>
      <c r="E17" s="49" t="s">
        <v>146</v>
      </c>
    </row>
    <row r="18" spans="2:5">
      <c r="C18" s="124">
        <v>4</v>
      </c>
      <c r="D18" s="60" t="s">
        <v>27</v>
      </c>
      <c r="E18" s="49" t="s">
        <v>147</v>
      </c>
    </row>
    <row r="19" spans="2:5">
      <c r="C19" s="124">
        <v>5</v>
      </c>
      <c r="D19" s="60" t="s">
        <v>157</v>
      </c>
      <c r="E19" s="49" t="s">
        <v>159</v>
      </c>
    </row>
    <row r="20" spans="2:5">
      <c r="C20" s="124">
        <v>6</v>
      </c>
      <c r="D20" s="60" t="s">
        <v>163</v>
      </c>
      <c r="E20" s="49" t="s">
        <v>183</v>
      </c>
    </row>
    <row r="21" spans="2:5" ht="14.25" thickBot="1">
      <c r="C21" s="127"/>
      <c r="D21" s="61"/>
      <c r="E21" s="5"/>
    </row>
    <row r="24" spans="2:5" ht="14.25" thickBot="1">
      <c r="B24" s="119" t="s">
        <v>151</v>
      </c>
    </row>
    <row r="25" spans="2:5" ht="14.25" thickBot="1">
      <c r="C25" s="126" t="s">
        <v>141</v>
      </c>
      <c r="D25" s="58" t="s">
        <v>142</v>
      </c>
      <c r="E25" s="51" t="s">
        <v>143</v>
      </c>
    </row>
    <row r="26" spans="2:5" ht="30.75" customHeight="1" thickTop="1">
      <c r="C26" s="123">
        <v>0</v>
      </c>
      <c r="D26" s="59" t="s">
        <v>152</v>
      </c>
      <c r="E26" s="128" t="s">
        <v>160</v>
      </c>
    </row>
    <row r="27" spans="2:5" ht="120" customHeight="1">
      <c r="C27" s="124">
        <v>1</v>
      </c>
      <c r="D27" s="60" t="s">
        <v>185</v>
      </c>
      <c r="E27" s="62" t="s">
        <v>187</v>
      </c>
    </row>
    <row r="28" spans="2:5" ht="81" customHeight="1">
      <c r="C28" s="124">
        <v>2</v>
      </c>
      <c r="D28" s="60" t="s">
        <v>182</v>
      </c>
      <c r="E28" s="62" t="s">
        <v>193</v>
      </c>
    </row>
    <row r="29" spans="2:5" ht="45" customHeight="1">
      <c r="C29" s="124">
        <v>3</v>
      </c>
      <c r="D29" s="60" t="s">
        <v>158</v>
      </c>
      <c r="E29" s="62" t="s">
        <v>161</v>
      </c>
    </row>
    <row r="30" spans="2:5" ht="16.5" customHeight="1">
      <c r="C30" s="124">
        <v>4</v>
      </c>
      <c r="D30" s="60" t="s">
        <v>153</v>
      </c>
      <c r="E30" s="49" t="s">
        <v>166</v>
      </c>
    </row>
    <row r="31" spans="2:5" ht="16.5" customHeight="1">
      <c r="C31" s="124">
        <v>5</v>
      </c>
      <c r="D31" s="60" t="s">
        <v>154</v>
      </c>
      <c r="E31" s="49" t="s">
        <v>162</v>
      </c>
    </row>
    <row r="32" spans="2:5">
      <c r="C32" s="124"/>
      <c r="D32" s="60"/>
      <c r="E32" s="49"/>
    </row>
    <row r="33" spans="2:5">
      <c r="C33" s="124"/>
      <c r="D33" s="60"/>
      <c r="E33" s="49"/>
    </row>
    <row r="34" spans="2:5" ht="14.25" thickBot="1">
      <c r="C34" s="127"/>
      <c r="D34" s="61"/>
      <c r="E34" s="5"/>
    </row>
    <row r="37" spans="2:5" ht="14.25" thickBot="1">
      <c r="B37" s="119" t="s">
        <v>179</v>
      </c>
    </row>
    <row r="38" spans="2:5">
      <c r="C38" s="295"/>
      <c r="D38" s="296"/>
      <c r="E38" s="83" t="s">
        <v>125</v>
      </c>
    </row>
    <row r="39" spans="2:5" ht="14.25" thickBot="1">
      <c r="C39" s="297"/>
      <c r="D39" s="298"/>
      <c r="E39" s="5"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4" t="s">
        <v>19</v>
      </c>
      <c r="C2" s="325"/>
      <c r="D2" s="312" t="s">
        <v>297</v>
      </c>
      <c r="E2" s="313"/>
      <c r="F2" s="313"/>
      <c r="G2" s="313"/>
      <c r="H2" s="314"/>
    </row>
    <row r="3" spans="2:14">
      <c r="B3" s="299" t="s">
        <v>122</v>
      </c>
      <c r="C3" s="300"/>
      <c r="D3" s="315" t="s">
        <v>298</v>
      </c>
      <c r="E3" s="316"/>
      <c r="F3" s="316"/>
      <c r="G3" s="316"/>
      <c r="H3" s="317"/>
    </row>
    <row r="4" spans="2:14" ht="14.25" thickBot="1">
      <c r="B4" s="310" t="s">
        <v>18</v>
      </c>
      <c r="C4" s="311"/>
      <c r="D4" s="318" t="str">
        <f ca="1">表紙!D3&amp;".c"</f>
        <v>alert_H_ACDCSUP-CSTD-1-01-A-C1.c</v>
      </c>
      <c r="E4" s="319"/>
      <c r="F4" s="319"/>
      <c r="G4" s="319"/>
      <c r="H4" s="32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4" t="s">
        <v>38</v>
      </c>
      <c r="C6" s="325"/>
      <c r="D6" s="321" t="str">
        <f ca="1">MID(D4, LEN("alert_") + 1, FIND("-",D4,1) - LEN("alert_") - 1)</f>
        <v>H_ACDCSUP</v>
      </c>
      <c r="E6" s="322"/>
      <c r="F6" s="322"/>
      <c r="G6" s="322"/>
      <c r="H6" s="323"/>
    </row>
    <row r="7" spans="2:14">
      <c r="B7" s="299" t="s">
        <v>39</v>
      </c>
      <c r="C7" s="300"/>
      <c r="D7" s="301">
        <f>COUNTA($D$13:$D$37)</f>
        <v>1</v>
      </c>
      <c r="E7" s="302"/>
      <c r="F7" s="302"/>
      <c r="G7" s="302"/>
      <c r="H7" s="303"/>
    </row>
    <row r="8" spans="2:14">
      <c r="B8" s="299" t="s">
        <v>98</v>
      </c>
      <c r="C8" s="300"/>
      <c r="D8" s="301" t="str">
        <f ca="1">"st_gp_ALERT_"&amp;UPPER(D6)&amp;"_MTRX"</f>
        <v>st_gp_ALERT_H_ACDCSUP_MTRX</v>
      </c>
      <c r="E8" s="302"/>
      <c r="F8" s="302"/>
      <c r="G8" s="302"/>
      <c r="H8" s="303"/>
    </row>
    <row r="9" spans="2:14">
      <c r="B9" s="299" t="s">
        <v>40</v>
      </c>
      <c r="C9" s="300"/>
      <c r="D9" s="304" t="s">
        <v>218</v>
      </c>
      <c r="E9" s="305"/>
      <c r="F9" s="305"/>
      <c r="G9" s="305"/>
      <c r="H9" s="306"/>
    </row>
    <row r="10" spans="2:14" ht="14.25" thickBot="1">
      <c r="B10" s="310" t="s">
        <v>46</v>
      </c>
      <c r="C10" s="311"/>
      <c r="D10" s="307"/>
      <c r="E10" s="308"/>
      <c r="F10" s="308"/>
      <c r="G10" s="308"/>
      <c r="H10" s="309"/>
    </row>
    <row r="11" spans="2:14" ht="14.25" thickBot="1"/>
    <row r="12" spans="2:14" ht="14.25" thickBot="1">
      <c r="B12" s="110" t="s">
        <v>36</v>
      </c>
      <c r="C12" s="75" t="s">
        <v>45</v>
      </c>
      <c r="D12" s="76" t="s">
        <v>37</v>
      </c>
      <c r="E12" s="76" t="s">
        <v>41</v>
      </c>
      <c r="F12" s="76" t="s">
        <v>42</v>
      </c>
      <c r="G12" s="76" t="s">
        <v>43</v>
      </c>
      <c r="H12" s="77" t="s">
        <v>44</v>
      </c>
      <c r="I12" s="115" t="s">
        <v>53</v>
      </c>
      <c r="K12" s="25" t="s">
        <v>47</v>
      </c>
      <c r="L12" s="25" t="s">
        <v>40</v>
      </c>
      <c r="M12" t="s">
        <v>90</v>
      </c>
    </row>
    <row r="13" spans="2:14" ht="14.25" thickTop="1">
      <c r="B13" s="78">
        <v>1</v>
      </c>
      <c r="C13" s="150" t="s">
        <v>219</v>
      </c>
      <c r="D13" s="151" t="s">
        <v>132</v>
      </c>
      <c r="E13" s="151" t="s">
        <v>178</v>
      </c>
      <c r="F13" s="31" t="str">
        <f t="shared" ref="F13:F37" ca="1" si="0">IF($D13&lt;&gt;"","u4_s_Alert"&amp;UPPER(LEFT($D$6,1))&amp;LOWER(MID($D$6,2,100))&amp;IF($D$7=1,"",N13)&amp;"Srcchk","")</f>
        <v>u4_s_AlertH_acdcsupSrcchk</v>
      </c>
      <c r="G13" s="31" t="str">
        <f t="shared" ref="G13:G37" si="1">IF($D13&lt;&gt;"",IF($E13="○","vd_s_Alert"&amp;UPPER(LEFT($D$6,1))&amp;LOWER(MID($D$6,2,100))&amp;IF($D$7=1,"",N13)&amp;"RwTx","NULL"),"")</f>
        <v>NULL</v>
      </c>
      <c r="H13" s="82" t="str">
        <f ca="1">IF($D13&lt;&gt;"","ALERT_CH_"&amp;UPPER($D$6)&amp;IF($D$7=1,"","_"&amp;UPPER($C13)),"")</f>
        <v>ALERT_CH_H_ACDCSUP</v>
      </c>
      <c r="I13" s="116" t="str">
        <f ca="1">IF($D13&lt;&gt;"","ALERT_REQ_"&amp;UPPER($D$6)&amp;IF($D$7=1,"","_"&amp;UPPER($C13)),"")</f>
        <v>ALERT_REQ_H_ACDCSUP</v>
      </c>
      <c r="K13" t="s">
        <v>48</v>
      </c>
      <c r="L13" t="s">
        <v>52</v>
      </c>
      <c r="M13" t="e">
        <f t="shared" ref="M13:M37" si="2">FIND("_",C13,1)</f>
        <v>#VALUE!</v>
      </c>
      <c r="N13" t="str">
        <f t="shared" ref="N13:N37" si="3">IF(IFERROR(M13,0),UPPER(LEFT(C13,1))&amp;LOWER(MID(C13,2,M13-2))&amp;UPPER(MID(C13,M13+1,1))&amp;LOWER(MID(C13,M13+2,100)),UPPER(LEFT(C13,1))&amp;LOWER(MID(C13,2,100)))</f>
        <v>－</v>
      </c>
    </row>
    <row r="14" spans="2:14">
      <c r="B14" s="68">
        <v>2</v>
      </c>
      <c r="C14" s="113"/>
      <c r="D14" s="114"/>
      <c r="E14" s="114"/>
      <c r="F14" s="26" t="str">
        <f t="shared" si="0"/>
        <v/>
      </c>
      <c r="G14" s="26" t="str">
        <f t="shared" si="1"/>
        <v/>
      </c>
      <c r="H14" s="47" t="str">
        <f t="shared" ref="H14:H37" si="4">IF($D14&lt;&gt;"","ALERT_CH_"&amp;UPPER($D$6)&amp;IF($D$7=1,"","_"&amp;UPPER($C14)),"")</f>
        <v/>
      </c>
      <c r="I14" s="117" t="str">
        <f t="shared" ref="I14:I37" si="5">IF($D14&lt;&gt;"","ALERT_REQ_"&amp;UPPER($D$6)&amp;IF($D$7=1,"","_"&amp;UPPER($C14)),"")</f>
        <v/>
      </c>
      <c r="K14" t="s">
        <v>49</v>
      </c>
      <c r="L14" t="str">
        <f ca="1">"vd_g_Alert"&amp;UPPER(LEFT(D6,1))&amp;LOWER(MID(D6,2,100))&amp;"Init"</f>
        <v>vd_g_AlertH_acdcsupInit</v>
      </c>
      <c r="M14" t="e">
        <f t="shared" si="2"/>
        <v>#VALUE!</v>
      </c>
      <c r="N14" t="str">
        <f t="shared" si="3"/>
        <v/>
      </c>
    </row>
    <row r="15" spans="2:14">
      <c r="B15" s="68">
        <v>3</v>
      </c>
      <c r="C15" s="113"/>
      <c r="D15" s="114"/>
      <c r="E15" s="114"/>
      <c r="F15" s="26" t="str">
        <f t="shared" si="0"/>
        <v/>
      </c>
      <c r="G15" s="26" t="str">
        <f t="shared" si="1"/>
        <v/>
      </c>
      <c r="H15" s="47" t="str">
        <f t="shared" si="4"/>
        <v/>
      </c>
      <c r="I15" s="117" t="str">
        <f t="shared" si="5"/>
        <v/>
      </c>
      <c r="K15" t="s">
        <v>127</v>
      </c>
      <c r="M15" t="e">
        <f t="shared" si="2"/>
        <v>#VALUE!</v>
      </c>
      <c r="N15" t="str">
        <f t="shared" si="3"/>
        <v/>
      </c>
    </row>
    <row r="16" spans="2:14">
      <c r="B16" s="68">
        <v>4</v>
      </c>
      <c r="C16" s="113"/>
      <c r="D16" s="114"/>
      <c r="E16" s="114"/>
      <c r="F16" s="26" t="str">
        <f t="shared" si="0"/>
        <v/>
      </c>
      <c r="G16" s="26" t="str">
        <f t="shared" si="1"/>
        <v/>
      </c>
      <c r="H16" s="47" t="str">
        <f t="shared" si="4"/>
        <v/>
      </c>
      <c r="I16" s="117" t="str">
        <f t="shared" si="5"/>
        <v/>
      </c>
      <c r="K16" t="s">
        <v>128</v>
      </c>
      <c r="M16" t="e">
        <f t="shared" si="2"/>
        <v>#VALUE!</v>
      </c>
      <c r="N16" t="str">
        <f t="shared" si="3"/>
        <v/>
      </c>
    </row>
    <row r="17" spans="2:14">
      <c r="B17" s="68">
        <v>5</v>
      </c>
      <c r="C17" s="113"/>
      <c r="D17" s="114"/>
      <c r="E17" s="114"/>
      <c r="F17" s="26" t="str">
        <f t="shared" si="0"/>
        <v/>
      </c>
      <c r="G17" s="26" t="str">
        <f t="shared" si="1"/>
        <v/>
      </c>
      <c r="H17" s="47" t="str">
        <f t="shared" si="4"/>
        <v/>
      </c>
      <c r="I17" s="117" t="str">
        <f t="shared" si="5"/>
        <v/>
      </c>
      <c r="K17" t="s">
        <v>50</v>
      </c>
      <c r="M17" t="e">
        <f t="shared" si="2"/>
        <v>#VALUE!</v>
      </c>
      <c r="N17" t="str">
        <f t="shared" si="3"/>
        <v/>
      </c>
    </row>
    <row r="18" spans="2:14">
      <c r="B18" s="68">
        <v>6</v>
      </c>
      <c r="C18" s="113"/>
      <c r="D18" s="114"/>
      <c r="E18" s="114"/>
      <c r="F18" s="26" t="str">
        <f t="shared" si="0"/>
        <v/>
      </c>
      <c r="G18" s="26" t="str">
        <f t="shared" si="1"/>
        <v/>
      </c>
      <c r="H18" s="47" t="str">
        <f t="shared" si="4"/>
        <v/>
      </c>
      <c r="I18" s="117" t="str">
        <f t="shared" si="5"/>
        <v/>
      </c>
      <c r="K18" t="s">
        <v>51</v>
      </c>
      <c r="M18" t="e">
        <f t="shared" si="2"/>
        <v>#VALUE!</v>
      </c>
      <c r="N18" t="str">
        <f t="shared" si="3"/>
        <v/>
      </c>
    </row>
    <row r="19" spans="2:14">
      <c r="B19" s="68">
        <v>7</v>
      </c>
      <c r="C19" s="113"/>
      <c r="D19" s="114"/>
      <c r="E19" s="114"/>
      <c r="F19" s="26" t="str">
        <f t="shared" si="0"/>
        <v/>
      </c>
      <c r="G19" s="26" t="str">
        <f t="shared" si="1"/>
        <v/>
      </c>
      <c r="H19" s="47" t="str">
        <f t="shared" si="4"/>
        <v/>
      </c>
      <c r="I19" s="117" t="str">
        <f t="shared" si="5"/>
        <v/>
      </c>
      <c r="K19" t="s">
        <v>51</v>
      </c>
      <c r="M19" t="e">
        <f t="shared" si="2"/>
        <v>#VALUE!</v>
      </c>
      <c r="N19" t="str">
        <f t="shared" si="3"/>
        <v/>
      </c>
    </row>
    <row r="20" spans="2:14">
      <c r="B20" s="68">
        <v>8</v>
      </c>
      <c r="C20" s="113"/>
      <c r="D20" s="114"/>
      <c r="E20" s="114"/>
      <c r="F20" s="26" t="str">
        <f t="shared" si="0"/>
        <v/>
      </c>
      <c r="G20" s="26" t="str">
        <f t="shared" si="1"/>
        <v/>
      </c>
      <c r="H20" s="47" t="str">
        <f t="shared" si="4"/>
        <v/>
      </c>
      <c r="I20" s="117" t="str">
        <f t="shared" si="5"/>
        <v/>
      </c>
      <c r="K20" t="s">
        <v>51</v>
      </c>
      <c r="M20" t="e">
        <f t="shared" si="2"/>
        <v>#VALUE!</v>
      </c>
      <c r="N20" t="str">
        <f t="shared" si="3"/>
        <v/>
      </c>
    </row>
    <row r="21" spans="2:14">
      <c r="B21" s="68">
        <v>9</v>
      </c>
      <c r="C21" s="113"/>
      <c r="D21" s="114"/>
      <c r="E21" s="114"/>
      <c r="F21" s="26" t="str">
        <f t="shared" si="0"/>
        <v/>
      </c>
      <c r="G21" s="26" t="str">
        <f t="shared" si="1"/>
        <v/>
      </c>
      <c r="H21" s="47" t="str">
        <f t="shared" si="4"/>
        <v/>
      </c>
      <c r="I21" s="117" t="str">
        <f t="shared" si="5"/>
        <v/>
      </c>
      <c r="K21" t="s">
        <v>51</v>
      </c>
      <c r="M21" t="e">
        <f t="shared" si="2"/>
        <v>#VALUE!</v>
      </c>
      <c r="N21" t="str">
        <f t="shared" si="3"/>
        <v/>
      </c>
    </row>
    <row r="22" spans="2:14">
      <c r="B22" s="68">
        <v>10</v>
      </c>
      <c r="C22" s="113"/>
      <c r="D22" s="114"/>
      <c r="E22" s="114"/>
      <c r="F22" s="26" t="str">
        <f t="shared" si="0"/>
        <v/>
      </c>
      <c r="G22" s="26" t="str">
        <f t="shared" si="1"/>
        <v/>
      </c>
      <c r="H22" s="47" t="str">
        <f t="shared" si="4"/>
        <v/>
      </c>
      <c r="I22" s="117" t="str">
        <f t="shared" si="5"/>
        <v/>
      </c>
      <c r="K22" t="s">
        <v>51</v>
      </c>
      <c r="M22" t="e">
        <f t="shared" si="2"/>
        <v>#VALUE!</v>
      </c>
      <c r="N22" t="str">
        <f t="shared" si="3"/>
        <v/>
      </c>
    </row>
    <row r="23" spans="2:14">
      <c r="B23" s="68">
        <v>11</v>
      </c>
      <c r="C23" s="113"/>
      <c r="D23" s="114"/>
      <c r="E23" s="114"/>
      <c r="F23" s="26" t="str">
        <f t="shared" si="0"/>
        <v/>
      </c>
      <c r="G23" s="26" t="str">
        <f t="shared" si="1"/>
        <v/>
      </c>
      <c r="H23" s="47" t="str">
        <f t="shared" si="4"/>
        <v/>
      </c>
      <c r="I23" s="117" t="str">
        <f t="shared" si="5"/>
        <v/>
      </c>
      <c r="K23" t="s">
        <v>51</v>
      </c>
      <c r="M23" t="e">
        <f t="shared" si="2"/>
        <v>#VALUE!</v>
      </c>
      <c r="N23" t="str">
        <f t="shared" si="3"/>
        <v/>
      </c>
    </row>
    <row r="24" spans="2:14">
      <c r="B24" s="68">
        <v>12</v>
      </c>
      <c r="C24" s="113"/>
      <c r="D24" s="114"/>
      <c r="E24" s="114"/>
      <c r="F24" s="26" t="str">
        <f t="shared" si="0"/>
        <v/>
      </c>
      <c r="G24" s="26" t="str">
        <f t="shared" si="1"/>
        <v/>
      </c>
      <c r="H24" s="47" t="str">
        <f t="shared" si="4"/>
        <v/>
      </c>
      <c r="I24" s="117" t="str">
        <f t="shared" si="5"/>
        <v/>
      </c>
      <c r="K24" t="s">
        <v>51</v>
      </c>
      <c r="M24" t="e">
        <f t="shared" si="2"/>
        <v>#VALUE!</v>
      </c>
      <c r="N24" t="str">
        <f t="shared" si="3"/>
        <v/>
      </c>
    </row>
    <row r="25" spans="2:14">
      <c r="B25" s="68">
        <v>13</v>
      </c>
      <c r="C25" s="113"/>
      <c r="D25" s="114"/>
      <c r="E25" s="114"/>
      <c r="F25" s="26" t="str">
        <f t="shared" si="0"/>
        <v/>
      </c>
      <c r="G25" s="26" t="str">
        <f t="shared" si="1"/>
        <v/>
      </c>
      <c r="H25" s="47" t="str">
        <f t="shared" si="4"/>
        <v/>
      </c>
      <c r="I25" s="117" t="str">
        <f t="shared" si="5"/>
        <v/>
      </c>
      <c r="K25" t="s">
        <v>51</v>
      </c>
      <c r="M25" t="e">
        <f t="shared" si="2"/>
        <v>#VALUE!</v>
      </c>
      <c r="N25" t="str">
        <f t="shared" si="3"/>
        <v/>
      </c>
    </row>
    <row r="26" spans="2:14">
      <c r="B26" s="68">
        <v>14</v>
      </c>
      <c r="C26" s="113"/>
      <c r="D26" s="114"/>
      <c r="E26" s="114"/>
      <c r="F26" s="26" t="str">
        <f t="shared" si="0"/>
        <v/>
      </c>
      <c r="G26" s="26" t="str">
        <f t="shared" si="1"/>
        <v/>
      </c>
      <c r="H26" s="47" t="str">
        <f t="shared" si="4"/>
        <v/>
      </c>
      <c r="I26" s="117" t="str">
        <f t="shared" si="5"/>
        <v/>
      </c>
      <c r="K26" t="s">
        <v>51</v>
      </c>
      <c r="M26" t="e">
        <f t="shared" si="2"/>
        <v>#VALUE!</v>
      </c>
      <c r="N26" t="str">
        <f t="shared" si="3"/>
        <v/>
      </c>
    </row>
    <row r="27" spans="2:14">
      <c r="B27" s="68">
        <v>15</v>
      </c>
      <c r="C27" s="113"/>
      <c r="D27" s="114"/>
      <c r="E27" s="114"/>
      <c r="F27" s="26" t="str">
        <f t="shared" si="0"/>
        <v/>
      </c>
      <c r="G27" s="26" t="str">
        <f t="shared" si="1"/>
        <v/>
      </c>
      <c r="H27" s="47" t="str">
        <f t="shared" si="4"/>
        <v/>
      </c>
      <c r="I27" s="117" t="str">
        <f t="shared" si="5"/>
        <v/>
      </c>
      <c r="K27" t="s">
        <v>51</v>
      </c>
      <c r="M27" t="e">
        <f t="shared" si="2"/>
        <v>#VALUE!</v>
      </c>
      <c r="N27" t="str">
        <f t="shared" si="3"/>
        <v/>
      </c>
    </row>
    <row r="28" spans="2:14">
      <c r="B28" s="68">
        <v>16</v>
      </c>
      <c r="C28" s="113"/>
      <c r="D28" s="114"/>
      <c r="E28" s="114"/>
      <c r="F28" s="26" t="str">
        <f t="shared" si="0"/>
        <v/>
      </c>
      <c r="G28" s="26" t="str">
        <f t="shared" si="1"/>
        <v/>
      </c>
      <c r="H28" s="47" t="str">
        <f t="shared" si="4"/>
        <v/>
      </c>
      <c r="I28" s="117" t="str">
        <f t="shared" si="5"/>
        <v/>
      </c>
      <c r="K28" t="s">
        <v>51</v>
      </c>
      <c r="M28" t="e">
        <f t="shared" si="2"/>
        <v>#VALUE!</v>
      </c>
      <c r="N28" t="str">
        <f t="shared" si="3"/>
        <v/>
      </c>
    </row>
    <row r="29" spans="2:14">
      <c r="B29" s="68">
        <v>17</v>
      </c>
      <c r="C29" s="113"/>
      <c r="D29" s="114"/>
      <c r="E29" s="114"/>
      <c r="F29" s="26" t="str">
        <f t="shared" si="0"/>
        <v/>
      </c>
      <c r="G29" s="26" t="str">
        <f t="shared" si="1"/>
        <v/>
      </c>
      <c r="H29" s="47" t="str">
        <f t="shared" si="4"/>
        <v/>
      </c>
      <c r="I29" s="117" t="str">
        <f t="shared" si="5"/>
        <v/>
      </c>
      <c r="K29" t="s">
        <v>51</v>
      </c>
      <c r="M29" t="e">
        <f t="shared" si="2"/>
        <v>#VALUE!</v>
      </c>
      <c r="N29" t="str">
        <f t="shared" si="3"/>
        <v/>
      </c>
    </row>
    <row r="30" spans="2:14">
      <c r="B30" s="68">
        <v>18</v>
      </c>
      <c r="C30" s="113"/>
      <c r="D30" s="114"/>
      <c r="E30" s="114"/>
      <c r="F30" s="26" t="str">
        <f t="shared" si="0"/>
        <v/>
      </c>
      <c r="G30" s="26" t="str">
        <f t="shared" si="1"/>
        <v/>
      </c>
      <c r="H30" s="47" t="str">
        <f t="shared" si="4"/>
        <v/>
      </c>
      <c r="I30" s="117" t="str">
        <f t="shared" si="5"/>
        <v/>
      </c>
      <c r="K30" t="s">
        <v>51</v>
      </c>
      <c r="M30" t="e">
        <f t="shared" si="2"/>
        <v>#VALUE!</v>
      </c>
      <c r="N30" t="str">
        <f t="shared" si="3"/>
        <v/>
      </c>
    </row>
    <row r="31" spans="2:14">
      <c r="B31" s="68">
        <v>19</v>
      </c>
      <c r="C31" s="113"/>
      <c r="D31" s="114"/>
      <c r="E31" s="114"/>
      <c r="F31" s="26" t="str">
        <f t="shared" si="0"/>
        <v/>
      </c>
      <c r="G31" s="26" t="str">
        <f t="shared" si="1"/>
        <v/>
      </c>
      <c r="H31" s="47" t="str">
        <f t="shared" si="4"/>
        <v/>
      </c>
      <c r="I31" s="117" t="str">
        <f t="shared" si="5"/>
        <v/>
      </c>
      <c r="K31" t="s">
        <v>51</v>
      </c>
      <c r="M31" t="e">
        <f t="shared" si="2"/>
        <v>#VALUE!</v>
      </c>
      <c r="N31" t="str">
        <f t="shared" si="3"/>
        <v/>
      </c>
    </row>
    <row r="32" spans="2:14">
      <c r="B32" s="68">
        <v>20</v>
      </c>
      <c r="C32" s="113"/>
      <c r="D32" s="114"/>
      <c r="E32" s="114"/>
      <c r="F32" s="26" t="str">
        <f t="shared" si="0"/>
        <v/>
      </c>
      <c r="G32" s="26" t="str">
        <f t="shared" si="1"/>
        <v/>
      </c>
      <c r="H32" s="47" t="str">
        <f t="shared" si="4"/>
        <v/>
      </c>
      <c r="I32" s="117" t="str">
        <f t="shared" si="5"/>
        <v/>
      </c>
      <c r="K32" t="s">
        <v>51</v>
      </c>
      <c r="M32" t="e">
        <f t="shared" si="2"/>
        <v>#VALUE!</v>
      </c>
      <c r="N32" t="str">
        <f t="shared" si="3"/>
        <v/>
      </c>
    </row>
    <row r="33" spans="2:14">
      <c r="B33" s="68">
        <v>21</v>
      </c>
      <c r="C33" s="113"/>
      <c r="D33" s="114"/>
      <c r="E33" s="114"/>
      <c r="F33" s="26" t="str">
        <f t="shared" si="0"/>
        <v/>
      </c>
      <c r="G33" s="26" t="str">
        <f t="shared" si="1"/>
        <v/>
      </c>
      <c r="H33" s="47" t="str">
        <f t="shared" si="4"/>
        <v/>
      </c>
      <c r="I33" s="117" t="str">
        <f t="shared" si="5"/>
        <v/>
      </c>
      <c r="K33" t="s">
        <v>51</v>
      </c>
      <c r="M33" t="e">
        <f t="shared" si="2"/>
        <v>#VALUE!</v>
      </c>
      <c r="N33" t="str">
        <f t="shared" si="3"/>
        <v/>
      </c>
    </row>
    <row r="34" spans="2:14">
      <c r="B34" s="68">
        <v>22</v>
      </c>
      <c r="C34" s="113"/>
      <c r="D34" s="114"/>
      <c r="E34" s="114"/>
      <c r="F34" s="26" t="str">
        <f t="shared" si="0"/>
        <v/>
      </c>
      <c r="G34" s="26" t="str">
        <f t="shared" si="1"/>
        <v/>
      </c>
      <c r="H34" s="47" t="str">
        <f t="shared" si="4"/>
        <v/>
      </c>
      <c r="I34" s="117" t="str">
        <f t="shared" si="5"/>
        <v/>
      </c>
      <c r="K34" t="s">
        <v>51</v>
      </c>
      <c r="M34" t="e">
        <f t="shared" si="2"/>
        <v>#VALUE!</v>
      </c>
      <c r="N34" t="str">
        <f t="shared" si="3"/>
        <v/>
      </c>
    </row>
    <row r="35" spans="2:14">
      <c r="B35" s="68">
        <v>23</v>
      </c>
      <c r="C35" s="113"/>
      <c r="D35" s="114"/>
      <c r="E35" s="114"/>
      <c r="F35" s="26" t="str">
        <f t="shared" si="0"/>
        <v/>
      </c>
      <c r="G35" s="26" t="str">
        <f t="shared" si="1"/>
        <v/>
      </c>
      <c r="H35" s="47" t="str">
        <f t="shared" si="4"/>
        <v/>
      </c>
      <c r="I35" s="117" t="str">
        <f t="shared" si="5"/>
        <v/>
      </c>
      <c r="K35" t="s">
        <v>51</v>
      </c>
      <c r="M35" t="e">
        <f t="shared" si="2"/>
        <v>#VALUE!</v>
      </c>
      <c r="N35" t="str">
        <f t="shared" si="3"/>
        <v/>
      </c>
    </row>
    <row r="36" spans="2:14">
      <c r="B36" s="68">
        <v>24</v>
      </c>
      <c r="C36" s="113"/>
      <c r="D36" s="114"/>
      <c r="E36" s="114"/>
      <c r="F36" s="26" t="str">
        <f t="shared" si="0"/>
        <v/>
      </c>
      <c r="G36" s="26" t="str">
        <f t="shared" si="1"/>
        <v/>
      </c>
      <c r="H36" s="47" t="str">
        <f t="shared" si="4"/>
        <v/>
      </c>
      <c r="I36" s="117" t="str">
        <f t="shared" si="5"/>
        <v/>
      </c>
      <c r="K36" t="s">
        <v>51</v>
      </c>
      <c r="M36" t="e">
        <f t="shared" si="2"/>
        <v>#VALUE!</v>
      </c>
      <c r="N36" t="str">
        <f t="shared" si="3"/>
        <v/>
      </c>
    </row>
    <row r="37" spans="2:14" ht="14.25" thickBot="1">
      <c r="B37" s="69">
        <v>25</v>
      </c>
      <c r="C37" s="111"/>
      <c r="D37" s="112"/>
      <c r="E37" s="112"/>
      <c r="F37" s="34" t="str">
        <f t="shared" si="0"/>
        <v/>
      </c>
      <c r="G37" s="34" t="str">
        <f t="shared" si="1"/>
        <v/>
      </c>
      <c r="H37" s="48" t="str">
        <f t="shared" si="4"/>
        <v/>
      </c>
      <c r="I37" s="118"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10" t="s">
        <v>36</v>
      </c>
      <c r="C3" s="76" t="s">
        <v>195</v>
      </c>
      <c r="D3" s="76" t="s">
        <v>201</v>
      </c>
      <c r="E3" s="77" t="s">
        <v>202</v>
      </c>
      <c r="F3" s="144" t="s">
        <v>197</v>
      </c>
      <c r="G3" s="141" t="s">
        <v>211</v>
      </c>
      <c r="H3" s="25"/>
      <c r="I3" s="25"/>
      <c r="J3" s="25"/>
      <c r="K3" s="25"/>
      <c r="L3" s="25"/>
      <c r="M3" s="25"/>
      <c r="O3" s="110" t="s">
        <v>36</v>
      </c>
      <c r="P3" s="140" t="s">
        <v>191</v>
      </c>
      <c r="Q3" s="140" t="s">
        <v>205</v>
      </c>
      <c r="R3" s="141" t="s">
        <v>197</v>
      </c>
    </row>
    <row r="4" spans="2:18" ht="14.25" hidden="1" thickTop="1">
      <c r="B4" s="132">
        <v>0</v>
      </c>
      <c r="C4" s="133" t="s">
        <v>180</v>
      </c>
      <c r="D4" s="133"/>
      <c r="E4" s="134"/>
      <c r="F4" s="145"/>
      <c r="G4" s="146"/>
      <c r="H4" s="25"/>
      <c r="I4" s="25"/>
      <c r="J4" s="25"/>
      <c r="K4" s="25"/>
      <c r="L4" s="25"/>
      <c r="M4" s="25"/>
      <c r="O4" s="142">
        <v>0</v>
      </c>
      <c r="P4" s="139" t="s">
        <v>180</v>
      </c>
      <c r="Q4" s="139" t="s">
        <v>180</v>
      </c>
      <c r="R4" s="109"/>
    </row>
    <row r="5" spans="2:18" ht="14.25" thickTop="1">
      <c r="B5" s="135">
        <v>1</v>
      </c>
      <c r="C5" s="114"/>
      <c r="D5" s="22"/>
      <c r="E5" s="47" t="str">
        <f>IF($C5&lt;&gt;"","ALERT_" &amp; D5 &amp; "_ID_"&amp;UPPER(Matrix!$D$6) &amp; "_" &amp; $C5,"")</f>
        <v/>
      </c>
      <c r="F5" s="85"/>
      <c r="G5" s="47" t="str">
        <f>IF(E5&lt;&gt;"",LEN(E5),"")</f>
        <v/>
      </c>
      <c r="O5" s="135">
        <v>1</v>
      </c>
      <c r="P5" s="114"/>
      <c r="Q5" s="114"/>
      <c r="R5" s="86"/>
    </row>
    <row r="6" spans="2:18">
      <c r="B6" s="135">
        <v>2</v>
      </c>
      <c r="C6" s="114"/>
      <c r="D6" s="22"/>
      <c r="E6" s="47" t="str">
        <f>IF($C6&lt;&gt;"","ALERT_" &amp; D6 &amp; "_ID_"&amp;UPPER(Matrix!$D$6) &amp; "_" &amp; $C6,"")</f>
        <v/>
      </c>
      <c r="F6" s="85"/>
      <c r="G6" s="47" t="str">
        <f t="shared" ref="G6:G29" si="0">IF(E6&lt;&gt;"",LEN(E6),"")</f>
        <v/>
      </c>
      <c r="O6" s="135">
        <v>2</v>
      </c>
      <c r="P6" s="114"/>
      <c r="Q6" s="114"/>
      <c r="R6" s="86"/>
    </row>
    <row r="7" spans="2:18">
      <c r="B7" s="135">
        <v>3</v>
      </c>
      <c r="C7" s="114"/>
      <c r="D7" s="22"/>
      <c r="E7" s="47" t="str">
        <f>IF($C7&lt;&gt;"","ALERT_" &amp; D7 &amp; "_ID_"&amp;UPPER(Matrix!$D$6) &amp; "_" &amp; $C7,"")</f>
        <v/>
      </c>
      <c r="F7" s="85"/>
      <c r="G7" s="47" t="str">
        <f t="shared" si="0"/>
        <v/>
      </c>
      <c r="O7" s="135">
        <v>3</v>
      </c>
      <c r="P7" s="114"/>
      <c r="Q7" s="114"/>
      <c r="R7" s="86"/>
    </row>
    <row r="8" spans="2:18">
      <c r="B8" s="135">
        <v>4</v>
      </c>
      <c r="C8" s="114"/>
      <c r="D8" s="22"/>
      <c r="E8" s="47" t="str">
        <f>IF($C8&lt;&gt;"","ALERT_" &amp; D8 &amp; "_ID_"&amp;UPPER(Matrix!$D$6) &amp; "_" &amp; $C8,"")</f>
        <v/>
      </c>
      <c r="F8" s="85"/>
      <c r="G8" s="47" t="str">
        <f t="shared" si="0"/>
        <v/>
      </c>
      <c r="O8" s="135">
        <v>4</v>
      </c>
      <c r="P8" s="114"/>
      <c r="Q8" s="114"/>
      <c r="R8" s="86"/>
    </row>
    <row r="9" spans="2:18">
      <c r="B9" s="135">
        <v>5</v>
      </c>
      <c r="C9" s="114"/>
      <c r="D9" s="22"/>
      <c r="E9" s="47" t="str">
        <f>IF($C9&lt;&gt;"","ALERT_" &amp; D9 &amp; "_ID_"&amp;UPPER(Matrix!$D$6) &amp; "_" &amp; $C9,"")</f>
        <v/>
      </c>
      <c r="F9" s="85"/>
      <c r="G9" s="47" t="str">
        <f t="shared" si="0"/>
        <v/>
      </c>
      <c r="O9" s="135">
        <v>5</v>
      </c>
      <c r="P9" s="114"/>
      <c r="Q9" s="114"/>
      <c r="R9" s="86"/>
    </row>
    <row r="10" spans="2:18">
      <c r="B10" s="135">
        <v>6</v>
      </c>
      <c r="C10" s="114"/>
      <c r="D10" s="22"/>
      <c r="E10" s="47" t="str">
        <f>IF($C10&lt;&gt;"","ALERT_" &amp; D10 &amp; "_ID_"&amp;UPPER(Matrix!$D$6) &amp; "_" &amp; $C10,"")</f>
        <v/>
      </c>
      <c r="F10" s="85"/>
      <c r="G10" s="47" t="str">
        <f t="shared" si="0"/>
        <v/>
      </c>
      <c r="O10" s="135">
        <v>6</v>
      </c>
      <c r="P10" s="114"/>
      <c r="Q10" s="114"/>
      <c r="R10" s="86"/>
    </row>
    <row r="11" spans="2:18">
      <c r="B11" s="135">
        <v>7</v>
      </c>
      <c r="C11" s="114"/>
      <c r="D11" s="22"/>
      <c r="E11" s="47" t="str">
        <f>IF($C11&lt;&gt;"","ALERT_" &amp; D11 &amp; "_ID_"&amp;UPPER(Matrix!$D$6) &amp; "_" &amp; $C11,"")</f>
        <v/>
      </c>
      <c r="F11" s="85"/>
      <c r="G11" s="47" t="str">
        <f t="shared" si="0"/>
        <v/>
      </c>
      <c r="O11" s="135">
        <v>7</v>
      </c>
      <c r="P11" s="114"/>
      <c r="Q11" s="114"/>
      <c r="R11" s="86"/>
    </row>
    <row r="12" spans="2:18">
      <c r="B12" s="135">
        <v>8</v>
      </c>
      <c r="C12" s="114"/>
      <c r="D12" s="22"/>
      <c r="E12" s="47" t="str">
        <f>IF($C12&lt;&gt;"","ALERT_" &amp; D12 &amp; "_ID_"&amp;UPPER(Matrix!$D$6) &amp; "_" &amp; $C12,"")</f>
        <v/>
      </c>
      <c r="F12" s="85"/>
      <c r="G12" s="47" t="str">
        <f t="shared" si="0"/>
        <v/>
      </c>
      <c r="O12" s="135">
        <v>8</v>
      </c>
      <c r="P12" s="114"/>
      <c r="Q12" s="114"/>
      <c r="R12" s="86"/>
    </row>
    <row r="13" spans="2:18">
      <c r="B13" s="135">
        <v>9</v>
      </c>
      <c r="C13" s="114"/>
      <c r="D13" s="22"/>
      <c r="E13" s="47" t="str">
        <f>IF($C13&lt;&gt;"","ALERT_" &amp; D13 &amp; "_ID_"&amp;UPPER(Matrix!$D$6) &amp; "_" &amp; $C13,"")</f>
        <v/>
      </c>
      <c r="F13" s="85"/>
      <c r="G13" s="47" t="str">
        <f t="shared" si="0"/>
        <v/>
      </c>
      <c r="O13" s="135">
        <v>9</v>
      </c>
      <c r="P13" s="114"/>
      <c r="Q13" s="114"/>
      <c r="R13" s="86"/>
    </row>
    <row r="14" spans="2:18">
      <c r="B14" s="135">
        <v>10</v>
      </c>
      <c r="C14" s="114"/>
      <c r="D14" s="22"/>
      <c r="E14" s="47" t="str">
        <f>IF($C14&lt;&gt;"","ALERT_" &amp; D14 &amp; "_ID_"&amp;UPPER(Matrix!$D$6) &amp; "_" &amp; $C14,"")</f>
        <v/>
      </c>
      <c r="F14" s="85"/>
      <c r="G14" s="47" t="str">
        <f t="shared" si="0"/>
        <v/>
      </c>
      <c r="O14" s="135">
        <v>10</v>
      </c>
      <c r="P14" s="114"/>
      <c r="Q14" s="114"/>
      <c r="R14" s="86"/>
    </row>
    <row r="15" spans="2:18">
      <c r="B15" s="135">
        <v>11</v>
      </c>
      <c r="C15" s="114"/>
      <c r="D15" s="22"/>
      <c r="E15" s="47" t="str">
        <f>IF($C15&lt;&gt;"","ALERT_" &amp; D15 &amp; "_ID_"&amp;UPPER(Matrix!$D$6) &amp; "_" &amp; $C15,"")</f>
        <v/>
      </c>
      <c r="F15" s="85"/>
      <c r="G15" s="47" t="str">
        <f t="shared" si="0"/>
        <v/>
      </c>
      <c r="O15" s="135">
        <v>11</v>
      </c>
      <c r="P15" s="114"/>
      <c r="Q15" s="114"/>
      <c r="R15" s="86"/>
    </row>
    <row r="16" spans="2:18">
      <c r="B16" s="135">
        <v>12</v>
      </c>
      <c r="C16" s="114"/>
      <c r="D16" s="22"/>
      <c r="E16" s="47" t="str">
        <f>IF($C16&lt;&gt;"","ALERT_" &amp; D16 &amp; "_ID_"&amp;UPPER(Matrix!$D$6) &amp; "_" &amp; $C16,"")</f>
        <v/>
      </c>
      <c r="F16" s="85"/>
      <c r="G16" s="47" t="str">
        <f t="shared" si="0"/>
        <v/>
      </c>
      <c r="O16" s="135">
        <v>12</v>
      </c>
      <c r="P16" s="114"/>
      <c r="Q16" s="114"/>
      <c r="R16" s="86"/>
    </row>
    <row r="17" spans="2:18">
      <c r="B17" s="135">
        <v>13</v>
      </c>
      <c r="C17" s="114"/>
      <c r="D17" s="22"/>
      <c r="E17" s="47" t="str">
        <f>IF($C17&lt;&gt;"","ALERT_" &amp; D17 &amp; "_ID_"&amp;UPPER(Matrix!$D$6) &amp; "_" &amp; $C17,"")</f>
        <v/>
      </c>
      <c r="F17" s="85"/>
      <c r="G17" s="47" t="str">
        <f t="shared" si="0"/>
        <v/>
      </c>
      <c r="O17" s="135">
        <v>13</v>
      </c>
      <c r="P17" s="114"/>
      <c r="Q17" s="114"/>
      <c r="R17" s="86"/>
    </row>
    <row r="18" spans="2:18">
      <c r="B18" s="135">
        <v>14</v>
      </c>
      <c r="C18" s="114"/>
      <c r="D18" s="22"/>
      <c r="E18" s="47" t="str">
        <f>IF($C18&lt;&gt;"","ALERT_" &amp; D18 &amp; "_ID_"&amp;UPPER(Matrix!$D$6) &amp; "_" &amp; $C18,"")</f>
        <v/>
      </c>
      <c r="F18" s="85"/>
      <c r="G18" s="47" t="str">
        <f t="shared" si="0"/>
        <v/>
      </c>
      <c r="O18" s="135">
        <v>14</v>
      </c>
      <c r="P18" s="114"/>
      <c r="Q18" s="114"/>
      <c r="R18" s="86"/>
    </row>
    <row r="19" spans="2:18">
      <c r="B19" s="135">
        <v>15</v>
      </c>
      <c r="C19" s="114"/>
      <c r="D19" s="22"/>
      <c r="E19" s="47" t="str">
        <f>IF($C19&lt;&gt;"","ALERT_" &amp; D19 &amp; "_ID_"&amp;UPPER(Matrix!$D$6) &amp; "_" &amp; $C19,"")</f>
        <v/>
      </c>
      <c r="F19" s="85"/>
      <c r="G19" s="47" t="str">
        <f t="shared" si="0"/>
        <v/>
      </c>
      <c r="O19" s="135">
        <v>15</v>
      </c>
      <c r="P19" s="114"/>
      <c r="Q19" s="114"/>
      <c r="R19" s="86"/>
    </row>
    <row r="20" spans="2:18">
      <c r="B20" s="135">
        <v>16</v>
      </c>
      <c r="C20" s="114"/>
      <c r="D20" s="22"/>
      <c r="E20" s="47" t="str">
        <f>IF($C20&lt;&gt;"","ALERT_" &amp; D20 &amp; "_ID_"&amp;UPPER(Matrix!$D$6) &amp; "_" &amp; $C20,"")</f>
        <v/>
      </c>
      <c r="F20" s="85"/>
      <c r="G20" s="47" t="str">
        <f t="shared" si="0"/>
        <v/>
      </c>
      <c r="O20" s="135">
        <v>16</v>
      </c>
      <c r="P20" s="114"/>
      <c r="Q20" s="114"/>
      <c r="R20" s="86"/>
    </row>
    <row r="21" spans="2:18">
      <c r="B21" s="135">
        <v>17</v>
      </c>
      <c r="C21" s="114"/>
      <c r="D21" s="22"/>
      <c r="E21" s="47" t="str">
        <f>IF($C21&lt;&gt;"","ALERT_" &amp; D21 &amp; "_ID_"&amp;UPPER(Matrix!$D$6) &amp; "_" &amp; $C21,"")</f>
        <v/>
      </c>
      <c r="F21" s="85"/>
      <c r="G21" s="47" t="str">
        <f t="shared" si="0"/>
        <v/>
      </c>
      <c r="O21" s="135">
        <v>17</v>
      </c>
      <c r="P21" s="114"/>
      <c r="Q21" s="114"/>
      <c r="R21" s="86"/>
    </row>
    <row r="22" spans="2:18">
      <c r="B22" s="135">
        <v>18</v>
      </c>
      <c r="C22" s="114"/>
      <c r="D22" s="22"/>
      <c r="E22" s="47" t="str">
        <f>IF($C22&lt;&gt;"","ALERT_" &amp; D22 &amp; "_ID_"&amp;UPPER(Matrix!$D$6) &amp; "_" &amp; $C22,"")</f>
        <v/>
      </c>
      <c r="F22" s="85"/>
      <c r="G22" s="47" t="str">
        <f t="shared" si="0"/>
        <v/>
      </c>
      <c r="O22" s="135">
        <v>18</v>
      </c>
      <c r="P22" s="114"/>
      <c r="Q22" s="114"/>
      <c r="R22" s="86"/>
    </row>
    <row r="23" spans="2:18">
      <c r="B23" s="135">
        <v>19</v>
      </c>
      <c r="C23" s="114"/>
      <c r="D23" s="22"/>
      <c r="E23" s="47" t="str">
        <f>IF($C23&lt;&gt;"","ALERT_" &amp; D23 &amp; "_ID_"&amp;UPPER(Matrix!$D$6) &amp; "_" &amp; $C23,"")</f>
        <v/>
      </c>
      <c r="F23" s="85"/>
      <c r="G23" s="47" t="str">
        <f t="shared" si="0"/>
        <v/>
      </c>
      <c r="O23" s="135">
        <v>19</v>
      </c>
      <c r="P23" s="114"/>
      <c r="Q23" s="114"/>
      <c r="R23" s="86"/>
    </row>
    <row r="24" spans="2:18">
      <c r="B24" s="135">
        <v>20</v>
      </c>
      <c r="C24" s="114"/>
      <c r="D24" s="22"/>
      <c r="E24" s="47" t="str">
        <f>IF($C24&lt;&gt;"","ALERT_" &amp; D24 &amp; "_ID_"&amp;UPPER(Matrix!$D$6) &amp; "_" &amp; $C24,"")</f>
        <v/>
      </c>
      <c r="F24" s="85"/>
      <c r="G24" s="47" t="str">
        <f t="shared" si="0"/>
        <v/>
      </c>
      <c r="O24" s="135">
        <v>20</v>
      </c>
      <c r="P24" s="114"/>
      <c r="Q24" s="114"/>
      <c r="R24" s="86"/>
    </row>
    <row r="25" spans="2:18">
      <c r="B25" s="135">
        <v>21</v>
      </c>
      <c r="C25" s="114"/>
      <c r="D25" s="22"/>
      <c r="E25" s="47" t="str">
        <f>IF($C25&lt;&gt;"","ALERT_" &amp; D25 &amp; "_ID_"&amp;UPPER(Matrix!$D$6) &amp; "_" &amp; $C25,"")</f>
        <v/>
      </c>
      <c r="F25" s="85"/>
      <c r="G25" s="47" t="str">
        <f t="shared" si="0"/>
        <v/>
      </c>
      <c r="O25" s="135">
        <v>21</v>
      </c>
      <c r="P25" s="114"/>
      <c r="Q25" s="114"/>
      <c r="R25" s="86"/>
    </row>
    <row r="26" spans="2:18">
      <c r="B26" s="135">
        <v>22</v>
      </c>
      <c r="C26" s="114"/>
      <c r="D26" s="22"/>
      <c r="E26" s="47" t="str">
        <f>IF($C26&lt;&gt;"","ALERT_" &amp; D26 &amp; "_ID_"&amp;UPPER(Matrix!$D$6) &amp; "_" &amp; $C26,"")</f>
        <v/>
      </c>
      <c r="F26" s="85"/>
      <c r="G26" s="47" t="str">
        <f t="shared" si="0"/>
        <v/>
      </c>
      <c r="O26" s="135">
        <v>22</v>
      </c>
      <c r="P26" s="114"/>
      <c r="Q26" s="114"/>
      <c r="R26" s="86"/>
    </row>
    <row r="27" spans="2:18">
      <c r="B27" s="135">
        <v>23</v>
      </c>
      <c r="C27" s="114"/>
      <c r="D27" s="22"/>
      <c r="E27" s="47" t="str">
        <f>IF($C27&lt;&gt;"","ALERT_" &amp; D27 &amp; "_ID_"&amp;UPPER(Matrix!$D$6) &amp; "_" &amp; $C27,"")</f>
        <v/>
      </c>
      <c r="F27" s="85"/>
      <c r="G27" s="47" t="str">
        <f t="shared" si="0"/>
        <v/>
      </c>
      <c r="O27" s="135">
        <v>23</v>
      </c>
      <c r="P27" s="114"/>
      <c r="Q27" s="114"/>
      <c r="R27" s="86"/>
    </row>
    <row r="28" spans="2:18">
      <c r="B28" s="135">
        <v>24</v>
      </c>
      <c r="C28" s="114"/>
      <c r="D28" s="22"/>
      <c r="E28" s="47" t="str">
        <f>IF($C28&lt;&gt;"","ALERT_" &amp; D28 &amp; "_ID_"&amp;UPPER(Matrix!$D$6) &amp; "_" &amp; $C28,"")</f>
        <v/>
      </c>
      <c r="F28" s="85"/>
      <c r="G28" s="47" t="str">
        <f t="shared" si="0"/>
        <v/>
      </c>
      <c r="O28" s="135">
        <v>24</v>
      </c>
      <c r="P28" s="114"/>
      <c r="Q28" s="114"/>
      <c r="R28" s="86"/>
    </row>
    <row r="29" spans="2:18" ht="14.25" thickBot="1">
      <c r="B29" s="136">
        <v>25</v>
      </c>
      <c r="C29" s="112"/>
      <c r="D29" s="33"/>
      <c r="E29" s="48" t="str">
        <f>IF($C29&lt;&gt;"","ALERT_" &amp; D29 &amp; "_ID_"&amp;UPPER(Matrix!$D$6) &amp; "_" &amp; $C29,"")</f>
        <v/>
      </c>
      <c r="F29" s="87"/>
      <c r="G29" s="48" t="str">
        <f t="shared" si="0"/>
        <v/>
      </c>
      <c r="O29" s="136">
        <v>25</v>
      </c>
      <c r="P29" s="112"/>
      <c r="Q29" s="112"/>
      <c r="R29" s="88"/>
    </row>
    <row r="32" spans="2:18" ht="14.25" thickBot="1">
      <c r="B32" t="s">
        <v>207</v>
      </c>
      <c r="O32" t="s">
        <v>204</v>
      </c>
    </row>
    <row r="33" spans="2:18" ht="14.25" thickBot="1">
      <c r="B33" s="110" t="s">
        <v>36</v>
      </c>
      <c r="C33" s="76" t="s">
        <v>195</v>
      </c>
      <c r="D33" s="76" t="s">
        <v>200</v>
      </c>
      <c r="E33" s="77" t="s">
        <v>198</v>
      </c>
      <c r="F33" s="141" t="s">
        <v>199</v>
      </c>
      <c r="G33" s="141" t="s">
        <v>211</v>
      </c>
      <c r="O33" s="110" t="s">
        <v>36</v>
      </c>
      <c r="P33" s="140" t="s">
        <v>192</v>
      </c>
      <c r="Q33" s="140" t="s">
        <v>209</v>
      </c>
      <c r="R33" s="141" t="s">
        <v>196</v>
      </c>
    </row>
    <row r="34" spans="2:18" ht="14.25" hidden="1" thickTop="1">
      <c r="B34" s="132">
        <v>0</v>
      </c>
      <c r="C34" s="133" t="s">
        <v>180</v>
      </c>
      <c r="D34" s="133"/>
      <c r="E34" s="134"/>
      <c r="F34" s="143" t="s">
        <v>180</v>
      </c>
      <c r="G34" s="146"/>
      <c r="O34" s="142">
        <v>0</v>
      </c>
      <c r="P34" s="139" t="s">
        <v>180</v>
      </c>
      <c r="Q34" s="139" t="s">
        <v>180</v>
      </c>
      <c r="R34" s="143" t="s">
        <v>180</v>
      </c>
    </row>
    <row r="35" spans="2:18" ht="14.25" thickTop="1">
      <c r="B35" s="135">
        <v>1</v>
      </c>
      <c r="C35" s="114"/>
      <c r="D35" s="22"/>
      <c r="E35" s="47" t="str">
        <f>IF($C35&lt;&gt;"","ALERT_" &amp; UPPER(Matrix!$D$6) &amp; "_" &amp; $C35,"")</f>
        <v/>
      </c>
      <c r="F35" s="137"/>
      <c r="G35" s="47" t="str">
        <f>IF(E35&lt;&gt;"",LEN(E35),"")</f>
        <v/>
      </c>
      <c r="O35" s="135">
        <v>1</v>
      </c>
      <c r="P35" s="114"/>
      <c r="Q35" s="114"/>
      <c r="R35" s="137"/>
    </row>
    <row r="36" spans="2:18">
      <c r="B36" s="135">
        <v>2</v>
      </c>
      <c r="C36" s="114"/>
      <c r="D36" s="22"/>
      <c r="E36" s="47" t="str">
        <f>IF($C36&lt;&gt;"","ALERT_" &amp; UPPER(Matrix!$D$6) &amp; "_" &amp; $C36,"")</f>
        <v/>
      </c>
      <c r="F36" s="137"/>
      <c r="G36" s="47" t="str">
        <f>IF(E36&lt;&gt;"",LEN(E36),"")</f>
        <v/>
      </c>
      <c r="O36" s="135">
        <v>2</v>
      </c>
      <c r="P36" s="114"/>
      <c r="Q36" s="114"/>
      <c r="R36" s="137"/>
    </row>
    <row r="37" spans="2:18">
      <c r="B37" s="135">
        <v>3</v>
      </c>
      <c r="C37" s="114"/>
      <c r="D37" s="22"/>
      <c r="E37" s="47" t="str">
        <f>IF($C37&lt;&gt;"","ALERT_" &amp; UPPER(Matrix!$D$6) &amp; "_" &amp; $C37,"")</f>
        <v/>
      </c>
      <c r="F37" s="137"/>
      <c r="G37" s="47" t="str">
        <f>IF(E37&lt;&gt;"",LEN(E37),"")</f>
        <v/>
      </c>
      <c r="O37" s="135">
        <v>3</v>
      </c>
      <c r="P37" s="114"/>
      <c r="Q37" s="114"/>
      <c r="R37" s="137"/>
    </row>
    <row r="38" spans="2:18">
      <c r="B38" s="135">
        <v>4</v>
      </c>
      <c r="C38" s="114"/>
      <c r="D38" s="22"/>
      <c r="E38" s="47" t="str">
        <f>IF($C38&lt;&gt;"","ALERT_" &amp; UPPER(Matrix!$D$6) &amp; "_" &amp; $C38,"")</f>
        <v/>
      </c>
      <c r="F38" s="137"/>
      <c r="G38" s="47" t="str">
        <f t="shared" ref="G38:G59" si="1">IF(E38&lt;&gt;"",LEN(E38),"")</f>
        <v/>
      </c>
      <c r="O38" s="135">
        <v>4</v>
      </c>
      <c r="P38" s="114"/>
      <c r="Q38" s="114"/>
      <c r="R38" s="137"/>
    </row>
    <row r="39" spans="2:18">
      <c r="B39" s="135">
        <v>5</v>
      </c>
      <c r="C39" s="114"/>
      <c r="D39" s="22"/>
      <c r="E39" s="47" t="str">
        <f>IF($C39&lt;&gt;"","ALERT_" &amp; UPPER(Matrix!$D$6) &amp; "_" &amp; $C39,"")</f>
        <v/>
      </c>
      <c r="F39" s="137"/>
      <c r="G39" s="47" t="str">
        <f t="shared" si="1"/>
        <v/>
      </c>
      <c r="O39" s="135">
        <v>5</v>
      </c>
      <c r="P39" s="114"/>
      <c r="Q39" s="114"/>
      <c r="R39" s="137"/>
    </row>
    <row r="40" spans="2:18">
      <c r="B40" s="135">
        <v>6</v>
      </c>
      <c r="C40" s="114"/>
      <c r="D40" s="22"/>
      <c r="E40" s="47" t="str">
        <f>IF($C40&lt;&gt;"","ALERT_" &amp; UPPER(Matrix!$D$6) &amp; "_" &amp; $C40,"")</f>
        <v/>
      </c>
      <c r="F40" s="137"/>
      <c r="G40" s="47" t="str">
        <f t="shared" si="1"/>
        <v/>
      </c>
      <c r="O40" s="135">
        <v>6</v>
      </c>
      <c r="P40" s="114"/>
      <c r="Q40" s="114"/>
      <c r="R40" s="137"/>
    </row>
    <row r="41" spans="2:18">
      <c r="B41" s="135">
        <v>7</v>
      </c>
      <c r="C41" s="114"/>
      <c r="D41" s="22"/>
      <c r="E41" s="47" t="str">
        <f>IF($C41&lt;&gt;"","ALERT_" &amp; UPPER(Matrix!$D$6) &amp; "_" &amp; $C41,"")</f>
        <v/>
      </c>
      <c r="F41" s="137"/>
      <c r="G41" s="47" t="str">
        <f t="shared" si="1"/>
        <v/>
      </c>
      <c r="O41" s="135">
        <v>7</v>
      </c>
      <c r="P41" s="114"/>
      <c r="Q41" s="114"/>
      <c r="R41" s="137"/>
    </row>
    <row r="42" spans="2:18">
      <c r="B42" s="135">
        <v>8</v>
      </c>
      <c r="C42" s="114"/>
      <c r="D42" s="22"/>
      <c r="E42" s="47" t="str">
        <f>IF($C42&lt;&gt;"","ALERT_" &amp; UPPER(Matrix!$D$6) &amp; "_" &amp; $C42,"")</f>
        <v/>
      </c>
      <c r="F42" s="137"/>
      <c r="G42" s="47" t="str">
        <f t="shared" si="1"/>
        <v/>
      </c>
      <c r="O42" s="135">
        <v>8</v>
      </c>
      <c r="P42" s="114"/>
      <c r="Q42" s="114"/>
      <c r="R42" s="137"/>
    </row>
    <row r="43" spans="2:18">
      <c r="B43" s="135">
        <v>9</v>
      </c>
      <c r="C43" s="114"/>
      <c r="D43" s="22"/>
      <c r="E43" s="47" t="str">
        <f>IF($C43&lt;&gt;"","ALERT_" &amp; UPPER(Matrix!$D$6) &amp; "_" &amp; $C43,"")</f>
        <v/>
      </c>
      <c r="F43" s="137"/>
      <c r="G43" s="47" t="str">
        <f t="shared" si="1"/>
        <v/>
      </c>
      <c r="O43" s="135">
        <v>9</v>
      </c>
      <c r="P43" s="114"/>
      <c r="Q43" s="114"/>
      <c r="R43" s="137"/>
    </row>
    <row r="44" spans="2:18">
      <c r="B44" s="135">
        <v>10</v>
      </c>
      <c r="C44" s="114"/>
      <c r="D44" s="22"/>
      <c r="E44" s="47" t="str">
        <f>IF($C44&lt;&gt;"","ALERT_" &amp; UPPER(Matrix!$D$6) &amp; "_" &amp; $C44,"")</f>
        <v/>
      </c>
      <c r="F44" s="137"/>
      <c r="G44" s="47" t="str">
        <f t="shared" si="1"/>
        <v/>
      </c>
      <c r="O44" s="135">
        <v>10</v>
      </c>
      <c r="P44" s="114"/>
      <c r="Q44" s="114"/>
      <c r="R44" s="137"/>
    </row>
    <row r="45" spans="2:18">
      <c r="B45" s="135">
        <v>11</v>
      </c>
      <c r="C45" s="114"/>
      <c r="D45" s="22"/>
      <c r="E45" s="47" t="str">
        <f>IF($C45&lt;&gt;"","ALERT_" &amp; UPPER(Matrix!$D$6) &amp; "_" &amp; $C45,"")</f>
        <v/>
      </c>
      <c r="F45" s="137"/>
      <c r="G45" s="47" t="str">
        <f t="shared" si="1"/>
        <v/>
      </c>
      <c r="O45" s="135">
        <v>11</v>
      </c>
      <c r="P45" s="114"/>
      <c r="Q45" s="114"/>
      <c r="R45" s="137"/>
    </row>
    <row r="46" spans="2:18">
      <c r="B46" s="135">
        <v>12</v>
      </c>
      <c r="C46" s="114"/>
      <c r="D46" s="22"/>
      <c r="E46" s="47" t="str">
        <f>IF($C46&lt;&gt;"","ALERT_" &amp; UPPER(Matrix!$D$6) &amp; "_" &amp; $C46,"")</f>
        <v/>
      </c>
      <c r="F46" s="137"/>
      <c r="G46" s="47" t="str">
        <f t="shared" si="1"/>
        <v/>
      </c>
      <c r="O46" s="135">
        <v>12</v>
      </c>
      <c r="P46" s="114"/>
      <c r="Q46" s="114"/>
      <c r="R46" s="137"/>
    </row>
    <row r="47" spans="2:18">
      <c r="B47" s="135">
        <v>13</v>
      </c>
      <c r="C47" s="114"/>
      <c r="D47" s="22"/>
      <c r="E47" s="47" t="str">
        <f>IF($C47&lt;&gt;"","ALERT_" &amp; UPPER(Matrix!$D$6) &amp; "_" &amp; $C47,"")</f>
        <v/>
      </c>
      <c r="F47" s="137"/>
      <c r="G47" s="47" t="str">
        <f t="shared" si="1"/>
        <v/>
      </c>
      <c r="O47" s="135">
        <v>13</v>
      </c>
      <c r="P47" s="114"/>
      <c r="Q47" s="114"/>
      <c r="R47" s="137"/>
    </row>
    <row r="48" spans="2:18">
      <c r="B48" s="135">
        <v>14</v>
      </c>
      <c r="C48" s="114"/>
      <c r="D48" s="22"/>
      <c r="E48" s="47" t="str">
        <f>IF($C48&lt;&gt;"","ALERT_" &amp; UPPER(Matrix!$D$6) &amp; "_" &amp; $C48,"")</f>
        <v/>
      </c>
      <c r="F48" s="137"/>
      <c r="G48" s="47" t="str">
        <f t="shared" si="1"/>
        <v/>
      </c>
      <c r="O48" s="135">
        <v>14</v>
      </c>
      <c r="P48" s="114"/>
      <c r="Q48" s="114"/>
      <c r="R48" s="137"/>
    </row>
    <row r="49" spans="2:18">
      <c r="B49" s="135">
        <v>15</v>
      </c>
      <c r="C49" s="114"/>
      <c r="D49" s="22"/>
      <c r="E49" s="47" t="str">
        <f>IF($C49&lt;&gt;"","ALERT_" &amp; UPPER(Matrix!$D$6) &amp; "_" &amp; $C49,"")</f>
        <v/>
      </c>
      <c r="F49" s="137"/>
      <c r="G49" s="47" t="str">
        <f t="shared" si="1"/>
        <v/>
      </c>
      <c r="O49" s="135">
        <v>15</v>
      </c>
      <c r="P49" s="114"/>
      <c r="Q49" s="114"/>
      <c r="R49" s="137"/>
    </row>
    <row r="50" spans="2:18">
      <c r="B50" s="135">
        <v>16</v>
      </c>
      <c r="C50" s="114"/>
      <c r="D50" s="22"/>
      <c r="E50" s="47" t="str">
        <f>IF($C50&lt;&gt;"","ALERT_" &amp; UPPER(Matrix!$D$6) &amp; "_" &amp; $C50,"")</f>
        <v/>
      </c>
      <c r="F50" s="137"/>
      <c r="G50" s="47" t="str">
        <f t="shared" si="1"/>
        <v/>
      </c>
      <c r="O50" s="135">
        <v>16</v>
      </c>
      <c r="P50" s="114"/>
      <c r="Q50" s="114"/>
      <c r="R50" s="137"/>
    </row>
    <row r="51" spans="2:18">
      <c r="B51" s="135">
        <v>17</v>
      </c>
      <c r="C51" s="114"/>
      <c r="D51" s="22"/>
      <c r="E51" s="47" t="str">
        <f>IF($C51&lt;&gt;"","ALERT_" &amp; UPPER(Matrix!$D$6) &amp; "_" &amp; $C51,"")</f>
        <v/>
      </c>
      <c r="F51" s="137"/>
      <c r="G51" s="47" t="str">
        <f t="shared" si="1"/>
        <v/>
      </c>
      <c r="O51" s="135">
        <v>17</v>
      </c>
      <c r="P51" s="114"/>
      <c r="Q51" s="114"/>
      <c r="R51" s="137"/>
    </row>
    <row r="52" spans="2:18">
      <c r="B52" s="135">
        <v>18</v>
      </c>
      <c r="C52" s="114"/>
      <c r="D52" s="22"/>
      <c r="E52" s="47" t="str">
        <f>IF($C52&lt;&gt;"","ALERT_" &amp; UPPER(Matrix!$D$6) &amp; "_" &amp; $C52,"")</f>
        <v/>
      </c>
      <c r="F52" s="137"/>
      <c r="G52" s="47" t="str">
        <f t="shared" si="1"/>
        <v/>
      </c>
      <c r="O52" s="135">
        <v>18</v>
      </c>
      <c r="P52" s="114"/>
      <c r="Q52" s="114"/>
      <c r="R52" s="137"/>
    </row>
    <row r="53" spans="2:18">
      <c r="B53" s="135">
        <v>19</v>
      </c>
      <c r="C53" s="114"/>
      <c r="D53" s="22"/>
      <c r="E53" s="47" t="str">
        <f>IF($C53&lt;&gt;"","ALERT_" &amp; UPPER(Matrix!$D$6) &amp; "_" &amp; $C53,"")</f>
        <v/>
      </c>
      <c r="F53" s="137"/>
      <c r="G53" s="47" t="str">
        <f t="shared" si="1"/>
        <v/>
      </c>
      <c r="O53" s="135">
        <v>19</v>
      </c>
      <c r="P53" s="114"/>
      <c r="Q53" s="114"/>
      <c r="R53" s="137"/>
    </row>
    <row r="54" spans="2:18">
      <c r="B54" s="135">
        <v>20</v>
      </c>
      <c r="C54" s="114"/>
      <c r="D54" s="22"/>
      <c r="E54" s="47" t="str">
        <f>IF($C54&lt;&gt;"","ALERT_" &amp; UPPER(Matrix!$D$6) &amp; "_" &amp; $C54,"")</f>
        <v/>
      </c>
      <c r="F54" s="137"/>
      <c r="G54" s="47" t="str">
        <f t="shared" si="1"/>
        <v/>
      </c>
      <c r="O54" s="135">
        <v>20</v>
      </c>
      <c r="P54" s="114"/>
      <c r="Q54" s="114"/>
      <c r="R54" s="137"/>
    </row>
    <row r="55" spans="2:18">
      <c r="B55" s="135">
        <v>21</v>
      </c>
      <c r="C55" s="114"/>
      <c r="D55" s="22"/>
      <c r="E55" s="47" t="str">
        <f>IF($C55&lt;&gt;"","ALERT_" &amp; UPPER(Matrix!$D$6) &amp; "_" &amp; $C55,"")</f>
        <v/>
      </c>
      <c r="F55" s="137"/>
      <c r="G55" s="47" t="str">
        <f t="shared" si="1"/>
        <v/>
      </c>
      <c r="O55" s="135">
        <v>21</v>
      </c>
      <c r="P55" s="114"/>
      <c r="Q55" s="114"/>
      <c r="R55" s="137"/>
    </row>
    <row r="56" spans="2:18">
      <c r="B56" s="135">
        <v>22</v>
      </c>
      <c r="C56" s="114"/>
      <c r="D56" s="22"/>
      <c r="E56" s="47" t="str">
        <f>IF($C56&lt;&gt;"","ALERT_" &amp; UPPER(Matrix!$D$6) &amp; "_" &amp; $C56,"")</f>
        <v/>
      </c>
      <c r="F56" s="137"/>
      <c r="G56" s="47" t="str">
        <f t="shared" si="1"/>
        <v/>
      </c>
      <c r="O56" s="135">
        <v>22</v>
      </c>
      <c r="P56" s="114"/>
      <c r="Q56" s="114"/>
      <c r="R56" s="137"/>
    </row>
    <row r="57" spans="2:18">
      <c r="B57" s="135">
        <v>23</v>
      </c>
      <c r="C57" s="114"/>
      <c r="D57" s="22"/>
      <c r="E57" s="47" t="str">
        <f>IF($C57&lt;&gt;"","ALERT_" &amp; UPPER(Matrix!$D$6) &amp; "_" &amp; $C57,"")</f>
        <v/>
      </c>
      <c r="F57" s="137"/>
      <c r="G57" s="47" t="str">
        <f t="shared" si="1"/>
        <v/>
      </c>
      <c r="O57" s="135">
        <v>23</v>
      </c>
      <c r="P57" s="114"/>
      <c r="Q57" s="114"/>
      <c r="R57" s="137"/>
    </row>
    <row r="58" spans="2:18">
      <c r="B58" s="135">
        <v>24</v>
      </c>
      <c r="C58" s="114"/>
      <c r="D58" s="22"/>
      <c r="E58" s="47" t="str">
        <f>IF($C58&lt;&gt;"","ALERT_" &amp; UPPER(Matrix!$D$6) &amp; "_" &amp; $C58,"")</f>
        <v/>
      </c>
      <c r="F58" s="137"/>
      <c r="G58" s="47" t="str">
        <f t="shared" si="1"/>
        <v/>
      </c>
      <c r="O58" s="135">
        <v>24</v>
      </c>
      <c r="P58" s="114"/>
      <c r="Q58" s="114"/>
      <c r="R58" s="137"/>
    </row>
    <row r="59" spans="2:18" ht="14.25" thickBot="1">
      <c r="B59" s="136">
        <v>25</v>
      </c>
      <c r="C59" s="112"/>
      <c r="D59" s="33"/>
      <c r="E59" s="48" t="str">
        <f>IF($C59&lt;&gt;"","ALERT_" &amp; UPPER(Matrix!$D$6) &amp; "_" &amp; $C59,"")</f>
        <v/>
      </c>
      <c r="F59" s="138"/>
      <c r="G59" s="48" t="str">
        <f t="shared" si="1"/>
        <v/>
      </c>
      <c r="O59" s="136">
        <v>25</v>
      </c>
      <c r="P59" s="112"/>
      <c r="Q59" s="112"/>
      <c r="R59" s="13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5.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107</v>
      </c>
    </row>
    <row r="2" spans="2:21" ht="14.25" thickBot="1">
      <c r="B2" s="70" t="s">
        <v>60</v>
      </c>
      <c r="C2" s="71" t="s">
        <v>129</v>
      </c>
      <c r="D2" s="72" t="s">
        <v>54</v>
      </c>
      <c r="E2" s="73" t="s">
        <v>55</v>
      </c>
      <c r="F2" s="74" t="s">
        <v>24</v>
      </c>
      <c r="G2" s="73" t="s">
        <v>56</v>
      </c>
      <c r="H2" s="74" t="s">
        <v>26</v>
      </c>
      <c r="I2" s="73" t="s">
        <v>57</v>
      </c>
      <c r="J2" s="74" t="s">
        <v>177</v>
      </c>
      <c r="K2" s="73" t="s">
        <v>58</v>
      </c>
      <c r="L2" s="74" t="s">
        <v>27</v>
      </c>
      <c r="M2" s="71" t="s">
        <v>59</v>
      </c>
      <c r="N2" s="74" t="s">
        <v>124</v>
      </c>
      <c r="O2" s="91" t="s">
        <v>85</v>
      </c>
    </row>
    <row r="3" spans="2:21" ht="15" hidden="1" thickTop="1" thickBot="1">
      <c r="B3" s="23"/>
      <c r="C3" s="30" t="s">
        <v>111</v>
      </c>
      <c r="D3" s="84"/>
      <c r="E3" s="12"/>
      <c r="F3" s="14"/>
      <c r="G3" s="12"/>
      <c r="H3" s="14"/>
      <c r="I3" s="12"/>
      <c r="J3" s="14"/>
      <c r="K3" s="12"/>
      <c r="L3" s="14"/>
      <c r="M3" s="31"/>
      <c r="N3" s="82"/>
      <c r="O3" s="92"/>
      <c r="U3" s="67" t="s">
        <v>101</v>
      </c>
    </row>
    <row r="4" spans="2:21" ht="14.25" thickTop="1">
      <c r="B4" s="81" t="s">
        <v>220</v>
      </c>
      <c r="C4" s="79" t="s">
        <v>221</v>
      </c>
      <c r="D4" s="89">
        <v>0</v>
      </c>
      <c r="E4" s="152" t="s">
        <v>133</v>
      </c>
      <c r="F4" s="153" t="s">
        <v>134</v>
      </c>
      <c r="G4" s="152" t="s">
        <v>133</v>
      </c>
      <c r="H4" s="153" t="s">
        <v>134</v>
      </c>
      <c r="I4" s="152" t="s">
        <v>133</v>
      </c>
      <c r="J4" s="153" t="s">
        <v>274</v>
      </c>
      <c r="K4" s="152" t="s">
        <v>133</v>
      </c>
      <c r="L4" s="153"/>
      <c r="M4" s="31">
        <f ca="1">LEN(N4)</f>
        <v>29</v>
      </c>
      <c r="N4" s="82" t="str">
        <f ca="1">VLOOKUP($B4,Matrix!$H$13:$I$37,2,FALSE)&amp;"_"&amp;C4</f>
        <v>ALERT_REQ_H_ACDCSUP_BAT_DRAIN</v>
      </c>
      <c r="O4" s="92" t="str">
        <f t="shared" ref="O4:O35" ca="1" si="0">"#define "&amp;N4&amp;REPT(" ",48-M4)&amp;"("&amp;D4&amp;"U)"</f>
        <v>#define ALERT_REQ_H_ACDCSUP_BAT_DRAIN                   (0U)</v>
      </c>
      <c r="U4" s="67" t="s">
        <v>101</v>
      </c>
    </row>
    <row r="5" spans="2:21">
      <c r="B5" s="81" t="s">
        <v>220</v>
      </c>
      <c r="C5" s="80" t="s">
        <v>222</v>
      </c>
      <c r="D5" s="90">
        <v>1</v>
      </c>
      <c r="E5" s="152" t="s">
        <v>133</v>
      </c>
      <c r="F5" s="153" t="s">
        <v>134</v>
      </c>
      <c r="G5" s="152" t="s">
        <v>133</v>
      </c>
      <c r="H5" s="153" t="s">
        <v>134</v>
      </c>
      <c r="I5" s="152" t="s">
        <v>133</v>
      </c>
      <c r="J5" s="154" t="s">
        <v>275</v>
      </c>
      <c r="K5" s="152" t="s">
        <v>133</v>
      </c>
      <c r="L5" s="153" t="s">
        <v>134</v>
      </c>
      <c r="M5" s="26">
        <f t="shared" ref="M5:M68" ca="1" si="1">LEN(N5)</f>
        <v>27</v>
      </c>
      <c r="N5" s="82" t="str">
        <f ca="1">VLOOKUP($B5,Matrix!$H$13:$I$37,2,FALSE)&amp;"_"&amp;C5</f>
        <v>ALERT_REQ_H_ACDCSUP_NO_FUEL</v>
      </c>
      <c r="O5" s="93" t="str">
        <f t="shared" ca="1" si="0"/>
        <v>#define ALERT_REQ_H_ACDCSUP_NO_FUEL                     (1U)</v>
      </c>
      <c r="U5" s="65" t="s">
        <v>102</v>
      </c>
    </row>
    <row r="6" spans="2:21">
      <c r="B6" s="81" t="s">
        <v>220</v>
      </c>
      <c r="C6" s="79" t="s">
        <v>223</v>
      </c>
      <c r="D6" s="89">
        <v>2</v>
      </c>
      <c r="E6" s="152" t="s">
        <v>133</v>
      </c>
      <c r="F6" s="153" t="s">
        <v>134</v>
      </c>
      <c r="G6" s="152" t="s">
        <v>133</v>
      </c>
      <c r="H6" s="153" t="s">
        <v>134</v>
      </c>
      <c r="I6" s="152" t="s">
        <v>133</v>
      </c>
      <c r="J6" s="154" t="s">
        <v>278</v>
      </c>
      <c r="K6" s="152" t="s">
        <v>133</v>
      </c>
      <c r="L6" s="153" t="s">
        <v>134</v>
      </c>
      <c r="M6" s="26">
        <f t="shared" ca="1" si="1"/>
        <v>25</v>
      </c>
      <c r="N6" s="82" t="str">
        <f ca="1">VLOOKUP($B6,Matrix!$H$13:$I$37,2,FALSE)&amp;"_"&amp;C6</f>
        <v>ALERT_REQ_H_ACDCSUP_EXPOW</v>
      </c>
      <c r="O6" s="93" t="str">
        <f t="shared" ca="1" si="0"/>
        <v>#define ALERT_REQ_H_ACDCSUP_EXPOW                       (2U)</v>
      </c>
      <c r="U6" s="24" t="s">
        <v>103</v>
      </c>
    </row>
    <row r="7" spans="2:21">
      <c r="B7" s="81" t="s">
        <v>220</v>
      </c>
      <c r="C7" s="80" t="s">
        <v>224</v>
      </c>
      <c r="D7" s="90">
        <v>3</v>
      </c>
      <c r="E7" s="152" t="s">
        <v>133</v>
      </c>
      <c r="F7" s="153" t="s">
        <v>134</v>
      </c>
      <c r="G7" s="152" t="s">
        <v>133</v>
      </c>
      <c r="H7" s="153" t="s">
        <v>134</v>
      </c>
      <c r="I7" s="152" t="s">
        <v>133</v>
      </c>
      <c r="J7" s="154" t="s">
        <v>279</v>
      </c>
      <c r="K7" s="152" t="s">
        <v>133</v>
      </c>
      <c r="L7" s="153" t="s">
        <v>134</v>
      </c>
      <c r="M7" s="26">
        <f t="shared" ca="1" si="1"/>
        <v>29</v>
      </c>
      <c r="N7" s="82" t="str">
        <f ca="1">VLOOKUP($B7,Matrix!$H$13:$I$37,2,FALSE)&amp;"_"&amp;C7</f>
        <v>ALERT_REQ_H_ACDCSUP_EXPOW_VEH</v>
      </c>
      <c r="O7" s="93" t="str">
        <f t="shared" ca="1" si="0"/>
        <v>#define ALERT_REQ_H_ACDCSUP_EXPOW_VEH                   (3U)</v>
      </c>
      <c r="U7" s="24" t="s">
        <v>104</v>
      </c>
    </row>
    <row r="8" spans="2:21">
      <c r="B8" s="81"/>
      <c r="C8" s="80"/>
      <c r="D8" s="90"/>
      <c r="E8" s="23"/>
      <c r="F8" s="86"/>
      <c r="G8" s="23"/>
      <c r="H8" s="86"/>
      <c r="I8" s="23"/>
      <c r="J8" s="86"/>
      <c r="K8" s="23"/>
      <c r="L8" s="86"/>
      <c r="M8" s="26" t="e">
        <f t="shared" ca="1" si="1"/>
        <v>#N/A</v>
      </c>
      <c r="N8" s="82" t="e">
        <f ca="1">VLOOKUP($B8,Matrix!$H$13:$I$37,2,FALSE)&amp;"_"&amp;C8</f>
        <v>#N/A</v>
      </c>
      <c r="O8" s="93" t="e">
        <f t="shared" ca="1" si="0"/>
        <v>#N/A</v>
      </c>
      <c r="U8" s="24" t="s">
        <v>105</v>
      </c>
    </row>
    <row r="9" spans="2:21">
      <c r="B9" s="23"/>
      <c r="C9" s="22"/>
      <c r="D9" s="85"/>
      <c r="E9" s="23"/>
      <c r="F9" s="86"/>
      <c r="G9" s="23"/>
      <c r="H9" s="86"/>
      <c r="I9" s="23"/>
      <c r="J9" s="86"/>
      <c r="K9" s="23"/>
      <c r="L9" s="86"/>
      <c r="M9" s="26" t="e">
        <f t="shared" ca="1" si="1"/>
        <v>#N/A</v>
      </c>
      <c r="N9" s="82" t="e">
        <f ca="1">VLOOKUP($B9,Matrix!$H$13:$I$37,2,FALSE)&amp;"_"&amp;C9</f>
        <v>#N/A</v>
      </c>
      <c r="O9" s="93" t="e">
        <f t="shared" ca="1" si="0"/>
        <v>#N/A</v>
      </c>
      <c r="U9" s="24" t="s">
        <v>106</v>
      </c>
    </row>
    <row r="10" spans="2:21">
      <c r="B10" s="23"/>
      <c r="C10" s="22"/>
      <c r="D10" s="85"/>
      <c r="E10" s="23"/>
      <c r="F10" s="86"/>
      <c r="G10" s="23"/>
      <c r="H10" s="86"/>
      <c r="I10" s="23"/>
      <c r="J10" s="86"/>
      <c r="K10" s="23"/>
      <c r="L10" s="86"/>
      <c r="M10" s="26" t="e">
        <f t="shared" ca="1" si="1"/>
        <v>#N/A</v>
      </c>
      <c r="N10" s="82" t="e">
        <f ca="1">VLOOKUP($B10,Matrix!$H$13:$I$37,2,FALSE)&amp;"_"&amp;C10</f>
        <v>#N/A</v>
      </c>
      <c r="O10" s="93" t="e">
        <f t="shared" ca="1" si="0"/>
        <v>#N/A</v>
      </c>
      <c r="U10" s="24"/>
    </row>
    <row r="11" spans="2:21">
      <c r="B11" s="23"/>
      <c r="C11" s="22"/>
      <c r="D11" s="85"/>
      <c r="E11" s="23"/>
      <c r="F11" s="86"/>
      <c r="G11" s="23"/>
      <c r="H11" s="86"/>
      <c r="I11" s="23"/>
      <c r="J11" s="86"/>
      <c r="K11" s="23"/>
      <c r="L11" s="86"/>
      <c r="M11" s="26" t="e">
        <f t="shared" ca="1" si="1"/>
        <v>#N/A</v>
      </c>
      <c r="N11" s="82" t="e">
        <f ca="1">VLOOKUP($B11,Matrix!$H$13:$I$37,2,FALSE)&amp;"_"&amp;C11</f>
        <v>#N/A</v>
      </c>
      <c r="O11" s="93" t="e">
        <f t="shared" ca="1" si="0"/>
        <v>#N/A</v>
      </c>
      <c r="U11" s="24"/>
    </row>
    <row r="12" spans="2:21">
      <c r="B12" s="23"/>
      <c r="C12" s="22"/>
      <c r="D12" s="85"/>
      <c r="E12" s="23"/>
      <c r="F12" s="86"/>
      <c r="G12" s="23"/>
      <c r="H12" s="86"/>
      <c r="I12" s="23"/>
      <c r="J12" s="86"/>
      <c r="K12" s="23"/>
      <c r="L12" s="86"/>
      <c r="M12" s="26" t="e">
        <f t="shared" ca="1" si="1"/>
        <v>#N/A</v>
      </c>
      <c r="N12" s="82" t="e">
        <f ca="1">VLOOKUP($B12,Matrix!$H$13:$I$37,2,FALSE)&amp;"_"&amp;C12</f>
        <v>#N/A</v>
      </c>
      <c r="O12" s="93" t="e">
        <f t="shared" ca="1" si="0"/>
        <v>#N/A</v>
      </c>
      <c r="U12" s="24"/>
    </row>
    <row r="13" spans="2:21" ht="14.25" thickBot="1">
      <c r="B13" s="23"/>
      <c r="C13" s="22"/>
      <c r="D13" s="85"/>
      <c r="E13" s="23"/>
      <c r="F13" s="86"/>
      <c r="G13" s="23"/>
      <c r="H13" s="86"/>
      <c r="I13" s="23"/>
      <c r="J13" s="86"/>
      <c r="K13" s="23"/>
      <c r="L13" s="86"/>
      <c r="M13" s="26" t="e">
        <f t="shared" ca="1" si="1"/>
        <v>#N/A</v>
      </c>
      <c r="N13" s="82" t="e">
        <f ca="1">VLOOKUP($B13,Matrix!$H$13:$I$37,2,FALSE)&amp;"_"&amp;C13</f>
        <v>#N/A</v>
      </c>
      <c r="O13" s="93" t="e">
        <f t="shared" ca="1" si="0"/>
        <v>#N/A</v>
      </c>
      <c r="U13" s="66"/>
    </row>
    <row r="14" spans="2:21">
      <c r="B14" s="23"/>
      <c r="C14" s="22"/>
      <c r="D14" s="85"/>
      <c r="E14" s="23"/>
      <c r="F14" s="86"/>
      <c r="G14" s="23"/>
      <c r="H14" s="86"/>
      <c r="I14" s="23"/>
      <c r="J14" s="86"/>
      <c r="K14" s="23"/>
      <c r="L14" s="86"/>
      <c r="M14" s="26" t="e">
        <f t="shared" ca="1" si="1"/>
        <v>#N/A</v>
      </c>
      <c r="N14" s="82" t="e">
        <f ca="1">VLOOKUP($B14,Matrix!$H$13:$I$37,2,FALSE)&amp;"_"&amp;C14</f>
        <v>#N/A</v>
      </c>
      <c r="O14" s="93" t="e">
        <f t="shared" ca="1" si="0"/>
        <v>#N/A</v>
      </c>
    </row>
    <row r="15" spans="2:21">
      <c r="B15" s="23"/>
      <c r="C15" s="22"/>
      <c r="D15" s="85"/>
      <c r="E15" s="23"/>
      <c r="F15" s="86"/>
      <c r="G15" s="23"/>
      <c r="H15" s="86"/>
      <c r="I15" s="23"/>
      <c r="J15" s="86"/>
      <c r="K15" s="23"/>
      <c r="L15" s="86"/>
      <c r="M15" s="26" t="e">
        <f t="shared" ca="1" si="1"/>
        <v>#N/A</v>
      </c>
      <c r="N15" s="82" t="e">
        <f ca="1">VLOOKUP($B15,Matrix!$H$13:$I$37,2,FALSE)&amp;"_"&amp;C15</f>
        <v>#N/A</v>
      </c>
      <c r="O15" s="93" t="e">
        <f t="shared" ca="1" si="0"/>
        <v>#N/A</v>
      </c>
    </row>
    <row r="16" spans="2:21">
      <c r="B16" s="23"/>
      <c r="C16" s="22"/>
      <c r="D16" s="85"/>
      <c r="E16" s="23"/>
      <c r="F16" s="86"/>
      <c r="G16" s="23"/>
      <c r="H16" s="86"/>
      <c r="I16" s="23"/>
      <c r="J16" s="86"/>
      <c r="K16" s="23"/>
      <c r="L16" s="86"/>
      <c r="M16" s="26" t="e">
        <f t="shared" ca="1" si="1"/>
        <v>#N/A</v>
      </c>
      <c r="N16" s="82" t="e">
        <f ca="1">VLOOKUP($B16,Matrix!$H$13:$I$37,2,FALSE)&amp;"_"&amp;C16</f>
        <v>#N/A</v>
      </c>
      <c r="O16" s="93" t="e">
        <f t="shared" ca="1" si="0"/>
        <v>#N/A</v>
      </c>
    </row>
    <row r="17" spans="2:15">
      <c r="B17" s="23"/>
      <c r="C17" s="22"/>
      <c r="D17" s="85"/>
      <c r="E17" s="23"/>
      <c r="F17" s="86"/>
      <c r="G17" s="23"/>
      <c r="H17" s="86"/>
      <c r="I17" s="23"/>
      <c r="J17" s="86"/>
      <c r="K17" s="23"/>
      <c r="L17" s="86"/>
      <c r="M17" s="26" t="e">
        <f t="shared" ca="1" si="1"/>
        <v>#N/A</v>
      </c>
      <c r="N17" s="82" t="e">
        <f ca="1">VLOOKUP($B17,Matrix!$H$13:$I$37,2,FALSE)&amp;"_"&amp;C17</f>
        <v>#N/A</v>
      </c>
      <c r="O17" s="93" t="e">
        <f t="shared" ca="1" si="0"/>
        <v>#N/A</v>
      </c>
    </row>
    <row r="18" spans="2:15">
      <c r="B18" s="23"/>
      <c r="C18" s="22"/>
      <c r="D18" s="85"/>
      <c r="E18" s="23"/>
      <c r="F18" s="86"/>
      <c r="G18" s="23"/>
      <c r="H18" s="86"/>
      <c r="I18" s="23"/>
      <c r="J18" s="86"/>
      <c r="K18" s="23"/>
      <c r="L18" s="86"/>
      <c r="M18" s="26" t="e">
        <f t="shared" ca="1" si="1"/>
        <v>#N/A</v>
      </c>
      <c r="N18" s="82" t="e">
        <f ca="1">VLOOKUP($B18,Matrix!$H$13:$I$37,2,FALSE)&amp;"_"&amp;C18</f>
        <v>#N/A</v>
      </c>
      <c r="O18" s="93" t="e">
        <f t="shared" ca="1" si="0"/>
        <v>#N/A</v>
      </c>
    </row>
    <row r="19" spans="2:15">
      <c r="B19" s="23"/>
      <c r="C19" s="22"/>
      <c r="D19" s="85"/>
      <c r="E19" s="23"/>
      <c r="F19" s="86"/>
      <c r="G19" s="23"/>
      <c r="H19" s="86"/>
      <c r="I19" s="23"/>
      <c r="J19" s="86"/>
      <c r="K19" s="23"/>
      <c r="L19" s="86"/>
      <c r="M19" s="26" t="e">
        <f t="shared" ca="1" si="1"/>
        <v>#N/A</v>
      </c>
      <c r="N19" s="82" t="e">
        <f ca="1">VLOOKUP($B19,Matrix!$H$13:$I$37,2,FALSE)&amp;"_"&amp;C19</f>
        <v>#N/A</v>
      </c>
      <c r="O19" s="93" t="e">
        <f t="shared" ca="1" si="0"/>
        <v>#N/A</v>
      </c>
    </row>
    <row r="20" spans="2:15">
      <c r="B20" s="23"/>
      <c r="C20" s="22"/>
      <c r="D20" s="85"/>
      <c r="E20" s="23"/>
      <c r="F20" s="86"/>
      <c r="G20" s="23"/>
      <c r="H20" s="86"/>
      <c r="I20" s="23"/>
      <c r="J20" s="86"/>
      <c r="K20" s="23"/>
      <c r="L20" s="86"/>
      <c r="M20" s="26" t="e">
        <f t="shared" ca="1" si="1"/>
        <v>#N/A</v>
      </c>
      <c r="N20" s="82" t="e">
        <f ca="1">VLOOKUP($B20,Matrix!$H$13:$I$37,2,FALSE)&amp;"_"&amp;C20</f>
        <v>#N/A</v>
      </c>
      <c r="O20" s="93" t="e">
        <f t="shared" ca="1" si="0"/>
        <v>#N/A</v>
      </c>
    </row>
    <row r="21" spans="2:15">
      <c r="B21" s="23"/>
      <c r="C21" s="22"/>
      <c r="D21" s="85"/>
      <c r="E21" s="23"/>
      <c r="F21" s="86"/>
      <c r="G21" s="23"/>
      <c r="H21" s="86"/>
      <c r="I21" s="23"/>
      <c r="J21" s="86"/>
      <c r="K21" s="23"/>
      <c r="L21" s="86"/>
      <c r="M21" s="26" t="e">
        <f t="shared" ca="1" si="1"/>
        <v>#N/A</v>
      </c>
      <c r="N21" s="82" t="e">
        <f ca="1">VLOOKUP($B21,Matrix!$H$13:$I$37,2,FALSE)&amp;"_"&amp;C21</f>
        <v>#N/A</v>
      </c>
      <c r="O21" s="93" t="e">
        <f t="shared" ca="1" si="0"/>
        <v>#N/A</v>
      </c>
    </row>
    <row r="22" spans="2:15">
      <c r="B22" s="23"/>
      <c r="C22" s="22"/>
      <c r="D22" s="85"/>
      <c r="E22" s="23"/>
      <c r="F22" s="86"/>
      <c r="G22" s="23"/>
      <c r="H22" s="86"/>
      <c r="I22" s="23"/>
      <c r="J22" s="86"/>
      <c r="K22" s="23"/>
      <c r="L22" s="86"/>
      <c r="M22" s="26" t="e">
        <f t="shared" ca="1" si="1"/>
        <v>#N/A</v>
      </c>
      <c r="N22" s="82" t="e">
        <f ca="1">VLOOKUP($B22,Matrix!$H$13:$I$37,2,FALSE)&amp;"_"&amp;C22</f>
        <v>#N/A</v>
      </c>
      <c r="O22" s="93" t="e">
        <f t="shared" ca="1" si="0"/>
        <v>#N/A</v>
      </c>
    </row>
    <row r="23" spans="2:15">
      <c r="B23" s="23"/>
      <c r="C23" s="22"/>
      <c r="D23" s="85"/>
      <c r="E23" s="23"/>
      <c r="F23" s="86"/>
      <c r="G23" s="23"/>
      <c r="H23" s="86"/>
      <c r="I23" s="23"/>
      <c r="J23" s="86"/>
      <c r="K23" s="23"/>
      <c r="L23" s="86"/>
      <c r="M23" s="26" t="e">
        <f t="shared" ca="1" si="1"/>
        <v>#N/A</v>
      </c>
      <c r="N23" s="82" t="e">
        <f ca="1">VLOOKUP($B23,Matrix!$H$13:$I$37,2,FALSE)&amp;"_"&amp;C23</f>
        <v>#N/A</v>
      </c>
      <c r="O23" s="93" t="e">
        <f t="shared" ca="1" si="0"/>
        <v>#N/A</v>
      </c>
    </row>
    <row r="24" spans="2:15">
      <c r="B24" s="23"/>
      <c r="C24" s="22"/>
      <c r="D24" s="85"/>
      <c r="E24" s="23"/>
      <c r="F24" s="86"/>
      <c r="G24" s="23"/>
      <c r="H24" s="86"/>
      <c r="I24" s="23"/>
      <c r="J24" s="86"/>
      <c r="K24" s="23"/>
      <c r="L24" s="86"/>
      <c r="M24" s="26" t="e">
        <f t="shared" ca="1" si="1"/>
        <v>#N/A</v>
      </c>
      <c r="N24" s="82" t="e">
        <f ca="1">VLOOKUP($B24,Matrix!$H$13:$I$37,2,FALSE)&amp;"_"&amp;C24</f>
        <v>#N/A</v>
      </c>
      <c r="O24" s="93" t="e">
        <f t="shared" ca="1" si="0"/>
        <v>#N/A</v>
      </c>
    </row>
    <row r="25" spans="2:15">
      <c r="B25" s="23"/>
      <c r="C25" s="22"/>
      <c r="D25" s="85"/>
      <c r="E25" s="23"/>
      <c r="F25" s="86"/>
      <c r="G25" s="23"/>
      <c r="H25" s="86"/>
      <c r="I25" s="23"/>
      <c r="J25" s="86"/>
      <c r="K25" s="23"/>
      <c r="L25" s="86"/>
      <c r="M25" s="26" t="e">
        <f t="shared" ca="1" si="1"/>
        <v>#N/A</v>
      </c>
      <c r="N25" s="82" t="e">
        <f ca="1">VLOOKUP($B25,Matrix!$H$13:$I$37,2,FALSE)&amp;"_"&amp;C25</f>
        <v>#N/A</v>
      </c>
      <c r="O25" s="93" t="e">
        <f t="shared" ca="1" si="0"/>
        <v>#N/A</v>
      </c>
    </row>
    <row r="26" spans="2:15">
      <c r="B26" s="23"/>
      <c r="C26" s="22"/>
      <c r="D26" s="85"/>
      <c r="E26" s="23"/>
      <c r="F26" s="86"/>
      <c r="G26" s="23"/>
      <c r="H26" s="86"/>
      <c r="I26" s="23"/>
      <c r="J26" s="86"/>
      <c r="K26" s="23"/>
      <c r="L26" s="86"/>
      <c r="M26" s="26" t="e">
        <f t="shared" ca="1" si="1"/>
        <v>#N/A</v>
      </c>
      <c r="N26" s="82" t="e">
        <f ca="1">VLOOKUP($B26,Matrix!$H$13:$I$37,2,FALSE)&amp;"_"&amp;C26</f>
        <v>#N/A</v>
      </c>
      <c r="O26" s="93" t="e">
        <f t="shared" ca="1" si="0"/>
        <v>#N/A</v>
      </c>
    </row>
    <row r="27" spans="2:15">
      <c r="B27" s="23"/>
      <c r="C27" s="22"/>
      <c r="D27" s="85"/>
      <c r="E27" s="23"/>
      <c r="F27" s="86"/>
      <c r="G27" s="23"/>
      <c r="H27" s="86"/>
      <c r="I27" s="23"/>
      <c r="J27" s="86"/>
      <c r="K27" s="23"/>
      <c r="L27" s="86"/>
      <c r="M27" s="26" t="e">
        <f t="shared" ca="1" si="1"/>
        <v>#N/A</v>
      </c>
      <c r="N27" s="82" t="e">
        <f ca="1">VLOOKUP($B27,Matrix!$H$13:$I$37,2,FALSE)&amp;"_"&amp;C27</f>
        <v>#N/A</v>
      </c>
      <c r="O27" s="93" t="e">
        <f t="shared" ca="1" si="0"/>
        <v>#N/A</v>
      </c>
    </row>
    <row r="28" spans="2:15">
      <c r="B28" s="23"/>
      <c r="C28" s="22"/>
      <c r="D28" s="85"/>
      <c r="E28" s="23"/>
      <c r="F28" s="86"/>
      <c r="G28" s="23"/>
      <c r="H28" s="86"/>
      <c r="I28" s="23"/>
      <c r="J28" s="86"/>
      <c r="K28" s="23"/>
      <c r="L28" s="86"/>
      <c r="M28" s="26" t="e">
        <f t="shared" ca="1" si="1"/>
        <v>#N/A</v>
      </c>
      <c r="N28" s="82" t="e">
        <f ca="1">VLOOKUP($B28,Matrix!$H$13:$I$37,2,FALSE)&amp;"_"&amp;C28</f>
        <v>#N/A</v>
      </c>
      <c r="O28" s="93" t="e">
        <f t="shared" ca="1" si="0"/>
        <v>#N/A</v>
      </c>
    </row>
    <row r="29" spans="2:15">
      <c r="B29" s="23"/>
      <c r="C29" s="22"/>
      <c r="D29" s="85"/>
      <c r="E29" s="23"/>
      <c r="F29" s="86"/>
      <c r="G29" s="23"/>
      <c r="H29" s="86"/>
      <c r="I29" s="23"/>
      <c r="J29" s="86"/>
      <c r="K29" s="23"/>
      <c r="L29" s="86"/>
      <c r="M29" s="26" t="e">
        <f t="shared" ca="1" si="1"/>
        <v>#N/A</v>
      </c>
      <c r="N29" s="82" t="e">
        <f ca="1">VLOOKUP($B29,Matrix!$H$13:$I$37,2,FALSE)&amp;"_"&amp;C29</f>
        <v>#N/A</v>
      </c>
      <c r="O29" s="93" t="e">
        <f t="shared" ca="1" si="0"/>
        <v>#N/A</v>
      </c>
    </row>
    <row r="30" spans="2:15">
      <c r="B30" s="23"/>
      <c r="C30" s="22"/>
      <c r="D30" s="85"/>
      <c r="E30" s="23"/>
      <c r="F30" s="86"/>
      <c r="G30" s="23"/>
      <c r="H30" s="86"/>
      <c r="I30" s="23"/>
      <c r="J30" s="86"/>
      <c r="K30" s="23"/>
      <c r="L30" s="86"/>
      <c r="M30" s="26" t="e">
        <f t="shared" ca="1" si="1"/>
        <v>#N/A</v>
      </c>
      <c r="N30" s="82" t="e">
        <f ca="1">VLOOKUP($B30,Matrix!$H$13:$I$37,2,FALSE)&amp;"_"&amp;C30</f>
        <v>#N/A</v>
      </c>
      <c r="O30" s="93" t="e">
        <f t="shared" ca="1" si="0"/>
        <v>#N/A</v>
      </c>
    </row>
    <row r="31" spans="2:15">
      <c r="B31" s="23"/>
      <c r="C31" s="22"/>
      <c r="D31" s="85"/>
      <c r="E31" s="23"/>
      <c r="F31" s="86"/>
      <c r="G31" s="23"/>
      <c r="H31" s="86"/>
      <c r="I31" s="23"/>
      <c r="J31" s="86"/>
      <c r="K31" s="23"/>
      <c r="L31" s="86"/>
      <c r="M31" s="26" t="e">
        <f t="shared" ca="1" si="1"/>
        <v>#N/A</v>
      </c>
      <c r="N31" s="82" t="e">
        <f ca="1">VLOOKUP($B31,Matrix!$H$13:$I$37,2,FALSE)&amp;"_"&amp;C31</f>
        <v>#N/A</v>
      </c>
      <c r="O31" s="93" t="e">
        <f t="shared" ca="1" si="0"/>
        <v>#N/A</v>
      </c>
    </row>
    <row r="32" spans="2:15">
      <c r="B32" s="23"/>
      <c r="C32" s="22"/>
      <c r="D32" s="85"/>
      <c r="E32" s="23"/>
      <c r="F32" s="86"/>
      <c r="G32" s="23"/>
      <c r="H32" s="86"/>
      <c r="I32" s="23"/>
      <c r="J32" s="86"/>
      <c r="K32" s="23"/>
      <c r="L32" s="86"/>
      <c r="M32" s="26" t="e">
        <f t="shared" ca="1" si="1"/>
        <v>#N/A</v>
      </c>
      <c r="N32" s="82" t="e">
        <f ca="1">VLOOKUP($B32,Matrix!$H$13:$I$37,2,FALSE)&amp;"_"&amp;C32</f>
        <v>#N/A</v>
      </c>
      <c r="O32" s="93" t="e">
        <f t="shared" ca="1" si="0"/>
        <v>#N/A</v>
      </c>
    </row>
    <row r="33" spans="2:15">
      <c r="B33" s="23"/>
      <c r="C33" s="22"/>
      <c r="D33" s="85"/>
      <c r="E33" s="23"/>
      <c r="F33" s="86"/>
      <c r="G33" s="23"/>
      <c r="H33" s="86"/>
      <c r="I33" s="23"/>
      <c r="J33" s="86"/>
      <c r="K33" s="23"/>
      <c r="L33" s="86"/>
      <c r="M33" s="26" t="e">
        <f t="shared" ca="1" si="1"/>
        <v>#N/A</v>
      </c>
      <c r="N33" s="82" t="e">
        <f ca="1">VLOOKUP($B33,Matrix!$H$13:$I$37,2,FALSE)&amp;"_"&amp;C33</f>
        <v>#N/A</v>
      </c>
      <c r="O33" s="93" t="e">
        <f t="shared" ca="1" si="0"/>
        <v>#N/A</v>
      </c>
    </row>
    <row r="34" spans="2:15">
      <c r="B34" s="23"/>
      <c r="C34" s="22"/>
      <c r="D34" s="85"/>
      <c r="E34" s="23"/>
      <c r="F34" s="86"/>
      <c r="G34" s="23"/>
      <c r="H34" s="86"/>
      <c r="I34" s="23"/>
      <c r="J34" s="86"/>
      <c r="K34" s="23"/>
      <c r="L34" s="86"/>
      <c r="M34" s="26" t="e">
        <f t="shared" ca="1" si="1"/>
        <v>#N/A</v>
      </c>
      <c r="N34" s="82" t="e">
        <f ca="1">VLOOKUP($B34,Matrix!$H$13:$I$37,2,FALSE)&amp;"_"&amp;C34</f>
        <v>#N/A</v>
      </c>
      <c r="O34" s="93" t="e">
        <f t="shared" ca="1" si="0"/>
        <v>#N/A</v>
      </c>
    </row>
    <row r="35" spans="2:15">
      <c r="B35" s="23"/>
      <c r="C35" s="22"/>
      <c r="D35" s="85"/>
      <c r="E35" s="23"/>
      <c r="F35" s="86"/>
      <c r="G35" s="23"/>
      <c r="H35" s="86"/>
      <c r="I35" s="23"/>
      <c r="J35" s="86"/>
      <c r="K35" s="23"/>
      <c r="L35" s="86"/>
      <c r="M35" s="26" t="e">
        <f t="shared" ca="1" si="1"/>
        <v>#N/A</v>
      </c>
      <c r="N35" s="82" t="e">
        <f ca="1">VLOOKUP($B35,Matrix!$H$13:$I$37,2,FALSE)&amp;"_"&amp;C35</f>
        <v>#N/A</v>
      </c>
      <c r="O35" s="93" t="e">
        <f t="shared" ca="1" si="0"/>
        <v>#N/A</v>
      </c>
    </row>
    <row r="36" spans="2:15">
      <c r="B36" s="23"/>
      <c r="C36" s="22"/>
      <c r="D36" s="85"/>
      <c r="E36" s="23"/>
      <c r="F36" s="86"/>
      <c r="G36" s="23"/>
      <c r="H36" s="86"/>
      <c r="I36" s="23"/>
      <c r="J36" s="86"/>
      <c r="K36" s="23"/>
      <c r="L36" s="86"/>
      <c r="M36" s="26" t="e">
        <f t="shared" ca="1" si="1"/>
        <v>#N/A</v>
      </c>
      <c r="N36" s="82" t="e">
        <f ca="1">VLOOKUP($B36,Matrix!$H$13:$I$37,2,FALSE)&amp;"_"&amp;C36</f>
        <v>#N/A</v>
      </c>
      <c r="O36" s="93" t="e">
        <f t="shared" ref="O36:O67" ca="1" si="2">"#define "&amp;N36&amp;REPT(" ",48-M36)&amp;"("&amp;D36&amp;"U)"</f>
        <v>#N/A</v>
      </c>
    </row>
    <row r="37" spans="2:15">
      <c r="B37" s="23"/>
      <c r="C37" s="22"/>
      <c r="D37" s="85"/>
      <c r="E37" s="23"/>
      <c r="F37" s="86"/>
      <c r="G37" s="23"/>
      <c r="H37" s="86"/>
      <c r="I37" s="23"/>
      <c r="J37" s="86"/>
      <c r="K37" s="23"/>
      <c r="L37" s="86"/>
      <c r="M37" s="26" t="e">
        <f t="shared" ca="1" si="1"/>
        <v>#N/A</v>
      </c>
      <c r="N37" s="82" t="e">
        <f ca="1">VLOOKUP($B37,Matrix!$H$13:$I$37,2,FALSE)&amp;"_"&amp;C37</f>
        <v>#N/A</v>
      </c>
      <c r="O37" s="93" t="e">
        <f t="shared" ca="1" si="2"/>
        <v>#N/A</v>
      </c>
    </row>
    <row r="38" spans="2:15">
      <c r="B38" s="23"/>
      <c r="C38" s="22"/>
      <c r="D38" s="85"/>
      <c r="E38" s="23"/>
      <c r="F38" s="86"/>
      <c r="G38" s="23"/>
      <c r="H38" s="86"/>
      <c r="I38" s="23"/>
      <c r="J38" s="86"/>
      <c r="K38" s="23"/>
      <c r="L38" s="86"/>
      <c r="M38" s="26" t="e">
        <f t="shared" ca="1" si="1"/>
        <v>#N/A</v>
      </c>
      <c r="N38" s="82" t="e">
        <f ca="1">VLOOKUP($B38,Matrix!$H$13:$I$37,2,FALSE)&amp;"_"&amp;C38</f>
        <v>#N/A</v>
      </c>
      <c r="O38" s="93" t="e">
        <f t="shared" ca="1" si="2"/>
        <v>#N/A</v>
      </c>
    </row>
    <row r="39" spans="2:15">
      <c r="B39" s="23"/>
      <c r="C39" s="22"/>
      <c r="D39" s="85"/>
      <c r="E39" s="23"/>
      <c r="F39" s="86"/>
      <c r="G39" s="23"/>
      <c r="H39" s="86"/>
      <c r="I39" s="23"/>
      <c r="J39" s="86"/>
      <c r="K39" s="23"/>
      <c r="L39" s="86"/>
      <c r="M39" s="26" t="e">
        <f t="shared" ca="1" si="1"/>
        <v>#N/A</v>
      </c>
      <c r="N39" s="82" t="e">
        <f ca="1">VLOOKUP($B39,Matrix!$H$13:$I$37,2,FALSE)&amp;"_"&amp;C39</f>
        <v>#N/A</v>
      </c>
      <c r="O39" s="93" t="e">
        <f t="shared" ca="1" si="2"/>
        <v>#N/A</v>
      </c>
    </row>
    <row r="40" spans="2:15">
      <c r="B40" s="23"/>
      <c r="C40" s="22"/>
      <c r="D40" s="85"/>
      <c r="E40" s="23"/>
      <c r="F40" s="86"/>
      <c r="G40" s="23"/>
      <c r="H40" s="86"/>
      <c r="I40" s="23"/>
      <c r="J40" s="86"/>
      <c r="K40" s="23"/>
      <c r="L40" s="86"/>
      <c r="M40" s="26" t="e">
        <f t="shared" ca="1" si="1"/>
        <v>#N/A</v>
      </c>
      <c r="N40" s="82" t="e">
        <f ca="1">VLOOKUP($B40,Matrix!$H$13:$I$37,2,FALSE)&amp;"_"&amp;C40</f>
        <v>#N/A</v>
      </c>
      <c r="O40" s="93" t="e">
        <f t="shared" ca="1" si="2"/>
        <v>#N/A</v>
      </c>
    </row>
    <row r="41" spans="2:15">
      <c r="B41" s="23"/>
      <c r="C41" s="22"/>
      <c r="D41" s="85"/>
      <c r="E41" s="23"/>
      <c r="F41" s="86"/>
      <c r="G41" s="23"/>
      <c r="H41" s="86"/>
      <c r="I41" s="23"/>
      <c r="J41" s="86"/>
      <c r="K41" s="23"/>
      <c r="L41" s="86"/>
      <c r="M41" s="26" t="e">
        <f t="shared" ca="1" si="1"/>
        <v>#N/A</v>
      </c>
      <c r="N41" s="82" t="e">
        <f ca="1">VLOOKUP($B41,Matrix!$H$13:$I$37,2,FALSE)&amp;"_"&amp;C41</f>
        <v>#N/A</v>
      </c>
      <c r="O41" s="93" t="e">
        <f t="shared" ca="1" si="2"/>
        <v>#N/A</v>
      </c>
    </row>
    <row r="42" spans="2:15">
      <c r="B42" s="23"/>
      <c r="C42" s="22"/>
      <c r="D42" s="85"/>
      <c r="E42" s="23"/>
      <c r="F42" s="86"/>
      <c r="G42" s="23"/>
      <c r="H42" s="86"/>
      <c r="I42" s="23"/>
      <c r="J42" s="86"/>
      <c r="K42" s="23"/>
      <c r="L42" s="86"/>
      <c r="M42" s="26" t="e">
        <f t="shared" ca="1" si="1"/>
        <v>#N/A</v>
      </c>
      <c r="N42" s="82" t="e">
        <f ca="1">VLOOKUP($B42,Matrix!$H$13:$I$37,2,FALSE)&amp;"_"&amp;C42</f>
        <v>#N/A</v>
      </c>
      <c r="O42" s="93" t="e">
        <f t="shared" ca="1" si="2"/>
        <v>#N/A</v>
      </c>
    </row>
    <row r="43" spans="2:15">
      <c r="B43" s="23"/>
      <c r="C43" s="22"/>
      <c r="D43" s="85"/>
      <c r="E43" s="23"/>
      <c r="F43" s="86"/>
      <c r="G43" s="23"/>
      <c r="H43" s="86"/>
      <c r="I43" s="23"/>
      <c r="J43" s="86"/>
      <c r="K43" s="23"/>
      <c r="L43" s="86"/>
      <c r="M43" s="26" t="e">
        <f t="shared" ca="1" si="1"/>
        <v>#N/A</v>
      </c>
      <c r="N43" s="82" t="e">
        <f ca="1">VLOOKUP($B43,Matrix!$H$13:$I$37,2,FALSE)&amp;"_"&amp;C43</f>
        <v>#N/A</v>
      </c>
      <c r="O43" s="93" t="e">
        <f t="shared" ca="1" si="2"/>
        <v>#N/A</v>
      </c>
    </row>
    <row r="44" spans="2:15">
      <c r="B44" s="23"/>
      <c r="C44" s="22"/>
      <c r="D44" s="85"/>
      <c r="E44" s="23"/>
      <c r="F44" s="86"/>
      <c r="G44" s="23"/>
      <c r="H44" s="86"/>
      <c r="I44" s="23"/>
      <c r="J44" s="86"/>
      <c r="K44" s="23"/>
      <c r="L44" s="86"/>
      <c r="M44" s="26" t="e">
        <f t="shared" ca="1" si="1"/>
        <v>#N/A</v>
      </c>
      <c r="N44" s="82" t="e">
        <f ca="1">VLOOKUP($B44,Matrix!$H$13:$I$37,2,FALSE)&amp;"_"&amp;C44</f>
        <v>#N/A</v>
      </c>
      <c r="O44" s="93" t="e">
        <f t="shared" ca="1" si="2"/>
        <v>#N/A</v>
      </c>
    </row>
    <row r="45" spans="2:15">
      <c r="B45" s="23"/>
      <c r="C45" s="22"/>
      <c r="D45" s="85"/>
      <c r="E45" s="23"/>
      <c r="F45" s="86"/>
      <c r="G45" s="23"/>
      <c r="H45" s="86"/>
      <c r="I45" s="23"/>
      <c r="J45" s="86"/>
      <c r="K45" s="23"/>
      <c r="L45" s="86"/>
      <c r="M45" s="26" t="e">
        <f t="shared" ca="1" si="1"/>
        <v>#N/A</v>
      </c>
      <c r="N45" s="82" t="e">
        <f ca="1">VLOOKUP($B45,Matrix!$H$13:$I$37,2,FALSE)&amp;"_"&amp;C45</f>
        <v>#N/A</v>
      </c>
      <c r="O45" s="93" t="e">
        <f t="shared" ca="1" si="2"/>
        <v>#N/A</v>
      </c>
    </row>
    <row r="46" spans="2:15">
      <c r="B46" s="23"/>
      <c r="C46" s="22"/>
      <c r="D46" s="85"/>
      <c r="E46" s="23"/>
      <c r="F46" s="86"/>
      <c r="G46" s="23"/>
      <c r="H46" s="86"/>
      <c r="I46" s="23"/>
      <c r="J46" s="86"/>
      <c r="K46" s="23"/>
      <c r="L46" s="86"/>
      <c r="M46" s="26" t="e">
        <f t="shared" ca="1" si="1"/>
        <v>#N/A</v>
      </c>
      <c r="N46" s="82" t="e">
        <f ca="1">VLOOKUP($B46,Matrix!$H$13:$I$37,2,FALSE)&amp;"_"&amp;C46</f>
        <v>#N/A</v>
      </c>
      <c r="O46" s="93" t="e">
        <f t="shared" ca="1" si="2"/>
        <v>#N/A</v>
      </c>
    </row>
    <row r="47" spans="2:15">
      <c r="B47" s="23"/>
      <c r="C47" s="22"/>
      <c r="D47" s="85"/>
      <c r="E47" s="23"/>
      <c r="F47" s="86"/>
      <c r="G47" s="23"/>
      <c r="H47" s="86"/>
      <c r="I47" s="23"/>
      <c r="J47" s="86"/>
      <c r="K47" s="23"/>
      <c r="L47" s="86"/>
      <c r="M47" s="26" t="e">
        <f t="shared" ca="1" si="1"/>
        <v>#N/A</v>
      </c>
      <c r="N47" s="82" t="e">
        <f ca="1">VLOOKUP($B47,Matrix!$H$13:$I$37,2,FALSE)&amp;"_"&amp;C47</f>
        <v>#N/A</v>
      </c>
      <c r="O47" s="93" t="e">
        <f t="shared" ca="1" si="2"/>
        <v>#N/A</v>
      </c>
    </row>
    <row r="48" spans="2:15">
      <c r="B48" s="23"/>
      <c r="C48" s="22"/>
      <c r="D48" s="85"/>
      <c r="E48" s="23"/>
      <c r="F48" s="86"/>
      <c r="G48" s="23"/>
      <c r="H48" s="86"/>
      <c r="I48" s="23"/>
      <c r="J48" s="86"/>
      <c r="K48" s="23"/>
      <c r="L48" s="86"/>
      <c r="M48" s="26" t="e">
        <f t="shared" ca="1" si="1"/>
        <v>#N/A</v>
      </c>
      <c r="N48" s="82" t="e">
        <f ca="1">VLOOKUP($B48,Matrix!$H$13:$I$37,2,FALSE)&amp;"_"&amp;C48</f>
        <v>#N/A</v>
      </c>
      <c r="O48" s="93" t="e">
        <f t="shared" ca="1" si="2"/>
        <v>#N/A</v>
      </c>
    </row>
    <row r="49" spans="2:15">
      <c r="B49" s="23"/>
      <c r="C49" s="22"/>
      <c r="D49" s="85"/>
      <c r="E49" s="23"/>
      <c r="F49" s="86"/>
      <c r="G49" s="23"/>
      <c r="H49" s="86"/>
      <c r="I49" s="23"/>
      <c r="J49" s="86"/>
      <c r="K49" s="23"/>
      <c r="L49" s="86"/>
      <c r="M49" s="26" t="e">
        <f t="shared" ca="1" si="1"/>
        <v>#N/A</v>
      </c>
      <c r="N49" s="82" t="e">
        <f ca="1">VLOOKUP($B49,Matrix!$H$13:$I$37,2,FALSE)&amp;"_"&amp;C49</f>
        <v>#N/A</v>
      </c>
      <c r="O49" s="93" t="e">
        <f t="shared" ca="1" si="2"/>
        <v>#N/A</v>
      </c>
    </row>
    <row r="50" spans="2:15">
      <c r="B50" s="23"/>
      <c r="C50" s="22"/>
      <c r="D50" s="85"/>
      <c r="E50" s="23"/>
      <c r="F50" s="86"/>
      <c r="G50" s="23"/>
      <c r="H50" s="86"/>
      <c r="I50" s="23"/>
      <c r="J50" s="86"/>
      <c r="K50" s="23"/>
      <c r="L50" s="86"/>
      <c r="M50" s="26" t="e">
        <f t="shared" ca="1" si="1"/>
        <v>#N/A</v>
      </c>
      <c r="N50" s="82" t="e">
        <f ca="1">VLOOKUP($B50,Matrix!$H$13:$I$37,2,FALSE)&amp;"_"&amp;C50</f>
        <v>#N/A</v>
      </c>
      <c r="O50" s="93" t="e">
        <f t="shared" ca="1" si="2"/>
        <v>#N/A</v>
      </c>
    </row>
    <row r="51" spans="2:15">
      <c r="B51" s="23"/>
      <c r="C51" s="22"/>
      <c r="D51" s="85"/>
      <c r="E51" s="23"/>
      <c r="F51" s="86"/>
      <c r="G51" s="23"/>
      <c r="H51" s="86"/>
      <c r="I51" s="23"/>
      <c r="J51" s="86"/>
      <c r="K51" s="23"/>
      <c r="L51" s="86"/>
      <c r="M51" s="26" t="e">
        <f t="shared" ca="1" si="1"/>
        <v>#N/A</v>
      </c>
      <c r="N51" s="82" t="e">
        <f ca="1">VLOOKUP($B51,Matrix!$H$13:$I$37,2,FALSE)&amp;"_"&amp;C51</f>
        <v>#N/A</v>
      </c>
      <c r="O51" s="93" t="e">
        <f t="shared" ca="1" si="2"/>
        <v>#N/A</v>
      </c>
    </row>
    <row r="52" spans="2:15">
      <c r="B52" s="23"/>
      <c r="C52" s="22"/>
      <c r="D52" s="85"/>
      <c r="E52" s="23"/>
      <c r="F52" s="86"/>
      <c r="G52" s="23"/>
      <c r="H52" s="86"/>
      <c r="I52" s="23"/>
      <c r="J52" s="86"/>
      <c r="K52" s="23"/>
      <c r="L52" s="86"/>
      <c r="M52" s="26" t="e">
        <f t="shared" ca="1" si="1"/>
        <v>#N/A</v>
      </c>
      <c r="N52" s="82" t="e">
        <f ca="1">VLOOKUP($B52,Matrix!$H$13:$I$37,2,FALSE)&amp;"_"&amp;C52</f>
        <v>#N/A</v>
      </c>
      <c r="O52" s="93" t="e">
        <f t="shared" ca="1" si="2"/>
        <v>#N/A</v>
      </c>
    </row>
    <row r="53" spans="2:15">
      <c r="B53" s="23"/>
      <c r="C53" s="22"/>
      <c r="D53" s="85"/>
      <c r="E53" s="23"/>
      <c r="F53" s="86"/>
      <c r="G53" s="23"/>
      <c r="H53" s="86"/>
      <c r="I53" s="23"/>
      <c r="J53" s="86"/>
      <c r="K53" s="23"/>
      <c r="L53" s="86"/>
      <c r="M53" s="26" t="e">
        <f t="shared" ca="1" si="1"/>
        <v>#N/A</v>
      </c>
      <c r="N53" s="82" t="e">
        <f ca="1">VLOOKUP($B53,Matrix!$H$13:$I$37,2,FALSE)&amp;"_"&amp;C53</f>
        <v>#N/A</v>
      </c>
      <c r="O53" s="93" t="e">
        <f t="shared" ca="1" si="2"/>
        <v>#N/A</v>
      </c>
    </row>
    <row r="54" spans="2:15">
      <c r="B54" s="23"/>
      <c r="C54" s="22"/>
      <c r="D54" s="85"/>
      <c r="E54" s="23"/>
      <c r="F54" s="86"/>
      <c r="G54" s="23"/>
      <c r="H54" s="86"/>
      <c r="I54" s="23"/>
      <c r="J54" s="86"/>
      <c r="K54" s="23"/>
      <c r="L54" s="86"/>
      <c r="M54" s="26" t="e">
        <f t="shared" ca="1" si="1"/>
        <v>#N/A</v>
      </c>
      <c r="N54" s="82" t="e">
        <f ca="1">VLOOKUP($B54,Matrix!$H$13:$I$37,2,FALSE)&amp;"_"&amp;C54</f>
        <v>#N/A</v>
      </c>
      <c r="O54" s="93" t="e">
        <f t="shared" ca="1" si="2"/>
        <v>#N/A</v>
      </c>
    </row>
    <row r="55" spans="2:15">
      <c r="B55" s="23"/>
      <c r="C55" s="22"/>
      <c r="D55" s="85"/>
      <c r="E55" s="23"/>
      <c r="F55" s="86"/>
      <c r="G55" s="23"/>
      <c r="H55" s="86"/>
      <c r="I55" s="23"/>
      <c r="J55" s="86"/>
      <c r="K55" s="23"/>
      <c r="L55" s="86"/>
      <c r="M55" s="26" t="e">
        <f t="shared" ca="1" si="1"/>
        <v>#N/A</v>
      </c>
      <c r="N55" s="82" t="e">
        <f ca="1">VLOOKUP($B55,Matrix!$H$13:$I$37,2,FALSE)&amp;"_"&amp;C55</f>
        <v>#N/A</v>
      </c>
      <c r="O55" s="93" t="e">
        <f t="shared" ca="1" si="2"/>
        <v>#N/A</v>
      </c>
    </row>
    <row r="56" spans="2:15">
      <c r="B56" s="23"/>
      <c r="C56" s="22"/>
      <c r="D56" s="85"/>
      <c r="E56" s="23"/>
      <c r="F56" s="86"/>
      <c r="G56" s="23"/>
      <c r="H56" s="86"/>
      <c r="I56" s="23"/>
      <c r="J56" s="86"/>
      <c r="K56" s="23"/>
      <c r="L56" s="86"/>
      <c r="M56" s="26" t="e">
        <f t="shared" ca="1" si="1"/>
        <v>#N/A</v>
      </c>
      <c r="N56" s="82" t="e">
        <f ca="1">VLOOKUP($B56,Matrix!$H$13:$I$37,2,FALSE)&amp;"_"&amp;C56</f>
        <v>#N/A</v>
      </c>
      <c r="O56" s="93" t="e">
        <f t="shared" ca="1" si="2"/>
        <v>#N/A</v>
      </c>
    </row>
    <row r="57" spans="2:15">
      <c r="B57" s="23"/>
      <c r="C57" s="22"/>
      <c r="D57" s="85"/>
      <c r="E57" s="23"/>
      <c r="F57" s="86"/>
      <c r="G57" s="23"/>
      <c r="H57" s="86"/>
      <c r="I57" s="23"/>
      <c r="J57" s="86"/>
      <c r="K57" s="23"/>
      <c r="L57" s="86"/>
      <c r="M57" s="26" t="e">
        <f t="shared" ca="1" si="1"/>
        <v>#N/A</v>
      </c>
      <c r="N57" s="82" t="e">
        <f ca="1">VLOOKUP($B57,Matrix!$H$13:$I$37,2,FALSE)&amp;"_"&amp;C57</f>
        <v>#N/A</v>
      </c>
      <c r="O57" s="93" t="e">
        <f t="shared" ca="1" si="2"/>
        <v>#N/A</v>
      </c>
    </row>
    <row r="58" spans="2:15">
      <c r="B58" s="23"/>
      <c r="C58" s="22"/>
      <c r="D58" s="85"/>
      <c r="E58" s="23"/>
      <c r="F58" s="86"/>
      <c r="G58" s="23"/>
      <c r="H58" s="86"/>
      <c r="I58" s="23"/>
      <c r="J58" s="86"/>
      <c r="K58" s="23"/>
      <c r="L58" s="86"/>
      <c r="M58" s="26" t="e">
        <f t="shared" ca="1" si="1"/>
        <v>#N/A</v>
      </c>
      <c r="N58" s="82" t="e">
        <f ca="1">VLOOKUP($B58,Matrix!$H$13:$I$37,2,FALSE)&amp;"_"&amp;C58</f>
        <v>#N/A</v>
      </c>
      <c r="O58" s="93" t="e">
        <f t="shared" ca="1" si="2"/>
        <v>#N/A</v>
      </c>
    </row>
    <row r="59" spans="2:15">
      <c r="B59" s="23"/>
      <c r="C59" s="22"/>
      <c r="D59" s="85"/>
      <c r="E59" s="23"/>
      <c r="F59" s="86"/>
      <c r="G59" s="23"/>
      <c r="H59" s="86"/>
      <c r="I59" s="23"/>
      <c r="J59" s="86"/>
      <c r="K59" s="23"/>
      <c r="L59" s="86"/>
      <c r="M59" s="26" t="e">
        <f t="shared" ca="1" si="1"/>
        <v>#N/A</v>
      </c>
      <c r="N59" s="82" t="e">
        <f ca="1">VLOOKUP($B59,Matrix!$H$13:$I$37,2,FALSE)&amp;"_"&amp;C59</f>
        <v>#N/A</v>
      </c>
      <c r="O59" s="93" t="e">
        <f t="shared" ca="1" si="2"/>
        <v>#N/A</v>
      </c>
    </row>
    <row r="60" spans="2:15">
      <c r="B60" s="23"/>
      <c r="C60" s="22"/>
      <c r="D60" s="85"/>
      <c r="E60" s="23"/>
      <c r="F60" s="86"/>
      <c r="G60" s="23"/>
      <c r="H60" s="86"/>
      <c r="I60" s="23"/>
      <c r="J60" s="86"/>
      <c r="K60" s="23"/>
      <c r="L60" s="86"/>
      <c r="M60" s="26" t="e">
        <f t="shared" ca="1" si="1"/>
        <v>#N/A</v>
      </c>
      <c r="N60" s="82" t="e">
        <f ca="1">VLOOKUP($B60,Matrix!$H$13:$I$37,2,FALSE)&amp;"_"&amp;C60</f>
        <v>#N/A</v>
      </c>
      <c r="O60" s="93" t="e">
        <f t="shared" ca="1" si="2"/>
        <v>#N/A</v>
      </c>
    </row>
    <row r="61" spans="2:15">
      <c r="B61" s="23"/>
      <c r="C61" s="22"/>
      <c r="D61" s="85"/>
      <c r="E61" s="23"/>
      <c r="F61" s="86"/>
      <c r="G61" s="23"/>
      <c r="H61" s="86"/>
      <c r="I61" s="23"/>
      <c r="J61" s="86"/>
      <c r="K61" s="23"/>
      <c r="L61" s="86"/>
      <c r="M61" s="26" t="e">
        <f t="shared" ca="1" si="1"/>
        <v>#N/A</v>
      </c>
      <c r="N61" s="82" t="e">
        <f ca="1">VLOOKUP($B61,Matrix!$H$13:$I$37,2,FALSE)&amp;"_"&amp;C61</f>
        <v>#N/A</v>
      </c>
      <c r="O61" s="93" t="e">
        <f t="shared" ca="1" si="2"/>
        <v>#N/A</v>
      </c>
    </row>
    <row r="62" spans="2:15">
      <c r="B62" s="23"/>
      <c r="C62" s="22"/>
      <c r="D62" s="85"/>
      <c r="E62" s="23"/>
      <c r="F62" s="86"/>
      <c r="G62" s="23"/>
      <c r="H62" s="86"/>
      <c r="I62" s="23"/>
      <c r="J62" s="86"/>
      <c r="K62" s="23"/>
      <c r="L62" s="86"/>
      <c r="M62" s="26" t="e">
        <f t="shared" ca="1" si="1"/>
        <v>#N/A</v>
      </c>
      <c r="N62" s="82" t="e">
        <f ca="1">VLOOKUP($B62,Matrix!$H$13:$I$37,2,FALSE)&amp;"_"&amp;C62</f>
        <v>#N/A</v>
      </c>
      <c r="O62" s="93" t="e">
        <f t="shared" ca="1" si="2"/>
        <v>#N/A</v>
      </c>
    </row>
    <row r="63" spans="2:15">
      <c r="B63" s="23"/>
      <c r="C63" s="22"/>
      <c r="D63" s="85"/>
      <c r="E63" s="23"/>
      <c r="F63" s="86"/>
      <c r="G63" s="23"/>
      <c r="H63" s="86"/>
      <c r="I63" s="23"/>
      <c r="J63" s="86"/>
      <c r="K63" s="23"/>
      <c r="L63" s="86"/>
      <c r="M63" s="26" t="e">
        <f t="shared" ca="1" si="1"/>
        <v>#N/A</v>
      </c>
      <c r="N63" s="82" t="e">
        <f ca="1">VLOOKUP($B63,Matrix!$H$13:$I$37,2,FALSE)&amp;"_"&amp;C63</f>
        <v>#N/A</v>
      </c>
      <c r="O63" s="93" t="e">
        <f t="shared" ca="1" si="2"/>
        <v>#N/A</v>
      </c>
    </row>
    <row r="64" spans="2:15">
      <c r="B64" s="23"/>
      <c r="C64" s="22"/>
      <c r="D64" s="85"/>
      <c r="E64" s="23"/>
      <c r="F64" s="86"/>
      <c r="G64" s="23"/>
      <c r="H64" s="86"/>
      <c r="I64" s="23"/>
      <c r="J64" s="86"/>
      <c r="K64" s="23"/>
      <c r="L64" s="86"/>
      <c r="M64" s="26" t="e">
        <f t="shared" ca="1" si="1"/>
        <v>#N/A</v>
      </c>
      <c r="N64" s="82" t="e">
        <f ca="1">VLOOKUP($B64,Matrix!$H$13:$I$37,2,FALSE)&amp;"_"&amp;C64</f>
        <v>#N/A</v>
      </c>
      <c r="O64" s="93" t="e">
        <f t="shared" ca="1" si="2"/>
        <v>#N/A</v>
      </c>
    </row>
    <row r="65" spans="2:15">
      <c r="B65" s="23"/>
      <c r="C65" s="22"/>
      <c r="D65" s="85"/>
      <c r="E65" s="23"/>
      <c r="F65" s="86"/>
      <c r="G65" s="23"/>
      <c r="H65" s="86"/>
      <c r="I65" s="23"/>
      <c r="J65" s="86"/>
      <c r="K65" s="23"/>
      <c r="L65" s="86"/>
      <c r="M65" s="26" t="e">
        <f t="shared" ca="1" si="1"/>
        <v>#N/A</v>
      </c>
      <c r="N65" s="82" t="e">
        <f ca="1">VLOOKUP($B65,Matrix!$H$13:$I$37,2,FALSE)&amp;"_"&amp;C65</f>
        <v>#N/A</v>
      </c>
      <c r="O65" s="93" t="e">
        <f t="shared" ca="1" si="2"/>
        <v>#N/A</v>
      </c>
    </row>
    <row r="66" spans="2:15">
      <c r="B66" s="23"/>
      <c r="C66" s="22"/>
      <c r="D66" s="85"/>
      <c r="E66" s="23"/>
      <c r="F66" s="86"/>
      <c r="G66" s="23"/>
      <c r="H66" s="86"/>
      <c r="I66" s="23"/>
      <c r="J66" s="86"/>
      <c r="K66" s="23"/>
      <c r="L66" s="86"/>
      <c r="M66" s="26" t="e">
        <f t="shared" ca="1" si="1"/>
        <v>#N/A</v>
      </c>
      <c r="N66" s="82" t="e">
        <f ca="1">VLOOKUP($B66,Matrix!$H$13:$I$37,2,FALSE)&amp;"_"&amp;C66</f>
        <v>#N/A</v>
      </c>
      <c r="O66" s="93" t="e">
        <f t="shared" ca="1" si="2"/>
        <v>#N/A</v>
      </c>
    </row>
    <row r="67" spans="2:15">
      <c r="B67" s="23"/>
      <c r="C67" s="22"/>
      <c r="D67" s="85"/>
      <c r="E67" s="23"/>
      <c r="F67" s="86"/>
      <c r="G67" s="23"/>
      <c r="H67" s="86"/>
      <c r="I67" s="23"/>
      <c r="J67" s="86"/>
      <c r="K67" s="23"/>
      <c r="L67" s="86"/>
      <c r="M67" s="26" t="e">
        <f t="shared" ca="1" si="1"/>
        <v>#N/A</v>
      </c>
      <c r="N67" s="82" t="e">
        <f ca="1">VLOOKUP($B67,Matrix!$H$13:$I$37,2,FALSE)&amp;"_"&amp;C67</f>
        <v>#N/A</v>
      </c>
      <c r="O67" s="93" t="e">
        <f t="shared" ca="1" si="2"/>
        <v>#N/A</v>
      </c>
    </row>
    <row r="68" spans="2:15">
      <c r="B68" s="23"/>
      <c r="C68" s="22"/>
      <c r="D68" s="85"/>
      <c r="E68" s="23"/>
      <c r="F68" s="86"/>
      <c r="G68" s="23"/>
      <c r="H68" s="86"/>
      <c r="I68" s="23"/>
      <c r="J68" s="86"/>
      <c r="K68" s="23"/>
      <c r="L68" s="86"/>
      <c r="M68" s="26" t="e">
        <f t="shared" ca="1" si="1"/>
        <v>#N/A</v>
      </c>
      <c r="N68" s="82" t="e">
        <f ca="1">VLOOKUP($B68,Matrix!$H$13:$I$37,2,FALSE)&amp;"_"&amp;C68</f>
        <v>#N/A</v>
      </c>
      <c r="O68" s="93" t="e">
        <f t="shared" ref="O68:O99" ca="1" si="3">"#define "&amp;N68&amp;REPT(" ",48-M68)&amp;"("&amp;D68&amp;"U)"</f>
        <v>#N/A</v>
      </c>
    </row>
    <row r="69" spans="2:15">
      <c r="B69" s="23"/>
      <c r="C69" s="22"/>
      <c r="D69" s="85"/>
      <c r="E69" s="23"/>
      <c r="F69" s="86"/>
      <c r="G69" s="23"/>
      <c r="H69" s="86"/>
      <c r="I69" s="23"/>
      <c r="J69" s="86"/>
      <c r="K69" s="23"/>
      <c r="L69" s="86"/>
      <c r="M69" s="26" t="e">
        <f t="shared" ref="M69:M103" ca="1" si="4">LEN(N69)</f>
        <v>#N/A</v>
      </c>
      <c r="N69" s="82" t="e">
        <f ca="1">VLOOKUP($B69,Matrix!$H$13:$I$37,2,FALSE)&amp;"_"&amp;C69</f>
        <v>#N/A</v>
      </c>
      <c r="O69" s="93" t="e">
        <f t="shared" ca="1" si="3"/>
        <v>#N/A</v>
      </c>
    </row>
    <row r="70" spans="2:15">
      <c r="B70" s="23"/>
      <c r="C70" s="22"/>
      <c r="D70" s="85"/>
      <c r="E70" s="23"/>
      <c r="F70" s="86"/>
      <c r="G70" s="23"/>
      <c r="H70" s="86"/>
      <c r="I70" s="23"/>
      <c r="J70" s="86"/>
      <c r="K70" s="23"/>
      <c r="L70" s="86"/>
      <c r="M70" s="26" t="e">
        <f t="shared" ca="1" si="4"/>
        <v>#N/A</v>
      </c>
      <c r="N70" s="82" t="e">
        <f ca="1">VLOOKUP($B70,Matrix!$H$13:$I$37,2,FALSE)&amp;"_"&amp;C70</f>
        <v>#N/A</v>
      </c>
      <c r="O70" s="93" t="e">
        <f t="shared" ca="1" si="3"/>
        <v>#N/A</v>
      </c>
    </row>
    <row r="71" spans="2:15">
      <c r="B71" s="23"/>
      <c r="C71" s="22"/>
      <c r="D71" s="85"/>
      <c r="E71" s="23"/>
      <c r="F71" s="86"/>
      <c r="G71" s="23"/>
      <c r="H71" s="86"/>
      <c r="I71" s="23"/>
      <c r="J71" s="86"/>
      <c r="K71" s="23"/>
      <c r="L71" s="86"/>
      <c r="M71" s="26" t="e">
        <f t="shared" ca="1" si="4"/>
        <v>#N/A</v>
      </c>
      <c r="N71" s="82" t="e">
        <f ca="1">VLOOKUP($B71,Matrix!$H$13:$I$37,2,FALSE)&amp;"_"&amp;C71</f>
        <v>#N/A</v>
      </c>
      <c r="O71" s="93" t="e">
        <f t="shared" ca="1" si="3"/>
        <v>#N/A</v>
      </c>
    </row>
    <row r="72" spans="2:15">
      <c r="B72" s="23"/>
      <c r="C72" s="22"/>
      <c r="D72" s="85"/>
      <c r="E72" s="23"/>
      <c r="F72" s="86"/>
      <c r="G72" s="23"/>
      <c r="H72" s="86"/>
      <c r="I72" s="23"/>
      <c r="J72" s="86"/>
      <c r="K72" s="23"/>
      <c r="L72" s="86"/>
      <c r="M72" s="26" t="e">
        <f t="shared" ca="1" si="4"/>
        <v>#N/A</v>
      </c>
      <c r="N72" s="82" t="e">
        <f ca="1">VLOOKUP($B72,Matrix!$H$13:$I$37,2,FALSE)&amp;"_"&amp;C72</f>
        <v>#N/A</v>
      </c>
      <c r="O72" s="93" t="e">
        <f t="shared" ca="1" si="3"/>
        <v>#N/A</v>
      </c>
    </row>
    <row r="73" spans="2:15">
      <c r="B73" s="23"/>
      <c r="C73" s="22"/>
      <c r="D73" s="85"/>
      <c r="E73" s="23"/>
      <c r="F73" s="86"/>
      <c r="G73" s="23"/>
      <c r="H73" s="86"/>
      <c r="I73" s="23"/>
      <c r="J73" s="86"/>
      <c r="K73" s="23"/>
      <c r="L73" s="86"/>
      <c r="M73" s="26" t="e">
        <f t="shared" ca="1" si="4"/>
        <v>#N/A</v>
      </c>
      <c r="N73" s="82" t="e">
        <f ca="1">VLOOKUP($B73,Matrix!$H$13:$I$37,2,FALSE)&amp;"_"&amp;C73</f>
        <v>#N/A</v>
      </c>
      <c r="O73" s="93" t="e">
        <f t="shared" ca="1" si="3"/>
        <v>#N/A</v>
      </c>
    </row>
    <row r="74" spans="2:15">
      <c r="B74" s="23"/>
      <c r="C74" s="22"/>
      <c r="D74" s="85"/>
      <c r="E74" s="23"/>
      <c r="F74" s="86"/>
      <c r="G74" s="23"/>
      <c r="H74" s="86"/>
      <c r="I74" s="23"/>
      <c r="J74" s="86"/>
      <c r="K74" s="23"/>
      <c r="L74" s="86"/>
      <c r="M74" s="26" t="e">
        <f t="shared" ca="1" si="4"/>
        <v>#N/A</v>
      </c>
      <c r="N74" s="82" t="e">
        <f ca="1">VLOOKUP($B74,Matrix!$H$13:$I$37,2,FALSE)&amp;"_"&amp;C74</f>
        <v>#N/A</v>
      </c>
      <c r="O74" s="93" t="e">
        <f t="shared" ca="1" si="3"/>
        <v>#N/A</v>
      </c>
    </row>
    <row r="75" spans="2:15">
      <c r="B75" s="23"/>
      <c r="C75" s="22"/>
      <c r="D75" s="85"/>
      <c r="E75" s="23"/>
      <c r="F75" s="86"/>
      <c r="G75" s="23"/>
      <c r="H75" s="86"/>
      <c r="I75" s="23"/>
      <c r="J75" s="86"/>
      <c r="K75" s="23"/>
      <c r="L75" s="86"/>
      <c r="M75" s="26" t="e">
        <f t="shared" ca="1" si="4"/>
        <v>#N/A</v>
      </c>
      <c r="N75" s="82" t="e">
        <f ca="1">VLOOKUP($B75,Matrix!$H$13:$I$37,2,FALSE)&amp;"_"&amp;C75</f>
        <v>#N/A</v>
      </c>
      <c r="O75" s="93" t="e">
        <f t="shared" ca="1" si="3"/>
        <v>#N/A</v>
      </c>
    </row>
    <row r="76" spans="2:15">
      <c r="B76" s="23"/>
      <c r="C76" s="22"/>
      <c r="D76" s="85"/>
      <c r="E76" s="23"/>
      <c r="F76" s="86"/>
      <c r="G76" s="23"/>
      <c r="H76" s="86"/>
      <c r="I76" s="23"/>
      <c r="J76" s="86"/>
      <c r="K76" s="23"/>
      <c r="L76" s="86"/>
      <c r="M76" s="26" t="e">
        <f t="shared" ca="1" si="4"/>
        <v>#N/A</v>
      </c>
      <c r="N76" s="82" t="e">
        <f ca="1">VLOOKUP($B76,Matrix!$H$13:$I$37,2,FALSE)&amp;"_"&amp;C76</f>
        <v>#N/A</v>
      </c>
      <c r="O76" s="93" t="e">
        <f t="shared" ca="1" si="3"/>
        <v>#N/A</v>
      </c>
    </row>
    <row r="77" spans="2:15">
      <c r="B77" s="23"/>
      <c r="C77" s="22"/>
      <c r="D77" s="85"/>
      <c r="E77" s="23"/>
      <c r="F77" s="86"/>
      <c r="G77" s="23"/>
      <c r="H77" s="86"/>
      <c r="I77" s="23"/>
      <c r="J77" s="86"/>
      <c r="K77" s="23"/>
      <c r="L77" s="86"/>
      <c r="M77" s="26" t="e">
        <f t="shared" ca="1" si="4"/>
        <v>#N/A</v>
      </c>
      <c r="N77" s="82" t="e">
        <f ca="1">VLOOKUP($B77,Matrix!$H$13:$I$37,2,FALSE)&amp;"_"&amp;C77</f>
        <v>#N/A</v>
      </c>
      <c r="O77" s="93" t="e">
        <f t="shared" ca="1" si="3"/>
        <v>#N/A</v>
      </c>
    </row>
    <row r="78" spans="2:15">
      <c r="B78" s="23"/>
      <c r="C78" s="22"/>
      <c r="D78" s="85"/>
      <c r="E78" s="23"/>
      <c r="F78" s="86"/>
      <c r="G78" s="23"/>
      <c r="H78" s="86"/>
      <c r="I78" s="23"/>
      <c r="J78" s="86"/>
      <c r="K78" s="23"/>
      <c r="L78" s="86"/>
      <c r="M78" s="26" t="e">
        <f t="shared" ca="1" si="4"/>
        <v>#N/A</v>
      </c>
      <c r="N78" s="82" t="e">
        <f ca="1">VLOOKUP($B78,Matrix!$H$13:$I$37,2,FALSE)&amp;"_"&amp;C78</f>
        <v>#N/A</v>
      </c>
      <c r="O78" s="93" t="e">
        <f t="shared" ca="1" si="3"/>
        <v>#N/A</v>
      </c>
    </row>
    <row r="79" spans="2:15">
      <c r="B79" s="23"/>
      <c r="C79" s="22"/>
      <c r="D79" s="85"/>
      <c r="E79" s="23"/>
      <c r="F79" s="86"/>
      <c r="G79" s="23"/>
      <c r="H79" s="86"/>
      <c r="I79" s="23"/>
      <c r="J79" s="86"/>
      <c r="K79" s="23"/>
      <c r="L79" s="86"/>
      <c r="M79" s="26" t="e">
        <f t="shared" ca="1" si="4"/>
        <v>#N/A</v>
      </c>
      <c r="N79" s="82" t="e">
        <f ca="1">VLOOKUP($B79,Matrix!$H$13:$I$37,2,FALSE)&amp;"_"&amp;C79</f>
        <v>#N/A</v>
      </c>
      <c r="O79" s="93" t="e">
        <f t="shared" ca="1" si="3"/>
        <v>#N/A</v>
      </c>
    </row>
    <row r="80" spans="2:15">
      <c r="B80" s="23"/>
      <c r="C80" s="22"/>
      <c r="D80" s="85"/>
      <c r="E80" s="23"/>
      <c r="F80" s="86"/>
      <c r="G80" s="23"/>
      <c r="H80" s="86"/>
      <c r="I80" s="23"/>
      <c r="J80" s="86"/>
      <c r="K80" s="23"/>
      <c r="L80" s="86"/>
      <c r="M80" s="26" t="e">
        <f t="shared" ca="1" si="4"/>
        <v>#N/A</v>
      </c>
      <c r="N80" s="82" t="e">
        <f ca="1">VLOOKUP($B80,Matrix!$H$13:$I$37,2,FALSE)&amp;"_"&amp;C80</f>
        <v>#N/A</v>
      </c>
      <c r="O80" s="93" t="e">
        <f t="shared" ca="1" si="3"/>
        <v>#N/A</v>
      </c>
    </row>
    <row r="81" spans="2:15">
      <c r="B81" s="23"/>
      <c r="C81" s="22"/>
      <c r="D81" s="85"/>
      <c r="E81" s="23"/>
      <c r="F81" s="86"/>
      <c r="G81" s="23"/>
      <c r="H81" s="86"/>
      <c r="I81" s="23"/>
      <c r="J81" s="86"/>
      <c r="K81" s="23"/>
      <c r="L81" s="86"/>
      <c r="M81" s="26" t="e">
        <f t="shared" ca="1" si="4"/>
        <v>#N/A</v>
      </c>
      <c r="N81" s="82" t="e">
        <f ca="1">VLOOKUP($B81,Matrix!$H$13:$I$37,2,FALSE)&amp;"_"&amp;C81</f>
        <v>#N/A</v>
      </c>
      <c r="O81" s="93" t="e">
        <f t="shared" ca="1" si="3"/>
        <v>#N/A</v>
      </c>
    </row>
    <row r="82" spans="2:15">
      <c r="B82" s="23"/>
      <c r="C82" s="22"/>
      <c r="D82" s="85"/>
      <c r="E82" s="23"/>
      <c r="F82" s="86"/>
      <c r="G82" s="23"/>
      <c r="H82" s="86"/>
      <c r="I82" s="23"/>
      <c r="J82" s="86"/>
      <c r="K82" s="23"/>
      <c r="L82" s="86"/>
      <c r="M82" s="26" t="e">
        <f t="shared" ca="1" si="4"/>
        <v>#N/A</v>
      </c>
      <c r="N82" s="82" t="e">
        <f ca="1">VLOOKUP($B82,Matrix!$H$13:$I$37,2,FALSE)&amp;"_"&amp;C82</f>
        <v>#N/A</v>
      </c>
      <c r="O82" s="93" t="e">
        <f t="shared" ca="1" si="3"/>
        <v>#N/A</v>
      </c>
    </row>
    <row r="83" spans="2:15">
      <c r="B83" s="23"/>
      <c r="C83" s="22"/>
      <c r="D83" s="85"/>
      <c r="E83" s="23"/>
      <c r="F83" s="86"/>
      <c r="G83" s="23"/>
      <c r="H83" s="86"/>
      <c r="I83" s="23"/>
      <c r="J83" s="86"/>
      <c r="K83" s="23"/>
      <c r="L83" s="86"/>
      <c r="M83" s="26" t="e">
        <f t="shared" ca="1" si="4"/>
        <v>#N/A</v>
      </c>
      <c r="N83" s="82" t="e">
        <f ca="1">VLOOKUP($B83,Matrix!$H$13:$I$37,2,FALSE)&amp;"_"&amp;C83</f>
        <v>#N/A</v>
      </c>
      <c r="O83" s="93" t="e">
        <f t="shared" ca="1" si="3"/>
        <v>#N/A</v>
      </c>
    </row>
    <row r="84" spans="2:15">
      <c r="B84" s="23"/>
      <c r="C84" s="22"/>
      <c r="D84" s="85"/>
      <c r="E84" s="23"/>
      <c r="F84" s="86"/>
      <c r="G84" s="23"/>
      <c r="H84" s="86"/>
      <c r="I84" s="23"/>
      <c r="J84" s="86"/>
      <c r="K84" s="23"/>
      <c r="L84" s="86"/>
      <c r="M84" s="26" t="e">
        <f t="shared" ca="1" si="4"/>
        <v>#N/A</v>
      </c>
      <c r="N84" s="82" t="e">
        <f ca="1">VLOOKUP($B84,Matrix!$H$13:$I$37,2,FALSE)&amp;"_"&amp;C84</f>
        <v>#N/A</v>
      </c>
      <c r="O84" s="93" t="e">
        <f t="shared" ca="1" si="3"/>
        <v>#N/A</v>
      </c>
    </row>
    <row r="85" spans="2:15">
      <c r="B85" s="23"/>
      <c r="C85" s="22"/>
      <c r="D85" s="85"/>
      <c r="E85" s="23"/>
      <c r="F85" s="86"/>
      <c r="G85" s="23"/>
      <c r="H85" s="86"/>
      <c r="I85" s="23"/>
      <c r="J85" s="86"/>
      <c r="K85" s="23"/>
      <c r="L85" s="86"/>
      <c r="M85" s="26" t="e">
        <f t="shared" ca="1" si="4"/>
        <v>#N/A</v>
      </c>
      <c r="N85" s="82" t="e">
        <f ca="1">VLOOKUP($B85,Matrix!$H$13:$I$37,2,FALSE)&amp;"_"&amp;C85</f>
        <v>#N/A</v>
      </c>
      <c r="O85" s="93" t="e">
        <f t="shared" ca="1" si="3"/>
        <v>#N/A</v>
      </c>
    </row>
    <row r="86" spans="2:15">
      <c r="B86" s="23"/>
      <c r="C86" s="22"/>
      <c r="D86" s="85"/>
      <c r="E86" s="23"/>
      <c r="F86" s="86"/>
      <c r="G86" s="23"/>
      <c r="H86" s="86"/>
      <c r="I86" s="23"/>
      <c r="J86" s="86"/>
      <c r="K86" s="23"/>
      <c r="L86" s="86"/>
      <c r="M86" s="26" t="e">
        <f t="shared" ca="1" si="4"/>
        <v>#N/A</v>
      </c>
      <c r="N86" s="82" t="e">
        <f ca="1">VLOOKUP($B86,Matrix!$H$13:$I$37,2,FALSE)&amp;"_"&amp;C86</f>
        <v>#N/A</v>
      </c>
      <c r="O86" s="93" t="e">
        <f t="shared" ca="1" si="3"/>
        <v>#N/A</v>
      </c>
    </row>
    <row r="87" spans="2:15">
      <c r="B87" s="23"/>
      <c r="C87" s="22"/>
      <c r="D87" s="85"/>
      <c r="E87" s="23"/>
      <c r="F87" s="86"/>
      <c r="G87" s="23"/>
      <c r="H87" s="86"/>
      <c r="I87" s="23"/>
      <c r="J87" s="86"/>
      <c r="K87" s="23"/>
      <c r="L87" s="86"/>
      <c r="M87" s="26" t="e">
        <f t="shared" ca="1" si="4"/>
        <v>#N/A</v>
      </c>
      <c r="N87" s="47" t="e">
        <f ca="1">VLOOKUP($B87,Matrix!$H$13:$I$37,2,FALSE)&amp;"_"&amp;C87</f>
        <v>#N/A</v>
      </c>
      <c r="O87" s="93" t="e">
        <f t="shared" ca="1" si="3"/>
        <v>#N/A</v>
      </c>
    </row>
    <row r="88" spans="2:15">
      <c r="B88" s="23"/>
      <c r="C88" s="22"/>
      <c r="D88" s="85"/>
      <c r="E88" s="23"/>
      <c r="F88" s="86"/>
      <c r="G88" s="23"/>
      <c r="H88" s="86"/>
      <c r="I88" s="23"/>
      <c r="J88" s="86"/>
      <c r="K88" s="23"/>
      <c r="L88" s="86"/>
      <c r="M88" s="26" t="e">
        <f t="shared" ca="1" si="4"/>
        <v>#N/A</v>
      </c>
      <c r="N88" s="47" t="e">
        <f ca="1">VLOOKUP($B88,Matrix!$H$13:$I$37,2,FALSE)&amp;"_"&amp;C88</f>
        <v>#N/A</v>
      </c>
      <c r="O88" s="93" t="e">
        <f t="shared" ca="1" si="3"/>
        <v>#N/A</v>
      </c>
    </row>
    <row r="89" spans="2:15">
      <c r="B89" s="23"/>
      <c r="C89" s="22"/>
      <c r="D89" s="85"/>
      <c r="E89" s="23"/>
      <c r="F89" s="86"/>
      <c r="G89" s="23"/>
      <c r="H89" s="86"/>
      <c r="I89" s="23"/>
      <c r="J89" s="86"/>
      <c r="K89" s="23"/>
      <c r="L89" s="86"/>
      <c r="M89" s="26" t="e">
        <f t="shared" ca="1" si="4"/>
        <v>#N/A</v>
      </c>
      <c r="N89" s="47" t="e">
        <f ca="1">VLOOKUP($B89,Matrix!$H$13:$I$37,2,FALSE)&amp;"_"&amp;C89</f>
        <v>#N/A</v>
      </c>
      <c r="O89" s="93" t="e">
        <f t="shared" ca="1" si="3"/>
        <v>#N/A</v>
      </c>
    </row>
    <row r="90" spans="2:15">
      <c r="B90" s="23"/>
      <c r="C90" s="22"/>
      <c r="D90" s="85"/>
      <c r="E90" s="23"/>
      <c r="F90" s="86"/>
      <c r="G90" s="23"/>
      <c r="H90" s="86"/>
      <c r="I90" s="23"/>
      <c r="J90" s="86"/>
      <c r="K90" s="23"/>
      <c r="L90" s="86"/>
      <c r="M90" s="26" t="e">
        <f t="shared" ca="1" si="4"/>
        <v>#N/A</v>
      </c>
      <c r="N90" s="47" t="e">
        <f ca="1">VLOOKUP($B90,Matrix!$H$13:$I$37,2,FALSE)&amp;"_"&amp;C90</f>
        <v>#N/A</v>
      </c>
      <c r="O90" s="93" t="e">
        <f t="shared" ca="1" si="3"/>
        <v>#N/A</v>
      </c>
    </row>
    <row r="91" spans="2:15">
      <c r="B91" s="23"/>
      <c r="C91" s="22"/>
      <c r="D91" s="85"/>
      <c r="E91" s="23"/>
      <c r="F91" s="86"/>
      <c r="G91" s="23"/>
      <c r="H91" s="86"/>
      <c r="I91" s="23"/>
      <c r="J91" s="86"/>
      <c r="K91" s="23"/>
      <c r="L91" s="86"/>
      <c r="M91" s="26" t="e">
        <f t="shared" ca="1" si="4"/>
        <v>#N/A</v>
      </c>
      <c r="N91" s="47" t="e">
        <f ca="1">VLOOKUP($B91,Matrix!$H$13:$I$37,2,FALSE)&amp;"_"&amp;C91</f>
        <v>#N/A</v>
      </c>
      <c r="O91" s="93" t="e">
        <f t="shared" ca="1" si="3"/>
        <v>#N/A</v>
      </c>
    </row>
    <row r="92" spans="2:15">
      <c r="B92" s="23"/>
      <c r="C92" s="22"/>
      <c r="D92" s="85"/>
      <c r="E92" s="23"/>
      <c r="F92" s="86"/>
      <c r="G92" s="23"/>
      <c r="H92" s="86"/>
      <c r="I92" s="23"/>
      <c r="J92" s="86"/>
      <c r="K92" s="23"/>
      <c r="L92" s="86"/>
      <c r="M92" s="26" t="e">
        <f t="shared" ca="1" si="4"/>
        <v>#N/A</v>
      </c>
      <c r="N92" s="47" t="e">
        <f ca="1">VLOOKUP($B92,Matrix!$H$13:$I$37,2,FALSE)&amp;"_"&amp;C92</f>
        <v>#N/A</v>
      </c>
      <c r="O92" s="93" t="e">
        <f t="shared" ca="1" si="3"/>
        <v>#N/A</v>
      </c>
    </row>
    <row r="93" spans="2:15">
      <c r="B93" s="23"/>
      <c r="C93" s="22"/>
      <c r="D93" s="85"/>
      <c r="E93" s="23"/>
      <c r="F93" s="86"/>
      <c r="G93" s="23"/>
      <c r="H93" s="86"/>
      <c r="I93" s="23"/>
      <c r="J93" s="86"/>
      <c r="K93" s="23"/>
      <c r="L93" s="86"/>
      <c r="M93" s="26" t="e">
        <f t="shared" ca="1" si="4"/>
        <v>#N/A</v>
      </c>
      <c r="N93" s="47" t="e">
        <f ca="1">VLOOKUP($B93,Matrix!$H$13:$I$37,2,FALSE)&amp;"_"&amp;C93</f>
        <v>#N/A</v>
      </c>
      <c r="O93" s="93" t="e">
        <f t="shared" ca="1" si="3"/>
        <v>#N/A</v>
      </c>
    </row>
    <row r="94" spans="2:15">
      <c r="B94" s="23"/>
      <c r="C94" s="22"/>
      <c r="D94" s="85"/>
      <c r="E94" s="23"/>
      <c r="F94" s="86"/>
      <c r="G94" s="23"/>
      <c r="H94" s="86"/>
      <c r="I94" s="23"/>
      <c r="J94" s="86"/>
      <c r="K94" s="23"/>
      <c r="L94" s="86"/>
      <c r="M94" s="26" t="e">
        <f t="shared" ca="1" si="4"/>
        <v>#N/A</v>
      </c>
      <c r="N94" s="47" t="e">
        <f ca="1">VLOOKUP($B94,Matrix!$H$13:$I$37,2,FALSE)&amp;"_"&amp;C94</f>
        <v>#N/A</v>
      </c>
      <c r="O94" s="93" t="e">
        <f t="shared" ca="1" si="3"/>
        <v>#N/A</v>
      </c>
    </row>
    <row r="95" spans="2:15">
      <c r="B95" s="23"/>
      <c r="C95" s="22"/>
      <c r="D95" s="85"/>
      <c r="E95" s="23"/>
      <c r="F95" s="86"/>
      <c r="G95" s="23"/>
      <c r="H95" s="86"/>
      <c r="I95" s="23"/>
      <c r="J95" s="86"/>
      <c r="K95" s="23"/>
      <c r="L95" s="86"/>
      <c r="M95" s="26" t="e">
        <f t="shared" ca="1" si="4"/>
        <v>#N/A</v>
      </c>
      <c r="N95" s="47" t="e">
        <f ca="1">VLOOKUP($B95,Matrix!$H$13:$I$37,2,FALSE)&amp;"_"&amp;C95</f>
        <v>#N/A</v>
      </c>
      <c r="O95" s="93" t="e">
        <f t="shared" ca="1" si="3"/>
        <v>#N/A</v>
      </c>
    </row>
    <row r="96" spans="2:15">
      <c r="B96" s="23"/>
      <c r="C96" s="22"/>
      <c r="D96" s="85"/>
      <c r="E96" s="23"/>
      <c r="F96" s="86"/>
      <c r="G96" s="23"/>
      <c r="H96" s="86"/>
      <c r="I96" s="23"/>
      <c r="J96" s="86"/>
      <c r="K96" s="23"/>
      <c r="L96" s="86"/>
      <c r="M96" s="26" t="e">
        <f t="shared" ca="1" si="4"/>
        <v>#N/A</v>
      </c>
      <c r="N96" s="47" t="e">
        <f ca="1">VLOOKUP($B96,Matrix!$H$13:$I$37,2,FALSE)&amp;"_"&amp;C96</f>
        <v>#N/A</v>
      </c>
      <c r="O96" s="93" t="e">
        <f t="shared" ca="1" si="3"/>
        <v>#N/A</v>
      </c>
    </row>
    <row r="97" spans="2:15">
      <c r="B97" s="23"/>
      <c r="C97" s="22"/>
      <c r="D97" s="85"/>
      <c r="E97" s="23"/>
      <c r="F97" s="86"/>
      <c r="G97" s="23"/>
      <c r="H97" s="86"/>
      <c r="I97" s="23"/>
      <c r="J97" s="86"/>
      <c r="K97" s="23"/>
      <c r="L97" s="86"/>
      <c r="M97" s="26" t="e">
        <f t="shared" ca="1" si="4"/>
        <v>#N/A</v>
      </c>
      <c r="N97" s="47" t="e">
        <f ca="1">VLOOKUP($B97,Matrix!$H$13:$I$37,2,FALSE)&amp;"_"&amp;C97</f>
        <v>#N/A</v>
      </c>
      <c r="O97" s="93" t="e">
        <f t="shared" ca="1" si="3"/>
        <v>#N/A</v>
      </c>
    </row>
    <row r="98" spans="2:15">
      <c r="B98" s="23"/>
      <c r="C98" s="22"/>
      <c r="D98" s="85"/>
      <c r="E98" s="23"/>
      <c r="F98" s="86"/>
      <c r="G98" s="23"/>
      <c r="H98" s="86"/>
      <c r="I98" s="23"/>
      <c r="J98" s="86"/>
      <c r="K98" s="23"/>
      <c r="L98" s="86"/>
      <c r="M98" s="26" t="e">
        <f t="shared" ca="1" si="4"/>
        <v>#N/A</v>
      </c>
      <c r="N98" s="47" t="e">
        <f ca="1">VLOOKUP($B98,Matrix!$H$13:$I$37,2,FALSE)&amp;"_"&amp;C98</f>
        <v>#N/A</v>
      </c>
      <c r="O98" s="93" t="e">
        <f t="shared" ca="1" si="3"/>
        <v>#N/A</v>
      </c>
    </row>
    <row r="99" spans="2:15">
      <c r="B99" s="23"/>
      <c r="C99" s="22"/>
      <c r="D99" s="85"/>
      <c r="E99" s="23"/>
      <c r="F99" s="86"/>
      <c r="G99" s="23"/>
      <c r="H99" s="86"/>
      <c r="I99" s="23"/>
      <c r="J99" s="86"/>
      <c r="K99" s="23"/>
      <c r="L99" s="86"/>
      <c r="M99" s="26" t="e">
        <f t="shared" ca="1" si="4"/>
        <v>#N/A</v>
      </c>
      <c r="N99" s="47" t="e">
        <f ca="1">VLOOKUP($B99,Matrix!$H$13:$I$37,2,FALSE)&amp;"_"&amp;C99</f>
        <v>#N/A</v>
      </c>
      <c r="O99" s="93" t="e">
        <f t="shared" ca="1" si="3"/>
        <v>#N/A</v>
      </c>
    </row>
    <row r="100" spans="2:15">
      <c r="B100" s="23"/>
      <c r="C100" s="22"/>
      <c r="D100" s="85"/>
      <c r="E100" s="23"/>
      <c r="F100" s="86"/>
      <c r="G100" s="23"/>
      <c r="H100" s="86"/>
      <c r="I100" s="23"/>
      <c r="J100" s="86"/>
      <c r="K100" s="23"/>
      <c r="L100" s="86"/>
      <c r="M100" s="26" t="e">
        <f t="shared" ca="1" si="4"/>
        <v>#N/A</v>
      </c>
      <c r="N100" s="47" t="e">
        <f ca="1">VLOOKUP($B100,Matrix!$H$13:$I$37,2,FALSE)&amp;"_"&amp;C100</f>
        <v>#N/A</v>
      </c>
      <c r="O100" s="93" t="e">
        <f t="shared" ref="O100:O103" ca="1" si="5">"#define "&amp;N100&amp;REPT(" ",48-M100)&amp;"("&amp;D100&amp;"U)"</f>
        <v>#N/A</v>
      </c>
    </row>
    <row r="101" spans="2:15">
      <c r="B101" s="23"/>
      <c r="C101" s="22"/>
      <c r="D101" s="85"/>
      <c r="E101" s="23"/>
      <c r="F101" s="86"/>
      <c r="G101" s="23"/>
      <c r="H101" s="86"/>
      <c r="I101" s="23"/>
      <c r="J101" s="86"/>
      <c r="K101" s="23"/>
      <c r="L101" s="86"/>
      <c r="M101" s="26" t="e">
        <f t="shared" ca="1" si="4"/>
        <v>#N/A</v>
      </c>
      <c r="N101" s="47" t="e">
        <f ca="1">VLOOKUP($B101,Matrix!$H$13:$I$37,2,FALSE)&amp;"_"&amp;C101</f>
        <v>#N/A</v>
      </c>
      <c r="O101" s="93" t="e">
        <f t="shared" ca="1" si="5"/>
        <v>#N/A</v>
      </c>
    </row>
    <row r="102" spans="2:15">
      <c r="B102" s="23"/>
      <c r="C102" s="22"/>
      <c r="D102" s="85"/>
      <c r="E102" s="23"/>
      <c r="F102" s="86"/>
      <c r="G102" s="23"/>
      <c r="H102" s="86"/>
      <c r="I102" s="23"/>
      <c r="J102" s="86"/>
      <c r="K102" s="23"/>
      <c r="L102" s="86"/>
      <c r="M102" s="26" t="e">
        <f t="shared" ca="1" si="4"/>
        <v>#N/A</v>
      </c>
      <c r="N102" s="47" t="e">
        <f ca="1">VLOOKUP($B102,Matrix!$H$13:$I$37,2,FALSE)&amp;"_"&amp;C102</f>
        <v>#N/A</v>
      </c>
      <c r="O102" s="93" t="e">
        <f t="shared" ca="1" si="5"/>
        <v>#N/A</v>
      </c>
    </row>
    <row r="103" spans="2:15" ht="14.25" thickBot="1">
      <c r="B103" s="32"/>
      <c r="C103" s="33"/>
      <c r="D103" s="87"/>
      <c r="E103" s="32"/>
      <c r="F103" s="88"/>
      <c r="G103" s="32"/>
      <c r="H103" s="88"/>
      <c r="I103" s="32"/>
      <c r="J103" s="88"/>
      <c r="K103" s="32"/>
      <c r="L103" s="88"/>
      <c r="M103" s="34" t="e">
        <f t="shared" ca="1" si="4"/>
        <v>#N/A</v>
      </c>
      <c r="N103" s="48" t="e">
        <f ca="1">VLOOKUP($B103,Matrix!$H$13:$I$37,2,FALSE)&amp;"_"&amp;C103</f>
        <v>#N/A</v>
      </c>
      <c r="O103" s="9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95" t="s">
        <v>130</v>
      </c>
      <c r="C2" s="326" t="s">
        <v>86</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328" t="s">
        <v>164</v>
      </c>
    </row>
    <row r="3" spans="1:49" ht="213" customHeight="1" thickBot="1">
      <c r="B3" s="147" t="str">
        <f>IF(OR(IF(COUNTIF(D6:AC69,"0")&lt;&gt;0,TRUE,FALSE),IF(COUNTIF(D6:AC69,"1")&lt;&gt;0,TRUE,FALSE)),"Search Table","Index Table")</f>
        <v>Search Table</v>
      </c>
      <c r="C3" s="327"/>
      <c r="D3" s="97" t="s">
        <v>63</v>
      </c>
      <c r="E3" s="97" t="s">
        <v>68</v>
      </c>
      <c r="F3" s="97" t="s">
        <v>51</v>
      </c>
      <c r="G3" s="97" t="s">
        <v>50</v>
      </c>
      <c r="H3" s="97" t="s">
        <v>128</v>
      </c>
      <c r="I3" s="97" t="s">
        <v>127</v>
      </c>
      <c r="J3" s="97" t="s">
        <v>132</v>
      </c>
      <c r="K3" s="97" t="s">
        <v>131</v>
      </c>
      <c r="L3" s="98" t="s">
        <v>68</v>
      </c>
      <c r="M3" s="98" t="s">
        <v>64</v>
      </c>
      <c r="N3" s="98" t="s">
        <v>64</v>
      </c>
      <c r="O3" s="98" t="s">
        <v>64</v>
      </c>
      <c r="P3" s="98" t="s">
        <v>64</v>
      </c>
      <c r="Q3" s="98" t="s">
        <v>64</v>
      </c>
      <c r="R3" s="98" t="s">
        <v>214</v>
      </c>
      <c r="S3" s="98" t="s">
        <v>64</v>
      </c>
      <c r="T3" s="98" t="s">
        <v>64</v>
      </c>
      <c r="U3" s="98" t="s">
        <v>64</v>
      </c>
      <c r="V3" s="98" t="s">
        <v>64</v>
      </c>
      <c r="W3" s="98" t="s">
        <v>64</v>
      </c>
      <c r="X3" s="98" t="s">
        <v>64</v>
      </c>
      <c r="Y3" s="334" t="s">
        <v>225</v>
      </c>
      <c r="Z3" s="335"/>
      <c r="AA3" s="155" t="s">
        <v>226</v>
      </c>
      <c r="AB3" s="336" t="s">
        <v>227</v>
      </c>
      <c r="AC3" s="336"/>
      <c r="AD3" s="336"/>
      <c r="AE3" s="336"/>
      <c r="AF3" s="336"/>
      <c r="AG3" s="336"/>
      <c r="AH3" s="336"/>
      <c r="AI3" s="337"/>
      <c r="AJ3" s="329"/>
      <c r="AR3" s="64" t="s">
        <v>99</v>
      </c>
    </row>
    <row r="4" spans="1:49" ht="14.25" thickBot="1">
      <c r="A4" s="330" t="s">
        <v>65</v>
      </c>
      <c r="B4" s="331"/>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0"/>
      <c r="AR4" s="52" t="s">
        <v>84</v>
      </c>
      <c r="AS4" s="53"/>
      <c r="AT4" s="53"/>
      <c r="AU4" s="53"/>
      <c r="AV4" s="53"/>
      <c r="AW4" s="54"/>
    </row>
    <row r="5" spans="1:49" ht="14.25" thickBot="1">
      <c r="A5" s="332"/>
      <c r="B5" s="333"/>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1"/>
      <c r="AR5" s="55" t="str">
        <f ca="1">"static const U4  "&amp;AW8&amp;"["&amp;AW10&amp;"]"&amp;" = {"</f>
        <v>static const U4  u4_sp_ALERT_H_ACDCSUP_CRIT[ALERT_H_ACDCSUP_NUM_DST] = {</v>
      </c>
      <c r="AS5" s="55" t="str">
        <f ca="1">"static const U4  "&amp;$AW$9&amp;"["&amp;$AW$10&amp;"] = {"</f>
        <v>static const U4  u4_sp_ALERT_H_ACDCSUP_MASK[ALERT_H_ACDCSUP_NUM_DST] = {</v>
      </c>
      <c r="AT5" s="55" t="str">
        <f ca="1">"static const U1  "&amp;$AW$11&amp;"["&amp;$AW$10&amp;"] = {"</f>
        <v>static const U1  u1_sp_ALERT_H_ACDCSUP_DST[ALERT_H_ACDCSUP_NUM_DST] = {</v>
      </c>
      <c r="AU5" s="55" t="str">
        <f ca="1">"const ST_ALERT_MTRX "&amp;$AW$12&amp;" = {"</f>
        <v>const ST_ALERT_MTRX st_gp_ALERT_H_ACDCSUP_MTRX[1] = {</v>
      </c>
      <c r="AV5" s="44" t="str">
        <f ca="1">"#define "&amp;AW10&amp;REPT(" ",41-LEN(AW10))&amp;"("&amp;AW13&amp;"U)"</f>
        <v>#define ALERT_H_ACDCSUP_NUM_DST                  (4U)</v>
      </c>
      <c r="AW5" s="45"/>
    </row>
    <row r="6" spans="1:49">
      <c r="B6" s="104" t="str">
        <f ca="1">"Table "&amp;$AW$6</f>
        <v>Table H_ACDCSUP</v>
      </c>
      <c r="C6" s="31">
        <f>ROW()-ROW($C$6)</f>
        <v>0</v>
      </c>
      <c r="D6" s="99" t="s">
        <v>69</v>
      </c>
      <c r="E6" s="99" t="s">
        <v>69</v>
      </c>
      <c r="F6" s="99" t="s">
        <v>69</v>
      </c>
      <c r="G6" s="99" t="s">
        <v>69</v>
      </c>
      <c r="H6" s="99" t="s">
        <v>69</v>
      </c>
      <c r="I6" s="99" t="s">
        <v>69</v>
      </c>
      <c r="J6" s="99">
        <v>1</v>
      </c>
      <c r="K6" s="40" t="s">
        <v>69</v>
      </c>
      <c r="L6" s="99" t="s">
        <v>69</v>
      </c>
      <c r="M6" s="99" t="s">
        <v>69</v>
      </c>
      <c r="N6" s="99" t="s">
        <v>69</v>
      </c>
      <c r="O6" s="99" t="s">
        <v>69</v>
      </c>
      <c r="P6" s="99" t="s">
        <v>69</v>
      </c>
      <c r="Q6" s="99" t="s">
        <v>69</v>
      </c>
      <c r="R6" s="99" t="s">
        <v>69</v>
      </c>
      <c r="S6" s="99" t="s">
        <v>69</v>
      </c>
      <c r="T6" s="99" t="s">
        <v>69</v>
      </c>
      <c r="U6" s="99" t="s">
        <v>69</v>
      </c>
      <c r="V6" s="99" t="s">
        <v>69</v>
      </c>
      <c r="W6" s="99" t="s">
        <v>69</v>
      </c>
      <c r="X6" s="99" t="s">
        <v>69</v>
      </c>
      <c r="Y6" s="99">
        <v>0</v>
      </c>
      <c r="Z6" s="99">
        <v>0</v>
      </c>
      <c r="AA6" s="99">
        <v>1</v>
      </c>
      <c r="AB6" s="99">
        <v>0</v>
      </c>
      <c r="AC6" s="99">
        <v>1</v>
      </c>
      <c r="AD6" s="99">
        <v>0</v>
      </c>
      <c r="AE6" s="99">
        <v>0</v>
      </c>
      <c r="AF6" s="102">
        <v>0</v>
      </c>
      <c r="AG6" s="102">
        <v>0</v>
      </c>
      <c r="AH6" s="102">
        <v>0</v>
      </c>
      <c r="AI6" s="102">
        <v>1</v>
      </c>
      <c r="AJ6" s="30" t="s">
        <v>228</v>
      </c>
      <c r="AL6" t="str">
        <f t="shared" ref="AL6:AL69" ca="1" si="0">IF($AJ6="UNKNOWN","    (U1)ALERT_REQ_UNKNOWN","    (U1)"&amp;"ALERT_REQ_"&amp;$AW$17&amp;"_"&amp;IF($AW$6&lt;&gt;$AW$17,$AW$6&amp;"_","")&amp;AJ6)</f>
        <v xml:space="preserve">    (U1)ALERT_REQ_H_ACDCSUP_BAT_DRAIN</v>
      </c>
      <c r="AR6" s="42" t="str">
        <f>IF(AQ71&lt;&gt;"",AQ71,IF(AQ70&lt;&gt;"","};",""))</f>
        <v xml:space="preserve">    (U4)0x02000141U,                                                           /* 00 BAT_DRAIN                                       */</v>
      </c>
      <c r="AS6" s="42" t="str">
        <f>IF(AQ136&lt;&gt;"",AQ136,IF(AQ135&lt;&gt;"","};",""))</f>
        <v xml:space="preserve">    (U4)0x020007FFU,                                                           /* 00 BAT_DRAIN                                       */</v>
      </c>
      <c r="AT6" s="42" t="str">
        <f t="shared" ref="AT6:AT69" ca="1" si="1">IF(AJ6&lt;&gt;"",AL6&amp;IF(AJ7&lt;&gt;"",","," ")&amp;REPT(" ",78-LEN(AL6))&amp;"/* "&amp;IF(C6&lt;10,"0"&amp;C6,C6)&amp;" "&amp;AJ6&amp;REPT(" ",48-LEN(AJ6))&amp;"*/",IF(AJ5&lt;&gt;"","};",""))</f>
        <v xml:space="preserve">    (U1)ALERT_REQ_H_ACDCSUP_BAT_DRAIN,                                         /* 00 BAT_DRAIN                                       */</v>
      </c>
      <c r="AU6" s="42" t="s">
        <v>70</v>
      </c>
      <c r="AV6" s="27" t="s">
        <v>72</v>
      </c>
      <c r="AW6" s="46" t="str">
        <f ca="1">UPPER(RIGHT(CELL("filename",A1),LEN(CELL("filename",A1))-FIND("]",CELL("filename",A1))))</f>
        <v>H_ACDCSUP</v>
      </c>
    </row>
    <row r="7" spans="1:49">
      <c r="B7" s="104"/>
      <c r="C7" s="26">
        <f t="shared" ref="C7:C69" si="2">ROW()-ROW($C$6)</f>
        <v>1</v>
      </c>
      <c r="D7" s="40" t="s">
        <v>69</v>
      </c>
      <c r="E7" s="40" t="s">
        <v>69</v>
      </c>
      <c r="F7" s="40" t="s">
        <v>69</v>
      </c>
      <c r="G7" s="40" t="s">
        <v>69</v>
      </c>
      <c r="H7" s="40" t="s">
        <v>69</v>
      </c>
      <c r="I7" s="40" t="s">
        <v>69</v>
      </c>
      <c r="J7" s="99">
        <v>1</v>
      </c>
      <c r="K7" s="40" t="s">
        <v>69</v>
      </c>
      <c r="L7" s="40" t="s">
        <v>69</v>
      </c>
      <c r="M7" s="40" t="s">
        <v>69</v>
      </c>
      <c r="N7" s="40" t="s">
        <v>69</v>
      </c>
      <c r="O7" s="40" t="s">
        <v>69</v>
      </c>
      <c r="P7" s="40" t="s">
        <v>69</v>
      </c>
      <c r="Q7" s="40" t="s">
        <v>69</v>
      </c>
      <c r="R7" s="40" t="s">
        <v>69</v>
      </c>
      <c r="S7" s="40" t="s">
        <v>69</v>
      </c>
      <c r="T7" s="40" t="s">
        <v>69</v>
      </c>
      <c r="U7" s="40" t="s">
        <v>69</v>
      </c>
      <c r="V7" s="40" t="s">
        <v>69</v>
      </c>
      <c r="W7" s="40" t="s">
        <v>69</v>
      </c>
      <c r="X7" s="40" t="s">
        <v>69</v>
      </c>
      <c r="Y7" s="40">
        <v>0</v>
      </c>
      <c r="Z7" s="40">
        <v>0</v>
      </c>
      <c r="AA7" s="40">
        <v>1</v>
      </c>
      <c r="AB7" s="40">
        <v>0</v>
      </c>
      <c r="AC7" s="40">
        <v>1</v>
      </c>
      <c r="AD7" s="99">
        <v>0</v>
      </c>
      <c r="AE7" s="99">
        <v>0</v>
      </c>
      <c r="AF7" s="102">
        <v>0</v>
      </c>
      <c r="AG7" s="102">
        <v>0</v>
      </c>
      <c r="AH7" s="102">
        <v>1</v>
      </c>
      <c r="AI7" s="102">
        <v>0</v>
      </c>
      <c r="AJ7" s="22" t="s">
        <v>229</v>
      </c>
      <c r="AL7" t="str">
        <f t="shared" ca="1" si="0"/>
        <v xml:space="preserve">    (U1)ALERT_REQ_H_ACDCSUP_NO_FUEL</v>
      </c>
      <c r="AR7" s="42" t="str">
        <f t="shared" ref="AR7:AR70" si="3">IF(AQ72&lt;&gt;"",AQ72,IF(AQ71&lt;&gt;"","};",""))</f>
        <v xml:space="preserve">    (U4)0x02000142U,                                                           /* 01 NO_FUEL                                         */</v>
      </c>
      <c r="AS7" s="42" t="str">
        <f t="shared" ref="AS7:AS70" si="4">IF(AQ137&lt;&gt;"",AQ137,IF(AQ136&lt;&gt;"","};",""))</f>
        <v xml:space="preserve">    (U4)0x020007FFU,                                                           /* 01 NO_FUEL                                         */</v>
      </c>
      <c r="AT7" s="42" t="str">
        <f t="shared" ca="1" si="1"/>
        <v xml:space="preserve">    (U1)ALERT_REQ_H_ACDCSUP_NO_FUEL,                                           /* 01 NO_FUEL                                         */</v>
      </c>
      <c r="AU7" s="42" t="str">
        <f ca="1">"        &amp;"&amp;$AW$14&amp;","&amp;REPT(" ",69-LEN($AW$14))&amp;"/* fp_u4_SRC_CHK                                      */"</f>
        <v xml:space="preserve">        &amp;u4_s_AlertH_acdcsupSrcchk,                                            /* fp_u4_SRC_CHK                                      */</v>
      </c>
      <c r="AV7" s="28" t="s">
        <v>73</v>
      </c>
      <c r="AW7" s="103">
        <f>IF(B3="Search Table",1,0)</f>
        <v>1</v>
      </c>
    </row>
    <row r="8" spans="1:49">
      <c r="B8" s="104"/>
      <c r="C8" s="26">
        <f t="shared" si="2"/>
        <v>2</v>
      </c>
      <c r="D8" s="40" t="s">
        <v>69</v>
      </c>
      <c r="E8" s="40" t="s">
        <v>69</v>
      </c>
      <c r="F8" s="40" t="s">
        <v>69</v>
      </c>
      <c r="G8" s="40" t="s">
        <v>69</v>
      </c>
      <c r="H8" s="40" t="s">
        <v>69</v>
      </c>
      <c r="I8" s="40" t="s">
        <v>69</v>
      </c>
      <c r="J8" s="99">
        <v>1</v>
      </c>
      <c r="K8" s="40" t="s">
        <v>69</v>
      </c>
      <c r="L8" s="40" t="s">
        <v>69</v>
      </c>
      <c r="M8" s="40" t="s">
        <v>69</v>
      </c>
      <c r="N8" s="40" t="s">
        <v>69</v>
      </c>
      <c r="O8" s="40" t="s">
        <v>69</v>
      </c>
      <c r="P8" s="40" t="s">
        <v>69</v>
      </c>
      <c r="Q8" s="40" t="s">
        <v>69</v>
      </c>
      <c r="R8" s="40" t="s">
        <v>69</v>
      </c>
      <c r="S8" s="40" t="s">
        <v>69</v>
      </c>
      <c r="T8" s="40" t="s">
        <v>69</v>
      </c>
      <c r="U8" s="40" t="s">
        <v>69</v>
      </c>
      <c r="V8" s="40" t="s">
        <v>69</v>
      </c>
      <c r="W8" s="40" t="s">
        <v>69</v>
      </c>
      <c r="X8" s="40" t="s">
        <v>69</v>
      </c>
      <c r="Y8" s="40">
        <v>0</v>
      </c>
      <c r="Z8" s="40">
        <v>0</v>
      </c>
      <c r="AA8" s="40">
        <v>1</v>
      </c>
      <c r="AB8" s="40">
        <v>0</v>
      </c>
      <c r="AC8" s="40">
        <v>1</v>
      </c>
      <c r="AD8" s="40">
        <v>0</v>
      </c>
      <c r="AE8" s="40">
        <v>0</v>
      </c>
      <c r="AF8" s="102">
        <v>1</v>
      </c>
      <c r="AG8" s="102">
        <v>0</v>
      </c>
      <c r="AH8" s="102">
        <v>0</v>
      </c>
      <c r="AI8" s="102">
        <v>1</v>
      </c>
      <c r="AJ8" s="22" t="s">
        <v>230</v>
      </c>
      <c r="AL8" t="str">
        <f t="shared" ca="1" si="0"/>
        <v xml:space="preserve">    (U1)ALERT_REQ_H_ACDCSUP_EXPOW</v>
      </c>
      <c r="AR8" s="42" t="str">
        <f t="shared" si="3"/>
        <v xml:space="preserve">    (U4)0x02000149U,                                                           /* 02 EXPOW                                           */</v>
      </c>
      <c r="AS8" s="42" t="str">
        <f t="shared" si="4"/>
        <v xml:space="preserve">    (U4)0x020007FFU,                                                           /* 02 EXPOW                                           */</v>
      </c>
      <c r="AT8" s="42" t="str">
        <f ca="1">IF(AJ8&lt;&gt;"",AL8&amp;IF(AJ9&lt;&gt;"",","," ")&amp;REPT(" ",78-LEN(AL8))&amp;"/* "&amp;IF(C8&lt;10,"0"&amp;C8,C8)&amp;" "&amp;AJ8&amp;REPT(" ",48-LEN(AJ8))&amp;"*/",IF(AJ7&lt;&gt;"","};",""))</f>
        <v xml:space="preserve">    (U1)ALERT_REQ_H_ACDCSUP_EXPOW,                                             /* 02 EXPOW                                           */</v>
      </c>
      <c r="AU8" s="42" t="str">
        <f ca="1">IF($AW$15&lt;&gt;"NULL","        &amp;"&amp;$AW$15&amp;","&amp;REPT(" ",69-LEN($AW$15))&amp;"/* fp_vd_XDST                                         */","        vdp_PTR_NA,                                                            /* fp_vd_XDST                                         */")</f>
        <v xml:space="preserve">        vdp_PTR_NA,                                                            /* fp_vd_XDST                                         */</v>
      </c>
      <c r="AV8" s="28" t="s">
        <v>74</v>
      </c>
      <c r="AW8" s="47" t="str">
        <f ca="1">"u4_sp_ALERT_"&amp;IF(AW6&lt;&gt;AW17,$AW$17&amp;"_"&amp;$AW$6,AW17)&amp;"_CRIT"</f>
        <v>u4_sp_ALERT_H_ACDCSUP_CRIT</v>
      </c>
    </row>
    <row r="9" spans="1:49">
      <c r="B9" s="104"/>
      <c r="C9" s="26">
        <f t="shared" si="2"/>
        <v>3</v>
      </c>
      <c r="D9" s="40" t="s">
        <v>69</v>
      </c>
      <c r="E9" s="40" t="s">
        <v>69</v>
      </c>
      <c r="F9" s="40" t="s">
        <v>69</v>
      </c>
      <c r="G9" s="40" t="s">
        <v>69</v>
      </c>
      <c r="H9" s="40" t="s">
        <v>69</v>
      </c>
      <c r="I9" s="40" t="s">
        <v>69</v>
      </c>
      <c r="J9" s="99">
        <v>1</v>
      </c>
      <c r="K9" s="40" t="s">
        <v>69</v>
      </c>
      <c r="L9" s="40" t="s">
        <v>69</v>
      </c>
      <c r="M9" s="40" t="s">
        <v>69</v>
      </c>
      <c r="N9" s="40" t="s">
        <v>69</v>
      </c>
      <c r="O9" s="40" t="s">
        <v>69</v>
      </c>
      <c r="P9" s="40" t="s">
        <v>69</v>
      </c>
      <c r="Q9" s="40" t="s">
        <v>69</v>
      </c>
      <c r="R9" s="40" t="s">
        <v>69</v>
      </c>
      <c r="S9" s="40" t="s">
        <v>69</v>
      </c>
      <c r="T9" s="40" t="s">
        <v>69</v>
      </c>
      <c r="U9" s="40" t="s">
        <v>69</v>
      </c>
      <c r="V9" s="40" t="s">
        <v>69</v>
      </c>
      <c r="W9" s="40" t="s">
        <v>69</v>
      </c>
      <c r="X9" s="40" t="s">
        <v>69</v>
      </c>
      <c r="Y9" s="40">
        <v>0</v>
      </c>
      <c r="Z9" s="40">
        <v>0</v>
      </c>
      <c r="AA9" s="40">
        <v>1</v>
      </c>
      <c r="AB9" s="40">
        <v>0</v>
      </c>
      <c r="AC9" s="40">
        <v>1</v>
      </c>
      <c r="AD9" s="40">
        <v>0</v>
      </c>
      <c r="AE9" s="40">
        <v>0</v>
      </c>
      <c r="AF9" s="40">
        <v>1</v>
      </c>
      <c r="AG9" s="40">
        <v>0</v>
      </c>
      <c r="AH9" s="40">
        <v>1</v>
      </c>
      <c r="AI9" s="40">
        <v>0</v>
      </c>
      <c r="AJ9" s="22" t="s">
        <v>231</v>
      </c>
      <c r="AL9" t="str">
        <f t="shared" ca="1" si="0"/>
        <v xml:space="preserve">    (U1)ALERT_REQ_H_ACDCSUP_EXPOW_VEH</v>
      </c>
      <c r="AR9" s="42" t="str">
        <f t="shared" si="3"/>
        <v xml:space="preserve">    (U4)0x0200014AU                                                            /* 03 EXPOW_VEH                                       */</v>
      </c>
      <c r="AS9" s="42" t="str">
        <f t="shared" si="4"/>
        <v xml:space="preserve">    (U4)0x020007FFU                                                            /* 03 EXPOW_VEH                                       */</v>
      </c>
      <c r="AT9" s="42" t="str">
        <f t="shared" ca="1" si="1"/>
        <v xml:space="preserve">    (U1)ALERT_REQ_H_ACDCSUP_EXPOW_VEH                                          /* 03 EXPOW_VEH                                       */</v>
      </c>
      <c r="AU9" s="42"/>
      <c r="AV9" s="28" t="s">
        <v>75</v>
      </c>
      <c r="AW9" s="47" t="str">
        <f ca="1">"u4_sp_ALERT_"&amp;IF(AW6&lt;&gt;AW17,$AW$17&amp;"_"&amp;$AW$6,AW17)&amp;"_MASK"</f>
        <v>u4_sp_ALERT_H_ACDCSUP_MASK</v>
      </c>
    </row>
    <row r="10" spans="1:49">
      <c r="B10" s="104"/>
      <c r="C10" s="26">
        <f t="shared" si="2"/>
        <v>4</v>
      </c>
      <c r="D10" s="40" t="s">
        <v>69</v>
      </c>
      <c r="E10" s="40" t="s">
        <v>69</v>
      </c>
      <c r="F10" s="40" t="s">
        <v>69</v>
      </c>
      <c r="G10" s="40" t="s">
        <v>69</v>
      </c>
      <c r="H10" s="40" t="s">
        <v>69</v>
      </c>
      <c r="I10" s="40" t="s">
        <v>69</v>
      </c>
      <c r="J10" s="40" t="s">
        <v>69</v>
      </c>
      <c r="K10" s="40" t="s">
        <v>69</v>
      </c>
      <c r="L10" s="40" t="s">
        <v>69</v>
      </c>
      <c r="M10" s="40" t="s">
        <v>69</v>
      </c>
      <c r="N10" s="40" t="s">
        <v>69</v>
      </c>
      <c r="O10" s="40" t="s">
        <v>69</v>
      </c>
      <c r="P10" s="40" t="s">
        <v>69</v>
      </c>
      <c r="Q10" s="40" t="s">
        <v>69</v>
      </c>
      <c r="R10" s="40" t="s">
        <v>69</v>
      </c>
      <c r="S10" s="40" t="s">
        <v>69</v>
      </c>
      <c r="T10" s="40" t="s">
        <v>69</v>
      </c>
      <c r="U10" s="40" t="s">
        <v>69</v>
      </c>
      <c r="V10" s="40" t="s">
        <v>69</v>
      </c>
      <c r="W10" s="40" t="s">
        <v>69</v>
      </c>
      <c r="X10" s="40" t="s">
        <v>69</v>
      </c>
      <c r="Y10" s="40" t="s">
        <v>69</v>
      </c>
      <c r="Z10" s="40" t="s">
        <v>69</v>
      </c>
      <c r="AA10" s="40" t="s">
        <v>69</v>
      </c>
      <c r="AB10" s="40" t="s">
        <v>69</v>
      </c>
      <c r="AC10" s="40" t="s">
        <v>69</v>
      </c>
      <c r="AD10" s="40" t="s">
        <v>69</v>
      </c>
      <c r="AE10" s="40" t="s">
        <v>69</v>
      </c>
      <c r="AF10" s="40" t="s">
        <v>69</v>
      </c>
      <c r="AG10" s="40" t="s">
        <v>69</v>
      </c>
      <c r="AH10" s="40" t="s">
        <v>69</v>
      </c>
      <c r="AI10" s="40" t="s">
        <v>69</v>
      </c>
      <c r="AJ10" s="22"/>
      <c r="AL10" t="str">
        <f t="shared" ca="1" si="0"/>
        <v xml:space="preserve">    (U1)ALERT_REQ_H_ACDCSUP_</v>
      </c>
      <c r="AR10" s="42" t="str">
        <f t="shared" si="3"/>
        <v>};</v>
      </c>
      <c r="AS10" s="42" t="str">
        <f t="shared" si="4"/>
        <v>};</v>
      </c>
      <c r="AT10" s="42" t="str">
        <f t="shared" si="1"/>
        <v>};</v>
      </c>
      <c r="AU10" s="42" t="str">
        <f ca="1">IF($AW$7=1,"        &amp;"&amp;$AW$9&amp;"[0],"&amp;REPT(" ",66-LEN($AW$9))&amp;"/* u4p_MASK                                           */","        (const U4 *)vdp_PTR_NA,                                                /* u4p_MASK                                           */")</f>
        <v xml:space="preserve">        &amp;u4_sp_ALERT_H_ACDCSUP_MASK[0],                                        /* u4p_MASK                                           */</v>
      </c>
      <c r="AV10" s="28" t="s">
        <v>76</v>
      </c>
      <c r="AW10" s="47" t="str">
        <f ca="1">"ALERT_"&amp;IF(AW6&lt;&gt;AW17,$AW$17&amp;"_"&amp;$AW$6,AW17)&amp;"_NUM_DST"</f>
        <v>ALERT_H_ACDCSUP_NUM_DST</v>
      </c>
    </row>
    <row r="11" spans="1:49">
      <c r="B11" s="104"/>
      <c r="C11" s="26">
        <f t="shared" si="2"/>
        <v>5</v>
      </c>
      <c r="D11" s="40" t="s">
        <v>69</v>
      </c>
      <c r="E11" s="40" t="s">
        <v>69</v>
      </c>
      <c r="F11" s="40" t="s">
        <v>69</v>
      </c>
      <c r="G11" s="40" t="s">
        <v>69</v>
      </c>
      <c r="H11" s="40" t="s">
        <v>69</v>
      </c>
      <c r="I11" s="40" t="s">
        <v>69</v>
      </c>
      <c r="J11" s="40" t="s">
        <v>69</v>
      </c>
      <c r="K11" s="40" t="s">
        <v>69</v>
      </c>
      <c r="L11" s="40" t="s">
        <v>69</v>
      </c>
      <c r="M11" s="40" t="s">
        <v>69</v>
      </c>
      <c r="N11" s="40" t="s">
        <v>69</v>
      </c>
      <c r="O11" s="40" t="s">
        <v>69</v>
      </c>
      <c r="P11" s="40" t="s">
        <v>69</v>
      </c>
      <c r="Q11" s="40" t="s">
        <v>69</v>
      </c>
      <c r="R11" s="40" t="s">
        <v>69</v>
      </c>
      <c r="S11" s="40" t="s">
        <v>69</v>
      </c>
      <c r="T11" s="40" t="s">
        <v>69</v>
      </c>
      <c r="U11" s="40" t="s">
        <v>69</v>
      </c>
      <c r="V11" s="40" t="s">
        <v>69</v>
      </c>
      <c r="W11" s="40" t="s">
        <v>69</v>
      </c>
      <c r="X11" s="40" t="s">
        <v>69</v>
      </c>
      <c r="Y11" s="40" t="s">
        <v>69</v>
      </c>
      <c r="Z11" s="40" t="s">
        <v>69</v>
      </c>
      <c r="AA11" s="40" t="s">
        <v>69</v>
      </c>
      <c r="AB11" s="40" t="s">
        <v>69</v>
      </c>
      <c r="AC11" s="40" t="s">
        <v>69</v>
      </c>
      <c r="AD11" s="40" t="s">
        <v>69</v>
      </c>
      <c r="AE11" s="40" t="s">
        <v>69</v>
      </c>
      <c r="AF11" s="40" t="s">
        <v>69</v>
      </c>
      <c r="AG11" s="40" t="s">
        <v>69</v>
      </c>
      <c r="AH11" s="40" t="s">
        <v>69</v>
      </c>
      <c r="AI11" s="40" t="s">
        <v>69</v>
      </c>
      <c r="AJ11" s="22"/>
      <c r="AL11" t="str">
        <f t="shared" ca="1" si="0"/>
        <v xml:space="preserve">    (U1)ALERT_REQ_H_ACDCSUP_</v>
      </c>
      <c r="AR11" s="42" t="str">
        <f t="shared" si="3"/>
        <v/>
      </c>
      <c r="AS11" s="42" t="str">
        <f t="shared" si="4"/>
        <v/>
      </c>
      <c r="AT11" s="42" t="str">
        <f t="shared" si="1"/>
        <v/>
      </c>
      <c r="AU11" s="42" t="str">
        <f ca="1">IF($AW$7=1,"        &amp;"&amp;$AW$8&amp;"[0],"&amp;REPT(" ",66-LEN($AW$8))&amp;"/* u4p_CRIT                                           */","        (const U4 *)vdp_PTR_NA,                                                /* u4p_CRIT                                           */")</f>
        <v xml:space="preserve">        &amp;u4_sp_ALERT_H_ACDCSUP_CRIT[0],                                        /* u4p_CRIT                                           */</v>
      </c>
      <c r="AV11" s="28" t="s">
        <v>77</v>
      </c>
      <c r="AW11" s="47" t="str">
        <f ca="1">"u1_sp_ALERT_"&amp;IF(AW6&lt;&gt;AW17,$AW$17&amp;"_"&amp;$AW$6,AW17)&amp;"_DST"</f>
        <v>u1_sp_ALERT_H_ACDCSUP_DST</v>
      </c>
    </row>
    <row r="12" spans="1:49">
      <c r="B12" s="104"/>
      <c r="C12" s="26">
        <f t="shared" si="2"/>
        <v>6</v>
      </c>
      <c r="D12" s="40" t="s">
        <v>69</v>
      </c>
      <c r="E12" s="40" t="s">
        <v>69</v>
      </c>
      <c r="F12" s="40" t="s">
        <v>69</v>
      </c>
      <c r="G12" s="40" t="s">
        <v>69</v>
      </c>
      <c r="H12" s="40" t="s">
        <v>69</v>
      </c>
      <c r="I12" s="40" t="s">
        <v>69</v>
      </c>
      <c r="J12" s="40" t="s">
        <v>69</v>
      </c>
      <c r="K12" s="40" t="s">
        <v>69</v>
      </c>
      <c r="L12" s="40" t="s">
        <v>69</v>
      </c>
      <c r="M12" s="40" t="s">
        <v>69</v>
      </c>
      <c r="N12" s="40" t="s">
        <v>69</v>
      </c>
      <c r="O12" s="40" t="s">
        <v>69</v>
      </c>
      <c r="P12" s="40" t="s">
        <v>69</v>
      </c>
      <c r="Q12" s="40" t="s">
        <v>69</v>
      </c>
      <c r="R12" s="40" t="s">
        <v>69</v>
      </c>
      <c r="S12" s="40" t="s">
        <v>69</v>
      </c>
      <c r="T12" s="40" t="s">
        <v>69</v>
      </c>
      <c r="U12" s="40" t="s">
        <v>69</v>
      </c>
      <c r="V12" s="40" t="s">
        <v>69</v>
      </c>
      <c r="W12" s="40" t="s">
        <v>69</v>
      </c>
      <c r="X12" s="40" t="s">
        <v>69</v>
      </c>
      <c r="Y12" s="40" t="s">
        <v>69</v>
      </c>
      <c r="Z12" s="40" t="s">
        <v>69</v>
      </c>
      <c r="AA12" s="40" t="s">
        <v>69</v>
      </c>
      <c r="AB12" s="40" t="s">
        <v>69</v>
      </c>
      <c r="AC12" s="40" t="s">
        <v>69</v>
      </c>
      <c r="AD12" s="40" t="s">
        <v>69</v>
      </c>
      <c r="AE12" s="99" t="s">
        <v>69</v>
      </c>
      <c r="AF12" s="40" t="s">
        <v>69</v>
      </c>
      <c r="AG12" s="40" t="s">
        <v>69</v>
      </c>
      <c r="AH12" s="40" t="s">
        <v>69</v>
      </c>
      <c r="AI12" s="40" t="s">
        <v>69</v>
      </c>
      <c r="AJ12" s="22"/>
      <c r="AL12" t="str">
        <f t="shared" ca="1" si="0"/>
        <v xml:space="preserve">    (U1)ALERT_REQ_H_ACDCSUP_</v>
      </c>
      <c r="AR12" s="42" t="str">
        <f t="shared" si="3"/>
        <v/>
      </c>
      <c r="AS12" s="42" t="str">
        <f t="shared" si="4"/>
        <v/>
      </c>
      <c r="AT12" s="42" t="str">
        <f t="shared" si="1"/>
        <v/>
      </c>
      <c r="AU12" s="42"/>
      <c r="AV12" s="28" t="s">
        <v>91</v>
      </c>
      <c r="AW12" s="47" t="str">
        <f ca="1">Matrix!D8&amp;"["&amp;Matrix!D7&amp;"]"</f>
        <v>st_gp_ALERT_H_ACDCSUP_MTRX[1]</v>
      </c>
    </row>
    <row r="13" spans="1:49">
      <c r="B13" s="104"/>
      <c r="C13" s="26">
        <f t="shared" si="2"/>
        <v>7</v>
      </c>
      <c r="D13" s="40" t="s">
        <v>69</v>
      </c>
      <c r="E13" s="40" t="s">
        <v>69</v>
      </c>
      <c r="F13" s="40" t="s">
        <v>69</v>
      </c>
      <c r="G13" s="40" t="s">
        <v>69</v>
      </c>
      <c r="H13" s="40" t="s">
        <v>69</v>
      </c>
      <c r="I13" s="40" t="s">
        <v>69</v>
      </c>
      <c r="J13" s="40" t="s">
        <v>69</v>
      </c>
      <c r="K13" s="40" t="s">
        <v>69</v>
      </c>
      <c r="L13" s="40" t="s">
        <v>69</v>
      </c>
      <c r="M13" s="40" t="s">
        <v>69</v>
      </c>
      <c r="N13" s="40" t="s">
        <v>69</v>
      </c>
      <c r="O13" s="40" t="s">
        <v>69</v>
      </c>
      <c r="P13" s="40" t="s">
        <v>69</v>
      </c>
      <c r="Q13" s="40" t="s">
        <v>69</v>
      </c>
      <c r="R13" s="40" t="s">
        <v>69</v>
      </c>
      <c r="S13" s="40" t="s">
        <v>69</v>
      </c>
      <c r="T13" s="40" t="s">
        <v>69</v>
      </c>
      <c r="U13" s="40" t="s">
        <v>69</v>
      </c>
      <c r="V13" s="40" t="s">
        <v>69</v>
      </c>
      <c r="W13" s="40" t="s">
        <v>69</v>
      </c>
      <c r="X13" s="40" t="s">
        <v>69</v>
      </c>
      <c r="Y13" s="40" t="s">
        <v>69</v>
      </c>
      <c r="Z13" s="40" t="s">
        <v>69</v>
      </c>
      <c r="AA13" s="40" t="s">
        <v>69</v>
      </c>
      <c r="AB13" s="40" t="s">
        <v>69</v>
      </c>
      <c r="AC13" s="40" t="s">
        <v>69</v>
      </c>
      <c r="AD13" s="40" t="s">
        <v>69</v>
      </c>
      <c r="AE13" s="40" t="s">
        <v>69</v>
      </c>
      <c r="AF13" s="40" t="s">
        <v>69</v>
      </c>
      <c r="AG13" s="40" t="s">
        <v>69</v>
      </c>
      <c r="AH13" s="40" t="s">
        <v>69</v>
      </c>
      <c r="AI13" s="40" t="s">
        <v>69</v>
      </c>
      <c r="AJ13" s="22"/>
      <c r="AL13" t="str">
        <f t="shared" ca="1" si="0"/>
        <v xml:space="preserve">    (U1)ALERT_REQ_H_ACDCSUP_</v>
      </c>
      <c r="AR13" s="42" t="str">
        <f t="shared" si="3"/>
        <v/>
      </c>
      <c r="AS13" s="42" t="str">
        <f t="shared" si="4"/>
        <v/>
      </c>
      <c r="AT13" s="42" t="str">
        <f t="shared" si="1"/>
        <v/>
      </c>
      <c r="AU13" s="42" t="str">
        <f ca="1">"        &amp;"&amp;$AW$11&amp;"[0],"&amp;REPT(" ",66-LEN($AW$11))&amp;"/* u1p_DST                                            */"</f>
        <v xml:space="preserve">        &amp;u1_sp_ALERT_H_ACDCSUP_DST[0],                                         /* u1p_DST                                            */</v>
      </c>
      <c r="AV13" s="28" t="s">
        <v>78</v>
      </c>
      <c r="AW13" s="103">
        <f>COUNTA($AJ$6:$AJ$69)</f>
        <v>4</v>
      </c>
    </row>
    <row r="14" spans="1:49">
      <c r="B14" s="104"/>
      <c r="C14" s="26">
        <f t="shared" si="2"/>
        <v>8</v>
      </c>
      <c r="D14" s="40" t="s">
        <v>69</v>
      </c>
      <c r="E14" s="40" t="s">
        <v>69</v>
      </c>
      <c r="F14" s="40" t="s">
        <v>69</v>
      </c>
      <c r="G14" s="40" t="s">
        <v>69</v>
      </c>
      <c r="H14" s="40" t="s">
        <v>69</v>
      </c>
      <c r="I14" s="40" t="s">
        <v>69</v>
      </c>
      <c r="J14" s="40" t="s">
        <v>69</v>
      </c>
      <c r="K14" s="40" t="s">
        <v>69</v>
      </c>
      <c r="L14" s="40" t="s">
        <v>69</v>
      </c>
      <c r="M14" s="40" t="s">
        <v>69</v>
      </c>
      <c r="N14" s="40" t="s">
        <v>69</v>
      </c>
      <c r="O14" s="40" t="s">
        <v>69</v>
      </c>
      <c r="P14" s="40" t="s">
        <v>69</v>
      </c>
      <c r="Q14" s="40" t="s">
        <v>69</v>
      </c>
      <c r="R14" s="40" t="s">
        <v>69</v>
      </c>
      <c r="S14" s="40" t="s">
        <v>69</v>
      </c>
      <c r="T14" s="40" t="s">
        <v>69</v>
      </c>
      <c r="U14" s="40" t="s">
        <v>69</v>
      </c>
      <c r="V14" s="40" t="s">
        <v>69</v>
      </c>
      <c r="W14" s="40" t="s">
        <v>69</v>
      </c>
      <c r="X14" s="40" t="s">
        <v>69</v>
      </c>
      <c r="Y14" s="40" t="s">
        <v>69</v>
      </c>
      <c r="Z14" s="40" t="s">
        <v>69</v>
      </c>
      <c r="AA14" s="40" t="s">
        <v>69</v>
      </c>
      <c r="AB14" s="40" t="s">
        <v>69</v>
      </c>
      <c r="AC14" s="40" t="s">
        <v>69</v>
      </c>
      <c r="AD14" s="40" t="s">
        <v>69</v>
      </c>
      <c r="AE14" s="40" t="s">
        <v>69</v>
      </c>
      <c r="AF14" s="40" t="s">
        <v>69</v>
      </c>
      <c r="AG14" s="40" t="s">
        <v>69</v>
      </c>
      <c r="AH14" s="40" t="s">
        <v>69</v>
      </c>
      <c r="AI14" s="40" t="s">
        <v>69</v>
      </c>
      <c r="AJ14" s="22"/>
      <c r="AL14" t="str">
        <f t="shared" ca="1" si="0"/>
        <v xml:space="preserve">    (U1)ALERT_REQ_H_ACDCSUP_</v>
      </c>
      <c r="AR14" s="42" t="str">
        <f t="shared" si="3"/>
        <v/>
      </c>
      <c r="AS14" s="42" t="str">
        <f t="shared" si="4"/>
        <v/>
      </c>
      <c r="AT14" s="42" t="str">
        <f t="shared" si="1"/>
        <v/>
      </c>
      <c r="AU14" s="42" t="str">
        <f ca="1">"        (U2)"&amp;$AW$10&amp;","&amp;REPT(" ",66-LEN($AW$10))&amp;"/* u2_num_srch                                        */"</f>
        <v xml:space="preserve">        (U2)ALERT_H_ACDCSUP_NUM_DST,                                           /* u2_num_srch                                        */</v>
      </c>
      <c r="AV14" s="28" t="s">
        <v>79</v>
      </c>
      <c r="AW14" s="47" t="str">
        <f ca="1">IF(AW6&lt;&gt;AW17,VLOOKUP(AW6,Matrix!$C$13:$G$37,4,FALSE),Matrix!F13)</f>
        <v>u4_s_AlertH_acdcsupSrcchk</v>
      </c>
    </row>
    <row r="15" spans="1:49">
      <c r="B15" s="104"/>
      <c r="C15" s="26">
        <f t="shared" si="2"/>
        <v>9</v>
      </c>
      <c r="D15" s="40" t="s">
        <v>69</v>
      </c>
      <c r="E15" s="40" t="s">
        <v>69</v>
      </c>
      <c r="F15" s="40" t="s">
        <v>69</v>
      </c>
      <c r="G15" s="40" t="s">
        <v>69</v>
      </c>
      <c r="H15" s="40" t="s">
        <v>69</v>
      </c>
      <c r="I15" s="40" t="s">
        <v>69</v>
      </c>
      <c r="J15" s="40" t="s">
        <v>69</v>
      </c>
      <c r="K15" s="40" t="s">
        <v>69</v>
      </c>
      <c r="L15" s="40" t="s">
        <v>69</v>
      </c>
      <c r="M15" s="40" t="s">
        <v>69</v>
      </c>
      <c r="N15" s="40" t="s">
        <v>69</v>
      </c>
      <c r="O15" s="40" t="s">
        <v>69</v>
      </c>
      <c r="P15" s="40" t="s">
        <v>69</v>
      </c>
      <c r="Q15" s="40" t="s">
        <v>69</v>
      </c>
      <c r="R15" s="40" t="s">
        <v>69</v>
      </c>
      <c r="S15" s="40" t="s">
        <v>69</v>
      </c>
      <c r="T15" s="40" t="s">
        <v>69</v>
      </c>
      <c r="U15" s="40" t="s">
        <v>69</v>
      </c>
      <c r="V15" s="40" t="s">
        <v>69</v>
      </c>
      <c r="W15" s="40" t="s">
        <v>69</v>
      </c>
      <c r="X15" s="40" t="s">
        <v>69</v>
      </c>
      <c r="Y15" s="40" t="s">
        <v>69</v>
      </c>
      <c r="Z15" s="40" t="s">
        <v>69</v>
      </c>
      <c r="AA15" s="40" t="s">
        <v>69</v>
      </c>
      <c r="AB15" s="40" t="s">
        <v>69</v>
      </c>
      <c r="AC15" s="40" t="s">
        <v>69</v>
      </c>
      <c r="AD15" s="40" t="s">
        <v>69</v>
      </c>
      <c r="AE15" s="40" t="s">
        <v>69</v>
      </c>
      <c r="AF15" s="40" t="s">
        <v>69</v>
      </c>
      <c r="AG15" s="40" t="s">
        <v>69</v>
      </c>
      <c r="AH15" s="40" t="s">
        <v>69</v>
      </c>
      <c r="AI15" s="40" t="s">
        <v>69</v>
      </c>
      <c r="AJ15" s="22"/>
      <c r="AL15" t="str">
        <f t="shared" ca="1" si="0"/>
        <v xml:space="preserve">    (U1)ALERT_REQ_H_ACDCSUP_</v>
      </c>
      <c r="AR15" s="42" t="str">
        <f t="shared" si="3"/>
        <v/>
      </c>
      <c r="AS15" s="42" t="str">
        <f t="shared" si="4"/>
        <v/>
      </c>
      <c r="AT15" s="42" t="str">
        <f t="shared" si="1"/>
        <v/>
      </c>
      <c r="AU15" s="42" t="str">
        <f ca="1">"        (U1)"&amp;$AW$16&amp;REPT(" ",67-LEN($AW$16))&amp;"/* u1_vom_act                                         */"</f>
        <v xml:space="preserve">        (U1)ALERT_VOM_BAT_WT                                                   /* u1_vom_act                                         */</v>
      </c>
      <c r="AV15" s="28" t="s">
        <v>82</v>
      </c>
      <c r="AW15" s="47" t="str">
        <f ca="1">IF(AW6&lt;&gt;AW17,VLOOKUP(AW6,Matrix!$C$13:$G$37,5,FALSE),Matrix!G13)</f>
        <v>NULL</v>
      </c>
    </row>
    <row r="16" spans="1:49">
      <c r="B16" s="104"/>
      <c r="C16" s="26">
        <f t="shared" si="2"/>
        <v>10</v>
      </c>
      <c r="D16" s="40" t="s">
        <v>69</v>
      </c>
      <c r="E16" s="40" t="s">
        <v>69</v>
      </c>
      <c r="F16" s="40" t="s">
        <v>69</v>
      </c>
      <c r="G16" s="40" t="s">
        <v>69</v>
      </c>
      <c r="H16" s="40" t="s">
        <v>69</v>
      </c>
      <c r="I16" s="40" t="s">
        <v>69</v>
      </c>
      <c r="J16" s="40" t="s">
        <v>69</v>
      </c>
      <c r="K16" s="40" t="s">
        <v>69</v>
      </c>
      <c r="L16" s="40" t="s">
        <v>69</v>
      </c>
      <c r="M16" s="40" t="s">
        <v>69</v>
      </c>
      <c r="N16" s="40" t="s">
        <v>69</v>
      </c>
      <c r="O16" s="40" t="s">
        <v>69</v>
      </c>
      <c r="P16" s="40" t="s">
        <v>69</v>
      </c>
      <c r="Q16" s="40" t="s">
        <v>69</v>
      </c>
      <c r="R16" s="40" t="s">
        <v>69</v>
      </c>
      <c r="S16" s="40" t="s">
        <v>69</v>
      </c>
      <c r="T16" s="40" t="s">
        <v>69</v>
      </c>
      <c r="U16" s="40" t="s">
        <v>69</v>
      </c>
      <c r="V16" s="40" t="s">
        <v>69</v>
      </c>
      <c r="W16" s="40" t="s">
        <v>69</v>
      </c>
      <c r="X16" s="40" t="s">
        <v>69</v>
      </c>
      <c r="Y16" s="40" t="s">
        <v>69</v>
      </c>
      <c r="Z16" s="40" t="s">
        <v>69</v>
      </c>
      <c r="AA16" s="40" t="s">
        <v>69</v>
      </c>
      <c r="AB16" s="40" t="s">
        <v>69</v>
      </c>
      <c r="AC16" s="40" t="s">
        <v>69</v>
      </c>
      <c r="AD16" s="40" t="s">
        <v>69</v>
      </c>
      <c r="AE16" s="40" t="s">
        <v>69</v>
      </c>
      <c r="AF16" s="40" t="s">
        <v>69</v>
      </c>
      <c r="AG16" s="40" t="s">
        <v>69</v>
      </c>
      <c r="AH16" s="40" t="s">
        <v>69</v>
      </c>
      <c r="AI16" s="40" t="s">
        <v>69</v>
      </c>
      <c r="AJ16" s="22"/>
      <c r="AL16" t="str">
        <f t="shared" ca="1" si="0"/>
        <v xml:space="preserve">    (U1)ALERT_REQ_H_ACDCSUP_</v>
      </c>
      <c r="AR16" s="42" t="str">
        <f t="shared" si="3"/>
        <v/>
      </c>
      <c r="AS16" s="42" t="str">
        <f t="shared" si="4"/>
        <v/>
      </c>
      <c r="AT16" s="42" t="str">
        <f t="shared" si="1"/>
        <v/>
      </c>
      <c r="AU16" s="42" t="s">
        <v>71</v>
      </c>
      <c r="AV16" s="28" t="s">
        <v>80</v>
      </c>
      <c r="AW16" s="47" t="str">
        <f ca="1">IF(AW6&lt;&gt;AW17,VLOOKUP(AW6,Matrix!$C$13:$G$37,2,FALSE),Matrix!D13)</f>
        <v>ALERT_VOM_BAT_WT</v>
      </c>
    </row>
    <row r="17" spans="2:49" ht="14.25" thickBot="1">
      <c r="B17" s="104"/>
      <c r="C17" s="26">
        <f t="shared" si="2"/>
        <v>11</v>
      </c>
      <c r="D17" s="40" t="s">
        <v>69</v>
      </c>
      <c r="E17" s="40" t="s">
        <v>69</v>
      </c>
      <c r="F17" s="40" t="s">
        <v>69</v>
      </c>
      <c r="G17" s="40" t="s">
        <v>69</v>
      </c>
      <c r="H17" s="40" t="s">
        <v>69</v>
      </c>
      <c r="I17" s="40" t="s">
        <v>69</v>
      </c>
      <c r="J17" s="40" t="s">
        <v>69</v>
      </c>
      <c r="K17" s="40" t="s">
        <v>69</v>
      </c>
      <c r="L17" s="40" t="s">
        <v>69</v>
      </c>
      <c r="M17" s="40" t="s">
        <v>69</v>
      </c>
      <c r="N17" s="40" t="s">
        <v>69</v>
      </c>
      <c r="O17" s="40" t="s">
        <v>69</v>
      </c>
      <c r="P17" s="40" t="s">
        <v>69</v>
      </c>
      <c r="Q17" s="40" t="s">
        <v>69</v>
      </c>
      <c r="R17" s="40" t="s">
        <v>69</v>
      </c>
      <c r="S17" s="40" t="s">
        <v>69</v>
      </c>
      <c r="T17" s="40" t="s">
        <v>69</v>
      </c>
      <c r="U17" s="40" t="s">
        <v>69</v>
      </c>
      <c r="V17" s="40" t="s">
        <v>69</v>
      </c>
      <c r="W17" s="40" t="s">
        <v>69</v>
      </c>
      <c r="X17" s="40" t="s">
        <v>69</v>
      </c>
      <c r="Y17" s="40" t="s">
        <v>69</v>
      </c>
      <c r="Z17" s="40" t="s">
        <v>69</v>
      </c>
      <c r="AA17" s="40" t="s">
        <v>69</v>
      </c>
      <c r="AB17" s="40" t="s">
        <v>69</v>
      </c>
      <c r="AC17" s="40" t="s">
        <v>69</v>
      </c>
      <c r="AD17" s="40" t="s">
        <v>69</v>
      </c>
      <c r="AE17" s="40" t="s">
        <v>69</v>
      </c>
      <c r="AF17" s="40" t="s">
        <v>69</v>
      </c>
      <c r="AG17" s="40" t="s">
        <v>69</v>
      </c>
      <c r="AH17" s="40" t="s">
        <v>69</v>
      </c>
      <c r="AI17" s="40" t="s">
        <v>69</v>
      </c>
      <c r="AJ17" s="22"/>
      <c r="AL17" t="str">
        <f t="shared" ca="1" si="0"/>
        <v xml:space="preserve">    (U1)ALERT_REQ_H_ACDCSUP_</v>
      </c>
      <c r="AR17" s="42" t="str">
        <f t="shared" si="3"/>
        <v/>
      </c>
      <c r="AS17" s="42" t="str">
        <f t="shared" si="4"/>
        <v/>
      </c>
      <c r="AT17" s="42" t="str">
        <f t="shared" si="1"/>
        <v/>
      </c>
      <c r="AU17" s="43" t="s">
        <v>83</v>
      </c>
      <c r="AV17" s="29" t="s">
        <v>81</v>
      </c>
      <c r="AW17" s="48" t="str">
        <f ca="1">UPPER(Matrix!$D$6)</f>
        <v>H_ACDCSUP</v>
      </c>
    </row>
    <row r="18" spans="2:49">
      <c r="B18" s="104"/>
      <c r="C18" s="26">
        <f t="shared" si="2"/>
        <v>12</v>
      </c>
      <c r="D18" s="40" t="s">
        <v>69</v>
      </c>
      <c r="E18" s="40" t="s">
        <v>69</v>
      </c>
      <c r="F18" s="40" t="s">
        <v>69</v>
      </c>
      <c r="G18" s="40" t="s">
        <v>69</v>
      </c>
      <c r="H18" s="40" t="s">
        <v>69</v>
      </c>
      <c r="I18" s="40" t="s">
        <v>69</v>
      </c>
      <c r="J18" s="40" t="s">
        <v>69</v>
      </c>
      <c r="K18" s="40" t="s">
        <v>69</v>
      </c>
      <c r="L18" s="40" t="s">
        <v>69</v>
      </c>
      <c r="M18" s="40" t="s">
        <v>69</v>
      </c>
      <c r="N18" s="40" t="s">
        <v>69</v>
      </c>
      <c r="O18" s="40" t="s">
        <v>69</v>
      </c>
      <c r="P18" s="40" t="s">
        <v>69</v>
      </c>
      <c r="Q18" s="40" t="s">
        <v>69</v>
      </c>
      <c r="R18" s="40" t="s">
        <v>69</v>
      </c>
      <c r="S18" s="40" t="s">
        <v>69</v>
      </c>
      <c r="T18" s="40" t="s">
        <v>69</v>
      </c>
      <c r="U18" s="40" t="s">
        <v>69</v>
      </c>
      <c r="V18" s="40" t="s">
        <v>69</v>
      </c>
      <c r="W18" s="40" t="s">
        <v>69</v>
      </c>
      <c r="X18" s="40" t="s">
        <v>69</v>
      </c>
      <c r="Y18" s="40" t="s">
        <v>69</v>
      </c>
      <c r="Z18" s="40" t="s">
        <v>69</v>
      </c>
      <c r="AA18" s="40" t="s">
        <v>69</v>
      </c>
      <c r="AB18" s="40" t="s">
        <v>69</v>
      </c>
      <c r="AC18" s="40" t="s">
        <v>69</v>
      </c>
      <c r="AD18" s="40" t="s">
        <v>69</v>
      </c>
      <c r="AE18" s="40" t="s">
        <v>69</v>
      </c>
      <c r="AF18" s="40" t="s">
        <v>69</v>
      </c>
      <c r="AG18" s="40" t="s">
        <v>69</v>
      </c>
      <c r="AH18" s="40" t="s">
        <v>69</v>
      </c>
      <c r="AI18" s="40" t="s">
        <v>69</v>
      </c>
      <c r="AJ18" s="22"/>
      <c r="AL18" t="str">
        <f t="shared" ca="1" si="0"/>
        <v xml:space="preserve">    (U1)ALERT_REQ_H_ACDCSUP_</v>
      </c>
      <c r="AR18" s="42" t="str">
        <f t="shared" si="3"/>
        <v/>
      </c>
      <c r="AS18" s="42" t="str">
        <f t="shared" si="4"/>
        <v/>
      </c>
      <c r="AT18" s="42" t="str">
        <f t="shared" si="1"/>
        <v/>
      </c>
    </row>
    <row r="19" spans="2:49">
      <c r="B19" s="104"/>
      <c r="C19" s="26">
        <f t="shared" si="2"/>
        <v>13</v>
      </c>
      <c r="D19" s="40" t="s">
        <v>69</v>
      </c>
      <c r="E19" s="40" t="s">
        <v>69</v>
      </c>
      <c r="F19" s="40" t="s">
        <v>69</v>
      </c>
      <c r="G19" s="40" t="s">
        <v>69</v>
      </c>
      <c r="H19" s="40" t="s">
        <v>69</v>
      </c>
      <c r="I19" s="40" t="s">
        <v>69</v>
      </c>
      <c r="J19" s="40" t="s">
        <v>69</v>
      </c>
      <c r="K19" s="40" t="s">
        <v>69</v>
      </c>
      <c r="L19" s="40" t="s">
        <v>69</v>
      </c>
      <c r="M19" s="40" t="s">
        <v>69</v>
      </c>
      <c r="N19" s="40" t="s">
        <v>69</v>
      </c>
      <c r="O19" s="40" t="s">
        <v>69</v>
      </c>
      <c r="P19" s="40" t="s">
        <v>69</v>
      </c>
      <c r="Q19" s="40" t="s">
        <v>69</v>
      </c>
      <c r="R19" s="40" t="s">
        <v>69</v>
      </c>
      <c r="S19" s="40" t="s">
        <v>69</v>
      </c>
      <c r="T19" s="40" t="s">
        <v>69</v>
      </c>
      <c r="U19" s="40" t="s">
        <v>69</v>
      </c>
      <c r="V19" s="40" t="s">
        <v>69</v>
      </c>
      <c r="W19" s="40" t="s">
        <v>69</v>
      </c>
      <c r="X19" s="40" t="s">
        <v>69</v>
      </c>
      <c r="Y19" s="40" t="s">
        <v>69</v>
      </c>
      <c r="Z19" s="40" t="s">
        <v>69</v>
      </c>
      <c r="AA19" s="40" t="s">
        <v>69</v>
      </c>
      <c r="AB19" s="40" t="s">
        <v>69</v>
      </c>
      <c r="AC19" s="40" t="s">
        <v>69</v>
      </c>
      <c r="AD19" s="40" t="s">
        <v>69</v>
      </c>
      <c r="AE19" s="40" t="s">
        <v>69</v>
      </c>
      <c r="AF19" s="40" t="s">
        <v>69</v>
      </c>
      <c r="AG19" s="40" t="s">
        <v>69</v>
      </c>
      <c r="AH19" s="40" t="s">
        <v>69</v>
      </c>
      <c r="AI19" s="40" t="s">
        <v>69</v>
      </c>
      <c r="AJ19" s="22"/>
      <c r="AL19" t="str">
        <f t="shared" ca="1" si="0"/>
        <v xml:space="preserve">    (U1)ALERT_REQ_H_ACDCSUP_</v>
      </c>
      <c r="AR19" s="42" t="str">
        <f t="shared" si="3"/>
        <v/>
      </c>
      <c r="AS19" s="42" t="str">
        <f t="shared" si="4"/>
        <v/>
      </c>
      <c r="AT19" s="42" t="str">
        <f t="shared" si="1"/>
        <v/>
      </c>
    </row>
    <row r="20" spans="2:49">
      <c r="B20" s="104"/>
      <c r="C20" s="26">
        <f t="shared" si="2"/>
        <v>14</v>
      </c>
      <c r="D20" s="40" t="s">
        <v>69</v>
      </c>
      <c r="E20" s="40" t="s">
        <v>69</v>
      </c>
      <c r="F20" s="40" t="s">
        <v>69</v>
      </c>
      <c r="G20" s="40" t="s">
        <v>69</v>
      </c>
      <c r="H20" s="40" t="s">
        <v>69</v>
      </c>
      <c r="I20" s="40" t="s">
        <v>69</v>
      </c>
      <c r="J20" s="40" t="s">
        <v>69</v>
      </c>
      <c r="K20" s="40" t="s">
        <v>69</v>
      </c>
      <c r="L20" s="40" t="s">
        <v>69</v>
      </c>
      <c r="M20" s="40" t="s">
        <v>69</v>
      </c>
      <c r="N20" s="40" t="s">
        <v>69</v>
      </c>
      <c r="O20" s="40" t="s">
        <v>69</v>
      </c>
      <c r="P20" s="40" t="s">
        <v>69</v>
      </c>
      <c r="Q20" s="40" t="s">
        <v>69</v>
      </c>
      <c r="R20" s="40" t="s">
        <v>69</v>
      </c>
      <c r="S20" s="40" t="s">
        <v>69</v>
      </c>
      <c r="T20" s="40" t="s">
        <v>69</v>
      </c>
      <c r="U20" s="40" t="s">
        <v>69</v>
      </c>
      <c r="V20" s="40" t="s">
        <v>69</v>
      </c>
      <c r="W20" s="40" t="s">
        <v>69</v>
      </c>
      <c r="X20" s="40" t="s">
        <v>69</v>
      </c>
      <c r="Y20" s="40" t="s">
        <v>69</v>
      </c>
      <c r="Z20" s="40" t="s">
        <v>69</v>
      </c>
      <c r="AA20" s="40" t="s">
        <v>69</v>
      </c>
      <c r="AB20" s="40" t="s">
        <v>69</v>
      </c>
      <c r="AC20" s="40" t="s">
        <v>69</v>
      </c>
      <c r="AD20" s="40" t="s">
        <v>69</v>
      </c>
      <c r="AE20" s="40" t="s">
        <v>69</v>
      </c>
      <c r="AF20" s="40" t="s">
        <v>69</v>
      </c>
      <c r="AG20" s="40" t="s">
        <v>69</v>
      </c>
      <c r="AH20" s="40" t="s">
        <v>69</v>
      </c>
      <c r="AI20" s="40" t="s">
        <v>69</v>
      </c>
      <c r="AJ20" s="22"/>
      <c r="AL20" t="str">
        <f t="shared" ca="1" si="0"/>
        <v xml:space="preserve">    (U1)ALERT_REQ_H_ACDCSUP_</v>
      </c>
      <c r="AR20" s="42" t="str">
        <f t="shared" si="3"/>
        <v/>
      </c>
      <c r="AS20" s="42" t="str">
        <f t="shared" si="4"/>
        <v/>
      </c>
      <c r="AT20" s="42" t="str">
        <f t="shared" si="1"/>
        <v/>
      </c>
    </row>
    <row r="21" spans="2:49">
      <c r="B21" s="104"/>
      <c r="C21" s="26">
        <f t="shared" si="2"/>
        <v>15</v>
      </c>
      <c r="D21" s="40" t="s">
        <v>69</v>
      </c>
      <c r="E21" s="40" t="s">
        <v>69</v>
      </c>
      <c r="F21" s="40" t="s">
        <v>69</v>
      </c>
      <c r="G21" s="40" t="s">
        <v>69</v>
      </c>
      <c r="H21" s="40" t="s">
        <v>69</v>
      </c>
      <c r="I21" s="40" t="s">
        <v>69</v>
      </c>
      <c r="J21" s="40" t="s">
        <v>69</v>
      </c>
      <c r="K21" s="40" t="s">
        <v>69</v>
      </c>
      <c r="L21" s="40" t="s">
        <v>69</v>
      </c>
      <c r="M21" s="40" t="s">
        <v>69</v>
      </c>
      <c r="N21" s="40" t="s">
        <v>69</v>
      </c>
      <c r="O21" s="40" t="s">
        <v>69</v>
      </c>
      <c r="P21" s="40" t="s">
        <v>69</v>
      </c>
      <c r="Q21" s="40" t="s">
        <v>69</v>
      </c>
      <c r="R21" s="40" t="s">
        <v>69</v>
      </c>
      <c r="S21" s="40" t="s">
        <v>69</v>
      </c>
      <c r="T21" s="40" t="s">
        <v>69</v>
      </c>
      <c r="U21" s="40" t="s">
        <v>69</v>
      </c>
      <c r="V21" s="40" t="s">
        <v>69</v>
      </c>
      <c r="W21" s="40" t="s">
        <v>69</v>
      </c>
      <c r="X21" s="40" t="s">
        <v>69</v>
      </c>
      <c r="Y21" s="40" t="s">
        <v>69</v>
      </c>
      <c r="Z21" s="40" t="s">
        <v>69</v>
      </c>
      <c r="AA21" s="40" t="s">
        <v>69</v>
      </c>
      <c r="AB21" s="40" t="s">
        <v>69</v>
      </c>
      <c r="AC21" s="40" t="s">
        <v>69</v>
      </c>
      <c r="AD21" s="40" t="s">
        <v>69</v>
      </c>
      <c r="AE21" s="40" t="s">
        <v>69</v>
      </c>
      <c r="AF21" s="40" t="s">
        <v>69</v>
      </c>
      <c r="AG21" s="40" t="s">
        <v>69</v>
      </c>
      <c r="AH21" s="40" t="s">
        <v>69</v>
      </c>
      <c r="AI21" s="40" t="s">
        <v>69</v>
      </c>
      <c r="AJ21" s="22"/>
      <c r="AL21" t="str">
        <f t="shared" ca="1" si="0"/>
        <v xml:space="preserve">    (U1)ALERT_REQ_H_ACDCSUP_</v>
      </c>
      <c r="AR21" s="42" t="str">
        <f t="shared" si="3"/>
        <v/>
      </c>
      <c r="AS21" s="42" t="str">
        <f t="shared" si="4"/>
        <v/>
      </c>
      <c r="AT21" s="42" t="str">
        <f t="shared" si="1"/>
        <v/>
      </c>
    </row>
    <row r="22" spans="2:49">
      <c r="B22" s="104"/>
      <c r="C22" s="26">
        <f t="shared" si="2"/>
        <v>16</v>
      </c>
      <c r="D22" s="40" t="s">
        <v>69</v>
      </c>
      <c r="E22" s="40" t="s">
        <v>69</v>
      </c>
      <c r="F22" s="40" t="s">
        <v>69</v>
      </c>
      <c r="G22" s="40" t="s">
        <v>69</v>
      </c>
      <c r="H22" s="40" t="s">
        <v>69</v>
      </c>
      <c r="I22" s="40" t="s">
        <v>69</v>
      </c>
      <c r="J22" s="40" t="s">
        <v>69</v>
      </c>
      <c r="K22" s="40" t="s">
        <v>69</v>
      </c>
      <c r="L22" s="40" t="s">
        <v>69</v>
      </c>
      <c r="M22" s="40" t="s">
        <v>69</v>
      </c>
      <c r="N22" s="40" t="s">
        <v>69</v>
      </c>
      <c r="O22" s="40" t="s">
        <v>69</v>
      </c>
      <c r="P22" s="40" t="s">
        <v>69</v>
      </c>
      <c r="Q22" s="40" t="s">
        <v>69</v>
      </c>
      <c r="R22" s="40" t="s">
        <v>69</v>
      </c>
      <c r="S22" s="40" t="s">
        <v>69</v>
      </c>
      <c r="T22" s="40" t="s">
        <v>69</v>
      </c>
      <c r="U22" s="40" t="s">
        <v>69</v>
      </c>
      <c r="V22" s="40" t="s">
        <v>69</v>
      </c>
      <c r="W22" s="40" t="s">
        <v>69</v>
      </c>
      <c r="X22" s="40" t="s">
        <v>69</v>
      </c>
      <c r="Y22" s="40" t="s">
        <v>69</v>
      </c>
      <c r="Z22" s="40" t="s">
        <v>69</v>
      </c>
      <c r="AA22" s="40" t="s">
        <v>69</v>
      </c>
      <c r="AB22" s="40" t="s">
        <v>69</v>
      </c>
      <c r="AC22" s="40" t="s">
        <v>69</v>
      </c>
      <c r="AD22" s="40" t="s">
        <v>69</v>
      </c>
      <c r="AE22" s="40" t="s">
        <v>69</v>
      </c>
      <c r="AF22" s="40" t="s">
        <v>69</v>
      </c>
      <c r="AG22" s="40" t="s">
        <v>69</v>
      </c>
      <c r="AH22" s="40" t="s">
        <v>69</v>
      </c>
      <c r="AI22" s="40" t="s">
        <v>69</v>
      </c>
      <c r="AJ22" s="22"/>
      <c r="AL22" t="str">
        <f t="shared" ca="1" si="0"/>
        <v xml:space="preserve">    (U1)ALERT_REQ_H_ACDCSUP_</v>
      </c>
      <c r="AR22" s="42" t="str">
        <f t="shared" si="3"/>
        <v/>
      </c>
      <c r="AS22" s="42" t="str">
        <f t="shared" si="4"/>
        <v/>
      </c>
      <c r="AT22" s="42" t="str">
        <f t="shared" si="1"/>
        <v/>
      </c>
    </row>
    <row r="23" spans="2:49">
      <c r="B23" s="104"/>
      <c r="C23" s="26">
        <f t="shared" si="2"/>
        <v>17</v>
      </c>
      <c r="D23" s="40" t="s">
        <v>69</v>
      </c>
      <c r="E23" s="40" t="s">
        <v>69</v>
      </c>
      <c r="F23" s="40" t="s">
        <v>69</v>
      </c>
      <c r="G23" s="40" t="s">
        <v>69</v>
      </c>
      <c r="H23" s="40" t="s">
        <v>69</v>
      </c>
      <c r="I23" s="40" t="s">
        <v>69</v>
      </c>
      <c r="J23" s="40" t="s">
        <v>69</v>
      </c>
      <c r="K23" s="40" t="s">
        <v>69</v>
      </c>
      <c r="L23" s="40" t="s">
        <v>69</v>
      </c>
      <c r="M23" s="40" t="s">
        <v>69</v>
      </c>
      <c r="N23" s="40" t="s">
        <v>69</v>
      </c>
      <c r="O23" s="40" t="s">
        <v>69</v>
      </c>
      <c r="P23" s="40" t="s">
        <v>69</v>
      </c>
      <c r="Q23" s="40" t="s">
        <v>69</v>
      </c>
      <c r="R23" s="40" t="s">
        <v>69</v>
      </c>
      <c r="S23" s="40" t="s">
        <v>69</v>
      </c>
      <c r="T23" s="40" t="s">
        <v>69</v>
      </c>
      <c r="U23" s="40" t="s">
        <v>69</v>
      </c>
      <c r="V23" s="40" t="s">
        <v>69</v>
      </c>
      <c r="W23" s="40" t="s">
        <v>69</v>
      </c>
      <c r="X23" s="40" t="s">
        <v>69</v>
      </c>
      <c r="Y23" s="40" t="s">
        <v>69</v>
      </c>
      <c r="Z23" s="40" t="s">
        <v>69</v>
      </c>
      <c r="AA23" s="40" t="s">
        <v>69</v>
      </c>
      <c r="AB23" s="40" t="s">
        <v>69</v>
      </c>
      <c r="AC23" s="40" t="s">
        <v>69</v>
      </c>
      <c r="AD23" s="40" t="s">
        <v>69</v>
      </c>
      <c r="AE23" s="40" t="s">
        <v>69</v>
      </c>
      <c r="AF23" s="40" t="s">
        <v>69</v>
      </c>
      <c r="AG23" s="40" t="s">
        <v>69</v>
      </c>
      <c r="AH23" s="40" t="s">
        <v>69</v>
      </c>
      <c r="AI23" s="40" t="s">
        <v>69</v>
      </c>
      <c r="AJ23" s="22"/>
      <c r="AL23" t="str">
        <f t="shared" ca="1" si="0"/>
        <v xml:space="preserve">    (U1)ALERT_REQ_H_ACDCSUP_</v>
      </c>
      <c r="AR23" s="42" t="str">
        <f t="shared" si="3"/>
        <v/>
      </c>
      <c r="AS23" s="42" t="str">
        <f t="shared" si="4"/>
        <v/>
      </c>
      <c r="AT23" s="42" t="str">
        <f t="shared" si="1"/>
        <v/>
      </c>
    </row>
    <row r="24" spans="2:49">
      <c r="B24" s="104"/>
      <c r="C24" s="26">
        <f t="shared" si="2"/>
        <v>18</v>
      </c>
      <c r="D24" s="40" t="s">
        <v>69</v>
      </c>
      <c r="E24" s="40" t="s">
        <v>69</v>
      </c>
      <c r="F24" s="40" t="s">
        <v>69</v>
      </c>
      <c r="G24" s="40" t="s">
        <v>69</v>
      </c>
      <c r="H24" s="40" t="s">
        <v>69</v>
      </c>
      <c r="I24" s="40" t="s">
        <v>69</v>
      </c>
      <c r="J24" s="40" t="s">
        <v>69</v>
      </c>
      <c r="K24" s="40" t="s">
        <v>69</v>
      </c>
      <c r="L24" s="40" t="s">
        <v>69</v>
      </c>
      <c r="M24" s="40" t="s">
        <v>69</v>
      </c>
      <c r="N24" s="40" t="s">
        <v>69</v>
      </c>
      <c r="O24" s="40" t="s">
        <v>69</v>
      </c>
      <c r="P24" s="40" t="s">
        <v>69</v>
      </c>
      <c r="Q24" s="40" t="s">
        <v>69</v>
      </c>
      <c r="R24" s="40" t="s">
        <v>69</v>
      </c>
      <c r="S24" s="40" t="s">
        <v>69</v>
      </c>
      <c r="T24" s="40" t="s">
        <v>69</v>
      </c>
      <c r="U24" s="40" t="s">
        <v>69</v>
      </c>
      <c r="V24" s="40" t="s">
        <v>69</v>
      </c>
      <c r="W24" s="40" t="s">
        <v>69</v>
      </c>
      <c r="X24" s="40" t="s">
        <v>69</v>
      </c>
      <c r="Y24" s="40" t="s">
        <v>69</v>
      </c>
      <c r="Z24" s="40" t="s">
        <v>69</v>
      </c>
      <c r="AA24" s="40" t="s">
        <v>69</v>
      </c>
      <c r="AB24" s="40" t="s">
        <v>69</v>
      </c>
      <c r="AC24" s="40" t="s">
        <v>69</v>
      </c>
      <c r="AD24" s="40" t="s">
        <v>69</v>
      </c>
      <c r="AE24" s="40" t="s">
        <v>69</v>
      </c>
      <c r="AF24" s="40" t="s">
        <v>69</v>
      </c>
      <c r="AG24" s="40" t="s">
        <v>69</v>
      </c>
      <c r="AH24" s="40" t="s">
        <v>69</v>
      </c>
      <c r="AI24" s="40" t="s">
        <v>69</v>
      </c>
      <c r="AJ24" s="22"/>
      <c r="AL24" t="str">
        <f t="shared" ca="1" si="0"/>
        <v xml:space="preserve">    (U1)ALERT_REQ_H_ACDCSUP_</v>
      </c>
      <c r="AR24" s="42" t="str">
        <f t="shared" si="3"/>
        <v/>
      </c>
      <c r="AS24" s="42" t="str">
        <f t="shared" si="4"/>
        <v/>
      </c>
      <c r="AT24" s="42" t="str">
        <f t="shared" si="1"/>
        <v/>
      </c>
    </row>
    <row r="25" spans="2:49">
      <c r="B25" s="104"/>
      <c r="C25" s="26">
        <f t="shared" si="2"/>
        <v>19</v>
      </c>
      <c r="D25" s="40" t="s">
        <v>69</v>
      </c>
      <c r="E25" s="40" t="s">
        <v>69</v>
      </c>
      <c r="F25" s="40" t="s">
        <v>69</v>
      </c>
      <c r="G25" s="40" t="s">
        <v>69</v>
      </c>
      <c r="H25" s="40" t="s">
        <v>69</v>
      </c>
      <c r="I25" s="40" t="s">
        <v>69</v>
      </c>
      <c r="J25" s="40" t="s">
        <v>69</v>
      </c>
      <c r="K25" s="40" t="s">
        <v>69</v>
      </c>
      <c r="L25" s="40" t="s">
        <v>69</v>
      </c>
      <c r="M25" s="40" t="s">
        <v>69</v>
      </c>
      <c r="N25" s="40" t="s">
        <v>69</v>
      </c>
      <c r="O25" s="40" t="s">
        <v>69</v>
      </c>
      <c r="P25" s="40" t="s">
        <v>69</v>
      </c>
      <c r="Q25" s="40" t="s">
        <v>69</v>
      </c>
      <c r="R25" s="40" t="s">
        <v>69</v>
      </c>
      <c r="S25" s="40" t="s">
        <v>69</v>
      </c>
      <c r="T25" s="40" t="s">
        <v>69</v>
      </c>
      <c r="U25" s="40" t="s">
        <v>69</v>
      </c>
      <c r="V25" s="40" t="s">
        <v>69</v>
      </c>
      <c r="W25" s="40" t="s">
        <v>69</v>
      </c>
      <c r="X25" s="40" t="s">
        <v>69</v>
      </c>
      <c r="Y25" s="40" t="s">
        <v>69</v>
      </c>
      <c r="Z25" s="40" t="s">
        <v>69</v>
      </c>
      <c r="AA25" s="40" t="s">
        <v>69</v>
      </c>
      <c r="AB25" s="40" t="s">
        <v>69</v>
      </c>
      <c r="AC25" s="40" t="s">
        <v>69</v>
      </c>
      <c r="AD25" s="40" t="s">
        <v>69</v>
      </c>
      <c r="AE25" s="40" t="s">
        <v>69</v>
      </c>
      <c r="AF25" s="40" t="s">
        <v>69</v>
      </c>
      <c r="AG25" s="40" t="s">
        <v>69</v>
      </c>
      <c r="AH25" s="40" t="s">
        <v>69</v>
      </c>
      <c r="AI25" s="40" t="s">
        <v>69</v>
      </c>
      <c r="AJ25" s="22"/>
      <c r="AL25" t="str">
        <f t="shared" ca="1" si="0"/>
        <v xml:space="preserve">    (U1)ALERT_REQ_H_ACDCSUP_</v>
      </c>
      <c r="AR25" s="42" t="str">
        <f t="shared" si="3"/>
        <v/>
      </c>
      <c r="AS25" s="42" t="str">
        <f t="shared" si="4"/>
        <v/>
      </c>
      <c r="AT25" s="42" t="str">
        <f t="shared" si="1"/>
        <v/>
      </c>
    </row>
    <row r="26" spans="2:49">
      <c r="B26" s="104"/>
      <c r="C26" s="26">
        <f t="shared" si="2"/>
        <v>20</v>
      </c>
      <c r="D26" s="40" t="s">
        <v>69</v>
      </c>
      <c r="E26" s="40" t="s">
        <v>69</v>
      </c>
      <c r="F26" s="40" t="s">
        <v>69</v>
      </c>
      <c r="G26" s="40" t="s">
        <v>69</v>
      </c>
      <c r="H26" s="40" t="s">
        <v>69</v>
      </c>
      <c r="I26" s="40" t="s">
        <v>69</v>
      </c>
      <c r="J26" s="40" t="s">
        <v>69</v>
      </c>
      <c r="K26" s="40" t="s">
        <v>69</v>
      </c>
      <c r="L26" s="40" t="s">
        <v>69</v>
      </c>
      <c r="M26" s="40" t="s">
        <v>69</v>
      </c>
      <c r="N26" s="40" t="s">
        <v>69</v>
      </c>
      <c r="O26" s="40" t="s">
        <v>69</v>
      </c>
      <c r="P26" s="40" t="s">
        <v>69</v>
      </c>
      <c r="Q26" s="40" t="s">
        <v>69</v>
      </c>
      <c r="R26" s="40" t="s">
        <v>69</v>
      </c>
      <c r="S26" s="40" t="s">
        <v>69</v>
      </c>
      <c r="T26" s="40" t="s">
        <v>69</v>
      </c>
      <c r="U26" s="40" t="s">
        <v>69</v>
      </c>
      <c r="V26" s="40" t="s">
        <v>69</v>
      </c>
      <c r="W26" s="40" t="s">
        <v>69</v>
      </c>
      <c r="X26" s="40" t="s">
        <v>69</v>
      </c>
      <c r="Y26" s="40" t="s">
        <v>69</v>
      </c>
      <c r="Z26" s="40" t="s">
        <v>69</v>
      </c>
      <c r="AA26" s="40" t="s">
        <v>69</v>
      </c>
      <c r="AB26" s="40" t="s">
        <v>69</v>
      </c>
      <c r="AC26" s="40" t="s">
        <v>69</v>
      </c>
      <c r="AD26" s="40" t="s">
        <v>69</v>
      </c>
      <c r="AE26" s="40" t="s">
        <v>69</v>
      </c>
      <c r="AF26" s="40" t="s">
        <v>69</v>
      </c>
      <c r="AG26" s="40" t="s">
        <v>69</v>
      </c>
      <c r="AH26" s="40" t="s">
        <v>69</v>
      </c>
      <c r="AI26" s="40" t="s">
        <v>69</v>
      </c>
      <c r="AJ26" s="22"/>
      <c r="AL26" t="str">
        <f t="shared" ca="1" si="0"/>
        <v xml:space="preserve">    (U1)ALERT_REQ_H_ACDCSUP_</v>
      </c>
      <c r="AR26" s="42" t="str">
        <f t="shared" si="3"/>
        <v/>
      </c>
      <c r="AS26" s="42" t="str">
        <f t="shared" si="4"/>
        <v/>
      </c>
      <c r="AT26" s="42" t="str">
        <f t="shared" si="1"/>
        <v/>
      </c>
    </row>
    <row r="27" spans="2:49">
      <c r="B27" s="104"/>
      <c r="C27" s="26">
        <f t="shared" si="2"/>
        <v>21</v>
      </c>
      <c r="D27" s="40" t="s">
        <v>69</v>
      </c>
      <c r="E27" s="40" t="s">
        <v>69</v>
      </c>
      <c r="F27" s="40" t="s">
        <v>69</v>
      </c>
      <c r="G27" s="40" t="s">
        <v>69</v>
      </c>
      <c r="H27" s="40" t="s">
        <v>69</v>
      </c>
      <c r="I27" s="40" t="s">
        <v>69</v>
      </c>
      <c r="J27" s="40" t="s">
        <v>69</v>
      </c>
      <c r="K27" s="40" t="s">
        <v>69</v>
      </c>
      <c r="L27" s="40" t="s">
        <v>69</v>
      </c>
      <c r="M27" s="40" t="s">
        <v>69</v>
      </c>
      <c r="N27" s="40" t="s">
        <v>69</v>
      </c>
      <c r="O27" s="40" t="s">
        <v>69</v>
      </c>
      <c r="P27" s="40" t="s">
        <v>69</v>
      </c>
      <c r="Q27" s="40" t="s">
        <v>69</v>
      </c>
      <c r="R27" s="40" t="s">
        <v>69</v>
      </c>
      <c r="S27" s="40" t="s">
        <v>69</v>
      </c>
      <c r="T27" s="40" t="s">
        <v>69</v>
      </c>
      <c r="U27" s="40" t="s">
        <v>69</v>
      </c>
      <c r="V27" s="40" t="s">
        <v>69</v>
      </c>
      <c r="W27" s="40" t="s">
        <v>69</v>
      </c>
      <c r="X27" s="40" t="s">
        <v>69</v>
      </c>
      <c r="Y27" s="40" t="s">
        <v>69</v>
      </c>
      <c r="Z27" s="40" t="s">
        <v>69</v>
      </c>
      <c r="AA27" s="40" t="s">
        <v>69</v>
      </c>
      <c r="AB27" s="40" t="s">
        <v>69</v>
      </c>
      <c r="AC27" s="40" t="s">
        <v>69</v>
      </c>
      <c r="AD27" s="40" t="s">
        <v>69</v>
      </c>
      <c r="AE27" s="40" t="s">
        <v>69</v>
      </c>
      <c r="AF27" s="40" t="s">
        <v>69</v>
      </c>
      <c r="AG27" s="40" t="s">
        <v>69</v>
      </c>
      <c r="AH27" s="40" t="s">
        <v>69</v>
      </c>
      <c r="AI27" s="40" t="s">
        <v>69</v>
      </c>
      <c r="AJ27" s="22"/>
      <c r="AL27" t="str">
        <f t="shared" ca="1" si="0"/>
        <v xml:space="preserve">    (U1)ALERT_REQ_H_ACDCSUP_</v>
      </c>
      <c r="AR27" s="42" t="str">
        <f t="shared" si="3"/>
        <v/>
      </c>
      <c r="AS27" s="42" t="str">
        <f t="shared" si="4"/>
        <v/>
      </c>
      <c r="AT27" s="42" t="str">
        <f t="shared" si="1"/>
        <v/>
      </c>
    </row>
    <row r="28" spans="2:49">
      <c r="B28" s="104"/>
      <c r="C28" s="26">
        <f t="shared" si="2"/>
        <v>22</v>
      </c>
      <c r="D28" s="40" t="s">
        <v>69</v>
      </c>
      <c r="E28" s="40" t="s">
        <v>69</v>
      </c>
      <c r="F28" s="40" t="s">
        <v>69</v>
      </c>
      <c r="G28" s="40" t="s">
        <v>69</v>
      </c>
      <c r="H28" s="40" t="s">
        <v>69</v>
      </c>
      <c r="I28" s="40" t="s">
        <v>69</v>
      </c>
      <c r="J28" s="40" t="s">
        <v>69</v>
      </c>
      <c r="K28" s="40" t="s">
        <v>69</v>
      </c>
      <c r="L28" s="40" t="s">
        <v>69</v>
      </c>
      <c r="M28" s="40" t="s">
        <v>69</v>
      </c>
      <c r="N28" s="40" t="s">
        <v>69</v>
      </c>
      <c r="O28" s="40" t="s">
        <v>69</v>
      </c>
      <c r="P28" s="40" t="s">
        <v>69</v>
      </c>
      <c r="Q28" s="40" t="s">
        <v>69</v>
      </c>
      <c r="R28" s="40" t="s">
        <v>69</v>
      </c>
      <c r="S28" s="40" t="s">
        <v>69</v>
      </c>
      <c r="T28" s="40" t="s">
        <v>69</v>
      </c>
      <c r="U28" s="40" t="s">
        <v>69</v>
      </c>
      <c r="V28" s="40" t="s">
        <v>69</v>
      </c>
      <c r="W28" s="40" t="s">
        <v>69</v>
      </c>
      <c r="X28" s="40" t="s">
        <v>69</v>
      </c>
      <c r="Y28" s="40" t="s">
        <v>69</v>
      </c>
      <c r="Z28" s="40" t="s">
        <v>69</v>
      </c>
      <c r="AA28" s="40" t="s">
        <v>69</v>
      </c>
      <c r="AB28" s="40" t="s">
        <v>69</v>
      </c>
      <c r="AC28" s="40" t="s">
        <v>69</v>
      </c>
      <c r="AD28" s="40" t="s">
        <v>69</v>
      </c>
      <c r="AE28" s="40" t="s">
        <v>69</v>
      </c>
      <c r="AF28" s="40" t="s">
        <v>69</v>
      </c>
      <c r="AG28" s="40" t="s">
        <v>69</v>
      </c>
      <c r="AH28" s="40" t="s">
        <v>69</v>
      </c>
      <c r="AI28" s="40" t="s">
        <v>69</v>
      </c>
      <c r="AJ28" s="22"/>
      <c r="AL28" t="str">
        <f t="shared" ca="1" si="0"/>
        <v xml:space="preserve">    (U1)ALERT_REQ_H_ACDCSUP_</v>
      </c>
      <c r="AR28" s="42" t="str">
        <f t="shared" si="3"/>
        <v/>
      </c>
      <c r="AS28" s="42" t="str">
        <f t="shared" si="4"/>
        <v/>
      </c>
      <c r="AT28" s="42" t="str">
        <f t="shared" si="1"/>
        <v/>
      </c>
    </row>
    <row r="29" spans="2:49">
      <c r="B29" s="104"/>
      <c r="C29" s="26">
        <f t="shared" si="2"/>
        <v>23</v>
      </c>
      <c r="D29" s="40" t="s">
        <v>69</v>
      </c>
      <c r="E29" s="40" t="s">
        <v>69</v>
      </c>
      <c r="F29" s="40" t="s">
        <v>69</v>
      </c>
      <c r="G29" s="40" t="s">
        <v>69</v>
      </c>
      <c r="H29" s="40" t="s">
        <v>69</v>
      </c>
      <c r="I29" s="40" t="s">
        <v>69</v>
      </c>
      <c r="J29" s="40" t="s">
        <v>69</v>
      </c>
      <c r="K29" s="40" t="s">
        <v>69</v>
      </c>
      <c r="L29" s="40" t="s">
        <v>69</v>
      </c>
      <c r="M29" s="40" t="s">
        <v>69</v>
      </c>
      <c r="N29" s="40" t="s">
        <v>69</v>
      </c>
      <c r="O29" s="40" t="s">
        <v>69</v>
      </c>
      <c r="P29" s="40" t="s">
        <v>69</v>
      </c>
      <c r="Q29" s="40" t="s">
        <v>69</v>
      </c>
      <c r="R29" s="40" t="s">
        <v>69</v>
      </c>
      <c r="S29" s="40" t="s">
        <v>69</v>
      </c>
      <c r="T29" s="40" t="s">
        <v>69</v>
      </c>
      <c r="U29" s="40" t="s">
        <v>69</v>
      </c>
      <c r="V29" s="40" t="s">
        <v>69</v>
      </c>
      <c r="W29" s="40" t="s">
        <v>69</v>
      </c>
      <c r="X29" s="40" t="s">
        <v>69</v>
      </c>
      <c r="Y29" s="40" t="s">
        <v>69</v>
      </c>
      <c r="Z29" s="40" t="s">
        <v>69</v>
      </c>
      <c r="AA29" s="40" t="s">
        <v>69</v>
      </c>
      <c r="AB29" s="40" t="s">
        <v>69</v>
      </c>
      <c r="AC29" s="40" t="s">
        <v>69</v>
      </c>
      <c r="AD29" s="40" t="s">
        <v>69</v>
      </c>
      <c r="AE29" s="40" t="s">
        <v>69</v>
      </c>
      <c r="AF29" s="40" t="s">
        <v>69</v>
      </c>
      <c r="AG29" s="40" t="s">
        <v>69</v>
      </c>
      <c r="AH29" s="40" t="s">
        <v>69</v>
      </c>
      <c r="AI29" s="40" t="s">
        <v>69</v>
      </c>
      <c r="AJ29" s="22"/>
      <c r="AL29" t="str">
        <f t="shared" ca="1" si="0"/>
        <v xml:space="preserve">    (U1)ALERT_REQ_H_ACDCSUP_</v>
      </c>
      <c r="AR29" s="42" t="str">
        <f t="shared" si="3"/>
        <v/>
      </c>
      <c r="AS29" s="42" t="str">
        <f t="shared" si="4"/>
        <v/>
      </c>
      <c r="AT29" s="42" t="str">
        <f t="shared" si="1"/>
        <v/>
      </c>
    </row>
    <row r="30" spans="2:49">
      <c r="B30" s="104"/>
      <c r="C30" s="26">
        <f t="shared" si="2"/>
        <v>24</v>
      </c>
      <c r="D30" s="40" t="s">
        <v>69</v>
      </c>
      <c r="E30" s="40" t="s">
        <v>69</v>
      </c>
      <c r="F30" s="40" t="s">
        <v>69</v>
      </c>
      <c r="G30" s="40" t="s">
        <v>69</v>
      </c>
      <c r="H30" s="40" t="s">
        <v>69</v>
      </c>
      <c r="I30" s="40" t="s">
        <v>69</v>
      </c>
      <c r="J30" s="40" t="s">
        <v>69</v>
      </c>
      <c r="K30" s="40" t="s">
        <v>69</v>
      </c>
      <c r="L30" s="40" t="s">
        <v>69</v>
      </c>
      <c r="M30" s="40" t="s">
        <v>69</v>
      </c>
      <c r="N30" s="40" t="s">
        <v>69</v>
      </c>
      <c r="O30" s="40" t="s">
        <v>69</v>
      </c>
      <c r="P30" s="40" t="s">
        <v>69</v>
      </c>
      <c r="Q30" s="40" t="s">
        <v>69</v>
      </c>
      <c r="R30" s="40" t="s">
        <v>69</v>
      </c>
      <c r="S30" s="40" t="s">
        <v>69</v>
      </c>
      <c r="T30" s="40" t="s">
        <v>69</v>
      </c>
      <c r="U30" s="40" t="s">
        <v>69</v>
      </c>
      <c r="V30" s="40" t="s">
        <v>69</v>
      </c>
      <c r="W30" s="40" t="s">
        <v>69</v>
      </c>
      <c r="X30" s="40" t="s">
        <v>69</v>
      </c>
      <c r="Y30" s="40" t="s">
        <v>69</v>
      </c>
      <c r="Z30" s="40" t="s">
        <v>69</v>
      </c>
      <c r="AA30" s="40" t="s">
        <v>69</v>
      </c>
      <c r="AB30" s="40" t="s">
        <v>69</v>
      </c>
      <c r="AC30" s="40" t="s">
        <v>69</v>
      </c>
      <c r="AD30" s="40" t="s">
        <v>69</v>
      </c>
      <c r="AE30" s="40" t="s">
        <v>69</v>
      </c>
      <c r="AF30" s="40" t="s">
        <v>69</v>
      </c>
      <c r="AG30" s="40" t="s">
        <v>69</v>
      </c>
      <c r="AH30" s="40" t="s">
        <v>69</v>
      </c>
      <c r="AI30" s="40" t="s">
        <v>69</v>
      </c>
      <c r="AJ30" s="22"/>
      <c r="AL30" t="str">
        <f t="shared" ca="1" si="0"/>
        <v xml:space="preserve">    (U1)ALERT_REQ_H_ACDCSUP_</v>
      </c>
      <c r="AR30" s="42" t="str">
        <f t="shared" si="3"/>
        <v/>
      </c>
      <c r="AS30" s="42" t="str">
        <f t="shared" si="4"/>
        <v/>
      </c>
      <c r="AT30" s="42" t="str">
        <f t="shared" si="1"/>
        <v/>
      </c>
    </row>
    <row r="31" spans="2:49">
      <c r="B31" s="104"/>
      <c r="C31" s="26">
        <f t="shared" si="2"/>
        <v>25</v>
      </c>
      <c r="D31" s="40" t="s">
        <v>69</v>
      </c>
      <c r="E31" s="40" t="s">
        <v>69</v>
      </c>
      <c r="F31" s="40" t="s">
        <v>69</v>
      </c>
      <c r="G31" s="40" t="s">
        <v>69</v>
      </c>
      <c r="H31" s="40" t="s">
        <v>69</v>
      </c>
      <c r="I31" s="40" t="s">
        <v>69</v>
      </c>
      <c r="J31" s="40" t="s">
        <v>69</v>
      </c>
      <c r="K31" s="40" t="s">
        <v>69</v>
      </c>
      <c r="L31" s="40" t="s">
        <v>69</v>
      </c>
      <c r="M31" s="40" t="s">
        <v>69</v>
      </c>
      <c r="N31" s="40" t="s">
        <v>69</v>
      </c>
      <c r="O31" s="40" t="s">
        <v>69</v>
      </c>
      <c r="P31" s="40" t="s">
        <v>69</v>
      </c>
      <c r="Q31" s="40" t="s">
        <v>69</v>
      </c>
      <c r="R31" s="40" t="s">
        <v>69</v>
      </c>
      <c r="S31" s="40" t="s">
        <v>69</v>
      </c>
      <c r="T31" s="40" t="s">
        <v>69</v>
      </c>
      <c r="U31" s="40" t="s">
        <v>69</v>
      </c>
      <c r="V31" s="40" t="s">
        <v>69</v>
      </c>
      <c r="W31" s="40" t="s">
        <v>69</v>
      </c>
      <c r="X31" s="40" t="s">
        <v>69</v>
      </c>
      <c r="Y31" s="40" t="s">
        <v>69</v>
      </c>
      <c r="Z31" s="40" t="s">
        <v>69</v>
      </c>
      <c r="AA31" s="40" t="s">
        <v>69</v>
      </c>
      <c r="AB31" s="40" t="s">
        <v>69</v>
      </c>
      <c r="AC31" s="40" t="s">
        <v>69</v>
      </c>
      <c r="AD31" s="40" t="s">
        <v>69</v>
      </c>
      <c r="AE31" s="40" t="s">
        <v>69</v>
      </c>
      <c r="AF31" s="40" t="s">
        <v>69</v>
      </c>
      <c r="AG31" s="40" t="s">
        <v>69</v>
      </c>
      <c r="AH31" s="40" t="s">
        <v>69</v>
      </c>
      <c r="AI31" s="40" t="s">
        <v>69</v>
      </c>
      <c r="AJ31" s="22"/>
      <c r="AL31" t="str">
        <f t="shared" ca="1" si="0"/>
        <v xml:space="preserve">    (U1)ALERT_REQ_H_ACDCSUP_</v>
      </c>
      <c r="AR31" s="42" t="str">
        <f t="shared" si="3"/>
        <v/>
      </c>
      <c r="AS31" s="42" t="str">
        <f t="shared" si="4"/>
        <v/>
      </c>
      <c r="AT31" s="42" t="str">
        <f t="shared" si="1"/>
        <v/>
      </c>
    </row>
    <row r="32" spans="2:49">
      <c r="B32" s="104"/>
      <c r="C32" s="26">
        <f t="shared" si="2"/>
        <v>26</v>
      </c>
      <c r="D32" s="40" t="s">
        <v>69</v>
      </c>
      <c r="E32" s="40" t="s">
        <v>69</v>
      </c>
      <c r="F32" s="40" t="s">
        <v>69</v>
      </c>
      <c r="G32" s="40" t="s">
        <v>69</v>
      </c>
      <c r="H32" s="40" t="s">
        <v>69</v>
      </c>
      <c r="I32" s="40" t="s">
        <v>69</v>
      </c>
      <c r="J32" s="40" t="s">
        <v>69</v>
      </c>
      <c r="K32" s="40" t="s">
        <v>69</v>
      </c>
      <c r="L32" s="40" t="s">
        <v>69</v>
      </c>
      <c r="M32" s="40" t="s">
        <v>69</v>
      </c>
      <c r="N32" s="40" t="s">
        <v>69</v>
      </c>
      <c r="O32" s="40" t="s">
        <v>69</v>
      </c>
      <c r="P32" s="40" t="s">
        <v>69</v>
      </c>
      <c r="Q32" s="40" t="s">
        <v>69</v>
      </c>
      <c r="R32" s="40" t="s">
        <v>69</v>
      </c>
      <c r="S32" s="40" t="s">
        <v>69</v>
      </c>
      <c r="T32" s="40" t="s">
        <v>69</v>
      </c>
      <c r="U32" s="40" t="s">
        <v>69</v>
      </c>
      <c r="V32" s="40" t="s">
        <v>69</v>
      </c>
      <c r="W32" s="40" t="s">
        <v>69</v>
      </c>
      <c r="X32" s="40" t="s">
        <v>69</v>
      </c>
      <c r="Y32" s="40" t="s">
        <v>69</v>
      </c>
      <c r="Z32" s="40" t="s">
        <v>69</v>
      </c>
      <c r="AA32" s="40" t="s">
        <v>69</v>
      </c>
      <c r="AB32" s="40" t="s">
        <v>69</v>
      </c>
      <c r="AC32" s="40" t="s">
        <v>69</v>
      </c>
      <c r="AD32" s="40" t="s">
        <v>69</v>
      </c>
      <c r="AE32" s="40" t="s">
        <v>69</v>
      </c>
      <c r="AF32" s="40" t="s">
        <v>69</v>
      </c>
      <c r="AG32" s="40" t="s">
        <v>69</v>
      </c>
      <c r="AH32" s="40" t="s">
        <v>69</v>
      </c>
      <c r="AI32" s="40" t="s">
        <v>69</v>
      </c>
      <c r="AJ32" s="22"/>
      <c r="AL32" t="str">
        <f t="shared" ca="1" si="0"/>
        <v xml:space="preserve">    (U1)ALERT_REQ_H_ACDCSUP_</v>
      </c>
      <c r="AR32" s="42" t="str">
        <f t="shared" si="3"/>
        <v/>
      </c>
      <c r="AS32" s="42" t="str">
        <f t="shared" si="4"/>
        <v/>
      </c>
      <c r="AT32" s="42" t="str">
        <f t="shared" si="1"/>
        <v/>
      </c>
    </row>
    <row r="33" spans="2:46">
      <c r="B33" s="104"/>
      <c r="C33" s="26">
        <f t="shared" si="2"/>
        <v>27</v>
      </c>
      <c r="D33" s="40" t="s">
        <v>69</v>
      </c>
      <c r="E33" s="40" t="s">
        <v>69</v>
      </c>
      <c r="F33" s="40" t="s">
        <v>69</v>
      </c>
      <c r="G33" s="40" t="s">
        <v>69</v>
      </c>
      <c r="H33" s="40" t="s">
        <v>69</v>
      </c>
      <c r="I33" s="40" t="s">
        <v>69</v>
      </c>
      <c r="J33" s="40" t="s">
        <v>69</v>
      </c>
      <c r="K33" s="40" t="s">
        <v>69</v>
      </c>
      <c r="L33" s="40" t="s">
        <v>69</v>
      </c>
      <c r="M33" s="40" t="s">
        <v>69</v>
      </c>
      <c r="N33" s="40" t="s">
        <v>69</v>
      </c>
      <c r="O33" s="40" t="s">
        <v>69</v>
      </c>
      <c r="P33" s="40" t="s">
        <v>69</v>
      </c>
      <c r="Q33" s="40" t="s">
        <v>69</v>
      </c>
      <c r="R33" s="40" t="s">
        <v>69</v>
      </c>
      <c r="S33" s="40" t="s">
        <v>69</v>
      </c>
      <c r="T33" s="40" t="s">
        <v>69</v>
      </c>
      <c r="U33" s="40" t="s">
        <v>69</v>
      </c>
      <c r="V33" s="40" t="s">
        <v>69</v>
      </c>
      <c r="W33" s="40" t="s">
        <v>69</v>
      </c>
      <c r="X33" s="40" t="s">
        <v>69</v>
      </c>
      <c r="Y33" s="40" t="s">
        <v>69</v>
      </c>
      <c r="Z33" s="40" t="s">
        <v>69</v>
      </c>
      <c r="AA33" s="40" t="s">
        <v>69</v>
      </c>
      <c r="AB33" s="40" t="s">
        <v>69</v>
      </c>
      <c r="AC33" s="40" t="s">
        <v>69</v>
      </c>
      <c r="AD33" s="40" t="s">
        <v>69</v>
      </c>
      <c r="AE33" s="40" t="s">
        <v>69</v>
      </c>
      <c r="AF33" s="40" t="s">
        <v>69</v>
      </c>
      <c r="AG33" s="40" t="s">
        <v>69</v>
      </c>
      <c r="AH33" s="40" t="s">
        <v>69</v>
      </c>
      <c r="AI33" s="40" t="s">
        <v>69</v>
      </c>
      <c r="AJ33" s="22"/>
      <c r="AL33" t="str">
        <f t="shared" ca="1" si="0"/>
        <v xml:space="preserve">    (U1)ALERT_REQ_H_ACDCSUP_</v>
      </c>
      <c r="AR33" s="42" t="str">
        <f t="shared" si="3"/>
        <v/>
      </c>
      <c r="AS33" s="42" t="str">
        <f t="shared" si="4"/>
        <v/>
      </c>
      <c r="AT33" s="42" t="str">
        <f t="shared" si="1"/>
        <v/>
      </c>
    </row>
    <row r="34" spans="2:46">
      <c r="B34" s="104"/>
      <c r="C34" s="26">
        <f t="shared" si="2"/>
        <v>28</v>
      </c>
      <c r="D34" s="40" t="s">
        <v>69</v>
      </c>
      <c r="E34" s="40" t="s">
        <v>69</v>
      </c>
      <c r="F34" s="40" t="s">
        <v>69</v>
      </c>
      <c r="G34" s="40" t="s">
        <v>69</v>
      </c>
      <c r="H34" s="40" t="s">
        <v>69</v>
      </c>
      <c r="I34" s="40" t="s">
        <v>69</v>
      </c>
      <c r="J34" s="40" t="s">
        <v>69</v>
      </c>
      <c r="K34" s="40" t="s">
        <v>69</v>
      </c>
      <c r="L34" s="40" t="s">
        <v>69</v>
      </c>
      <c r="M34" s="40" t="s">
        <v>69</v>
      </c>
      <c r="N34" s="40" t="s">
        <v>69</v>
      </c>
      <c r="O34" s="40" t="s">
        <v>69</v>
      </c>
      <c r="P34" s="40" t="s">
        <v>69</v>
      </c>
      <c r="Q34" s="40" t="s">
        <v>69</v>
      </c>
      <c r="R34" s="40" t="s">
        <v>69</v>
      </c>
      <c r="S34" s="40" t="s">
        <v>69</v>
      </c>
      <c r="T34" s="40" t="s">
        <v>69</v>
      </c>
      <c r="U34" s="40" t="s">
        <v>69</v>
      </c>
      <c r="V34" s="40" t="s">
        <v>69</v>
      </c>
      <c r="W34" s="40" t="s">
        <v>69</v>
      </c>
      <c r="X34" s="40" t="s">
        <v>69</v>
      </c>
      <c r="Y34" s="40" t="s">
        <v>69</v>
      </c>
      <c r="Z34" s="40" t="s">
        <v>69</v>
      </c>
      <c r="AA34" s="40" t="s">
        <v>69</v>
      </c>
      <c r="AB34" s="40" t="s">
        <v>69</v>
      </c>
      <c r="AC34" s="40" t="s">
        <v>69</v>
      </c>
      <c r="AD34" s="40" t="s">
        <v>69</v>
      </c>
      <c r="AE34" s="40" t="s">
        <v>69</v>
      </c>
      <c r="AF34" s="40" t="s">
        <v>69</v>
      </c>
      <c r="AG34" s="40" t="s">
        <v>69</v>
      </c>
      <c r="AH34" s="40" t="s">
        <v>69</v>
      </c>
      <c r="AI34" s="40" t="s">
        <v>69</v>
      </c>
      <c r="AJ34" s="22"/>
      <c r="AL34" t="str">
        <f t="shared" ca="1" si="0"/>
        <v xml:space="preserve">    (U1)ALERT_REQ_H_ACDCSUP_</v>
      </c>
      <c r="AR34" s="42" t="str">
        <f t="shared" si="3"/>
        <v/>
      </c>
      <c r="AS34" s="42" t="str">
        <f t="shared" si="4"/>
        <v/>
      </c>
      <c r="AT34" s="42" t="str">
        <f t="shared" si="1"/>
        <v/>
      </c>
    </row>
    <row r="35" spans="2:46">
      <c r="B35" s="104"/>
      <c r="C35" s="26">
        <f t="shared" si="2"/>
        <v>29</v>
      </c>
      <c r="D35" s="40" t="s">
        <v>69</v>
      </c>
      <c r="E35" s="40" t="s">
        <v>69</v>
      </c>
      <c r="F35" s="40" t="s">
        <v>69</v>
      </c>
      <c r="G35" s="40" t="s">
        <v>69</v>
      </c>
      <c r="H35" s="40" t="s">
        <v>69</v>
      </c>
      <c r="I35" s="40" t="s">
        <v>69</v>
      </c>
      <c r="J35" s="40" t="s">
        <v>69</v>
      </c>
      <c r="K35" s="40" t="s">
        <v>69</v>
      </c>
      <c r="L35" s="40" t="s">
        <v>69</v>
      </c>
      <c r="M35" s="40" t="s">
        <v>69</v>
      </c>
      <c r="N35" s="40" t="s">
        <v>69</v>
      </c>
      <c r="O35" s="40" t="s">
        <v>69</v>
      </c>
      <c r="P35" s="40" t="s">
        <v>69</v>
      </c>
      <c r="Q35" s="40" t="s">
        <v>69</v>
      </c>
      <c r="R35" s="40" t="s">
        <v>69</v>
      </c>
      <c r="S35" s="40" t="s">
        <v>69</v>
      </c>
      <c r="T35" s="40" t="s">
        <v>69</v>
      </c>
      <c r="U35" s="40" t="s">
        <v>69</v>
      </c>
      <c r="V35" s="40" t="s">
        <v>69</v>
      </c>
      <c r="W35" s="40" t="s">
        <v>69</v>
      </c>
      <c r="X35" s="40" t="s">
        <v>69</v>
      </c>
      <c r="Y35" s="40" t="s">
        <v>69</v>
      </c>
      <c r="Z35" s="40" t="s">
        <v>69</v>
      </c>
      <c r="AA35" s="40" t="s">
        <v>69</v>
      </c>
      <c r="AB35" s="40" t="s">
        <v>69</v>
      </c>
      <c r="AC35" s="40" t="s">
        <v>69</v>
      </c>
      <c r="AD35" s="40" t="s">
        <v>69</v>
      </c>
      <c r="AE35" s="40" t="s">
        <v>69</v>
      </c>
      <c r="AF35" s="40" t="s">
        <v>69</v>
      </c>
      <c r="AG35" s="40" t="s">
        <v>69</v>
      </c>
      <c r="AH35" s="40" t="s">
        <v>69</v>
      </c>
      <c r="AI35" s="40" t="s">
        <v>69</v>
      </c>
      <c r="AJ35" s="22"/>
      <c r="AL35" t="str">
        <f t="shared" ca="1" si="0"/>
        <v xml:space="preserve">    (U1)ALERT_REQ_H_ACDCSUP_</v>
      </c>
      <c r="AR35" s="42" t="str">
        <f t="shared" si="3"/>
        <v/>
      </c>
      <c r="AS35" s="42" t="str">
        <f t="shared" si="4"/>
        <v/>
      </c>
      <c r="AT35" s="42" t="str">
        <f t="shared" si="1"/>
        <v/>
      </c>
    </row>
    <row r="36" spans="2:46">
      <c r="B36" s="104"/>
      <c r="C36" s="26">
        <f t="shared" si="2"/>
        <v>30</v>
      </c>
      <c r="D36" s="40" t="s">
        <v>69</v>
      </c>
      <c r="E36" s="40" t="s">
        <v>69</v>
      </c>
      <c r="F36" s="40" t="s">
        <v>69</v>
      </c>
      <c r="G36" s="40" t="s">
        <v>69</v>
      </c>
      <c r="H36" s="40" t="s">
        <v>69</v>
      </c>
      <c r="I36" s="40" t="s">
        <v>69</v>
      </c>
      <c r="J36" s="40" t="s">
        <v>69</v>
      </c>
      <c r="K36" s="40" t="s">
        <v>69</v>
      </c>
      <c r="L36" s="40" t="s">
        <v>69</v>
      </c>
      <c r="M36" s="40" t="s">
        <v>69</v>
      </c>
      <c r="N36" s="40" t="s">
        <v>69</v>
      </c>
      <c r="O36" s="40" t="s">
        <v>69</v>
      </c>
      <c r="P36" s="40" t="s">
        <v>69</v>
      </c>
      <c r="Q36" s="40" t="s">
        <v>69</v>
      </c>
      <c r="R36" s="40" t="s">
        <v>69</v>
      </c>
      <c r="S36" s="40" t="s">
        <v>69</v>
      </c>
      <c r="T36" s="40" t="s">
        <v>69</v>
      </c>
      <c r="U36" s="40" t="s">
        <v>69</v>
      </c>
      <c r="V36" s="40" t="s">
        <v>69</v>
      </c>
      <c r="W36" s="40" t="s">
        <v>69</v>
      </c>
      <c r="X36" s="40" t="s">
        <v>69</v>
      </c>
      <c r="Y36" s="40" t="s">
        <v>69</v>
      </c>
      <c r="Z36" s="40" t="s">
        <v>69</v>
      </c>
      <c r="AA36" s="40" t="s">
        <v>69</v>
      </c>
      <c r="AB36" s="40" t="s">
        <v>69</v>
      </c>
      <c r="AC36" s="40" t="s">
        <v>69</v>
      </c>
      <c r="AD36" s="40" t="s">
        <v>69</v>
      </c>
      <c r="AE36" s="40" t="s">
        <v>69</v>
      </c>
      <c r="AF36" s="40" t="s">
        <v>69</v>
      </c>
      <c r="AG36" s="40" t="s">
        <v>69</v>
      </c>
      <c r="AH36" s="40" t="s">
        <v>69</v>
      </c>
      <c r="AI36" s="40" t="s">
        <v>69</v>
      </c>
      <c r="AJ36" s="22"/>
      <c r="AL36" t="str">
        <f t="shared" ca="1" si="0"/>
        <v xml:space="preserve">    (U1)ALERT_REQ_H_ACDCSUP_</v>
      </c>
      <c r="AR36" s="42" t="str">
        <f t="shared" si="3"/>
        <v/>
      </c>
      <c r="AS36" s="42" t="str">
        <f t="shared" si="4"/>
        <v/>
      </c>
      <c r="AT36" s="42" t="str">
        <f t="shared" si="1"/>
        <v/>
      </c>
    </row>
    <row r="37" spans="2:46">
      <c r="B37" s="104"/>
      <c r="C37" s="26">
        <f t="shared" si="2"/>
        <v>31</v>
      </c>
      <c r="D37" s="40" t="s">
        <v>69</v>
      </c>
      <c r="E37" s="40" t="s">
        <v>69</v>
      </c>
      <c r="F37" s="40" t="s">
        <v>69</v>
      </c>
      <c r="G37" s="40" t="s">
        <v>69</v>
      </c>
      <c r="H37" s="40" t="s">
        <v>69</v>
      </c>
      <c r="I37" s="40" t="s">
        <v>69</v>
      </c>
      <c r="J37" s="40" t="s">
        <v>69</v>
      </c>
      <c r="K37" s="40" t="s">
        <v>69</v>
      </c>
      <c r="L37" s="40" t="s">
        <v>69</v>
      </c>
      <c r="M37" s="40" t="s">
        <v>69</v>
      </c>
      <c r="N37" s="40" t="s">
        <v>69</v>
      </c>
      <c r="O37" s="40" t="s">
        <v>69</v>
      </c>
      <c r="P37" s="40" t="s">
        <v>69</v>
      </c>
      <c r="Q37" s="40" t="s">
        <v>69</v>
      </c>
      <c r="R37" s="40" t="s">
        <v>69</v>
      </c>
      <c r="S37" s="40" t="s">
        <v>69</v>
      </c>
      <c r="T37" s="40" t="s">
        <v>69</v>
      </c>
      <c r="U37" s="40" t="s">
        <v>69</v>
      </c>
      <c r="V37" s="40" t="s">
        <v>69</v>
      </c>
      <c r="W37" s="40" t="s">
        <v>69</v>
      </c>
      <c r="X37" s="40" t="s">
        <v>69</v>
      </c>
      <c r="Y37" s="40" t="s">
        <v>69</v>
      </c>
      <c r="Z37" s="40" t="s">
        <v>69</v>
      </c>
      <c r="AA37" s="40" t="s">
        <v>69</v>
      </c>
      <c r="AB37" s="40" t="s">
        <v>69</v>
      </c>
      <c r="AC37" s="40" t="s">
        <v>69</v>
      </c>
      <c r="AD37" s="40" t="s">
        <v>69</v>
      </c>
      <c r="AE37" s="40" t="s">
        <v>69</v>
      </c>
      <c r="AF37" s="40" t="s">
        <v>69</v>
      </c>
      <c r="AG37" s="40" t="s">
        <v>69</v>
      </c>
      <c r="AH37" s="40" t="s">
        <v>69</v>
      </c>
      <c r="AI37" s="40" t="s">
        <v>69</v>
      </c>
      <c r="AJ37" s="22"/>
      <c r="AL37" t="str">
        <f t="shared" ca="1" si="0"/>
        <v xml:space="preserve">    (U1)ALERT_REQ_H_ACDCSUP_</v>
      </c>
      <c r="AR37" s="42" t="str">
        <f t="shared" si="3"/>
        <v/>
      </c>
      <c r="AS37" s="42" t="str">
        <f t="shared" si="4"/>
        <v/>
      </c>
      <c r="AT37" s="42" t="str">
        <f t="shared" si="1"/>
        <v/>
      </c>
    </row>
    <row r="38" spans="2:46">
      <c r="B38" s="104"/>
      <c r="C38" s="26">
        <f t="shared" si="2"/>
        <v>32</v>
      </c>
      <c r="D38" s="40" t="s">
        <v>69</v>
      </c>
      <c r="E38" s="40" t="s">
        <v>69</v>
      </c>
      <c r="F38" s="40" t="s">
        <v>69</v>
      </c>
      <c r="G38" s="40" t="s">
        <v>69</v>
      </c>
      <c r="H38" s="40" t="s">
        <v>69</v>
      </c>
      <c r="I38" s="40" t="s">
        <v>69</v>
      </c>
      <c r="J38" s="40" t="s">
        <v>69</v>
      </c>
      <c r="K38" s="40" t="s">
        <v>69</v>
      </c>
      <c r="L38" s="40" t="s">
        <v>69</v>
      </c>
      <c r="M38" s="40" t="s">
        <v>69</v>
      </c>
      <c r="N38" s="40" t="s">
        <v>69</v>
      </c>
      <c r="O38" s="40" t="s">
        <v>69</v>
      </c>
      <c r="P38" s="40" t="s">
        <v>69</v>
      </c>
      <c r="Q38" s="40" t="s">
        <v>69</v>
      </c>
      <c r="R38" s="40" t="s">
        <v>69</v>
      </c>
      <c r="S38" s="40" t="s">
        <v>69</v>
      </c>
      <c r="T38" s="40" t="s">
        <v>69</v>
      </c>
      <c r="U38" s="40" t="s">
        <v>69</v>
      </c>
      <c r="V38" s="40" t="s">
        <v>69</v>
      </c>
      <c r="W38" s="40" t="s">
        <v>69</v>
      </c>
      <c r="X38" s="40" t="s">
        <v>69</v>
      </c>
      <c r="Y38" s="40" t="s">
        <v>69</v>
      </c>
      <c r="Z38" s="40" t="s">
        <v>69</v>
      </c>
      <c r="AA38" s="40" t="s">
        <v>69</v>
      </c>
      <c r="AB38" s="40" t="s">
        <v>69</v>
      </c>
      <c r="AC38" s="40" t="s">
        <v>69</v>
      </c>
      <c r="AD38" s="40" t="s">
        <v>69</v>
      </c>
      <c r="AE38" s="40" t="s">
        <v>69</v>
      </c>
      <c r="AF38" s="40" t="s">
        <v>69</v>
      </c>
      <c r="AG38" s="40" t="s">
        <v>69</v>
      </c>
      <c r="AH38" s="40" t="s">
        <v>69</v>
      </c>
      <c r="AI38" s="40" t="s">
        <v>69</v>
      </c>
      <c r="AJ38" s="22"/>
      <c r="AL38" t="str">
        <f t="shared" ca="1" si="0"/>
        <v xml:space="preserve">    (U1)ALERT_REQ_H_ACDCSUP_</v>
      </c>
      <c r="AR38" s="42" t="str">
        <f t="shared" si="3"/>
        <v/>
      </c>
      <c r="AS38" s="42" t="str">
        <f t="shared" si="4"/>
        <v/>
      </c>
      <c r="AT38" s="42" t="str">
        <f t="shared" si="1"/>
        <v/>
      </c>
    </row>
    <row r="39" spans="2:46">
      <c r="B39" s="104"/>
      <c r="C39" s="26">
        <f t="shared" si="2"/>
        <v>33</v>
      </c>
      <c r="D39" s="40" t="s">
        <v>69</v>
      </c>
      <c r="E39" s="40" t="s">
        <v>69</v>
      </c>
      <c r="F39" s="40" t="s">
        <v>69</v>
      </c>
      <c r="G39" s="40" t="s">
        <v>69</v>
      </c>
      <c r="H39" s="40" t="s">
        <v>69</v>
      </c>
      <c r="I39" s="40" t="s">
        <v>69</v>
      </c>
      <c r="J39" s="40" t="s">
        <v>69</v>
      </c>
      <c r="K39" s="40" t="s">
        <v>69</v>
      </c>
      <c r="L39" s="40" t="s">
        <v>69</v>
      </c>
      <c r="M39" s="40" t="s">
        <v>69</v>
      </c>
      <c r="N39" s="40" t="s">
        <v>69</v>
      </c>
      <c r="O39" s="40" t="s">
        <v>69</v>
      </c>
      <c r="P39" s="40" t="s">
        <v>69</v>
      </c>
      <c r="Q39" s="40" t="s">
        <v>69</v>
      </c>
      <c r="R39" s="40" t="s">
        <v>69</v>
      </c>
      <c r="S39" s="40" t="s">
        <v>69</v>
      </c>
      <c r="T39" s="40" t="s">
        <v>69</v>
      </c>
      <c r="U39" s="40" t="s">
        <v>69</v>
      </c>
      <c r="V39" s="40" t="s">
        <v>69</v>
      </c>
      <c r="W39" s="40" t="s">
        <v>69</v>
      </c>
      <c r="X39" s="40" t="s">
        <v>69</v>
      </c>
      <c r="Y39" s="40" t="s">
        <v>69</v>
      </c>
      <c r="Z39" s="40" t="s">
        <v>69</v>
      </c>
      <c r="AA39" s="40" t="s">
        <v>69</v>
      </c>
      <c r="AB39" s="40" t="s">
        <v>69</v>
      </c>
      <c r="AC39" s="40" t="s">
        <v>69</v>
      </c>
      <c r="AD39" s="40" t="s">
        <v>69</v>
      </c>
      <c r="AE39" s="40" t="s">
        <v>69</v>
      </c>
      <c r="AF39" s="40" t="s">
        <v>69</v>
      </c>
      <c r="AG39" s="40" t="s">
        <v>69</v>
      </c>
      <c r="AH39" s="40" t="s">
        <v>69</v>
      </c>
      <c r="AI39" s="40" t="s">
        <v>69</v>
      </c>
      <c r="AJ39" s="22"/>
      <c r="AL39" t="str">
        <f t="shared" ca="1" si="0"/>
        <v xml:space="preserve">    (U1)ALERT_REQ_H_ACDCSUP_</v>
      </c>
      <c r="AR39" s="42" t="str">
        <f t="shared" si="3"/>
        <v/>
      </c>
      <c r="AS39" s="42" t="str">
        <f t="shared" si="4"/>
        <v/>
      </c>
      <c r="AT39" s="42" t="str">
        <f t="shared" si="1"/>
        <v/>
      </c>
    </row>
    <row r="40" spans="2:46">
      <c r="B40" s="104"/>
      <c r="C40" s="26">
        <f t="shared" si="2"/>
        <v>34</v>
      </c>
      <c r="D40" s="40" t="s">
        <v>69</v>
      </c>
      <c r="E40" s="40" t="s">
        <v>69</v>
      </c>
      <c r="F40" s="40" t="s">
        <v>69</v>
      </c>
      <c r="G40" s="40" t="s">
        <v>69</v>
      </c>
      <c r="H40" s="40" t="s">
        <v>69</v>
      </c>
      <c r="I40" s="40" t="s">
        <v>69</v>
      </c>
      <c r="J40" s="40" t="s">
        <v>69</v>
      </c>
      <c r="K40" s="40" t="s">
        <v>69</v>
      </c>
      <c r="L40" s="40" t="s">
        <v>69</v>
      </c>
      <c r="M40" s="40" t="s">
        <v>69</v>
      </c>
      <c r="N40" s="40" t="s">
        <v>69</v>
      </c>
      <c r="O40" s="40" t="s">
        <v>69</v>
      </c>
      <c r="P40" s="40" t="s">
        <v>69</v>
      </c>
      <c r="Q40" s="40" t="s">
        <v>69</v>
      </c>
      <c r="R40" s="40" t="s">
        <v>69</v>
      </c>
      <c r="S40" s="40" t="s">
        <v>69</v>
      </c>
      <c r="T40" s="40" t="s">
        <v>69</v>
      </c>
      <c r="U40" s="40" t="s">
        <v>69</v>
      </c>
      <c r="V40" s="40" t="s">
        <v>69</v>
      </c>
      <c r="W40" s="40" t="s">
        <v>69</v>
      </c>
      <c r="X40" s="40" t="s">
        <v>69</v>
      </c>
      <c r="Y40" s="40" t="s">
        <v>69</v>
      </c>
      <c r="Z40" s="40" t="s">
        <v>69</v>
      </c>
      <c r="AA40" s="40" t="s">
        <v>69</v>
      </c>
      <c r="AB40" s="40" t="s">
        <v>69</v>
      </c>
      <c r="AC40" s="40" t="s">
        <v>69</v>
      </c>
      <c r="AD40" s="40" t="s">
        <v>69</v>
      </c>
      <c r="AE40" s="40" t="s">
        <v>69</v>
      </c>
      <c r="AF40" s="40" t="s">
        <v>69</v>
      </c>
      <c r="AG40" s="40" t="s">
        <v>69</v>
      </c>
      <c r="AH40" s="40" t="s">
        <v>69</v>
      </c>
      <c r="AI40" s="40" t="s">
        <v>69</v>
      </c>
      <c r="AJ40" s="22"/>
      <c r="AL40" t="str">
        <f t="shared" ca="1" si="0"/>
        <v xml:space="preserve">    (U1)ALERT_REQ_H_ACDCSUP_</v>
      </c>
      <c r="AR40" s="42" t="str">
        <f t="shared" si="3"/>
        <v/>
      </c>
      <c r="AS40" s="42" t="str">
        <f t="shared" si="4"/>
        <v/>
      </c>
      <c r="AT40" s="42" t="str">
        <f t="shared" si="1"/>
        <v/>
      </c>
    </row>
    <row r="41" spans="2:46">
      <c r="B41" s="104"/>
      <c r="C41" s="26">
        <f t="shared" si="2"/>
        <v>35</v>
      </c>
      <c r="D41" s="40" t="s">
        <v>69</v>
      </c>
      <c r="E41" s="40" t="s">
        <v>69</v>
      </c>
      <c r="F41" s="40" t="s">
        <v>69</v>
      </c>
      <c r="G41" s="40" t="s">
        <v>69</v>
      </c>
      <c r="H41" s="40" t="s">
        <v>69</v>
      </c>
      <c r="I41" s="40" t="s">
        <v>69</v>
      </c>
      <c r="J41" s="40" t="s">
        <v>69</v>
      </c>
      <c r="K41" s="40" t="s">
        <v>69</v>
      </c>
      <c r="L41" s="40" t="s">
        <v>69</v>
      </c>
      <c r="M41" s="40" t="s">
        <v>69</v>
      </c>
      <c r="N41" s="40" t="s">
        <v>69</v>
      </c>
      <c r="O41" s="40" t="s">
        <v>69</v>
      </c>
      <c r="P41" s="40" t="s">
        <v>69</v>
      </c>
      <c r="Q41" s="40" t="s">
        <v>69</v>
      </c>
      <c r="R41" s="40" t="s">
        <v>69</v>
      </c>
      <c r="S41" s="40" t="s">
        <v>69</v>
      </c>
      <c r="T41" s="40" t="s">
        <v>69</v>
      </c>
      <c r="U41" s="40" t="s">
        <v>69</v>
      </c>
      <c r="V41" s="40" t="s">
        <v>69</v>
      </c>
      <c r="W41" s="40" t="s">
        <v>69</v>
      </c>
      <c r="X41" s="40" t="s">
        <v>69</v>
      </c>
      <c r="Y41" s="40" t="s">
        <v>69</v>
      </c>
      <c r="Z41" s="40" t="s">
        <v>69</v>
      </c>
      <c r="AA41" s="40" t="s">
        <v>69</v>
      </c>
      <c r="AB41" s="40" t="s">
        <v>69</v>
      </c>
      <c r="AC41" s="40" t="s">
        <v>69</v>
      </c>
      <c r="AD41" s="40" t="s">
        <v>69</v>
      </c>
      <c r="AE41" s="40" t="s">
        <v>69</v>
      </c>
      <c r="AF41" s="40" t="s">
        <v>69</v>
      </c>
      <c r="AG41" s="40" t="s">
        <v>69</v>
      </c>
      <c r="AH41" s="40" t="s">
        <v>69</v>
      </c>
      <c r="AI41" s="40" t="s">
        <v>69</v>
      </c>
      <c r="AJ41" s="22"/>
      <c r="AL41" t="str">
        <f t="shared" ca="1" si="0"/>
        <v xml:space="preserve">    (U1)ALERT_REQ_H_ACDCSUP_</v>
      </c>
      <c r="AR41" s="42" t="str">
        <f t="shared" si="3"/>
        <v/>
      </c>
      <c r="AS41" s="42" t="str">
        <f t="shared" si="4"/>
        <v/>
      </c>
      <c r="AT41" s="42" t="str">
        <f t="shared" si="1"/>
        <v/>
      </c>
    </row>
    <row r="42" spans="2:46">
      <c r="B42" s="104"/>
      <c r="C42" s="26">
        <f t="shared" si="2"/>
        <v>36</v>
      </c>
      <c r="D42" s="40" t="s">
        <v>69</v>
      </c>
      <c r="E42" s="40" t="s">
        <v>69</v>
      </c>
      <c r="F42" s="40" t="s">
        <v>69</v>
      </c>
      <c r="G42" s="40" t="s">
        <v>69</v>
      </c>
      <c r="H42" s="40" t="s">
        <v>69</v>
      </c>
      <c r="I42" s="40" t="s">
        <v>69</v>
      </c>
      <c r="J42" s="40" t="s">
        <v>69</v>
      </c>
      <c r="K42" s="40" t="s">
        <v>69</v>
      </c>
      <c r="L42" s="40" t="s">
        <v>69</v>
      </c>
      <c r="M42" s="40" t="s">
        <v>69</v>
      </c>
      <c r="N42" s="40" t="s">
        <v>69</v>
      </c>
      <c r="O42" s="40" t="s">
        <v>69</v>
      </c>
      <c r="P42" s="40" t="s">
        <v>69</v>
      </c>
      <c r="Q42" s="40" t="s">
        <v>69</v>
      </c>
      <c r="R42" s="40" t="s">
        <v>69</v>
      </c>
      <c r="S42" s="40" t="s">
        <v>69</v>
      </c>
      <c r="T42" s="40" t="s">
        <v>69</v>
      </c>
      <c r="U42" s="40" t="s">
        <v>69</v>
      </c>
      <c r="V42" s="40" t="s">
        <v>69</v>
      </c>
      <c r="W42" s="40" t="s">
        <v>69</v>
      </c>
      <c r="X42" s="40" t="s">
        <v>69</v>
      </c>
      <c r="Y42" s="40" t="s">
        <v>69</v>
      </c>
      <c r="Z42" s="40" t="s">
        <v>69</v>
      </c>
      <c r="AA42" s="40" t="s">
        <v>69</v>
      </c>
      <c r="AB42" s="40" t="s">
        <v>69</v>
      </c>
      <c r="AC42" s="40" t="s">
        <v>69</v>
      </c>
      <c r="AD42" s="40" t="s">
        <v>69</v>
      </c>
      <c r="AE42" s="40" t="s">
        <v>69</v>
      </c>
      <c r="AF42" s="40" t="s">
        <v>69</v>
      </c>
      <c r="AG42" s="40" t="s">
        <v>69</v>
      </c>
      <c r="AH42" s="40" t="s">
        <v>69</v>
      </c>
      <c r="AI42" s="40" t="s">
        <v>69</v>
      </c>
      <c r="AJ42" s="22"/>
      <c r="AL42" t="str">
        <f t="shared" ca="1" si="0"/>
        <v xml:space="preserve">    (U1)ALERT_REQ_H_ACDCSUP_</v>
      </c>
      <c r="AR42" s="42" t="str">
        <f t="shared" si="3"/>
        <v/>
      </c>
      <c r="AS42" s="42" t="str">
        <f t="shared" si="4"/>
        <v/>
      </c>
      <c r="AT42" s="42" t="str">
        <f t="shared" si="1"/>
        <v/>
      </c>
    </row>
    <row r="43" spans="2:46">
      <c r="B43" s="104"/>
      <c r="C43" s="26">
        <f t="shared" si="2"/>
        <v>37</v>
      </c>
      <c r="D43" s="40" t="s">
        <v>69</v>
      </c>
      <c r="E43" s="40" t="s">
        <v>69</v>
      </c>
      <c r="F43" s="40" t="s">
        <v>69</v>
      </c>
      <c r="G43" s="40" t="s">
        <v>69</v>
      </c>
      <c r="H43" s="40" t="s">
        <v>69</v>
      </c>
      <c r="I43" s="40" t="s">
        <v>69</v>
      </c>
      <c r="J43" s="40" t="s">
        <v>69</v>
      </c>
      <c r="K43" s="40" t="s">
        <v>69</v>
      </c>
      <c r="L43" s="40" t="s">
        <v>69</v>
      </c>
      <c r="M43" s="40" t="s">
        <v>69</v>
      </c>
      <c r="N43" s="40" t="s">
        <v>69</v>
      </c>
      <c r="O43" s="40" t="s">
        <v>69</v>
      </c>
      <c r="P43" s="40" t="s">
        <v>69</v>
      </c>
      <c r="Q43" s="40" t="s">
        <v>69</v>
      </c>
      <c r="R43" s="40" t="s">
        <v>69</v>
      </c>
      <c r="S43" s="40" t="s">
        <v>69</v>
      </c>
      <c r="T43" s="40" t="s">
        <v>69</v>
      </c>
      <c r="U43" s="40" t="s">
        <v>69</v>
      </c>
      <c r="V43" s="40" t="s">
        <v>69</v>
      </c>
      <c r="W43" s="40" t="s">
        <v>69</v>
      </c>
      <c r="X43" s="40" t="s">
        <v>69</v>
      </c>
      <c r="Y43" s="40" t="s">
        <v>69</v>
      </c>
      <c r="Z43" s="40" t="s">
        <v>69</v>
      </c>
      <c r="AA43" s="40" t="s">
        <v>69</v>
      </c>
      <c r="AB43" s="40" t="s">
        <v>69</v>
      </c>
      <c r="AC43" s="40" t="s">
        <v>69</v>
      </c>
      <c r="AD43" s="40" t="s">
        <v>69</v>
      </c>
      <c r="AE43" s="40" t="s">
        <v>69</v>
      </c>
      <c r="AF43" s="40" t="s">
        <v>69</v>
      </c>
      <c r="AG43" s="40" t="s">
        <v>69</v>
      </c>
      <c r="AH43" s="40" t="s">
        <v>69</v>
      </c>
      <c r="AI43" s="40" t="s">
        <v>69</v>
      </c>
      <c r="AJ43" s="22"/>
      <c r="AL43" t="str">
        <f t="shared" ca="1" si="0"/>
        <v xml:space="preserve">    (U1)ALERT_REQ_H_ACDCSUP_</v>
      </c>
      <c r="AR43" s="42" t="str">
        <f t="shared" si="3"/>
        <v/>
      </c>
      <c r="AS43" s="42" t="str">
        <f t="shared" si="4"/>
        <v/>
      </c>
      <c r="AT43" s="42" t="str">
        <f t="shared" si="1"/>
        <v/>
      </c>
    </row>
    <row r="44" spans="2:46">
      <c r="B44" s="104"/>
      <c r="C44" s="26">
        <f t="shared" si="2"/>
        <v>38</v>
      </c>
      <c r="D44" s="40" t="s">
        <v>69</v>
      </c>
      <c r="E44" s="40" t="s">
        <v>69</v>
      </c>
      <c r="F44" s="40" t="s">
        <v>69</v>
      </c>
      <c r="G44" s="40" t="s">
        <v>69</v>
      </c>
      <c r="H44" s="40" t="s">
        <v>69</v>
      </c>
      <c r="I44" s="40" t="s">
        <v>69</v>
      </c>
      <c r="J44" s="40" t="s">
        <v>69</v>
      </c>
      <c r="K44" s="40" t="s">
        <v>69</v>
      </c>
      <c r="L44" s="40" t="s">
        <v>69</v>
      </c>
      <c r="M44" s="40" t="s">
        <v>69</v>
      </c>
      <c r="N44" s="40" t="s">
        <v>69</v>
      </c>
      <c r="O44" s="40" t="s">
        <v>69</v>
      </c>
      <c r="P44" s="40" t="s">
        <v>69</v>
      </c>
      <c r="Q44" s="40" t="s">
        <v>69</v>
      </c>
      <c r="R44" s="40" t="s">
        <v>69</v>
      </c>
      <c r="S44" s="40" t="s">
        <v>69</v>
      </c>
      <c r="T44" s="40" t="s">
        <v>69</v>
      </c>
      <c r="U44" s="40" t="s">
        <v>69</v>
      </c>
      <c r="V44" s="40" t="s">
        <v>69</v>
      </c>
      <c r="W44" s="40" t="s">
        <v>69</v>
      </c>
      <c r="X44" s="40" t="s">
        <v>69</v>
      </c>
      <c r="Y44" s="40" t="s">
        <v>69</v>
      </c>
      <c r="Z44" s="40" t="s">
        <v>69</v>
      </c>
      <c r="AA44" s="40" t="s">
        <v>69</v>
      </c>
      <c r="AB44" s="40" t="s">
        <v>69</v>
      </c>
      <c r="AC44" s="40" t="s">
        <v>69</v>
      </c>
      <c r="AD44" s="40" t="s">
        <v>69</v>
      </c>
      <c r="AE44" s="40" t="s">
        <v>69</v>
      </c>
      <c r="AF44" s="40" t="s">
        <v>69</v>
      </c>
      <c r="AG44" s="40" t="s">
        <v>69</v>
      </c>
      <c r="AH44" s="40" t="s">
        <v>69</v>
      </c>
      <c r="AI44" s="40" t="s">
        <v>69</v>
      </c>
      <c r="AJ44" s="22"/>
      <c r="AL44" t="str">
        <f t="shared" ca="1" si="0"/>
        <v xml:space="preserve">    (U1)ALERT_REQ_H_ACDCSUP_</v>
      </c>
      <c r="AR44" s="42" t="str">
        <f t="shared" si="3"/>
        <v/>
      </c>
      <c r="AS44" s="42" t="str">
        <f t="shared" si="4"/>
        <v/>
      </c>
      <c r="AT44" s="42" t="str">
        <f t="shared" si="1"/>
        <v/>
      </c>
    </row>
    <row r="45" spans="2:46">
      <c r="B45" s="104"/>
      <c r="C45" s="26">
        <f t="shared" si="2"/>
        <v>39</v>
      </c>
      <c r="D45" s="40" t="s">
        <v>69</v>
      </c>
      <c r="E45" s="40" t="s">
        <v>69</v>
      </c>
      <c r="F45" s="40" t="s">
        <v>69</v>
      </c>
      <c r="G45" s="40" t="s">
        <v>69</v>
      </c>
      <c r="H45" s="40" t="s">
        <v>69</v>
      </c>
      <c r="I45" s="40" t="s">
        <v>69</v>
      </c>
      <c r="J45" s="40" t="s">
        <v>69</v>
      </c>
      <c r="K45" s="40" t="s">
        <v>69</v>
      </c>
      <c r="L45" s="40" t="s">
        <v>69</v>
      </c>
      <c r="M45" s="40" t="s">
        <v>69</v>
      </c>
      <c r="N45" s="40" t="s">
        <v>69</v>
      </c>
      <c r="O45" s="40" t="s">
        <v>69</v>
      </c>
      <c r="P45" s="40" t="s">
        <v>69</v>
      </c>
      <c r="Q45" s="40" t="s">
        <v>69</v>
      </c>
      <c r="R45" s="40" t="s">
        <v>69</v>
      </c>
      <c r="S45" s="40" t="s">
        <v>69</v>
      </c>
      <c r="T45" s="40" t="s">
        <v>69</v>
      </c>
      <c r="U45" s="40" t="s">
        <v>69</v>
      </c>
      <c r="V45" s="40" t="s">
        <v>69</v>
      </c>
      <c r="W45" s="40" t="s">
        <v>69</v>
      </c>
      <c r="X45" s="40" t="s">
        <v>69</v>
      </c>
      <c r="Y45" s="40" t="s">
        <v>69</v>
      </c>
      <c r="Z45" s="40" t="s">
        <v>69</v>
      </c>
      <c r="AA45" s="40" t="s">
        <v>69</v>
      </c>
      <c r="AB45" s="40" t="s">
        <v>69</v>
      </c>
      <c r="AC45" s="40" t="s">
        <v>69</v>
      </c>
      <c r="AD45" s="40" t="s">
        <v>69</v>
      </c>
      <c r="AE45" s="40" t="s">
        <v>69</v>
      </c>
      <c r="AF45" s="40" t="s">
        <v>69</v>
      </c>
      <c r="AG45" s="40" t="s">
        <v>69</v>
      </c>
      <c r="AH45" s="40" t="s">
        <v>69</v>
      </c>
      <c r="AI45" s="40" t="s">
        <v>69</v>
      </c>
      <c r="AJ45" s="22"/>
      <c r="AL45" t="str">
        <f t="shared" ca="1" si="0"/>
        <v xml:space="preserve">    (U1)ALERT_REQ_H_ACDCSUP_</v>
      </c>
      <c r="AR45" s="42" t="str">
        <f t="shared" si="3"/>
        <v/>
      </c>
      <c r="AS45" s="42" t="str">
        <f t="shared" si="4"/>
        <v/>
      </c>
      <c r="AT45" s="42" t="str">
        <f t="shared" si="1"/>
        <v/>
      </c>
    </row>
    <row r="46" spans="2:46">
      <c r="B46" s="104"/>
      <c r="C46" s="26">
        <f t="shared" si="2"/>
        <v>40</v>
      </c>
      <c r="D46" s="40" t="s">
        <v>69</v>
      </c>
      <c r="E46" s="40" t="s">
        <v>69</v>
      </c>
      <c r="F46" s="40" t="s">
        <v>69</v>
      </c>
      <c r="G46" s="40" t="s">
        <v>69</v>
      </c>
      <c r="H46" s="40" t="s">
        <v>69</v>
      </c>
      <c r="I46" s="40" t="s">
        <v>69</v>
      </c>
      <c r="J46" s="40" t="s">
        <v>69</v>
      </c>
      <c r="K46" s="40" t="s">
        <v>69</v>
      </c>
      <c r="L46" s="40" t="s">
        <v>69</v>
      </c>
      <c r="M46" s="40" t="s">
        <v>69</v>
      </c>
      <c r="N46" s="40" t="s">
        <v>69</v>
      </c>
      <c r="O46" s="40" t="s">
        <v>69</v>
      </c>
      <c r="P46" s="40" t="s">
        <v>69</v>
      </c>
      <c r="Q46" s="40" t="s">
        <v>69</v>
      </c>
      <c r="R46" s="40" t="s">
        <v>69</v>
      </c>
      <c r="S46" s="40" t="s">
        <v>69</v>
      </c>
      <c r="T46" s="40" t="s">
        <v>69</v>
      </c>
      <c r="U46" s="40" t="s">
        <v>69</v>
      </c>
      <c r="V46" s="40" t="s">
        <v>69</v>
      </c>
      <c r="W46" s="40" t="s">
        <v>69</v>
      </c>
      <c r="X46" s="40" t="s">
        <v>69</v>
      </c>
      <c r="Y46" s="40" t="s">
        <v>69</v>
      </c>
      <c r="Z46" s="40" t="s">
        <v>69</v>
      </c>
      <c r="AA46" s="40" t="s">
        <v>69</v>
      </c>
      <c r="AB46" s="40" t="s">
        <v>69</v>
      </c>
      <c r="AC46" s="40" t="s">
        <v>69</v>
      </c>
      <c r="AD46" s="40" t="s">
        <v>69</v>
      </c>
      <c r="AE46" s="40" t="s">
        <v>69</v>
      </c>
      <c r="AF46" s="40" t="s">
        <v>69</v>
      </c>
      <c r="AG46" s="40" t="s">
        <v>69</v>
      </c>
      <c r="AH46" s="40" t="s">
        <v>69</v>
      </c>
      <c r="AI46" s="40" t="s">
        <v>69</v>
      </c>
      <c r="AJ46" s="22"/>
      <c r="AL46" t="str">
        <f t="shared" ca="1" si="0"/>
        <v xml:space="preserve">    (U1)ALERT_REQ_H_ACDCSUP_</v>
      </c>
      <c r="AR46" s="42" t="str">
        <f t="shared" si="3"/>
        <v/>
      </c>
      <c r="AS46" s="42" t="str">
        <f t="shared" si="4"/>
        <v/>
      </c>
      <c r="AT46" s="42" t="str">
        <f t="shared" si="1"/>
        <v/>
      </c>
    </row>
    <row r="47" spans="2:46">
      <c r="B47" s="104"/>
      <c r="C47" s="26">
        <f t="shared" si="2"/>
        <v>41</v>
      </c>
      <c r="D47" s="40" t="s">
        <v>69</v>
      </c>
      <c r="E47" s="40" t="s">
        <v>69</v>
      </c>
      <c r="F47" s="40" t="s">
        <v>69</v>
      </c>
      <c r="G47" s="40" t="s">
        <v>69</v>
      </c>
      <c r="H47" s="40" t="s">
        <v>69</v>
      </c>
      <c r="I47" s="40" t="s">
        <v>69</v>
      </c>
      <c r="J47" s="40" t="s">
        <v>69</v>
      </c>
      <c r="K47" s="40" t="s">
        <v>69</v>
      </c>
      <c r="L47" s="40" t="s">
        <v>69</v>
      </c>
      <c r="M47" s="40" t="s">
        <v>69</v>
      </c>
      <c r="N47" s="40" t="s">
        <v>69</v>
      </c>
      <c r="O47" s="40" t="s">
        <v>69</v>
      </c>
      <c r="P47" s="40" t="s">
        <v>69</v>
      </c>
      <c r="Q47" s="40" t="s">
        <v>69</v>
      </c>
      <c r="R47" s="40" t="s">
        <v>69</v>
      </c>
      <c r="S47" s="40" t="s">
        <v>69</v>
      </c>
      <c r="T47" s="40" t="s">
        <v>69</v>
      </c>
      <c r="U47" s="40" t="s">
        <v>69</v>
      </c>
      <c r="V47" s="40" t="s">
        <v>69</v>
      </c>
      <c r="W47" s="40" t="s">
        <v>69</v>
      </c>
      <c r="X47" s="40" t="s">
        <v>69</v>
      </c>
      <c r="Y47" s="40" t="s">
        <v>69</v>
      </c>
      <c r="Z47" s="40" t="s">
        <v>69</v>
      </c>
      <c r="AA47" s="40" t="s">
        <v>69</v>
      </c>
      <c r="AB47" s="40" t="s">
        <v>69</v>
      </c>
      <c r="AC47" s="40" t="s">
        <v>69</v>
      </c>
      <c r="AD47" s="40" t="s">
        <v>69</v>
      </c>
      <c r="AE47" s="40" t="s">
        <v>69</v>
      </c>
      <c r="AF47" s="40" t="s">
        <v>69</v>
      </c>
      <c r="AG47" s="40" t="s">
        <v>69</v>
      </c>
      <c r="AH47" s="40" t="s">
        <v>69</v>
      </c>
      <c r="AI47" s="40" t="s">
        <v>69</v>
      </c>
      <c r="AJ47" s="22"/>
      <c r="AL47" t="str">
        <f t="shared" ca="1" si="0"/>
        <v xml:space="preserve">    (U1)ALERT_REQ_H_ACDCSUP_</v>
      </c>
      <c r="AR47" s="42" t="str">
        <f t="shared" si="3"/>
        <v/>
      </c>
      <c r="AS47" s="42" t="str">
        <f t="shared" si="4"/>
        <v/>
      </c>
      <c r="AT47" s="42" t="str">
        <f t="shared" si="1"/>
        <v/>
      </c>
    </row>
    <row r="48" spans="2:46">
      <c r="B48" s="104"/>
      <c r="C48" s="26">
        <f t="shared" si="2"/>
        <v>42</v>
      </c>
      <c r="D48" s="40" t="s">
        <v>69</v>
      </c>
      <c r="E48" s="40" t="s">
        <v>69</v>
      </c>
      <c r="F48" s="40" t="s">
        <v>69</v>
      </c>
      <c r="G48" s="40" t="s">
        <v>69</v>
      </c>
      <c r="H48" s="40" t="s">
        <v>69</v>
      </c>
      <c r="I48" s="40" t="s">
        <v>69</v>
      </c>
      <c r="J48" s="40" t="s">
        <v>69</v>
      </c>
      <c r="K48" s="40" t="s">
        <v>69</v>
      </c>
      <c r="L48" s="40" t="s">
        <v>69</v>
      </c>
      <c r="M48" s="40" t="s">
        <v>69</v>
      </c>
      <c r="N48" s="40" t="s">
        <v>69</v>
      </c>
      <c r="O48" s="40" t="s">
        <v>69</v>
      </c>
      <c r="P48" s="40" t="s">
        <v>69</v>
      </c>
      <c r="Q48" s="40" t="s">
        <v>69</v>
      </c>
      <c r="R48" s="40" t="s">
        <v>69</v>
      </c>
      <c r="S48" s="40" t="s">
        <v>69</v>
      </c>
      <c r="T48" s="40" t="s">
        <v>69</v>
      </c>
      <c r="U48" s="40" t="s">
        <v>69</v>
      </c>
      <c r="V48" s="40" t="s">
        <v>69</v>
      </c>
      <c r="W48" s="40" t="s">
        <v>69</v>
      </c>
      <c r="X48" s="40" t="s">
        <v>69</v>
      </c>
      <c r="Y48" s="40" t="s">
        <v>69</v>
      </c>
      <c r="Z48" s="40" t="s">
        <v>69</v>
      </c>
      <c r="AA48" s="40" t="s">
        <v>69</v>
      </c>
      <c r="AB48" s="40" t="s">
        <v>69</v>
      </c>
      <c r="AC48" s="40" t="s">
        <v>69</v>
      </c>
      <c r="AD48" s="40" t="s">
        <v>69</v>
      </c>
      <c r="AE48" s="40" t="s">
        <v>69</v>
      </c>
      <c r="AF48" s="40" t="s">
        <v>69</v>
      </c>
      <c r="AG48" s="40" t="s">
        <v>69</v>
      </c>
      <c r="AH48" s="40" t="s">
        <v>69</v>
      </c>
      <c r="AI48" s="40" t="s">
        <v>69</v>
      </c>
      <c r="AJ48" s="22"/>
      <c r="AL48" t="str">
        <f t="shared" ca="1" si="0"/>
        <v xml:space="preserve">    (U1)ALERT_REQ_H_ACDCSUP_</v>
      </c>
      <c r="AR48" s="42" t="str">
        <f t="shared" si="3"/>
        <v/>
      </c>
      <c r="AS48" s="42" t="str">
        <f t="shared" si="4"/>
        <v/>
      </c>
      <c r="AT48" s="42" t="str">
        <f t="shared" si="1"/>
        <v/>
      </c>
    </row>
    <row r="49" spans="2:46">
      <c r="B49" s="104"/>
      <c r="C49" s="26">
        <f t="shared" si="2"/>
        <v>43</v>
      </c>
      <c r="D49" s="40" t="s">
        <v>69</v>
      </c>
      <c r="E49" s="40" t="s">
        <v>69</v>
      </c>
      <c r="F49" s="40" t="s">
        <v>69</v>
      </c>
      <c r="G49" s="40" t="s">
        <v>69</v>
      </c>
      <c r="H49" s="40" t="s">
        <v>69</v>
      </c>
      <c r="I49" s="40" t="s">
        <v>69</v>
      </c>
      <c r="J49" s="40" t="s">
        <v>69</v>
      </c>
      <c r="K49" s="40" t="s">
        <v>69</v>
      </c>
      <c r="L49" s="40" t="s">
        <v>69</v>
      </c>
      <c r="M49" s="40" t="s">
        <v>69</v>
      </c>
      <c r="N49" s="40" t="s">
        <v>69</v>
      </c>
      <c r="O49" s="40" t="s">
        <v>69</v>
      </c>
      <c r="P49" s="40" t="s">
        <v>69</v>
      </c>
      <c r="Q49" s="40" t="s">
        <v>69</v>
      </c>
      <c r="R49" s="40" t="s">
        <v>69</v>
      </c>
      <c r="S49" s="40" t="s">
        <v>69</v>
      </c>
      <c r="T49" s="40" t="s">
        <v>69</v>
      </c>
      <c r="U49" s="40" t="s">
        <v>69</v>
      </c>
      <c r="V49" s="40" t="s">
        <v>69</v>
      </c>
      <c r="W49" s="40" t="s">
        <v>69</v>
      </c>
      <c r="X49" s="40" t="s">
        <v>69</v>
      </c>
      <c r="Y49" s="40" t="s">
        <v>69</v>
      </c>
      <c r="Z49" s="40" t="s">
        <v>69</v>
      </c>
      <c r="AA49" s="40" t="s">
        <v>69</v>
      </c>
      <c r="AB49" s="40" t="s">
        <v>69</v>
      </c>
      <c r="AC49" s="40" t="s">
        <v>69</v>
      </c>
      <c r="AD49" s="40" t="s">
        <v>69</v>
      </c>
      <c r="AE49" s="40" t="s">
        <v>69</v>
      </c>
      <c r="AF49" s="40" t="s">
        <v>69</v>
      </c>
      <c r="AG49" s="40" t="s">
        <v>69</v>
      </c>
      <c r="AH49" s="40" t="s">
        <v>69</v>
      </c>
      <c r="AI49" s="40" t="s">
        <v>69</v>
      </c>
      <c r="AJ49" s="22"/>
      <c r="AL49" t="str">
        <f t="shared" ca="1" si="0"/>
        <v xml:space="preserve">    (U1)ALERT_REQ_H_ACDCSUP_</v>
      </c>
      <c r="AR49" s="42" t="str">
        <f t="shared" si="3"/>
        <v/>
      </c>
      <c r="AS49" s="42" t="str">
        <f t="shared" si="4"/>
        <v/>
      </c>
      <c r="AT49" s="42" t="str">
        <f t="shared" si="1"/>
        <v/>
      </c>
    </row>
    <row r="50" spans="2:46">
      <c r="B50" s="104"/>
      <c r="C50" s="26">
        <f t="shared" si="2"/>
        <v>44</v>
      </c>
      <c r="D50" s="40" t="s">
        <v>69</v>
      </c>
      <c r="E50" s="40" t="s">
        <v>69</v>
      </c>
      <c r="F50" s="40" t="s">
        <v>69</v>
      </c>
      <c r="G50" s="40" t="s">
        <v>69</v>
      </c>
      <c r="H50" s="40" t="s">
        <v>69</v>
      </c>
      <c r="I50" s="40" t="s">
        <v>69</v>
      </c>
      <c r="J50" s="40" t="s">
        <v>69</v>
      </c>
      <c r="K50" s="40" t="s">
        <v>69</v>
      </c>
      <c r="L50" s="40" t="s">
        <v>69</v>
      </c>
      <c r="M50" s="40" t="s">
        <v>69</v>
      </c>
      <c r="N50" s="40" t="s">
        <v>69</v>
      </c>
      <c r="O50" s="40" t="s">
        <v>69</v>
      </c>
      <c r="P50" s="40" t="s">
        <v>69</v>
      </c>
      <c r="Q50" s="40" t="s">
        <v>69</v>
      </c>
      <c r="R50" s="40" t="s">
        <v>69</v>
      </c>
      <c r="S50" s="40" t="s">
        <v>69</v>
      </c>
      <c r="T50" s="40" t="s">
        <v>69</v>
      </c>
      <c r="U50" s="40" t="s">
        <v>69</v>
      </c>
      <c r="V50" s="40" t="s">
        <v>69</v>
      </c>
      <c r="W50" s="40" t="s">
        <v>69</v>
      </c>
      <c r="X50" s="40" t="s">
        <v>69</v>
      </c>
      <c r="Y50" s="40" t="s">
        <v>69</v>
      </c>
      <c r="Z50" s="40" t="s">
        <v>69</v>
      </c>
      <c r="AA50" s="40" t="s">
        <v>69</v>
      </c>
      <c r="AB50" s="40" t="s">
        <v>69</v>
      </c>
      <c r="AC50" s="40" t="s">
        <v>69</v>
      </c>
      <c r="AD50" s="40" t="s">
        <v>69</v>
      </c>
      <c r="AE50" s="40" t="s">
        <v>69</v>
      </c>
      <c r="AF50" s="40" t="s">
        <v>69</v>
      </c>
      <c r="AG50" s="40" t="s">
        <v>69</v>
      </c>
      <c r="AH50" s="40" t="s">
        <v>69</v>
      </c>
      <c r="AI50" s="40" t="s">
        <v>69</v>
      </c>
      <c r="AJ50" s="22"/>
      <c r="AL50" t="str">
        <f t="shared" ca="1" si="0"/>
        <v xml:space="preserve">    (U1)ALERT_REQ_H_ACDCSUP_</v>
      </c>
      <c r="AR50" s="42" t="str">
        <f t="shared" si="3"/>
        <v/>
      </c>
      <c r="AS50" s="42" t="str">
        <f t="shared" si="4"/>
        <v/>
      </c>
      <c r="AT50" s="42" t="str">
        <f t="shared" si="1"/>
        <v/>
      </c>
    </row>
    <row r="51" spans="2:46">
      <c r="B51" s="104"/>
      <c r="C51" s="26">
        <f t="shared" si="2"/>
        <v>45</v>
      </c>
      <c r="D51" s="40" t="s">
        <v>69</v>
      </c>
      <c r="E51" s="40" t="s">
        <v>69</v>
      </c>
      <c r="F51" s="40" t="s">
        <v>69</v>
      </c>
      <c r="G51" s="40" t="s">
        <v>69</v>
      </c>
      <c r="H51" s="40" t="s">
        <v>69</v>
      </c>
      <c r="I51" s="40" t="s">
        <v>69</v>
      </c>
      <c r="J51" s="40" t="s">
        <v>69</v>
      </c>
      <c r="K51" s="40" t="s">
        <v>69</v>
      </c>
      <c r="L51" s="40" t="s">
        <v>69</v>
      </c>
      <c r="M51" s="40" t="s">
        <v>69</v>
      </c>
      <c r="N51" s="40" t="s">
        <v>69</v>
      </c>
      <c r="O51" s="40" t="s">
        <v>69</v>
      </c>
      <c r="P51" s="40" t="s">
        <v>69</v>
      </c>
      <c r="Q51" s="40" t="s">
        <v>69</v>
      </c>
      <c r="R51" s="40" t="s">
        <v>69</v>
      </c>
      <c r="S51" s="40" t="s">
        <v>69</v>
      </c>
      <c r="T51" s="40" t="s">
        <v>69</v>
      </c>
      <c r="U51" s="40" t="s">
        <v>69</v>
      </c>
      <c r="V51" s="40" t="s">
        <v>69</v>
      </c>
      <c r="W51" s="40" t="s">
        <v>69</v>
      </c>
      <c r="X51" s="40" t="s">
        <v>69</v>
      </c>
      <c r="Y51" s="40" t="s">
        <v>69</v>
      </c>
      <c r="Z51" s="40" t="s">
        <v>69</v>
      </c>
      <c r="AA51" s="40" t="s">
        <v>69</v>
      </c>
      <c r="AB51" s="40" t="s">
        <v>69</v>
      </c>
      <c r="AC51" s="40" t="s">
        <v>69</v>
      </c>
      <c r="AD51" s="40" t="s">
        <v>69</v>
      </c>
      <c r="AE51" s="40" t="s">
        <v>69</v>
      </c>
      <c r="AF51" s="40" t="s">
        <v>69</v>
      </c>
      <c r="AG51" s="40" t="s">
        <v>69</v>
      </c>
      <c r="AH51" s="40" t="s">
        <v>69</v>
      </c>
      <c r="AI51" s="40" t="s">
        <v>69</v>
      </c>
      <c r="AJ51" s="22"/>
      <c r="AL51" t="str">
        <f t="shared" ca="1" si="0"/>
        <v xml:space="preserve">    (U1)ALERT_REQ_H_ACDCSUP_</v>
      </c>
      <c r="AR51" s="42" t="str">
        <f t="shared" si="3"/>
        <v/>
      </c>
      <c r="AS51" s="42" t="str">
        <f t="shared" si="4"/>
        <v/>
      </c>
      <c r="AT51" s="42" t="str">
        <f t="shared" si="1"/>
        <v/>
      </c>
    </row>
    <row r="52" spans="2:46">
      <c r="B52" s="104"/>
      <c r="C52" s="26">
        <f t="shared" si="2"/>
        <v>46</v>
      </c>
      <c r="D52" s="40" t="s">
        <v>69</v>
      </c>
      <c r="E52" s="40" t="s">
        <v>69</v>
      </c>
      <c r="F52" s="40" t="s">
        <v>69</v>
      </c>
      <c r="G52" s="40" t="s">
        <v>69</v>
      </c>
      <c r="H52" s="40" t="s">
        <v>69</v>
      </c>
      <c r="I52" s="40" t="s">
        <v>69</v>
      </c>
      <c r="J52" s="40" t="s">
        <v>69</v>
      </c>
      <c r="K52" s="40" t="s">
        <v>69</v>
      </c>
      <c r="L52" s="40" t="s">
        <v>69</v>
      </c>
      <c r="M52" s="40" t="s">
        <v>69</v>
      </c>
      <c r="N52" s="40" t="s">
        <v>69</v>
      </c>
      <c r="O52" s="40" t="s">
        <v>69</v>
      </c>
      <c r="P52" s="40" t="s">
        <v>69</v>
      </c>
      <c r="Q52" s="40" t="s">
        <v>69</v>
      </c>
      <c r="R52" s="40" t="s">
        <v>69</v>
      </c>
      <c r="S52" s="40" t="s">
        <v>69</v>
      </c>
      <c r="T52" s="40" t="s">
        <v>69</v>
      </c>
      <c r="U52" s="40" t="s">
        <v>69</v>
      </c>
      <c r="V52" s="40" t="s">
        <v>69</v>
      </c>
      <c r="W52" s="40" t="s">
        <v>69</v>
      </c>
      <c r="X52" s="40" t="s">
        <v>69</v>
      </c>
      <c r="Y52" s="40" t="s">
        <v>69</v>
      </c>
      <c r="Z52" s="40" t="s">
        <v>69</v>
      </c>
      <c r="AA52" s="40" t="s">
        <v>69</v>
      </c>
      <c r="AB52" s="40" t="s">
        <v>69</v>
      </c>
      <c r="AC52" s="40" t="s">
        <v>69</v>
      </c>
      <c r="AD52" s="40" t="s">
        <v>69</v>
      </c>
      <c r="AE52" s="40" t="s">
        <v>69</v>
      </c>
      <c r="AF52" s="40" t="s">
        <v>69</v>
      </c>
      <c r="AG52" s="40" t="s">
        <v>69</v>
      </c>
      <c r="AH52" s="40" t="s">
        <v>69</v>
      </c>
      <c r="AI52" s="40" t="s">
        <v>69</v>
      </c>
      <c r="AJ52" s="22"/>
      <c r="AL52" t="str">
        <f t="shared" ca="1" si="0"/>
        <v xml:space="preserve">    (U1)ALERT_REQ_H_ACDCSUP_</v>
      </c>
      <c r="AR52" s="42" t="str">
        <f t="shared" si="3"/>
        <v/>
      </c>
      <c r="AS52" s="42" t="str">
        <f t="shared" si="4"/>
        <v/>
      </c>
      <c r="AT52" s="42" t="str">
        <f t="shared" si="1"/>
        <v/>
      </c>
    </row>
    <row r="53" spans="2:46">
      <c r="B53" s="104"/>
      <c r="C53" s="26">
        <f t="shared" si="2"/>
        <v>47</v>
      </c>
      <c r="D53" s="40" t="s">
        <v>69</v>
      </c>
      <c r="E53" s="40" t="s">
        <v>69</v>
      </c>
      <c r="F53" s="40" t="s">
        <v>69</v>
      </c>
      <c r="G53" s="40" t="s">
        <v>69</v>
      </c>
      <c r="H53" s="40" t="s">
        <v>69</v>
      </c>
      <c r="I53" s="40" t="s">
        <v>69</v>
      </c>
      <c r="J53" s="40" t="s">
        <v>69</v>
      </c>
      <c r="K53" s="40" t="s">
        <v>69</v>
      </c>
      <c r="L53" s="40" t="s">
        <v>69</v>
      </c>
      <c r="M53" s="40" t="s">
        <v>69</v>
      </c>
      <c r="N53" s="40" t="s">
        <v>69</v>
      </c>
      <c r="O53" s="40" t="s">
        <v>69</v>
      </c>
      <c r="P53" s="40" t="s">
        <v>69</v>
      </c>
      <c r="Q53" s="40" t="s">
        <v>69</v>
      </c>
      <c r="R53" s="40" t="s">
        <v>69</v>
      </c>
      <c r="S53" s="40" t="s">
        <v>69</v>
      </c>
      <c r="T53" s="40" t="s">
        <v>69</v>
      </c>
      <c r="U53" s="40" t="s">
        <v>69</v>
      </c>
      <c r="V53" s="40" t="s">
        <v>69</v>
      </c>
      <c r="W53" s="40" t="s">
        <v>69</v>
      </c>
      <c r="X53" s="40" t="s">
        <v>69</v>
      </c>
      <c r="Y53" s="40" t="s">
        <v>69</v>
      </c>
      <c r="Z53" s="40" t="s">
        <v>69</v>
      </c>
      <c r="AA53" s="40" t="s">
        <v>69</v>
      </c>
      <c r="AB53" s="40" t="s">
        <v>69</v>
      </c>
      <c r="AC53" s="40" t="s">
        <v>69</v>
      </c>
      <c r="AD53" s="40" t="s">
        <v>69</v>
      </c>
      <c r="AE53" s="40" t="s">
        <v>69</v>
      </c>
      <c r="AF53" s="40" t="s">
        <v>69</v>
      </c>
      <c r="AG53" s="40" t="s">
        <v>69</v>
      </c>
      <c r="AH53" s="40" t="s">
        <v>69</v>
      </c>
      <c r="AI53" s="40" t="s">
        <v>69</v>
      </c>
      <c r="AJ53" s="22"/>
      <c r="AL53" t="str">
        <f t="shared" ca="1" si="0"/>
        <v xml:space="preserve">    (U1)ALERT_REQ_H_ACDCSUP_</v>
      </c>
      <c r="AR53" s="42" t="str">
        <f t="shared" si="3"/>
        <v/>
      </c>
      <c r="AS53" s="42" t="str">
        <f t="shared" si="4"/>
        <v/>
      </c>
      <c r="AT53" s="42" t="str">
        <f t="shared" si="1"/>
        <v/>
      </c>
    </row>
    <row r="54" spans="2:46">
      <c r="B54" s="104"/>
      <c r="C54" s="26">
        <f t="shared" si="2"/>
        <v>48</v>
      </c>
      <c r="D54" s="40" t="s">
        <v>69</v>
      </c>
      <c r="E54" s="40" t="s">
        <v>69</v>
      </c>
      <c r="F54" s="40" t="s">
        <v>69</v>
      </c>
      <c r="G54" s="40" t="s">
        <v>69</v>
      </c>
      <c r="H54" s="40" t="s">
        <v>69</v>
      </c>
      <c r="I54" s="40" t="s">
        <v>69</v>
      </c>
      <c r="J54" s="40" t="s">
        <v>69</v>
      </c>
      <c r="K54" s="40" t="s">
        <v>69</v>
      </c>
      <c r="L54" s="40" t="s">
        <v>69</v>
      </c>
      <c r="M54" s="40" t="s">
        <v>69</v>
      </c>
      <c r="N54" s="40" t="s">
        <v>69</v>
      </c>
      <c r="O54" s="40" t="s">
        <v>69</v>
      </c>
      <c r="P54" s="40" t="s">
        <v>69</v>
      </c>
      <c r="Q54" s="40" t="s">
        <v>69</v>
      </c>
      <c r="R54" s="40" t="s">
        <v>69</v>
      </c>
      <c r="S54" s="40" t="s">
        <v>69</v>
      </c>
      <c r="T54" s="40" t="s">
        <v>69</v>
      </c>
      <c r="U54" s="40" t="s">
        <v>69</v>
      </c>
      <c r="V54" s="40" t="s">
        <v>69</v>
      </c>
      <c r="W54" s="40" t="s">
        <v>69</v>
      </c>
      <c r="X54" s="40" t="s">
        <v>69</v>
      </c>
      <c r="Y54" s="40" t="s">
        <v>69</v>
      </c>
      <c r="Z54" s="40" t="s">
        <v>69</v>
      </c>
      <c r="AA54" s="40" t="s">
        <v>69</v>
      </c>
      <c r="AB54" s="40" t="s">
        <v>69</v>
      </c>
      <c r="AC54" s="40" t="s">
        <v>69</v>
      </c>
      <c r="AD54" s="40" t="s">
        <v>69</v>
      </c>
      <c r="AE54" s="40" t="s">
        <v>69</v>
      </c>
      <c r="AF54" s="40" t="s">
        <v>69</v>
      </c>
      <c r="AG54" s="40" t="s">
        <v>69</v>
      </c>
      <c r="AH54" s="40" t="s">
        <v>69</v>
      </c>
      <c r="AI54" s="40" t="s">
        <v>69</v>
      </c>
      <c r="AJ54" s="22"/>
      <c r="AL54" t="str">
        <f t="shared" ca="1" si="0"/>
        <v xml:space="preserve">    (U1)ALERT_REQ_H_ACDCSUP_</v>
      </c>
      <c r="AR54" s="42" t="str">
        <f t="shared" si="3"/>
        <v/>
      </c>
      <c r="AS54" s="42" t="str">
        <f t="shared" si="4"/>
        <v/>
      </c>
      <c r="AT54" s="42" t="str">
        <f t="shared" si="1"/>
        <v/>
      </c>
    </row>
    <row r="55" spans="2:46">
      <c r="B55" s="104"/>
      <c r="C55" s="26">
        <f t="shared" si="2"/>
        <v>49</v>
      </c>
      <c r="D55" s="40" t="s">
        <v>69</v>
      </c>
      <c r="E55" s="40" t="s">
        <v>69</v>
      </c>
      <c r="F55" s="40" t="s">
        <v>69</v>
      </c>
      <c r="G55" s="40" t="s">
        <v>69</v>
      </c>
      <c r="H55" s="40" t="s">
        <v>69</v>
      </c>
      <c r="I55" s="40" t="s">
        <v>69</v>
      </c>
      <c r="J55" s="40" t="s">
        <v>69</v>
      </c>
      <c r="K55" s="40" t="s">
        <v>69</v>
      </c>
      <c r="L55" s="40" t="s">
        <v>69</v>
      </c>
      <c r="M55" s="40" t="s">
        <v>69</v>
      </c>
      <c r="N55" s="40" t="s">
        <v>69</v>
      </c>
      <c r="O55" s="40" t="s">
        <v>69</v>
      </c>
      <c r="P55" s="40" t="s">
        <v>69</v>
      </c>
      <c r="Q55" s="40" t="s">
        <v>69</v>
      </c>
      <c r="R55" s="40" t="s">
        <v>69</v>
      </c>
      <c r="S55" s="40" t="s">
        <v>69</v>
      </c>
      <c r="T55" s="40" t="s">
        <v>69</v>
      </c>
      <c r="U55" s="40" t="s">
        <v>69</v>
      </c>
      <c r="V55" s="40" t="s">
        <v>69</v>
      </c>
      <c r="W55" s="40" t="s">
        <v>69</v>
      </c>
      <c r="X55" s="40" t="s">
        <v>69</v>
      </c>
      <c r="Y55" s="40" t="s">
        <v>69</v>
      </c>
      <c r="Z55" s="40" t="s">
        <v>69</v>
      </c>
      <c r="AA55" s="40" t="s">
        <v>69</v>
      </c>
      <c r="AB55" s="40" t="s">
        <v>69</v>
      </c>
      <c r="AC55" s="40" t="s">
        <v>69</v>
      </c>
      <c r="AD55" s="40" t="s">
        <v>69</v>
      </c>
      <c r="AE55" s="40" t="s">
        <v>69</v>
      </c>
      <c r="AF55" s="40" t="s">
        <v>69</v>
      </c>
      <c r="AG55" s="40" t="s">
        <v>69</v>
      </c>
      <c r="AH55" s="40" t="s">
        <v>69</v>
      </c>
      <c r="AI55" s="40" t="s">
        <v>69</v>
      </c>
      <c r="AJ55" s="22"/>
      <c r="AL55" t="str">
        <f t="shared" ca="1" si="0"/>
        <v xml:space="preserve">    (U1)ALERT_REQ_H_ACDCSUP_</v>
      </c>
      <c r="AR55" s="42" t="str">
        <f t="shared" si="3"/>
        <v/>
      </c>
      <c r="AS55" s="42" t="str">
        <f t="shared" si="4"/>
        <v/>
      </c>
      <c r="AT55" s="42" t="str">
        <f t="shared" si="1"/>
        <v/>
      </c>
    </row>
    <row r="56" spans="2:46">
      <c r="B56" s="104"/>
      <c r="C56" s="26">
        <f t="shared" si="2"/>
        <v>50</v>
      </c>
      <c r="D56" s="40" t="s">
        <v>69</v>
      </c>
      <c r="E56" s="40" t="s">
        <v>69</v>
      </c>
      <c r="F56" s="40" t="s">
        <v>69</v>
      </c>
      <c r="G56" s="40" t="s">
        <v>69</v>
      </c>
      <c r="H56" s="40" t="s">
        <v>69</v>
      </c>
      <c r="I56" s="40" t="s">
        <v>69</v>
      </c>
      <c r="J56" s="40" t="s">
        <v>69</v>
      </c>
      <c r="K56" s="40" t="s">
        <v>69</v>
      </c>
      <c r="L56" s="40" t="s">
        <v>69</v>
      </c>
      <c r="M56" s="40" t="s">
        <v>69</v>
      </c>
      <c r="N56" s="40" t="s">
        <v>69</v>
      </c>
      <c r="O56" s="40" t="s">
        <v>69</v>
      </c>
      <c r="P56" s="40" t="s">
        <v>69</v>
      </c>
      <c r="Q56" s="40" t="s">
        <v>69</v>
      </c>
      <c r="R56" s="40" t="s">
        <v>69</v>
      </c>
      <c r="S56" s="40" t="s">
        <v>69</v>
      </c>
      <c r="T56" s="40" t="s">
        <v>69</v>
      </c>
      <c r="U56" s="40" t="s">
        <v>69</v>
      </c>
      <c r="V56" s="40" t="s">
        <v>69</v>
      </c>
      <c r="W56" s="40" t="s">
        <v>69</v>
      </c>
      <c r="X56" s="40" t="s">
        <v>69</v>
      </c>
      <c r="Y56" s="40" t="s">
        <v>69</v>
      </c>
      <c r="Z56" s="40" t="s">
        <v>69</v>
      </c>
      <c r="AA56" s="40" t="s">
        <v>69</v>
      </c>
      <c r="AB56" s="40" t="s">
        <v>69</v>
      </c>
      <c r="AC56" s="40" t="s">
        <v>69</v>
      </c>
      <c r="AD56" s="40" t="s">
        <v>69</v>
      </c>
      <c r="AE56" s="40" t="s">
        <v>69</v>
      </c>
      <c r="AF56" s="40" t="s">
        <v>69</v>
      </c>
      <c r="AG56" s="40" t="s">
        <v>69</v>
      </c>
      <c r="AH56" s="40" t="s">
        <v>69</v>
      </c>
      <c r="AI56" s="40" t="s">
        <v>69</v>
      </c>
      <c r="AJ56" s="22"/>
      <c r="AL56" t="str">
        <f t="shared" ca="1" si="0"/>
        <v xml:space="preserve">    (U1)ALERT_REQ_H_ACDCSUP_</v>
      </c>
      <c r="AR56" s="42" t="str">
        <f t="shared" si="3"/>
        <v/>
      </c>
      <c r="AS56" s="42" t="str">
        <f t="shared" si="4"/>
        <v/>
      </c>
      <c r="AT56" s="42" t="str">
        <f t="shared" si="1"/>
        <v/>
      </c>
    </row>
    <row r="57" spans="2:46">
      <c r="B57" s="104"/>
      <c r="C57" s="26">
        <f t="shared" si="2"/>
        <v>51</v>
      </c>
      <c r="D57" s="40" t="s">
        <v>69</v>
      </c>
      <c r="E57" s="40" t="s">
        <v>69</v>
      </c>
      <c r="F57" s="40" t="s">
        <v>69</v>
      </c>
      <c r="G57" s="40" t="s">
        <v>69</v>
      </c>
      <c r="H57" s="40" t="s">
        <v>69</v>
      </c>
      <c r="I57" s="40" t="s">
        <v>69</v>
      </c>
      <c r="J57" s="40" t="s">
        <v>69</v>
      </c>
      <c r="K57" s="40" t="s">
        <v>69</v>
      </c>
      <c r="L57" s="40" t="s">
        <v>69</v>
      </c>
      <c r="M57" s="40" t="s">
        <v>69</v>
      </c>
      <c r="N57" s="40" t="s">
        <v>69</v>
      </c>
      <c r="O57" s="40" t="s">
        <v>69</v>
      </c>
      <c r="P57" s="40" t="s">
        <v>69</v>
      </c>
      <c r="Q57" s="40" t="s">
        <v>69</v>
      </c>
      <c r="R57" s="40" t="s">
        <v>69</v>
      </c>
      <c r="S57" s="40" t="s">
        <v>69</v>
      </c>
      <c r="T57" s="40" t="s">
        <v>69</v>
      </c>
      <c r="U57" s="40" t="s">
        <v>69</v>
      </c>
      <c r="V57" s="40" t="s">
        <v>69</v>
      </c>
      <c r="W57" s="40" t="s">
        <v>69</v>
      </c>
      <c r="X57" s="40" t="s">
        <v>69</v>
      </c>
      <c r="Y57" s="40" t="s">
        <v>69</v>
      </c>
      <c r="Z57" s="40" t="s">
        <v>69</v>
      </c>
      <c r="AA57" s="40" t="s">
        <v>69</v>
      </c>
      <c r="AB57" s="40" t="s">
        <v>69</v>
      </c>
      <c r="AC57" s="40" t="s">
        <v>69</v>
      </c>
      <c r="AD57" s="40" t="s">
        <v>69</v>
      </c>
      <c r="AE57" s="40" t="s">
        <v>69</v>
      </c>
      <c r="AF57" s="40" t="s">
        <v>69</v>
      </c>
      <c r="AG57" s="40" t="s">
        <v>69</v>
      </c>
      <c r="AH57" s="40" t="s">
        <v>69</v>
      </c>
      <c r="AI57" s="40" t="s">
        <v>69</v>
      </c>
      <c r="AJ57" s="22"/>
      <c r="AL57" t="str">
        <f t="shared" ca="1" si="0"/>
        <v xml:space="preserve">    (U1)ALERT_REQ_H_ACDCSUP_</v>
      </c>
      <c r="AR57" s="42" t="str">
        <f t="shared" si="3"/>
        <v/>
      </c>
      <c r="AS57" s="42" t="str">
        <f t="shared" si="4"/>
        <v/>
      </c>
      <c r="AT57" s="42" t="str">
        <f t="shared" si="1"/>
        <v/>
      </c>
    </row>
    <row r="58" spans="2:46">
      <c r="B58" s="104"/>
      <c r="C58" s="26">
        <f t="shared" si="2"/>
        <v>52</v>
      </c>
      <c r="D58" s="40" t="s">
        <v>69</v>
      </c>
      <c r="E58" s="40" t="s">
        <v>69</v>
      </c>
      <c r="F58" s="40" t="s">
        <v>69</v>
      </c>
      <c r="G58" s="40" t="s">
        <v>69</v>
      </c>
      <c r="H58" s="40" t="s">
        <v>69</v>
      </c>
      <c r="I58" s="40" t="s">
        <v>69</v>
      </c>
      <c r="J58" s="40" t="s">
        <v>69</v>
      </c>
      <c r="K58" s="40" t="s">
        <v>69</v>
      </c>
      <c r="L58" s="40" t="s">
        <v>69</v>
      </c>
      <c r="M58" s="40" t="s">
        <v>69</v>
      </c>
      <c r="N58" s="40" t="s">
        <v>69</v>
      </c>
      <c r="O58" s="40" t="s">
        <v>69</v>
      </c>
      <c r="P58" s="40" t="s">
        <v>69</v>
      </c>
      <c r="Q58" s="40" t="s">
        <v>69</v>
      </c>
      <c r="R58" s="40" t="s">
        <v>69</v>
      </c>
      <c r="S58" s="40" t="s">
        <v>69</v>
      </c>
      <c r="T58" s="40" t="s">
        <v>69</v>
      </c>
      <c r="U58" s="40" t="s">
        <v>69</v>
      </c>
      <c r="V58" s="40" t="s">
        <v>69</v>
      </c>
      <c r="W58" s="40" t="s">
        <v>69</v>
      </c>
      <c r="X58" s="40" t="s">
        <v>69</v>
      </c>
      <c r="Y58" s="40" t="s">
        <v>69</v>
      </c>
      <c r="Z58" s="40" t="s">
        <v>69</v>
      </c>
      <c r="AA58" s="40" t="s">
        <v>69</v>
      </c>
      <c r="AB58" s="40" t="s">
        <v>69</v>
      </c>
      <c r="AC58" s="40" t="s">
        <v>69</v>
      </c>
      <c r="AD58" s="40" t="s">
        <v>69</v>
      </c>
      <c r="AE58" s="40" t="s">
        <v>69</v>
      </c>
      <c r="AF58" s="40" t="s">
        <v>69</v>
      </c>
      <c r="AG58" s="40" t="s">
        <v>69</v>
      </c>
      <c r="AH58" s="40" t="s">
        <v>69</v>
      </c>
      <c r="AI58" s="40" t="s">
        <v>69</v>
      </c>
      <c r="AJ58" s="22"/>
      <c r="AL58" t="str">
        <f t="shared" ca="1" si="0"/>
        <v xml:space="preserve">    (U1)ALERT_REQ_H_ACDCSUP_</v>
      </c>
      <c r="AR58" s="42" t="str">
        <f t="shared" si="3"/>
        <v/>
      </c>
      <c r="AS58" s="42" t="str">
        <f t="shared" si="4"/>
        <v/>
      </c>
      <c r="AT58" s="42" t="str">
        <f t="shared" si="1"/>
        <v/>
      </c>
    </row>
    <row r="59" spans="2:46">
      <c r="B59" s="104"/>
      <c r="C59" s="26">
        <f t="shared" si="2"/>
        <v>53</v>
      </c>
      <c r="D59" s="40" t="s">
        <v>69</v>
      </c>
      <c r="E59" s="40" t="s">
        <v>69</v>
      </c>
      <c r="F59" s="40" t="s">
        <v>69</v>
      </c>
      <c r="G59" s="40" t="s">
        <v>69</v>
      </c>
      <c r="H59" s="40" t="s">
        <v>69</v>
      </c>
      <c r="I59" s="40" t="s">
        <v>69</v>
      </c>
      <c r="J59" s="40" t="s">
        <v>69</v>
      </c>
      <c r="K59" s="40" t="s">
        <v>69</v>
      </c>
      <c r="L59" s="40" t="s">
        <v>69</v>
      </c>
      <c r="M59" s="40" t="s">
        <v>69</v>
      </c>
      <c r="N59" s="40" t="s">
        <v>69</v>
      </c>
      <c r="O59" s="40" t="s">
        <v>69</v>
      </c>
      <c r="P59" s="40" t="s">
        <v>69</v>
      </c>
      <c r="Q59" s="40" t="s">
        <v>69</v>
      </c>
      <c r="R59" s="40" t="s">
        <v>69</v>
      </c>
      <c r="S59" s="40" t="s">
        <v>69</v>
      </c>
      <c r="T59" s="40" t="s">
        <v>69</v>
      </c>
      <c r="U59" s="40" t="s">
        <v>69</v>
      </c>
      <c r="V59" s="40" t="s">
        <v>69</v>
      </c>
      <c r="W59" s="40" t="s">
        <v>69</v>
      </c>
      <c r="X59" s="40" t="s">
        <v>69</v>
      </c>
      <c r="Y59" s="40" t="s">
        <v>69</v>
      </c>
      <c r="Z59" s="40" t="s">
        <v>69</v>
      </c>
      <c r="AA59" s="40" t="s">
        <v>69</v>
      </c>
      <c r="AB59" s="40" t="s">
        <v>69</v>
      </c>
      <c r="AC59" s="40" t="s">
        <v>69</v>
      </c>
      <c r="AD59" s="40" t="s">
        <v>69</v>
      </c>
      <c r="AE59" s="40" t="s">
        <v>69</v>
      </c>
      <c r="AF59" s="40" t="s">
        <v>69</v>
      </c>
      <c r="AG59" s="40" t="s">
        <v>69</v>
      </c>
      <c r="AH59" s="40" t="s">
        <v>69</v>
      </c>
      <c r="AI59" s="40" t="s">
        <v>69</v>
      </c>
      <c r="AJ59" s="22"/>
      <c r="AL59" t="str">
        <f t="shared" ca="1" si="0"/>
        <v xml:space="preserve">    (U1)ALERT_REQ_H_ACDCSUP_</v>
      </c>
      <c r="AR59" s="42" t="str">
        <f t="shared" si="3"/>
        <v/>
      </c>
      <c r="AS59" s="42" t="str">
        <f t="shared" si="4"/>
        <v/>
      </c>
      <c r="AT59" s="42" t="str">
        <f t="shared" si="1"/>
        <v/>
      </c>
    </row>
    <row r="60" spans="2:46">
      <c r="B60" s="104"/>
      <c r="C60" s="26">
        <f t="shared" si="2"/>
        <v>54</v>
      </c>
      <c r="D60" s="40" t="s">
        <v>69</v>
      </c>
      <c r="E60" s="40" t="s">
        <v>69</v>
      </c>
      <c r="F60" s="40" t="s">
        <v>69</v>
      </c>
      <c r="G60" s="40" t="s">
        <v>69</v>
      </c>
      <c r="H60" s="40" t="s">
        <v>69</v>
      </c>
      <c r="I60" s="40" t="s">
        <v>69</v>
      </c>
      <c r="J60" s="40" t="s">
        <v>69</v>
      </c>
      <c r="K60" s="40" t="s">
        <v>69</v>
      </c>
      <c r="L60" s="40" t="s">
        <v>69</v>
      </c>
      <c r="M60" s="40" t="s">
        <v>69</v>
      </c>
      <c r="N60" s="40" t="s">
        <v>69</v>
      </c>
      <c r="O60" s="40" t="s">
        <v>69</v>
      </c>
      <c r="P60" s="40" t="s">
        <v>69</v>
      </c>
      <c r="Q60" s="40" t="s">
        <v>69</v>
      </c>
      <c r="R60" s="40" t="s">
        <v>69</v>
      </c>
      <c r="S60" s="40" t="s">
        <v>69</v>
      </c>
      <c r="T60" s="40" t="s">
        <v>69</v>
      </c>
      <c r="U60" s="40" t="s">
        <v>69</v>
      </c>
      <c r="V60" s="40" t="s">
        <v>69</v>
      </c>
      <c r="W60" s="40" t="s">
        <v>69</v>
      </c>
      <c r="X60" s="40" t="s">
        <v>69</v>
      </c>
      <c r="Y60" s="40" t="s">
        <v>69</v>
      </c>
      <c r="Z60" s="40" t="s">
        <v>69</v>
      </c>
      <c r="AA60" s="40" t="s">
        <v>69</v>
      </c>
      <c r="AB60" s="40" t="s">
        <v>69</v>
      </c>
      <c r="AC60" s="40" t="s">
        <v>69</v>
      </c>
      <c r="AD60" s="40" t="s">
        <v>69</v>
      </c>
      <c r="AE60" s="40" t="s">
        <v>69</v>
      </c>
      <c r="AF60" s="40" t="s">
        <v>69</v>
      </c>
      <c r="AG60" s="40" t="s">
        <v>69</v>
      </c>
      <c r="AH60" s="40" t="s">
        <v>69</v>
      </c>
      <c r="AI60" s="40" t="s">
        <v>69</v>
      </c>
      <c r="AJ60" s="22"/>
      <c r="AL60" t="str">
        <f t="shared" ca="1" si="0"/>
        <v xml:space="preserve">    (U1)ALERT_REQ_H_ACDCSUP_</v>
      </c>
      <c r="AR60" s="42" t="str">
        <f t="shared" si="3"/>
        <v/>
      </c>
      <c r="AS60" s="42" t="str">
        <f t="shared" si="4"/>
        <v/>
      </c>
      <c r="AT60" s="42" t="str">
        <f t="shared" si="1"/>
        <v/>
      </c>
    </row>
    <row r="61" spans="2:46">
      <c r="B61" s="104"/>
      <c r="C61" s="26">
        <f t="shared" si="2"/>
        <v>55</v>
      </c>
      <c r="D61" s="40" t="s">
        <v>69</v>
      </c>
      <c r="E61" s="40" t="s">
        <v>69</v>
      </c>
      <c r="F61" s="40" t="s">
        <v>69</v>
      </c>
      <c r="G61" s="40" t="s">
        <v>69</v>
      </c>
      <c r="H61" s="40" t="s">
        <v>69</v>
      </c>
      <c r="I61" s="40" t="s">
        <v>69</v>
      </c>
      <c r="J61" s="40" t="s">
        <v>69</v>
      </c>
      <c r="K61" s="40" t="s">
        <v>69</v>
      </c>
      <c r="L61" s="40" t="s">
        <v>69</v>
      </c>
      <c r="M61" s="40" t="s">
        <v>69</v>
      </c>
      <c r="N61" s="40" t="s">
        <v>69</v>
      </c>
      <c r="O61" s="40" t="s">
        <v>69</v>
      </c>
      <c r="P61" s="40" t="s">
        <v>69</v>
      </c>
      <c r="Q61" s="40" t="s">
        <v>69</v>
      </c>
      <c r="R61" s="40" t="s">
        <v>69</v>
      </c>
      <c r="S61" s="40" t="s">
        <v>69</v>
      </c>
      <c r="T61" s="40" t="s">
        <v>69</v>
      </c>
      <c r="U61" s="40" t="s">
        <v>69</v>
      </c>
      <c r="V61" s="40" t="s">
        <v>69</v>
      </c>
      <c r="W61" s="40" t="s">
        <v>69</v>
      </c>
      <c r="X61" s="40" t="s">
        <v>69</v>
      </c>
      <c r="Y61" s="40" t="s">
        <v>69</v>
      </c>
      <c r="Z61" s="40" t="s">
        <v>69</v>
      </c>
      <c r="AA61" s="40" t="s">
        <v>69</v>
      </c>
      <c r="AB61" s="40" t="s">
        <v>69</v>
      </c>
      <c r="AC61" s="40" t="s">
        <v>69</v>
      </c>
      <c r="AD61" s="40" t="s">
        <v>69</v>
      </c>
      <c r="AE61" s="40" t="s">
        <v>69</v>
      </c>
      <c r="AF61" s="40" t="s">
        <v>69</v>
      </c>
      <c r="AG61" s="40" t="s">
        <v>69</v>
      </c>
      <c r="AH61" s="40" t="s">
        <v>69</v>
      </c>
      <c r="AI61" s="40" t="s">
        <v>69</v>
      </c>
      <c r="AJ61" s="22"/>
      <c r="AL61" t="str">
        <f t="shared" ca="1" si="0"/>
        <v xml:space="preserve">    (U1)ALERT_REQ_H_ACDCSUP_</v>
      </c>
      <c r="AR61" s="42" t="str">
        <f t="shared" si="3"/>
        <v/>
      </c>
      <c r="AS61" s="42" t="str">
        <f t="shared" si="4"/>
        <v/>
      </c>
      <c r="AT61" s="42" t="str">
        <f t="shared" si="1"/>
        <v/>
      </c>
    </row>
    <row r="62" spans="2:46">
      <c r="B62" s="104"/>
      <c r="C62" s="26">
        <f t="shared" si="2"/>
        <v>56</v>
      </c>
      <c r="D62" s="40" t="s">
        <v>69</v>
      </c>
      <c r="E62" s="40" t="s">
        <v>69</v>
      </c>
      <c r="F62" s="40" t="s">
        <v>69</v>
      </c>
      <c r="G62" s="40" t="s">
        <v>69</v>
      </c>
      <c r="H62" s="40" t="s">
        <v>69</v>
      </c>
      <c r="I62" s="40" t="s">
        <v>69</v>
      </c>
      <c r="J62" s="40" t="s">
        <v>69</v>
      </c>
      <c r="K62" s="40" t="s">
        <v>69</v>
      </c>
      <c r="L62" s="40" t="s">
        <v>69</v>
      </c>
      <c r="M62" s="40" t="s">
        <v>69</v>
      </c>
      <c r="N62" s="40" t="s">
        <v>69</v>
      </c>
      <c r="O62" s="40" t="s">
        <v>69</v>
      </c>
      <c r="P62" s="40" t="s">
        <v>69</v>
      </c>
      <c r="Q62" s="40" t="s">
        <v>69</v>
      </c>
      <c r="R62" s="40" t="s">
        <v>69</v>
      </c>
      <c r="S62" s="40" t="s">
        <v>69</v>
      </c>
      <c r="T62" s="40" t="s">
        <v>69</v>
      </c>
      <c r="U62" s="40" t="s">
        <v>69</v>
      </c>
      <c r="V62" s="40" t="s">
        <v>69</v>
      </c>
      <c r="W62" s="40" t="s">
        <v>69</v>
      </c>
      <c r="X62" s="40" t="s">
        <v>69</v>
      </c>
      <c r="Y62" s="40" t="s">
        <v>69</v>
      </c>
      <c r="Z62" s="40" t="s">
        <v>69</v>
      </c>
      <c r="AA62" s="40" t="s">
        <v>69</v>
      </c>
      <c r="AB62" s="40" t="s">
        <v>69</v>
      </c>
      <c r="AC62" s="40" t="s">
        <v>69</v>
      </c>
      <c r="AD62" s="40" t="s">
        <v>69</v>
      </c>
      <c r="AE62" s="40" t="s">
        <v>69</v>
      </c>
      <c r="AF62" s="40" t="s">
        <v>69</v>
      </c>
      <c r="AG62" s="40" t="s">
        <v>69</v>
      </c>
      <c r="AH62" s="40" t="s">
        <v>69</v>
      </c>
      <c r="AI62" s="40" t="s">
        <v>69</v>
      </c>
      <c r="AJ62" s="22"/>
      <c r="AL62" t="str">
        <f t="shared" ca="1" si="0"/>
        <v xml:space="preserve">    (U1)ALERT_REQ_H_ACDCSUP_</v>
      </c>
      <c r="AR62" s="42" t="str">
        <f t="shared" si="3"/>
        <v/>
      </c>
      <c r="AS62" s="42" t="str">
        <f t="shared" si="4"/>
        <v/>
      </c>
      <c r="AT62" s="42" t="str">
        <f t="shared" si="1"/>
        <v/>
      </c>
    </row>
    <row r="63" spans="2:46">
      <c r="B63" s="104"/>
      <c r="C63" s="26">
        <f t="shared" si="2"/>
        <v>57</v>
      </c>
      <c r="D63" s="40" t="s">
        <v>69</v>
      </c>
      <c r="E63" s="40" t="s">
        <v>69</v>
      </c>
      <c r="F63" s="40" t="s">
        <v>69</v>
      </c>
      <c r="G63" s="40" t="s">
        <v>69</v>
      </c>
      <c r="H63" s="40" t="s">
        <v>69</v>
      </c>
      <c r="I63" s="40" t="s">
        <v>69</v>
      </c>
      <c r="J63" s="40" t="s">
        <v>69</v>
      </c>
      <c r="K63" s="40" t="s">
        <v>69</v>
      </c>
      <c r="L63" s="40" t="s">
        <v>69</v>
      </c>
      <c r="M63" s="40" t="s">
        <v>69</v>
      </c>
      <c r="N63" s="40" t="s">
        <v>69</v>
      </c>
      <c r="O63" s="40" t="s">
        <v>69</v>
      </c>
      <c r="P63" s="40" t="s">
        <v>69</v>
      </c>
      <c r="Q63" s="40" t="s">
        <v>69</v>
      </c>
      <c r="R63" s="40" t="s">
        <v>69</v>
      </c>
      <c r="S63" s="40" t="s">
        <v>69</v>
      </c>
      <c r="T63" s="40" t="s">
        <v>69</v>
      </c>
      <c r="U63" s="40" t="s">
        <v>69</v>
      </c>
      <c r="V63" s="40" t="s">
        <v>69</v>
      </c>
      <c r="W63" s="40" t="s">
        <v>69</v>
      </c>
      <c r="X63" s="40" t="s">
        <v>69</v>
      </c>
      <c r="Y63" s="40" t="s">
        <v>69</v>
      </c>
      <c r="Z63" s="40" t="s">
        <v>69</v>
      </c>
      <c r="AA63" s="40" t="s">
        <v>69</v>
      </c>
      <c r="AB63" s="40" t="s">
        <v>69</v>
      </c>
      <c r="AC63" s="40" t="s">
        <v>69</v>
      </c>
      <c r="AD63" s="40" t="s">
        <v>69</v>
      </c>
      <c r="AE63" s="40" t="s">
        <v>69</v>
      </c>
      <c r="AF63" s="40" t="s">
        <v>69</v>
      </c>
      <c r="AG63" s="40" t="s">
        <v>69</v>
      </c>
      <c r="AH63" s="40" t="s">
        <v>69</v>
      </c>
      <c r="AI63" s="40" t="s">
        <v>69</v>
      </c>
      <c r="AJ63" s="22"/>
      <c r="AL63" t="str">
        <f t="shared" ca="1" si="0"/>
        <v xml:space="preserve">    (U1)ALERT_REQ_H_ACDCSUP_</v>
      </c>
      <c r="AR63" s="42" t="str">
        <f t="shared" si="3"/>
        <v/>
      </c>
      <c r="AS63" s="42" t="str">
        <f t="shared" si="4"/>
        <v/>
      </c>
      <c r="AT63" s="42" t="str">
        <f t="shared" si="1"/>
        <v/>
      </c>
    </row>
    <row r="64" spans="2:46">
      <c r="B64" s="104"/>
      <c r="C64" s="26">
        <f t="shared" si="2"/>
        <v>58</v>
      </c>
      <c r="D64" s="40" t="s">
        <v>69</v>
      </c>
      <c r="E64" s="40" t="s">
        <v>69</v>
      </c>
      <c r="F64" s="40" t="s">
        <v>69</v>
      </c>
      <c r="G64" s="40" t="s">
        <v>69</v>
      </c>
      <c r="H64" s="40" t="s">
        <v>69</v>
      </c>
      <c r="I64" s="40" t="s">
        <v>69</v>
      </c>
      <c r="J64" s="40" t="s">
        <v>69</v>
      </c>
      <c r="K64" s="40" t="s">
        <v>69</v>
      </c>
      <c r="L64" s="40" t="s">
        <v>69</v>
      </c>
      <c r="M64" s="40" t="s">
        <v>69</v>
      </c>
      <c r="N64" s="40" t="s">
        <v>69</v>
      </c>
      <c r="O64" s="40" t="s">
        <v>69</v>
      </c>
      <c r="P64" s="40" t="s">
        <v>69</v>
      </c>
      <c r="Q64" s="40" t="s">
        <v>69</v>
      </c>
      <c r="R64" s="40" t="s">
        <v>69</v>
      </c>
      <c r="S64" s="40" t="s">
        <v>69</v>
      </c>
      <c r="T64" s="40" t="s">
        <v>69</v>
      </c>
      <c r="U64" s="40" t="s">
        <v>69</v>
      </c>
      <c r="V64" s="40" t="s">
        <v>69</v>
      </c>
      <c r="W64" s="40" t="s">
        <v>69</v>
      </c>
      <c r="X64" s="40" t="s">
        <v>69</v>
      </c>
      <c r="Y64" s="40" t="s">
        <v>69</v>
      </c>
      <c r="Z64" s="40" t="s">
        <v>69</v>
      </c>
      <c r="AA64" s="40" t="s">
        <v>69</v>
      </c>
      <c r="AB64" s="40" t="s">
        <v>69</v>
      </c>
      <c r="AC64" s="40" t="s">
        <v>69</v>
      </c>
      <c r="AD64" s="40" t="s">
        <v>69</v>
      </c>
      <c r="AE64" s="40" t="s">
        <v>69</v>
      </c>
      <c r="AF64" s="40" t="s">
        <v>69</v>
      </c>
      <c r="AG64" s="40" t="s">
        <v>69</v>
      </c>
      <c r="AH64" s="40" t="s">
        <v>69</v>
      </c>
      <c r="AI64" s="40" t="s">
        <v>69</v>
      </c>
      <c r="AJ64" s="22"/>
      <c r="AL64" t="str">
        <f t="shared" ca="1" si="0"/>
        <v xml:space="preserve">    (U1)ALERT_REQ_H_ACDCSUP_</v>
      </c>
      <c r="AR64" s="42" t="str">
        <f t="shared" si="3"/>
        <v/>
      </c>
      <c r="AS64" s="42" t="str">
        <f t="shared" si="4"/>
        <v/>
      </c>
      <c r="AT64" s="42" t="str">
        <f t="shared" si="1"/>
        <v/>
      </c>
    </row>
    <row r="65" spans="1:46">
      <c r="B65" s="104"/>
      <c r="C65" s="26">
        <f t="shared" si="2"/>
        <v>59</v>
      </c>
      <c r="D65" s="40" t="s">
        <v>69</v>
      </c>
      <c r="E65" s="40" t="s">
        <v>69</v>
      </c>
      <c r="F65" s="40" t="s">
        <v>69</v>
      </c>
      <c r="G65" s="40" t="s">
        <v>69</v>
      </c>
      <c r="H65" s="40" t="s">
        <v>69</v>
      </c>
      <c r="I65" s="40" t="s">
        <v>69</v>
      </c>
      <c r="J65" s="40" t="s">
        <v>69</v>
      </c>
      <c r="K65" s="40" t="s">
        <v>69</v>
      </c>
      <c r="L65" s="40" t="s">
        <v>69</v>
      </c>
      <c r="M65" s="40" t="s">
        <v>69</v>
      </c>
      <c r="N65" s="40" t="s">
        <v>69</v>
      </c>
      <c r="O65" s="40" t="s">
        <v>69</v>
      </c>
      <c r="P65" s="40" t="s">
        <v>69</v>
      </c>
      <c r="Q65" s="40" t="s">
        <v>69</v>
      </c>
      <c r="R65" s="40" t="s">
        <v>69</v>
      </c>
      <c r="S65" s="40" t="s">
        <v>69</v>
      </c>
      <c r="T65" s="40" t="s">
        <v>69</v>
      </c>
      <c r="U65" s="40" t="s">
        <v>69</v>
      </c>
      <c r="V65" s="40" t="s">
        <v>69</v>
      </c>
      <c r="W65" s="40" t="s">
        <v>69</v>
      </c>
      <c r="X65" s="40" t="s">
        <v>69</v>
      </c>
      <c r="Y65" s="40" t="s">
        <v>69</v>
      </c>
      <c r="Z65" s="40" t="s">
        <v>69</v>
      </c>
      <c r="AA65" s="40" t="s">
        <v>69</v>
      </c>
      <c r="AB65" s="40" t="s">
        <v>69</v>
      </c>
      <c r="AC65" s="40" t="s">
        <v>69</v>
      </c>
      <c r="AD65" s="40" t="s">
        <v>69</v>
      </c>
      <c r="AE65" s="40" t="s">
        <v>69</v>
      </c>
      <c r="AF65" s="40" t="s">
        <v>69</v>
      </c>
      <c r="AG65" s="40" t="s">
        <v>69</v>
      </c>
      <c r="AH65" s="40" t="s">
        <v>69</v>
      </c>
      <c r="AI65" s="40" t="s">
        <v>69</v>
      </c>
      <c r="AJ65" s="22"/>
      <c r="AL65" t="str">
        <f t="shared" ca="1" si="0"/>
        <v xml:space="preserve">    (U1)ALERT_REQ_H_ACDCSUP_</v>
      </c>
      <c r="AR65" s="42" t="str">
        <f t="shared" si="3"/>
        <v/>
      </c>
      <c r="AS65" s="42" t="str">
        <f t="shared" si="4"/>
        <v/>
      </c>
      <c r="AT65" s="42" t="str">
        <f t="shared" si="1"/>
        <v/>
      </c>
    </row>
    <row r="66" spans="1:46">
      <c r="B66" s="104"/>
      <c r="C66" s="26">
        <f t="shared" si="2"/>
        <v>60</v>
      </c>
      <c r="D66" s="40" t="s">
        <v>69</v>
      </c>
      <c r="E66" s="40" t="s">
        <v>69</v>
      </c>
      <c r="F66" s="40" t="s">
        <v>69</v>
      </c>
      <c r="G66" s="40" t="s">
        <v>69</v>
      </c>
      <c r="H66" s="40" t="s">
        <v>69</v>
      </c>
      <c r="I66" s="40" t="s">
        <v>69</v>
      </c>
      <c r="J66" s="40" t="s">
        <v>69</v>
      </c>
      <c r="K66" s="40" t="s">
        <v>69</v>
      </c>
      <c r="L66" s="40" t="s">
        <v>69</v>
      </c>
      <c r="M66" s="40" t="s">
        <v>69</v>
      </c>
      <c r="N66" s="40" t="s">
        <v>69</v>
      </c>
      <c r="O66" s="40" t="s">
        <v>69</v>
      </c>
      <c r="P66" s="40" t="s">
        <v>69</v>
      </c>
      <c r="Q66" s="40" t="s">
        <v>69</v>
      </c>
      <c r="R66" s="40" t="s">
        <v>69</v>
      </c>
      <c r="S66" s="40" t="s">
        <v>69</v>
      </c>
      <c r="T66" s="40" t="s">
        <v>69</v>
      </c>
      <c r="U66" s="40" t="s">
        <v>69</v>
      </c>
      <c r="V66" s="40" t="s">
        <v>69</v>
      </c>
      <c r="W66" s="40" t="s">
        <v>69</v>
      </c>
      <c r="X66" s="40" t="s">
        <v>69</v>
      </c>
      <c r="Y66" s="40" t="s">
        <v>69</v>
      </c>
      <c r="Z66" s="40" t="s">
        <v>69</v>
      </c>
      <c r="AA66" s="40" t="s">
        <v>69</v>
      </c>
      <c r="AB66" s="40" t="s">
        <v>69</v>
      </c>
      <c r="AC66" s="40" t="s">
        <v>69</v>
      </c>
      <c r="AD66" s="40" t="s">
        <v>69</v>
      </c>
      <c r="AE66" s="40" t="s">
        <v>69</v>
      </c>
      <c r="AF66" s="40" t="s">
        <v>69</v>
      </c>
      <c r="AG66" s="40" t="s">
        <v>69</v>
      </c>
      <c r="AH66" s="40" t="s">
        <v>69</v>
      </c>
      <c r="AI66" s="40" t="s">
        <v>69</v>
      </c>
      <c r="AJ66" s="22"/>
      <c r="AL66" t="str">
        <f t="shared" ca="1" si="0"/>
        <v xml:space="preserve">    (U1)ALERT_REQ_H_ACDCSUP_</v>
      </c>
      <c r="AR66" s="42" t="str">
        <f t="shared" si="3"/>
        <v/>
      </c>
      <c r="AS66" s="42" t="str">
        <f t="shared" si="4"/>
        <v/>
      </c>
      <c r="AT66" s="42" t="str">
        <f t="shared" si="1"/>
        <v/>
      </c>
    </row>
    <row r="67" spans="1:46">
      <c r="B67" s="104"/>
      <c r="C67" s="26">
        <f t="shared" si="2"/>
        <v>61</v>
      </c>
      <c r="D67" s="40" t="s">
        <v>69</v>
      </c>
      <c r="E67" s="40" t="s">
        <v>69</v>
      </c>
      <c r="F67" s="40" t="s">
        <v>69</v>
      </c>
      <c r="G67" s="40" t="s">
        <v>69</v>
      </c>
      <c r="H67" s="40" t="s">
        <v>69</v>
      </c>
      <c r="I67" s="40" t="s">
        <v>69</v>
      </c>
      <c r="J67" s="40" t="s">
        <v>69</v>
      </c>
      <c r="K67" s="40" t="s">
        <v>69</v>
      </c>
      <c r="L67" s="40" t="s">
        <v>69</v>
      </c>
      <c r="M67" s="40" t="s">
        <v>69</v>
      </c>
      <c r="N67" s="40" t="s">
        <v>69</v>
      </c>
      <c r="O67" s="40" t="s">
        <v>69</v>
      </c>
      <c r="P67" s="40" t="s">
        <v>69</v>
      </c>
      <c r="Q67" s="40" t="s">
        <v>69</v>
      </c>
      <c r="R67" s="40" t="s">
        <v>69</v>
      </c>
      <c r="S67" s="40" t="s">
        <v>69</v>
      </c>
      <c r="T67" s="40" t="s">
        <v>69</v>
      </c>
      <c r="U67" s="40" t="s">
        <v>69</v>
      </c>
      <c r="V67" s="40" t="s">
        <v>69</v>
      </c>
      <c r="W67" s="40" t="s">
        <v>69</v>
      </c>
      <c r="X67" s="40" t="s">
        <v>69</v>
      </c>
      <c r="Y67" s="40" t="s">
        <v>69</v>
      </c>
      <c r="Z67" s="40" t="s">
        <v>69</v>
      </c>
      <c r="AA67" s="40" t="s">
        <v>69</v>
      </c>
      <c r="AB67" s="40" t="s">
        <v>69</v>
      </c>
      <c r="AC67" s="40" t="s">
        <v>69</v>
      </c>
      <c r="AD67" s="40" t="s">
        <v>69</v>
      </c>
      <c r="AE67" s="40" t="s">
        <v>69</v>
      </c>
      <c r="AF67" s="40" t="s">
        <v>69</v>
      </c>
      <c r="AG67" s="40" t="s">
        <v>69</v>
      </c>
      <c r="AH67" s="40" t="s">
        <v>69</v>
      </c>
      <c r="AI67" s="40" t="s">
        <v>69</v>
      </c>
      <c r="AJ67" s="22"/>
      <c r="AL67" t="str">
        <f t="shared" ca="1" si="0"/>
        <v xml:space="preserve">    (U1)ALERT_REQ_H_ACDCSUP_</v>
      </c>
      <c r="AR67" s="42" t="str">
        <f t="shared" si="3"/>
        <v/>
      </c>
      <c r="AS67" s="42" t="str">
        <f t="shared" si="4"/>
        <v/>
      </c>
      <c r="AT67" s="42" t="str">
        <f t="shared" si="1"/>
        <v/>
      </c>
    </row>
    <row r="68" spans="1:46">
      <c r="B68" s="104"/>
      <c r="C68" s="26">
        <f t="shared" si="2"/>
        <v>62</v>
      </c>
      <c r="D68" s="40" t="s">
        <v>69</v>
      </c>
      <c r="E68" s="40" t="s">
        <v>69</v>
      </c>
      <c r="F68" s="40" t="s">
        <v>69</v>
      </c>
      <c r="G68" s="40" t="s">
        <v>69</v>
      </c>
      <c r="H68" s="40" t="s">
        <v>69</v>
      </c>
      <c r="I68" s="40" t="s">
        <v>69</v>
      </c>
      <c r="J68" s="40" t="s">
        <v>69</v>
      </c>
      <c r="K68" s="40" t="s">
        <v>69</v>
      </c>
      <c r="L68" s="40" t="s">
        <v>69</v>
      </c>
      <c r="M68" s="40" t="s">
        <v>69</v>
      </c>
      <c r="N68" s="40" t="s">
        <v>69</v>
      </c>
      <c r="O68" s="40" t="s">
        <v>69</v>
      </c>
      <c r="P68" s="40" t="s">
        <v>69</v>
      </c>
      <c r="Q68" s="40" t="s">
        <v>69</v>
      </c>
      <c r="R68" s="40" t="s">
        <v>69</v>
      </c>
      <c r="S68" s="40" t="s">
        <v>69</v>
      </c>
      <c r="T68" s="40" t="s">
        <v>69</v>
      </c>
      <c r="U68" s="40" t="s">
        <v>69</v>
      </c>
      <c r="V68" s="40" t="s">
        <v>69</v>
      </c>
      <c r="W68" s="40" t="s">
        <v>69</v>
      </c>
      <c r="X68" s="40" t="s">
        <v>69</v>
      </c>
      <c r="Y68" s="40" t="s">
        <v>69</v>
      </c>
      <c r="Z68" s="40" t="s">
        <v>69</v>
      </c>
      <c r="AA68" s="40" t="s">
        <v>69</v>
      </c>
      <c r="AB68" s="40" t="s">
        <v>69</v>
      </c>
      <c r="AC68" s="40" t="s">
        <v>69</v>
      </c>
      <c r="AD68" s="40" t="s">
        <v>69</v>
      </c>
      <c r="AE68" s="40" t="s">
        <v>69</v>
      </c>
      <c r="AF68" s="40" t="s">
        <v>69</v>
      </c>
      <c r="AG68" s="40" t="s">
        <v>69</v>
      </c>
      <c r="AH68" s="40" t="s">
        <v>69</v>
      </c>
      <c r="AI68" s="40" t="s">
        <v>69</v>
      </c>
      <c r="AJ68" s="22"/>
      <c r="AL68" t="str">
        <f t="shared" ca="1" si="0"/>
        <v xml:space="preserve">    (U1)ALERT_REQ_H_ACDCSUP_</v>
      </c>
      <c r="AR68" s="42" t="str">
        <f t="shared" si="3"/>
        <v/>
      </c>
      <c r="AS68" s="42" t="str">
        <f t="shared" si="4"/>
        <v/>
      </c>
      <c r="AT68" s="42" t="str">
        <f t="shared" si="1"/>
        <v/>
      </c>
    </row>
    <row r="69" spans="1:46">
      <c r="B69" s="105"/>
      <c r="C69" s="26">
        <f t="shared" si="2"/>
        <v>63</v>
      </c>
      <c r="D69" s="40" t="s">
        <v>69</v>
      </c>
      <c r="E69" s="40" t="s">
        <v>69</v>
      </c>
      <c r="F69" s="40" t="s">
        <v>69</v>
      </c>
      <c r="G69" s="40" t="s">
        <v>69</v>
      </c>
      <c r="H69" s="40" t="s">
        <v>69</v>
      </c>
      <c r="I69" s="40" t="s">
        <v>69</v>
      </c>
      <c r="J69" s="40" t="s">
        <v>69</v>
      </c>
      <c r="K69" s="40" t="s">
        <v>69</v>
      </c>
      <c r="L69" s="40" t="s">
        <v>69</v>
      </c>
      <c r="M69" s="40" t="s">
        <v>69</v>
      </c>
      <c r="N69" s="40" t="s">
        <v>69</v>
      </c>
      <c r="O69" s="40" t="s">
        <v>69</v>
      </c>
      <c r="P69" s="40" t="s">
        <v>69</v>
      </c>
      <c r="Q69" s="40" t="s">
        <v>69</v>
      </c>
      <c r="R69" s="40" t="s">
        <v>69</v>
      </c>
      <c r="S69" s="40" t="s">
        <v>69</v>
      </c>
      <c r="T69" s="40" t="s">
        <v>69</v>
      </c>
      <c r="U69" s="40" t="s">
        <v>69</v>
      </c>
      <c r="V69" s="40" t="s">
        <v>69</v>
      </c>
      <c r="W69" s="40" t="s">
        <v>69</v>
      </c>
      <c r="X69" s="40" t="s">
        <v>69</v>
      </c>
      <c r="Y69" s="40" t="s">
        <v>69</v>
      </c>
      <c r="Z69" s="40" t="s">
        <v>69</v>
      </c>
      <c r="AA69" s="40" t="s">
        <v>69</v>
      </c>
      <c r="AB69" s="40" t="s">
        <v>69</v>
      </c>
      <c r="AC69" s="40" t="s">
        <v>69</v>
      </c>
      <c r="AD69" s="40" t="s">
        <v>69</v>
      </c>
      <c r="AE69" s="40" t="s">
        <v>69</v>
      </c>
      <c r="AF69" s="40" t="s">
        <v>69</v>
      </c>
      <c r="AG69" s="40" t="s">
        <v>69</v>
      </c>
      <c r="AH69" s="40" t="s">
        <v>69</v>
      </c>
      <c r="AI69" s="40" t="s">
        <v>69</v>
      </c>
      <c r="AJ69" s="22"/>
      <c r="AL69" t="str">
        <f t="shared" ca="1" si="0"/>
        <v xml:space="preserve">    (U1)ALERT_REQ_H_ACDCSUP_</v>
      </c>
      <c r="AR69" s="42" t="str">
        <f t="shared" si="3"/>
        <v/>
      </c>
      <c r="AS69" s="42" t="str">
        <f t="shared" si="4"/>
        <v/>
      </c>
      <c r="AT69" s="42" t="str">
        <f t="shared" si="1"/>
        <v/>
      </c>
    </row>
    <row r="70" spans="1:46" ht="14.25" thickBot="1">
      <c r="A70" s="35" t="s">
        <v>66</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3"/>
        <v/>
      </c>
      <c r="AS70" s="43" t="str">
        <f t="shared" si="4"/>
        <v/>
      </c>
      <c r="AT70" s="43" t="str">
        <f t="shared" ref="AT70" si="5">IF(AJ70&lt;&gt;"",AL70&amp;IF(AJ71&lt;&gt;"",","," ")&amp;REPT(" ",78-LEN(AL70))&amp;"/* "&amp;IF(C70&lt;10,"0"&amp;C70,C70)&amp;" "&amp;AJ70&amp;REPT(" ",48-LEN(AJ70))&amp;"*/",IF(AJ69&lt;&gt;"","};",""))</f>
        <v/>
      </c>
    </row>
    <row r="71" spans="1:46">
      <c r="B71" s="106" t="str">
        <f ca="1">IF(B6&lt;&gt;"",B6,"")</f>
        <v>Table H_ACDCSUP</v>
      </c>
      <c r="C71" s="26">
        <f>IF(C6&lt;&gt;"",C6,"")</f>
        <v>0</v>
      </c>
      <c r="D71" s="96">
        <f t="shared" ref="D71:AI78" si="6">IF(D6=1,1,0)</f>
        <v>0</v>
      </c>
      <c r="E71" s="96">
        <f t="shared" si="6"/>
        <v>0</v>
      </c>
      <c r="F71" s="96">
        <f t="shared" si="6"/>
        <v>0</v>
      </c>
      <c r="G71" s="96">
        <f t="shared" si="6"/>
        <v>0</v>
      </c>
      <c r="H71" s="96">
        <f t="shared" si="6"/>
        <v>0</v>
      </c>
      <c r="I71" s="96">
        <f t="shared" si="6"/>
        <v>0</v>
      </c>
      <c r="J71" s="96">
        <f>IF(J6=1,1,0)</f>
        <v>1</v>
      </c>
      <c r="K71" s="96">
        <f>IF(K6=1,1,0)</f>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IF(AA6=1,1,0)</f>
        <v>1</v>
      </c>
      <c r="AB71" s="96">
        <f>IF(AB6=1,1,0)</f>
        <v>0</v>
      </c>
      <c r="AC71" s="96">
        <f t="shared" si="6"/>
        <v>1</v>
      </c>
      <c r="AD71" s="96">
        <f t="shared" si="6"/>
        <v>0</v>
      </c>
      <c r="AE71" s="96">
        <f t="shared" si="6"/>
        <v>0</v>
      </c>
      <c r="AF71" s="96">
        <f t="shared" si="6"/>
        <v>0</v>
      </c>
      <c r="AG71" s="96">
        <f t="shared" si="6"/>
        <v>0</v>
      </c>
      <c r="AH71" s="96">
        <f t="shared" si="6"/>
        <v>0</v>
      </c>
      <c r="AI71" s="96">
        <f t="shared" si="6"/>
        <v>1</v>
      </c>
      <c r="AJ71" s="26" t="str">
        <f t="shared" ref="AJ71:AJ134" si="7">IF(AJ6&lt;&gt;"",AJ6,"")</f>
        <v>BAT_DRAIN</v>
      </c>
      <c r="AK71" s="39"/>
      <c r="AL71" s="39" t="str">
        <f>BIN2HEX(AB71&amp;AC71&amp;AD71&amp;AE71&amp;AF71&amp;AG71&amp;AH71&amp;AI71,2)</f>
        <v>41</v>
      </c>
      <c r="AM71" s="41" t="str">
        <f>BIN2HEX(T71&amp;U71&amp;V71&amp;W71&amp;X71&amp;Y71&amp;Z71&amp;AA71,2)</f>
        <v>01</v>
      </c>
      <c r="AN71" s="41" t="str">
        <f>BIN2HEX(L71&amp;M71&amp;N71&amp;O71&amp;P71&amp;Q71&amp;R71&amp;S71,2)</f>
        <v>00</v>
      </c>
      <c r="AO71" s="41" t="str">
        <f>BIN2HEX(D71&amp;E71&amp;F71&amp;G71&amp;H71&amp;I71&amp;J71&amp;K71,2)</f>
        <v>02</v>
      </c>
      <c r="AQ71" t="str">
        <f t="shared" ref="AQ71:AQ134" si="8">IF(AJ71="","","    (U4)0x"&amp;AO71&amp;AN71&amp;AM71&amp;AL71&amp;"U"&amp;IF(AJ72=""," ",",")&amp;REPT(" ",59)&amp;"/* "&amp;IF(C71&lt;10,"0"&amp;C71,C71)&amp;" "&amp;AJ71&amp;REPT(" ",47-LEN(AJ71))&amp;" */")</f>
        <v xml:space="preserve">    (U4)0x02000141U,                                                           /* 00 BAT_DRAIN                                       */</v>
      </c>
    </row>
    <row r="72" spans="1:46">
      <c r="B72" s="104"/>
      <c r="C72" s="26">
        <f t="shared" ref="C72:C134" si="9">IF(C7&lt;&gt;"",C7,"")</f>
        <v>1</v>
      </c>
      <c r="D72" s="96">
        <f t="shared" si="6"/>
        <v>0</v>
      </c>
      <c r="E72" s="96">
        <f t="shared" si="6"/>
        <v>0</v>
      </c>
      <c r="F72" s="96">
        <f t="shared" si="6"/>
        <v>0</v>
      </c>
      <c r="G72" s="96">
        <f t="shared" si="6"/>
        <v>0</v>
      </c>
      <c r="H72" s="96">
        <f t="shared" si="6"/>
        <v>0</v>
      </c>
      <c r="I72" s="96">
        <f t="shared" si="6"/>
        <v>0</v>
      </c>
      <c r="J72" s="96">
        <f>IF(J7=1,1,0)</f>
        <v>1</v>
      </c>
      <c r="K72" s="96">
        <f>IF(K7=1,1,0)</f>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IF(AA7=1,1,0)</f>
        <v>1</v>
      </c>
      <c r="AB72" s="96">
        <f>IF(AB7=1,1,0)</f>
        <v>0</v>
      </c>
      <c r="AC72" s="96">
        <f t="shared" si="6"/>
        <v>1</v>
      </c>
      <c r="AD72" s="96">
        <f t="shared" si="6"/>
        <v>0</v>
      </c>
      <c r="AE72" s="96">
        <f t="shared" si="6"/>
        <v>0</v>
      </c>
      <c r="AF72" s="96">
        <f t="shared" si="6"/>
        <v>0</v>
      </c>
      <c r="AG72" s="96">
        <f t="shared" si="6"/>
        <v>0</v>
      </c>
      <c r="AH72" s="96">
        <f t="shared" si="6"/>
        <v>1</v>
      </c>
      <c r="AI72" s="96">
        <f t="shared" si="6"/>
        <v>0</v>
      </c>
      <c r="AJ72" s="26" t="str">
        <f t="shared" si="7"/>
        <v>NO_FUEL</v>
      </c>
      <c r="AK72" s="39"/>
      <c r="AL72" s="39" t="str">
        <f t="shared" ref="AL72:AL134" si="10">BIN2HEX(AB72&amp;AC72&amp;AD72&amp;AE72&amp;AF72&amp;AG72&amp;AH72&amp;AI72,2)</f>
        <v>42</v>
      </c>
      <c r="AM72" s="41" t="str">
        <f t="shared" ref="AM72:AM134" si="11">BIN2HEX(T72&amp;U72&amp;V72&amp;W72&amp;X72&amp;Y72&amp;Z72&amp;AA72,2)</f>
        <v>01</v>
      </c>
      <c r="AN72" s="41" t="str">
        <f t="shared" ref="AN72:AN134" si="12">BIN2HEX(L72&amp;M72&amp;N72&amp;O72&amp;P72&amp;Q72&amp;R72&amp;S72,2)</f>
        <v>00</v>
      </c>
      <c r="AO72" s="41" t="str">
        <f t="shared" ref="AO72:AO134" si="13">BIN2HEX(D72&amp;E72&amp;F72&amp;G72&amp;H72&amp;I72&amp;J72&amp;K72,2)</f>
        <v>02</v>
      </c>
      <c r="AQ72" t="str">
        <f t="shared" si="8"/>
        <v xml:space="preserve">    (U4)0x02000142U,                                                           /* 01 NO_FUEL                                         */</v>
      </c>
    </row>
    <row r="73" spans="1:46">
      <c r="B73" s="104"/>
      <c r="C73" s="26">
        <f t="shared" si="9"/>
        <v>2</v>
      </c>
      <c r="D73" s="96">
        <f t="shared" si="6"/>
        <v>0</v>
      </c>
      <c r="E73" s="96">
        <f t="shared" si="6"/>
        <v>0</v>
      </c>
      <c r="F73" s="96">
        <f t="shared" si="6"/>
        <v>0</v>
      </c>
      <c r="G73" s="96">
        <f t="shared" si="6"/>
        <v>0</v>
      </c>
      <c r="H73" s="96">
        <f t="shared" si="6"/>
        <v>0</v>
      </c>
      <c r="I73" s="96">
        <f t="shared" si="6"/>
        <v>0</v>
      </c>
      <c r="J73" s="96">
        <f t="shared" si="6"/>
        <v>1</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1</v>
      </c>
      <c r="AB73" s="96">
        <f t="shared" si="6"/>
        <v>0</v>
      </c>
      <c r="AC73" s="96">
        <f t="shared" si="6"/>
        <v>1</v>
      </c>
      <c r="AD73" s="96">
        <f t="shared" si="6"/>
        <v>0</v>
      </c>
      <c r="AE73" s="96">
        <f t="shared" si="6"/>
        <v>0</v>
      </c>
      <c r="AF73" s="96">
        <f t="shared" si="6"/>
        <v>1</v>
      </c>
      <c r="AG73" s="96">
        <f t="shared" si="6"/>
        <v>0</v>
      </c>
      <c r="AH73" s="96">
        <f t="shared" si="6"/>
        <v>0</v>
      </c>
      <c r="AI73" s="96">
        <f t="shared" si="6"/>
        <v>1</v>
      </c>
      <c r="AJ73" s="26" t="str">
        <f t="shared" si="7"/>
        <v>EXPOW</v>
      </c>
      <c r="AK73" s="39"/>
      <c r="AL73" s="39" t="str">
        <f t="shared" si="10"/>
        <v>49</v>
      </c>
      <c r="AM73" s="41" t="str">
        <f t="shared" si="11"/>
        <v>01</v>
      </c>
      <c r="AN73" s="41" t="str">
        <f t="shared" si="12"/>
        <v>00</v>
      </c>
      <c r="AO73" s="41" t="str">
        <f t="shared" si="13"/>
        <v>02</v>
      </c>
      <c r="AQ73" t="str">
        <f t="shared" si="8"/>
        <v xml:space="preserve">    (U4)0x02000149U,                                                           /* 02 EXPOW                                           */</v>
      </c>
    </row>
    <row r="74" spans="1:46">
      <c r="B74" s="104"/>
      <c r="C74" s="26">
        <f t="shared" si="9"/>
        <v>3</v>
      </c>
      <c r="D74" s="96">
        <f t="shared" si="6"/>
        <v>0</v>
      </c>
      <c r="E74" s="96">
        <f t="shared" si="6"/>
        <v>0</v>
      </c>
      <c r="F74" s="96">
        <f t="shared" si="6"/>
        <v>0</v>
      </c>
      <c r="G74" s="96">
        <f t="shared" si="6"/>
        <v>0</v>
      </c>
      <c r="H74" s="96">
        <f t="shared" si="6"/>
        <v>0</v>
      </c>
      <c r="I74" s="96">
        <f t="shared" si="6"/>
        <v>0</v>
      </c>
      <c r="J74" s="96">
        <f t="shared" si="6"/>
        <v>1</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1</v>
      </c>
      <c r="AB74" s="96">
        <f t="shared" si="6"/>
        <v>0</v>
      </c>
      <c r="AC74" s="96">
        <f t="shared" si="6"/>
        <v>1</v>
      </c>
      <c r="AD74" s="96">
        <f t="shared" si="6"/>
        <v>0</v>
      </c>
      <c r="AE74" s="96">
        <f t="shared" si="6"/>
        <v>0</v>
      </c>
      <c r="AF74" s="96">
        <f t="shared" si="6"/>
        <v>1</v>
      </c>
      <c r="AG74" s="96">
        <f t="shared" si="6"/>
        <v>0</v>
      </c>
      <c r="AH74" s="96">
        <f t="shared" si="6"/>
        <v>1</v>
      </c>
      <c r="AI74" s="96">
        <f t="shared" si="6"/>
        <v>0</v>
      </c>
      <c r="AJ74" s="26" t="str">
        <f t="shared" si="7"/>
        <v>EXPOW_VEH</v>
      </c>
      <c r="AK74" s="39"/>
      <c r="AL74" s="39" t="str">
        <f t="shared" si="10"/>
        <v>4A</v>
      </c>
      <c r="AM74" s="41" t="str">
        <f t="shared" si="11"/>
        <v>01</v>
      </c>
      <c r="AN74" s="41" t="str">
        <f t="shared" si="12"/>
        <v>00</v>
      </c>
      <c r="AO74" s="41" t="str">
        <f t="shared" si="13"/>
        <v>02</v>
      </c>
      <c r="AQ74" t="str">
        <f t="shared" si="8"/>
        <v xml:space="preserve">    (U4)0x0200014AU                                                            /* 03 EXPOW_VEH                                       */</v>
      </c>
    </row>
    <row r="75" spans="1:46">
      <c r="B75" s="104"/>
      <c r="C75" s="26">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0</v>
      </c>
      <c r="AH75" s="96">
        <f t="shared" si="6"/>
        <v>0</v>
      </c>
      <c r="AI75" s="96">
        <f t="shared" si="6"/>
        <v>0</v>
      </c>
      <c r="AJ75" s="26" t="str">
        <f t="shared" si="7"/>
        <v/>
      </c>
      <c r="AK75" s="39"/>
      <c r="AL75" s="39" t="str">
        <f t="shared" si="10"/>
        <v>00</v>
      </c>
      <c r="AM75" s="41" t="str">
        <f t="shared" si="11"/>
        <v>00</v>
      </c>
      <c r="AN75" s="41" t="str">
        <f t="shared" si="12"/>
        <v>00</v>
      </c>
      <c r="AO75" s="41" t="str">
        <f t="shared" si="13"/>
        <v>00</v>
      </c>
      <c r="AQ75" t="str">
        <f t="shared" si="8"/>
        <v/>
      </c>
    </row>
    <row r="76" spans="1:46">
      <c r="B76" s="104"/>
      <c r="C76" s="26">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0</v>
      </c>
      <c r="AH76" s="96">
        <f t="shared" si="6"/>
        <v>0</v>
      </c>
      <c r="AI76" s="96">
        <f t="shared" si="6"/>
        <v>0</v>
      </c>
      <c r="AJ76" s="26" t="str">
        <f t="shared" si="7"/>
        <v/>
      </c>
      <c r="AK76" s="39"/>
      <c r="AL76" s="39" t="str">
        <f t="shared" si="10"/>
        <v>00</v>
      </c>
      <c r="AM76" s="41" t="str">
        <f t="shared" si="11"/>
        <v>00</v>
      </c>
      <c r="AN76" s="41" t="str">
        <f t="shared" si="12"/>
        <v>00</v>
      </c>
      <c r="AO76" s="41" t="str">
        <f t="shared" si="13"/>
        <v>00</v>
      </c>
      <c r="AQ76" t="str">
        <f t="shared" si="8"/>
        <v/>
      </c>
    </row>
    <row r="77" spans="1:46">
      <c r="B77" s="104"/>
      <c r="C77" s="26">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0</v>
      </c>
      <c r="AH77" s="96">
        <f t="shared" si="6"/>
        <v>0</v>
      </c>
      <c r="AI77" s="96">
        <f t="shared" si="6"/>
        <v>0</v>
      </c>
      <c r="AJ77" s="26" t="str">
        <f t="shared" si="7"/>
        <v/>
      </c>
      <c r="AK77" s="39"/>
      <c r="AL77" s="39" t="str">
        <f t="shared" si="10"/>
        <v>00</v>
      </c>
      <c r="AM77" s="41" t="str">
        <f t="shared" si="11"/>
        <v>00</v>
      </c>
      <c r="AN77" s="41" t="str">
        <f t="shared" si="12"/>
        <v>00</v>
      </c>
      <c r="AO77" s="41" t="str">
        <f t="shared" si="13"/>
        <v>00</v>
      </c>
      <c r="AQ77" t="str">
        <f t="shared" si="8"/>
        <v/>
      </c>
    </row>
    <row r="78" spans="1:46">
      <c r="B78" s="104"/>
      <c r="C78" s="26">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0</v>
      </c>
      <c r="AH78" s="96">
        <f t="shared" si="6"/>
        <v>0</v>
      </c>
      <c r="AI78" s="96">
        <f t="shared" ref="AI78" si="14">IF(AI13=1,1,0)</f>
        <v>0</v>
      </c>
      <c r="AJ78" s="26" t="str">
        <f t="shared" si="7"/>
        <v/>
      </c>
      <c r="AK78" s="39"/>
      <c r="AL78" s="39" t="str">
        <f t="shared" si="10"/>
        <v>00</v>
      </c>
      <c r="AM78" s="41" t="str">
        <f t="shared" si="11"/>
        <v>00</v>
      </c>
      <c r="AN78" s="41" t="str">
        <f t="shared" si="12"/>
        <v>00</v>
      </c>
      <c r="AO78" s="41" t="str">
        <f t="shared" si="13"/>
        <v>00</v>
      </c>
      <c r="AQ78" t="str">
        <f t="shared" si="8"/>
        <v/>
      </c>
    </row>
    <row r="79" spans="1:46">
      <c r="B79" s="104"/>
      <c r="C79" s="26">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0</v>
      </c>
      <c r="AG79" s="96">
        <f t="shared" si="15"/>
        <v>0</v>
      </c>
      <c r="AH79" s="96">
        <f t="shared" si="15"/>
        <v>0</v>
      </c>
      <c r="AI79" s="96">
        <f t="shared" si="15"/>
        <v>0</v>
      </c>
      <c r="AJ79" s="26" t="str">
        <f t="shared" si="7"/>
        <v/>
      </c>
      <c r="AK79" s="39"/>
      <c r="AL79" s="39" t="str">
        <f t="shared" si="10"/>
        <v>00</v>
      </c>
      <c r="AM79" s="41" t="str">
        <f t="shared" si="11"/>
        <v>00</v>
      </c>
      <c r="AN79" s="41" t="str">
        <f t="shared" si="12"/>
        <v>00</v>
      </c>
      <c r="AO79" s="41" t="str">
        <f t="shared" si="13"/>
        <v>00</v>
      </c>
      <c r="AQ79" t="str">
        <f t="shared" si="8"/>
        <v/>
      </c>
    </row>
    <row r="80" spans="1:46">
      <c r="B80" s="104"/>
      <c r="C80" s="26">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0</v>
      </c>
      <c r="AG80" s="96">
        <f t="shared" si="15"/>
        <v>0</v>
      </c>
      <c r="AH80" s="96">
        <f t="shared" si="15"/>
        <v>0</v>
      </c>
      <c r="AI80" s="96">
        <f t="shared" si="15"/>
        <v>0</v>
      </c>
      <c r="AJ80" s="26" t="str">
        <f t="shared" si="7"/>
        <v/>
      </c>
      <c r="AK80" s="39"/>
      <c r="AL80" s="39" t="str">
        <f t="shared" si="10"/>
        <v>00</v>
      </c>
      <c r="AM80" s="41" t="str">
        <f t="shared" si="11"/>
        <v>00</v>
      </c>
      <c r="AN80" s="41" t="str">
        <f t="shared" si="12"/>
        <v>00</v>
      </c>
      <c r="AO80" s="41" t="str">
        <f t="shared" si="13"/>
        <v>00</v>
      </c>
      <c r="AQ80" t="str">
        <f t="shared" si="8"/>
        <v/>
      </c>
    </row>
    <row r="81" spans="2:43">
      <c r="B81" s="104"/>
      <c r="C81" s="26">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0</v>
      </c>
      <c r="AG81" s="96">
        <f t="shared" si="15"/>
        <v>0</v>
      </c>
      <c r="AH81" s="96">
        <f t="shared" si="15"/>
        <v>0</v>
      </c>
      <c r="AI81" s="96">
        <f t="shared" si="15"/>
        <v>0</v>
      </c>
      <c r="AJ81" s="26" t="str">
        <f t="shared" si="7"/>
        <v/>
      </c>
      <c r="AK81" s="39"/>
      <c r="AL81" s="39" t="str">
        <f t="shared" si="10"/>
        <v>00</v>
      </c>
      <c r="AM81" s="41" t="str">
        <f t="shared" si="11"/>
        <v>00</v>
      </c>
      <c r="AN81" s="41" t="str">
        <f t="shared" si="12"/>
        <v>00</v>
      </c>
      <c r="AO81" s="41" t="str">
        <f t="shared" si="13"/>
        <v>00</v>
      </c>
      <c r="AQ81" t="str">
        <f t="shared" si="8"/>
        <v/>
      </c>
    </row>
    <row r="82" spans="2:43">
      <c r="B82" s="104"/>
      <c r="C82" s="26">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0</v>
      </c>
      <c r="AG82" s="96">
        <f t="shared" si="15"/>
        <v>0</v>
      </c>
      <c r="AH82" s="96">
        <f t="shared" si="15"/>
        <v>0</v>
      </c>
      <c r="AI82" s="96">
        <f t="shared" si="15"/>
        <v>0</v>
      </c>
      <c r="AJ82" s="26" t="str">
        <f t="shared" si="7"/>
        <v/>
      </c>
      <c r="AK82" s="39"/>
      <c r="AL82" s="39" t="str">
        <f t="shared" si="10"/>
        <v>00</v>
      </c>
      <c r="AM82" s="41" t="str">
        <f t="shared" si="11"/>
        <v>00</v>
      </c>
      <c r="AN82" s="41" t="str">
        <f t="shared" si="12"/>
        <v>00</v>
      </c>
      <c r="AO82" s="41" t="str">
        <f t="shared" si="13"/>
        <v>00</v>
      </c>
      <c r="AQ82" t="str">
        <f t="shared" si="8"/>
        <v/>
      </c>
    </row>
    <row r="83" spans="2:43">
      <c r="B83" s="104"/>
      <c r="C83" s="26">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0</v>
      </c>
      <c r="AG83" s="96">
        <f t="shared" si="15"/>
        <v>0</v>
      </c>
      <c r="AH83" s="96">
        <f t="shared" si="15"/>
        <v>0</v>
      </c>
      <c r="AI83" s="96">
        <f t="shared" si="15"/>
        <v>0</v>
      </c>
      <c r="AJ83" s="26" t="str">
        <f t="shared" si="7"/>
        <v/>
      </c>
      <c r="AK83" s="39"/>
      <c r="AL83" s="39" t="str">
        <f t="shared" si="10"/>
        <v>00</v>
      </c>
      <c r="AM83" s="41" t="str">
        <f t="shared" si="11"/>
        <v>00</v>
      </c>
      <c r="AN83" s="41" t="str">
        <f t="shared" si="12"/>
        <v>00</v>
      </c>
      <c r="AO83" s="41" t="str">
        <f t="shared" si="13"/>
        <v>00</v>
      </c>
      <c r="AQ83" t="str">
        <f t="shared" si="8"/>
        <v/>
      </c>
    </row>
    <row r="84" spans="2:43">
      <c r="B84" s="104"/>
      <c r="C84" s="26">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0</v>
      </c>
      <c r="AG84" s="96">
        <f t="shared" si="15"/>
        <v>0</v>
      </c>
      <c r="AH84" s="96">
        <f t="shared" si="15"/>
        <v>0</v>
      </c>
      <c r="AI84" s="96">
        <f t="shared" si="15"/>
        <v>0</v>
      </c>
      <c r="AJ84" s="26" t="str">
        <f t="shared" si="7"/>
        <v/>
      </c>
      <c r="AK84" s="39"/>
      <c r="AL84" s="39" t="str">
        <f t="shared" si="10"/>
        <v>00</v>
      </c>
      <c r="AM84" s="41" t="str">
        <f t="shared" si="11"/>
        <v>00</v>
      </c>
      <c r="AN84" s="41" t="str">
        <f t="shared" si="12"/>
        <v>00</v>
      </c>
      <c r="AO84" s="41" t="str">
        <f t="shared" si="13"/>
        <v>00</v>
      </c>
      <c r="AQ84" t="str">
        <f t="shared" si="8"/>
        <v/>
      </c>
    </row>
    <row r="85" spans="2:43">
      <c r="B85" s="104"/>
      <c r="C85" s="26">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0</v>
      </c>
      <c r="AG85" s="96">
        <f t="shared" si="15"/>
        <v>0</v>
      </c>
      <c r="AH85" s="96">
        <f t="shared" si="15"/>
        <v>0</v>
      </c>
      <c r="AI85" s="96">
        <f t="shared" si="15"/>
        <v>0</v>
      </c>
      <c r="AJ85" s="26" t="str">
        <f t="shared" si="7"/>
        <v/>
      </c>
      <c r="AK85" s="39"/>
      <c r="AL85" s="39" t="str">
        <f t="shared" si="10"/>
        <v>00</v>
      </c>
      <c r="AM85" s="41" t="str">
        <f t="shared" si="11"/>
        <v>00</v>
      </c>
      <c r="AN85" s="41" t="str">
        <f t="shared" si="12"/>
        <v>00</v>
      </c>
      <c r="AO85" s="41" t="str">
        <f t="shared" si="13"/>
        <v>00</v>
      </c>
      <c r="AQ85" t="str">
        <f t="shared" si="8"/>
        <v/>
      </c>
    </row>
    <row r="86" spans="2:43">
      <c r="B86" s="104"/>
      <c r="C86" s="26">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0</v>
      </c>
      <c r="AG86" s="96">
        <f t="shared" si="15"/>
        <v>0</v>
      </c>
      <c r="AH86" s="96">
        <f t="shared" si="15"/>
        <v>0</v>
      </c>
      <c r="AI86" s="96">
        <f t="shared" ref="AI86" si="16">IF(AI21=1,1,0)</f>
        <v>0</v>
      </c>
      <c r="AJ86" s="26" t="str">
        <f t="shared" si="7"/>
        <v/>
      </c>
      <c r="AK86" s="39"/>
      <c r="AL86" s="39" t="str">
        <f t="shared" si="10"/>
        <v>00</v>
      </c>
      <c r="AM86" s="41" t="str">
        <f t="shared" si="11"/>
        <v>00</v>
      </c>
      <c r="AN86" s="41" t="str">
        <f t="shared" si="12"/>
        <v>00</v>
      </c>
      <c r="AO86" s="41" t="str">
        <f t="shared" si="13"/>
        <v>00</v>
      </c>
      <c r="AQ86" t="str">
        <f t="shared" si="8"/>
        <v/>
      </c>
    </row>
    <row r="87" spans="2:43">
      <c r="B87" s="104"/>
      <c r="C87" s="26">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0</v>
      </c>
      <c r="AF87" s="96">
        <f t="shared" si="17"/>
        <v>0</v>
      </c>
      <c r="AG87" s="96">
        <f t="shared" si="17"/>
        <v>0</v>
      </c>
      <c r="AH87" s="96">
        <f t="shared" si="17"/>
        <v>0</v>
      </c>
      <c r="AI87" s="96">
        <f t="shared" si="17"/>
        <v>0</v>
      </c>
      <c r="AJ87" s="26" t="str">
        <f t="shared" si="7"/>
        <v/>
      </c>
      <c r="AK87" s="39"/>
      <c r="AL87" s="39" t="str">
        <f t="shared" si="10"/>
        <v>00</v>
      </c>
      <c r="AM87" s="41" t="str">
        <f t="shared" si="11"/>
        <v>00</v>
      </c>
      <c r="AN87" s="41" t="str">
        <f t="shared" si="12"/>
        <v>00</v>
      </c>
      <c r="AO87" s="41" t="str">
        <f t="shared" si="13"/>
        <v>00</v>
      </c>
      <c r="AQ87" t="str">
        <f t="shared" si="8"/>
        <v/>
      </c>
    </row>
    <row r="88" spans="2:43">
      <c r="B88" s="104"/>
      <c r="C88" s="26">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0</v>
      </c>
      <c r="AF88" s="96">
        <f t="shared" si="17"/>
        <v>0</v>
      </c>
      <c r="AG88" s="96">
        <f t="shared" si="17"/>
        <v>0</v>
      </c>
      <c r="AH88" s="96">
        <f t="shared" si="17"/>
        <v>0</v>
      </c>
      <c r="AI88" s="96">
        <f t="shared" si="17"/>
        <v>0</v>
      </c>
      <c r="AJ88" s="26" t="str">
        <f t="shared" si="7"/>
        <v/>
      </c>
      <c r="AK88" s="39"/>
      <c r="AL88" s="39" t="str">
        <f t="shared" si="10"/>
        <v>00</v>
      </c>
      <c r="AM88" s="41" t="str">
        <f t="shared" si="11"/>
        <v>00</v>
      </c>
      <c r="AN88" s="41" t="str">
        <f t="shared" si="12"/>
        <v>00</v>
      </c>
      <c r="AO88" s="41" t="str">
        <f t="shared" si="13"/>
        <v>00</v>
      </c>
      <c r="AQ88" t="str">
        <f t="shared" si="8"/>
        <v/>
      </c>
    </row>
    <row r="89" spans="2:43">
      <c r="B89" s="104"/>
      <c r="C89" s="26">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0</v>
      </c>
      <c r="AF89" s="96">
        <f t="shared" si="17"/>
        <v>0</v>
      </c>
      <c r="AG89" s="96">
        <f t="shared" si="17"/>
        <v>0</v>
      </c>
      <c r="AH89" s="96">
        <f t="shared" si="17"/>
        <v>0</v>
      </c>
      <c r="AI89" s="96">
        <f t="shared" si="17"/>
        <v>0</v>
      </c>
      <c r="AJ89" s="26" t="str">
        <f t="shared" si="7"/>
        <v/>
      </c>
      <c r="AK89" s="39"/>
      <c r="AL89" s="39" t="str">
        <f t="shared" si="10"/>
        <v>00</v>
      </c>
      <c r="AM89" s="41" t="str">
        <f t="shared" si="11"/>
        <v>00</v>
      </c>
      <c r="AN89" s="41" t="str">
        <f t="shared" si="12"/>
        <v>00</v>
      </c>
      <c r="AO89" s="41" t="str">
        <f t="shared" si="13"/>
        <v>00</v>
      </c>
      <c r="AQ89" t="str">
        <f t="shared" si="8"/>
        <v/>
      </c>
    </row>
    <row r="90" spans="2:43">
      <c r="B90" s="104"/>
      <c r="C90" s="26">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0</v>
      </c>
      <c r="AF90" s="96">
        <f t="shared" si="17"/>
        <v>0</v>
      </c>
      <c r="AG90" s="96">
        <f t="shared" si="17"/>
        <v>0</v>
      </c>
      <c r="AH90" s="96">
        <f t="shared" si="17"/>
        <v>0</v>
      </c>
      <c r="AI90" s="96">
        <f t="shared" si="17"/>
        <v>0</v>
      </c>
      <c r="AJ90" s="26" t="str">
        <f t="shared" si="7"/>
        <v/>
      </c>
      <c r="AK90" s="39"/>
      <c r="AL90" s="39" t="str">
        <f t="shared" si="10"/>
        <v>00</v>
      </c>
      <c r="AM90" s="41" t="str">
        <f t="shared" si="11"/>
        <v>00</v>
      </c>
      <c r="AN90" s="41" t="str">
        <f t="shared" si="12"/>
        <v>00</v>
      </c>
      <c r="AO90" s="41" t="str">
        <f t="shared" si="13"/>
        <v>00</v>
      </c>
      <c r="AQ90" t="str">
        <f t="shared" si="8"/>
        <v/>
      </c>
    </row>
    <row r="91" spans="2:43">
      <c r="B91" s="104"/>
      <c r="C91" s="26">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0</v>
      </c>
      <c r="AF91" s="96">
        <f t="shared" si="17"/>
        <v>0</v>
      </c>
      <c r="AG91" s="96">
        <f t="shared" si="17"/>
        <v>0</v>
      </c>
      <c r="AH91" s="96">
        <f t="shared" si="17"/>
        <v>0</v>
      </c>
      <c r="AI91" s="96">
        <f t="shared" si="17"/>
        <v>0</v>
      </c>
      <c r="AJ91" s="26" t="str">
        <f t="shared" si="7"/>
        <v/>
      </c>
      <c r="AK91" s="39"/>
      <c r="AL91" s="39" t="str">
        <f t="shared" si="10"/>
        <v>00</v>
      </c>
      <c r="AM91" s="41" t="str">
        <f t="shared" si="11"/>
        <v>00</v>
      </c>
      <c r="AN91" s="41" t="str">
        <f t="shared" si="12"/>
        <v>00</v>
      </c>
      <c r="AO91" s="41" t="str">
        <f t="shared" si="13"/>
        <v>00</v>
      </c>
      <c r="AQ91" t="str">
        <f t="shared" si="8"/>
        <v/>
      </c>
    </row>
    <row r="92" spans="2:43">
      <c r="B92" s="104"/>
      <c r="C92" s="26">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0</v>
      </c>
      <c r="AF92" s="96">
        <f t="shared" si="17"/>
        <v>0</v>
      </c>
      <c r="AG92" s="96">
        <f t="shared" si="17"/>
        <v>0</v>
      </c>
      <c r="AH92" s="96">
        <f t="shared" si="17"/>
        <v>0</v>
      </c>
      <c r="AI92" s="96">
        <f t="shared" si="17"/>
        <v>0</v>
      </c>
      <c r="AJ92" s="26" t="str">
        <f t="shared" si="7"/>
        <v/>
      </c>
      <c r="AK92" s="39"/>
      <c r="AL92" s="39" t="str">
        <f t="shared" si="10"/>
        <v>00</v>
      </c>
      <c r="AM92" s="41" t="str">
        <f t="shared" si="11"/>
        <v>00</v>
      </c>
      <c r="AN92" s="41" t="str">
        <f t="shared" si="12"/>
        <v>00</v>
      </c>
      <c r="AO92" s="41" t="str">
        <f t="shared" si="13"/>
        <v>00</v>
      </c>
      <c r="AQ92" t="str">
        <f t="shared" si="8"/>
        <v/>
      </c>
    </row>
    <row r="93" spans="2:43">
      <c r="B93" s="104"/>
      <c r="C93" s="26">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0</v>
      </c>
      <c r="AF93" s="96">
        <f t="shared" si="17"/>
        <v>0</v>
      </c>
      <c r="AG93" s="96">
        <f t="shared" si="17"/>
        <v>0</v>
      </c>
      <c r="AH93" s="96">
        <f t="shared" si="17"/>
        <v>0</v>
      </c>
      <c r="AI93" s="96">
        <f t="shared" si="17"/>
        <v>0</v>
      </c>
      <c r="AJ93" s="26" t="str">
        <f t="shared" si="7"/>
        <v/>
      </c>
      <c r="AK93" s="39"/>
      <c r="AL93" s="39" t="str">
        <f t="shared" si="10"/>
        <v>00</v>
      </c>
      <c r="AM93" s="41" t="str">
        <f t="shared" si="11"/>
        <v>00</v>
      </c>
      <c r="AN93" s="41" t="str">
        <f t="shared" si="12"/>
        <v>00</v>
      </c>
      <c r="AO93" s="41" t="str">
        <f t="shared" si="13"/>
        <v>00</v>
      </c>
      <c r="AQ93" t="str">
        <f t="shared" si="8"/>
        <v/>
      </c>
    </row>
    <row r="94" spans="2:43">
      <c r="B94" s="104"/>
      <c r="C94" s="26">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0</v>
      </c>
      <c r="AF94" s="96">
        <f t="shared" si="17"/>
        <v>0</v>
      </c>
      <c r="AG94" s="96">
        <f t="shared" si="17"/>
        <v>0</v>
      </c>
      <c r="AH94" s="96">
        <f t="shared" si="17"/>
        <v>0</v>
      </c>
      <c r="AI94" s="96">
        <f t="shared" ref="AI94" si="18">IF(AI29=1,1,0)</f>
        <v>0</v>
      </c>
      <c r="AJ94" s="26" t="str">
        <f t="shared" si="7"/>
        <v/>
      </c>
      <c r="AK94" s="39"/>
      <c r="AL94" s="39" t="str">
        <f t="shared" si="10"/>
        <v>00</v>
      </c>
      <c r="AM94" s="41" t="str">
        <f t="shared" si="11"/>
        <v>00</v>
      </c>
      <c r="AN94" s="41" t="str">
        <f t="shared" si="12"/>
        <v>00</v>
      </c>
      <c r="AO94" s="41" t="str">
        <f t="shared" si="13"/>
        <v>00</v>
      </c>
      <c r="AQ94" t="str">
        <f t="shared" si="8"/>
        <v/>
      </c>
    </row>
    <row r="95" spans="2:43">
      <c r="B95" s="104"/>
      <c r="C95" s="26">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0</v>
      </c>
      <c r="AF95" s="96">
        <f t="shared" si="19"/>
        <v>0</v>
      </c>
      <c r="AG95" s="96">
        <f t="shared" si="19"/>
        <v>0</v>
      </c>
      <c r="AH95" s="96">
        <f t="shared" si="19"/>
        <v>0</v>
      </c>
      <c r="AI95" s="96">
        <f t="shared" si="19"/>
        <v>0</v>
      </c>
      <c r="AJ95" s="26" t="str">
        <f t="shared" si="7"/>
        <v/>
      </c>
      <c r="AK95" s="39"/>
      <c r="AL95" s="39" t="str">
        <f t="shared" si="10"/>
        <v>00</v>
      </c>
      <c r="AM95" s="41" t="str">
        <f t="shared" si="11"/>
        <v>00</v>
      </c>
      <c r="AN95" s="41" t="str">
        <f t="shared" si="12"/>
        <v>00</v>
      </c>
      <c r="AO95" s="41" t="str">
        <f t="shared" si="13"/>
        <v>00</v>
      </c>
      <c r="AQ95" t="str">
        <f t="shared" si="8"/>
        <v/>
      </c>
    </row>
    <row r="96" spans="2:43">
      <c r="B96" s="104"/>
      <c r="C96" s="26">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0</v>
      </c>
      <c r="AF96" s="96">
        <f t="shared" si="19"/>
        <v>0</v>
      </c>
      <c r="AG96" s="96">
        <f t="shared" si="19"/>
        <v>0</v>
      </c>
      <c r="AH96" s="96">
        <f t="shared" si="19"/>
        <v>0</v>
      </c>
      <c r="AI96" s="96">
        <f t="shared" si="19"/>
        <v>0</v>
      </c>
      <c r="AJ96" s="26" t="str">
        <f t="shared" si="7"/>
        <v/>
      </c>
      <c r="AK96" s="39"/>
      <c r="AL96" s="39" t="str">
        <f t="shared" si="10"/>
        <v>00</v>
      </c>
      <c r="AM96" s="41" t="str">
        <f t="shared" si="11"/>
        <v>00</v>
      </c>
      <c r="AN96" s="41" t="str">
        <f t="shared" si="12"/>
        <v>00</v>
      </c>
      <c r="AO96" s="41" t="str">
        <f t="shared" si="13"/>
        <v>00</v>
      </c>
      <c r="AQ96" t="str">
        <f t="shared" si="8"/>
        <v/>
      </c>
    </row>
    <row r="97" spans="2:43">
      <c r="B97" s="104"/>
      <c r="C97" s="26">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0</v>
      </c>
      <c r="AF97" s="96">
        <f t="shared" si="19"/>
        <v>0</v>
      </c>
      <c r="AG97" s="96">
        <f t="shared" si="19"/>
        <v>0</v>
      </c>
      <c r="AH97" s="96">
        <f t="shared" si="19"/>
        <v>0</v>
      </c>
      <c r="AI97" s="96">
        <f t="shared" si="19"/>
        <v>0</v>
      </c>
      <c r="AJ97" s="26" t="str">
        <f t="shared" si="7"/>
        <v/>
      </c>
      <c r="AK97" s="39"/>
      <c r="AL97" s="39" t="str">
        <f t="shared" si="10"/>
        <v>00</v>
      </c>
      <c r="AM97" s="41" t="str">
        <f t="shared" si="11"/>
        <v>00</v>
      </c>
      <c r="AN97" s="41" t="str">
        <f t="shared" si="12"/>
        <v>00</v>
      </c>
      <c r="AO97" s="41" t="str">
        <f t="shared" si="13"/>
        <v>00</v>
      </c>
      <c r="AQ97" t="str">
        <f t="shared" si="8"/>
        <v/>
      </c>
    </row>
    <row r="98" spans="2:43">
      <c r="B98" s="104"/>
      <c r="C98" s="26">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0</v>
      </c>
      <c r="AF98" s="96">
        <f t="shared" si="19"/>
        <v>0</v>
      </c>
      <c r="AG98" s="96">
        <f t="shared" si="19"/>
        <v>0</v>
      </c>
      <c r="AH98" s="96">
        <f t="shared" si="19"/>
        <v>0</v>
      </c>
      <c r="AI98" s="96">
        <f t="shared" si="19"/>
        <v>0</v>
      </c>
      <c r="AJ98" s="26" t="str">
        <f t="shared" si="7"/>
        <v/>
      </c>
      <c r="AK98" s="39"/>
      <c r="AL98" s="39" t="str">
        <f t="shared" si="10"/>
        <v>00</v>
      </c>
      <c r="AM98" s="41" t="str">
        <f t="shared" si="11"/>
        <v>00</v>
      </c>
      <c r="AN98" s="41" t="str">
        <f t="shared" si="12"/>
        <v>00</v>
      </c>
      <c r="AO98" s="41" t="str">
        <f t="shared" si="13"/>
        <v>00</v>
      </c>
      <c r="AQ98" t="str">
        <f t="shared" si="8"/>
        <v/>
      </c>
    </row>
    <row r="99" spans="2:43">
      <c r="B99" s="104"/>
      <c r="C99" s="26">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0</v>
      </c>
      <c r="AF99" s="96">
        <f t="shared" si="19"/>
        <v>0</v>
      </c>
      <c r="AG99" s="96">
        <f t="shared" si="19"/>
        <v>0</v>
      </c>
      <c r="AH99" s="96">
        <f t="shared" si="19"/>
        <v>0</v>
      </c>
      <c r="AI99" s="96">
        <f t="shared" si="19"/>
        <v>0</v>
      </c>
      <c r="AJ99" s="26" t="str">
        <f t="shared" si="7"/>
        <v/>
      </c>
      <c r="AK99" s="39"/>
      <c r="AL99" s="39" t="str">
        <f t="shared" si="10"/>
        <v>00</v>
      </c>
      <c r="AM99" s="41" t="str">
        <f t="shared" si="11"/>
        <v>00</v>
      </c>
      <c r="AN99" s="41" t="str">
        <f t="shared" si="12"/>
        <v>00</v>
      </c>
      <c r="AO99" s="41" t="str">
        <f t="shared" si="13"/>
        <v>00</v>
      </c>
      <c r="AQ99" t="str">
        <f t="shared" si="8"/>
        <v/>
      </c>
    </row>
    <row r="100" spans="2:43">
      <c r="B100" s="104"/>
      <c r="C100" s="26">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0</v>
      </c>
      <c r="AF100" s="96">
        <f t="shared" si="19"/>
        <v>0</v>
      </c>
      <c r="AG100" s="96">
        <f t="shared" si="19"/>
        <v>0</v>
      </c>
      <c r="AH100" s="96">
        <f t="shared" si="19"/>
        <v>0</v>
      </c>
      <c r="AI100" s="96">
        <f t="shared" si="19"/>
        <v>0</v>
      </c>
      <c r="AJ100" s="26" t="str">
        <f t="shared" si="7"/>
        <v/>
      </c>
      <c r="AK100" s="39"/>
      <c r="AL100" s="39" t="str">
        <f t="shared" si="10"/>
        <v>00</v>
      </c>
      <c r="AM100" s="41" t="str">
        <f t="shared" si="11"/>
        <v>00</v>
      </c>
      <c r="AN100" s="41" t="str">
        <f t="shared" si="12"/>
        <v>00</v>
      </c>
      <c r="AO100" s="41" t="str">
        <f t="shared" si="13"/>
        <v>00</v>
      </c>
      <c r="AQ100" t="str">
        <f t="shared" si="8"/>
        <v/>
      </c>
    </row>
    <row r="101" spans="2:43">
      <c r="B101" s="104"/>
      <c r="C101" s="26">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0</v>
      </c>
      <c r="AF101" s="96">
        <f t="shared" si="19"/>
        <v>0</v>
      </c>
      <c r="AG101" s="96">
        <f t="shared" si="19"/>
        <v>0</v>
      </c>
      <c r="AH101" s="96">
        <f t="shared" si="19"/>
        <v>0</v>
      </c>
      <c r="AI101" s="96">
        <f t="shared" si="19"/>
        <v>0</v>
      </c>
      <c r="AJ101" s="26" t="str">
        <f t="shared" si="7"/>
        <v/>
      </c>
      <c r="AK101" s="39"/>
      <c r="AL101" s="39" t="str">
        <f t="shared" si="10"/>
        <v>00</v>
      </c>
      <c r="AM101" s="41" t="str">
        <f t="shared" si="11"/>
        <v>00</v>
      </c>
      <c r="AN101" s="41" t="str">
        <f t="shared" si="12"/>
        <v>00</v>
      </c>
      <c r="AO101" s="41" t="str">
        <f t="shared" si="13"/>
        <v>00</v>
      </c>
      <c r="AQ101" t="str">
        <f t="shared" si="8"/>
        <v/>
      </c>
    </row>
    <row r="102" spans="2:43">
      <c r="B102" s="104"/>
      <c r="C102" s="26">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0</v>
      </c>
      <c r="AF102" s="96">
        <f t="shared" si="19"/>
        <v>0</v>
      </c>
      <c r="AG102" s="96">
        <f t="shared" si="19"/>
        <v>0</v>
      </c>
      <c r="AH102" s="96">
        <f t="shared" si="19"/>
        <v>0</v>
      </c>
      <c r="AI102" s="96">
        <f t="shared" ref="AI102" si="20">IF(AI37=1,1,0)</f>
        <v>0</v>
      </c>
      <c r="AJ102" s="26" t="str">
        <f t="shared" si="7"/>
        <v/>
      </c>
      <c r="AK102" s="39"/>
      <c r="AL102" s="39" t="str">
        <f t="shared" si="10"/>
        <v>00</v>
      </c>
      <c r="AM102" s="41" t="str">
        <f t="shared" si="11"/>
        <v>00</v>
      </c>
      <c r="AN102" s="41" t="str">
        <f t="shared" si="12"/>
        <v>00</v>
      </c>
      <c r="AO102" s="41" t="str">
        <f t="shared" si="13"/>
        <v>00</v>
      </c>
      <c r="AQ102" t="str">
        <f t="shared" si="8"/>
        <v/>
      </c>
    </row>
    <row r="103" spans="2:43">
      <c r="B103" s="104"/>
      <c r="C103" s="26">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0</v>
      </c>
      <c r="AE103" s="96">
        <f t="shared" si="21"/>
        <v>0</v>
      </c>
      <c r="AF103" s="96">
        <f t="shared" si="21"/>
        <v>0</v>
      </c>
      <c r="AG103" s="96">
        <f t="shared" si="21"/>
        <v>0</v>
      </c>
      <c r="AH103" s="96">
        <f t="shared" si="21"/>
        <v>0</v>
      </c>
      <c r="AI103" s="96">
        <f t="shared" si="21"/>
        <v>0</v>
      </c>
      <c r="AJ103" s="26" t="str">
        <f t="shared" si="7"/>
        <v/>
      </c>
      <c r="AK103" s="39"/>
      <c r="AL103" s="39" t="str">
        <f t="shared" si="10"/>
        <v>00</v>
      </c>
      <c r="AM103" s="41" t="str">
        <f t="shared" si="11"/>
        <v>00</v>
      </c>
      <c r="AN103" s="41" t="str">
        <f t="shared" si="12"/>
        <v>00</v>
      </c>
      <c r="AO103" s="41" t="str">
        <f t="shared" si="13"/>
        <v>00</v>
      </c>
      <c r="AQ103" t="str">
        <f t="shared" si="8"/>
        <v/>
      </c>
    </row>
    <row r="104" spans="2:43">
      <c r="B104" s="104"/>
      <c r="C104" s="26">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0</v>
      </c>
      <c r="AE104" s="96">
        <f t="shared" si="21"/>
        <v>0</v>
      </c>
      <c r="AF104" s="96">
        <f t="shared" si="21"/>
        <v>0</v>
      </c>
      <c r="AG104" s="96">
        <f t="shared" si="21"/>
        <v>0</v>
      </c>
      <c r="AH104" s="96">
        <f t="shared" si="21"/>
        <v>0</v>
      </c>
      <c r="AI104" s="96">
        <f t="shared" si="21"/>
        <v>0</v>
      </c>
      <c r="AJ104" s="26" t="str">
        <f t="shared" si="7"/>
        <v/>
      </c>
      <c r="AK104" s="39"/>
      <c r="AL104" s="39" t="str">
        <f t="shared" si="10"/>
        <v>00</v>
      </c>
      <c r="AM104" s="41" t="str">
        <f t="shared" si="11"/>
        <v>00</v>
      </c>
      <c r="AN104" s="41" t="str">
        <f t="shared" si="12"/>
        <v>00</v>
      </c>
      <c r="AO104" s="41" t="str">
        <f t="shared" si="13"/>
        <v>00</v>
      </c>
      <c r="AQ104" t="str">
        <f t="shared" si="8"/>
        <v/>
      </c>
    </row>
    <row r="105" spans="2:43">
      <c r="B105" s="104"/>
      <c r="C105" s="26">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0</v>
      </c>
      <c r="AE105" s="96">
        <f t="shared" si="21"/>
        <v>0</v>
      </c>
      <c r="AF105" s="96">
        <f t="shared" si="21"/>
        <v>0</v>
      </c>
      <c r="AG105" s="96">
        <f t="shared" si="21"/>
        <v>0</v>
      </c>
      <c r="AH105" s="96">
        <f t="shared" si="21"/>
        <v>0</v>
      </c>
      <c r="AI105" s="96">
        <f t="shared" si="21"/>
        <v>0</v>
      </c>
      <c r="AJ105" s="26" t="str">
        <f t="shared" si="7"/>
        <v/>
      </c>
      <c r="AK105" s="39"/>
      <c r="AL105" s="39" t="str">
        <f t="shared" si="10"/>
        <v>00</v>
      </c>
      <c r="AM105" s="41" t="str">
        <f t="shared" si="11"/>
        <v>00</v>
      </c>
      <c r="AN105" s="41" t="str">
        <f t="shared" si="12"/>
        <v>00</v>
      </c>
      <c r="AO105" s="41" t="str">
        <f t="shared" si="13"/>
        <v>00</v>
      </c>
      <c r="AQ105" t="str">
        <f t="shared" si="8"/>
        <v/>
      </c>
    </row>
    <row r="106" spans="2:43">
      <c r="B106" s="104"/>
      <c r="C106" s="26">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0</v>
      </c>
      <c r="AE106" s="96">
        <f t="shared" si="21"/>
        <v>0</v>
      </c>
      <c r="AF106" s="96">
        <f t="shared" si="21"/>
        <v>0</v>
      </c>
      <c r="AG106" s="96">
        <f t="shared" si="21"/>
        <v>0</v>
      </c>
      <c r="AH106" s="96">
        <f t="shared" si="21"/>
        <v>0</v>
      </c>
      <c r="AI106" s="96">
        <f t="shared" si="21"/>
        <v>0</v>
      </c>
      <c r="AJ106" s="26" t="str">
        <f t="shared" si="7"/>
        <v/>
      </c>
      <c r="AK106" s="39"/>
      <c r="AL106" s="39" t="str">
        <f t="shared" si="10"/>
        <v>00</v>
      </c>
      <c r="AM106" s="41" t="str">
        <f t="shared" si="11"/>
        <v>00</v>
      </c>
      <c r="AN106" s="41" t="str">
        <f t="shared" si="12"/>
        <v>00</v>
      </c>
      <c r="AO106" s="41" t="str">
        <f t="shared" si="13"/>
        <v>00</v>
      </c>
      <c r="AQ106" t="str">
        <f t="shared" si="8"/>
        <v/>
      </c>
    </row>
    <row r="107" spans="2:43">
      <c r="B107" s="104"/>
      <c r="C107" s="26">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0</v>
      </c>
      <c r="AE107" s="96">
        <f t="shared" si="21"/>
        <v>0</v>
      </c>
      <c r="AF107" s="96">
        <f t="shared" si="21"/>
        <v>0</v>
      </c>
      <c r="AG107" s="96">
        <f t="shared" si="21"/>
        <v>0</v>
      </c>
      <c r="AH107" s="96">
        <f t="shared" si="21"/>
        <v>0</v>
      </c>
      <c r="AI107" s="96">
        <f t="shared" si="21"/>
        <v>0</v>
      </c>
      <c r="AJ107" s="26" t="str">
        <f t="shared" si="7"/>
        <v/>
      </c>
      <c r="AK107" s="39"/>
      <c r="AL107" s="39" t="str">
        <f t="shared" si="10"/>
        <v>00</v>
      </c>
      <c r="AM107" s="41" t="str">
        <f t="shared" si="11"/>
        <v>00</v>
      </c>
      <c r="AN107" s="41" t="str">
        <f t="shared" si="12"/>
        <v>00</v>
      </c>
      <c r="AO107" s="41" t="str">
        <f t="shared" si="13"/>
        <v>00</v>
      </c>
      <c r="AQ107" t="str">
        <f t="shared" si="8"/>
        <v/>
      </c>
    </row>
    <row r="108" spans="2:43">
      <c r="B108" s="104"/>
      <c r="C108" s="26">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0</v>
      </c>
      <c r="AE108" s="96">
        <f t="shared" si="21"/>
        <v>0</v>
      </c>
      <c r="AF108" s="96">
        <f t="shared" si="21"/>
        <v>0</v>
      </c>
      <c r="AG108" s="96">
        <f t="shared" si="21"/>
        <v>0</v>
      </c>
      <c r="AH108" s="96">
        <f t="shared" si="21"/>
        <v>0</v>
      </c>
      <c r="AI108" s="96">
        <f t="shared" si="21"/>
        <v>0</v>
      </c>
      <c r="AJ108" s="26" t="str">
        <f t="shared" si="7"/>
        <v/>
      </c>
      <c r="AK108" s="39"/>
      <c r="AL108" s="39" t="str">
        <f t="shared" si="10"/>
        <v>00</v>
      </c>
      <c r="AM108" s="41" t="str">
        <f t="shared" si="11"/>
        <v>00</v>
      </c>
      <c r="AN108" s="41" t="str">
        <f t="shared" si="12"/>
        <v>00</v>
      </c>
      <c r="AO108" s="41" t="str">
        <f t="shared" si="13"/>
        <v>00</v>
      </c>
      <c r="AQ108" t="str">
        <f t="shared" si="8"/>
        <v/>
      </c>
    </row>
    <row r="109" spans="2:43">
      <c r="B109" s="104"/>
      <c r="C109" s="26">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0</v>
      </c>
      <c r="AE109" s="96">
        <f t="shared" si="21"/>
        <v>0</v>
      </c>
      <c r="AF109" s="96">
        <f t="shared" si="21"/>
        <v>0</v>
      </c>
      <c r="AG109" s="96">
        <f t="shared" si="21"/>
        <v>0</v>
      </c>
      <c r="AH109" s="96">
        <f t="shared" si="21"/>
        <v>0</v>
      </c>
      <c r="AI109" s="96">
        <f t="shared" si="21"/>
        <v>0</v>
      </c>
      <c r="AJ109" s="26" t="str">
        <f t="shared" si="7"/>
        <v/>
      </c>
      <c r="AK109" s="39"/>
      <c r="AL109" s="39" t="str">
        <f t="shared" si="10"/>
        <v>00</v>
      </c>
      <c r="AM109" s="41" t="str">
        <f t="shared" si="11"/>
        <v>00</v>
      </c>
      <c r="AN109" s="41" t="str">
        <f t="shared" si="12"/>
        <v>00</v>
      </c>
      <c r="AO109" s="41" t="str">
        <f t="shared" si="13"/>
        <v>00</v>
      </c>
      <c r="AQ109" t="str">
        <f t="shared" si="8"/>
        <v/>
      </c>
    </row>
    <row r="110" spans="2:43">
      <c r="B110" s="104"/>
      <c r="C110" s="26">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0</v>
      </c>
      <c r="AE110" s="96">
        <f t="shared" si="21"/>
        <v>0</v>
      </c>
      <c r="AF110" s="96">
        <f t="shared" si="21"/>
        <v>0</v>
      </c>
      <c r="AG110" s="96">
        <f t="shared" si="21"/>
        <v>0</v>
      </c>
      <c r="AH110" s="96">
        <f t="shared" si="21"/>
        <v>0</v>
      </c>
      <c r="AI110" s="96">
        <f t="shared" ref="AI110" si="22">IF(AI45=1,1,0)</f>
        <v>0</v>
      </c>
      <c r="AJ110" s="26" t="str">
        <f t="shared" si="7"/>
        <v/>
      </c>
      <c r="AK110" s="39"/>
      <c r="AL110" s="39" t="str">
        <f t="shared" si="10"/>
        <v>00</v>
      </c>
      <c r="AM110" s="41" t="str">
        <f t="shared" si="11"/>
        <v>00</v>
      </c>
      <c r="AN110" s="41" t="str">
        <f t="shared" si="12"/>
        <v>00</v>
      </c>
      <c r="AO110" s="41" t="str">
        <f t="shared" si="13"/>
        <v>00</v>
      </c>
      <c r="AQ110" t="str">
        <f t="shared" si="8"/>
        <v/>
      </c>
    </row>
    <row r="111" spans="2:43">
      <c r="B111" s="104"/>
      <c r="C111" s="26">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0</v>
      </c>
      <c r="AE111" s="96">
        <f t="shared" si="23"/>
        <v>0</v>
      </c>
      <c r="AF111" s="96">
        <f t="shared" si="23"/>
        <v>0</v>
      </c>
      <c r="AG111" s="96">
        <f t="shared" si="23"/>
        <v>0</v>
      </c>
      <c r="AH111" s="96">
        <f t="shared" si="23"/>
        <v>0</v>
      </c>
      <c r="AI111" s="96">
        <f t="shared" si="23"/>
        <v>0</v>
      </c>
      <c r="AJ111" s="26" t="str">
        <f t="shared" si="7"/>
        <v/>
      </c>
      <c r="AK111" s="39"/>
      <c r="AL111" s="39" t="str">
        <f t="shared" si="10"/>
        <v>00</v>
      </c>
      <c r="AM111" s="41" t="str">
        <f t="shared" si="11"/>
        <v>00</v>
      </c>
      <c r="AN111" s="41" t="str">
        <f t="shared" si="12"/>
        <v>00</v>
      </c>
      <c r="AO111" s="41" t="str">
        <f t="shared" si="13"/>
        <v>00</v>
      </c>
      <c r="AQ111" t="str">
        <f t="shared" si="8"/>
        <v/>
      </c>
    </row>
    <row r="112" spans="2:43">
      <c r="B112" s="104"/>
      <c r="C112" s="26">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0</v>
      </c>
      <c r="AE112" s="96">
        <f t="shared" si="23"/>
        <v>0</v>
      </c>
      <c r="AF112" s="96">
        <f t="shared" si="23"/>
        <v>0</v>
      </c>
      <c r="AG112" s="96">
        <f t="shared" si="23"/>
        <v>0</v>
      </c>
      <c r="AH112" s="96">
        <f t="shared" si="23"/>
        <v>0</v>
      </c>
      <c r="AI112" s="96">
        <f t="shared" si="23"/>
        <v>0</v>
      </c>
      <c r="AJ112" s="26" t="str">
        <f t="shared" si="7"/>
        <v/>
      </c>
      <c r="AK112" s="39"/>
      <c r="AL112" s="39" t="str">
        <f t="shared" si="10"/>
        <v>00</v>
      </c>
      <c r="AM112" s="41" t="str">
        <f t="shared" si="11"/>
        <v>00</v>
      </c>
      <c r="AN112" s="41" t="str">
        <f t="shared" si="12"/>
        <v>00</v>
      </c>
      <c r="AO112" s="41" t="str">
        <f t="shared" si="13"/>
        <v>00</v>
      </c>
      <c r="AQ112" t="str">
        <f t="shared" si="8"/>
        <v/>
      </c>
    </row>
    <row r="113" spans="2:43">
      <c r="B113" s="104"/>
      <c r="C113" s="26">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0</v>
      </c>
      <c r="AE113" s="96">
        <f t="shared" si="23"/>
        <v>0</v>
      </c>
      <c r="AF113" s="96">
        <f t="shared" si="23"/>
        <v>0</v>
      </c>
      <c r="AG113" s="96">
        <f t="shared" si="23"/>
        <v>0</v>
      </c>
      <c r="AH113" s="96">
        <f t="shared" si="23"/>
        <v>0</v>
      </c>
      <c r="AI113" s="96">
        <f t="shared" si="23"/>
        <v>0</v>
      </c>
      <c r="AJ113" s="26" t="str">
        <f t="shared" si="7"/>
        <v/>
      </c>
      <c r="AK113" s="39"/>
      <c r="AL113" s="39" t="str">
        <f t="shared" si="10"/>
        <v>00</v>
      </c>
      <c r="AM113" s="41" t="str">
        <f t="shared" si="11"/>
        <v>00</v>
      </c>
      <c r="AN113" s="41" t="str">
        <f t="shared" si="12"/>
        <v>00</v>
      </c>
      <c r="AO113" s="41" t="str">
        <f t="shared" si="13"/>
        <v>00</v>
      </c>
      <c r="AQ113" t="str">
        <f t="shared" si="8"/>
        <v/>
      </c>
    </row>
    <row r="114" spans="2:43">
      <c r="B114" s="104"/>
      <c r="C114" s="26">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0</v>
      </c>
      <c r="AE114" s="96">
        <f t="shared" si="23"/>
        <v>0</v>
      </c>
      <c r="AF114" s="96">
        <f t="shared" si="23"/>
        <v>0</v>
      </c>
      <c r="AG114" s="96">
        <f t="shared" si="23"/>
        <v>0</v>
      </c>
      <c r="AH114" s="96">
        <f t="shared" si="23"/>
        <v>0</v>
      </c>
      <c r="AI114" s="96">
        <f t="shared" si="23"/>
        <v>0</v>
      </c>
      <c r="AJ114" s="26" t="str">
        <f t="shared" si="7"/>
        <v/>
      </c>
      <c r="AK114" s="39"/>
      <c r="AL114" s="39" t="str">
        <f t="shared" si="10"/>
        <v>00</v>
      </c>
      <c r="AM114" s="41" t="str">
        <f t="shared" si="11"/>
        <v>00</v>
      </c>
      <c r="AN114" s="41" t="str">
        <f t="shared" si="12"/>
        <v>00</v>
      </c>
      <c r="AO114" s="41" t="str">
        <f t="shared" si="13"/>
        <v>00</v>
      </c>
      <c r="AQ114" t="str">
        <f t="shared" si="8"/>
        <v/>
      </c>
    </row>
    <row r="115" spans="2:43">
      <c r="B115" s="104"/>
      <c r="C115" s="26">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0</v>
      </c>
      <c r="AE115" s="96">
        <f t="shared" si="23"/>
        <v>0</v>
      </c>
      <c r="AF115" s="96">
        <f t="shared" si="23"/>
        <v>0</v>
      </c>
      <c r="AG115" s="96">
        <f t="shared" si="23"/>
        <v>0</v>
      </c>
      <c r="AH115" s="96">
        <f t="shared" si="23"/>
        <v>0</v>
      </c>
      <c r="AI115" s="96">
        <f t="shared" si="23"/>
        <v>0</v>
      </c>
      <c r="AJ115" s="26" t="str">
        <f t="shared" si="7"/>
        <v/>
      </c>
      <c r="AK115" s="39"/>
      <c r="AL115" s="39" t="str">
        <f t="shared" si="10"/>
        <v>00</v>
      </c>
      <c r="AM115" s="41" t="str">
        <f t="shared" si="11"/>
        <v>00</v>
      </c>
      <c r="AN115" s="41" t="str">
        <f t="shared" si="12"/>
        <v>00</v>
      </c>
      <c r="AO115" s="41" t="str">
        <f t="shared" si="13"/>
        <v>00</v>
      </c>
      <c r="AQ115" t="str">
        <f t="shared" si="8"/>
        <v/>
      </c>
    </row>
    <row r="116" spans="2:43">
      <c r="B116" s="104"/>
      <c r="C116" s="26">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0</v>
      </c>
      <c r="AE116" s="96">
        <f t="shared" si="23"/>
        <v>0</v>
      </c>
      <c r="AF116" s="96">
        <f t="shared" si="23"/>
        <v>0</v>
      </c>
      <c r="AG116" s="96">
        <f t="shared" si="23"/>
        <v>0</v>
      </c>
      <c r="AH116" s="96">
        <f t="shared" si="23"/>
        <v>0</v>
      </c>
      <c r="AI116" s="96">
        <f t="shared" si="23"/>
        <v>0</v>
      </c>
      <c r="AJ116" s="26" t="str">
        <f t="shared" si="7"/>
        <v/>
      </c>
      <c r="AK116" s="39"/>
      <c r="AL116" s="39" t="str">
        <f t="shared" si="10"/>
        <v>00</v>
      </c>
      <c r="AM116" s="41" t="str">
        <f t="shared" si="11"/>
        <v>00</v>
      </c>
      <c r="AN116" s="41" t="str">
        <f t="shared" si="12"/>
        <v>00</v>
      </c>
      <c r="AO116" s="41" t="str">
        <f t="shared" si="13"/>
        <v>00</v>
      </c>
      <c r="AQ116" t="str">
        <f t="shared" si="8"/>
        <v/>
      </c>
    </row>
    <row r="117" spans="2:43">
      <c r="B117" s="104"/>
      <c r="C117" s="26">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0</v>
      </c>
      <c r="AE117" s="96">
        <f t="shared" si="23"/>
        <v>0</v>
      </c>
      <c r="AF117" s="96">
        <f t="shared" si="23"/>
        <v>0</v>
      </c>
      <c r="AG117" s="96">
        <f t="shared" si="23"/>
        <v>0</v>
      </c>
      <c r="AH117" s="96">
        <f t="shared" si="23"/>
        <v>0</v>
      </c>
      <c r="AI117" s="96">
        <f t="shared" si="23"/>
        <v>0</v>
      </c>
      <c r="AJ117" s="26" t="str">
        <f t="shared" si="7"/>
        <v/>
      </c>
      <c r="AK117" s="39"/>
      <c r="AL117" s="39" t="str">
        <f t="shared" si="10"/>
        <v>00</v>
      </c>
      <c r="AM117" s="41" t="str">
        <f t="shared" si="11"/>
        <v>00</v>
      </c>
      <c r="AN117" s="41" t="str">
        <f t="shared" si="12"/>
        <v>00</v>
      </c>
      <c r="AO117" s="41" t="str">
        <f t="shared" si="13"/>
        <v>00</v>
      </c>
      <c r="AQ117" t="str">
        <f t="shared" si="8"/>
        <v/>
      </c>
    </row>
    <row r="118" spans="2:43">
      <c r="B118" s="104"/>
      <c r="C118" s="26">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0</v>
      </c>
      <c r="AE118" s="96">
        <f t="shared" si="23"/>
        <v>0</v>
      </c>
      <c r="AF118" s="96">
        <f t="shared" si="23"/>
        <v>0</v>
      </c>
      <c r="AG118" s="96">
        <f t="shared" si="23"/>
        <v>0</v>
      </c>
      <c r="AH118" s="96">
        <f t="shared" si="23"/>
        <v>0</v>
      </c>
      <c r="AI118" s="96">
        <f t="shared" ref="AI118" si="24">IF(AI53=1,1,0)</f>
        <v>0</v>
      </c>
      <c r="AJ118" s="26" t="str">
        <f t="shared" si="7"/>
        <v/>
      </c>
      <c r="AK118" s="39"/>
      <c r="AL118" s="39" t="str">
        <f t="shared" si="10"/>
        <v>00</v>
      </c>
      <c r="AM118" s="41" t="str">
        <f t="shared" si="11"/>
        <v>00</v>
      </c>
      <c r="AN118" s="41" t="str">
        <f t="shared" si="12"/>
        <v>00</v>
      </c>
      <c r="AO118" s="41" t="str">
        <f t="shared" si="13"/>
        <v>00</v>
      </c>
      <c r="AQ118" t="str">
        <f t="shared" si="8"/>
        <v/>
      </c>
    </row>
    <row r="119" spans="2:43">
      <c r="B119" s="104"/>
      <c r="C119" s="26">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0</v>
      </c>
      <c r="AE119" s="96">
        <f t="shared" si="25"/>
        <v>0</v>
      </c>
      <c r="AF119" s="96">
        <f t="shared" si="25"/>
        <v>0</v>
      </c>
      <c r="AG119" s="96">
        <f t="shared" si="25"/>
        <v>0</v>
      </c>
      <c r="AH119" s="96">
        <f t="shared" si="25"/>
        <v>0</v>
      </c>
      <c r="AI119" s="96">
        <f t="shared" si="25"/>
        <v>0</v>
      </c>
      <c r="AJ119" s="26" t="str">
        <f t="shared" si="7"/>
        <v/>
      </c>
      <c r="AK119" s="39"/>
      <c r="AL119" s="39" t="str">
        <f t="shared" si="10"/>
        <v>00</v>
      </c>
      <c r="AM119" s="41" t="str">
        <f t="shared" si="11"/>
        <v>00</v>
      </c>
      <c r="AN119" s="41" t="str">
        <f t="shared" si="12"/>
        <v>00</v>
      </c>
      <c r="AO119" s="41" t="str">
        <f t="shared" si="13"/>
        <v>00</v>
      </c>
      <c r="AQ119" t="str">
        <f t="shared" si="8"/>
        <v/>
      </c>
    </row>
    <row r="120" spans="2:43">
      <c r="B120" s="104"/>
      <c r="C120" s="26">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0</v>
      </c>
      <c r="AE120" s="96">
        <f t="shared" si="25"/>
        <v>0</v>
      </c>
      <c r="AF120" s="96">
        <f t="shared" si="25"/>
        <v>0</v>
      </c>
      <c r="AG120" s="96">
        <f t="shared" si="25"/>
        <v>0</v>
      </c>
      <c r="AH120" s="96">
        <f t="shared" si="25"/>
        <v>0</v>
      </c>
      <c r="AI120" s="96">
        <f t="shared" si="25"/>
        <v>0</v>
      </c>
      <c r="AJ120" s="26" t="str">
        <f t="shared" si="7"/>
        <v/>
      </c>
      <c r="AK120" s="39"/>
      <c r="AL120" s="39" t="str">
        <f t="shared" si="10"/>
        <v>00</v>
      </c>
      <c r="AM120" s="41" t="str">
        <f t="shared" si="11"/>
        <v>00</v>
      </c>
      <c r="AN120" s="41" t="str">
        <f t="shared" si="12"/>
        <v>00</v>
      </c>
      <c r="AO120" s="41" t="str">
        <f t="shared" si="13"/>
        <v>00</v>
      </c>
      <c r="AQ120" t="str">
        <f t="shared" si="8"/>
        <v/>
      </c>
    </row>
    <row r="121" spans="2:43">
      <c r="B121" s="104"/>
      <c r="C121" s="26">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0</v>
      </c>
      <c r="AE121" s="96">
        <f t="shared" si="25"/>
        <v>0</v>
      </c>
      <c r="AF121" s="96">
        <f t="shared" si="25"/>
        <v>0</v>
      </c>
      <c r="AG121" s="96">
        <f t="shared" si="25"/>
        <v>0</v>
      </c>
      <c r="AH121" s="96">
        <f t="shared" si="25"/>
        <v>0</v>
      </c>
      <c r="AI121" s="96">
        <f t="shared" si="25"/>
        <v>0</v>
      </c>
      <c r="AJ121" s="26" t="str">
        <f t="shared" si="7"/>
        <v/>
      </c>
      <c r="AK121" s="39"/>
      <c r="AL121" s="39" t="str">
        <f t="shared" si="10"/>
        <v>00</v>
      </c>
      <c r="AM121" s="41" t="str">
        <f t="shared" si="11"/>
        <v>00</v>
      </c>
      <c r="AN121" s="41" t="str">
        <f t="shared" si="12"/>
        <v>00</v>
      </c>
      <c r="AO121" s="41" t="str">
        <f t="shared" si="13"/>
        <v>00</v>
      </c>
      <c r="AQ121" t="str">
        <f t="shared" si="8"/>
        <v/>
      </c>
    </row>
    <row r="122" spans="2:43">
      <c r="B122" s="104"/>
      <c r="C122" s="26">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0</v>
      </c>
      <c r="AE122" s="96">
        <f t="shared" si="25"/>
        <v>0</v>
      </c>
      <c r="AF122" s="96">
        <f t="shared" si="25"/>
        <v>0</v>
      </c>
      <c r="AG122" s="96">
        <f t="shared" si="25"/>
        <v>0</v>
      </c>
      <c r="AH122" s="96">
        <f t="shared" si="25"/>
        <v>0</v>
      </c>
      <c r="AI122" s="96">
        <f t="shared" si="25"/>
        <v>0</v>
      </c>
      <c r="AJ122" s="26" t="str">
        <f t="shared" si="7"/>
        <v/>
      </c>
      <c r="AK122" s="39"/>
      <c r="AL122" s="39" t="str">
        <f t="shared" si="10"/>
        <v>00</v>
      </c>
      <c r="AM122" s="41" t="str">
        <f t="shared" si="11"/>
        <v>00</v>
      </c>
      <c r="AN122" s="41" t="str">
        <f t="shared" si="12"/>
        <v>00</v>
      </c>
      <c r="AO122" s="41" t="str">
        <f t="shared" si="13"/>
        <v>00</v>
      </c>
      <c r="AQ122" t="str">
        <f t="shared" si="8"/>
        <v/>
      </c>
    </row>
    <row r="123" spans="2:43">
      <c r="B123" s="104"/>
      <c r="C123" s="26">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0</v>
      </c>
      <c r="AE123" s="96">
        <f t="shared" si="25"/>
        <v>0</v>
      </c>
      <c r="AF123" s="96">
        <f t="shared" si="25"/>
        <v>0</v>
      </c>
      <c r="AG123" s="96">
        <f t="shared" si="25"/>
        <v>0</v>
      </c>
      <c r="AH123" s="96">
        <f t="shared" si="25"/>
        <v>0</v>
      </c>
      <c r="AI123" s="96">
        <f t="shared" si="25"/>
        <v>0</v>
      </c>
      <c r="AJ123" s="26" t="str">
        <f t="shared" si="7"/>
        <v/>
      </c>
      <c r="AK123" s="39"/>
      <c r="AL123" s="39" t="str">
        <f t="shared" si="10"/>
        <v>00</v>
      </c>
      <c r="AM123" s="41" t="str">
        <f t="shared" si="11"/>
        <v>00</v>
      </c>
      <c r="AN123" s="41" t="str">
        <f t="shared" si="12"/>
        <v>00</v>
      </c>
      <c r="AO123" s="41" t="str">
        <f t="shared" si="13"/>
        <v>00</v>
      </c>
      <c r="AQ123" t="str">
        <f t="shared" si="8"/>
        <v/>
      </c>
    </row>
    <row r="124" spans="2:43">
      <c r="B124" s="104"/>
      <c r="C124" s="26">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0</v>
      </c>
      <c r="AE124" s="96">
        <f t="shared" si="25"/>
        <v>0</v>
      </c>
      <c r="AF124" s="96">
        <f t="shared" si="25"/>
        <v>0</v>
      </c>
      <c r="AG124" s="96">
        <f t="shared" si="25"/>
        <v>0</v>
      </c>
      <c r="AH124" s="96">
        <f t="shared" si="25"/>
        <v>0</v>
      </c>
      <c r="AI124" s="96">
        <f t="shared" si="25"/>
        <v>0</v>
      </c>
      <c r="AJ124" s="26" t="str">
        <f t="shared" si="7"/>
        <v/>
      </c>
      <c r="AK124" s="39"/>
      <c r="AL124" s="39" t="str">
        <f t="shared" si="10"/>
        <v>00</v>
      </c>
      <c r="AM124" s="41" t="str">
        <f t="shared" si="11"/>
        <v>00</v>
      </c>
      <c r="AN124" s="41" t="str">
        <f t="shared" si="12"/>
        <v>00</v>
      </c>
      <c r="AO124" s="41" t="str">
        <f t="shared" si="13"/>
        <v>00</v>
      </c>
      <c r="AQ124" t="str">
        <f t="shared" si="8"/>
        <v/>
      </c>
    </row>
    <row r="125" spans="2:43">
      <c r="B125" s="104"/>
      <c r="C125" s="26">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0</v>
      </c>
      <c r="AE125" s="96">
        <f t="shared" si="25"/>
        <v>0</v>
      </c>
      <c r="AF125" s="96">
        <f t="shared" si="25"/>
        <v>0</v>
      </c>
      <c r="AG125" s="96">
        <f t="shared" si="25"/>
        <v>0</v>
      </c>
      <c r="AH125" s="96">
        <f t="shared" si="25"/>
        <v>0</v>
      </c>
      <c r="AI125" s="96">
        <f t="shared" si="25"/>
        <v>0</v>
      </c>
      <c r="AJ125" s="26" t="str">
        <f t="shared" si="7"/>
        <v/>
      </c>
      <c r="AK125" s="39"/>
      <c r="AL125" s="39" t="str">
        <f t="shared" si="10"/>
        <v>00</v>
      </c>
      <c r="AM125" s="41" t="str">
        <f t="shared" si="11"/>
        <v>00</v>
      </c>
      <c r="AN125" s="41" t="str">
        <f t="shared" si="12"/>
        <v>00</v>
      </c>
      <c r="AO125" s="41" t="str">
        <f t="shared" si="13"/>
        <v>00</v>
      </c>
      <c r="AQ125" t="str">
        <f t="shared" si="8"/>
        <v/>
      </c>
    </row>
    <row r="126" spans="2:43">
      <c r="B126" s="104"/>
      <c r="C126" s="26">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0</v>
      </c>
      <c r="AE126" s="96">
        <f t="shared" si="25"/>
        <v>0</v>
      </c>
      <c r="AF126" s="96">
        <f t="shared" si="25"/>
        <v>0</v>
      </c>
      <c r="AG126" s="96">
        <f t="shared" si="25"/>
        <v>0</v>
      </c>
      <c r="AH126" s="96">
        <f t="shared" si="25"/>
        <v>0</v>
      </c>
      <c r="AI126" s="96">
        <f t="shared" ref="AI126" si="26">IF(AI61=1,1,0)</f>
        <v>0</v>
      </c>
      <c r="AJ126" s="26" t="str">
        <f t="shared" si="7"/>
        <v/>
      </c>
      <c r="AK126" s="39"/>
      <c r="AL126" s="39" t="str">
        <f t="shared" si="10"/>
        <v>00</v>
      </c>
      <c r="AM126" s="41" t="str">
        <f t="shared" si="11"/>
        <v>00</v>
      </c>
      <c r="AN126" s="41" t="str">
        <f t="shared" si="12"/>
        <v>00</v>
      </c>
      <c r="AO126" s="41" t="str">
        <f t="shared" si="13"/>
        <v>00</v>
      </c>
      <c r="AQ126" t="str">
        <f t="shared" si="8"/>
        <v/>
      </c>
    </row>
    <row r="127" spans="2:43">
      <c r="B127" s="104"/>
      <c r="C127" s="26">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0</v>
      </c>
      <c r="AE127" s="96">
        <f t="shared" si="27"/>
        <v>0</v>
      </c>
      <c r="AF127" s="96">
        <f t="shared" si="27"/>
        <v>0</v>
      </c>
      <c r="AG127" s="96">
        <f t="shared" si="27"/>
        <v>0</v>
      </c>
      <c r="AH127" s="96">
        <f t="shared" si="27"/>
        <v>0</v>
      </c>
      <c r="AI127" s="96">
        <f t="shared" si="27"/>
        <v>0</v>
      </c>
      <c r="AJ127" s="26" t="str">
        <f t="shared" si="7"/>
        <v/>
      </c>
      <c r="AK127" s="39"/>
      <c r="AL127" s="39" t="str">
        <f t="shared" si="10"/>
        <v>00</v>
      </c>
      <c r="AM127" s="41" t="str">
        <f t="shared" si="11"/>
        <v>00</v>
      </c>
      <c r="AN127" s="41" t="str">
        <f t="shared" si="12"/>
        <v>00</v>
      </c>
      <c r="AO127" s="41" t="str">
        <f t="shared" si="13"/>
        <v>00</v>
      </c>
      <c r="AQ127" t="str">
        <f t="shared" si="8"/>
        <v/>
      </c>
    </row>
    <row r="128" spans="2:43">
      <c r="B128" s="104"/>
      <c r="C128" s="26">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0</v>
      </c>
      <c r="AE128" s="96">
        <f t="shared" si="27"/>
        <v>0</v>
      </c>
      <c r="AF128" s="96">
        <f t="shared" si="27"/>
        <v>0</v>
      </c>
      <c r="AG128" s="96">
        <f t="shared" si="27"/>
        <v>0</v>
      </c>
      <c r="AH128" s="96">
        <f t="shared" si="27"/>
        <v>0</v>
      </c>
      <c r="AI128" s="96">
        <f t="shared" si="27"/>
        <v>0</v>
      </c>
      <c r="AJ128" s="26" t="str">
        <f t="shared" si="7"/>
        <v/>
      </c>
      <c r="AK128" s="39"/>
      <c r="AL128" s="39" t="str">
        <f t="shared" si="10"/>
        <v>00</v>
      </c>
      <c r="AM128" s="41" t="str">
        <f t="shared" si="11"/>
        <v>00</v>
      </c>
      <c r="AN128" s="41" t="str">
        <f t="shared" si="12"/>
        <v>00</v>
      </c>
      <c r="AO128" s="41" t="str">
        <f t="shared" si="13"/>
        <v>00</v>
      </c>
      <c r="AQ128" t="str">
        <f t="shared" si="8"/>
        <v/>
      </c>
    </row>
    <row r="129" spans="1:43">
      <c r="B129" s="104"/>
      <c r="C129" s="26">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0</v>
      </c>
      <c r="AE129" s="96">
        <f t="shared" si="27"/>
        <v>0</v>
      </c>
      <c r="AF129" s="96">
        <f t="shared" si="27"/>
        <v>0</v>
      </c>
      <c r="AG129" s="96">
        <f t="shared" si="27"/>
        <v>0</v>
      </c>
      <c r="AH129" s="96">
        <f t="shared" si="27"/>
        <v>0</v>
      </c>
      <c r="AI129" s="96">
        <f t="shared" si="27"/>
        <v>0</v>
      </c>
      <c r="AJ129" s="26" t="str">
        <f t="shared" si="7"/>
        <v/>
      </c>
      <c r="AK129" s="39"/>
      <c r="AL129" s="39" t="str">
        <f t="shared" si="10"/>
        <v>00</v>
      </c>
      <c r="AM129" s="41" t="str">
        <f t="shared" si="11"/>
        <v>00</v>
      </c>
      <c r="AN129" s="41" t="str">
        <f t="shared" si="12"/>
        <v>00</v>
      </c>
      <c r="AO129" s="41" t="str">
        <f t="shared" si="13"/>
        <v>00</v>
      </c>
      <c r="AQ129" t="str">
        <f t="shared" si="8"/>
        <v/>
      </c>
    </row>
    <row r="130" spans="1:43">
      <c r="B130" s="104"/>
      <c r="C130" s="26">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0</v>
      </c>
      <c r="AE130" s="96">
        <f t="shared" si="27"/>
        <v>0</v>
      </c>
      <c r="AF130" s="96">
        <f t="shared" si="27"/>
        <v>0</v>
      </c>
      <c r="AG130" s="96">
        <f t="shared" si="27"/>
        <v>0</v>
      </c>
      <c r="AH130" s="96">
        <f t="shared" si="27"/>
        <v>0</v>
      </c>
      <c r="AI130" s="96">
        <f t="shared" si="27"/>
        <v>0</v>
      </c>
      <c r="AJ130" s="26" t="str">
        <f t="shared" si="7"/>
        <v/>
      </c>
      <c r="AK130" s="39"/>
      <c r="AL130" s="39" t="str">
        <f t="shared" si="10"/>
        <v>00</v>
      </c>
      <c r="AM130" s="41" t="str">
        <f t="shared" si="11"/>
        <v>00</v>
      </c>
      <c r="AN130" s="41" t="str">
        <f t="shared" si="12"/>
        <v>00</v>
      </c>
      <c r="AO130" s="41" t="str">
        <f t="shared" si="13"/>
        <v>00</v>
      </c>
      <c r="AQ130" t="str">
        <f t="shared" si="8"/>
        <v/>
      </c>
    </row>
    <row r="131" spans="1:43">
      <c r="B131" s="104"/>
      <c r="C131" s="26">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0</v>
      </c>
      <c r="AE131" s="96">
        <f t="shared" si="27"/>
        <v>0</v>
      </c>
      <c r="AF131" s="96">
        <f t="shared" si="27"/>
        <v>0</v>
      </c>
      <c r="AG131" s="96">
        <f t="shared" si="27"/>
        <v>0</v>
      </c>
      <c r="AH131" s="96">
        <f t="shared" si="27"/>
        <v>0</v>
      </c>
      <c r="AI131" s="96">
        <f t="shared" si="27"/>
        <v>0</v>
      </c>
      <c r="AJ131" s="26" t="str">
        <f t="shared" si="7"/>
        <v/>
      </c>
      <c r="AK131" s="39"/>
      <c r="AL131" s="39" t="str">
        <f t="shared" si="10"/>
        <v>00</v>
      </c>
      <c r="AM131" s="41" t="str">
        <f t="shared" si="11"/>
        <v>00</v>
      </c>
      <c r="AN131" s="41" t="str">
        <f t="shared" si="12"/>
        <v>00</v>
      </c>
      <c r="AO131" s="41" t="str">
        <f t="shared" si="13"/>
        <v>00</v>
      </c>
      <c r="AQ131" t="str">
        <f t="shared" si="8"/>
        <v/>
      </c>
    </row>
    <row r="132" spans="1:43">
      <c r="B132" s="104"/>
      <c r="C132" s="26">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0</v>
      </c>
      <c r="AE132" s="96">
        <f t="shared" si="27"/>
        <v>0</v>
      </c>
      <c r="AF132" s="96">
        <f t="shared" si="27"/>
        <v>0</v>
      </c>
      <c r="AG132" s="96">
        <f t="shared" si="27"/>
        <v>0</v>
      </c>
      <c r="AH132" s="96">
        <f t="shared" si="27"/>
        <v>0</v>
      </c>
      <c r="AI132" s="96">
        <f t="shared" si="27"/>
        <v>0</v>
      </c>
      <c r="AJ132" s="26" t="str">
        <f t="shared" si="7"/>
        <v/>
      </c>
      <c r="AK132" s="39"/>
      <c r="AL132" s="39" t="str">
        <f t="shared" si="10"/>
        <v>00</v>
      </c>
      <c r="AM132" s="41" t="str">
        <f t="shared" si="11"/>
        <v>00</v>
      </c>
      <c r="AN132" s="41" t="str">
        <f t="shared" si="12"/>
        <v>00</v>
      </c>
      <c r="AO132" s="41" t="str">
        <f t="shared" si="13"/>
        <v>00</v>
      </c>
      <c r="AQ132" t="str">
        <f t="shared" si="8"/>
        <v/>
      </c>
    </row>
    <row r="133" spans="1:43">
      <c r="B133" s="104"/>
      <c r="C133" s="26">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0</v>
      </c>
      <c r="AE133" s="96">
        <f t="shared" si="27"/>
        <v>0</v>
      </c>
      <c r="AF133" s="96">
        <f t="shared" si="27"/>
        <v>0</v>
      </c>
      <c r="AG133" s="96">
        <f t="shared" si="27"/>
        <v>0</v>
      </c>
      <c r="AH133" s="96">
        <f t="shared" si="27"/>
        <v>0</v>
      </c>
      <c r="AI133" s="96">
        <f t="shared" si="27"/>
        <v>0</v>
      </c>
      <c r="AJ133" s="26" t="str">
        <f t="shared" si="7"/>
        <v/>
      </c>
      <c r="AK133" s="39"/>
      <c r="AL133" s="39" t="str">
        <f t="shared" si="10"/>
        <v>00</v>
      </c>
      <c r="AM133" s="41" t="str">
        <f t="shared" si="11"/>
        <v>00</v>
      </c>
      <c r="AN133" s="41" t="str">
        <f t="shared" si="12"/>
        <v>00</v>
      </c>
      <c r="AO133" s="41" t="str">
        <f t="shared" si="13"/>
        <v>00</v>
      </c>
      <c r="AQ133" t="str">
        <f t="shared" si="8"/>
        <v/>
      </c>
    </row>
    <row r="134" spans="1:43">
      <c r="B134" s="105"/>
      <c r="C134" s="26">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0</v>
      </c>
      <c r="AE134" s="96">
        <f t="shared" si="27"/>
        <v>0</v>
      </c>
      <c r="AF134" s="96">
        <f t="shared" si="27"/>
        <v>0</v>
      </c>
      <c r="AG134" s="96">
        <f t="shared" si="27"/>
        <v>0</v>
      </c>
      <c r="AH134" s="96">
        <f t="shared" si="27"/>
        <v>0</v>
      </c>
      <c r="AI134" s="96">
        <f t="shared" ref="AI134" si="28">IF(AI69=1,1,0)</f>
        <v>0</v>
      </c>
      <c r="AJ134" s="26" t="str">
        <f t="shared" si="7"/>
        <v/>
      </c>
      <c r="AK134" s="39"/>
      <c r="AL134" s="39" t="str">
        <f t="shared" si="10"/>
        <v>00</v>
      </c>
      <c r="AM134" s="41" t="str">
        <f t="shared" si="11"/>
        <v>00</v>
      </c>
      <c r="AN134" s="41" t="str">
        <f t="shared" si="12"/>
        <v>00</v>
      </c>
      <c r="AO134" s="41" t="str">
        <f t="shared" si="13"/>
        <v>00</v>
      </c>
      <c r="AQ134" t="str">
        <f t="shared" si="8"/>
        <v/>
      </c>
    </row>
    <row r="135" spans="1:43">
      <c r="A135" s="35" t="s">
        <v>67</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6" t="str">
        <f ca="1">IF(B6&lt;&gt;"",B6,"")</f>
        <v>Table H_ACDCSUP</v>
      </c>
      <c r="C136" s="26">
        <f>IF(C6&lt;&gt;"",C6,"")</f>
        <v>0</v>
      </c>
      <c r="D136" s="96">
        <f t="shared" ref="D136:AI143" si="29">IF(OR(D6=0,D6=1),1,0)</f>
        <v>0</v>
      </c>
      <c r="E136" s="96">
        <f t="shared" si="29"/>
        <v>0</v>
      </c>
      <c r="F136" s="96">
        <f t="shared" si="29"/>
        <v>0</v>
      </c>
      <c r="G136" s="96">
        <f t="shared" si="29"/>
        <v>0</v>
      </c>
      <c r="H136" s="96">
        <f t="shared" si="29"/>
        <v>0</v>
      </c>
      <c r="I136" s="96">
        <f t="shared" si="29"/>
        <v>0</v>
      </c>
      <c r="J136" s="96">
        <f>IF(OR(J6=0,J6=1),1,0)</f>
        <v>1</v>
      </c>
      <c r="K136" s="96">
        <f>IF(OR(K6=0,K6=1),1,0)</f>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1</v>
      </c>
      <c r="Z136" s="96">
        <f t="shared" si="29"/>
        <v>1</v>
      </c>
      <c r="AA136" s="96">
        <f>IF(OR(AA6=0,AA6=1),1,0)</f>
        <v>1</v>
      </c>
      <c r="AB136" s="96">
        <f>IF(OR(AB6=0,AB6=1),1,0)</f>
        <v>1</v>
      </c>
      <c r="AC136" s="96">
        <f t="shared" si="29"/>
        <v>1</v>
      </c>
      <c r="AD136" s="96">
        <f t="shared" si="29"/>
        <v>1</v>
      </c>
      <c r="AE136" s="96">
        <f t="shared" si="29"/>
        <v>1</v>
      </c>
      <c r="AF136" s="96">
        <f t="shared" si="29"/>
        <v>1</v>
      </c>
      <c r="AG136" s="96">
        <f t="shared" si="29"/>
        <v>1</v>
      </c>
      <c r="AH136" s="96">
        <f t="shared" si="29"/>
        <v>1</v>
      </c>
      <c r="AI136" s="96">
        <f t="shared" si="29"/>
        <v>1</v>
      </c>
      <c r="AJ136" s="26" t="str">
        <f t="shared" ref="AJ136:AJ199" si="30">IF(AJ6&lt;&gt;"",AJ6,"")</f>
        <v>BAT_DRAIN</v>
      </c>
      <c r="AK136" s="39"/>
      <c r="AL136" s="39" t="str">
        <f>BIN2HEX(AB136&amp;AC136&amp;AD136&amp;AE136&amp;AF136&amp;AG136&amp;AH136&amp;AI136,2)</f>
        <v>FF</v>
      </c>
      <c r="AM136" s="41" t="str">
        <f>BIN2HEX(T136&amp;U136&amp;V136&amp;W136&amp;X136&amp;Y136&amp;Z136&amp;AA136,2)</f>
        <v>07</v>
      </c>
      <c r="AN136" s="41" t="str">
        <f>BIN2HEX(L136&amp;M136&amp;N136&amp;O136&amp;P136&amp;Q136&amp;R136&amp;S136,2)</f>
        <v>00</v>
      </c>
      <c r="AO136" s="41"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(U4)0x020007FFU,                                                           /* 00 BAT_DRAIN                                       */</v>
      </c>
    </row>
    <row r="137" spans="1:43">
      <c r="B137" s="104"/>
      <c r="C137" s="26">
        <f t="shared" ref="C137:C199" si="32">IF(C7&lt;&gt;"",C7,"")</f>
        <v>1</v>
      </c>
      <c r="D137" s="96">
        <f t="shared" si="29"/>
        <v>0</v>
      </c>
      <c r="E137" s="96">
        <f t="shared" si="29"/>
        <v>0</v>
      </c>
      <c r="F137" s="96">
        <f t="shared" si="29"/>
        <v>0</v>
      </c>
      <c r="G137" s="96">
        <f t="shared" si="29"/>
        <v>0</v>
      </c>
      <c r="H137" s="96">
        <f t="shared" si="29"/>
        <v>0</v>
      </c>
      <c r="I137" s="96">
        <f t="shared" si="29"/>
        <v>0</v>
      </c>
      <c r="J137" s="96">
        <f>IF(OR(J7=0,J7=1),1,0)</f>
        <v>1</v>
      </c>
      <c r="K137" s="96">
        <f>IF(OR(K7=0,K7=1),1,0)</f>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1</v>
      </c>
      <c r="Z137" s="96">
        <f t="shared" si="29"/>
        <v>1</v>
      </c>
      <c r="AA137" s="96">
        <f>IF(OR(AA7=0,AA7=1),1,0)</f>
        <v>1</v>
      </c>
      <c r="AB137" s="96">
        <f>IF(OR(AB7=0,AB7=1),1,0)</f>
        <v>1</v>
      </c>
      <c r="AC137" s="96">
        <f t="shared" si="29"/>
        <v>1</v>
      </c>
      <c r="AD137" s="96">
        <f t="shared" si="29"/>
        <v>1</v>
      </c>
      <c r="AE137" s="96">
        <f t="shared" si="29"/>
        <v>1</v>
      </c>
      <c r="AF137" s="96">
        <f t="shared" si="29"/>
        <v>1</v>
      </c>
      <c r="AG137" s="96">
        <f t="shared" si="29"/>
        <v>1</v>
      </c>
      <c r="AH137" s="96">
        <f t="shared" si="29"/>
        <v>1</v>
      </c>
      <c r="AI137" s="96">
        <f t="shared" si="29"/>
        <v>1</v>
      </c>
      <c r="AJ137" s="26" t="str">
        <f t="shared" si="30"/>
        <v>NO_FUEL</v>
      </c>
      <c r="AK137" s="39"/>
      <c r="AL137" s="39" t="str">
        <f t="shared" ref="AL137:AL199" si="33">BIN2HEX(AB137&amp;AC137&amp;AD137&amp;AE137&amp;AF137&amp;AG137&amp;AH137&amp;AI137,2)</f>
        <v>FF</v>
      </c>
      <c r="AM137" s="41" t="str">
        <f t="shared" ref="AM137:AM199" si="34">BIN2HEX(T137&amp;U137&amp;V137&amp;W137&amp;X137&amp;Y137&amp;Z137&amp;AA137,2)</f>
        <v>07</v>
      </c>
      <c r="AN137" s="41" t="str">
        <f t="shared" ref="AN137:AN199" si="35">BIN2HEX(L137&amp;M137&amp;N137&amp;O137&amp;P137&amp;Q137&amp;R137&amp;S137,2)</f>
        <v>00</v>
      </c>
      <c r="AO137" s="41" t="str">
        <f t="shared" ref="AO137:AO199" si="36">BIN2HEX(D137&amp;E137&amp;F137&amp;G137&amp;H137&amp;I137&amp;J137&amp;K137,2)</f>
        <v>02</v>
      </c>
      <c r="AQ137" t="str">
        <f t="shared" si="31"/>
        <v xml:space="preserve">    (U4)0x020007FFU,                                                           /* 01 NO_FUEL                                         */</v>
      </c>
    </row>
    <row r="138" spans="1:43">
      <c r="B138" s="104"/>
      <c r="C138" s="26">
        <f t="shared" si="32"/>
        <v>2</v>
      </c>
      <c r="D138" s="96">
        <f t="shared" si="29"/>
        <v>0</v>
      </c>
      <c r="E138" s="96">
        <f t="shared" si="29"/>
        <v>0</v>
      </c>
      <c r="F138" s="96">
        <f t="shared" si="29"/>
        <v>0</v>
      </c>
      <c r="G138" s="96">
        <f t="shared" si="29"/>
        <v>0</v>
      </c>
      <c r="H138" s="96">
        <f t="shared" si="29"/>
        <v>0</v>
      </c>
      <c r="I138" s="96">
        <f t="shared" si="29"/>
        <v>0</v>
      </c>
      <c r="J138" s="96">
        <f t="shared" si="29"/>
        <v>1</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1</v>
      </c>
      <c r="Z138" s="96">
        <f t="shared" si="29"/>
        <v>1</v>
      </c>
      <c r="AA138" s="96">
        <f t="shared" si="29"/>
        <v>1</v>
      </c>
      <c r="AB138" s="96">
        <f t="shared" si="29"/>
        <v>1</v>
      </c>
      <c r="AC138" s="96">
        <f t="shared" si="29"/>
        <v>1</v>
      </c>
      <c r="AD138" s="96">
        <f t="shared" si="29"/>
        <v>1</v>
      </c>
      <c r="AE138" s="96">
        <f t="shared" si="29"/>
        <v>1</v>
      </c>
      <c r="AF138" s="96">
        <f t="shared" si="29"/>
        <v>1</v>
      </c>
      <c r="AG138" s="96">
        <f t="shared" si="29"/>
        <v>1</v>
      </c>
      <c r="AH138" s="96">
        <f t="shared" si="29"/>
        <v>1</v>
      </c>
      <c r="AI138" s="96">
        <f t="shared" si="29"/>
        <v>1</v>
      </c>
      <c r="AJ138" s="26" t="str">
        <f t="shared" si="30"/>
        <v>EXPOW</v>
      </c>
      <c r="AK138" s="39"/>
      <c r="AL138" s="39" t="str">
        <f t="shared" si="33"/>
        <v>FF</v>
      </c>
      <c r="AM138" s="41" t="str">
        <f t="shared" si="34"/>
        <v>07</v>
      </c>
      <c r="AN138" s="41" t="str">
        <f t="shared" si="35"/>
        <v>00</v>
      </c>
      <c r="AO138" s="41" t="str">
        <f t="shared" si="36"/>
        <v>02</v>
      </c>
      <c r="AQ138" t="str">
        <f t="shared" si="31"/>
        <v xml:space="preserve">    (U4)0x020007FFU,                                                           /* 02 EXPOW                                           */</v>
      </c>
    </row>
    <row r="139" spans="1:43">
      <c r="B139" s="104"/>
      <c r="C139" s="26">
        <f t="shared" si="32"/>
        <v>3</v>
      </c>
      <c r="D139" s="96">
        <f t="shared" si="29"/>
        <v>0</v>
      </c>
      <c r="E139" s="96">
        <f t="shared" si="29"/>
        <v>0</v>
      </c>
      <c r="F139" s="96">
        <f t="shared" si="29"/>
        <v>0</v>
      </c>
      <c r="G139" s="96">
        <f t="shared" si="29"/>
        <v>0</v>
      </c>
      <c r="H139" s="96">
        <f t="shared" si="29"/>
        <v>0</v>
      </c>
      <c r="I139" s="96">
        <f t="shared" si="29"/>
        <v>0</v>
      </c>
      <c r="J139" s="96">
        <f t="shared" si="29"/>
        <v>1</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1</v>
      </c>
      <c r="Z139" s="96">
        <f t="shared" si="29"/>
        <v>1</v>
      </c>
      <c r="AA139" s="96">
        <f t="shared" si="29"/>
        <v>1</v>
      </c>
      <c r="AB139" s="96">
        <f t="shared" si="29"/>
        <v>1</v>
      </c>
      <c r="AC139" s="96">
        <f t="shared" si="29"/>
        <v>1</v>
      </c>
      <c r="AD139" s="96">
        <f t="shared" si="29"/>
        <v>1</v>
      </c>
      <c r="AE139" s="96">
        <f t="shared" si="29"/>
        <v>1</v>
      </c>
      <c r="AF139" s="96">
        <f t="shared" si="29"/>
        <v>1</v>
      </c>
      <c r="AG139" s="96">
        <f t="shared" si="29"/>
        <v>1</v>
      </c>
      <c r="AH139" s="96">
        <f t="shared" si="29"/>
        <v>1</v>
      </c>
      <c r="AI139" s="96">
        <f t="shared" si="29"/>
        <v>1</v>
      </c>
      <c r="AJ139" s="26" t="str">
        <f t="shared" si="30"/>
        <v>EXPOW_VEH</v>
      </c>
      <c r="AK139" s="39"/>
      <c r="AL139" s="39" t="str">
        <f t="shared" si="33"/>
        <v>FF</v>
      </c>
      <c r="AM139" s="41" t="str">
        <f t="shared" si="34"/>
        <v>07</v>
      </c>
      <c r="AN139" s="41" t="str">
        <f t="shared" si="35"/>
        <v>00</v>
      </c>
      <c r="AO139" s="41" t="str">
        <f t="shared" si="36"/>
        <v>02</v>
      </c>
      <c r="AQ139" t="str">
        <f t="shared" si="31"/>
        <v xml:space="preserve">    (U4)0x020007FFU                                                            /* 03 EXPOW_VEH                                       */</v>
      </c>
    </row>
    <row r="140" spans="1:43">
      <c r="B140" s="104"/>
      <c r="C140" s="26">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0</v>
      </c>
      <c r="AE140" s="96">
        <f t="shared" si="29"/>
        <v>0</v>
      </c>
      <c r="AF140" s="96">
        <f t="shared" si="29"/>
        <v>0</v>
      </c>
      <c r="AG140" s="96">
        <f t="shared" si="29"/>
        <v>0</v>
      </c>
      <c r="AH140" s="96">
        <f t="shared" si="29"/>
        <v>0</v>
      </c>
      <c r="AI140" s="96">
        <f t="shared" si="29"/>
        <v>0</v>
      </c>
      <c r="AJ140" s="26" t="str">
        <f t="shared" si="30"/>
        <v/>
      </c>
      <c r="AK140" s="39"/>
      <c r="AL140" s="39" t="str">
        <f t="shared" si="33"/>
        <v>00</v>
      </c>
      <c r="AM140" s="41" t="str">
        <f t="shared" si="34"/>
        <v>00</v>
      </c>
      <c r="AN140" s="41" t="str">
        <f t="shared" si="35"/>
        <v>00</v>
      </c>
      <c r="AO140" s="41" t="str">
        <f t="shared" si="36"/>
        <v>00</v>
      </c>
      <c r="AQ140" t="str">
        <f t="shared" si="31"/>
        <v/>
      </c>
    </row>
    <row r="141" spans="1:43">
      <c r="B141" s="104"/>
      <c r="C141" s="26">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0</v>
      </c>
      <c r="AE141" s="96">
        <f t="shared" si="29"/>
        <v>0</v>
      </c>
      <c r="AF141" s="96">
        <f t="shared" si="29"/>
        <v>0</v>
      </c>
      <c r="AG141" s="96">
        <f t="shared" si="29"/>
        <v>0</v>
      </c>
      <c r="AH141" s="96">
        <f t="shared" si="29"/>
        <v>0</v>
      </c>
      <c r="AI141" s="96">
        <f t="shared" si="29"/>
        <v>0</v>
      </c>
      <c r="AJ141" s="26" t="str">
        <f t="shared" si="30"/>
        <v/>
      </c>
      <c r="AK141" s="39"/>
      <c r="AL141" s="39" t="str">
        <f t="shared" si="33"/>
        <v>00</v>
      </c>
      <c r="AM141" s="41" t="str">
        <f t="shared" si="34"/>
        <v>00</v>
      </c>
      <c r="AN141" s="41" t="str">
        <f t="shared" si="35"/>
        <v>00</v>
      </c>
      <c r="AO141" s="41" t="str">
        <f t="shared" si="36"/>
        <v>00</v>
      </c>
      <c r="AQ141" t="str">
        <f t="shared" si="31"/>
        <v/>
      </c>
    </row>
    <row r="142" spans="1:43">
      <c r="B142" s="104"/>
      <c r="C142" s="26">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0</v>
      </c>
      <c r="AE142" s="96">
        <f t="shared" si="29"/>
        <v>0</v>
      </c>
      <c r="AF142" s="96">
        <f t="shared" si="29"/>
        <v>0</v>
      </c>
      <c r="AG142" s="96">
        <f t="shared" si="29"/>
        <v>0</v>
      </c>
      <c r="AH142" s="96">
        <f t="shared" si="29"/>
        <v>0</v>
      </c>
      <c r="AI142" s="96">
        <f t="shared" si="29"/>
        <v>0</v>
      </c>
      <c r="AJ142" s="26" t="str">
        <f t="shared" si="30"/>
        <v/>
      </c>
      <c r="AK142" s="39"/>
      <c r="AL142" s="39" t="str">
        <f t="shared" si="33"/>
        <v>00</v>
      </c>
      <c r="AM142" s="41" t="str">
        <f t="shared" si="34"/>
        <v>00</v>
      </c>
      <c r="AN142" s="41" t="str">
        <f t="shared" si="35"/>
        <v>00</v>
      </c>
      <c r="AO142" s="41" t="str">
        <f t="shared" si="36"/>
        <v>00</v>
      </c>
      <c r="AQ142" t="str">
        <f t="shared" si="31"/>
        <v/>
      </c>
    </row>
    <row r="143" spans="1:43">
      <c r="B143" s="104"/>
      <c r="C143" s="26">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0</v>
      </c>
      <c r="AE143" s="96">
        <f t="shared" si="29"/>
        <v>0</v>
      </c>
      <c r="AF143" s="96">
        <f t="shared" si="29"/>
        <v>0</v>
      </c>
      <c r="AG143" s="96">
        <f t="shared" si="29"/>
        <v>0</v>
      </c>
      <c r="AH143" s="96">
        <f t="shared" si="29"/>
        <v>0</v>
      </c>
      <c r="AI143" s="96">
        <f t="shared" ref="AI143" si="37">IF(OR(AI13=0,AI13=1),1,0)</f>
        <v>0</v>
      </c>
      <c r="AJ143" s="26" t="str">
        <f t="shared" si="30"/>
        <v/>
      </c>
      <c r="AK143" s="39"/>
      <c r="AL143" s="39" t="str">
        <f t="shared" si="33"/>
        <v>00</v>
      </c>
      <c r="AM143" s="41" t="str">
        <f t="shared" si="34"/>
        <v>00</v>
      </c>
      <c r="AN143" s="41" t="str">
        <f t="shared" si="35"/>
        <v>00</v>
      </c>
      <c r="AO143" s="41" t="str">
        <f t="shared" si="36"/>
        <v>00</v>
      </c>
      <c r="AQ143" t="str">
        <f t="shared" si="31"/>
        <v/>
      </c>
    </row>
    <row r="144" spans="1:43">
      <c r="B144" s="104"/>
      <c r="C144" s="26">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0</v>
      </c>
      <c r="AE144" s="96">
        <f t="shared" si="38"/>
        <v>0</v>
      </c>
      <c r="AF144" s="96">
        <f t="shared" si="38"/>
        <v>0</v>
      </c>
      <c r="AG144" s="96">
        <f t="shared" si="38"/>
        <v>0</v>
      </c>
      <c r="AH144" s="96">
        <f t="shared" si="38"/>
        <v>0</v>
      </c>
      <c r="AI144" s="96">
        <f t="shared" si="38"/>
        <v>0</v>
      </c>
      <c r="AJ144" s="26" t="str">
        <f t="shared" si="30"/>
        <v/>
      </c>
      <c r="AK144" s="39"/>
      <c r="AL144" s="39" t="str">
        <f t="shared" si="33"/>
        <v>00</v>
      </c>
      <c r="AM144" s="41" t="str">
        <f t="shared" si="34"/>
        <v>00</v>
      </c>
      <c r="AN144" s="41" t="str">
        <f t="shared" si="35"/>
        <v>00</v>
      </c>
      <c r="AO144" s="41" t="str">
        <f t="shared" si="36"/>
        <v>00</v>
      </c>
      <c r="AQ144" t="str">
        <f t="shared" si="31"/>
        <v/>
      </c>
    </row>
    <row r="145" spans="2:43">
      <c r="B145" s="104"/>
      <c r="C145" s="26">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0</v>
      </c>
      <c r="AE145" s="96">
        <f t="shared" si="38"/>
        <v>0</v>
      </c>
      <c r="AF145" s="96">
        <f t="shared" si="38"/>
        <v>0</v>
      </c>
      <c r="AG145" s="96">
        <f t="shared" si="38"/>
        <v>0</v>
      </c>
      <c r="AH145" s="96">
        <f t="shared" si="38"/>
        <v>0</v>
      </c>
      <c r="AI145" s="96">
        <f t="shared" si="38"/>
        <v>0</v>
      </c>
      <c r="AJ145" s="26" t="str">
        <f t="shared" si="30"/>
        <v/>
      </c>
      <c r="AK145" s="39"/>
      <c r="AL145" s="39" t="str">
        <f t="shared" si="33"/>
        <v>00</v>
      </c>
      <c r="AM145" s="41" t="str">
        <f t="shared" si="34"/>
        <v>00</v>
      </c>
      <c r="AN145" s="41" t="str">
        <f t="shared" si="35"/>
        <v>00</v>
      </c>
      <c r="AO145" s="41" t="str">
        <f t="shared" si="36"/>
        <v>00</v>
      </c>
      <c r="AQ145" t="str">
        <f t="shared" si="31"/>
        <v/>
      </c>
    </row>
    <row r="146" spans="2:43">
      <c r="B146" s="104"/>
      <c r="C146" s="26">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0</v>
      </c>
      <c r="AE146" s="96">
        <f t="shared" si="38"/>
        <v>0</v>
      </c>
      <c r="AF146" s="96">
        <f t="shared" si="38"/>
        <v>0</v>
      </c>
      <c r="AG146" s="96">
        <f t="shared" si="38"/>
        <v>0</v>
      </c>
      <c r="AH146" s="96">
        <f t="shared" si="38"/>
        <v>0</v>
      </c>
      <c r="AI146" s="96">
        <f t="shared" si="38"/>
        <v>0</v>
      </c>
      <c r="AJ146" s="26" t="str">
        <f t="shared" si="30"/>
        <v/>
      </c>
      <c r="AK146" s="39"/>
      <c r="AL146" s="39" t="str">
        <f t="shared" si="33"/>
        <v>00</v>
      </c>
      <c r="AM146" s="41" t="str">
        <f t="shared" si="34"/>
        <v>00</v>
      </c>
      <c r="AN146" s="41" t="str">
        <f t="shared" si="35"/>
        <v>00</v>
      </c>
      <c r="AO146" s="41" t="str">
        <f t="shared" si="36"/>
        <v>00</v>
      </c>
      <c r="AQ146" t="str">
        <f t="shared" si="31"/>
        <v/>
      </c>
    </row>
    <row r="147" spans="2:43">
      <c r="B147" s="104"/>
      <c r="C147" s="26">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0</v>
      </c>
      <c r="AE147" s="96">
        <f t="shared" si="38"/>
        <v>0</v>
      </c>
      <c r="AF147" s="96">
        <f t="shared" si="38"/>
        <v>0</v>
      </c>
      <c r="AG147" s="96">
        <f t="shared" si="38"/>
        <v>0</v>
      </c>
      <c r="AH147" s="96">
        <f t="shared" si="38"/>
        <v>0</v>
      </c>
      <c r="AI147" s="96">
        <f t="shared" si="38"/>
        <v>0</v>
      </c>
      <c r="AJ147" s="26" t="str">
        <f t="shared" si="30"/>
        <v/>
      </c>
      <c r="AK147" s="39"/>
      <c r="AL147" s="39" t="str">
        <f t="shared" si="33"/>
        <v>00</v>
      </c>
      <c r="AM147" s="41" t="str">
        <f t="shared" si="34"/>
        <v>00</v>
      </c>
      <c r="AN147" s="41" t="str">
        <f t="shared" si="35"/>
        <v>00</v>
      </c>
      <c r="AO147" s="41" t="str">
        <f t="shared" si="36"/>
        <v>00</v>
      </c>
      <c r="AQ147" t="str">
        <f t="shared" si="31"/>
        <v/>
      </c>
    </row>
    <row r="148" spans="2:43">
      <c r="B148" s="104"/>
      <c r="C148" s="26">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0</v>
      </c>
      <c r="AE148" s="96">
        <f t="shared" si="38"/>
        <v>0</v>
      </c>
      <c r="AF148" s="96">
        <f t="shared" si="38"/>
        <v>0</v>
      </c>
      <c r="AG148" s="96">
        <f t="shared" si="38"/>
        <v>0</v>
      </c>
      <c r="AH148" s="96">
        <f t="shared" si="38"/>
        <v>0</v>
      </c>
      <c r="AI148" s="96">
        <f t="shared" si="38"/>
        <v>0</v>
      </c>
      <c r="AJ148" s="26" t="str">
        <f t="shared" si="30"/>
        <v/>
      </c>
      <c r="AK148" s="39"/>
      <c r="AL148" s="39" t="str">
        <f t="shared" si="33"/>
        <v>00</v>
      </c>
      <c r="AM148" s="41" t="str">
        <f t="shared" si="34"/>
        <v>00</v>
      </c>
      <c r="AN148" s="41" t="str">
        <f t="shared" si="35"/>
        <v>00</v>
      </c>
      <c r="AO148" s="41" t="str">
        <f t="shared" si="36"/>
        <v>00</v>
      </c>
      <c r="AQ148" t="str">
        <f t="shared" si="31"/>
        <v/>
      </c>
    </row>
    <row r="149" spans="2:43">
      <c r="B149" s="104"/>
      <c r="C149" s="26">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0</v>
      </c>
      <c r="AE149" s="96">
        <f t="shared" si="38"/>
        <v>0</v>
      </c>
      <c r="AF149" s="96">
        <f t="shared" si="38"/>
        <v>0</v>
      </c>
      <c r="AG149" s="96">
        <f t="shared" si="38"/>
        <v>0</v>
      </c>
      <c r="AH149" s="96">
        <f t="shared" si="38"/>
        <v>0</v>
      </c>
      <c r="AI149" s="96">
        <f t="shared" si="38"/>
        <v>0</v>
      </c>
      <c r="AJ149" s="26" t="str">
        <f t="shared" si="30"/>
        <v/>
      </c>
      <c r="AK149" s="39"/>
      <c r="AL149" s="39" t="str">
        <f t="shared" si="33"/>
        <v>00</v>
      </c>
      <c r="AM149" s="41" t="str">
        <f t="shared" si="34"/>
        <v>00</v>
      </c>
      <c r="AN149" s="41" t="str">
        <f t="shared" si="35"/>
        <v>00</v>
      </c>
      <c r="AO149" s="41" t="str">
        <f t="shared" si="36"/>
        <v>00</v>
      </c>
      <c r="AQ149" t="str">
        <f t="shared" si="31"/>
        <v/>
      </c>
    </row>
    <row r="150" spans="2:43">
      <c r="B150" s="104"/>
      <c r="C150" s="26">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0</v>
      </c>
      <c r="AE150" s="96">
        <f t="shared" si="38"/>
        <v>0</v>
      </c>
      <c r="AF150" s="96">
        <f t="shared" si="38"/>
        <v>0</v>
      </c>
      <c r="AG150" s="96">
        <f t="shared" si="38"/>
        <v>0</v>
      </c>
      <c r="AH150" s="96">
        <f t="shared" si="38"/>
        <v>0</v>
      </c>
      <c r="AI150" s="96">
        <f t="shared" si="38"/>
        <v>0</v>
      </c>
      <c r="AJ150" s="26" t="str">
        <f t="shared" si="30"/>
        <v/>
      </c>
      <c r="AK150" s="39"/>
      <c r="AL150" s="39" t="str">
        <f t="shared" si="33"/>
        <v>00</v>
      </c>
      <c r="AM150" s="41" t="str">
        <f t="shared" si="34"/>
        <v>00</v>
      </c>
      <c r="AN150" s="41" t="str">
        <f t="shared" si="35"/>
        <v>00</v>
      </c>
      <c r="AO150" s="41" t="str">
        <f t="shared" si="36"/>
        <v>00</v>
      </c>
      <c r="AQ150" t="str">
        <f t="shared" si="31"/>
        <v/>
      </c>
    </row>
    <row r="151" spans="2:43">
      <c r="B151" s="104"/>
      <c r="C151" s="26">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0</v>
      </c>
      <c r="AE151" s="96">
        <f t="shared" si="38"/>
        <v>0</v>
      </c>
      <c r="AF151" s="96">
        <f t="shared" si="38"/>
        <v>0</v>
      </c>
      <c r="AG151" s="96">
        <f t="shared" si="38"/>
        <v>0</v>
      </c>
      <c r="AH151" s="96">
        <f t="shared" si="38"/>
        <v>0</v>
      </c>
      <c r="AI151" s="96">
        <f t="shared" ref="AI151" si="39">IF(OR(AI21=0,AI21=1),1,0)</f>
        <v>0</v>
      </c>
      <c r="AJ151" s="26" t="str">
        <f t="shared" si="30"/>
        <v/>
      </c>
      <c r="AK151" s="39"/>
      <c r="AL151" s="39" t="str">
        <f t="shared" si="33"/>
        <v>00</v>
      </c>
      <c r="AM151" s="41" t="str">
        <f t="shared" si="34"/>
        <v>00</v>
      </c>
      <c r="AN151" s="41" t="str">
        <f t="shared" si="35"/>
        <v>00</v>
      </c>
      <c r="AO151" s="41" t="str">
        <f t="shared" si="36"/>
        <v>00</v>
      </c>
      <c r="AQ151" t="str">
        <f t="shared" si="31"/>
        <v/>
      </c>
    </row>
    <row r="152" spans="2:43">
      <c r="B152" s="104"/>
      <c r="C152" s="26">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0</v>
      </c>
      <c r="AE152" s="96">
        <f t="shared" si="40"/>
        <v>0</v>
      </c>
      <c r="AF152" s="96">
        <f t="shared" si="40"/>
        <v>0</v>
      </c>
      <c r="AG152" s="96">
        <f t="shared" si="40"/>
        <v>0</v>
      </c>
      <c r="AH152" s="96">
        <f t="shared" si="40"/>
        <v>0</v>
      </c>
      <c r="AI152" s="96">
        <f t="shared" si="40"/>
        <v>0</v>
      </c>
      <c r="AJ152" s="26" t="str">
        <f t="shared" si="30"/>
        <v/>
      </c>
      <c r="AK152" s="39"/>
      <c r="AL152" s="39" t="str">
        <f t="shared" si="33"/>
        <v>00</v>
      </c>
      <c r="AM152" s="41" t="str">
        <f t="shared" si="34"/>
        <v>00</v>
      </c>
      <c r="AN152" s="41" t="str">
        <f t="shared" si="35"/>
        <v>00</v>
      </c>
      <c r="AO152" s="41" t="str">
        <f t="shared" si="36"/>
        <v>00</v>
      </c>
      <c r="AQ152" t="str">
        <f t="shared" si="31"/>
        <v/>
      </c>
    </row>
    <row r="153" spans="2:43">
      <c r="B153" s="104"/>
      <c r="C153" s="26">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0</v>
      </c>
      <c r="AE153" s="96">
        <f t="shared" si="40"/>
        <v>0</v>
      </c>
      <c r="AF153" s="96">
        <f t="shared" si="40"/>
        <v>0</v>
      </c>
      <c r="AG153" s="96">
        <f t="shared" si="40"/>
        <v>0</v>
      </c>
      <c r="AH153" s="96">
        <f t="shared" si="40"/>
        <v>0</v>
      </c>
      <c r="AI153" s="96">
        <f t="shared" si="40"/>
        <v>0</v>
      </c>
      <c r="AJ153" s="26" t="str">
        <f t="shared" si="30"/>
        <v/>
      </c>
      <c r="AK153" s="39"/>
      <c r="AL153" s="39" t="str">
        <f t="shared" si="33"/>
        <v>00</v>
      </c>
      <c r="AM153" s="41" t="str">
        <f t="shared" si="34"/>
        <v>00</v>
      </c>
      <c r="AN153" s="41" t="str">
        <f t="shared" si="35"/>
        <v>00</v>
      </c>
      <c r="AO153" s="41" t="str">
        <f t="shared" si="36"/>
        <v>00</v>
      </c>
      <c r="AQ153" t="str">
        <f t="shared" si="31"/>
        <v/>
      </c>
    </row>
    <row r="154" spans="2:43">
      <c r="B154" s="104"/>
      <c r="C154" s="26">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0</v>
      </c>
      <c r="AE154" s="96">
        <f t="shared" si="40"/>
        <v>0</v>
      </c>
      <c r="AF154" s="96">
        <f t="shared" si="40"/>
        <v>0</v>
      </c>
      <c r="AG154" s="96">
        <f t="shared" si="40"/>
        <v>0</v>
      </c>
      <c r="AH154" s="96">
        <f t="shared" si="40"/>
        <v>0</v>
      </c>
      <c r="AI154" s="96">
        <f t="shared" si="40"/>
        <v>0</v>
      </c>
      <c r="AJ154" s="26" t="str">
        <f t="shared" si="30"/>
        <v/>
      </c>
      <c r="AK154" s="39"/>
      <c r="AL154" s="39" t="str">
        <f t="shared" si="33"/>
        <v>00</v>
      </c>
      <c r="AM154" s="41" t="str">
        <f t="shared" si="34"/>
        <v>00</v>
      </c>
      <c r="AN154" s="41" t="str">
        <f t="shared" si="35"/>
        <v>00</v>
      </c>
      <c r="AO154" s="41" t="str">
        <f t="shared" si="36"/>
        <v>00</v>
      </c>
      <c r="AQ154" t="str">
        <f t="shared" si="31"/>
        <v/>
      </c>
    </row>
    <row r="155" spans="2:43">
      <c r="B155" s="104"/>
      <c r="C155" s="26">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0</v>
      </c>
      <c r="AE155" s="96">
        <f t="shared" si="40"/>
        <v>0</v>
      </c>
      <c r="AF155" s="96">
        <f t="shared" si="40"/>
        <v>0</v>
      </c>
      <c r="AG155" s="96">
        <f t="shared" si="40"/>
        <v>0</v>
      </c>
      <c r="AH155" s="96">
        <f t="shared" si="40"/>
        <v>0</v>
      </c>
      <c r="AI155" s="96">
        <f t="shared" si="40"/>
        <v>0</v>
      </c>
      <c r="AJ155" s="26" t="str">
        <f t="shared" si="30"/>
        <v/>
      </c>
      <c r="AK155" s="39"/>
      <c r="AL155" s="39" t="str">
        <f t="shared" si="33"/>
        <v>00</v>
      </c>
      <c r="AM155" s="41" t="str">
        <f t="shared" si="34"/>
        <v>00</v>
      </c>
      <c r="AN155" s="41" t="str">
        <f t="shared" si="35"/>
        <v>00</v>
      </c>
      <c r="AO155" s="41" t="str">
        <f t="shared" si="36"/>
        <v>00</v>
      </c>
      <c r="AQ155" t="str">
        <f t="shared" si="31"/>
        <v/>
      </c>
    </row>
    <row r="156" spans="2:43">
      <c r="B156" s="104"/>
      <c r="C156" s="26">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0</v>
      </c>
      <c r="AE156" s="96">
        <f t="shared" si="40"/>
        <v>0</v>
      </c>
      <c r="AF156" s="96">
        <f t="shared" si="40"/>
        <v>0</v>
      </c>
      <c r="AG156" s="96">
        <f t="shared" si="40"/>
        <v>0</v>
      </c>
      <c r="AH156" s="96">
        <f t="shared" si="40"/>
        <v>0</v>
      </c>
      <c r="AI156" s="96">
        <f t="shared" si="40"/>
        <v>0</v>
      </c>
      <c r="AJ156" s="26" t="str">
        <f t="shared" si="30"/>
        <v/>
      </c>
      <c r="AK156" s="39"/>
      <c r="AL156" s="39" t="str">
        <f t="shared" si="33"/>
        <v>00</v>
      </c>
      <c r="AM156" s="41" t="str">
        <f t="shared" si="34"/>
        <v>00</v>
      </c>
      <c r="AN156" s="41" t="str">
        <f t="shared" si="35"/>
        <v>00</v>
      </c>
      <c r="AO156" s="41" t="str">
        <f t="shared" si="36"/>
        <v>00</v>
      </c>
      <c r="AQ156" t="str">
        <f t="shared" si="31"/>
        <v/>
      </c>
    </row>
    <row r="157" spans="2:43">
      <c r="B157" s="104"/>
      <c r="C157" s="26">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0</v>
      </c>
      <c r="AE157" s="96">
        <f t="shared" si="40"/>
        <v>0</v>
      </c>
      <c r="AF157" s="96">
        <f t="shared" si="40"/>
        <v>0</v>
      </c>
      <c r="AG157" s="96">
        <f t="shared" si="40"/>
        <v>0</v>
      </c>
      <c r="AH157" s="96">
        <f t="shared" si="40"/>
        <v>0</v>
      </c>
      <c r="AI157" s="96">
        <f t="shared" si="40"/>
        <v>0</v>
      </c>
      <c r="AJ157" s="26" t="str">
        <f t="shared" si="30"/>
        <v/>
      </c>
      <c r="AK157" s="39"/>
      <c r="AL157" s="39" t="str">
        <f t="shared" si="33"/>
        <v>00</v>
      </c>
      <c r="AM157" s="41" t="str">
        <f t="shared" si="34"/>
        <v>00</v>
      </c>
      <c r="AN157" s="41" t="str">
        <f t="shared" si="35"/>
        <v>00</v>
      </c>
      <c r="AO157" s="41" t="str">
        <f t="shared" si="36"/>
        <v>00</v>
      </c>
      <c r="AQ157" t="str">
        <f t="shared" si="31"/>
        <v/>
      </c>
    </row>
    <row r="158" spans="2:43">
      <c r="B158" s="104"/>
      <c r="C158" s="26">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0</v>
      </c>
      <c r="AE158" s="96">
        <f t="shared" si="40"/>
        <v>0</v>
      </c>
      <c r="AF158" s="96">
        <f t="shared" si="40"/>
        <v>0</v>
      </c>
      <c r="AG158" s="96">
        <f t="shared" si="40"/>
        <v>0</v>
      </c>
      <c r="AH158" s="96">
        <f t="shared" si="40"/>
        <v>0</v>
      </c>
      <c r="AI158" s="96">
        <f t="shared" si="40"/>
        <v>0</v>
      </c>
      <c r="AJ158" s="26" t="str">
        <f t="shared" si="30"/>
        <v/>
      </c>
      <c r="AK158" s="39"/>
      <c r="AL158" s="39" t="str">
        <f t="shared" si="33"/>
        <v>00</v>
      </c>
      <c r="AM158" s="41" t="str">
        <f t="shared" si="34"/>
        <v>00</v>
      </c>
      <c r="AN158" s="41" t="str">
        <f t="shared" si="35"/>
        <v>00</v>
      </c>
      <c r="AO158" s="41" t="str">
        <f t="shared" si="36"/>
        <v>00</v>
      </c>
      <c r="AQ158" t="str">
        <f t="shared" si="31"/>
        <v/>
      </c>
    </row>
    <row r="159" spans="2:43">
      <c r="B159" s="104"/>
      <c r="C159" s="26">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0</v>
      </c>
      <c r="AE159" s="96">
        <f t="shared" si="40"/>
        <v>0</v>
      </c>
      <c r="AF159" s="96">
        <f t="shared" si="40"/>
        <v>0</v>
      </c>
      <c r="AG159" s="96">
        <f t="shared" si="40"/>
        <v>0</v>
      </c>
      <c r="AH159" s="96">
        <f t="shared" si="40"/>
        <v>0</v>
      </c>
      <c r="AI159" s="96">
        <f t="shared" ref="AI159" si="41">IF(OR(AI29=0,AI29=1),1,0)</f>
        <v>0</v>
      </c>
      <c r="AJ159" s="26" t="str">
        <f t="shared" si="30"/>
        <v/>
      </c>
      <c r="AK159" s="39"/>
      <c r="AL159" s="39" t="str">
        <f t="shared" si="33"/>
        <v>00</v>
      </c>
      <c r="AM159" s="41" t="str">
        <f t="shared" si="34"/>
        <v>00</v>
      </c>
      <c r="AN159" s="41" t="str">
        <f t="shared" si="35"/>
        <v>00</v>
      </c>
      <c r="AO159" s="41" t="str">
        <f t="shared" si="36"/>
        <v>00</v>
      </c>
      <c r="AQ159" t="str">
        <f t="shared" si="31"/>
        <v/>
      </c>
    </row>
    <row r="160" spans="2:43">
      <c r="B160" s="104"/>
      <c r="C160" s="26">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0</v>
      </c>
      <c r="AE160" s="96">
        <f t="shared" si="42"/>
        <v>0</v>
      </c>
      <c r="AF160" s="96">
        <f t="shared" si="42"/>
        <v>0</v>
      </c>
      <c r="AG160" s="96">
        <f t="shared" si="42"/>
        <v>0</v>
      </c>
      <c r="AH160" s="96">
        <f t="shared" si="42"/>
        <v>0</v>
      </c>
      <c r="AI160" s="96">
        <f t="shared" si="42"/>
        <v>0</v>
      </c>
      <c r="AJ160" s="26" t="str">
        <f t="shared" si="30"/>
        <v/>
      </c>
      <c r="AK160" s="39"/>
      <c r="AL160" s="39" t="str">
        <f t="shared" si="33"/>
        <v>00</v>
      </c>
      <c r="AM160" s="41" t="str">
        <f t="shared" si="34"/>
        <v>00</v>
      </c>
      <c r="AN160" s="41" t="str">
        <f t="shared" si="35"/>
        <v>00</v>
      </c>
      <c r="AO160" s="41" t="str">
        <f t="shared" si="36"/>
        <v>00</v>
      </c>
      <c r="AQ160" t="str">
        <f t="shared" si="31"/>
        <v/>
      </c>
    </row>
    <row r="161" spans="2:43">
      <c r="B161" s="104"/>
      <c r="C161" s="26">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0</v>
      </c>
      <c r="AE161" s="96">
        <f t="shared" si="42"/>
        <v>0</v>
      </c>
      <c r="AF161" s="96">
        <f t="shared" si="42"/>
        <v>0</v>
      </c>
      <c r="AG161" s="96">
        <f t="shared" si="42"/>
        <v>0</v>
      </c>
      <c r="AH161" s="96">
        <f t="shared" si="42"/>
        <v>0</v>
      </c>
      <c r="AI161" s="96">
        <f t="shared" si="42"/>
        <v>0</v>
      </c>
      <c r="AJ161" s="26" t="str">
        <f t="shared" si="30"/>
        <v/>
      </c>
      <c r="AK161" s="39"/>
      <c r="AL161" s="39" t="str">
        <f t="shared" si="33"/>
        <v>00</v>
      </c>
      <c r="AM161" s="41" t="str">
        <f t="shared" si="34"/>
        <v>00</v>
      </c>
      <c r="AN161" s="41" t="str">
        <f t="shared" si="35"/>
        <v>00</v>
      </c>
      <c r="AO161" s="41" t="str">
        <f t="shared" si="36"/>
        <v>00</v>
      </c>
      <c r="AQ161" t="str">
        <f t="shared" si="31"/>
        <v/>
      </c>
    </row>
    <row r="162" spans="2:43">
      <c r="B162" s="104"/>
      <c r="C162" s="26">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0</v>
      </c>
      <c r="AE162" s="96">
        <f t="shared" si="42"/>
        <v>0</v>
      </c>
      <c r="AF162" s="96">
        <f t="shared" si="42"/>
        <v>0</v>
      </c>
      <c r="AG162" s="96">
        <f t="shared" si="42"/>
        <v>0</v>
      </c>
      <c r="AH162" s="96">
        <f t="shared" si="42"/>
        <v>0</v>
      </c>
      <c r="AI162" s="96">
        <f t="shared" si="42"/>
        <v>0</v>
      </c>
      <c r="AJ162" s="26" t="str">
        <f t="shared" si="30"/>
        <v/>
      </c>
      <c r="AK162" s="39"/>
      <c r="AL162" s="39" t="str">
        <f t="shared" si="33"/>
        <v>00</v>
      </c>
      <c r="AM162" s="41" t="str">
        <f t="shared" si="34"/>
        <v>00</v>
      </c>
      <c r="AN162" s="41" t="str">
        <f t="shared" si="35"/>
        <v>00</v>
      </c>
      <c r="AO162" s="41" t="str">
        <f t="shared" si="36"/>
        <v>00</v>
      </c>
      <c r="AQ162" t="str">
        <f t="shared" si="31"/>
        <v/>
      </c>
    </row>
    <row r="163" spans="2:43">
      <c r="B163" s="104"/>
      <c r="C163" s="26">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0</v>
      </c>
      <c r="AE163" s="96">
        <f t="shared" si="42"/>
        <v>0</v>
      </c>
      <c r="AF163" s="96">
        <f t="shared" si="42"/>
        <v>0</v>
      </c>
      <c r="AG163" s="96">
        <f t="shared" si="42"/>
        <v>0</v>
      </c>
      <c r="AH163" s="96">
        <f t="shared" si="42"/>
        <v>0</v>
      </c>
      <c r="AI163" s="96">
        <f t="shared" si="42"/>
        <v>0</v>
      </c>
      <c r="AJ163" s="26" t="str">
        <f t="shared" si="30"/>
        <v/>
      </c>
      <c r="AK163" s="39"/>
      <c r="AL163" s="39" t="str">
        <f t="shared" si="33"/>
        <v>00</v>
      </c>
      <c r="AM163" s="41" t="str">
        <f t="shared" si="34"/>
        <v>00</v>
      </c>
      <c r="AN163" s="41" t="str">
        <f t="shared" si="35"/>
        <v>00</v>
      </c>
      <c r="AO163" s="41" t="str">
        <f t="shared" si="36"/>
        <v>00</v>
      </c>
      <c r="AQ163" t="str">
        <f t="shared" si="31"/>
        <v/>
      </c>
    </row>
    <row r="164" spans="2:43">
      <c r="B164" s="104"/>
      <c r="C164" s="26">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0</v>
      </c>
      <c r="AE164" s="96">
        <f t="shared" si="42"/>
        <v>0</v>
      </c>
      <c r="AF164" s="96">
        <f t="shared" si="42"/>
        <v>0</v>
      </c>
      <c r="AG164" s="96">
        <f t="shared" si="42"/>
        <v>0</v>
      </c>
      <c r="AH164" s="96">
        <f t="shared" si="42"/>
        <v>0</v>
      </c>
      <c r="AI164" s="96">
        <f t="shared" si="42"/>
        <v>0</v>
      </c>
      <c r="AJ164" s="26" t="str">
        <f t="shared" si="30"/>
        <v/>
      </c>
      <c r="AK164" s="39"/>
      <c r="AL164" s="39" t="str">
        <f t="shared" si="33"/>
        <v>00</v>
      </c>
      <c r="AM164" s="41" t="str">
        <f t="shared" si="34"/>
        <v>00</v>
      </c>
      <c r="AN164" s="41" t="str">
        <f t="shared" si="35"/>
        <v>00</v>
      </c>
      <c r="AO164" s="41" t="str">
        <f t="shared" si="36"/>
        <v>00</v>
      </c>
      <c r="AQ164" t="str">
        <f t="shared" si="31"/>
        <v/>
      </c>
    </row>
    <row r="165" spans="2:43">
      <c r="B165" s="104"/>
      <c r="C165" s="26">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0</v>
      </c>
      <c r="AE165" s="96">
        <f t="shared" si="42"/>
        <v>0</v>
      </c>
      <c r="AF165" s="96">
        <f t="shared" si="42"/>
        <v>0</v>
      </c>
      <c r="AG165" s="96">
        <f t="shared" si="42"/>
        <v>0</v>
      </c>
      <c r="AH165" s="96">
        <f t="shared" si="42"/>
        <v>0</v>
      </c>
      <c r="AI165" s="96">
        <f t="shared" si="42"/>
        <v>0</v>
      </c>
      <c r="AJ165" s="26" t="str">
        <f t="shared" si="30"/>
        <v/>
      </c>
      <c r="AK165" s="39"/>
      <c r="AL165" s="39" t="str">
        <f t="shared" si="33"/>
        <v>00</v>
      </c>
      <c r="AM165" s="41" t="str">
        <f t="shared" si="34"/>
        <v>00</v>
      </c>
      <c r="AN165" s="41" t="str">
        <f t="shared" si="35"/>
        <v>00</v>
      </c>
      <c r="AO165" s="41" t="str">
        <f t="shared" si="36"/>
        <v>00</v>
      </c>
      <c r="AQ165" t="str">
        <f t="shared" si="31"/>
        <v/>
      </c>
    </row>
    <row r="166" spans="2:43">
      <c r="B166" s="104"/>
      <c r="C166" s="26">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0</v>
      </c>
      <c r="AE166" s="96">
        <f t="shared" si="42"/>
        <v>0</v>
      </c>
      <c r="AF166" s="96">
        <f t="shared" si="42"/>
        <v>0</v>
      </c>
      <c r="AG166" s="96">
        <f t="shared" si="42"/>
        <v>0</v>
      </c>
      <c r="AH166" s="96">
        <f t="shared" si="42"/>
        <v>0</v>
      </c>
      <c r="AI166" s="96">
        <f t="shared" si="42"/>
        <v>0</v>
      </c>
      <c r="AJ166" s="26" t="str">
        <f t="shared" si="30"/>
        <v/>
      </c>
      <c r="AK166" s="39"/>
      <c r="AL166" s="39" t="str">
        <f t="shared" si="33"/>
        <v>00</v>
      </c>
      <c r="AM166" s="41" t="str">
        <f t="shared" si="34"/>
        <v>00</v>
      </c>
      <c r="AN166" s="41" t="str">
        <f t="shared" si="35"/>
        <v>00</v>
      </c>
      <c r="AO166" s="41" t="str">
        <f t="shared" si="36"/>
        <v>00</v>
      </c>
      <c r="AQ166" t="str">
        <f t="shared" si="31"/>
        <v/>
      </c>
    </row>
    <row r="167" spans="2:43">
      <c r="B167" s="104"/>
      <c r="C167" s="26">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0</v>
      </c>
      <c r="AE167" s="96">
        <f t="shared" si="42"/>
        <v>0</v>
      </c>
      <c r="AF167" s="96">
        <f t="shared" si="42"/>
        <v>0</v>
      </c>
      <c r="AG167" s="96">
        <f t="shared" si="42"/>
        <v>0</v>
      </c>
      <c r="AH167" s="96">
        <f t="shared" si="42"/>
        <v>0</v>
      </c>
      <c r="AI167" s="96">
        <f t="shared" ref="AI167" si="43">IF(OR(AI37=0,AI37=1),1,0)</f>
        <v>0</v>
      </c>
      <c r="AJ167" s="26" t="str">
        <f t="shared" si="30"/>
        <v/>
      </c>
      <c r="AK167" s="39"/>
      <c r="AL167" s="39" t="str">
        <f t="shared" si="33"/>
        <v>00</v>
      </c>
      <c r="AM167" s="41" t="str">
        <f t="shared" si="34"/>
        <v>00</v>
      </c>
      <c r="AN167" s="41" t="str">
        <f t="shared" si="35"/>
        <v>00</v>
      </c>
      <c r="AO167" s="41" t="str">
        <f t="shared" si="36"/>
        <v>00</v>
      </c>
      <c r="AQ167" t="str">
        <f t="shared" si="31"/>
        <v/>
      </c>
    </row>
    <row r="168" spans="2:43">
      <c r="B168" s="104"/>
      <c r="C168" s="26">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0</v>
      </c>
      <c r="AE168" s="96">
        <f t="shared" si="44"/>
        <v>0</v>
      </c>
      <c r="AF168" s="96">
        <f t="shared" si="44"/>
        <v>0</v>
      </c>
      <c r="AG168" s="96">
        <f t="shared" si="44"/>
        <v>0</v>
      </c>
      <c r="AH168" s="96">
        <f t="shared" si="44"/>
        <v>0</v>
      </c>
      <c r="AI168" s="96">
        <f t="shared" si="44"/>
        <v>0</v>
      </c>
      <c r="AJ168" s="26" t="str">
        <f t="shared" si="30"/>
        <v/>
      </c>
      <c r="AK168" s="39"/>
      <c r="AL168" s="39" t="str">
        <f t="shared" si="33"/>
        <v>00</v>
      </c>
      <c r="AM168" s="41" t="str">
        <f t="shared" si="34"/>
        <v>00</v>
      </c>
      <c r="AN168" s="41" t="str">
        <f t="shared" si="35"/>
        <v>00</v>
      </c>
      <c r="AO168" s="41" t="str">
        <f t="shared" si="36"/>
        <v>00</v>
      </c>
      <c r="AQ168" t="str">
        <f t="shared" si="31"/>
        <v/>
      </c>
    </row>
    <row r="169" spans="2:43">
      <c r="B169" s="104"/>
      <c r="C169" s="26">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0</v>
      </c>
      <c r="AE169" s="96">
        <f t="shared" si="44"/>
        <v>0</v>
      </c>
      <c r="AF169" s="96">
        <f t="shared" si="44"/>
        <v>0</v>
      </c>
      <c r="AG169" s="96">
        <f t="shared" si="44"/>
        <v>0</v>
      </c>
      <c r="AH169" s="96">
        <f t="shared" si="44"/>
        <v>0</v>
      </c>
      <c r="AI169" s="96">
        <f t="shared" si="44"/>
        <v>0</v>
      </c>
      <c r="AJ169" s="26" t="str">
        <f t="shared" si="30"/>
        <v/>
      </c>
      <c r="AK169" s="39"/>
      <c r="AL169" s="39" t="str">
        <f t="shared" si="33"/>
        <v>00</v>
      </c>
      <c r="AM169" s="41" t="str">
        <f t="shared" si="34"/>
        <v>00</v>
      </c>
      <c r="AN169" s="41" t="str">
        <f t="shared" si="35"/>
        <v>00</v>
      </c>
      <c r="AO169" s="41" t="str">
        <f t="shared" si="36"/>
        <v>00</v>
      </c>
      <c r="AQ169" t="str">
        <f t="shared" si="31"/>
        <v/>
      </c>
    </row>
    <row r="170" spans="2:43">
      <c r="B170" s="104"/>
      <c r="C170" s="26">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0</v>
      </c>
      <c r="AE170" s="96">
        <f t="shared" si="44"/>
        <v>0</v>
      </c>
      <c r="AF170" s="96">
        <f t="shared" si="44"/>
        <v>0</v>
      </c>
      <c r="AG170" s="96">
        <f t="shared" si="44"/>
        <v>0</v>
      </c>
      <c r="AH170" s="96">
        <f t="shared" si="44"/>
        <v>0</v>
      </c>
      <c r="AI170" s="96">
        <f t="shared" si="44"/>
        <v>0</v>
      </c>
      <c r="AJ170" s="26" t="str">
        <f t="shared" si="30"/>
        <v/>
      </c>
      <c r="AK170" s="39"/>
      <c r="AL170" s="39" t="str">
        <f t="shared" si="33"/>
        <v>00</v>
      </c>
      <c r="AM170" s="41" t="str">
        <f t="shared" si="34"/>
        <v>00</v>
      </c>
      <c r="AN170" s="41" t="str">
        <f t="shared" si="35"/>
        <v>00</v>
      </c>
      <c r="AO170" s="41" t="str">
        <f t="shared" si="36"/>
        <v>00</v>
      </c>
      <c r="AQ170" t="str">
        <f t="shared" si="31"/>
        <v/>
      </c>
    </row>
    <row r="171" spans="2:43">
      <c r="B171" s="104"/>
      <c r="C171" s="26">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0</v>
      </c>
      <c r="AE171" s="96">
        <f t="shared" si="44"/>
        <v>0</v>
      </c>
      <c r="AF171" s="96">
        <f t="shared" si="44"/>
        <v>0</v>
      </c>
      <c r="AG171" s="96">
        <f t="shared" si="44"/>
        <v>0</v>
      </c>
      <c r="AH171" s="96">
        <f t="shared" si="44"/>
        <v>0</v>
      </c>
      <c r="AI171" s="96">
        <f t="shared" si="44"/>
        <v>0</v>
      </c>
      <c r="AJ171" s="26" t="str">
        <f t="shared" si="30"/>
        <v/>
      </c>
      <c r="AK171" s="39"/>
      <c r="AL171" s="39" t="str">
        <f t="shared" si="33"/>
        <v>00</v>
      </c>
      <c r="AM171" s="41" t="str">
        <f t="shared" si="34"/>
        <v>00</v>
      </c>
      <c r="AN171" s="41" t="str">
        <f t="shared" si="35"/>
        <v>00</v>
      </c>
      <c r="AO171" s="41" t="str">
        <f t="shared" si="36"/>
        <v>00</v>
      </c>
      <c r="AQ171" t="str">
        <f t="shared" si="31"/>
        <v/>
      </c>
    </row>
    <row r="172" spans="2:43">
      <c r="B172" s="104"/>
      <c r="C172" s="26">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0</v>
      </c>
      <c r="AE172" s="96">
        <f t="shared" si="44"/>
        <v>0</v>
      </c>
      <c r="AF172" s="96">
        <f t="shared" si="44"/>
        <v>0</v>
      </c>
      <c r="AG172" s="96">
        <f t="shared" si="44"/>
        <v>0</v>
      </c>
      <c r="AH172" s="96">
        <f t="shared" si="44"/>
        <v>0</v>
      </c>
      <c r="AI172" s="96">
        <f t="shared" si="44"/>
        <v>0</v>
      </c>
      <c r="AJ172" s="26" t="str">
        <f t="shared" si="30"/>
        <v/>
      </c>
      <c r="AK172" s="39"/>
      <c r="AL172" s="39" t="str">
        <f t="shared" si="33"/>
        <v>00</v>
      </c>
      <c r="AM172" s="41" t="str">
        <f t="shared" si="34"/>
        <v>00</v>
      </c>
      <c r="AN172" s="41" t="str">
        <f t="shared" si="35"/>
        <v>00</v>
      </c>
      <c r="AO172" s="41" t="str">
        <f t="shared" si="36"/>
        <v>00</v>
      </c>
      <c r="AQ172" t="str">
        <f t="shared" si="31"/>
        <v/>
      </c>
    </row>
    <row r="173" spans="2:43">
      <c r="B173" s="104"/>
      <c r="C173" s="26">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0</v>
      </c>
      <c r="AE173" s="96">
        <f t="shared" si="44"/>
        <v>0</v>
      </c>
      <c r="AF173" s="96">
        <f t="shared" si="44"/>
        <v>0</v>
      </c>
      <c r="AG173" s="96">
        <f t="shared" si="44"/>
        <v>0</v>
      </c>
      <c r="AH173" s="96">
        <f t="shared" si="44"/>
        <v>0</v>
      </c>
      <c r="AI173" s="96">
        <f t="shared" si="44"/>
        <v>0</v>
      </c>
      <c r="AJ173" s="26" t="str">
        <f t="shared" si="30"/>
        <v/>
      </c>
      <c r="AK173" s="39"/>
      <c r="AL173" s="39" t="str">
        <f t="shared" si="33"/>
        <v>00</v>
      </c>
      <c r="AM173" s="41" t="str">
        <f t="shared" si="34"/>
        <v>00</v>
      </c>
      <c r="AN173" s="41" t="str">
        <f t="shared" si="35"/>
        <v>00</v>
      </c>
      <c r="AO173" s="41" t="str">
        <f t="shared" si="36"/>
        <v>00</v>
      </c>
      <c r="AQ173" t="str">
        <f t="shared" si="31"/>
        <v/>
      </c>
    </row>
    <row r="174" spans="2:43">
      <c r="B174" s="104"/>
      <c r="C174" s="26">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0</v>
      </c>
      <c r="AE174" s="96">
        <f t="shared" si="44"/>
        <v>0</v>
      </c>
      <c r="AF174" s="96">
        <f t="shared" si="44"/>
        <v>0</v>
      </c>
      <c r="AG174" s="96">
        <f t="shared" si="44"/>
        <v>0</v>
      </c>
      <c r="AH174" s="96">
        <f t="shared" si="44"/>
        <v>0</v>
      </c>
      <c r="AI174" s="96">
        <f t="shared" si="44"/>
        <v>0</v>
      </c>
      <c r="AJ174" s="26" t="str">
        <f t="shared" si="30"/>
        <v/>
      </c>
      <c r="AK174" s="39"/>
      <c r="AL174" s="39" t="str">
        <f t="shared" si="33"/>
        <v>00</v>
      </c>
      <c r="AM174" s="41" t="str">
        <f t="shared" si="34"/>
        <v>00</v>
      </c>
      <c r="AN174" s="41" t="str">
        <f t="shared" si="35"/>
        <v>00</v>
      </c>
      <c r="AO174" s="41" t="str">
        <f t="shared" si="36"/>
        <v>00</v>
      </c>
      <c r="AQ174" t="str">
        <f t="shared" si="31"/>
        <v/>
      </c>
    </row>
    <row r="175" spans="2:43">
      <c r="B175" s="104"/>
      <c r="C175" s="26">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0</v>
      </c>
      <c r="AE175" s="96">
        <f t="shared" si="44"/>
        <v>0</v>
      </c>
      <c r="AF175" s="96">
        <f t="shared" si="44"/>
        <v>0</v>
      </c>
      <c r="AG175" s="96">
        <f t="shared" si="44"/>
        <v>0</v>
      </c>
      <c r="AH175" s="96">
        <f t="shared" si="44"/>
        <v>0</v>
      </c>
      <c r="AI175" s="96">
        <f t="shared" ref="AI175" si="45">IF(OR(AI45=0,AI45=1),1,0)</f>
        <v>0</v>
      </c>
      <c r="AJ175" s="26" t="str">
        <f t="shared" si="30"/>
        <v/>
      </c>
      <c r="AK175" s="39"/>
      <c r="AL175" s="39" t="str">
        <f t="shared" si="33"/>
        <v>00</v>
      </c>
      <c r="AM175" s="41" t="str">
        <f t="shared" si="34"/>
        <v>00</v>
      </c>
      <c r="AN175" s="41" t="str">
        <f t="shared" si="35"/>
        <v>00</v>
      </c>
      <c r="AO175" s="41" t="str">
        <f t="shared" si="36"/>
        <v>00</v>
      </c>
      <c r="AQ175" t="str">
        <f t="shared" si="31"/>
        <v/>
      </c>
    </row>
    <row r="176" spans="2:43">
      <c r="B176" s="104"/>
      <c r="C176" s="26">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0</v>
      </c>
      <c r="AE176" s="96">
        <f t="shared" si="46"/>
        <v>0</v>
      </c>
      <c r="AF176" s="96">
        <f t="shared" si="46"/>
        <v>0</v>
      </c>
      <c r="AG176" s="96">
        <f t="shared" si="46"/>
        <v>0</v>
      </c>
      <c r="AH176" s="96">
        <f t="shared" si="46"/>
        <v>0</v>
      </c>
      <c r="AI176" s="96">
        <f t="shared" si="46"/>
        <v>0</v>
      </c>
      <c r="AJ176" s="26" t="str">
        <f t="shared" si="30"/>
        <v/>
      </c>
      <c r="AK176" s="39"/>
      <c r="AL176" s="39" t="str">
        <f t="shared" si="33"/>
        <v>00</v>
      </c>
      <c r="AM176" s="41" t="str">
        <f t="shared" si="34"/>
        <v>00</v>
      </c>
      <c r="AN176" s="41" t="str">
        <f t="shared" si="35"/>
        <v>00</v>
      </c>
      <c r="AO176" s="41" t="str">
        <f t="shared" si="36"/>
        <v>00</v>
      </c>
      <c r="AQ176" t="str">
        <f t="shared" si="31"/>
        <v/>
      </c>
    </row>
    <row r="177" spans="2:43">
      <c r="B177" s="104"/>
      <c r="C177" s="26">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0</v>
      </c>
      <c r="AE177" s="96">
        <f t="shared" si="46"/>
        <v>0</v>
      </c>
      <c r="AF177" s="96">
        <f t="shared" si="46"/>
        <v>0</v>
      </c>
      <c r="AG177" s="96">
        <f t="shared" si="46"/>
        <v>0</v>
      </c>
      <c r="AH177" s="96">
        <f t="shared" si="46"/>
        <v>0</v>
      </c>
      <c r="AI177" s="96">
        <f t="shared" si="46"/>
        <v>0</v>
      </c>
      <c r="AJ177" s="26" t="str">
        <f t="shared" si="30"/>
        <v/>
      </c>
      <c r="AK177" s="39"/>
      <c r="AL177" s="39" t="str">
        <f t="shared" si="33"/>
        <v>00</v>
      </c>
      <c r="AM177" s="41" t="str">
        <f t="shared" si="34"/>
        <v>00</v>
      </c>
      <c r="AN177" s="41" t="str">
        <f t="shared" si="35"/>
        <v>00</v>
      </c>
      <c r="AO177" s="41" t="str">
        <f t="shared" si="36"/>
        <v>00</v>
      </c>
      <c r="AQ177" t="str">
        <f t="shared" si="31"/>
        <v/>
      </c>
    </row>
    <row r="178" spans="2:43">
      <c r="B178" s="104"/>
      <c r="C178" s="26">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0</v>
      </c>
      <c r="AE178" s="96">
        <f t="shared" si="46"/>
        <v>0</v>
      </c>
      <c r="AF178" s="96">
        <f t="shared" si="46"/>
        <v>0</v>
      </c>
      <c r="AG178" s="96">
        <f t="shared" si="46"/>
        <v>0</v>
      </c>
      <c r="AH178" s="96">
        <f t="shared" si="46"/>
        <v>0</v>
      </c>
      <c r="AI178" s="96">
        <f t="shared" si="46"/>
        <v>0</v>
      </c>
      <c r="AJ178" s="26" t="str">
        <f t="shared" si="30"/>
        <v/>
      </c>
      <c r="AK178" s="39"/>
      <c r="AL178" s="39" t="str">
        <f t="shared" si="33"/>
        <v>00</v>
      </c>
      <c r="AM178" s="41" t="str">
        <f t="shared" si="34"/>
        <v>00</v>
      </c>
      <c r="AN178" s="41" t="str">
        <f t="shared" si="35"/>
        <v>00</v>
      </c>
      <c r="AO178" s="41" t="str">
        <f t="shared" si="36"/>
        <v>00</v>
      </c>
      <c r="AQ178" t="str">
        <f t="shared" si="31"/>
        <v/>
      </c>
    </row>
    <row r="179" spans="2:43">
      <c r="B179" s="104"/>
      <c r="C179" s="26">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0</v>
      </c>
      <c r="AE179" s="96">
        <f t="shared" si="46"/>
        <v>0</v>
      </c>
      <c r="AF179" s="96">
        <f t="shared" si="46"/>
        <v>0</v>
      </c>
      <c r="AG179" s="96">
        <f t="shared" si="46"/>
        <v>0</v>
      </c>
      <c r="AH179" s="96">
        <f t="shared" si="46"/>
        <v>0</v>
      </c>
      <c r="AI179" s="96">
        <f t="shared" si="46"/>
        <v>0</v>
      </c>
      <c r="AJ179" s="26" t="str">
        <f t="shared" si="30"/>
        <v/>
      </c>
      <c r="AK179" s="39"/>
      <c r="AL179" s="39" t="str">
        <f t="shared" si="33"/>
        <v>00</v>
      </c>
      <c r="AM179" s="41" t="str">
        <f t="shared" si="34"/>
        <v>00</v>
      </c>
      <c r="AN179" s="41" t="str">
        <f t="shared" si="35"/>
        <v>00</v>
      </c>
      <c r="AO179" s="41" t="str">
        <f t="shared" si="36"/>
        <v>00</v>
      </c>
      <c r="AQ179" t="str">
        <f t="shared" si="31"/>
        <v/>
      </c>
    </row>
    <row r="180" spans="2:43">
      <c r="B180" s="104"/>
      <c r="C180" s="26">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0</v>
      </c>
      <c r="AE180" s="96">
        <f t="shared" si="46"/>
        <v>0</v>
      </c>
      <c r="AF180" s="96">
        <f t="shared" si="46"/>
        <v>0</v>
      </c>
      <c r="AG180" s="96">
        <f t="shared" si="46"/>
        <v>0</v>
      </c>
      <c r="AH180" s="96">
        <f t="shared" si="46"/>
        <v>0</v>
      </c>
      <c r="AI180" s="96">
        <f t="shared" si="46"/>
        <v>0</v>
      </c>
      <c r="AJ180" s="26" t="str">
        <f t="shared" si="30"/>
        <v/>
      </c>
      <c r="AK180" s="39"/>
      <c r="AL180" s="39" t="str">
        <f t="shared" si="33"/>
        <v>00</v>
      </c>
      <c r="AM180" s="41" t="str">
        <f t="shared" si="34"/>
        <v>00</v>
      </c>
      <c r="AN180" s="41" t="str">
        <f t="shared" si="35"/>
        <v>00</v>
      </c>
      <c r="AO180" s="41" t="str">
        <f t="shared" si="36"/>
        <v>00</v>
      </c>
      <c r="AQ180" t="str">
        <f t="shared" si="31"/>
        <v/>
      </c>
    </row>
    <row r="181" spans="2:43">
      <c r="B181" s="104"/>
      <c r="C181" s="26">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0</v>
      </c>
      <c r="AE181" s="96">
        <f t="shared" si="46"/>
        <v>0</v>
      </c>
      <c r="AF181" s="96">
        <f t="shared" si="46"/>
        <v>0</v>
      </c>
      <c r="AG181" s="96">
        <f t="shared" si="46"/>
        <v>0</v>
      </c>
      <c r="AH181" s="96">
        <f t="shared" si="46"/>
        <v>0</v>
      </c>
      <c r="AI181" s="96">
        <f t="shared" si="46"/>
        <v>0</v>
      </c>
      <c r="AJ181" s="26" t="str">
        <f t="shared" si="30"/>
        <v/>
      </c>
      <c r="AK181" s="39"/>
      <c r="AL181" s="39" t="str">
        <f t="shared" si="33"/>
        <v>00</v>
      </c>
      <c r="AM181" s="41" t="str">
        <f t="shared" si="34"/>
        <v>00</v>
      </c>
      <c r="AN181" s="41" t="str">
        <f t="shared" si="35"/>
        <v>00</v>
      </c>
      <c r="AO181" s="41" t="str">
        <f t="shared" si="36"/>
        <v>00</v>
      </c>
      <c r="AQ181" t="str">
        <f t="shared" si="31"/>
        <v/>
      </c>
    </row>
    <row r="182" spans="2:43">
      <c r="B182" s="104"/>
      <c r="C182" s="26">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0</v>
      </c>
      <c r="AE182" s="96">
        <f t="shared" si="46"/>
        <v>0</v>
      </c>
      <c r="AF182" s="96">
        <f t="shared" si="46"/>
        <v>0</v>
      </c>
      <c r="AG182" s="96">
        <f t="shared" si="46"/>
        <v>0</v>
      </c>
      <c r="AH182" s="96">
        <f t="shared" si="46"/>
        <v>0</v>
      </c>
      <c r="AI182" s="96">
        <f t="shared" si="46"/>
        <v>0</v>
      </c>
      <c r="AJ182" s="26" t="str">
        <f t="shared" si="30"/>
        <v/>
      </c>
      <c r="AK182" s="39"/>
      <c r="AL182" s="39" t="str">
        <f t="shared" si="33"/>
        <v>00</v>
      </c>
      <c r="AM182" s="41" t="str">
        <f t="shared" si="34"/>
        <v>00</v>
      </c>
      <c r="AN182" s="41" t="str">
        <f t="shared" si="35"/>
        <v>00</v>
      </c>
      <c r="AO182" s="41" t="str">
        <f t="shared" si="36"/>
        <v>00</v>
      </c>
      <c r="AQ182" t="str">
        <f t="shared" si="31"/>
        <v/>
      </c>
    </row>
    <row r="183" spans="2:43">
      <c r="B183" s="104"/>
      <c r="C183" s="26">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0</v>
      </c>
      <c r="AE183" s="96">
        <f t="shared" si="46"/>
        <v>0</v>
      </c>
      <c r="AF183" s="96">
        <f t="shared" si="46"/>
        <v>0</v>
      </c>
      <c r="AG183" s="96">
        <f t="shared" si="46"/>
        <v>0</v>
      </c>
      <c r="AH183" s="96">
        <f t="shared" si="46"/>
        <v>0</v>
      </c>
      <c r="AI183" s="96">
        <f t="shared" ref="AI183" si="47">IF(OR(AI53=0,AI53=1),1,0)</f>
        <v>0</v>
      </c>
      <c r="AJ183" s="26" t="str">
        <f t="shared" si="30"/>
        <v/>
      </c>
      <c r="AK183" s="39"/>
      <c r="AL183" s="39" t="str">
        <f t="shared" si="33"/>
        <v>00</v>
      </c>
      <c r="AM183" s="41" t="str">
        <f t="shared" si="34"/>
        <v>00</v>
      </c>
      <c r="AN183" s="41" t="str">
        <f t="shared" si="35"/>
        <v>00</v>
      </c>
      <c r="AO183" s="41" t="str">
        <f t="shared" si="36"/>
        <v>00</v>
      </c>
      <c r="AQ183" t="str">
        <f t="shared" si="31"/>
        <v/>
      </c>
    </row>
    <row r="184" spans="2:43">
      <c r="B184" s="104"/>
      <c r="C184" s="26">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0</v>
      </c>
      <c r="AE184" s="96">
        <f t="shared" si="48"/>
        <v>0</v>
      </c>
      <c r="AF184" s="96">
        <f t="shared" si="48"/>
        <v>0</v>
      </c>
      <c r="AG184" s="96">
        <f t="shared" si="48"/>
        <v>0</v>
      </c>
      <c r="AH184" s="96">
        <f t="shared" si="48"/>
        <v>0</v>
      </c>
      <c r="AI184" s="96">
        <f t="shared" si="48"/>
        <v>0</v>
      </c>
      <c r="AJ184" s="26" t="str">
        <f t="shared" si="30"/>
        <v/>
      </c>
      <c r="AK184" s="39"/>
      <c r="AL184" s="39" t="str">
        <f t="shared" si="33"/>
        <v>00</v>
      </c>
      <c r="AM184" s="41" t="str">
        <f t="shared" si="34"/>
        <v>00</v>
      </c>
      <c r="AN184" s="41" t="str">
        <f t="shared" si="35"/>
        <v>00</v>
      </c>
      <c r="AO184" s="41" t="str">
        <f t="shared" si="36"/>
        <v>00</v>
      </c>
      <c r="AQ184" t="str">
        <f t="shared" si="31"/>
        <v/>
      </c>
    </row>
    <row r="185" spans="2:43">
      <c r="B185" s="104"/>
      <c r="C185" s="26">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0</v>
      </c>
      <c r="AE185" s="96">
        <f t="shared" si="48"/>
        <v>0</v>
      </c>
      <c r="AF185" s="96">
        <f t="shared" si="48"/>
        <v>0</v>
      </c>
      <c r="AG185" s="96">
        <f t="shared" si="48"/>
        <v>0</v>
      </c>
      <c r="AH185" s="96">
        <f t="shared" si="48"/>
        <v>0</v>
      </c>
      <c r="AI185" s="96">
        <f t="shared" si="48"/>
        <v>0</v>
      </c>
      <c r="AJ185" s="26" t="str">
        <f t="shared" si="30"/>
        <v/>
      </c>
      <c r="AK185" s="39"/>
      <c r="AL185" s="39" t="str">
        <f t="shared" si="33"/>
        <v>00</v>
      </c>
      <c r="AM185" s="41" t="str">
        <f t="shared" si="34"/>
        <v>00</v>
      </c>
      <c r="AN185" s="41" t="str">
        <f t="shared" si="35"/>
        <v>00</v>
      </c>
      <c r="AO185" s="41" t="str">
        <f t="shared" si="36"/>
        <v>00</v>
      </c>
      <c r="AQ185" t="str">
        <f t="shared" si="31"/>
        <v/>
      </c>
    </row>
    <row r="186" spans="2:43">
      <c r="B186" s="104"/>
      <c r="C186" s="26">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0</v>
      </c>
      <c r="AE186" s="96">
        <f t="shared" si="48"/>
        <v>0</v>
      </c>
      <c r="AF186" s="96">
        <f t="shared" si="48"/>
        <v>0</v>
      </c>
      <c r="AG186" s="96">
        <f t="shared" si="48"/>
        <v>0</v>
      </c>
      <c r="AH186" s="96">
        <f t="shared" si="48"/>
        <v>0</v>
      </c>
      <c r="AI186" s="96">
        <f t="shared" si="48"/>
        <v>0</v>
      </c>
      <c r="AJ186" s="26" t="str">
        <f t="shared" si="30"/>
        <v/>
      </c>
      <c r="AK186" s="39"/>
      <c r="AL186" s="39" t="str">
        <f t="shared" si="33"/>
        <v>00</v>
      </c>
      <c r="AM186" s="41" t="str">
        <f t="shared" si="34"/>
        <v>00</v>
      </c>
      <c r="AN186" s="41" t="str">
        <f t="shared" si="35"/>
        <v>00</v>
      </c>
      <c r="AO186" s="41" t="str">
        <f t="shared" si="36"/>
        <v>00</v>
      </c>
      <c r="AQ186" t="str">
        <f t="shared" si="31"/>
        <v/>
      </c>
    </row>
    <row r="187" spans="2:43">
      <c r="B187" s="104"/>
      <c r="C187" s="26">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0</v>
      </c>
      <c r="AE187" s="96">
        <f t="shared" si="48"/>
        <v>0</v>
      </c>
      <c r="AF187" s="96">
        <f t="shared" si="48"/>
        <v>0</v>
      </c>
      <c r="AG187" s="96">
        <f t="shared" si="48"/>
        <v>0</v>
      </c>
      <c r="AH187" s="96">
        <f t="shared" si="48"/>
        <v>0</v>
      </c>
      <c r="AI187" s="96">
        <f t="shared" si="48"/>
        <v>0</v>
      </c>
      <c r="AJ187" s="26" t="str">
        <f t="shared" si="30"/>
        <v/>
      </c>
      <c r="AK187" s="39"/>
      <c r="AL187" s="39" t="str">
        <f t="shared" si="33"/>
        <v>00</v>
      </c>
      <c r="AM187" s="41" t="str">
        <f t="shared" si="34"/>
        <v>00</v>
      </c>
      <c r="AN187" s="41" t="str">
        <f t="shared" si="35"/>
        <v>00</v>
      </c>
      <c r="AO187" s="41" t="str">
        <f t="shared" si="36"/>
        <v>00</v>
      </c>
      <c r="AQ187" t="str">
        <f t="shared" si="31"/>
        <v/>
      </c>
    </row>
    <row r="188" spans="2:43">
      <c r="B188" s="104"/>
      <c r="C188" s="26">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0</v>
      </c>
      <c r="AE188" s="96">
        <f t="shared" si="48"/>
        <v>0</v>
      </c>
      <c r="AF188" s="96">
        <f t="shared" si="48"/>
        <v>0</v>
      </c>
      <c r="AG188" s="96">
        <f t="shared" si="48"/>
        <v>0</v>
      </c>
      <c r="AH188" s="96">
        <f t="shared" si="48"/>
        <v>0</v>
      </c>
      <c r="AI188" s="96">
        <f t="shared" si="48"/>
        <v>0</v>
      </c>
      <c r="AJ188" s="26" t="str">
        <f t="shared" si="30"/>
        <v/>
      </c>
      <c r="AK188" s="39"/>
      <c r="AL188" s="39" t="str">
        <f t="shared" si="33"/>
        <v>00</v>
      </c>
      <c r="AM188" s="41" t="str">
        <f t="shared" si="34"/>
        <v>00</v>
      </c>
      <c r="AN188" s="41" t="str">
        <f t="shared" si="35"/>
        <v>00</v>
      </c>
      <c r="AO188" s="41" t="str">
        <f t="shared" si="36"/>
        <v>00</v>
      </c>
      <c r="AQ188" t="str">
        <f t="shared" si="31"/>
        <v/>
      </c>
    </row>
    <row r="189" spans="2:43">
      <c r="B189" s="104"/>
      <c r="C189" s="26">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0</v>
      </c>
      <c r="AE189" s="96">
        <f t="shared" si="48"/>
        <v>0</v>
      </c>
      <c r="AF189" s="96">
        <f t="shared" si="48"/>
        <v>0</v>
      </c>
      <c r="AG189" s="96">
        <f t="shared" si="48"/>
        <v>0</v>
      </c>
      <c r="AH189" s="96">
        <f t="shared" si="48"/>
        <v>0</v>
      </c>
      <c r="AI189" s="96">
        <f t="shared" si="48"/>
        <v>0</v>
      </c>
      <c r="AJ189" s="26" t="str">
        <f t="shared" si="30"/>
        <v/>
      </c>
      <c r="AK189" s="39"/>
      <c r="AL189" s="39" t="str">
        <f t="shared" si="33"/>
        <v>00</v>
      </c>
      <c r="AM189" s="41" t="str">
        <f t="shared" si="34"/>
        <v>00</v>
      </c>
      <c r="AN189" s="41" t="str">
        <f t="shared" si="35"/>
        <v>00</v>
      </c>
      <c r="AO189" s="41" t="str">
        <f t="shared" si="36"/>
        <v>00</v>
      </c>
      <c r="AQ189" t="str">
        <f t="shared" si="31"/>
        <v/>
      </c>
    </row>
    <row r="190" spans="2:43">
      <c r="B190" s="104"/>
      <c r="C190" s="26">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0</v>
      </c>
      <c r="AE190" s="96">
        <f t="shared" si="48"/>
        <v>0</v>
      </c>
      <c r="AF190" s="96">
        <f t="shared" si="48"/>
        <v>0</v>
      </c>
      <c r="AG190" s="96">
        <f t="shared" si="48"/>
        <v>0</v>
      </c>
      <c r="AH190" s="96">
        <f t="shared" si="48"/>
        <v>0</v>
      </c>
      <c r="AI190" s="96">
        <f t="shared" si="48"/>
        <v>0</v>
      </c>
      <c r="AJ190" s="26" t="str">
        <f t="shared" si="30"/>
        <v/>
      </c>
      <c r="AK190" s="39"/>
      <c r="AL190" s="39" t="str">
        <f t="shared" si="33"/>
        <v>00</v>
      </c>
      <c r="AM190" s="41" t="str">
        <f t="shared" si="34"/>
        <v>00</v>
      </c>
      <c r="AN190" s="41" t="str">
        <f t="shared" si="35"/>
        <v>00</v>
      </c>
      <c r="AO190" s="41" t="str">
        <f t="shared" si="36"/>
        <v>00</v>
      </c>
      <c r="AQ190" t="str">
        <f t="shared" si="31"/>
        <v/>
      </c>
    </row>
    <row r="191" spans="2:43">
      <c r="B191" s="104"/>
      <c r="C191" s="26">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0</v>
      </c>
      <c r="AE191" s="96">
        <f t="shared" si="48"/>
        <v>0</v>
      </c>
      <c r="AF191" s="96">
        <f t="shared" si="48"/>
        <v>0</v>
      </c>
      <c r="AG191" s="96">
        <f t="shared" si="48"/>
        <v>0</v>
      </c>
      <c r="AH191" s="96">
        <f t="shared" si="48"/>
        <v>0</v>
      </c>
      <c r="AI191" s="96">
        <f t="shared" ref="AI191" si="49">IF(OR(AI61=0,AI61=1),1,0)</f>
        <v>0</v>
      </c>
      <c r="AJ191" s="26" t="str">
        <f t="shared" si="30"/>
        <v/>
      </c>
      <c r="AK191" s="39"/>
      <c r="AL191" s="39" t="str">
        <f t="shared" si="33"/>
        <v>00</v>
      </c>
      <c r="AM191" s="41" t="str">
        <f t="shared" si="34"/>
        <v>00</v>
      </c>
      <c r="AN191" s="41" t="str">
        <f t="shared" si="35"/>
        <v>00</v>
      </c>
      <c r="AO191" s="41" t="str">
        <f t="shared" si="36"/>
        <v>00</v>
      </c>
      <c r="AQ191" t="str">
        <f t="shared" si="31"/>
        <v/>
      </c>
    </row>
    <row r="192" spans="2:43">
      <c r="B192" s="104"/>
      <c r="C192" s="26">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0</v>
      </c>
      <c r="AE192" s="96">
        <f t="shared" si="50"/>
        <v>0</v>
      </c>
      <c r="AF192" s="96">
        <f t="shared" si="50"/>
        <v>0</v>
      </c>
      <c r="AG192" s="96">
        <f t="shared" si="50"/>
        <v>0</v>
      </c>
      <c r="AH192" s="96">
        <f t="shared" si="50"/>
        <v>0</v>
      </c>
      <c r="AI192" s="96">
        <f t="shared" si="50"/>
        <v>0</v>
      </c>
      <c r="AJ192" s="26" t="str">
        <f t="shared" si="30"/>
        <v/>
      </c>
      <c r="AK192" s="39"/>
      <c r="AL192" s="39" t="str">
        <f t="shared" si="33"/>
        <v>00</v>
      </c>
      <c r="AM192" s="41" t="str">
        <f t="shared" si="34"/>
        <v>00</v>
      </c>
      <c r="AN192" s="41" t="str">
        <f t="shared" si="35"/>
        <v>00</v>
      </c>
      <c r="AO192" s="41" t="str">
        <f t="shared" si="36"/>
        <v>00</v>
      </c>
      <c r="AQ192" t="str">
        <f t="shared" si="31"/>
        <v/>
      </c>
    </row>
    <row r="193" spans="2:43">
      <c r="B193" s="104"/>
      <c r="C193" s="26">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0</v>
      </c>
      <c r="AE193" s="96">
        <f t="shared" si="50"/>
        <v>0</v>
      </c>
      <c r="AF193" s="96">
        <f t="shared" si="50"/>
        <v>0</v>
      </c>
      <c r="AG193" s="96">
        <f t="shared" si="50"/>
        <v>0</v>
      </c>
      <c r="AH193" s="96">
        <f t="shared" si="50"/>
        <v>0</v>
      </c>
      <c r="AI193" s="96">
        <f t="shared" si="50"/>
        <v>0</v>
      </c>
      <c r="AJ193" s="26" t="str">
        <f t="shared" si="30"/>
        <v/>
      </c>
      <c r="AK193" s="39"/>
      <c r="AL193" s="39" t="str">
        <f t="shared" si="33"/>
        <v>00</v>
      </c>
      <c r="AM193" s="41" t="str">
        <f t="shared" si="34"/>
        <v>00</v>
      </c>
      <c r="AN193" s="41" t="str">
        <f t="shared" si="35"/>
        <v>00</v>
      </c>
      <c r="AO193" s="41" t="str">
        <f t="shared" si="36"/>
        <v>00</v>
      </c>
      <c r="AQ193" t="str">
        <f t="shared" si="31"/>
        <v/>
      </c>
    </row>
    <row r="194" spans="2:43">
      <c r="B194" s="104"/>
      <c r="C194" s="26">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0</v>
      </c>
      <c r="AE194" s="96">
        <f t="shared" si="50"/>
        <v>0</v>
      </c>
      <c r="AF194" s="96">
        <f t="shared" si="50"/>
        <v>0</v>
      </c>
      <c r="AG194" s="96">
        <f t="shared" si="50"/>
        <v>0</v>
      </c>
      <c r="AH194" s="96">
        <f t="shared" si="50"/>
        <v>0</v>
      </c>
      <c r="AI194" s="96">
        <f t="shared" si="50"/>
        <v>0</v>
      </c>
      <c r="AJ194" s="26" t="str">
        <f t="shared" si="30"/>
        <v/>
      </c>
      <c r="AK194" s="39"/>
      <c r="AL194" s="39" t="str">
        <f t="shared" si="33"/>
        <v>00</v>
      </c>
      <c r="AM194" s="41" t="str">
        <f t="shared" si="34"/>
        <v>00</v>
      </c>
      <c r="AN194" s="41" t="str">
        <f t="shared" si="35"/>
        <v>00</v>
      </c>
      <c r="AO194" s="41" t="str">
        <f t="shared" si="36"/>
        <v>00</v>
      </c>
      <c r="AQ194" t="str">
        <f t="shared" si="31"/>
        <v/>
      </c>
    </row>
    <row r="195" spans="2:43">
      <c r="B195" s="104"/>
      <c r="C195" s="26">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0</v>
      </c>
      <c r="AE195" s="96">
        <f t="shared" si="50"/>
        <v>0</v>
      </c>
      <c r="AF195" s="96">
        <f t="shared" si="50"/>
        <v>0</v>
      </c>
      <c r="AG195" s="96">
        <f t="shared" si="50"/>
        <v>0</v>
      </c>
      <c r="AH195" s="96">
        <f t="shared" si="50"/>
        <v>0</v>
      </c>
      <c r="AI195" s="96">
        <f t="shared" si="50"/>
        <v>0</v>
      </c>
      <c r="AJ195" s="26" t="str">
        <f t="shared" si="30"/>
        <v/>
      </c>
      <c r="AK195" s="39"/>
      <c r="AL195" s="39" t="str">
        <f t="shared" si="33"/>
        <v>00</v>
      </c>
      <c r="AM195" s="41" t="str">
        <f t="shared" si="34"/>
        <v>00</v>
      </c>
      <c r="AN195" s="41" t="str">
        <f t="shared" si="35"/>
        <v>00</v>
      </c>
      <c r="AO195" s="41" t="str">
        <f t="shared" si="36"/>
        <v>00</v>
      </c>
      <c r="AQ195" t="str">
        <f t="shared" si="31"/>
        <v/>
      </c>
    </row>
    <row r="196" spans="2:43">
      <c r="B196" s="104"/>
      <c r="C196" s="26">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0</v>
      </c>
      <c r="AE196" s="96">
        <f t="shared" si="50"/>
        <v>0</v>
      </c>
      <c r="AF196" s="96">
        <f t="shared" si="50"/>
        <v>0</v>
      </c>
      <c r="AG196" s="96">
        <f t="shared" si="50"/>
        <v>0</v>
      </c>
      <c r="AH196" s="96">
        <f t="shared" si="50"/>
        <v>0</v>
      </c>
      <c r="AI196" s="96">
        <f t="shared" si="50"/>
        <v>0</v>
      </c>
      <c r="AJ196" s="26" t="str">
        <f t="shared" si="30"/>
        <v/>
      </c>
      <c r="AK196" s="39"/>
      <c r="AL196" s="39" t="str">
        <f t="shared" si="33"/>
        <v>00</v>
      </c>
      <c r="AM196" s="41" t="str">
        <f t="shared" si="34"/>
        <v>00</v>
      </c>
      <c r="AN196" s="41" t="str">
        <f t="shared" si="35"/>
        <v>00</v>
      </c>
      <c r="AO196" s="41" t="str">
        <f t="shared" si="36"/>
        <v>00</v>
      </c>
      <c r="AQ196" t="str">
        <f t="shared" si="31"/>
        <v/>
      </c>
    </row>
    <row r="197" spans="2:43">
      <c r="B197" s="104"/>
      <c r="C197" s="26">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0</v>
      </c>
      <c r="AE197" s="96">
        <f t="shared" si="50"/>
        <v>0</v>
      </c>
      <c r="AF197" s="96">
        <f t="shared" si="50"/>
        <v>0</v>
      </c>
      <c r="AG197" s="96">
        <f t="shared" si="50"/>
        <v>0</v>
      </c>
      <c r="AH197" s="96">
        <f t="shared" si="50"/>
        <v>0</v>
      </c>
      <c r="AI197" s="96">
        <f t="shared" si="50"/>
        <v>0</v>
      </c>
      <c r="AJ197" s="26" t="str">
        <f t="shared" si="30"/>
        <v/>
      </c>
      <c r="AK197" s="39"/>
      <c r="AL197" s="39" t="str">
        <f t="shared" si="33"/>
        <v>00</v>
      </c>
      <c r="AM197" s="41" t="str">
        <f t="shared" si="34"/>
        <v>00</v>
      </c>
      <c r="AN197" s="41" t="str">
        <f t="shared" si="35"/>
        <v>00</v>
      </c>
      <c r="AO197" s="41" t="str">
        <f t="shared" si="36"/>
        <v>00</v>
      </c>
      <c r="AQ197" t="str">
        <f t="shared" si="31"/>
        <v/>
      </c>
    </row>
    <row r="198" spans="2:43">
      <c r="B198" s="104"/>
      <c r="C198" s="26">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0</v>
      </c>
      <c r="AE198" s="96">
        <f t="shared" si="50"/>
        <v>0</v>
      </c>
      <c r="AF198" s="96">
        <f t="shared" si="50"/>
        <v>0</v>
      </c>
      <c r="AG198" s="96">
        <f t="shared" si="50"/>
        <v>0</v>
      </c>
      <c r="AH198" s="96">
        <f t="shared" si="50"/>
        <v>0</v>
      </c>
      <c r="AI198" s="96">
        <f t="shared" si="50"/>
        <v>0</v>
      </c>
      <c r="AJ198" s="26" t="str">
        <f t="shared" si="30"/>
        <v/>
      </c>
      <c r="AK198" s="39"/>
      <c r="AL198" s="39" t="str">
        <f t="shared" si="33"/>
        <v>00</v>
      </c>
      <c r="AM198" s="41" t="str">
        <f t="shared" si="34"/>
        <v>00</v>
      </c>
      <c r="AN198" s="41" t="str">
        <f t="shared" si="35"/>
        <v>00</v>
      </c>
      <c r="AO198" s="41" t="str">
        <f t="shared" si="36"/>
        <v>00</v>
      </c>
      <c r="AQ198" t="str">
        <f t="shared" si="31"/>
        <v/>
      </c>
    </row>
    <row r="199" spans="2:43">
      <c r="B199" s="105"/>
      <c r="C199" s="26">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0</v>
      </c>
      <c r="AE199" s="96">
        <f t="shared" si="50"/>
        <v>0</v>
      </c>
      <c r="AF199" s="96">
        <f t="shared" si="50"/>
        <v>0</v>
      </c>
      <c r="AG199" s="96">
        <f t="shared" si="50"/>
        <v>0</v>
      </c>
      <c r="AH199" s="96">
        <f t="shared" si="50"/>
        <v>0</v>
      </c>
      <c r="AI199" s="96">
        <f t="shared" ref="AI199" si="51">IF(OR(AI69=0,AI69=1),1,0)</f>
        <v>0</v>
      </c>
      <c r="AJ199" s="26" t="str">
        <f t="shared" si="30"/>
        <v/>
      </c>
      <c r="AK199" s="39"/>
      <c r="AL199" s="39" t="str">
        <f t="shared" si="33"/>
        <v>00</v>
      </c>
      <c r="AM199" s="41" t="str">
        <f t="shared" si="34"/>
        <v>00</v>
      </c>
      <c r="AN199" s="41" t="str">
        <f t="shared" si="35"/>
        <v>00</v>
      </c>
      <c r="AO199" s="41" t="str">
        <f t="shared" si="36"/>
        <v>00</v>
      </c>
      <c r="AQ199" t="str">
        <f t="shared" si="31"/>
        <v/>
      </c>
    </row>
  </sheetData>
  <protectedRanges>
    <protectedRange sqref="B3 L3:X3 D6:AJ69" name="Table作成編集範囲"/>
    <protectedRange sqref="Y3:AI3" name="Table作成編集範囲_3"/>
  </protectedRanges>
  <mergeCells count="5">
    <mergeCell ref="C2:C3"/>
    <mergeCell ref="AJ2:AJ3"/>
    <mergeCell ref="A4:B5"/>
    <mergeCell ref="Y3:Z3"/>
    <mergeCell ref="AB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U96"/>
  <sheetViews>
    <sheetView zoomScale="85" zoomScaleNormal="85" workbookViewId="0"/>
  </sheetViews>
  <sheetFormatPr defaultColWidth="8.875" defaultRowHeight="13.5"/>
  <cols>
    <col min="1" max="1" width="8.875" style="157"/>
    <col min="2" max="2" width="68.125" style="157" customWidth="1"/>
    <col min="3" max="10" width="3.375" style="157" customWidth="1"/>
    <col min="11" max="11" width="21.375" style="157" customWidth="1"/>
    <col min="12" max="12" width="14.25" style="157" customWidth="1"/>
    <col min="13" max="13" width="48.625" style="157" customWidth="1"/>
    <col min="14" max="14" width="20.875" style="157" customWidth="1"/>
    <col min="15" max="15" width="9.875" style="157" customWidth="1"/>
    <col min="16" max="16" width="25" style="157" bestFit="1" customWidth="1"/>
    <col min="17" max="18" width="10.875" style="157" customWidth="1"/>
    <col min="19" max="16384" width="8.875" style="157"/>
  </cols>
  <sheetData>
    <row r="3" spans="2:18" ht="15" thickBot="1">
      <c r="B3" s="158" t="s">
        <v>232</v>
      </c>
    </row>
    <row r="4" spans="2:18" ht="15" thickBot="1">
      <c r="B4" s="159" t="s">
        <v>130</v>
      </c>
      <c r="C4" s="338" t="s">
        <v>137</v>
      </c>
      <c r="D4" s="339"/>
      <c r="E4" s="339"/>
      <c r="F4" s="339"/>
      <c r="G4" s="339"/>
      <c r="H4" s="339"/>
      <c r="I4" s="339"/>
      <c r="J4" s="340"/>
      <c r="K4" s="160"/>
      <c r="L4" s="160"/>
      <c r="M4" s="160"/>
      <c r="N4" s="161"/>
      <c r="O4" s="162"/>
      <c r="P4" s="162"/>
      <c r="Q4" s="162"/>
      <c r="R4" s="163"/>
    </row>
    <row r="5" spans="2:18">
      <c r="B5" s="164"/>
      <c r="C5" s="165" t="s">
        <v>167</v>
      </c>
      <c r="D5" s="165"/>
      <c r="E5" s="165"/>
      <c r="F5" s="165"/>
      <c r="G5" s="165"/>
      <c r="H5" s="165"/>
      <c r="I5" s="165"/>
      <c r="J5" s="165"/>
      <c r="K5" s="165"/>
      <c r="L5" s="165"/>
      <c r="M5" s="166"/>
      <c r="N5" s="167" t="s">
        <v>53</v>
      </c>
      <c r="O5" s="168" t="s">
        <v>21</v>
      </c>
      <c r="P5" s="169"/>
      <c r="Q5" s="169"/>
      <c r="R5" s="170"/>
    </row>
    <row r="6" spans="2:18">
      <c r="B6" s="171" t="s">
        <v>22</v>
      </c>
      <c r="C6" s="341" t="s">
        <v>183</v>
      </c>
      <c r="D6" s="342"/>
      <c r="E6" s="342"/>
      <c r="F6" s="342"/>
      <c r="G6" s="342"/>
      <c r="H6" s="342"/>
      <c r="I6" s="342"/>
      <c r="J6" s="343"/>
      <c r="K6" s="172" t="s">
        <v>23</v>
      </c>
      <c r="L6" s="173"/>
      <c r="M6" s="174"/>
      <c r="N6" s="175" t="s">
        <v>233</v>
      </c>
      <c r="O6" s="176" t="s">
        <v>24</v>
      </c>
      <c r="P6" s="177" t="s">
        <v>25</v>
      </c>
      <c r="Q6" s="178" t="s">
        <v>26</v>
      </c>
      <c r="R6" s="179" t="s">
        <v>27</v>
      </c>
    </row>
    <row r="7" spans="2:18">
      <c r="B7" s="171" t="s">
        <v>34</v>
      </c>
      <c r="C7" s="180" t="s">
        <v>134</v>
      </c>
      <c r="D7" s="180" t="s">
        <v>134</v>
      </c>
      <c r="E7" s="180" t="s">
        <v>134</v>
      </c>
      <c r="F7" s="180" t="s">
        <v>134</v>
      </c>
      <c r="G7" s="180" t="s">
        <v>134</v>
      </c>
      <c r="H7" s="180" t="s">
        <v>134</v>
      </c>
      <c r="I7" s="180" t="s">
        <v>134</v>
      </c>
      <c r="J7" s="180" t="s">
        <v>134</v>
      </c>
      <c r="K7" s="181" t="s">
        <v>136</v>
      </c>
      <c r="L7" s="181" t="s">
        <v>136</v>
      </c>
      <c r="M7" s="181" t="s">
        <v>136</v>
      </c>
      <c r="N7" s="175" t="s">
        <v>132</v>
      </c>
      <c r="O7" s="182"/>
      <c r="P7" s="183"/>
      <c r="Q7" s="184"/>
      <c r="R7" s="185"/>
    </row>
    <row r="8" spans="2:18" ht="27">
      <c r="B8" s="186" t="s">
        <v>28</v>
      </c>
      <c r="C8" s="344" t="s">
        <v>37</v>
      </c>
      <c r="D8" s="342"/>
      <c r="E8" s="342"/>
      <c r="F8" s="342"/>
      <c r="G8" s="342"/>
      <c r="H8" s="342"/>
      <c r="I8" s="342"/>
      <c r="J8" s="343"/>
      <c r="K8" s="187" t="s">
        <v>234</v>
      </c>
      <c r="L8" s="188" t="s">
        <v>234</v>
      </c>
      <c r="M8" s="188" t="s">
        <v>234</v>
      </c>
      <c r="N8" s="189"/>
      <c r="O8" s="182"/>
      <c r="P8" s="183"/>
      <c r="Q8" s="184"/>
      <c r="R8" s="179"/>
    </row>
    <row r="9" spans="2:18" ht="159" customHeight="1">
      <c r="B9" s="171" t="s">
        <v>29</v>
      </c>
      <c r="C9" s="190" t="s">
        <v>168</v>
      </c>
      <c r="D9" s="190" t="s">
        <v>64</v>
      </c>
      <c r="E9" s="190" t="s">
        <v>169</v>
      </c>
      <c r="F9" s="190" t="s">
        <v>170</v>
      </c>
      <c r="G9" s="190" t="s">
        <v>171</v>
      </c>
      <c r="H9" s="190" t="s">
        <v>172</v>
      </c>
      <c r="I9" s="190" t="s">
        <v>173</v>
      </c>
      <c r="J9" s="190" t="s">
        <v>174</v>
      </c>
      <c r="K9" s="191" t="s">
        <v>225</v>
      </c>
      <c r="L9" s="192" t="s">
        <v>226</v>
      </c>
      <c r="M9" s="188" t="s">
        <v>227</v>
      </c>
      <c r="N9" s="175" t="s">
        <v>30</v>
      </c>
      <c r="O9" s="182"/>
      <c r="P9" s="183"/>
      <c r="Q9" s="184"/>
      <c r="R9" s="179"/>
    </row>
    <row r="10" spans="2:18" ht="87" customHeight="1" thickBot="1">
      <c r="B10" s="193" t="s">
        <v>31</v>
      </c>
      <c r="C10" s="194" t="s">
        <v>176</v>
      </c>
      <c r="D10" s="194" t="s">
        <v>134</v>
      </c>
      <c r="E10" s="194" t="s">
        <v>176</v>
      </c>
      <c r="F10" s="194" t="s">
        <v>176</v>
      </c>
      <c r="G10" s="194" t="s">
        <v>176</v>
      </c>
      <c r="H10" s="194" t="s">
        <v>176</v>
      </c>
      <c r="I10" s="194" t="s">
        <v>176</v>
      </c>
      <c r="J10" s="194" t="s">
        <v>176</v>
      </c>
      <c r="K10" s="195" t="s">
        <v>235</v>
      </c>
      <c r="L10" s="196" t="s">
        <v>236</v>
      </c>
      <c r="M10" s="196" t="s">
        <v>237</v>
      </c>
      <c r="N10" s="197" t="s">
        <v>238</v>
      </c>
      <c r="O10" s="198"/>
      <c r="P10" s="199" t="s">
        <v>282</v>
      </c>
      <c r="Q10" s="200"/>
      <c r="R10" s="201"/>
    </row>
    <row r="11" spans="2:18" ht="14.25" thickTop="1">
      <c r="B11" s="202" t="s">
        <v>254</v>
      </c>
      <c r="C11" s="203" t="s">
        <v>175</v>
      </c>
      <c r="D11" s="203" t="s">
        <v>175</v>
      </c>
      <c r="E11" s="203" t="s">
        <v>175</v>
      </c>
      <c r="F11" s="203" t="s">
        <v>239</v>
      </c>
      <c r="G11" s="203" t="s">
        <v>175</v>
      </c>
      <c r="H11" s="203" t="s">
        <v>175</v>
      </c>
      <c r="I11" s="204" t="s">
        <v>240</v>
      </c>
      <c r="J11" s="203" t="s">
        <v>175</v>
      </c>
      <c r="K11" s="205" t="s">
        <v>241</v>
      </c>
      <c r="L11" s="206" t="s">
        <v>242</v>
      </c>
      <c r="M11" s="206" t="s">
        <v>243</v>
      </c>
      <c r="N11" s="207" t="s">
        <v>111</v>
      </c>
      <c r="O11" s="208"/>
      <c r="P11" s="209" t="s">
        <v>134</v>
      </c>
      <c r="Q11" s="210"/>
      <c r="R11" s="211"/>
    </row>
    <row r="12" spans="2:18">
      <c r="B12" s="202" t="s">
        <v>255</v>
      </c>
      <c r="C12" s="208" t="s">
        <v>175</v>
      </c>
      <c r="D12" s="208" t="s">
        <v>175</v>
      </c>
      <c r="E12" s="208" t="s">
        <v>175</v>
      </c>
      <c r="F12" s="203" t="s">
        <v>239</v>
      </c>
      <c r="G12" s="208" t="s">
        <v>175</v>
      </c>
      <c r="H12" s="208" t="s">
        <v>175</v>
      </c>
      <c r="I12" s="212" t="s">
        <v>240</v>
      </c>
      <c r="J12" s="208" t="s">
        <v>175</v>
      </c>
      <c r="K12" s="205" t="s">
        <v>241</v>
      </c>
      <c r="L12" s="206" t="s">
        <v>240</v>
      </c>
      <c r="M12" s="206" t="s">
        <v>244</v>
      </c>
      <c r="N12" s="207" t="s">
        <v>228</v>
      </c>
      <c r="O12" s="208"/>
      <c r="P12" s="209" t="s">
        <v>274</v>
      </c>
      <c r="Q12" s="213"/>
      <c r="R12" s="214"/>
    </row>
    <row r="13" spans="2:18">
      <c r="B13" s="202" t="s">
        <v>256</v>
      </c>
      <c r="C13" s="203" t="s">
        <v>175</v>
      </c>
      <c r="D13" s="203" t="s">
        <v>175</v>
      </c>
      <c r="E13" s="203" t="s">
        <v>175</v>
      </c>
      <c r="F13" s="203" t="s">
        <v>239</v>
      </c>
      <c r="G13" s="203" t="s">
        <v>175</v>
      </c>
      <c r="H13" s="203" t="s">
        <v>175</v>
      </c>
      <c r="I13" s="204" t="s">
        <v>240</v>
      </c>
      <c r="J13" s="203" t="s">
        <v>175</v>
      </c>
      <c r="K13" s="215" t="s">
        <v>241</v>
      </c>
      <c r="L13" s="206" t="s">
        <v>240</v>
      </c>
      <c r="M13" s="216" t="s">
        <v>245</v>
      </c>
      <c r="N13" s="217" t="s">
        <v>229</v>
      </c>
      <c r="O13" s="218"/>
      <c r="P13" s="219" t="s">
        <v>275</v>
      </c>
      <c r="Q13" s="220"/>
      <c r="R13" s="221"/>
    </row>
    <row r="14" spans="2:18">
      <c r="B14" s="202" t="s">
        <v>257</v>
      </c>
      <c r="C14" s="203" t="s">
        <v>175</v>
      </c>
      <c r="D14" s="203" t="s">
        <v>175</v>
      </c>
      <c r="E14" s="203" t="s">
        <v>175</v>
      </c>
      <c r="F14" s="203" t="s">
        <v>239</v>
      </c>
      <c r="G14" s="203" t="s">
        <v>175</v>
      </c>
      <c r="H14" s="203" t="s">
        <v>175</v>
      </c>
      <c r="I14" s="204" t="s">
        <v>240</v>
      </c>
      <c r="J14" s="203" t="s">
        <v>175</v>
      </c>
      <c r="K14" s="215" t="s">
        <v>241</v>
      </c>
      <c r="L14" s="206" t="s">
        <v>240</v>
      </c>
      <c r="M14" s="216" t="s">
        <v>246</v>
      </c>
      <c r="N14" s="217" t="s">
        <v>230</v>
      </c>
      <c r="O14" s="203"/>
      <c r="P14" s="219" t="s">
        <v>276</v>
      </c>
      <c r="Q14" s="220"/>
      <c r="R14" s="221"/>
    </row>
    <row r="15" spans="2:18">
      <c r="B15" s="202" t="s">
        <v>258</v>
      </c>
      <c r="C15" s="203" t="s">
        <v>175</v>
      </c>
      <c r="D15" s="203" t="s">
        <v>175</v>
      </c>
      <c r="E15" s="203" t="s">
        <v>175</v>
      </c>
      <c r="F15" s="203" t="s">
        <v>239</v>
      </c>
      <c r="G15" s="203" t="s">
        <v>175</v>
      </c>
      <c r="H15" s="203" t="s">
        <v>175</v>
      </c>
      <c r="I15" s="204" t="s">
        <v>240</v>
      </c>
      <c r="J15" s="203" t="s">
        <v>175</v>
      </c>
      <c r="K15" s="215" t="s">
        <v>241</v>
      </c>
      <c r="L15" s="206" t="s">
        <v>240</v>
      </c>
      <c r="M15" s="216" t="s">
        <v>247</v>
      </c>
      <c r="N15" s="217" t="s">
        <v>231</v>
      </c>
      <c r="O15" s="203"/>
      <c r="P15" s="219" t="s">
        <v>277</v>
      </c>
      <c r="Q15" s="220"/>
      <c r="R15" s="221"/>
    </row>
    <row r="16" spans="2:18">
      <c r="B16" s="202" t="s">
        <v>259</v>
      </c>
      <c r="C16" s="203" t="s">
        <v>175</v>
      </c>
      <c r="D16" s="203" t="s">
        <v>175</v>
      </c>
      <c r="E16" s="203" t="s">
        <v>175</v>
      </c>
      <c r="F16" s="203" t="s">
        <v>239</v>
      </c>
      <c r="G16" s="203" t="s">
        <v>175</v>
      </c>
      <c r="H16" s="203" t="s">
        <v>175</v>
      </c>
      <c r="I16" s="204" t="s">
        <v>240</v>
      </c>
      <c r="J16" s="203" t="s">
        <v>175</v>
      </c>
      <c r="K16" s="215" t="s">
        <v>241</v>
      </c>
      <c r="L16" s="206" t="s">
        <v>240</v>
      </c>
      <c r="M16" s="216" t="s">
        <v>248</v>
      </c>
      <c r="N16" s="217" t="s">
        <v>111</v>
      </c>
      <c r="O16" s="203"/>
      <c r="P16" s="222" t="s">
        <v>134</v>
      </c>
      <c r="Q16" s="220"/>
      <c r="R16" s="221"/>
    </row>
    <row r="17" spans="2:21">
      <c r="B17" s="223" t="s">
        <v>260</v>
      </c>
      <c r="C17" s="203" t="s">
        <v>175</v>
      </c>
      <c r="D17" s="203" t="s">
        <v>175</v>
      </c>
      <c r="E17" s="203" t="s">
        <v>175</v>
      </c>
      <c r="F17" s="203" t="s">
        <v>239</v>
      </c>
      <c r="G17" s="203" t="s">
        <v>175</v>
      </c>
      <c r="H17" s="203" t="s">
        <v>175</v>
      </c>
      <c r="I17" s="204" t="s">
        <v>240</v>
      </c>
      <c r="J17" s="203" t="s">
        <v>175</v>
      </c>
      <c r="K17" s="215" t="s">
        <v>249</v>
      </c>
      <c r="L17" s="216" t="s">
        <v>250</v>
      </c>
      <c r="M17" s="216" t="s">
        <v>243</v>
      </c>
      <c r="N17" s="217" t="s">
        <v>33</v>
      </c>
      <c r="O17" s="203"/>
      <c r="P17" s="222" t="s">
        <v>134</v>
      </c>
      <c r="Q17" s="220"/>
      <c r="R17" s="221"/>
    </row>
    <row r="18" spans="2:21">
      <c r="B18" s="223" t="s">
        <v>261</v>
      </c>
      <c r="C18" s="203" t="s">
        <v>175</v>
      </c>
      <c r="D18" s="203" t="s">
        <v>175</v>
      </c>
      <c r="E18" s="203" t="s">
        <v>175</v>
      </c>
      <c r="F18" s="203" t="s">
        <v>239</v>
      </c>
      <c r="G18" s="203" t="s">
        <v>175</v>
      </c>
      <c r="H18" s="203" t="s">
        <v>175</v>
      </c>
      <c r="I18" s="204" t="s">
        <v>240</v>
      </c>
      <c r="J18" s="203" t="s">
        <v>175</v>
      </c>
      <c r="K18" s="224" t="s">
        <v>251</v>
      </c>
      <c r="L18" s="225" t="s">
        <v>250</v>
      </c>
      <c r="M18" s="225" t="s">
        <v>243</v>
      </c>
      <c r="N18" s="226" t="s">
        <v>111</v>
      </c>
      <c r="O18" s="227"/>
      <c r="P18" s="222" t="s">
        <v>134</v>
      </c>
      <c r="Q18" s="228"/>
      <c r="R18" s="229"/>
    </row>
    <row r="19" spans="2:21">
      <c r="B19" s="223" t="s">
        <v>262</v>
      </c>
      <c r="C19" s="203" t="s">
        <v>175</v>
      </c>
      <c r="D19" s="203" t="s">
        <v>175</v>
      </c>
      <c r="E19" s="203" t="s">
        <v>175</v>
      </c>
      <c r="F19" s="203" t="s">
        <v>239</v>
      </c>
      <c r="G19" s="203" t="s">
        <v>175</v>
      </c>
      <c r="H19" s="203" t="s">
        <v>175</v>
      </c>
      <c r="I19" s="204" t="s">
        <v>240</v>
      </c>
      <c r="J19" s="203" t="s">
        <v>175</v>
      </c>
      <c r="K19" s="224" t="s">
        <v>252</v>
      </c>
      <c r="L19" s="225" t="s">
        <v>250</v>
      </c>
      <c r="M19" s="225" t="s">
        <v>243</v>
      </c>
      <c r="N19" s="226" t="s">
        <v>111</v>
      </c>
      <c r="O19" s="227"/>
      <c r="P19" s="222" t="s">
        <v>134</v>
      </c>
      <c r="Q19" s="228"/>
      <c r="R19" s="229"/>
    </row>
    <row r="20" spans="2:21" ht="14.25" thickBot="1">
      <c r="B20" s="230" t="s">
        <v>263</v>
      </c>
      <c r="C20" s="231" t="s">
        <v>175</v>
      </c>
      <c r="D20" s="231" t="s">
        <v>175</v>
      </c>
      <c r="E20" s="231" t="s">
        <v>175</v>
      </c>
      <c r="F20" s="231" t="s">
        <v>175</v>
      </c>
      <c r="G20" s="231" t="s">
        <v>175</v>
      </c>
      <c r="H20" s="231" t="s">
        <v>175</v>
      </c>
      <c r="I20" s="232" t="s">
        <v>242</v>
      </c>
      <c r="J20" s="231" t="s">
        <v>175</v>
      </c>
      <c r="K20" s="233" t="s">
        <v>35</v>
      </c>
      <c r="L20" s="234" t="s">
        <v>250</v>
      </c>
      <c r="M20" s="234" t="s">
        <v>243</v>
      </c>
      <c r="N20" s="235" t="s">
        <v>33</v>
      </c>
      <c r="O20" s="231"/>
      <c r="P20" s="236" t="s">
        <v>134</v>
      </c>
      <c r="Q20" s="237"/>
      <c r="R20" s="238"/>
    </row>
    <row r="26" spans="2:21">
      <c r="S26" s="239"/>
      <c r="T26" s="239"/>
      <c r="U26" s="239"/>
    </row>
    <row r="27" spans="2:21">
      <c r="S27" s="239"/>
      <c r="T27" s="239"/>
      <c r="U27" s="239"/>
    </row>
    <row r="28" spans="2:21">
      <c r="S28" s="239"/>
      <c r="T28" s="239"/>
      <c r="U28" s="239"/>
    </row>
    <row r="29" spans="2:21" ht="15.75">
      <c r="J29" s="240"/>
      <c r="S29" s="239"/>
      <c r="T29" s="239"/>
      <c r="U29" s="239"/>
    </row>
    <row r="30" spans="2:21" ht="14.25">
      <c r="B30" s="241"/>
      <c r="C30" s="242"/>
      <c r="D30" s="242"/>
      <c r="E30" s="242"/>
      <c r="F30" s="242"/>
      <c r="G30" s="242"/>
      <c r="H30" s="242"/>
      <c r="I30" s="242"/>
      <c r="J30" s="242"/>
      <c r="K30" s="242"/>
      <c r="L30" s="242"/>
      <c r="M30" s="242"/>
      <c r="N30" s="242"/>
      <c r="O30" s="242"/>
      <c r="P30" s="242"/>
      <c r="Q30" s="242"/>
      <c r="R30" s="242"/>
      <c r="S30" s="239"/>
      <c r="T30" s="239"/>
      <c r="U30" s="239"/>
    </row>
    <row r="31" spans="2:21" ht="14.25">
      <c r="B31" s="243"/>
      <c r="C31" s="244"/>
      <c r="D31" s="244"/>
      <c r="E31" s="244"/>
      <c r="F31" s="244"/>
      <c r="G31" s="244"/>
      <c r="H31" s="244"/>
      <c r="I31" s="244"/>
      <c r="J31" s="244"/>
      <c r="K31" s="242"/>
      <c r="L31" s="242"/>
      <c r="M31" s="242"/>
      <c r="N31" s="242"/>
      <c r="O31" s="242"/>
      <c r="P31" s="242"/>
      <c r="Q31" s="242"/>
      <c r="R31" s="242"/>
      <c r="S31" s="239"/>
      <c r="T31" s="239"/>
      <c r="U31" s="239"/>
    </row>
    <row r="32" spans="2:21">
      <c r="B32" s="242"/>
      <c r="C32" s="242"/>
      <c r="D32" s="242"/>
      <c r="E32" s="242"/>
      <c r="F32" s="242"/>
      <c r="G32" s="242"/>
      <c r="H32" s="242"/>
      <c r="I32" s="242"/>
      <c r="J32" s="242"/>
      <c r="K32" s="242"/>
      <c r="L32" s="242"/>
      <c r="M32" s="242"/>
      <c r="N32" s="242"/>
      <c r="O32" s="242"/>
      <c r="P32" s="242"/>
      <c r="Q32" s="242"/>
      <c r="R32" s="242"/>
      <c r="S32" s="239"/>
      <c r="T32" s="239"/>
      <c r="U32" s="239"/>
    </row>
    <row r="33" spans="2:21">
      <c r="B33" s="242"/>
      <c r="C33" s="245"/>
      <c r="D33" s="245"/>
      <c r="E33" s="245"/>
      <c r="F33" s="245"/>
      <c r="G33" s="245"/>
      <c r="H33" s="245"/>
      <c r="I33" s="245"/>
      <c r="J33" s="245"/>
      <c r="K33" s="242"/>
      <c r="L33" s="242"/>
      <c r="M33" s="242"/>
      <c r="N33" s="242"/>
      <c r="O33" s="242"/>
      <c r="P33" s="242"/>
      <c r="Q33" s="242"/>
      <c r="R33" s="242"/>
      <c r="S33" s="239"/>
      <c r="T33" s="239"/>
      <c r="U33" s="239"/>
    </row>
    <row r="34" spans="2:21">
      <c r="B34" s="242"/>
      <c r="C34" s="245"/>
      <c r="D34" s="245"/>
      <c r="E34" s="245"/>
      <c r="F34" s="245"/>
      <c r="G34" s="245"/>
      <c r="H34" s="245"/>
      <c r="I34" s="245"/>
      <c r="J34" s="245"/>
      <c r="K34" s="242"/>
      <c r="L34" s="242"/>
      <c r="M34" s="242"/>
      <c r="N34" s="242"/>
      <c r="O34" s="242"/>
      <c r="P34" s="242"/>
      <c r="Q34" s="242"/>
      <c r="R34" s="242"/>
      <c r="S34" s="239"/>
      <c r="T34" s="239"/>
      <c r="U34" s="239"/>
    </row>
    <row r="35" spans="2:21">
      <c r="B35" s="242"/>
      <c r="C35" s="245"/>
      <c r="D35" s="245"/>
      <c r="E35" s="245"/>
      <c r="F35" s="245"/>
      <c r="G35" s="245"/>
      <c r="H35" s="245"/>
      <c r="I35" s="245"/>
      <c r="J35" s="245"/>
      <c r="K35" s="242"/>
      <c r="L35" s="242"/>
      <c r="M35" s="242"/>
      <c r="N35" s="242"/>
      <c r="O35" s="242"/>
      <c r="P35" s="242"/>
      <c r="Q35" s="242"/>
      <c r="R35" s="242"/>
      <c r="S35" s="239"/>
      <c r="T35" s="239"/>
      <c r="U35" s="239"/>
    </row>
    <row r="36" spans="2:21">
      <c r="B36" s="242"/>
      <c r="C36" s="245"/>
      <c r="D36" s="245"/>
      <c r="E36" s="245"/>
      <c r="F36" s="245"/>
      <c r="G36" s="245"/>
      <c r="H36" s="245"/>
      <c r="I36" s="245"/>
      <c r="J36" s="245"/>
      <c r="K36" s="242"/>
      <c r="L36" s="242"/>
      <c r="M36" s="242"/>
      <c r="N36" s="242"/>
      <c r="O36" s="242"/>
      <c r="P36" s="242"/>
      <c r="Q36" s="242"/>
      <c r="R36" s="242"/>
      <c r="S36" s="239"/>
      <c r="T36" s="239"/>
      <c r="U36" s="239"/>
    </row>
    <row r="37" spans="2:21">
      <c r="B37" s="242"/>
      <c r="C37" s="245"/>
      <c r="D37" s="245"/>
      <c r="E37" s="245"/>
      <c r="F37" s="245"/>
      <c r="G37" s="245"/>
      <c r="H37" s="245"/>
      <c r="I37" s="245"/>
      <c r="J37" s="245"/>
      <c r="K37" s="242"/>
      <c r="L37" s="242"/>
      <c r="M37" s="242"/>
      <c r="N37" s="242"/>
      <c r="O37" s="242"/>
      <c r="P37" s="242"/>
      <c r="Q37" s="242"/>
      <c r="R37" s="242"/>
      <c r="S37" s="239"/>
      <c r="T37" s="239"/>
      <c r="U37" s="239"/>
    </row>
    <row r="38" spans="2:21">
      <c r="B38" s="242"/>
      <c r="C38" s="245"/>
      <c r="D38" s="245"/>
      <c r="E38" s="245"/>
      <c r="F38" s="245"/>
      <c r="G38" s="245"/>
      <c r="H38" s="245"/>
      <c r="I38" s="245"/>
      <c r="J38" s="245"/>
      <c r="K38" s="242"/>
      <c r="L38" s="242"/>
      <c r="M38" s="242"/>
      <c r="N38" s="242"/>
      <c r="O38" s="242"/>
      <c r="P38" s="242"/>
      <c r="Q38" s="242"/>
      <c r="R38" s="242"/>
      <c r="S38" s="239"/>
      <c r="T38" s="239"/>
      <c r="U38" s="239"/>
    </row>
    <row r="39" spans="2:21">
      <c r="B39" s="242"/>
      <c r="C39" s="245"/>
      <c r="D39" s="245"/>
      <c r="E39" s="245"/>
      <c r="F39" s="245"/>
      <c r="G39" s="245"/>
      <c r="H39" s="245"/>
      <c r="I39" s="245"/>
      <c r="J39" s="245"/>
      <c r="K39" s="242"/>
      <c r="L39" s="242"/>
      <c r="M39" s="242"/>
      <c r="N39" s="242"/>
      <c r="O39" s="242"/>
      <c r="P39" s="242"/>
      <c r="Q39" s="242"/>
      <c r="R39" s="242"/>
      <c r="S39" s="239"/>
      <c r="T39" s="239"/>
      <c r="U39" s="239"/>
    </row>
    <row r="40" spans="2:21">
      <c r="B40" s="242"/>
      <c r="C40" s="245"/>
      <c r="D40" s="245"/>
      <c r="E40" s="245"/>
      <c r="F40" s="245"/>
      <c r="G40" s="245"/>
      <c r="H40" s="245"/>
      <c r="I40" s="245"/>
      <c r="J40" s="245"/>
      <c r="K40" s="242"/>
      <c r="L40" s="242"/>
      <c r="M40" s="242"/>
      <c r="N40" s="242"/>
      <c r="O40" s="242"/>
      <c r="P40" s="242"/>
      <c r="Q40" s="242"/>
      <c r="R40" s="242"/>
      <c r="S40" s="239"/>
      <c r="T40" s="239"/>
      <c r="U40" s="239"/>
    </row>
    <row r="41" spans="2:21">
      <c r="B41" s="242"/>
      <c r="C41" s="245"/>
      <c r="D41" s="245"/>
      <c r="E41" s="245"/>
      <c r="F41" s="245"/>
      <c r="G41" s="245"/>
      <c r="H41" s="245"/>
      <c r="I41" s="245"/>
      <c r="J41" s="245"/>
      <c r="K41" s="242"/>
      <c r="L41" s="242"/>
      <c r="M41" s="242"/>
      <c r="N41" s="242"/>
      <c r="O41" s="242"/>
      <c r="P41" s="242"/>
      <c r="Q41" s="242"/>
      <c r="R41" s="242"/>
      <c r="S41" s="239"/>
      <c r="T41" s="239"/>
      <c r="U41" s="239"/>
    </row>
    <row r="42" spans="2:21">
      <c r="B42" s="242"/>
      <c r="C42" s="245"/>
      <c r="D42" s="245"/>
      <c r="E42" s="245"/>
      <c r="F42" s="245"/>
      <c r="G42" s="245"/>
      <c r="H42" s="245"/>
      <c r="I42" s="245"/>
      <c r="J42" s="245"/>
      <c r="K42" s="242"/>
      <c r="L42" s="242"/>
      <c r="M42" s="242"/>
      <c r="N42" s="242"/>
      <c r="O42" s="242"/>
      <c r="P42" s="242"/>
      <c r="Q42" s="242"/>
      <c r="R42" s="242"/>
      <c r="S42" s="239"/>
      <c r="T42" s="239"/>
      <c r="U42" s="239"/>
    </row>
    <row r="43" spans="2:21">
      <c r="B43" s="242"/>
      <c r="C43" s="245"/>
      <c r="D43" s="245"/>
      <c r="E43" s="245"/>
      <c r="F43" s="245"/>
      <c r="G43" s="245"/>
      <c r="H43" s="245"/>
      <c r="I43" s="245"/>
      <c r="J43" s="245"/>
      <c r="K43" s="242"/>
      <c r="L43" s="242"/>
      <c r="M43" s="242"/>
      <c r="N43" s="242"/>
      <c r="O43" s="242"/>
      <c r="P43" s="242"/>
      <c r="Q43" s="242"/>
      <c r="R43" s="242"/>
      <c r="S43" s="239"/>
      <c r="T43" s="239"/>
      <c r="U43" s="239"/>
    </row>
    <row r="44" spans="2:21">
      <c r="B44" s="242"/>
      <c r="C44" s="245"/>
      <c r="D44" s="245"/>
      <c r="E44" s="245"/>
      <c r="F44" s="245"/>
      <c r="G44" s="245"/>
      <c r="H44" s="245"/>
      <c r="I44" s="245"/>
      <c r="J44" s="245"/>
      <c r="K44" s="242"/>
      <c r="L44" s="242"/>
      <c r="M44" s="242"/>
      <c r="N44" s="242"/>
      <c r="O44" s="242"/>
      <c r="P44" s="242"/>
      <c r="Q44" s="242"/>
      <c r="R44" s="242"/>
      <c r="S44" s="239"/>
      <c r="T44" s="239"/>
      <c r="U44" s="239"/>
    </row>
    <row r="45" spans="2:21">
      <c r="B45" s="242"/>
      <c r="C45" s="245"/>
      <c r="D45" s="245"/>
      <c r="E45" s="245"/>
      <c r="F45" s="245"/>
      <c r="G45" s="245"/>
      <c r="H45" s="245"/>
      <c r="I45" s="245"/>
      <c r="J45" s="245"/>
      <c r="K45" s="242"/>
      <c r="L45" s="242"/>
      <c r="M45" s="242"/>
      <c r="N45" s="242"/>
      <c r="O45" s="242"/>
      <c r="P45" s="242"/>
      <c r="Q45" s="242"/>
      <c r="R45" s="242"/>
      <c r="S45" s="239"/>
      <c r="T45" s="239"/>
      <c r="U45" s="239"/>
    </row>
    <row r="46" spans="2:21">
      <c r="B46" s="242"/>
      <c r="C46" s="245"/>
      <c r="D46" s="245"/>
      <c r="E46" s="245"/>
      <c r="F46" s="245"/>
      <c r="G46" s="245"/>
      <c r="H46" s="245"/>
      <c r="I46" s="245"/>
      <c r="J46" s="245"/>
      <c r="K46" s="242"/>
      <c r="L46" s="242"/>
      <c r="M46" s="242"/>
      <c r="N46" s="242"/>
      <c r="O46" s="242"/>
      <c r="P46" s="242"/>
      <c r="Q46" s="242"/>
      <c r="R46" s="242"/>
      <c r="S46" s="239"/>
      <c r="T46" s="239"/>
      <c r="U46" s="239"/>
    </row>
    <row r="47" spans="2:21">
      <c r="B47" s="242"/>
      <c r="C47" s="245"/>
      <c r="D47" s="245"/>
      <c r="E47" s="245"/>
      <c r="F47" s="245"/>
      <c r="G47" s="245"/>
      <c r="H47" s="245"/>
      <c r="I47" s="245"/>
      <c r="J47" s="245"/>
      <c r="K47" s="242"/>
      <c r="L47" s="242"/>
      <c r="M47" s="242"/>
      <c r="N47" s="242"/>
      <c r="O47" s="242"/>
      <c r="P47" s="242"/>
      <c r="Q47" s="242"/>
      <c r="R47" s="242"/>
      <c r="S47" s="239"/>
      <c r="T47" s="239"/>
      <c r="U47" s="239"/>
    </row>
    <row r="48" spans="2:21">
      <c r="B48" s="242"/>
      <c r="C48" s="245"/>
      <c r="D48" s="245"/>
      <c r="E48" s="245"/>
      <c r="F48" s="245"/>
      <c r="G48" s="245"/>
      <c r="H48" s="245"/>
      <c r="I48" s="245"/>
      <c r="J48" s="245"/>
      <c r="K48" s="242"/>
      <c r="L48" s="242"/>
      <c r="M48" s="242"/>
      <c r="N48" s="242"/>
      <c r="O48" s="242"/>
      <c r="P48" s="242"/>
      <c r="Q48" s="242"/>
      <c r="R48" s="242"/>
      <c r="S48" s="239"/>
      <c r="T48" s="239"/>
      <c r="U48" s="239"/>
    </row>
    <row r="49" spans="2:21">
      <c r="B49" s="242"/>
      <c r="C49" s="245"/>
      <c r="D49" s="245"/>
      <c r="E49" s="245"/>
      <c r="F49" s="245"/>
      <c r="G49" s="245"/>
      <c r="H49" s="245"/>
      <c r="I49" s="245"/>
      <c r="J49" s="245"/>
      <c r="K49" s="242"/>
      <c r="L49" s="242"/>
      <c r="M49" s="242"/>
      <c r="N49" s="242"/>
      <c r="O49" s="242"/>
      <c r="P49" s="242"/>
      <c r="Q49" s="242"/>
      <c r="R49" s="242"/>
      <c r="S49" s="239"/>
      <c r="T49" s="239"/>
      <c r="U49" s="239"/>
    </row>
    <row r="50" spans="2:21">
      <c r="B50" s="242"/>
      <c r="C50" s="245"/>
      <c r="D50" s="245"/>
      <c r="E50" s="245"/>
      <c r="F50" s="245"/>
      <c r="G50" s="245"/>
      <c r="H50" s="245"/>
      <c r="I50" s="245"/>
      <c r="J50" s="245"/>
      <c r="K50" s="242"/>
      <c r="L50" s="242"/>
      <c r="M50" s="242"/>
      <c r="N50" s="242"/>
      <c r="O50" s="242"/>
      <c r="P50" s="242"/>
      <c r="Q50" s="242"/>
      <c r="R50" s="242"/>
      <c r="S50" s="239"/>
      <c r="T50" s="239"/>
      <c r="U50" s="239"/>
    </row>
    <row r="51" spans="2:21">
      <c r="B51" s="242"/>
      <c r="C51" s="245"/>
      <c r="D51" s="245"/>
      <c r="E51" s="245"/>
      <c r="F51" s="245"/>
      <c r="G51" s="245"/>
      <c r="H51" s="245"/>
      <c r="I51" s="245"/>
      <c r="J51" s="245"/>
      <c r="K51" s="242"/>
      <c r="L51" s="242"/>
      <c r="M51" s="242"/>
      <c r="N51" s="242"/>
      <c r="O51" s="242"/>
      <c r="P51" s="242"/>
      <c r="Q51" s="242"/>
      <c r="R51" s="242"/>
      <c r="S51" s="239"/>
      <c r="T51" s="239"/>
      <c r="U51" s="239"/>
    </row>
    <row r="52" spans="2:21">
      <c r="B52" s="242"/>
      <c r="C52" s="245"/>
      <c r="D52" s="245"/>
      <c r="E52" s="245"/>
      <c r="F52" s="245"/>
      <c r="G52" s="245"/>
      <c r="H52" s="245"/>
      <c r="I52" s="245"/>
      <c r="J52" s="245"/>
      <c r="K52" s="242"/>
      <c r="L52" s="242"/>
      <c r="M52" s="242"/>
      <c r="N52" s="242"/>
      <c r="O52" s="242"/>
      <c r="P52" s="242"/>
      <c r="Q52" s="242"/>
      <c r="R52" s="242"/>
      <c r="S52" s="239"/>
      <c r="T52" s="239"/>
      <c r="U52" s="239"/>
    </row>
    <row r="53" spans="2:21">
      <c r="B53" s="242"/>
      <c r="C53" s="245"/>
      <c r="D53" s="245"/>
      <c r="E53" s="245"/>
      <c r="F53" s="245"/>
      <c r="G53" s="245"/>
      <c r="H53" s="245"/>
      <c r="I53" s="245"/>
      <c r="J53" s="245"/>
      <c r="K53" s="242"/>
      <c r="L53" s="242"/>
      <c r="M53" s="242"/>
      <c r="N53" s="242"/>
      <c r="O53" s="242"/>
      <c r="P53" s="242"/>
      <c r="Q53" s="242"/>
      <c r="R53" s="242"/>
      <c r="S53" s="239"/>
      <c r="T53" s="239"/>
      <c r="U53" s="239"/>
    </row>
    <row r="54" spans="2:21">
      <c r="B54" s="242"/>
      <c r="C54" s="245"/>
      <c r="D54" s="245"/>
      <c r="E54" s="245"/>
      <c r="F54" s="245"/>
      <c r="G54" s="245"/>
      <c r="H54" s="245"/>
      <c r="I54" s="245"/>
      <c r="J54" s="245"/>
      <c r="K54" s="242"/>
      <c r="L54" s="242"/>
      <c r="M54" s="242"/>
      <c r="N54" s="242"/>
      <c r="O54" s="242"/>
      <c r="P54" s="242"/>
      <c r="Q54" s="242"/>
      <c r="R54" s="242"/>
      <c r="S54" s="239"/>
      <c r="T54" s="239"/>
      <c r="U54" s="239"/>
    </row>
    <row r="55" spans="2:21">
      <c r="B55" s="242"/>
      <c r="C55" s="245"/>
      <c r="D55" s="245"/>
      <c r="E55" s="245"/>
      <c r="F55" s="245"/>
      <c r="G55" s="245"/>
      <c r="H55" s="245"/>
      <c r="I55" s="245"/>
      <c r="J55" s="245"/>
      <c r="K55" s="242"/>
      <c r="L55" s="242"/>
      <c r="M55" s="242"/>
      <c r="N55" s="242"/>
      <c r="O55" s="242"/>
      <c r="P55" s="242"/>
      <c r="Q55" s="242"/>
      <c r="R55" s="242"/>
      <c r="S55" s="239"/>
      <c r="T55" s="239"/>
      <c r="U55" s="239"/>
    </row>
    <row r="56" spans="2:21">
      <c r="B56" s="242"/>
      <c r="C56" s="245"/>
      <c r="D56" s="245"/>
      <c r="E56" s="245"/>
      <c r="F56" s="245"/>
      <c r="G56" s="245"/>
      <c r="H56" s="245"/>
      <c r="I56" s="245"/>
      <c r="J56" s="245"/>
      <c r="K56" s="242"/>
      <c r="L56" s="242"/>
      <c r="M56" s="242"/>
      <c r="N56" s="242"/>
      <c r="O56" s="242"/>
      <c r="P56" s="242"/>
      <c r="Q56" s="242"/>
      <c r="R56" s="242"/>
      <c r="S56" s="239"/>
      <c r="T56" s="239"/>
      <c r="U56" s="239"/>
    </row>
    <row r="57" spans="2:21">
      <c r="B57" s="242"/>
      <c r="C57" s="245"/>
      <c r="D57" s="245"/>
      <c r="E57" s="245"/>
      <c r="F57" s="245"/>
      <c r="G57" s="245"/>
      <c r="H57" s="245"/>
      <c r="I57" s="245"/>
      <c r="J57" s="245"/>
      <c r="K57" s="242"/>
      <c r="L57" s="242"/>
      <c r="M57" s="242"/>
      <c r="N57" s="242"/>
      <c r="O57" s="242"/>
      <c r="P57" s="242"/>
      <c r="Q57" s="242"/>
      <c r="R57" s="242"/>
      <c r="S57" s="239"/>
      <c r="T57" s="239"/>
      <c r="U57" s="239"/>
    </row>
    <row r="58" spans="2:21">
      <c r="B58" s="242"/>
      <c r="C58" s="245"/>
      <c r="D58" s="245"/>
      <c r="E58" s="245"/>
      <c r="F58" s="245"/>
      <c r="G58" s="245"/>
      <c r="H58" s="245"/>
      <c r="I58" s="245"/>
      <c r="J58" s="245"/>
      <c r="K58" s="242"/>
      <c r="L58" s="242"/>
      <c r="M58" s="242"/>
      <c r="N58" s="242"/>
      <c r="O58" s="242"/>
      <c r="P58" s="242"/>
      <c r="Q58" s="242"/>
      <c r="R58" s="242"/>
      <c r="S58" s="239"/>
      <c r="T58" s="239"/>
      <c r="U58" s="239"/>
    </row>
    <row r="59" spans="2:21">
      <c r="B59" s="242"/>
      <c r="C59" s="245"/>
      <c r="D59" s="245"/>
      <c r="E59" s="245"/>
      <c r="F59" s="245"/>
      <c r="G59" s="245"/>
      <c r="H59" s="245"/>
      <c r="I59" s="245"/>
      <c r="J59" s="245"/>
      <c r="K59" s="242"/>
      <c r="L59" s="242"/>
      <c r="M59" s="242"/>
      <c r="N59" s="242"/>
      <c r="O59" s="242"/>
      <c r="P59" s="242"/>
      <c r="Q59" s="242"/>
      <c r="R59" s="242"/>
      <c r="S59" s="239"/>
      <c r="T59" s="239"/>
      <c r="U59" s="239"/>
    </row>
    <row r="60" spans="2:21">
      <c r="B60" s="242"/>
      <c r="C60" s="245"/>
      <c r="D60" s="245"/>
      <c r="E60" s="245"/>
      <c r="F60" s="245"/>
      <c r="G60" s="245"/>
      <c r="H60" s="245"/>
      <c r="I60" s="245"/>
      <c r="J60" s="245"/>
      <c r="K60" s="242"/>
      <c r="L60" s="242"/>
      <c r="M60" s="242"/>
      <c r="N60" s="242"/>
      <c r="O60" s="242"/>
      <c r="P60" s="242"/>
      <c r="Q60" s="242"/>
      <c r="R60" s="242"/>
      <c r="S60" s="239"/>
      <c r="T60" s="239"/>
      <c r="U60" s="239"/>
    </row>
    <row r="61" spans="2:21">
      <c r="B61" s="242"/>
      <c r="C61" s="245"/>
      <c r="D61" s="245"/>
      <c r="E61" s="245"/>
      <c r="F61" s="245"/>
      <c r="G61" s="245"/>
      <c r="H61" s="245"/>
      <c r="I61" s="245"/>
      <c r="J61" s="245"/>
      <c r="K61" s="242"/>
      <c r="L61" s="242"/>
      <c r="M61" s="242"/>
      <c r="N61" s="242"/>
      <c r="O61" s="242"/>
      <c r="P61" s="242"/>
      <c r="Q61" s="242"/>
      <c r="R61" s="242"/>
      <c r="S61" s="239"/>
      <c r="T61" s="239"/>
      <c r="U61" s="239"/>
    </row>
    <row r="62" spans="2:21">
      <c r="B62" s="242"/>
      <c r="C62" s="245"/>
      <c r="D62" s="245"/>
      <c r="E62" s="245"/>
      <c r="F62" s="245"/>
      <c r="G62" s="245"/>
      <c r="H62" s="245"/>
      <c r="I62" s="245"/>
      <c r="J62" s="245"/>
      <c r="K62" s="242"/>
      <c r="L62" s="242"/>
      <c r="M62" s="242"/>
      <c r="N62" s="242"/>
      <c r="O62" s="242"/>
      <c r="P62" s="242"/>
      <c r="Q62" s="242"/>
      <c r="R62" s="242"/>
      <c r="S62" s="239"/>
      <c r="T62" s="239"/>
      <c r="U62" s="239"/>
    </row>
    <row r="63" spans="2:21">
      <c r="B63" s="242"/>
      <c r="C63" s="245"/>
      <c r="D63" s="245"/>
      <c r="E63" s="245"/>
      <c r="F63" s="245"/>
      <c r="G63" s="245"/>
      <c r="H63" s="245"/>
      <c r="I63" s="245"/>
      <c r="J63" s="245"/>
      <c r="K63" s="242"/>
      <c r="L63" s="242"/>
      <c r="M63" s="242"/>
      <c r="N63" s="242"/>
      <c r="O63" s="242"/>
      <c r="P63" s="242"/>
      <c r="Q63" s="242"/>
      <c r="R63" s="242"/>
      <c r="S63" s="239"/>
      <c r="T63" s="239"/>
      <c r="U63" s="239"/>
    </row>
    <row r="64" spans="2:21">
      <c r="B64" s="242"/>
      <c r="C64" s="245"/>
      <c r="D64" s="245"/>
      <c r="E64" s="245"/>
      <c r="F64" s="245"/>
      <c r="G64" s="245"/>
      <c r="H64" s="245"/>
      <c r="I64" s="245"/>
      <c r="J64" s="245"/>
      <c r="K64" s="242"/>
      <c r="L64" s="242"/>
      <c r="M64" s="242"/>
      <c r="N64" s="242"/>
      <c r="O64" s="242"/>
      <c r="P64" s="242"/>
      <c r="Q64" s="242"/>
      <c r="R64" s="242"/>
      <c r="S64" s="239"/>
      <c r="T64" s="239"/>
      <c r="U64" s="239"/>
    </row>
    <row r="65" spans="2:21">
      <c r="B65" s="242"/>
      <c r="C65" s="245"/>
      <c r="D65" s="245"/>
      <c r="E65" s="245"/>
      <c r="F65" s="245"/>
      <c r="G65" s="245"/>
      <c r="H65" s="245"/>
      <c r="I65" s="245"/>
      <c r="J65" s="245"/>
      <c r="K65" s="242"/>
      <c r="L65" s="242"/>
      <c r="M65" s="242"/>
      <c r="N65" s="242"/>
      <c r="O65" s="242"/>
      <c r="P65" s="242"/>
      <c r="Q65" s="242"/>
      <c r="R65" s="242"/>
      <c r="S65" s="239"/>
      <c r="T65" s="239"/>
      <c r="U65" s="239"/>
    </row>
    <row r="66" spans="2:21">
      <c r="B66" s="242"/>
      <c r="C66" s="245"/>
      <c r="D66" s="245"/>
      <c r="E66" s="245"/>
      <c r="F66" s="245"/>
      <c r="G66" s="245"/>
      <c r="H66" s="245"/>
      <c r="I66" s="245"/>
      <c r="J66" s="245"/>
      <c r="K66" s="242"/>
      <c r="L66" s="242"/>
      <c r="M66" s="242"/>
      <c r="N66" s="242"/>
      <c r="O66" s="242"/>
      <c r="P66" s="242"/>
      <c r="Q66" s="242"/>
      <c r="R66" s="242"/>
      <c r="S66" s="239"/>
      <c r="T66" s="239"/>
      <c r="U66" s="239"/>
    </row>
    <row r="67" spans="2:21">
      <c r="B67" s="242"/>
      <c r="C67" s="245"/>
      <c r="D67" s="245"/>
      <c r="E67" s="245"/>
      <c r="F67" s="245"/>
      <c r="G67" s="245"/>
      <c r="H67" s="245"/>
      <c r="I67" s="245"/>
      <c r="J67" s="245"/>
      <c r="K67" s="242"/>
      <c r="L67" s="242"/>
      <c r="M67" s="242"/>
      <c r="N67" s="242"/>
      <c r="O67" s="242"/>
      <c r="P67" s="242"/>
      <c r="Q67" s="242"/>
      <c r="R67" s="242"/>
      <c r="S67" s="239"/>
      <c r="T67" s="239"/>
      <c r="U67" s="239"/>
    </row>
    <row r="68" spans="2:21">
      <c r="B68" s="242"/>
      <c r="C68" s="245"/>
      <c r="D68" s="245"/>
      <c r="E68" s="245"/>
      <c r="F68" s="245"/>
      <c r="G68" s="245"/>
      <c r="H68" s="245"/>
      <c r="I68" s="245"/>
      <c r="J68" s="245"/>
      <c r="K68" s="242"/>
      <c r="L68" s="242"/>
      <c r="M68" s="242"/>
      <c r="N68" s="242"/>
      <c r="O68" s="242"/>
      <c r="P68" s="242"/>
      <c r="Q68" s="242"/>
      <c r="R68" s="242"/>
      <c r="S68" s="239"/>
      <c r="T68" s="239"/>
      <c r="U68" s="239"/>
    </row>
    <row r="69" spans="2:21">
      <c r="B69" s="242"/>
      <c r="C69" s="245"/>
      <c r="D69" s="245"/>
      <c r="E69" s="245"/>
      <c r="F69" s="245"/>
      <c r="G69" s="245"/>
      <c r="H69" s="245"/>
      <c r="I69" s="245"/>
      <c r="J69" s="245"/>
      <c r="K69" s="242"/>
      <c r="L69" s="242"/>
      <c r="M69" s="242"/>
      <c r="N69" s="242"/>
      <c r="O69" s="242"/>
      <c r="P69" s="242"/>
      <c r="Q69" s="242"/>
      <c r="R69" s="242"/>
      <c r="S69" s="239"/>
      <c r="T69" s="239"/>
      <c r="U69" s="239"/>
    </row>
    <row r="70" spans="2:21">
      <c r="B70" s="242"/>
      <c r="C70" s="245"/>
      <c r="D70" s="245"/>
      <c r="E70" s="245"/>
      <c r="F70" s="245"/>
      <c r="G70" s="245"/>
      <c r="H70" s="245"/>
      <c r="I70" s="245"/>
      <c r="J70" s="245"/>
      <c r="K70" s="242"/>
      <c r="L70" s="242"/>
      <c r="M70" s="242"/>
      <c r="N70" s="242"/>
      <c r="O70" s="242"/>
      <c r="P70" s="242"/>
      <c r="Q70" s="242"/>
      <c r="R70" s="242"/>
      <c r="S70" s="239"/>
      <c r="T70" s="239"/>
      <c r="U70" s="239"/>
    </row>
    <row r="71" spans="2:21">
      <c r="B71" s="242"/>
      <c r="C71" s="245"/>
      <c r="D71" s="245"/>
      <c r="E71" s="245"/>
      <c r="F71" s="245"/>
      <c r="G71" s="245"/>
      <c r="H71" s="245"/>
      <c r="I71" s="245"/>
      <c r="J71" s="245"/>
      <c r="K71" s="242"/>
      <c r="L71" s="242"/>
      <c r="M71" s="242"/>
      <c r="N71" s="242"/>
      <c r="O71" s="242"/>
      <c r="P71" s="242"/>
      <c r="Q71" s="242"/>
      <c r="R71" s="242"/>
      <c r="S71" s="239"/>
      <c r="T71" s="239"/>
      <c r="U71" s="239"/>
    </row>
    <row r="72" spans="2:21">
      <c r="B72" s="242"/>
      <c r="C72" s="245"/>
      <c r="D72" s="245"/>
      <c r="E72" s="245"/>
      <c r="F72" s="245"/>
      <c r="G72" s="245"/>
      <c r="H72" s="245"/>
      <c r="I72" s="245"/>
      <c r="J72" s="245"/>
      <c r="K72" s="242"/>
      <c r="L72" s="242"/>
      <c r="M72" s="242"/>
      <c r="N72" s="242"/>
      <c r="O72" s="242"/>
      <c r="P72" s="242"/>
      <c r="Q72" s="242"/>
      <c r="R72" s="242"/>
      <c r="S72" s="239"/>
      <c r="T72" s="239"/>
      <c r="U72" s="239"/>
    </row>
    <row r="73" spans="2:21">
      <c r="B73" s="242"/>
      <c r="C73" s="245"/>
      <c r="D73" s="245"/>
      <c r="E73" s="245"/>
      <c r="F73" s="245"/>
      <c r="G73" s="245"/>
      <c r="H73" s="245"/>
      <c r="I73" s="245"/>
      <c r="J73" s="245"/>
      <c r="K73" s="242"/>
      <c r="L73" s="242"/>
      <c r="M73" s="242"/>
      <c r="N73" s="242"/>
      <c r="O73" s="242"/>
      <c r="P73" s="242"/>
      <c r="Q73" s="242"/>
      <c r="R73" s="242"/>
      <c r="S73" s="239"/>
      <c r="T73" s="239"/>
      <c r="U73" s="239"/>
    </row>
    <row r="74" spans="2:21">
      <c r="B74" s="242"/>
      <c r="C74" s="245"/>
      <c r="D74" s="245"/>
      <c r="E74" s="245"/>
      <c r="F74" s="245"/>
      <c r="G74" s="245"/>
      <c r="H74" s="245"/>
      <c r="I74" s="245"/>
      <c r="J74" s="245"/>
      <c r="K74" s="242"/>
      <c r="L74" s="242"/>
      <c r="M74" s="242"/>
      <c r="N74" s="242"/>
      <c r="O74" s="242"/>
      <c r="P74" s="242"/>
      <c r="Q74" s="242"/>
      <c r="R74" s="242"/>
      <c r="S74" s="239"/>
      <c r="T74" s="239"/>
      <c r="U74" s="239"/>
    </row>
    <row r="75" spans="2:21">
      <c r="B75" s="242"/>
      <c r="C75" s="246"/>
      <c r="D75" s="246"/>
      <c r="E75" s="246"/>
      <c r="F75" s="246"/>
      <c r="G75" s="246"/>
      <c r="H75" s="246"/>
      <c r="I75" s="246"/>
      <c r="J75" s="246"/>
      <c r="K75" s="246"/>
      <c r="L75" s="246"/>
      <c r="M75" s="246"/>
      <c r="N75" s="242"/>
      <c r="O75" s="242"/>
      <c r="P75" s="242"/>
      <c r="Q75" s="242"/>
      <c r="R75" s="247"/>
    </row>
    <row r="76" spans="2:21">
      <c r="B76" s="247"/>
      <c r="C76" s="245"/>
      <c r="D76" s="245"/>
      <c r="E76" s="245"/>
      <c r="F76" s="245"/>
      <c r="G76" s="245"/>
      <c r="H76" s="245"/>
      <c r="I76" s="245"/>
      <c r="J76" s="245"/>
      <c r="K76" s="242"/>
      <c r="L76" s="242"/>
      <c r="M76" s="242"/>
      <c r="N76" s="242"/>
      <c r="O76" s="242"/>
      <c r="P76" s="242"/>
      <c r="Q76" s="242"/>
      <c r="R76" s="242"/>
    </row>
    <row r="77" spans="2:21">
      <c r="B77" s="242"/>
      <c r="C77" s="248"/>
      <c r="D77" s="248"/>
      <c r="E77" s="248"/>
      <c r="F77" s="248"/>
      <c r="G77" s="248"/>
      <c r="H77" s="248"/>
      <c r="I77" s="248"/>
      <c r="J77" s="248"/>
      <c r="K77" s="247"/>
      <c r="L77" s="247"/>
      <c r="M77" s="247"/>
      <c r="N77" s="242"/>
      <c r="O77" s="242"/>
      <c r="P77" s="242"/>
      <c r="Q77" s="242"/>
      <c r="R77" s="242"/>
    </row>
    <row r="78" spans="2:21">
      <c r="B78" s="242"/>
      <c r="C78" s="247"/>
      <c r="D78" s="247"/>
      <c r="E78" s="247"/>
      <c r="F78" s="247"/>
      <c r="G78" s="247"/>
      <c r="H78" s="247"/>
      <c r="I78" s="247"/>
      <c r="J78" s="247"/>
      <c r="K78" s="247"/>
      <c r="L78" s="247"/>
      <c r="M78" s="247"/>
      <c r="N78" s="247"/>
      <c r="O78" s="247"/>
      <c r="P78" s="249"/>
      <c r="Q78" s="242"/>
      <c r="R78" s="247"/>
    </row>
    <row r="79" spans="2:21">
      <c r="B79" s="250"/>
      <c r="C79" s="251"/>
      <c r="D79" s="251"/>
      <c r="E79" s="251"/>
      <c r="F79" s="251"/>
      <c r="G79" s="251"/>
      <c r="H79" s="251"/>
      <c r="I79" s="251"/>
      <c r="J79" s="251"/>
      <c r="K79" s="251"/>
      <c r="L79" s="251"/>
      <c r="M79" s="251"/>
      <c r="N79" s="251"/>
      <c r="O79" s="251"/>
      <c r="P79" s="251"/>
      <c r="Q79" s="251"/>
      <c r="R79" s="251"/>
    </row>
    <row r="80" spans="2:21">
      <c r="B80" s="250"/>
      <c r="C80" s="251"/>
      <c r="D80" s="251"/>
      <c r="E80" s="251"/>
      <c r="F80" s="251"/>
      <c r="G80" s="251"/>
      <c r="H80" s="251"/>
      <c r="I80" s="251"/>
      <c r="J80" s="251"/>
      <c r="K80" s="251"/>
      <c r="L80" s="251"/>
      <c r="M80" s="251"/>
      <c r="N80" s="251"/>
      <c r="O80" s="251"/>
      <c r="P80" s="251"/>
      <c r="Q80" s="251"/>
      <c r="R80" s="251"/>
    </row>
    <row r="81" spans="2:18">
      <c r="B81" s="250"/>
      <c r="C81" s="251"/>
      <c r="D81" s="251"/>
      <c r="E81" s="251"/>
      <c r="F81" s="251"/>
      <c r="G81" s="251"/>
      <c r="H81" s="251"/>
      <c r="I81" s="251"/>
      <c r="J81" s="251"/>
      <c r="K81" s="251"/>
      <c r="L81" s="251"/>
      <c r="M81" s="251"/>
      <c r="N81" s="251"/>
      <c r="O81" s="251"/>
      <c r="P81" s="251"/>
      <c r="Q81" s="251"/>
      <c r="R81" s="251"/>
    </row>
    <row r="82" spans="2:18">
      <c r="B82" s="250"/>
      <c r="C82" s="251"/>
      <c r="D82" s="251"/>
      <c r="E82" s="251"/>
      <c r="F82" s="251"/>
      <c r="G82" s="251"/>
      <c r="H82" s="251"/>
      <c r="I82" s="251"/>
      <c r="J82" s="251"/>
      <c r="K82" s="251"/>
      <c r="L82" s="251"/>
      <c r="M82" s="251"/>
      <c r="N82" s="251"/>
      <c r="O82" s="251"/>
      <c r="P82" s="251"/>
      <c r="Q82" s="251"/>
      <c r="R82" s="251"/>
    </row>
    <row r="83" spans="2:18">
      <c r="B83" s="250"/>
      <c r="C83" s="251"/>
      <c r="D83" s="251"/>
      <c r="E83" s="251"/>
      <c r="F83" s="251"/>
      <c r="G83" s="251"/>
      <c r="H83" s="251"/>
      <c r="I83" s="251"/>
      <c r="J83" s="251"/>
      <c r="K83" s="251"/>
      <c r="L83" s="251"/>
      <c r="M83" s="251"/>
      <c r="N83" s="251"/>
      <c r="O83" s="251"/>
      <c r="P83" s="251"/>
      <c r="Q83" s="251"/>
      <c r="R83" s="251"/>
    </row>
    <row r="84" spans="2:18">
      <c r="B84" s="250"/>
      <c r="C84" s="251"/>
      <c r="D84" s="251"/>
      <c r="E84" s="251"/>
      <c r="F84" s="251"/>
      <c r="G84" s="251"/>
      <c r="H84" s="251"/>
      <c r="I84" s="251"/>
      <c r="J84" s="251"/>
      <c r="K84" s="251"/>
      <c r="L84" s="251"/>
      <c r="M84" s="251"/>
      <c r="N84" s="251"/>
      <c r="O84" s="251"/>
      <c r="P84" s="251"/>
      <c r="Q84" s="251"/>
      <c r="R84" s="251"/>
    </row>
    <row r="85" spans="2:18">
      <c r="B85" s="250"/>
      <c r="C85" s="251"/>
      <c r="D85" s="251"/>
      <c r="E85" s="251"/>
      <c r="F85" s="251"/>
      <c r="G85" s="251"/>
      <c r="H85" s="251"/>
      <c r="I85" s="251"/>
      <c r="J85" s="251"/>
      <c r="K85" s="251"/>
      <c r="L85" s="251"/>
      <c r="M85" s="251"/>
      <c r="N85" s="251"/>
      <c r="O85" s="251"/>
      <c r="P85" s="251"/>
      <c r="Q85" s="251"/>
      <c r="R85" s="251"/>
    </row>
    <row r="86" spans="2:18">
      <c r="B86" s="250"/>
      <c r="C86" s="251"/>
      <c r="D86" s="251"/>
      <c r="E86" s="251"/>
      <c r="F86" s="251"/>
      <c r="G86" s="251"/>
      <c r="H86" s="251"/>
      <c r="I86" s="251"/>
      <c r="J86" s="251"/>
      <c r="K86" s="251"/>
      <c r="L86" s="251"/>
      <c r="M86" s="251"/>
      <c r="N86" s="251"/>
      <c r="O86" s="251"/>
      <c r="P86" s="251"/>
      <c r="Q86" s="251"/>
      <c r="R86" s="251"/>
    </row>
    <row r="87" spans="2:18">
      <c r="B87" s="250"/>
      <c r="C87" s="251"/>
      <c r="D87" s="251"/>
      <c r="E87" s="251"/>
      <c r="F87" s="251"/>
      <c r="G87" s="251"/>
      <c r="H87" s="251"/>
      <c r="I87" s="251"/>
      <c r="J87" s="251"/>
      <c r="K87" s="251"/>
      <c r="L87" s="251"/>
      <c r="M87" s="251"/>
      <c r="N87" s="251"/>
      <c r="O87" s="251"/>
      <c r="P87" s="251"/>
      <c r="Q87" s="251"/>
      <c r="R87" s="251"/>
    </row>
    <row r="88" spans="2:18">
      <c r="B88" s="250"/>
      <c r="C88" s="251"/>
      <c r="D88" s="251"/>
      <c r="E88" s="251"/>
      <c r="F88" s="251"/>
      <c r="G88" s="251"/>
      <c r="H88" s="251"/>
      <c r="I88" s="251"/>
      <c r="J88" s="251"/>
      <c r="K88" s="251"/>
      <c r="L88" s="251"/>
      <c r="M88" s="251"/>
      <c r="N88" s="251"/>
      <c r="O88" s="251"/>
      <c r="P88" s="251"/>
      <c r="Q88" s="251"/>
      <c r="R88" s="251"/>
    </row>
    <row r="89" spans="2:18">
      <c r="B89" s="250"/>
      <c r="C89" s="251"/>
      <c r="D89" s="251"/>
      <c r="E89" s="251"/>
      <c r="F89" s="251"/>
      <c r="G89" s="251"/>
      <c r="H89" s="251"/>
      <c r="I89" s="251"/>
      <c r="J89" s="251"/>
      <c r="K89" s="251"/>
      <c r="L89" s="251"/>
      <c r="M89" s="251"/>
      <c r="N89" s="251"/>
      <c r="O89" s="251"/>
      <c r="P89" s="251"/>
      <c r="Q89" s="251"/>
      <c r="R89" s="251"/>
    </row>
    <row r="90" spans="2:18">
      <c r="B90" s="250"/>
      <c r="C90" s="251"/>
      <c r="D90" s="251"/>
      <c r="E90" s="251"/>
      <c r="F90" s="251"/>
      <c r="G90" s="251"/>
      <c r="H90" s="251"/>
      <c r="I90" s="251"/>
      <c r="J90" s="251"/>
      <c r="K90" s="251"/>
      <c r="L90" s="251"/>
      <c r="M90" s="251"/>
      <c r="N90" s="251"/>
      <c r="O90" s="251"/>
      <c r="P90" s="251"/>
      <c r="Q90" s="251"/>
      <c r="R90" s="251"/>
    </row>
    <row r="91" spans="2:18">
      <c r="B91" s="250"/>
      <c r="C91" s="251"/>
      <c r="D91" s="251"/>
      <c r="E91" s="251"/>
      <c r="F91" s="251"/>
      <c r="G91" s="251"/>
      <c r="H91" s="251"/>
      <c r="I91" s="251"/>
      <c r="J91" s="251"/>
      <c r="K91" s="251"/>
      <c r="L91" s="251"/>
      <c r="M91" s="251"/>
      <c r="N91" s="251"/>
      <c r="O91" s="251"/>
      <c r="P91" s="251"/>
      <c r="Q91" s="251"/>
      <c r="R91" s="251"/>
    </row>
    <row r="92" spans="2:18">
      <c r="B92" s="250"/>
      <c r="C92" s="251"/>
      <c r="D92" s="251"/>
      <c r="E92" s="251"/>
      <c r="F92" s="251"/>
      <c r="G92" s="251"/>
      <c r="H92" s="251"/>
      <c r="I92" s="251"/>
      <c r="J92" s="251"/>
      <c r="K92" s="251"/>
      <c r="L92" s="251"/>
      <c r="M92" s="251"/>
      <c r="N92" s="251"/>
      <c r="O92" s="251"/>
      <c r="P92" s="251"/>
      <c r="Q92" s="251"/>
      <c r="R92" s="251"/>
    </row>
    <row r="93" spans="2:18">
      <c r="B93" s="250"/>
      <c r="C93" s="251"/>
      <c r="D93" s="251"/>
      <c r="E93" s="251"/>
      <c r="F93" s="251"/>
      <c r="G93" s="251"/>
      <c r="H93" s="251"/>
      <c r="I93" s="251"/>
      <c r="J93" s="251"/>
      <c r="K93" s="251"/>
      <c r="L93" s="251"/>
      <c r="M93" s="251"/>
      <c r="N93" s="251"/>
      <c r="O93" s="251"/>
      <c r="P93" s="251"/>
      <c r="Q93" s="251"/>
      <c r="R93" s="251"/>
    </row>
    <row r="94" spans="2:18">
      <c r="B94" s="250"/>
      <c r="C94" s="251"/>
      <c r="D94" s="251"/>
      <c r="E94" s="251"/>
      <c r="F94" s="251"/>
      <c r="G94" s="251"/>
      <c r="H94" s="251"/>
      <c r="I94" s="251"/>
      <c r="J94" s="251"/>
      <c r="K94" s="251"/>
      <c r="L94" s="251"/>
      <c r="M94" s="251"/>
      <c r="N94" s="251"/>
      <c r="O94" s="251"/>
      <c r="P94" s="251"/>
      <c r="Q94" s="251"/>
      <c r="R94" s="251"/>
    </row>
    <row r="95" spans="2:18">
      <c r="B95" s="250"/>
      <c r="C95" s="251"/>
      <c r="D95" s="251"/>
      <c r="E95" s="251"/>
      <c r="F95" s="251"/>
      <c r="G95" s="251"/>
      <c r="H95" s="251"/>
      <c r="I95" s="251"/>
      <c r="J95" s="251"/>
      <c r="K95" s="251"/>
      <c r="L95" s="251"/>
      <c r="M95" s="251"/>
      <c r="N95" s="251"/>
      <c r="O95" s="251"/>
      <c r="P95" s="251"/>
      <c r="Q95" s="251"/>
      <c r="R95" s="251"/>
    </row>
    <row r="96" spans="2:18">
      <c r="B96" s="250"/>
      <c r="C96" s="251"/>
      <c r="D96" s="251"/>
      <c r="E96" s="251"/>
      <c r="F96" s="251"/>
      <c r="G96" s="251"/>
      <c r="H96" s="251"/>
      <c r="I96" s="251"/>
      <c r="J96" s="251"/>
      <c r="K96" s="251"/>
      <c r="L96" s="251"/>
      <c r="M96" s="251"/>
      <c r="N96" s="251"/>
      <c r="O96" s="251"/>
      <c r="P96" s="251"/>
      <c r="Q96" s="251"/>
      <c r="R96" s="251"/>
    </row>
  </sheetData>
  <mergeCells count="3">
    <mergeCell ref="C4:J4"/>
    <mergeCell ref="C6:J6"/>
    <mergeCell ref="C8:J8"/>
  </mergeCells>
  <phoneticPr fontId="2"/>
  <dataValidations count="1">
    <dataValidation type="list" allowBlank="1" showInputMessage="1" showErrorMessage="1" sqref="C4 C31"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6" t="s">
        <v>89</v>
      </c>
      <c r="C2" s="57">
        <f>MAX(B4:B28)</f>
        <v>20</v>
      </c>
      <c r="D2" s="57"/>
    </row>
    <row r="3" spans="2:4" ht="14.25" thickBot="1">
      <c r="B3" s="50" t="s">
        <v>87</v>
      </c>
      <c r="C3" s="58" t="s">
        <v>92</v>
      </c>
      <c r="D3" s="51" t="s">
        <v>88</v>
      </c>
    </row>
    <row r="4" spans="2:4" ht="14.25" thickTop="1">
      <c r="B4" s="12">
        <v>0</v>
      </c>
      <c r="C4" s="59" t="s">
        <v>93</v>
      </c>
      <c r="D4" s="14" t="s">
        <v>20</v>
      </c>
    </row>
    <row r="5" spans="2:4" ht="40.5">
      <c r="B5" s="2">
        <v>1</v>
      </c>
      <c r="C5" s="60" t="s">
        <v>93</v>
      </c>
      <c r="D5" s="62" t="s">
        <v>94</v>
      </c>
    </row>
    <row r="6" spans="2:4" ht="27">
      <c r="B6" s="2">
        <v>2</v>
      </c>
      <c r="C6" s="60" t="s">
        <v>95</v>
      </c>
      <c r="D6" s="62" t="s">
        <v>96</v>
      </c>
    </row>
    <row r="7" spans="2:4" ht="54">
      <c r="B7" s="2">
        <v>3</v>
      </c>
      <c r="C7" s="60" t="s">
        <v>97</v>
      </c>
      <c r="D7" s="62" t="s">
        <v>100</v>
      </c>
    </row>
    <row r="8" spans="2:4" ht="81">
      <c r="B8" s="2">
        <v>4</v>
      </c>
      <c r="C8" s="60" t="s">
        <v>108</v>
      </c>
      <c r="D8" s="62" t="s">
        <v>116</v>
      </c>
    </row>
    <row r="9" spans="2:4" ht="41.25" customHeight="1">
      <c r="B9" s="2">
        <v>5</v>
      </c>
      <c r="C9" s="60" t="s">
        <v>109</v>
      </c>
      <c r="D9" s="62" t="s">
        <v>110</v>
      </c>
    </row>
    <row r="10" spans="2:4" ht="27">
      <c r="B10" s="2">
        <v>6</v>
      </c>
      <c r="C10" s="60" t="s">
        <v>93</v>
      </c>
      <c r="D10" s="62" t="s">
        <v>115</v>
      </c>
    </row>
    <row r="11" spans="2:4" ht="27">
      <c r="B11" s="2">
        <v>7</v>
      </c>
      <c r="C11" s="60" t="s">
        <v>112</v>
      </c>
      <c r="D11" s="62" t="s">
        <v>113</v>
      </c>
    </row>
    <row r="12" spans="2:4" ht="27">
      <c r="B12" s="2">
        <v>8</v>
      </c>
      <c r="C12" s="60" t="s">
        <v>114</v>
      </c>
      <c r="D12" s="62" t="s">
        <v>117</v>
      </c>
    </row>
    <row r="13" spans="2:4" ht="27">
      <c r="B13" s="2">
        <v>9</v>
      </c>
      <c r="C13" s="60" t="s">
        <v>118</v>
      </c>
      <c r="D13" s="62" t="s">
        <v>119</v>
      </c>
    </row>
    <row r="14" spans="2:4" ht="27">
      <c r="B14" s="2">
        <v>10</v>
      </c>
      <c r="C14" s="60" t="s">
        <v>120</v>
      </c>
      <c r="D14" s="62" t="s">
        <v>121</v>
      </c>
    </row>
    <row r="15" spans="2:4" ht="135">
      <c r="B15" s="2">
        <v>11</v>
      </c>
      <c r="C15" s="60" t="s">
        <v>123</v>
      </c>
      <c r="D15" s="62" t="s">
        <v>135</v>
      </c>
    </row>
    <row r="16" spans="2:4" ht="191.25" customHeight="1">
      <c r="B16" s="2">
        <v>12</v>
      </c>
      <c r="C16" s="60" t="s">
        <v>165</v>
      </c>
      <c r="D16" s="62" t="s">
        <v>181</v>
      </c>
    </row>
    <row r="17" spans="2:4" ht="27">
      <c r="B17" s="2">
        <v>13</v>
      </c>
      <c r="C17" s="60" t="s">
        <v>95</v>
      </c>
      <c r="D17" s="62" t="s">
        <v>184</v>
      </c>
    </row>
    <row r="18" spans="2:4" ht="67.5">
      <c r="B18" s="2">
        <v>14</v>
      </c>
      <c r="C18" s="60" t="s">
        <v>95</v>
      </c>
      <c r="D18" s="62" t="s">
        <v>186</v>
      </c>
    </row>
    <row r="19" spans="2:4" ht="40.5">
      <c r="B19" s="2">
        <v>15</v>
      </c>
      <c r="C19" s="60" t="s">
        <v>109</v>
      </c>
      <c r="D19" s="62" t="s">
        <v>190</v>
      </c>
    </row>
    <row r="20" spans="2:4" ht="64.5" customHeight="1">
      <c r="B20" s="2">
        <v>16</v>
      </c>
      <c r="C20" s="60" t="s">
        <v>109</v>
      </c>
      <c r="D20" s="62" t="s">
        <v>194</v>
      </c>
    </row>
    <row r="21" spans="2:4" ht="66.75" customHeight="1">
      <c r="B21" s="2">
        <v>17</v>
      </c>
      <c r="C21" s="60" t="s">
        <v>203</v>
      </c>
      <c r="D21" s="62" t="s">
        <v>210</v>
      </c>
    </row>
    <row r="22" spans="2:4" ht="27">
      <c r="B22" s="2">
        <v>18</v>
      </c>
      <c r="C22" s="60" t="s">
        <v>212</v>
      </c>
      <c r="D22" s="62" t="s">
        <v>213</v>
      </c>
    </row>
    <row r="23" spans="2:4" ht="27">
      <c r="B23" s="2">
        <v>19</v>
      </c>
      <c r="C23" s="60" t="s">
        <v>215</v>
      </c>
      <c r="D23" s="62" t="s">
        <v>216</v>
      </c>
    </row>
    <row r="24" spans="2:4" ht="94.5">
      <c r="B24" s="2">
        <v>20</v>
      </c>
      <c r="C24" s="60" t="s">
        <v>269</v>
      </c>
      <c r="D24" s="62" t="s">
        <v>270</v>
      </c>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vt:lpstr>
      <vt:lpstr>表紙</vt:lpstr>
      <vt:lpstr>はじめに</vt:lpstr>
      <vt:lpstr>Matrix</vt:lpstr>
      <vt:lpstr>Config_IF</vt:lpstr>
      <vt:lpstr>CH_Design</vt:lpstr>
      <vt:lpstr>H_ACDCSUP</vt:lpstr>
      <vt:lpstr>Reference</vt:lpstr>
      <vt:lpstr>History</vt:lpstr>
      <vt:lpstr>'表紙（承認）'!Print_Area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2025-06-02T03:23:27Z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618b9b7b-1135-4795-a432-59d562ffedbe</vt:lpwstr>
  </property>
  <property fmtid="{D5CDD505-2E9C-101B-9397-08002B2CF9AE}" pid="8" name="MSIP_Label_7ed1414a-99f2-46f9-bbe5-740af8d1b502_ContentBits">
    <vt:lpwstr>1</vt:lpwstr>
  </property>
</Properties>
</file>