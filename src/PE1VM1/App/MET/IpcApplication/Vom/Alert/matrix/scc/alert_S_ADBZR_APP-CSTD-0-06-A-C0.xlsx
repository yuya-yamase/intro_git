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9DAF8D07-D340-43D6-94F1-B6BE81A1DECC}" xr6:coauthVersionLast="47" xr6:coauthVersionMax="47" xr10:uidLastSave="{00000000-0000-0000-0000-000000000000}"/>
  <bookViews>
    <workbookView xWindow="-57720" yWindow="-2250" windowWidth="29040" windowHeight="15720" xr2:uid="{00000000-000D-0000-FFFF-FFFF00000000}"/>
  </bookViews>
  <sheets>
    <sheet name="表紙（承認）" sheetId="14" r:id="rId1"/>
    <sheet name="表紙" sheetId="1" r:id="rId2"/>
    <sheet name="はじめに" sheetId="10" r:id="rId3"/>
    <sheet name="Matrix" sheetId="4" r:id="rId4"/>
    <sheet name="Config_IF" sheetId="11" r:id="rId5"/>
    <sheet name="CH_Design" sheetId="5" r:id="rId6"/>
    <sheet name="S_ADBZR_APP" sheetId="9" r:id="rId7"/>
    <sheet name="Reference" sheetId="13" r:id="rId8"/>
    <sheet name="History" sheetId="7" r:id="rId9"/>
  </sheets>
  <externalReferences>
    <externalReference r:id="rId10"/>
    <externalReference r:id="rId11"/>
    <externalReference r:id="rId12"/>
  </externalReferences>
  <definedNames>
    <definedName name="_Fill" hidden="1">#REF!</definedName>
    <definedName name="_xlnm._FilterDatabase" localSheetId="7" hidden="1">Reference!$B$29:$T$50</definedName>
    <definedName name="_Key1" hidden="1">#REF!</definedName>
    <definedName name="_Order1" hidden="1">255</definedName>
    <definedName name="_Order2" hidden="1">1</definedName>
    <definedName name="_Sort" hidden="1">#REF!</definedName>
    <definedName name="a" hidden="1">{"'2001 4 12'!$A$7:$K$90"}</definedName>
    <definedName name="ADLSB">#REF!</definedName>
    <definedName name="ChangeNoListDD">[1]集計表!$F$6:$F$9</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_xlnm.Print_Titles">[2]車両仕様!$A$1:$C$65536,[2]車両仕様!$A$3:$IV$4</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シートMAX数">#REF!</definedName>
    <definedName name="検査最大数">#REF!</definedName>
    <definedName name="言語">[3]ListWork!$C$2:$C$49</definedName>
    <definedName name="行数指定">[3]ListWork!$H$2:$H$10</definedName>
    <definedName name="出力範囲の最後のセル">#REF!</definedName>
    <definedName name="出力範囲最初のセル">#REF!</definedName>
    <definedName name="文字数指定">[3]ListWork!$G$2:$G$17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3" i="4" l="1"/>
  <c r="M37" i="4"/>
  <c r="N37" i="4" s="1"/>
  <c r="M36" i="4"/>
  <c r="N36" i="4" s="1"/>
  <c r="M35" i="4"/>
  <c r="N35" i="4" s="1"/>
  <c r="M34" i="4"/>
  <c r="N34" i="4" s="1"/>
  <c r="M33" i="4"/>
  <c r="N33" i="4" s="1"/>
  <c r="M32" i="4"/>
  <c r="N32" i="4" s="1"/>
  <c r="M31" i="4"/>
  <c r="N31" i="4" s="1"/>
  <c r="M30" i="4"/>
  <c r="N30" i="4" s="1"/>
  <c r="M29" i="4"/>
  <c r="N29" i="4" s="1"/>
  <c r="M28" i="4"/>
  <c r="N28" i="4" s="1"/>
  <c r="M27" i="4"/>
  <c r="N27" i="4" s="1"/>
  <c r="M26" i="4"/>
  <c r="N26" i="4" s="1"/>
  <c r="M25" i="4"/>
  <c r="N25" i="4" s="1"/>
  <c r="M24" i="4"/>
  <c r="N24" i="4" s="1"/>
  <c r="M23" i="4"/>
  <c r="N23" i="4" s="1"/>
  <c r="M22" i="4"/>
  <c r="N22" i="4" s="1"/>
  <c r="M21" i="4"/>
  <c r="N21" i="4" s="1"/>
  <c r="M20" i="4"/>
  <c r="N20" i="4" s="1"/>
  <c r="M19" i="4"/>
  <c r="N19" i="4" s="1"/>
  <c r="B13" i="1"/>
  <c r="A9" i="14" l="1"/>
  <c r="B3" i="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S5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S48"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S40"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C69" i="9"/>
  <c r="AT68" i="9"/>
  <c r="C68" i="9"/>
  <c r="AT67" i="9"/>
  <c r="C67" i="9"/>
  <c r="C197" i="9" s="1"/>
  <c r="AT66" i="9"/>
  <c r="C66" i="9"/>
  <c r="AT65" i="9"/>
  <c r="C65" i="9"/>
  <c r="AT64" i="9"/>
  <c r="C64" i="9"/>
  <c r="AT63" i="9"/>
  <c r="C63" i="9"/>
  <c r="AT62" i="9"/>
  <c r="C62" i="9"/>
  <c r="AT61" i="9"/>
  <c r="C61" i="9"/>
  <c r="AT60" i="9"/>
  <c r="C60" i="9"/>
  <c r="C190" i="9" s="1"/>
  <c r="AT59" i="9"/>
  <c r="C59" i="9"/>
  <c r="C189" i="9" s="1"/>
  <c r="AT58" i="9"/>
  <c r="C58" i="9"/>
  <c r="AT57" i="9"/>
  <c r="C57" i="9"/>
  <c r="AT56" i="9"/>
  <c r="C56" i="9"/>
  <c r="AT55" i="9"/>
  <c r="C55" i="9"/>
  <c r="AT54" i="9"/>
  <c r="AS54" i="9"/>
  <c r="C54" i="9"/>
  <c r="AT53" i="9"/>
  <c r="C53" i="9"/>
  <c r="C183" i="9" s="1"/>
  <c r="AT52" i="9"/>
  <c r="C52" i="9"/>
  <c r="AT51" i="9"/>
  <c r="C51" i="9"/>
  <c r="AT50" i="9"/>
  <c r="AS50" i="9"/>
  <c r="C50" i="9"/>
  <c r="AT49" i="9"/>
  <c r="C49" i="9"/>
  <c r="AT48" i="9"/>
  <c r="C48" i="9"/>
  <c r="AT47" i="9"/>
  <c r="C47" i="9"/>
  <c r="AT46" i="9"/>
  <c r="C46" i="9"/>
  <c r="AT45" i="9"/>
  <c r="C45" i="9"/>
  <c r="C175" i="9" s="1"/>
  <c r="AT44" i="9"/>
  <c r="C44" i="9"/>
  <c r="AT43" i="9"/>
  <c r="C43" i="9"/>
  <c r="C173" i="9" s="1"/>
  <c r="AT42" i="9"/>
  <c r="C42" i="9"/>
  <c r="AT41" i="9"/>
  <c r="C41" i="9"/>
  <c r="AT40" i="9"/>
  <c r="C40" i="9"/>
  <c r="AT39" i="9"/>
  <c r="C39" i="9"/>
  <c r="AT38"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O121" i="9" l="1"/>
  <c r="AN106" i="9"/>
  <c r="AR41" i="9"/>
  <c r="AR65" i="9"/>
  <c r="AS41" i="9"/>
  <c r="AU10" i="9"/>
  <c r="AU11" i="9"/>
  <c r="AR58" i="9"/>
  <c r="AO75" i="9"/>
  <c r="AO163" i="9"/>
  <c r="AS51" i="9"/>
  <c r="AM196" i="9"/>
  <c r="AN156" i="9"/>
  <c r="AS68" i="9"/>
  <c r="AR63" i="9"/>
  <c r="AM81" i="9"/>
  <c r="AM106" i="9"/>
  <c r="AN129" i="9"/>
  <c r="AO156" i="9"/>
  <c r="AL196" i="9"/>
  <c r="AS56" i="9"/>
  <c r="AO77" i="9"/>
  <c r="AN86" i="9"/>
  <c r="AQ86" i="9" s="1"/>
  <c r="AR21" i="9" s="1"/>
  <c r="AR55" i="9"/>
  <c r="AR59" i="9"/>
  <c r="AM168" i="9"/>
  <c r="AM147" i="9"/>
  <c r="AO129" i="9"/>
  <c r="AO86" i="9"/>
  <c r="AM105" i="9"/>
  <c r="AM163" i="9"/>
  <c r="AN168" i="9"/>
  <c r="AS42" i="9"/>
  <c r="AS46" i="9"/>
  <c r="AS64" i="9"/>
  <c r="AM75" i="9"/>
  <c r="C102" i="9"/>
  <c r="AM138" i="9"/>
  <c r="AO173" i="9"/>
  <c r="AR54" i="9"/>
  <c r="AO181" i="9"/>
  <c r="AL181" i="9"/>
  <c r="AM195" i="9"/>
  <c r="AS69" i="9"/>
  <c r="AN75" i="9"/>
  <c r="AO81" i="9"/>
  <c r="C93" i="9"/>
  <c r="AL106" i="9"/>
  <c r="AR44" i="9"/>
  <c r="AN196" i="9"/>
  <c r="C76" i="9"/>
  <c r="AM86" i="9"/>
  <c r="AO168" i="9"/>
  <c r="AL168" i="9"/>
  <c r="C80" i="9"/>
  <c r="AL110" i="9"/>
  <c r="AR56" i="9"/>
  <c r="AR61" i="9"/>
  <c r="AN163" i="9"/>
  <c r="AM82" i="9"/>
  <c r="AO84" i="9"/>
  <c r="AO105" i="9"/>
  <c r="AS49" i="9"/>
  <c r="AL83" i="9"/>
  <c r="AL147" i="9"/>
  <c r="AL86" i="9"/>
  <c r="AL163" i="9"/>
  <c r="AO166" i="9"/>
  <c r="AO169" i="9"/>
  <c r="AN169" i="9"/>
  <c r="AM169" i="9"/>
  <c r="AL169" i="9"/>
  <c r="AS39" i="9"/>
  <c r="AL87" i="9"/>
  <c r="AR46" i="9"/>
  <c r="AR47" i="9"/>
  <c r="AM129" i="9"/>
  <c r="AO180" i="9"/>
  <c r="AO187" i="9"/>
  <c r="AM187" i="9"/>
  <c r="AS58" i="9"/>
  <c r="C147" i="9"/>
  <c r="C82" i="9"/>
  <c r="AS66" i="9"/>
  <c r="AM96" i="9"/>
  <c r="AL102" i="9"/>
  <c r="AR42" i="9"/>
  <c r="AN87" i="9"/>
  <c r="C149" i="9"/>
  <c r="C84" i="9"/>
  <c r="AS45" i="9"/>
  <c r="AS44" i="9"/>
  <c r="AN180" i="9"/>
  <c r="AN187" i="9"/>
  <c r="AS67" i="9"/>
  <c r="AN96" i="9"/>
  <c r="AN158" i="9"/>
  <c r="AM158" i="9"/>
  <c r="AL158" i="9"/>
  <c r="AN125" i="9"/>
  <c r="AL125" i="9"/>
  <c r="AR66" i="9"/>
  <c r="AN157" i="9"/>
  <c r="AS52" i="9"/>
  <c r="AS59" i="9"/>
  <c r="AS60" i="9"/>
  <c r="AL126" i="9"/>
  <c r="AO153" i="9"/>
  <c r="AL153" i="9"/>
  <c r="AO71" i="9"/>
  <c r="AN72" i="9"/>
  <c r="AO74" i="9"/>
  <c r="AN74" i="9"/>
  <c r="AM74" i="9"/>
  <c r="AL74" i="9"/>
  <c r="AL79" i="9"/>
  <c r="AO82" i="9"/>
  <c r="AN83" i="9"/>
  <c r="AO85" i="9"/>
  <c r="AR43" i="9"/>
  <c r="AM120" i="9"/>
  <c r="AM127" i="9"/>
  <c r="AO134" i="9"/>
  <c r="AN134" i="9"/>
  <c r="AM134" i="9"/>
  <c r="AL134" i="9"/>
  <c r="AN142" i="9"/>
  <c r="AM142" i="9"/>
  <c r="AO147" i="9"/>
  <c r="AQ147" i="9" s="1"/>
  <c r="AN147" i="9"/>
  <c r="AN154" i="9"/>
  <c r="AM154" i="9"/>
  <c r="AL154" i="9"/>
  <c r="AM15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Q79" i="9" s="1"/>
  <c r="AN79" i="9"/>
  <c r="AM79" i="9"/>
  <c r="AO83" i="9"/>
  <c r="AM83" i="9"/>
  <c r="AO90" i="9"/>
  <c r="AM104" i="9"/>
  <c r="AN114" i="9"/>
  <c r="AN120" i="9"/>
  <c r="AN121" i="9"/>
  <c r="AO122" i="9"/>
  <c r="AR57" i="9"/>
  <c r="AO140" i="9"/>
  <c r="AN140"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L77" i="9"/>
  <c r="AO78" i="9"/>
  <c r="AN78" i="9"/>
  <c r="AM78" i="9"/>
  <c r="AN81" i="9"/>
  <c r="AN82" i="9"/>
  <c r="AL82" i="9"/>
  <c r="AL85" i="9"/>
  <c r="AO95" i="9"/>
  <c r="AQ95" i="9" s="1"/>
  <c r="AR30" i="9" s="1"/>
  <c r="AN95" i="9"/>
  <c r="AM95" i="9"/>
  <c r="AL95" i="9"/>
  <c r="AN98" i="9"/>
  <c r="AL104" i="9"/>
  <c r="AO108" i="9"/>
  <c r="AN108" i="9"/>
  <c r="AM108" i="9"/>
  <c r="AL108" i="9"/>
  <c r="AO113" i="9"/>
  <c r="AN113" i="9"/>
  <c r="AM113" i="9"/>
  <c r="AN128" i="9"/>
  <c r="AM128" i="9"/>
  <c r="AL128" i="9"/>
  <c r="AO131" i="9"/>
  <c r="AO139" i="9"/>
  <c r="AN139" i="9"/>
  <c r="AM139" i="9"/>
  <c r="AN146" i="9"/>
  <c r="AM146" i="9"/>
  <c r="AL146" i="9"/>
  <c r="AO149" i="9"/>
  <c r="AQ149" i="9" s="1"/>
  <c r="AS19" i="9" s="1"/>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C138" i="9"/>
  <c r="C73" i="9"/>
  <c r="C163" i="9"/>
  <c r="C98" i="9"/>
  <c r="C103" i="9"/>
  <c r="C168" i="9"/>
  <c r="C180" i="9"/>
  <c r="C115" i="9"/>
  <c r="AR53" i="9"/>
  <c r="AR60" i="9"/>
  <c r="C127" i="9"/>
  <c r="C192" i="9"/>
  <c r="C72" i="9"/>
  <c r="C77" i="9"/>
  <c r="AM88" i="9"/>
  <c r="AL88" i="9"/>
  <c r="AO93" i="9"/>
  <c r="AQ93" i="9" s="1"/>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Q96" i="9" s="1"/>
  <c r="AR31" i="9" s="1"/>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Q167" i="9" s="1"/>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Q158" i="9" s="1"/>
  <c r="AS28" i="9" s="1"/>
  <c r="AO160" i="9"/>
  <c r="AN160" i="9"/>
  <c r="AM160" i="9"/>
  <c r="AL160" i="9"/>
  <c r="AL172" i="9"/>
  <c r="AO175" i="9"/>
  <c r="AN175" i="9"/>
  <c r="AM175" i="9"/>
  <c r="AL175" i="9"/>
  <c r="AL187" i="9"/>
  <c r="AO190" i="9"/>
  <c r="AN190" i="9"/>
  <c r="AM190" i="9"/>
  <c r="AL190" i="9"/>
  <c r="AL195" i="9"/>
  <c r="AL180" i="9"/>
  <c r="AM98" i="9"/>
  <c r="AL98" i="9"/>
  <c r="AO100" i="9"/>
  <c r="AQ100" i="9" s="1"/>
  <c r="AN100" i="9"/>
  <c r="AM100" i="9"/>
  <c r="AL100" i="9"/>
  <c r="AO110" i="9"/>
  <c r="AN110" i="9"/>
  <c r="AM110" i="9"/>
  <c r="AO120" i="9"/>
  <c r="AL122" i="9"/>
  <c r="AN124" i="9"/>
  <c r="AM124" i="9"/>
  <c r="AL124" i="9"/>
  <c r="AM141" i="9"/>
  <c r="AL141" i="9"/>
  <c r="AO146" i="9"/>
  <c r="AO154" i="9"/>
  <c r="AO162" i="9"/>
  <c r="AQ162" i="9" s="1"/>
  <c r="AS32" i="9" s="1"/>
  <c r="AM172" i="9"/>
  <c r="AO174" i="9"/>
  <c r="AO176" i="9"/>
  <c r="AN176" i="9"/>
  <c r="AM176" i="9"/>
  <c r="AL176" i="9"/>
  <c r="AL188" i="9"/>
  <c r="AO170" i="9"/>
  <c r="AM180" i="9"/>
  <c r="AO182" i="9"/>
  <c r="AQ87" i="9" l="1"/>
  <c r="AR22" i="9" s="1"/>
  <c r="AQ152" i="9"/>
  <c r="AS22" i="9" s="1"/>
  <c r="AQ91" i="9"/>
  <c r="AQ153" i="9"/>
  <c r="AS23" i="9" s="1"/>
  <c r="AQ146" i="9"/>
  <c r="AQ88" i="9"/>
  <c r="AR23" i="9" s="1"/>
  <c r="AQ84" i="9"/>
  <c r="AR19" i="9" s="1"/>
  <c r="AQ89" i="9"/>
  <c r="AR24" i="9" s="1"/>
  <c r="AQ164" i="9"/>
  <c r="AS34" i="9" s="1"/>
  <c r="AQ82" i="9"/>
  <c r="AR17" i="9" s="1"/>
  <c r="AQ166" i="9"/>
  <c r="AS36" i="9" s="1"/>
  <c r="AQ99" i="9"/>
  <c r="AR34" i="9" s="1"/>
  <c r="AQ143" i="9"/>
  <c r="AQ85" i="9"/>
  <c r="AR20" i="9" s="1"/>
  <c r="AQ98" i="9"/>
  <c r="AR33" i="9" s="1"/>
  <c r="AQ90" i="9"/>
  <c r="AR25" i="9" s="1"/>
  <c r="AQ154" i="9"/>
  <c r="AQ160" i="9"/>
  <c r="AS30" i="9" s="1"/>
  <c r="AQ156" i="9"/>
  <c r="AS26" i="9" s="1"/>
  <c r="AQ81" i="9"/>
  <c r="AR16" i="9" s="1"/>
  <c r="AQ155" i="9"/>
  <c r="AQ159" i="9"/>
  <c r="AS29" i="9" s="1"/>
  <c r="AQ145" i="9"/>
  <c r="AQ151" i="9"/>
  <c r="AS21" i="9" s="1"/>
  <c r="AQ76" i="9"/>
  <c r="AR11" i="9" s="1"/>
  <c r="AQ97" i="9"/>
  <c r="AR32" i="9" s="1"/>
  <c r="AQ80" i="9"/>
  <c r="AQ144" i="9"/>
  <c r="AS14" i="9" s="1"/>
  <c r="AQ161" i="9"/>
  <c r="AS31" i="9" s="1"/>
  <c r="AQ165" i="9"/>
  <c r="AS35" i="9" s="1"/>
  <c r="AQ150" i="9"/>
  <c r="AS20" i="9" s="1"/>
  <c r="AQ102" i="9"/>
  <c r="AR37" i="9" s="1"/>
  <c r="AQ92" i="9"/>
  <c r="AR27" i="9" s="1"/>
  <c r="AQ83" i="9"/>
  <c r="AR18" i="9" s="1"/>
  <c r="AQ101" i="9"/>
  <c r="AR36" i="9" s="1"/>
  <c r="AQ94" i="9"/>
  <c r="AR29" i="9" s="1"/>
  <c r="AQ148" i="9"/>
  <c r="AS18" i="9" s="1"/>
  <c r="AQ157" i="9"/>
  <c r="AS27" i="9" s="1"/>
  <c r="AQ163" i="9"/>
  <c r="AS33" i="9" s="1"/>
  <c r="AS25" i="9"/>
  <c r="AS15" i="9"/>
  <c r="AS37" i="9"/>
  <c r="AS38" i="9"/>
  <c r="AR28" i="9"/>
  <c r="AQ71" i="9"/>
  <c r="AR6" i="9" s="1"/>
  <c r="AQ74" i="9"/>
  <c r="AR9" i="9" s="1"/>
  <c r="AQ75" i="9"/>
  <c r="AR10" i="9" s="1"/>
  <c r="AQ77" i="9"/>
  <c r="AR12" i="9" s="1"/>
  <c r="AQ138" i="9"/>
  <c r="AS8" i="9" s="1"/>
  <c r="AQ73" i="9"/>
  <c r="AR8" i="9" s="1"/>
  <c r="AR26" i="9"/>
  <c r="AS16" i="9"/>
  <c r="AS17" i="9"/>
  <c r="AS24" i="9"/>
  <c r="AS9" i="9"/>
  <c r="AR35" i="9"/>
  <c r="AR15" i="9"/>
  <c r="AQ78" i="9"/>
  <c r="AR13" i="9" s="1"/>
  <c r="AQ140" i="9"/>
  <c r="AS10" i="9" s="1"/>
  <c r="AQ142" i="9"/>
  <c r="AQ141" i="9"/>
  <c r="AS11" i="9" s="1"/>
  <c r="AQ72" i="9"/>
  <c r="AR7" i="9" s="1"/>
  <c r="AQ137" i="9"/>
  <c r="AQ136" i="9"/>
  <c r="AS6" i="9" s="1"/>
  <c r="B136" i="9"/>
  <c r="B71" i="9"/>
  <c r="D7" i="4"/>
  <c r="AR38" i="9" l="1"/>
  <c r="AS12" i="9"/>
  <c r="AS7" i="9"/>
  <c r="AS13" i="9"/>
  <c r="AR14" i="9"/>
  <c r="D3" i="1"/>
  <c r="D5" i="4" l="1"/>
  <c r="D4" i="4"/>
  <c r="D6" i="4"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I13" i="4" l="1"/>
  <c r="F13" i="4"/>
  <c r="H13" i="4"/>
  <c r="D8" i="4"/>
  <c r="AW17" i="9"/>
  <c r="AW8" i="9" s="1"/>
  <c r="AL11" i="9"/>
  <c r="AT11" i="9" s="1"/>
  <c r="AL6" i="9"/>
  <c r="AT6" i="9" s="1"/>
  <c r="AL10" i="9"/>
  <c r="AT10" i="9" s="1"/>
  <c r="AL13" i="9"/>
  <c r="AT13" i="9" s="1"/>
  <c r="AL9" i="9"/>
  <c r="AT9" i="9" s="1"/>
  <c r="AL17" i="9"/>
  <c r="AT17" i="9" s="1"/>
  <c r="AL14" i="9"/>
  <c r="AT14" i="9" s="1"/>
  <c r="AL7" i="9"/>
  <c r="AT7" i="9" s="1"/>
  <c r="AL18" i="9"/>
  <c r="AT18" i="9" s="1"/>
  <c r="AL20" i="9"/>
  <c r="AT20" i="9" s="1"/>
  <c r="AL19" i="9"/>
  <c r="AT19" i="9" s="1"/>
  <c r="AL21" i="9"/>
  <c r="AT21" i="9" s="1"/>
  <c r="AL16" i="9"/>
  <c r="AT16" i="9" s="1"/>
  <c r="AL15" i="9"/>
  <c r="AT15" i="9" s="1"/>
  <c r="AW12" i="9" l="1"/>
  <c r="AU5" i="9" s="1"/>
  <c r="AL59" i="9"/>
  <c r="AL35" i="9"/>
  <c r="AT35" i="9" s="1"/>
  <c r="AL12" i="9"/>
  <c r="AT12" i="9" s="1"/>
  <c r="AL68" i="9"/>
  <c r="AL32" i="9"/>
  <c r="AT32" i="9" s="1"/>
  <c r="AL53" i="9"/>
  <c r="AL37" i="9"/>
  <c r="AT37" i="9" s="1"/>
  <c r="AL38" i="9"/>
  <c r="AW10" i="9"/>
  <c r="AU14" i="9" s="1"/>
  <c r="AL69" i="9"/>
  <c r="AL28" i="9"/>
  <c r="AT28" i="9" s="1"/>
  <c r="AL50" i="9"/>
  <c r="AL51" i="9"/>
  <c r="AL62" i="9"/>
  <c r="AL40" i="9"/>
  <c r="AL26" i="9"/>
  <c r="AT26" i="9" s="1"/>
  <c r="AL29" i="9"/>
  <c r="AT29" i="9" s="1"/>
  <c r="AL34" i="9"/>
  <c r="AT34" i="9" s="1"/>
  <c r="AL44" i="9"/>
  <c r="AL54" i="9"/>
  <c r="AL63" i="9"/>
  <c r="AL30" i="9"/>
  <c r="AT30" i="9" s="1"/>
  <c r="AL55" i="9"/>
  <c r="AL33" i="9"/>
  <c r="AT33" i="9" s="1"/>
  <c r="AL47" i="9"/>
  <c r="AW16" i="9"/>
  <c r="AU15" i="9" s="1"/>
  <c r="AL36" i="9"/>
  <c r="AT36" i="9" s="1"/>
  <c r="AL27" i="9"/>
  <c r="AT27" i="9" s="1"/>
  <c r="AL24" i="9"/>
  <c r="AT24" i="9" s="1"/>
  <c r="AL56" i="9"/>
  <c r="AL66" i="9"/>
  <c r="AL48" i="9"/>
  <c r="AL61" i="9"/>
  <c r="AL42" i="9"/>
  <c r="AL45" i="9"/>
  <c r="AW9" i="9"/>
  <c r="AL58" i="9"/>
  <c r="AL8" i="9"/>
  <c r="AT8" i="9" s="1"/>
  <c r="AL52" i="9"/>
  <c r="AL49" i="9"/>
  <c r="AL41" i="9"/>
  <c r="AL31" i="9"/>
  <c r="AT31" i="9" s="1"/>
  <c r="AL25" i="9"/>
  <c r="AT25" i="9" s="1"/>
  <c r="AL23" i="9"/>
  <c r="AT23" i="9" s="1"/>
  <c r="AL46" i="9"/>
  <c r="AL43" i="9"/>
  <c r="AL57" i="9"/>
  <c r="AL39" i="9"/>
  <c r="AL22" i="9"/>
  <c r="AT22" i="9" s="1"/>
  <c r="AL65" i="9"/>
  <c r="AL60" i="9"/>
  <c r="AL67" i="9"/>
  <c r="AL64" i="9"/>
  <c r="AW11" i="9"/>
  <c r="AU13" i="9" s="1"/>
  <c r="B14" i="1"/>
  <c r="B12" i="1"/>
  <c r="B11" i="1"/>
  <c r="B10" i="1"/>
  <c r="B9" i="1"/>
  <c r="AV5" i="9" l="1"/>
  <c r="AT5" i="9"/>
  <c r="AR5" i="9"/>
  <c r="AS5" i="9"/>
  <c r="C2" i="7"/>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F14" i="4"/>
  <c r="F15" i="4"/>
  <c r="G16" i="4"/>
  <c r="G14" i="4" l="1"/>
  <c r="F16" i="4"/>
  <c r="G15" i="4"/>
  <c r="AW14" i="9" l="1"/>
  <c r="AU7" i="9" s="1"/>
  <c r="AW15" i="9" l="1"/>
  <c r="AU8" i="9" s="1"/>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B3A116B4-6686-49D3-8F20-A95322E194E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F164ED9F-E74F-4250-BDF7-B79946FDEAEB}">
      <text>
        <r>
          <rPr>
            <b/>
            <sz val="9"/>
            <color indexed="81"/>
            <rFont val="MS P ゴシック"/>
            <family val="3"/>
            <charset val="128"/>
          </rPr>
          <t xml:space="preserve">リモート送信条件成立：IG ON 且つ PTS ONが15[s]以上
</t>
        </r>
      </text>
    </comment>
    <comment ref="E9" authorId="1" shapeId="0" xr:uid="{30776DAE-4F20-453E-ADD6-B2BEF8A906DD}">
      <text>
        <r>
          <rPr>
            <b/>
            <sz val="9"/>
            <color indexed="81"/>
            <rFont val="MS P ゴシック"/>
            <family val="3"/>
            <charset val="128"/>
          </rPr>
          <t xml:space="preserve">IG ON 且つ ST OFF
</t>
        </r>
      </text>
    </comment>
    <comment ref="F9" authorId="1" shapeId="0" xr:uid="{492B2732-CC4A-4043-BE8F-B54B3D2FF5F1}">
      <text>
        <r>
          <rPr>
            <b/>
            <sz val="9"/>
            <color indexed="81"/>
            <rFont val="MS P ゴシック"/>
            <family val="3"/>
            <charset val="128"/>
          </rPr>
          <t>IG ON</t>
        </r>
      </text>
    </comment>
    <comment ref="G9" authorId="1" shapeId="0" xr:uid="{B2A77FA9-782B-4BF1-8071-810F58AF4156}">
      <text>
        <r>
          <rPr>
            <b/>
            <sz val="9"/>
            <color indexed="81"/>
            <rFont val="MS P ゴシック"/>
            <family val="3"/>
            <charset val="128"/>
          </rPr>
          <t xml:space="preserve">IG OFF 且つ IG OFF後25[m]未満
</t>
        </r>
      </text>
    </comment>
    <comment ref="H9" authorId="1" shapeId="0" xr:uid="{8F66A25E-C0C0-4D96-A1C5-4EA5E809C547}">
      <text>
        <r>
          <rPr>
            <b/>
            <sz val="9"/>
            <color indexed="81"/>
            <rFont val="MS P ゴシック"/>
            <family val="3"/>
            <charset val="128"/>
          </rPr>
          <t xml:space="preserve">IG OFF
</t>
        </r>
      </text>
    </comment>
    <comment ref="I9" authorId="1" shapeId="0" xr:uid="{D538BC76-B617-4473-893F-2E4C7533C327}">
      <text>
        <r>
          <rPr>
            <b/>
            <sz val="9"/>
            <color indexed="81"/>
            <rFont val="MS P ゴシック"/>
            <family val="3"/>
            <charset val="128"/>
          </rPr>
          <t xml:space="preserve">IG ON 又は IG OFF後25[m]未満
</t>
        </r>
      </text>
    </comment>
    <comment ref="J9" authorId="1" shapeId="0" xr:uid="{B1B9C9C5-3C3C-47F8-BB3C-0BBEF0151AD3}">
      <text>
        <r>
          <rPr>
            <b/>
            <sz val="9"/>
            <color indexed="81"/>
            <rFont val="MS P ゴシック"/>
            <family val="3"/>
            <charset val="128"/>
          </rPr>
          <t>+B ON 又は ACC ON</t>
        </r>
      </text>
    </comment>
  </commentList>
</comments>
</file>

<file path=xl/sharedStrings.xml><?xml version="1.0" encoding="utf-8"?>
<sst xmlns="http://schemas.openxmlformats.org/spreadsheetml/2006/main" count="2524" uniqueCount="290">
  <si>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</si>
  <si>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</si>
  <si>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</si>
  <si>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</si>
  <si>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</si>
  <si>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</si>
  <si>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</si>
  <si>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</si>
  <si>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</si>
  <si>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</si>
  <si>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</si>
  <si>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</si>
  <si>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</si>
  <si>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</si>
  <si>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</si>
  <si>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</si>
  <si>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</si>
  <si>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</si>
  <si>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</si>
  <si>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</si>
  <si>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</si>
  <si>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</si>
  <si>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</si>
  <si>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</si>
  <si>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</si>
  <si>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</si>
  <si>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</si>
  <si>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</si>
  <si>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</si>
  <si>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</si>
  <si>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</si>
  <si>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</si>
  <si>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</si>
  <si>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</si>
  <si>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</si>
  <si>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</si>
  <si>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</si>
  <si>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</si>
  <si>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</si>
  <si>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</si>
  <si>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</si>
  <si>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</si>
  <si>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</si>
  <si>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</si>
  <si>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</si>
  <si>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</si>
  <si>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ALERT_VOM_IGN_ON</t>
  </si>
  <si>
    <t>ALERT_VOM_VCS_ON</t>
  </si>
  <si>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</si>
  <si>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</si>
  <si>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</si>
  <si>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</si>
  <si>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</si>
  <si>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</si>
  <si>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</si>
  <si>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</si>
  <si>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</si>
  <si>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</si>
  <si>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</si>
  <si>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</si>
  <si>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</si>
  <si>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</si>
  <si>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</si>
  <si>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</si>
  <si>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</si>
  <si>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</si>
  <si>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</si>
  <si>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</si>
  <si>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</si>
  <si>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</si>
  <si>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</si>
  <si>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</si>
  <si>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</si>
  <si>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</si>
  <si>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</si>
  <si>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</si>
  <si>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</si>
  <si>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</si>
  <si>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</si>
  <si>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</si>
  <si>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</si>
  <si>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</si>
  <si>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</si>
  <si>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</si>
  <si>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</si>
  <si>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</si>
  <si>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</si>
  <si>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</si>
  <si>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</si>
  <si>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</si>
  <si>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</si>
  <si>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</si>
  <si>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</si>
  <si>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</si>
  <si>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</si>
  <si>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</si>
  <si>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</si>
  <si>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</si>
  <si>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</si>
  <si>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</si>
  <si>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</si>
  <si>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</si>
  <si>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</si>
  <si>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</si>
  <si>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</si>
  <si>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</si>
  <si>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</si>
  <si>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</si>
  <si>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</si>
  <si>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</si>
  <si>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</si>
  <si>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</si>
  <si>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</si>
  <si>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</si>
  <si>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</si>
  <si>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</si>
  <si>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</si>
  <si>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</si>
  <si>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</si>
  <si>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</si>
  <si>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</si>
  <si>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</si>
  <si>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</si>
  <si>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</si>
  <si>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</si>
  <si>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</si>
  <si>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</si>
  <si>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</si>
  <si>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</si>
  <si>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</si>
  <si>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</si>
  <si>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</si>
  <si>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</si>
  <si>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</si>
  <si>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</si>
  <si>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</si>
  <si>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</si>
  <si>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</si>
  <si>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</si>
  <si>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</si>
  <si>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</si>
  <si>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</si>
  <si>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</si>
  <si>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</si>
  <si>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</si>
  <si>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</si>
  <si>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</si>
  <si>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</si>
  <si>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</si>
  <si>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</si>
  <si>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</si>
  <si>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</si>
  <si>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</si>
  <si>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</si>
  <si>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</si>
  <si>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</si>
  <si>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</si>
  <si>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</si>
  <si>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</si>
  <si>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</si>
  <si>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</si>
  <si>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</si>
  <si>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</si>
  <si>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</si>
  <si>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</si>
  <si>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</si>
  <si>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</si>
  <si>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</si>
  <si>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</si>
  <si>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</si>
  <si>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</si>
  <si>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</si>
  <si>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</si>
  <si>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</si>
  <si>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</si>
  <si>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</si>
  <si>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</si>
  <si>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</si>
  <si>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</si>
  <si>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</si>
  <si>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</si>
  <si>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</si>
  <si>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</si>
  <si>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</si>
  <si>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</si>
  <si>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</si>
  <si>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</si>
  <si>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</si>
  <si>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</si>
  <si>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</si>
  <si>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</si>
  <si>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</si>
  <si>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</si>
  <si>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</si>
  <si>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</si>
  <si>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</si>
  <si>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</si>
  <si>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NULL</t>
  </si>
  <si>
    <t>IPA1S05_STS</t>
    <phoneticPr fontId="2"/>
  </si>
  <si>
    <t>COMPLETION</t>
  </si>
  <si>
    <t>Index</t>
  </si>
  <si>
    <t>入力</t>
    <phoneticPr fontId="2"/>
  </si>
  <si>
    <t>ALERT_VOM_IGN_ON</t>
    <phoneticPr fontId="2"/>
  </si>
  <si>
    <t>IPA1S05</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</si>
  <si>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</si>
  <si>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</si>
  <si>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</si>
  <si>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</si>
  <si>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</si>
  <si>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</si>
  <si>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</si>
  <si>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</si>
  <si>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IG-ON + 通常 + 出力無し</t>
    <rPh sb="8" eb="10">
      <t>ツウジョウ</t>
    </rPh>
    <rPh sb="13" eb="15">
      <t>シュツリョク</t>
    </rPh>
    <rPh sb="15" eb="16">
      <t>ナ</t>
    </rPh>
    <phoneticPr fontId="2"/>
  </si>
  <si>
    <t>000b</t>
    <phoneticPr fontId="2"/>
  </si>
  <si>
    <t>IG-ON + 通常 + ドライバ不操作時の警報</t>
    <rPh sb="8" eb="10">
      <t>ツウジョウ</t>
    </rPh>
    <rPh sb="17" eb="18">
      <t>フ</t>
    </rPh>
    <rPh sb="18" eb="20">
      <t>ソウサ</t>
    </rPh>
    <rPh sb="20" eb="21">
      <t>ドキ</t>
    </rPh>
    <rPh sb="22" eb="24">
      <t>ケイホウ</t>
    </rPh>
    <phoneticPr fontId="2"/>
  </si>
  <si>
    <t>00b</t>
    <phoneticPr fontId="2"/>
  </si>
  <si>
    <t>001b</t>
    <phoneticPr fontId="2"/>
  </si>
  <si>
    <t>IG-ON + 通常 + 制御中止</t>
    <rPh sb="8" eb="10">
      <t>ツウジョウ</t>
    </rPh>
    <phoneticPr fontId="2"/>
  </si>
  <si>
    <t>010b</t>
    <phoneticPr fontId="2"/>
  </si>
  <si>
    <t>011b</t>
    <phoneticPr fontId="2"/>
  </si>
  <si>
    <t>IG-ON + 通常 + 未定義</t>
    <rPh sb="8" eb="10">
      <t>ツウジョウ</t>
    </rPh>
    <rPh sb="13" eb="16">
      <t>ミテイギ</t>
    </rPh>
    <phoneticPr fontId="2"/>
  </si>
  <si>
    <t>100b</t>
    <phoneticPr fontId="2"/>
  </si>
  <si>
    <t>101b</t>
    <phoneticPr fontId="2"/>
  </si>
  <si>
    <t>IG-ON + 通常 + 制御正常終了</t>
    <rPh sb="8" eb="10">
      <t>ツウジョウ</t>
    </rPh>
    <rPh sb="13" eb="15">
      <t>セイギョ</t>
    </rPh>
    <rPh sb="15" eb="17">
      <t>セイジョウ</t>
    </rPh>
    <rPh sb="17" eb="19">
      <t>シュウリョウ</t>
    </rPh>
    <phoneticPr fontId="2"/>
  </si>
  <si>
    <t>110b</t>
    <phoneticPr fontId="2"/>
  </si>
  <si>
    <t>COMPLETION</t>
    <phoneticPr fontId="2"/>
  </si>
  <si>
    <t>111b</t>
    <phoneticPr fontId="2"/>
  </si>
  <si>
    <t>IG-ON + 未受信 + *</t>
    <rPh sb="8" eb="9">
      <t>ミ</t>
    </rPh>
    <rPh sb="9" eb="11">
      <t>ジュシン</t>
    </rPh>
    <phoneticPr fontId="2"/>
  </si>
  <si>
    <t>01b</t>
    <phoneticPr fontId="2"/>
  </si>
  <si>
    <t>***b</t>
    <phoneticPr fontId="2"/>
  </si>
  <si>
    <t>IG-ON + 通信途絶 + *</t>
    <rPh sb="8" eb="10">
      <t>ツウシン</t>
    </rPh>
    <rPh sb="10" eb="12">
      <t>トゼツ</t>
    </rPh>
    <phoneticPr fontId="2"/>
  </si>
  <si>
    <t>10b</t>
    <phoneticPr fontId="2"/>
  </si>
  <si>
    <t>IG-ON + 未受信通信途絶 + *</t>
    <rPh sb="8" eb="9">
      <t>ミ</t>
    </rPh>
    <rPh sb="9" eb="11">
      <t>ジュシン</t>
    </rPh>
    <phoneticPr fontId="2"/>
  </si>
  <si>
    <t>UNKNOWN</t>
    <phoneticPr fontId="2"/>
  </si>
  <si>
    <t>5.5.0</t>
    <phoneticPr fontId="2"/>
  </si>
  <si>
    <t>11b</t>
  </si>
  <si>
    <t>***b</t>
  </si>
  <si>
    <t>**b</t>
    <phoneticPr fontId="2"/>
  </si>
  <si>
    <t>IG-OFF + * + *</t>
    <phoneticPr fontId="2"/>
  </si>
  <si>
    <t>単発(800Hz_0.9s)</t>
    <phoneticPr fontId="2"/>
  </si>
  <si>
    <t>大藤</t>
    <rPh sb="0" eb="2">
      <t>オオフジ</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</si>
  <si>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</si>
  <si>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</si>
  <si>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</si>
  <si>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IPA_BZ2_SIG</t>
    <phoneticPr fontId="2"/>
  </si>
  <si>
    <t>新規作成(流用元：alert_S_APP-CSTD-1-01-A-C0.xlsx)
フォーマットをVer17からVer19に変更
840B CV対応
[Matrix]シート
・対象仕様書変更
・ロケーション変更
[Reference]シート
・各キャプチャ画像を変更</t>
    <rPh sb="0" eb="2">
      <t>シンキ</t>
    </rPh>
    <rPh sb="2" eb="4">
      <t>サクセイ</t>
    </rPh>
    <rPh sb="5" eb="7">
      <t>リュウヨウ</t>
    </rPh>
    <rPh sb="7" eb="8">
      <t>モト</t>
    </rPh>
    <rPh sb="63" eb="65">
      <t>ヘンコウ</t>
    </rPh>
    <rPh sb="73" eb="75">
      <t>タイオウ</t>
    </rPh>
    <rPh sb="89" eb="91">
      <t>タイショウ</t>
    </rPh>
    <rPh sb="91" eb="94">
      <t>シヨウショ</t>
    </rPh>
    <rPh sb="94" eb="96">
      <t>ヘンコウ</t>
    </rPh>
    <rPh sb="104" eb="106">
      <t>ヘンコウ</t>
    </rPh>
    <rPh sb="123" eb="124">
      <t>カク</t>
    </rPh>
    <rPh sb="129" eb="131">
      <t>ガゾウ</t>
    </rPh>
    <rPh sb="132" eb="134">
      <t>ヘンコウ</t>
    </rPh>
    <phoneticPr fontId="2"/>
  </si>
  <si>
    <t>5.5.0</t>
  </si>
  <si>
    <t>臼井</t>
    <rPh sb="0" eb="2">
      <t>ウスイ</t>
    </rPh>
    <phoneticPr fontId="2"/>
  </si>
  <si>
    <t>1.1.0</t>
    <phoneticPr fontId="2"/>
  </si>
  <si>
    <t>面企画#2 CV対応(流用元：840B alert_S_APP-CSTD-1-02-A-C0.xlsx)
[Matrix]シート
・対象仕様書変更
・ロケーション変更
[Reference]シート
・キャプチャ更新</t>
    <phoneticPr fontId="2"/>
  </si>
  <si>
    <t>MET-S_APP-CSTD-1-02-B-C0.xlsm</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</si>
  <si>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</si>
  <si>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</si>
  <si>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</si>
  <si>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1.2.0</t>
  </si>
  <si>
    <t>KSE八木春樹</t>
    <rPh sb="3" eb="7">
      <t>ヤギハルキ</t>
    </rPh>
    <phoneticPr fontId="2"/>
  </si>
  <si>
    <t>BEV シス検#2(流用元：alert_S_APP-CSTD-1-02-B-C0.c)
[Matrix]シート
CH削除
[CH_Design]シート
CH削除
[PD]シート
CH削除に伴い、シート削除
[Reference]シート
CH削除に伴い、真理値表の修正</t>
    <phoneticPr fontId="2"/>
  </si>
  <si>
    <t>APINF_B</t>
  </si>
  <si>
    <t xml:space="preserve">S_ADBZR-CSTD-0-BZR01-REQ054- </t>
    <phoneticPr fontId="2"/>
  </si>
  <si>
    <t xml:space="preserve">S_ADBZR-CSTD-0-BZR01-REQ056- </t>
    <phoneticPr fontId="2"/>
  </si>
  <si>
    <t>承認</t>
  </si>
  <si>
    <t>検討</t>
  </si>
  <si>
    <t>作成</t>
  </si>
  <si>
    <t>&lt;DN確認印&gt;</t>
  </si>
  <si>
    <t>デンソーテクノ（株）</t>
    <phoneticPr fontId="2"/>
  </si>
  <si>
    <t>&lt;DT確認印&gt;</t>
  </si>
  <si>
    <t>&lt;DT検討印&gt;</t>
  </si>
  <si>
    <t>DENSO TECHNO PHIL. INC</t>
  </si>
  <si>
    <t>出力無し(000b)/
制御中止(010b)/
制御正常終了(110b)/
未定義(上記以外)</t>
    <rPh sb="0" eb="2">
      <t>シュツリョク</t>
    </rPh>
    <rPh sb="2" eb="3">
      <t>ナ</t>
    </rPh>
    <rPh sb="38" eb="41">
      <t>ミテイギ</t>
    </rPh>
    <rPh sb="42" eb="44">
      <t>ジョウキ</t>
    </rPh>
    <rPh sb="44" eb="46">
      <t>イガイ</t>
    </rPh>
    <phoneticPr fontId="2"/>
  </si>
  <si>
    <t>https://svn.geniie.net/bevs3/bevs3cdc/仕様書/MET/#1/tags/00.Product/v1.19/制御仕様</t>
    <phoneticPr fontId="2"/>
  </si>
  <si>
    <t xml:space="preserve">承認欄 </t>
    <phoneticPr fontId="2"/>
  </si>
  <si>
    <t>DTPH Emoh</t>
  </si>
  <si>
    <t>MET-S_ADBZR-CSTD-0-06-A-C0.xlsx</t>
  </si>
  <si>
    <t>5.6.0</t>
    <phoneticPr fontId="2"/>
  </si>
  <si>
    <t xml:space="preserve">BEVシス剣ADAS
S_ADBZRの対応
△１
不要なブザーを削除
・ALERT_REQ_S_APP_BC_NOTOPERATED1
・ALERT_REQ_S_APP_BC_NOTOPERATED2
</t>
    <rPh sb="5" eb="6">
      <t>ケン</t>
    </rPh>
    <rPh sb="19" eb="21">
      <t>タイオウ</t>
    </rPh>
    <phoneticPr fontId="2"/>
  </si>
  <si>
    <t>△１</t>
  </si>
  <si>
    <t>DTPH Eunice</t>
    <phoneticPr fontId="2"/>
  </si>
  <si>
    <t>ALERT_CH_S_ADBZR_APP</t>
  </si>
  <si>
    <t>DISCONT</t>
  </si>
  <si>
    <t>DISCONT</t>
    <phoneticPr fontId="2"/>
  </si>
  <si>
    <r>
      <rPr>
        <sz val="11"/>
        <rFont val="ＭＳ Ｐゴシック"/>
        <family val="3"/>
        <charset val="128"/>
        <scheme val="minor"/>
      </rPr>
      <t>UNKNOWN/</t>
    </r>
    <r>
      <rPr>
        <sz val="11"/>
        <color rgb="FFFF0000"/>
        <rFont val="ＭＳ Ｐゴシック"/>
        <family val="2"/>
        <charset val="128"/>
        <scheme val="minor"/>
      </rPr>
      <t xml:space="preserve">
DISCONT/
</t>
    </r>
    <r>
      <rPr>
        <sz val="11"/>
        <rFont val="ＭＳ Ｐゴシック"/>
        <family val="3"/>
        <charset val="128"/>
        <scheme val="minor"/>
      </rPr>
      <t>COMPLETION</t>
    </r>
    <phoneticPr fontId="2"/>
  </si>
  <si>
    <r>
      <t>△１</t>
    </r>
    <r>
      <rPr>
        <sz val="11"/>
        <color rgb="FFFF0000"/>
        <rFont val="ＭＳ Ｐゴシック"/>
        <family val="3"/>
        <charset val="128"/>
        <scheme val="minor"/>
      </rPr>
      <t>△2</t>
    </r>
    <phoneticPr fontId="2"/>
  </si>
  <si>
    <t>△2</t>
    <phoneticPr fontId="2"/>
  </si>
  <si>
    <t>BEVシス検ADAS
BEV3CDMET-2019_S_ADBZR対応 (S_APP分)
△2　APPの要求ID、仕様署名の更新(APP→S_ADBZR_APP)
[Matrix]シート
CH名変更
[CH_Design]シート
CH名変更に従い、1つREQの更新
[S_ADBZR_APP]シート
シート名はS_APP→S_ADBZR_APPに変更
[Reference]シート
CH名、REQの更新</t>
    <phoneticPr fontId="2"/>
  </si>
  <si>
    <t>(株)デンソー</t>
  </si>
  <si>
    <r>
      <rPr>
        <b/>
        <sz val="12"/>
        <color rgb="FFFF0000"/>
        <rFont val="ＭＳ Ｐゴシック"/>
        <family val="3"/>
        <charset val="128"/>
        <scheme val="minor"/>
      </rPr>
      <t>S_ADBZR_APP</t>
    </r>
    <r>
      <rPr>
        <b/>
        <sz val="12"/>
        <color theme="1"/>
        <rFont val="ＭＳ Ｐゴシック"/>
        <family val="3"/>
        <charset val="128"/>
        <scheme val="minor"/>
      </rPr>
      <t>判定</t>
    </r>
    <rPh sb="11" eb="13">
      <t>ハンテイ</t>
    </rPh>
    <phoneticPr fontId="2"/>
  </si>
  <si>
    <r>
      <t>2連発(1600Hz_</t>
    </r>
    <r>
      <rPr>
        <sz val="11"/>
        <color rgb="FFFF0000"/>
        <rFont val="ＭＳ Ｐゴシック"/>
        <family val="3"/>
        <charset val="128"/>
        <scheme val="minor"/>
      </rPr>
      <t>0.13s</t>
    </r>
    <r>
      <rPr>
        <sz val="11"/>
        <rFont val="ＭＳ Ｐゴシック"/>
        <family val="2"/>
        <charset val="128"/>
        <scheme val="minor"/>
      </rPr>
      <t>)/
単発(800Hz_0.9s)/
-</t>
    </r>
    <phoneticPr fontId="2"/>
  </si>
  <si>
    <r>
      <t>2連発(1600Hz_</t>
    </r>
    <r>
      <rPr>
        <sz val="11"/>
        <color rgb="FFFF0000"/>
        <rFont val="ＭＳ Ｐゴシック"/>
        <family val="3"/>
        <charset val="128"/>
        <scheme val="minor"/>
      </rPr>
      <t>0.13s</t>
    </r>
    <r>
      <rPr>
        <sz val="11"/>
        <color theme="1"/>
        <rFont val="ＭＳ Ｐゴシック"/>
        <family val="2"/>
        <charset val="128"/>
        <scheme val="minor"/>
      </rPr>
      <t>)</t>
    </r>
    <rPh sb="1" eb="3">
      <t>レンパツ</t>
    </rPh>
    <phoneticPr fontId="2"/>
  </si>
  <si>
    <t>1.3.0</t>
    <phoneticPr fontId="2"/>
  </si>
  <si>
    <t>1.3.1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</si>
</sst>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u/>
      <sz val="22"/>
      <color theme="1"/>
      <name val="Meiryo UI"/>
      <family val="3"/>
      <charset val="128"/>
    </font>
    <font>
      <sz val="22"/>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11"/>
      <color theme="1"/>
      <name val="Calibri"/>
      <family val="2"/>
    </font>
    <font>
      <b/>
      <sz val="12"/>
      <color rgb="FFFF0000"/>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rgb="FFFFFFFF"/>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3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20" borderId="37" xfId="0" applyFill="1" applyBorder="1">
      <alignment vertical="center"/>
    </xf>
    <xf numFmtId="0" fontId="0" fillId="20"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0"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2" borderId="7" xfId="0" applyFill="1" applyBorder="1" applyAlignment="1" applyProtection="1">
      <alignment horizontal="lef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22" borderId="31" xfId="0" applyFill="1" applyBorder="1">
      <alignment vertical="center"/>
    </xf>
    <xf numFmtId="0" fontId="0" fillId="22" borderId="2" xfId="0" applyFill="1" applyBorder="1">
      <alignment vertical="center"/>
    </xf>
    <xf numFmtId="0" fontId="0" fillId="23" borderId="31" xfId="0" applyFill="1" applyBorder="1">
      <alignment vertical="center"/>
    </xf>
    <xf numFmtId="0" fontId="0" fillId="23" borderId="2" xfId="0" applyFill="1" applyBorder="1">
      <alignment vertical="center"/>
    </xf>
    <xf numFmtId="0" fontId="0" fillId="14" borderId="2" xfId="0" applyFill="1" applyBorder="1">
      <alignment vertical="center"/>
    </xf>
    <xf numFmtId="0" fontId="0" fillId="22" borderId="32" xfId="0" applyFill="1" applyBorder="1" applyAlignment="1">
      <alignment vertical="center" wrapText="1"/>
    </xf>
    <xf numFmtId="0" fontId="0" fillId="22" borderId="16" xfId="0" applyFill="1" applyBorder="1" applyAlignment="1">
      <alignment vertical="center" wrapText="1"/>
    </xf>
    <xf numFmtId="0" fontId="0" fillId="22" borderId="25" xfId="0" applyFill="1" applyBorder="1" applyAlignment="1">
      <alignment horizontal="center" vertical="center"/>
    </xf>
    <xf numFmtId="0" fontId="0" fillId="22" borderId="14" xfId="0" applyFill="1" applyBorder="1" applyAlignment="1">
      <alignment horizontal="center" vertical="center"/>
    </xf>
    <xf numFmtId="0" fontId="0" fillId="22" borderId="31" xfId="0" applyFill="1" applyBorder="1" applyAlignment="1">
      <alignment horizontal="center" vertical="center"/>
    </xf>
    <xf numFmtId="0" fontId="0" fillId="22" borderId="2" xfId="0" applyFill="1" applyBorder="1" applyAlignment="1">
      <alignment horizontal="center" vertical="center"/>
    </xf>
    <xf numFmtId="0" fontId="0" fillId="22" borderId="26" xfId="0" applyFill="1" applyBorder="1" applyAlignment="1">
      <alignment horizontal="center" vertical="center"/>
    </xf>
    <xf numFmtId="0" fontId="0" fillId="22" borderId="9" xfId="0" applyFill="1" applyBorder="1" applyAlignment="1">
      <alignment horizontal="center" vertical="center"/>
    </xf>
    <xf numFmtId="14" fontId="0" fillId="0" borderId="15" xfId="0" applyNumberFormat="1" applyBorder="1">
      <alignment vertical="center"/>
    </xf>
    <xf numFmtId="0" fontId="0" fillId="0" borderId="77" xfId="0" applyBorder="1">
      <alignment vertical="center"/>
    </xf>
    <xf numFmtId="0" fontId="0" fillId="15" borderId="65" xfId="0" applyFill="1" applyBorder="1" applyAlignment="1">
      <alignment horizontal="center" vertical="center"/>
    </xf>
    <xf numFmtId="0" fontId="0" fillId="0" borderId="64" xfId="0" applyBorder="1" applyAlignment="1">
      <alignment horizontal="center" vertical="center"/>
    </xf>
    <xf numFmtId="0" fontId="0" fillId="22" borderId="65" xfId="0" applyFill="1" applyBorder="1" applyAlignment="1">
      <alignment horizontal="center" vertical="center"/>
    </xf>
    <xf numFmtId="0" fontId="0" fillId="22" borderId="62" xfId="0" applyFill="1" applyBorder="1" applyAlignment="1">
      <alignment horizontal="center" vertical="center"/>
    </xf>
    <xf numFmtId="0" fontId="0" fillId="15" borderId="78" xfId="0" applyFill="1" applyBorder="1" applyAlignment="1">
      <alignment horizontal="center"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16" fillId="7" borderId="62" xfId="0" applyFont="1" applyFill="1" applyBorder="1" applyAlignment="1">
      <alignment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12" borderId="27" xfId="0" applyFill="1" applyBorder="1" applyAlignment="1">
      <alignment vertical="center" wrapText="1"/>
    </xf>
    <xf numFmtId="0" fontId="21" fillId="24" borderId="64" xfId="0" applyFont="1" applyFill="1" applyBorder="1">
      <alignment vertical="center"/>
    </xf>
    <xf numFmtId="0" fontId="21" fillId="24" borderId="66" xfId="0" applyFont="1" applyFill="1" applyBorder="1">
      <alignment vertical="center"/>
    </xf>
    <xf numFmtId="0" fontId="21" fillId="24" borderId="65" xfId="0" applyFont="1" applyFill="1" applyBorder="1">
      <alignment vertical="center"/>
    </xf>
    <xf numFmtId="0" fontId="21" fillId="0" borderId="0" xfId="0" applyFont="1">
      <alignment vertical="center"/>
    </xf>
    <xf numFmtId="0" fontId="21" fillId="24" borderId="79" xfId="0" applyFont="1" applyFill="1" applyBorder="1">
      <alignment vertical="center"/>
    </xf>
    <xf numFmtId="0" fontId="21" fillId="24" borderId="0" xfId="0" applyFont="1" applyFill="1">
      <alignment vertical="center"/>
    </xf>
    <xf numFmtId="0" fontId="21" fillId="24" borderId="80" xfId="0" applyFont="1" applyFill="1" applyBorder="1">
      <alignment vertical="center"/>
    </xf>
    <xf numFmtId="0" fontId="21" fillId="24" borderId="81" xfId="0" applyFont="1" applyFill="1" applyBorder="1">
      <alignment vertical="center"/>
    </xf>
    <xf numFmtId="0" fontId="21" fillId="24" borderId="82" xfId="0" applyFont="1" applyFill="1" applyBorder="1">
      <alignment vertical="center"/>
    </xf>
    <xf numFmtId="0" fontId="26" fillId="24" borderId="0" xfId="0" applyFont="1" applyFill="1" applyAlignment="1">
      <alignment horizontal="center" vertical="center"/>
    </xf>
    <xf numFmtId="0" fontId="21" fillId="24" borderId="29" xfId="0" applyFont="1" applyFill="1" applyBorder="1">
      <alignment vertical="center"/>
    </xf>
    <xf numFmtId="0" fontId="21" fillId="24" borderId="11" xfId="0" applyFont="1" applyFill="1" applyBorder="1">
      <alignment vertical="center"/>
    </xf>
    <xf numFmtId="0" fontId="21" fillId="24" borderId="25" xfId="0" applyFont="1" applyFill="1" applyBorder="1">
      <alignment vertical="center"/>
    </xf>
    <xf numFmtId="0" fontId="21" fillId="24" borderId="83" xfId="0" applyFont="1" applyFill="1" applyBorder="1">
      <alignment vertical="center"/>
    </xf>
    <xf numFmtId="0" fontId="25" fillId="24" borderId="0" xfId="0" applyFont="1" applyFill="1">
      <alignment vertical="center"/>
    </xf>
    <xf numFmtId="0" fontId="0" fillId="0" borderId="0" xfId="0" applyFill="1">
      <alignment vertical="center"/>
    </xf>
    <xf numFmtId="0" fontId="11" fillId="0" borderId="0" xfId="0" applyFont="1" applyFill="1">
      <alignment vertical="center"/>
    </xf>
    <xf numFmtId="0" fontId="11"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14" fontId="18" fillId="0" borderId="7" xfId="0" applyNumberFormat="1" applyFont="1" applyBorder="1">
      <alignment vertical="center"/>
    </xf>
    <xf numFmtId="0" fontId="19" fillId="0" borderId="2" xfId="0" applyFont="1" applyBorder="1" applyAlignment="1">
      <alignment vertical="center" wrapText="1"/>
    </xf>
    <xf numFmtId="0" fontId="19" fillId="0" borderId="2" xfId="0" applyFont="1" applyBorder="1">
      <alignment vertical="center"/>
    </xf>
    <xf numFmtId="14" fontId="19" fillId="0" borderId="7" xfId="0" applyNumberFormat="1" applyFont="1" applyBorder="1">
      <alignment vertical="center"/>
    </xf>
    <xf numFmtId="0" fontId="11" fillId="12" borderId="14" xfId="0" applyFont="1" applyFill="1" applyBorder="1" applyProtection="1">
      <alignment vertical="center"/>
    </xf>
    <xf numFmtId="0" fontId="19" fillId="12" borderId="13" xfId="0" applyFont="1" applyFill="1" applyBorder="1" applyProtection="1">
      <alignment vertical="center"/>
    </xf>
    <xf numFmtId="0" fontId="19" fillId="12" borderId="15" xfId="0" applyFont="1" applyFill="1" applyBorder="1" applyProtection="1">
      <alignment vertical="center"/>
    </xf>
    <xf numFmtId="0" fontId="19" fillId="12" borderId="6" xfId="0" applyFont="1" applyFill="1" applyBorder="1" applyProtection="1">
      <alignment vertical="center"/>
    </xf>
    <xf numFmtId="0" fontId="19" fillId="12" borderId="7" xfId="0" applyFont="1" applyFill="1" applyBorder="1" applyProtection="1">
      <alignment vertical="center"/>
    </xf>
    <xf numFmtId="0" fontId="16" fillId="12" borderId="14" xfId="0" applyFont="1" applyFill="1" applyBorder="1">
      <alignment vertical="center"/>
    </xf>
    <xf numFmtId="0" fontId="19" fillId="12" borderId="14" xfId="0" applyFont="1" applyFill="1" applyBorder="1">
      <alignment vertical="center"/>
    </xf>
    <xf numFmtId="0" fontId="11" fillId="12" borderId="2" xfId="0" applyFont="1" applyFill="1" applyBorder="1">
      <alignment vertical="center"/>
    </xf>
    <xf numFmtId="0" fontId="11" fillId="0" borderId="33" xfId="0" applyFont="1" applyBorder="1">
      <alignment vertical="center"/>
    </xf>
    <xf numFmtId="0" fontId="16" fillId="0" borderId="28" xfId="0" applyFont="1" applyBorder="1" applyAlignment="1">
      <alignment vertical="center" wrapText="1"/>
    </xf>
    <xf numFmtId="0" fontId="18" fillId="0" borderId="34" xfId="0" applyFont="1" applyBorder="1" applyAlignment="1">
      <alignment vertical="center" wrapText="1"/>
    </xf>
    <xf numFmtId="0" fontId="11" fillId="0" borderId="33" xfId="0" applyFont="1" applyBorder="1" applyAlignment="1">
      <alignment horizontal="center" vertical="center"/>
    </xf>
    <xf numFmtId="0" fontId="16" fillId="0" borderId="24" xfId="0" applyFont="1" applyBorder="1" applyAlignment="1">
      <alignment horizontal="center" vertical="center"/>
    </xf>
    <xf numFmtId="0" fontId="19" fillId="0" borderId="24" xfId="0" applyFont="1" applyBorder="1" applyAlignment="1">
      <alignment horizontal="center" vertical="center"/>
    </xf>
    <xf numFmtId="0" fontId="16" fillId="0" borderId="16" xfId="0" applyFont="1" applyBorder="1" applyAlignment="1">
      <alignment vertical="center" wrapText="1"/>
    </xf>
    <xf numFmtId="0" fontId="19" fillId="0" borderId="0" xfId="0" applyFont="1">
      <alignment vertical="center"/>
    </xf>
    <xf numFmtId="0" fontId="0" fillId="0" borderId="2" xfId="0" applyBorder="1" applyAlignment="1">
      <alignment horizontal="center" vertical="center"/>
    </xf>
    <xf numFmtId="0" fontId="10" fillId="0" borderId="0" xfId="3" applyFont="1">
      <alignment vertical="center"/>
    </xf>
    <xf numFmtId="0" fontId="27" fillId="0" borderId="0" xfId="0" applyFont="1">
      <alignment vertical="center"/>
    </xf>
    <xf numFmtId="0" fontId="18" fillId="12" borderId="2" xfId="0" applyFont="1" applyFill="1" applyBorder="1">
      <alignment vertical="center"/>
    </xf>
    <xf numFmtId="0" fontId="18" fillId="0" borderId="6" xfId="0" applyFont="1" applyBorder="1">
      <alignment vertical="center"/>
    </xf>
    <xf numFmtId="0" fontId="21" fillId="24" borderId="27" xfId="0" applyFont="1" applyFill="1" applyBorder="1" applyAlignment="1">
      <alignment horizontal="center" vertical="center"/>
    </xf>
    <xf numFmtId="0" fontId="21" fillId="24" borderId="12" xfId="0" applyFont="1" applyFill="1" applyBorder="1" applyAlignment="1">
      <alignment horizontal="center" vertical="center"/>
    </xf>
    <xf numFmtId="0" fontId="21" fillId="24" borderId="31" xfId="0" applyFont="1" applyFill="1" applyBorder="1" applyAlignment="1">
      <alignment horizontal="center" vertical="center"/>
    </xf>
    <xf numFmtId="0" fontId="22" fillId="24" borderId="79" xfId="0" applyFont="1" applyFill="1" applyBorder="1" applyAlignment="1">
      <alignment horizontal="center" vertical="center"/>
    </xf>
    <xf numFmtId="0" fontId="23" fillId="24" borderId="0" xfId="0" applyFont="1" applyFill="1" applyAlignment="1">
      <alignment horizontal="center" vertical="center"/>
    </xf>
    <xf numFmtId="0" fontId="23" fillId="24" borderId="80" xfId="0" applyFont="1" applyFill="1" applyBorder="1" applyAlignment="1">
      <alignment horizontal="center" vertical="center"/>
    </xf>
    <xf numFmtId="0" fontId="24" fillId="24" borderId="79" xfId="0" applyFont="1" applyFill="1" applyBorder="1" applyAlignment="1">
      <alignment horizontal="center" vertical="center"/>
    </xf>
    <xf numFmtId="0" fontId="21" fillId="24" borderId="0" xfId="0" applyFont="1" applyFill="1" applyAlignment="1">
      <alignment horizontal="center" vertical="center"/>
    </xf>
    <xf numFmtId="0" fontId="21" fillId="24" borderId="80" xfId="0" applyFont="1" applyFill="1" applyBorder="1" applyAlignment="1">
      <alignment horizontal="center" vertical="center"/>
    </xf>
    <xf numFmtId="0" fontId="21" fillId="24" borderId="64" xfId="0" applyFont="1"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1" borderId="27" xfId="0" applyFill="1" applyBorder="1" applyAlignment="1" applyProtection="1">
      <alignment horizontal="center" vertical="center" textRotation="90"/>
    </xf>
    <xf numFmtId="0" fontId="0" fillId="0" borderId="31" xfId="0" applyBorder="1" applyAlignment="1">
      <alignment horizontal="center" vertical="center" textRotation="90"/>
    </xf>
    <xf numFmtId="0" fontId="0" fillId="21" borderId="12" xfId="0" applyFill="1" applyBorder="1" applyAlignment="1" applyProtection="1">
      <alignment horizontal="center" vertical="center" textRotation="90"/>
    </xf>
    <xf numFmtId="0" fontId="0" fillId="21"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ハイパーリンク" xfId="1" builtinId="8"/>
    <cellStyle name="標準" xfId="0" builtinId="0"/>
    <cellStyle name="標準 3 3 4 3" xfId="3" xr:uid="{4FC4966F-63B7-4B89-B44B-F3EDC5FF2822}"/>
    <cellStyle name="標準 7" xfId="2" xr:uid="{3A865F18-7FCE-4F3A-909E-3BBBB927B9D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DBEEF4"/>
      <color rgb="FFFFCC99"/>
      <color rgb="FF0000FF"/>
      <color rgb="FFFBBDBD"/>
      <color rgb="FFCCFDB1"/>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emf"/><Relationship Id="rId7" Type="http://schemas.openxmlformats.org/officeDocument/2006/relationships/image" Target="../media/image10.tmp"/><Relationship Id="rId2" Type="http://schemas.openxmlformats.org/officeDocument/2006/relationships/image" Target="../media/image5.emf"/><Relationship Id="rId1" Type="http://schemas.openxmlformats.org/officeDocument/2006/relationships/image" Target="../media/image4.emf"/><Relationship Id="rId6" Type="http://schemas.openxmlformats.org/officeDocument/2006/relationships/image" Target="../media/image9.tmp"/><Relationship Id="rId5" Type="http://schemas.openxmlformats.org/officeDocument/2006/relationships/image" Target="../media/image8.tmp"/><Relationship Id="rId4" Type="http://schemas.openxmlformats.org/officeDocument/2006/relationships/image" Target="../media/image7.tmp"/></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33</xdr:col>
      <xdr:colOff>140970</xdr:colOff>
      <xdr:row>43</xdr:row>
      <xdr:rowOff>0</xdr:rowOff>
    </xdr:from>
    <xdr:to>
      <xdr:col>36</xdr:col>
      <xdr:colOff>97155</xdr:colOff>
      <xdr:row>45</xdr:row>
      <xdr:rowOff>125004</xdr:rowOff>
    </xdr:to>
    <xdr:pic>
      <xdr:nvPicPr>
        <xdr:cNvPr id="2" name="図 1">
          <a:extLst>
            <a:ext uri="{FF2B5EF4-FFF2-40B4-BE49-F238E27FC236}">
              <a16:creationId xmlns:a16="http://schemas.microsoft.com/office/drawing/2014/main" id="{97FE16BF-1131-D5D5-99B5-0A662D00CF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4495" y="7753350"/>
          <a:ext cx="441960" cy="467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78105</xdr:colOff>
      <xdr:row>44</xdr:row>
      <xdr:rowOff>19050</xdr:rowOff>
    </xdr:from>
    <xdr:to>
      <xdr:col>38</xdr:col>
      <xdr:colOff>129540</xdr:colOff>
      <xdr:row>46</xdr:row>
      <xdr:rowOff>114300</xdr:rowOff>
    </xdr:to>
    <xdr:pic>
      <xdr:nvPicPr>
        <xdr:cNvPr id="3" name="図 2">
          <a:extLst>
            <a:ext uri="{FF2B5EF4-FFF2-40B4-BE49-F238E27FC236}">
              <a16:creationId xmlns:a16="http://schemas.microsoft.com/office/drawing/2014/main" id="{DDF4FC8F-F292-9682-F1BD-8433A4FDDE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7405" y="7943850"/>
          <a:ext cx="375285"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33</xdr:col>
          <xdr:colOff>150495</xdr:colOff>
          <xdr:row>45</xdr:row>
          <xdr:rowOff>81915</xdr:rowOff>
        </xdr:from>
        <xdr:to>
          <xdr:col>36</xdr:col>
          <xdr:colOff>107209</xdr:colOff>
          <xdr:row>48</xdr:row>
          <xdr:rowOff>0</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55112110-ADAF-C221-80EE-AE53A62A5C83}"/>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156883</xdr:colOff>
      <xdr:row>16</xdr:row>
      <xdr:rowOff>112060</xdr:rowOff>
    </xdr:from>
    <xdr:to>
      <xdr:col>37</xdr:col>
      <xdr:colOff>133014</xdr:colOff>
      <xdr:row>22</xdr:row>
      <xdr:rowOff>135390</xdr:rowOff>
    </xdr:to>
    <xdr:pic>
      <xdr:nvPicPr>
        <xdr:cNvPr id="60" name="図 59">
          <a:extLst>
            <a:ext uri="{FF2B5EF4-FFF2-40B4-BE49-F238E27FC236}">
              <a16:creationId xmlns:a16="http://schemas.microsoft.com/office/drawing/2014/main" id="{10F9797E-65EF-C92B-D842-4AB2F0C1A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68265" y="5132295"/>
          <a:ext cx="12287810" cy="10936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437030</xdr:colOff>
      <xdr:row>6</xdr:row>
      <xdr:rowOff>64658</xdr:rowOff>
    </xdr:from>
    <xdr:to>
      <xdr:col>62</xdr:col>
      <xdr:colOff>8851</xdr:colOff>
      <xdr:row>7</xdr:row>
      <xdr:rowOff>1468836</xdr:rowOff>
    </xdr:to>
    <xdr:pic>
      <xdr:nvPicPr>
        <xdr:cNvPr id="64" name="図 63">
          <a:extLst>
            <a:ext uri="{FF2B5EF4-FFF2-40B4-BE49-F238E27FC236}">
              <a16:creationId xmlns:a16="http://schemas.microsoft.com/office/drawing/2014/main" id="{1A58D892-1636-FB65-E10A-69D4134F99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270265" y="1118011"/>
          <a:ext cx="13239188" cy="1743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593911</xdr:colOff>
      <xdr:row>7</xdr:row>
      <xdr:rowOff>1006199</xdr:rowOff>
    </xdr:from>
    <xdr:to>
      <xdr:col>39</xdr:col>
      <xdr:colOff>599083</xdr:colOff>
      <xdr:row>13</xdr:row>
      <xdr:rowOff>3808</xdr:rowOff>
    </xdr:to>
    <xdr:pic>
      <xdr:nvPicPr>
        <xdr:cNvPr id="61" name="図 60">
          <a:extLst>
            <a:ext uri="{FF2B5EF4-FFF2-40B4-BE49-F238E27FC236}">
              <a16:creationId xmlns:a16="http://schemas.microsoft.com/office/drawing/2014/main" id="{8971ECE1-780D-7142-D674-823E25384E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21735" y="2406934"/>
          <a:ext cx="14363717" cy="2109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251011</xdr:colOff>
      <xdr:row>5</xdr:row>
      <xdr:rowOff>0</xdr:rowOff>
    </xdr:from>
    <xdr:to>
      <xdr:col>29</xdr:col>
      <xdr:colOff>315945</xdr:colOff>
      <xdr:row>6</xdr:row>
      <xdr:rowOff>225945</xdr:rowOff>
    </xdr:to>
    <xdr:pic>
      <xdr:nvPicPr>
        <xdr:cNvPr id="15" name="図 14" descr="画面の領域">
          <a:extLst>
            <a:ext uri="{FF2B5EF4-FFF2-40B4-BE49-F238E27FC236}">
              <a16:creationId xmlns:a16="http://schemas.microsoft.com/office/drawing/2014/main" id="{33F5EB86-BE50-4C1B-B02F-056D319B597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2158511" y="895350"/>
          <a:ext cx="2118524" cy="397395"/>
        </a:xfrm>
        <a:prstGeom prst="rect">
          <a:avLst/>
        </a:prstGeom>
      </xdr:spPr>
    </xdr:pic>
    <xdr:clientData/>
  </xdr:twoCellAnchor>
  <xdr:twoCellAnchor editAs="oneCell">
    <xdr:from>
      <xdr:col>23</xdr:col>
      <xdr:colOff>161365</xdr:colOff>
      <xdr:row>4</xdr:row>
      <xdr:rowOff>161365</xdr:rowOff>
    </xdr:from>
    <xdr:to>
      <xdr:col>26</xdr:col>
      <xdr:colOff>245351</xdr:colOff>
      <xdr:row>6</xdr:row>
      <xdr:rowOff>247464</xdr:rowOff>
    </xdr:to>
    <xdr:pic>
      <xdr:nvPicPr>
        <xdr:cNvPr id="16" name="図 15" descr="画面の領域">
          <a:extLst>
            <a:ext uri="{FF2B5EF4-FFF2-40B4-BE49-F238E27FC236}">
              <a16:creationId xmlns:a16="http://schemas.microsoft.com/office/drawing/2014/main" id="{C71705F5-C4D3-4568-8DB3-FE5CAF0E410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011465" y="885265"/>
          <a:ext cx="2149006" cy="436619"/>
        </a:xfrm>
        <a:prstGeom prst="rect">
          <a:avLst/>
        </a:prstGeom>
      </xdr:spPr>
    </xdr:pic>
    <xdr:clientData/>
  </xdr:twoCellAnchor>
  <xdr:twoCellAnchor editAs="oneCell">
    <xdr:from>
      <xdr:col>19</xdr:col>
      <xdr:colOff>0</xdr:colOff>
      <xdr:row>5</xdr:row>
      <xdr:rowOff>0</xdr:rowOff>
    </xdr:from>
    <xdr:to>
      <xdr:col>23</xdr:col>
      <xdr:colOff>91659</xdr:colOff>
      <xdr:row>6</xdr:row>
      <xdr:rowOff>237376</xdr:rowOff>
    </xdr:to>
    <xdr:pic>
      <xdr:nvPicPr>
        <xdr:cNvPr id="17" name="図 16" descr="画面の領域">
          <a:extLst>
            <a:ext uri="{FF2B5EF4-FFF2-40B4-BE49-F238E27FC236}">
              <a16:creationId xmlns:a16="http://schemas.microsoft.com/office/drawing/2014/main" id="{60F71666-B58A-4CCE-B423-8A4DD02A6F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106900" y="895350"/>
          <a:ext cx="2834859" cy="405016"/>
        </a:xfrm>
        <a:prstGeom prst="rect">
          <a:avLst/>
        </a:prstGeom>
      </xdr:spPr>
    </xdr:pic>
    <xdr:clientData/>
  </xdr:twoCellAnchor>
  <xdr:twoCellAnchor editAs="oneCell">
    <xdr:from>
      <xdr:col>19</xdr:col>
      <xdr:colOff>26894</xdr:colOff>
      <xdr:row>2</xdr:row>
      <xdr:rowOff>71718</xdr:rowOff>
    </xdr:from>
    <xdr:to>
      <xdr:col>27</xdr:col>
      <xdr:colOff>19695</xdr:colOff>
      <xdr:row>4</xdr:row>
      <xdr:rowOff>21180</xdr:rowOff>
    </xdr:to>
    <xdr:pic>
      <xdr:nvPicPr>
        <xdr:cNvPr id="18" name="図 17" descr="画面の領域">
          <a:extLst>
            <a:ext uri="{FF2B5EF4-FFF2-40B4-BE49-F238E27FC236}">
              <a16:creationId xmlns:a16="http://schemas.microsoft.com/office/drawing/2014/main" id="{BC2B9FC3-B063-48CD-8B94-3F5EC9BE76F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7133794" y="433668"/>
          <a:ext cx="5471581" cy="317127"/>
        </a:xfrm>
        <a:prstGeom prst="rect">
          <a:avLst/>
        </a:prstGeom>
      </xdr:spPr>
    </xdr:pic>
    <xdr:clientData/>
  </xdr:twoCellAnchor>
  <xdr:twoCellAnchor>
    <xdr:from>
      <xdr:col>19</xdr:col>
      <xdr:colOff>16585</xdr:colOff>
      <xdr:row>2</xdr:row>
      <xdr:rowOff>67233</xdr:rowOff>
    </xdr:from>
    <xdr:to>
      <xdr:col>27</xdr:col>
      <xdr:colOff>8966</xdr:colOff>
      <xdr:row>4</xdr:row>
      <xdr:rowOff>26894</xdr:rowOff>
    </xdr:to>
    <xdr:sp macro="" textlink="">
      <xdr:nvSpPr>
        <xdr:cNvPr id="20" name="正方形/長方形 19">
          <a:extLst>
            <a:ext uri="{FF2B5EF4-FFF2-40B4-BE49-F238E27FC236}">
              <a16:creationId xmlns:a16="http://schemas.microsoft.com/office/drawing/2014/main" id="{EE5A9462-4418-4F9A-9D4F-9587B9877FE4}"/>
            </a:ext>
          </a:extLst>
        </xdr:cNvPr>
        <xdr:cNvSpPr/>
      </xdr:nvSpPr>
      <xdr:spPr>
        <a:xfrm>
          <a:off x="17123485" y="429183"/>
          <a:ext cx="5478781" cy="3216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327211</xdr:colOff>
      <xdr:row>1</xdr:row>
      <xdr:rowOff>183777</xdr:rowOff>
    </xdr:from>
    <xdr:to>
      <xdr:col>29</xdr:col>
      <xdr:colOff>136713</xdr:colOff>
      <xdr:row>3</xdr:row>
      <xdr:rowOff>81848</xdr:rowOff>
    </xdr:to>
    <xdr:sp macro="" textlink="">
      <xdr:nvSpPr>
        <xdr:cNvPr id="21" name="線吹き出し 1 (枠付き) 13">
          <a:extLst>
            <a:ext uri="{FF2B5EF4-FFF2-40B4-BE49-F238E27FC236}">
              <a16:creationId xmlns:a16="http://schemas.microsoft.com/office/drawing/2014/main" id="{0265E8AE-3357-4010-96E6-6FE273F89B03}"/>
            </a:ext>
          </a:extLst>
        </xdr:cNvPr>
        <xdr:cNvSpPr/>
      </xdr:nvSpPr>
      <xdr:spPr>
        <a:xfrm>
          <a:off x="22920511" y="355227"/>
          <a:ext cx="1181102" cy="279071"/>
        </a:xfrm>
        <a:prstGeom prst="borderCallout1">
          <a:avLst>
            <a:gd name="adj1" fmla="val 44823"/>
            <a:gd name="adj2" fmla="val -3207"/>
            <a:gd name="adj3" fmla="val 73604"/>
            <a:gd name="adj4" fmla="val -31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142943</xdr:colOff>
      <xdr:row>3</xdr:row>
      <xdr:rowOff>91638</xdr:rowOff>
    </xdr:from>
    <xdr:to>
      <xdr:col>31</xdr:col>
      <xdr:colOff>561914</xdr:colOff>
      <xdr:row>6</xdr:row>
      <xdr:rowOff>148914</xdr:rowOff>
    </xdr:to>
    <xdr:sp macro="" textlink="">
      <xdr:nvSpPr>
        <xdr:cNvPr id="22" name="線吹き出し 1 (枠付き) 15">
          <a:extLst>
            <a:ext uri="{FF2B5EF4-FFF2-40B4-BE49-F238E27FC236}">
              <a16:creationId xmlns:a16="http://schemas.microsoft.com/office/drawing/2014/main" id="{1660C1B9-2797-426C-8867-C6CCA1C5BD9B}"/>
            </a:ext>
          </a:extLst>
        </xdr:cNvPr>
        <xdr:cNvSpPr/>
      </xdr:nvSpPr>
      <xdr:spPr>
        <a:xfrm>
          <a:off x="24793643" y="644088"/>
          <a:ext cx="1104771" cy="571626"/>
        </a:xfrm>
        <a:prstGeom prst="borderCallout1">
          <a:avLst>
            <a:gd name="adj1" fmla="val 44823"/>
            <a:gd name="adj2" fmla="val -3207"/>
            <a:gd name="adj3" fmla="val 72480"/>
            <a:gd name="adj4" fmla="val -885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452716</xdr:colOff>
      <xdr:row>16</xdr:row>
      <xdr:rowOff>83794</xdr:rowOff>
    </xdr:from>
    <xdr:to>
      <xdr:col>35</xdr:col>
      <xdr:colOff>336175</xdr:colOff>
      <xdr:row>20</xdr:row>
      <xdr:rowOff>116542</xdr:rowOff>
    </xdr:to>
    <xdr:sp macro="" textlink="">
      <xdr:nvSpPr>
        <xdr:cNvPr id="23" name="正方形/長方形 22">
          <a:extLst>
            <a:ext uri="{FF2B5EF4-FFF2-40B4-BE49-F238E27FC236}">
              <a16:creationId xmlns:a16="http://schemas.microsoft.com/office/drawing/2014/main" id="{7842B387-5088-4F39-A4C7-0ECD9390C60E}"/>
            </a:ext>
          </a:extLst>
        </xdr:cNvPr>
        <xdr:cNvSpPr/>
      </xdr:nvSpPr>
      <xdr:spPr>
        <a:xfrm>
          <a:off x="25766804" y="5104029"/>
          <a:ext cx="2617695" cy="7051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231713</xdr:colOff>
      <xdr:row>20</xdr:row>
      <xdr:rowOff>169456</xdr:rowOff>
    </xdr:from>
    <xdr:to>
      <xdr:col>43</xdr:col>
      <xdr:colOff>227981</xdr:colOff>
      <xdr:row>24</xdr:row>
      <xdr:rowOff>149910</xdr:rowOff>
    </xdr:to>
    <xdr:sp macro="" textlink="">
      <xdr:nvSpPr>
        <xdr:cNvPr id="24" name="線吹き出し 1 (枠付き) 17">
          <a:extLst>
            <a:ext uri="{FF2B5EF4-FFF2-40B4-BE49-F238E27FC236}">
              <a16:creationId xmlns:a16="http://schemas.microsoft.com/office/drawing/2014/main" id="{AA2CD71F-A5BD-4776-93A6-C69044C98CC7}"/>
            </a:ext>
          </a:extLst>
        </xdr:cNvPr>
        <xdr:cNvSpPr/>
      </xdr:nvSpPr>
      <xdr:spPr>
        <a:xfrm>
          <a:off x="29647154" y="5862044"/>
          <a:ext cx="4097621" cy="708837"/>
        </a:xfrm>
        <a:prstGeom prst="borderCallout1">
          <a:avLst>
            <a:gd name="adj1" fmla="val 41657"/>
            <a:gd name="adj2" fmla="val -173"/>
            <a:gd name="adj3" fmla="val -12632"/>
            <a:gd name="adj4" fmla="val -82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IPA_BZ2=010b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として振舞う</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で通信状態を参照し、途絶時は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連発を出力する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534395</xdr:colOff>
      <xdr:row>7</xdr:row>
      <xdr:rowOff>1065430</xdr:rowOff>
    </xdr:from>
    <xdr:to>
      <xdr:col>29</xdr:col>
      <xdr:colOff>259976</xdr:colOff>
      <xdr:row>12</xdr:row>
      <xdr:rowOff>146672</xdr:rowOff>
    </xdr:to>
    <xdr:sp macro="" textlink="">
      <xdr:nvSpPr>
        <xdr:cNvPr id="25" name="正方形/長方形 24">
          <a:extLst>
            <a:ext uri="{FF2B5EF4-FFF2-40B4-BE49-F238E27FC236}">
              <a16:creationId xmlns:a16="http://schemas.microsoft.com/office/drawing/2014/main" id="{7499E8F5-C22F-4819-AF9B-4D253A742EFF}"/>
            </a:ext>
          </a:extLst>
        </xdr:cNvPr>
        <xdr:cNvSpPr/>
      </xdr:nvSpPr>
      <xdr:spPr>
        <a:xfrm>
          <a:off x="23127695" y="2475130"/>
          <a:ext cx="1097181" cy="27197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354265</xdr:colOff>
      <xdr:row>6</xdr:row>
      <xdr:rowOff>11206</xdr:rowOff>
    </xdr:from>
    <xdr:to>
      <xdr:col>57</xdr:col>
      <xdr:colOff>279827</xdr:colOff>
      <xdr:row>7</xdr:row>
      <xdr:rowOff>1501426</xdr:rowOff>
    </xdr:to>
    <xdr:sp macro="" textlink="">
      <xdr:nvSpPr>
        <xdr:cNvPr id="30" name="正方形/長方形 29">
          <a:extLst>
            <a:ext uri="{FF2B5EF4-FFF2-40B4-BE49-F238E27FC236}">
              <a16:creationId xmlns:a16="http://schemas.microsoft.com/office/drawing/2014/main" id="{6B827981-012C-4AB6-9086-41DE78F8B425}"/>
            </a:ext>
          </a:extLst>
        </xdr:cNvPr>
        <xdr:cNvSpPr/>
      </xdr:nvSpPr>
      <xdr:spPr>
        <a:xfrm>
          <a:off x="40023089" y="1064559"/>
          <a:ext cx="3343356" cy="18376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513227</xdr:colOff>
      <xdr:row>5</xdr:row>
      <xdr:rowOff>127390</xdr:rowOff>
    </xdr:from>
    <xdr:to>
      <xdr:col>49</xdr:col>
      <xdr:colOff>254693</xdr:colOff>
      <xdr:row>7</xdr:row>
      <xdr:rowOff>455601</xdr:rowOff>
    </xdr:to>
    <xdr:sp macro="" textlink="">
      <xdr:nvSpPr>
        <xdr:cNvPr id="31" name="線吹き出し 1 (枠付き) 38">
          <a:extLst>
            <a:ext uri="{FF2B5EF4-FFF2-40B4-BE49-F238E27FC236}">
              <a16:creationId xmlns:a16="http://schemas.microsoft.com/office/drawing/2014/main" id="{FB6CC341-C621-4553-9DAE-3744D5558B43}"/>
            </a:ext>
          </a:extLst>
        </xdr:cNvPr>
        <xdr:cNvSpPr/>
      </xdr:nvSpPr>
      <xdr:spPr>
        <a:xfrm>
          <a:off x="34030021" y="1012655"/>
          <a:ext cx="3842819" cy="843681"/>
        </a:xfrm>
        <a:prstGeom prst="borderCallout1">
          <a:avLst>
            <a:gd name="adj1" fmla="val 44823"/>
            <a:gd name="adj2" fmla="val -3207"/>
            <a:gd name="adj3" fmla="val 290751"/>
            <a:gd name="adj4" fmla="val -190567"/>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側では考慮不要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52916</xdr:colOff>
      <xdr:row>0</xdr:row>
      <xdr:rowOff>84667</xdr:rowOff>
    </xdr:from>
    <xdr:to>
      <xdr:col>11</xdr:col>
      <xdr:colOff>1899944</xdr:colOff>
      <xdr:row>2</xdr:row>
      <xdr:rowOff>64423</xdr:rowOff>
    </xdr:to>
    <xdr:sp macro="" textlink="">
      <xdr:nvSpPr>
        <xdr:cNvPr id="32" name="線吹き出し 1 (枠付き) 43">
          <a:extLst>
            <a:ext uri="{FF2B5EF4-FFF2-40B4-BE49-F238E27FC236}">
              <a16:creationId xmlns:a16="http://schemas.microsoft.com/office/drawing/2014/main" id="{A8A155CE-14A5-4F3D-9F96-845170CBDADD}"/>
            </a:ext>
          </a:extLst>
        </xdr:cNvPr>
        <xdr:cNvSpPr/>
      </xdr:nvSpPr>
      <xdr:spPr>
        <a:xfrm>
          <a:off x="5491691" y="84667"/>
          <a:ext cx="3351978" cy="341706"/>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1545166</xdr:colOff>
      <xdr:row>21</xdr:row>
      <xdr:rowOff>105833</xdr:rowOff>
    </xdr:from>
    <xdr:to>
      <xdr:col>11</xdr:col>
      <xdr:colOff>1576917</xdr:colOff>
      <xdr:row>25</xdr:row>
      <xdr:rowOff>31750</xdr:rowOff>
    </xdr:to>
    <xdr:sp macro="" textlink="">
      <xdr:nvSpPr>
        <xdr:cNvPr id="33" name="線吹き出し 1 (枠付き) 45">
          <a:extLst>
            <a:ext uri="{FF2B5EF4-FFF2-40B4-BE49-F238E27FC236}">
              <a16:creationId xmlns:a16="http://schemas.microsoft.com/office/drawing/2014/main" id="{7CF95C82-C865-4ECD-A62B-54493723CE96}"/>
            </a:ext>
          </a:extLst>
        </xdr:cNvPr>
        <xdr:cNvSpPr/>
      </xdr:nvSpPr>
      <xdr:spPr>
        <a:xfrm>
          <a:off x="2230966" y="6706658"/>
          <a:ext cx="6289676" cy="611717"/>
        </a:xfrm>
        <a:prstGeom prst="borderCallout1">
          <a:avLst>
            <a:gd name="adj1" fmla="val -2660"/>
            <a:gd name="adj2" fmla="val 51732"/>
            <a:gd name="adj3" fmla="val -38652"/>
            <a:gd name="adj4" fmla="val 371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状態の参照は不要。</a:t>
          </a:r>
        </a:p>
      </xdr:txBody>
    </xdr:sp>
    <xdr:clientData/>
  </xdr:twoCellAnchor>
  <xdr:twoCellAnchor>
    <xdr:from>
      <xdr:col>31</xdr:col>
      <xdr:colOff>211667</xdr:colOff>
      <xdr:row>7</xdr:row>
      <xdr:rowOff>306916</xdr:rowOff>
    </xdr:from>
    <xdr:to>
      <xdr:col>33</xdr:col>
      <xdr:colOff>121708</xdr:colOff>
      <xdr:row>7</xdr:row>
      <xdr:rowOff>666917</xdr:rowOff>
    </xdr:to>
    <xdr:sp macro="" textlink="">
      <xdr:nvSpPr>
        <xdr:cNvPr id="34" name="線吹き出し 1 (枠付き) 48">
          <a:extLst>
            <a:ext uri="{FF2B5EF4-FFF2-40B4-BE49-F238E27FC236}">
              <a16:creationId xmlns:a16="http://schemas.microsoft.com/office/drawing/2014/main" id="{EC5A90B5-8B77-432E-A8D3-081D10C613FF}"/>
            </a:ext>
          </a:extLst>
        </xdr:cNvPr>
        <xdr:cNvSpPr/>
      </xdr:nvSpPr>
      <xdr:spPr>
        <a:xfrm>
          <a:off x="25548167" y="1716616"/>
          <a:ext cx="1281641" cy="360001"/>
        </a:xfrm>
        <a:prstGeom prst="borderCallout1">
          <a:avLst>
            <a:gd name="adj1" fmla="val 42429"/>
            <a:gd name="adj2" fmla="val -3670"/>
            <a:gd name="adj3" fmla="val 450959"/>
            <a:gd name="adj4" fmla="val -15105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29</xdr:col>
      <xdr:colOff>280272</xdr:colOff>
      <xdr:row>16</xdr:row>
      <xdr:rowOff>49215</xdr:rowOff>
    </xdr:from>
    <xdr:to>
      <xdr:col>31</xdr:col>
      <xdr:colOff>434790</xdr:colOff>
      <xdr:row>20</xdr:row>
      <xdr:rowOff>141514</xdr:rowOff>
    </xdr:to>
    <xdr:sp macro="" textlink="">
      <xdr:nvSpPr>
        <xdr:cNvPr id="35" name="正方形/長方形 34">
          <a:extLst>
            <a:ext uri="{FF2B5EF4-FFF2-40B4-BE49-F238E27FC236}">
              <a16:creationId xmlns:a16="http://schemas.microsoft.com/office/drawing/2014/main" id="{D6735E39-FD6E-4B64-9BBF-9AE60F161364}"/>
            </a:ext>
          </a:extLst>
        </xdr:cNvPr>
        <xdr:cNvSpPr/>
      </xdr:nvSpPr>
      <xdr:spPr>
        <a:xfrm>
          <a:off x="24245172" y="5783265"/>
          <a:ext cx="1526118" cy="7780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366181</xdr:colOff>
      <xdr:row>18</xdr:row>
      <xdr:rowOff>92013</xdr:rowOff>
    </xdr:from>
    <xdr:to>
      <xdr:col>41</xdr:col>
      <xdr:colOff>582704</xdr:colOff>
      <xdr:row>20</xdr:row>
      <xdr:rowOff>109257</xdr:rowOff>
    </xdr:to>
    <xdr:sp macro="" textlink="">
      <xdr:nvSpPr>
        <xdr:cNvPr id="36" name="線吹き出し 1 (枠付き) 50">
          <a:extLst>
            <a:ext uri="{FF2B5EF4-FFF2-40B4-BE49-F238E27FC236}">
              <a16:creationId xmlns:a16="http://schemas.microsoft.com/office/drawing/2014/main" id="{B0FBFADE-810E-4602-B6AE-FD53F24716EB}"/>
            </a:ext>
          </a:extLst>
        </xdr:cNvPr>
        <xdr:cNvSpPr/>
      </xdr:nvSpPr>
      <xdr:spPr>
        <a:xfrm>
          <a:off x="31189081" y="6168963"/>
          <a:ext cx="1588123" cy="360144"/>
        </a:xfrm>
        <a:prstGeom prst="borderCallout1">
          <a:avLst>
            <a:gd name="adj1" fmla="val 42429"/>
            <a:gd name="adj2" fmla="val -3670"/>
            <a:gd name="adj3" fmla="val 34331"/>
            <a:gd name="adj4" fmla="val -2911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38</xdr:col>
      <xdr:colOff>572371</xdr:colOff>
      <xdr:row>15</xdr:row>
      <xdr:rowOff>50427</xdr:rowOff>
    </xdr:from>
    <xdr:to>
      <xdr:col>41</xdr:col>
      <xdr:colOff>80682</xdr:colOff>
      <xdr:row>17</xdr:row>
      <xdr:rowOff>71762</xdr:rowOff>
    </xdr:to>
    <xdr:sp macro="" textlink="">
      <xdr:nvSpPr>
        <xdr:cNvPr id="37" name="線吹き出し 1 (枠付き) 51">
          <a:extLst>
            <a:ext uri="{FF2B5EF4-FFF2-40B4-BE49-F238E27FC236}">
              <a16:creationId xmlns:a16="http://schemas.microsoft.com/office/drawing/2014/main" id="{0E41CBFE-AFB6-45CC-9A16-698DADCF7334}"/>
            </a:ext>
          </a:extLst>
        </xdr:cNvPr>
        <xdr:cNvSpPr/>
      </xdr:nvSpPr>
      <xdr:spPr>
        <a:xfrm>
          <a:off x="30709471" y="5613027"/>
          <a:ext cx="1565711" cy="364235"/>
        </a:xfrm>
        <a:prstGeom prst="borderCallout1">
          <a:avLst>
            <a:gd name="adj1" fmla="val 45277"/>
            <a:gd name="adj2" fmla="val -3670"/>
            <a:gd name="adj3" fmla="val 228556"/>
            <a:gd name="adj4" fmla="val -4145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19</xdr:col>
      <xdr:colOff>10759</xdr:colOff>
      <xdr:row>4</xdr:row>
      <xdr:rowOff>91885</xdr:rowOff>
    </xdr:from>
    <xdr:to>
      <xdr:col>28</xdr:col>
      <xdr:colOff>475131</xdr:colOff>
      <xdr:row>6</xdr:row>
      <xdr:rowOff>320487</xdr:rowOff>
    </xdr:to>
    <xdr:sp macro="" textlink="">
      <xdr:nvSpPr>
        <xdr:cNvPr id="38" name="正方形/長方形 37">
          <a:extLst>
            <a:ext uri="{FF2B5EF4-FFF2-40B4-BE49-F238E27FC236}">
              <a16:creationId xmlns:a16="http://schemas.microsoft.com/office/drawing/2014/main" id="{DC5C9ABD-8B82-43FD-A329-0A8B6821C2FF}"/>
            </a:ext>
          </a:extLst>
        </xdr:cNvPr>
        <xdr:cNvSpPr/>
      </xdr:nvSpPr>
      <xdr:spPr>
        <a:xfrm>
          <a:off x="17117659" y="815785"/>
          <a:ext cx="6636572" cy="5715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277908</xdr:colOff>
      <xdr:row>8</xdr:row>
      <xdr:rowOff>179294</xdr:rowOff>
    </xdr:from>
    <xdr:to>
      <xdr:col>24</xdr:col>
      <xdr:colOff>211233</xdr:colOff>
      <xdr:row>12</xdr:row>
      <xdr:rowOff>121022</xdr:rowOff>
    </xdr:to>
    <xdr:sp macro="" textlink="">
      <xdr:nvSpPr>
        <xdr:cNvPr id="48" name="正方形/長方形 47">
          <a:extLst>
            <a:ext uri="{FF2B5EF4-FFF2-40B4-BE49-F238E27FC236}">
              <a16:creationId xmlns:a16="http://schemas.microsoft.com/office/drawing/2014/main" id="{BA852D89-BA8E-41EC-898E-18A12F6A7DC0}"/>
            </a:ext>
          </a:extLst>
        </xdr:cNvPr>
        <xdr:cNvSpPr/>
      </xdr:nvSpPr>
      <xdr:spPr>
        <a:xfrm>
          <a:off x="20123526" y="3316941"/>
          <a:ext cx="616883" cy="11519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143708</xdr:colOff>
      <xdr:row>8</xdr:row>
      <xdr:rowOff>289832</xdr:rowOff>
    </xdr:from>
    <xdr:to>
      <xdr:col>56</xdr:col>
      <xdr:colOff>627529</xdr:colOff>
      <xdr:row>12</xdr:row>
      <xdr:rowOff>56030</xdr:rowOff>
    </xdr:to>
    <xdr:sp macro="" textlink="">
      <xdr:nvSpPr>
        <xdr:cNvPr id="49" name="正方形/長方形 48">
          <a:extLst>
            <a:ext uri="{FF2B5EF4-FFF2-40B4-BE49-F238E27FC236}">
              <a16:creationId xmlns:a16="http://schemas.microsoft.com/office/drawing/2014/main" id="{C4080C26-325A-4346-B17B-5DF16790F39C}"/>
            </a:ext>
          </a:extLst>
        </xdr:cNvPr>
        <xdr:cNvSpPr/>
      </xdr:nvSpPr>
      <xdr:spPr>
        <a:xfrm>
          <a:off x="36394737" y="3427479"/>
          <a:ext cx="6635851" cy="9764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516433</xdr:colOff>
      <xdr:row>9</xdr:row>
      <xdr:rowOff>3282</xdr:rowOff>
    </xdr:from>
    <xdr:to>
      <xdr:col>46</xdr:col>
      <xdr:colOff>281749</xdr:colOff>
      <xdr:row>14</xdr:row>
      <xdr:rowOff>97493</xdr:rowOff>
    </xdr:to>
    <xdr:sp macro="" textlink="">
      <xdr:nvSpPr>
        <xdr:cNvPr id="50" name="線吹き出し 1 (枠付き) 73">
          <a:extLst>
            <a:ext uri="{FF2B5EF4-FFF2-40B4-BE49-F238E27FC236}">
              <a16:creationId xmlns:a16="http://schemas.microsoft.com/office/drawing/2014/main" id="{90B44560-B8AB-4D3D-B769-07C175ED1E9D}"/>
            </a:ext>
          </a:extLst>
        </xdr:cNvPr>
        <xdr:cNvSpPr/>
      </xdr:nvSpPr>
      <xdr:spPr>
        <a:xfrm>
          <a:off x="31982551" y="3835694"/>
          <a:ext cx="3866669" cy="945858"/>
        </a:xfrm>
        <a:prstGeom prst="borderCallout1">
          <a:avLst>
            <a:gd name="adj1" fmla="val 41657"/>
            <a:gd name="adj2" fmla="val -173"/>
            <a:gd name="adj3" fmla="val -26516"/>
            <a:gd name="adj4" fmla="val -133385"/>
          </a:avLst>
        </a:prstGeom>
        <a:solidFill>
          <a:srgbClr val="DBEEF4"/>
        </a:solidFill>
        <a:ln>
          <a:solidFill>
            <a:srgbClr val="385D8A"/>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優先度の調停・無音期間の設定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信号変化無視に関しては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としては要求をレベルで通知する。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14</xdr:col>
      <xdr:colOff>0</xdr:colOff>
      <xdr:row>0</xdr:row>
      <xdr:rowOff>0</xdr:rowOff>
    </xdr:from>
    <xdr:to>
      <xdr:col>17</xdr:col>
      <xdr:colOff>2017</xdr:colOff>
      <xdr:row>3</xdr:row>
      <xdr:rowOff>18113</xdr:rowOff>
    </xdr:to>
    <xdr:sp macro="" textlink="">
      <xdr:nvSpPr>
        <xdr:cNvPr id="55" name="正方形/長方形 54">
          <a:extLst>
            <a:ext uri="{FF2B5EF4-FFF2-40B4-BE49-F238E27FC236}">
              <a16:creationId xmlns:a16="http://schemas.microsoft.com/office/drawing/2014/main" id="{139179C7-D341-4FCD-B336-041F2CDDA1F0}"/>
            </a:ext>
          </a:extLst>
        </xdr:cNvPr>
        <xdr:cNvSpPr/>
      </xdr:nvSpPr>
      <xdr:spPr>
        <a:xfrm>
          <a:off x="11867029" y="0"/>
          <a:ext cx="3563471" cy="56720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BEV3</a:t>
          </a:r>
          <a:r>
            <a:rPr kumimoji="1" lang="ja-JP" altLang="en-US" sz="1200" b="1">
              <a:solidFill>
                <a:srgbClr val="FF0000"/>
              </a:solidFill>
              <a:latin typeface="Meiryo UI" panose="020B0604030504040204" pitchFamily="50" charset="-128"/>
              <a:ea typeface="Meiryo UI" panose="020B0604030504040204" pitchFamily="50" charset="-128"/>
            </a:rPr>
            <a:t>シス剣</a:t>
          </a:r>
          <a:r>
            <a:rPr kumimoji="1" lang="en-US" altLang="ja-JP" sz="1200" b="1">
              <a:solidFill>
                <a:srgbClr val="FF0000"/>
              </a:solidFill>
              <a:latin typeface="Meiryo UI" panose="020B0604030504040204" pitchFamily="50" charset="-128"/>
              <a:ea typeface="Meiryo UI" panose="020B0604030504040204" pitchFamily="50" charset="-128"/>
            </a:rPr>
            <a:t>ADAS</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twoCellAnchor>
    <xdr:from>
      <xdr:col>49</xdr:col>
      <xdr:colOff>254693</xdr:colOff>
      <xdr:row>7</xdr:row>
      <xdr:rowOff>33761</xdr:rowOff>
    </xdr:from>
    <xdr:to>
      <xdr:col>52</xdr:col>
      <xdr:colOff>402771</xdr:colOff>
      <xdr:row>7</xdr:row>
      <xdr:rowOff>1524001</xdr:rowOff>
    </xdr:to>
    <xdr:cxnSp macro="">
      <xdr:nvCxnSpPr>
        <xdr:cNvPr id="56" name="直線コネクタ 55">
          <a:extLst>
            <a:ext uri="{FF2B5EF4-FFF2-40B4-BE49-F238E27FC236}">
              <a16:creationId xmlns:a16="http://schemas.microsoft.com/office/drawing/2014/main" id="{D0EA830E-6970-4275-96B5-9C06EF307937}"/>
            </a:ext>
          </a:extLst>
        </xdr:cNvPr>
        <xdr:cNvCxnSpPr>
          <a:stCxn id="31" idx="0"/>
        </xdr:cNvCxnSpPr>
      </xdr:nvCxnSpPr>
      <xdr:spPr>
        <a:xfrm>
          <a:off x="37872840" y="1434496"/>
          <a:ext cx="2198755" cy="149024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334895</xdr:colOff>
      <xdr:row>8</xdr:row>
      <xdr:rowOff>156882</xdr:rowOff>
    </xdr:from>
    <xdr:to>
      <xdr:col>33</xdr:col>
      <xdr:colOff>403412</xdr:colOff>
      <xdr:row>12</xdr:row>
      <xdr:rowOff>141514</xdr:rowOff>
    </xdr:to>
    <xdr:sp macro="" textlink="">
      <xdr:nvSpPr>
        <xdr:cNvPr id="57" name="正方形/長方形 56">
          <a:extLst>
            <a:ext uri="{FF2B5EF4-FFF2-40B4-BE49-F238E27FC236}">
              <a16:creationId xmlns:a16="http://schemas.microsoft.com/office/drawing/2014/main" id="{DA7C6B85-3C21-45C2-AE35-AEE6A85B61E9}"/>
            </a:ext>
          </a:extLst>
        </xdr:cNvPr>
        <xdr:cNvSpPr/>
      </xdr:nvSpPr>
      <xdr:spPr>
        <a:xfrm>
          <a:off x="25648983" y="3294529"/>
          <a:ext cx="1435635" cy="11948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254693</xdr:colOff>
      <xdr:row>8</xdr:row>
      <xdr:rowOff>740229</xdr:rowOff>
    </xdr:from>
    <xdr:to>
      <xdr:col>47</xdr:col>
      <xdr:colOff>130629</xdr:colOff>
      <xdr:row>12</xdr:row>
      <xdr:rowOff>41124</xdr:rowOff>
    </xdr:to>
    <xdr:cxnSp macro="">
      <xdr:nvCxnSpPr>
        <xdr:cNvPr id="58" name="直線コネクタ 57">
          <a:extLst>
            <a:ext uri="{FF2B5EF4-FFF2-40B4-BE49-F238E27FC236}">
              <a16:creationId xmlns:a16="http://schemas.microsoft.com/office/drawing/2014/main" id="{84E3451F-C8C0-4410-AD81-87DCA619687E}"/>
            </a:ext>
          </a:extLst>
        </xdr:cNvPr>
        <xdr:cNvCxnSpPr/>
      </xdr:nvCxnSpPr>
      <xdr:spPr>
        <a:xfrm flipV="1">
          <a:off x="35878193" y="3883479"/>
          <a:ext cx="561736" cy="1205895"/>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47</xdr:col>
      <xdr:colOff>145678</xdr:colOff>
      <xdr:row>8</xdr:row>
      <xdr:rowOff>324971</xdr:rowOff>
    </xdr:from>
    <xdr:to>
      <xdr:col>66</xdr:col>
      <xdr:colOff>317576</xdr:colOff>
      <xdr:row>12</xdr:row>
      <xdr:rowOff>22834</xdr:rowOff>
    </xdr:to>
    <xdr:pic>
      <xdr:nvPicPr>
        <xdr:cNvPr id="62" name="図 61">
          <a:extLst>
            <a:ext uri="{FF2B5EF4-FFF2-40B4-BE49-F238E27FC236}">
              <a16:creationId xmlns:a16="http://schemas.microsoft.com/office/drawing/2014/main" id="{D65D8A72-46F4-5D9F-BC64-C27C388985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396707" y="3462618"/>
          <a:ext cx="13155706" cy="908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035cfs120\MeterSoft\&#38283;&#30330;&#29992;\Toyota\&#37096;&#21697;&#38283;&#30330;\&#37096;&#21697;&#21270;&#38283;&#30330;\&#12467;&#12531;&#12509;&#12540;&#12493;&#12531;&#12488;\Vardef\04&#35413;&#20385;\01&#12467;&#12540;&#12489;&#12481;&#12455;&#12483;&#12463;\03&#12501;&#12449;&#12452;&#12523;&#12467;&#12531;&#12506;&#12450;\900B\900B_CV-R_Vardef_D00t05_vs_E00t02.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
      <sheetName val="集計表"/>
      <sheetName val="FileList"/>
      <sheetName val="000_vardef_dest_cfg.c"/>
      <sheetName val="001_vardef_dest_dbf.h"/>
      <sheetName val="DiffSheet"/>
    </sheetNames>
    <sheetDataSet>
      <sheetData sheetId="0"/>
      <sheetData sheetId="1"/>
      <sheetData sheetId="2">
        <row r="7">
          <cell r="F7">
            <v>1</v>
          </cell>
        </row>
        <row r="8">
          <cell r="F8" t="str">
            <v>－</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 val="設定値定義"/>
      <sheetName val="リスト"/>
      <sheetName val="XSSマイコン依存部 (基本設定)"/>
      <sheetName val="エンジン型式"/>
      <sheetName val="リストデータ"/>
      <sheetName val="検査シート"/>
      <sheetName val="表紙"/>
      <sheetName val="ドメイン"/>
      <sheetName val="字段定义"/>
      <sheetName val="1.概述"/>
      <sheetName val="发行控制"/>
      <sheetName val="Sheet2"/>
      <sheetName val="入力規則リスト他"/>
      <sheetName val="Inf"/>
      <sheetName val="OpenIssueList"/>
      <sheetName val="ドメイン一覧"/>
      <sheetName val="option"/>
      <sheetName val="STEP1-Definition"/>
      <sheetName val="信息定义"/>
      <sheetName val="入力リスト"/>
      <sheetName val="分类数据"/>
      <sheetName val="RAM_FMEA_CS（FMEA記載方法）"/>
      <sheetName val="メニュー画面"/>
      <sheetName val="locaup_app"/>
      <sheetName val="音色(SoundID)カスタマイズ"/>
      <sheetName val="mapReg(4)"/>
      <sheetName val="パラメータ設定表"/>
      <sheetName val="用語集"/>
      <sheetName val="議事・勧告一覧"/>
      <sheetName val="Q&amp;A確認"/>
      <sheetName val="集計"/>
    </sheetNames>
    <sheetDataSet>
      <sheetData sheetId="0">
        <row r="2">
          <cell r="C2" t="str">
            <v>日本語</v>
          </cell>
        </row>
      </sheetData>
      <sheetData sheetId="1">
        <row r="2">
          <cell r="C2" t="str">
            <v>日本語</v>
          </cell>
          <cell r="G2">
            <v>8</v>
          </cell>
          <cell r="H2">
            <v>1</v>
          </cell>
        </row>
        <row r="3">
          <cell r="C3" t="str">
            <v>英語</v>
          </cell>
          <cell r="G3">
            <v>9</v>
          </cell>
          <cell r="H3">
            <v>2</v>
          </cell>
        </row>
        <row r="4">
          <cell r="C4" t="str">
            <v>米語</v>
          </cell>
          <cell r="G4">
            <v>10</v>
          </cell>
          <cell r="H4">
            <v>3</v>
          </cell>
        </row>
        <row r="5">
          <cell r="C5" t="str">
            <v>フランス語</v>
          </cell>
          <cell r="G5">
            <v>11</v>
          </cell>
          <cell r="H5">
            <v>4</v>
          </cell>
        </row>
        <row r="6">
          <cell r="C6" t="str">
            <v>ドイツ語</v>
          </cell>
          <cell r="G6">
            <v>12</v>
          </cell>
          <cell r="H6">
            <v>5</v>
          </cell>
        </row>
        <row r="7">
          <cell r="C7" t="str">
            <v>イタリア語</v>
          </cell>
          <cell r="G7">
            <v>13</v>
          </cell>
          <cell r="H7">
            <v>6</v>
          </cell>
        </row>
        <row r="8">
          <cell r="C8" t="str">
            <v>オランダ語</v>
          </cell>
          <cell r="G8">
            <v>14</v>
          </cell>
          <cell r="H8">
            <v>7</v>
          </cell>
        </row>
        <row r="9">
          <cell r="C9" t="str">
            <v>スペイン語</v>
          </cell>
          <cell r="G9">
            <v>15</v>
          </cell>
          <cell r="H9">
            <v>8</v>
          </cell>
        </row>
        <row r="10">
          <cell r="C10" t="str">
            <v>スウェーデン語</v>
          </cell>
          <cell r="G10">
            <v>16</v>
          </cell>
          <cell r="H10">
            <v>9</v>
          </cell>
        </row>
        <row r="11">
          <cell r="C11" t="str">
            <v>デンマーク語</v>
          </cell>
          <cell r="G11">
            <v>17</v>
          </cell>
        </row>
        <row r="12">
          <cell r="C12" t="str">
            <v>ノルウェー語</v>
          </cell>
          <cell r="G12">
            <v>18</v>
          </cell>
        </row>
        <row r="13">
          <cell r="C13" t="str">
            <v>ポルトガル語</v>
          </cell>
          <cell r="G13">
            <v>19</v>
          </cell>
        </row>
        <row r="14">
          <cell r="C14" t="str">
            <v>ロシア語</v>
          </cell>
          <cell r="G14">
            <v>20</v>
          </cell>
        </row>
        <row r="15">
          <cell r="C15" t="str">
            <v>ギリシャ語</v>
          </cell>
          <cell r="G15">
            <v>21</v>
          </cell>
        </row>
        <row r="16">
          <cell r="C16" t="str">
            <v>ポーランド語</v>
          </cell>
          <cell r="G16">
            <v>22</v>
          </cell>
        </row>
        <row r="17">
          <cell r="C17" t="str">
            <v>フィンランド語</v>
          </cell>
          <cell r="G17">
            <v>23</v>
          </cell>
        </row>
        <row r="18">
          <cell r="C18" t="str">
            <v>中国語(簡体)</v>
          </cell>
        </row>
        <row r="19">
          <cell r="C19" t="str">
            <v>中国語(繁体)</v>
          </cell>
        </row>
        <row r="20">
          <cell r="C20" t="str">
            <v>韓国語</v>
          </cell>
        </row>
        <row r="21">
          <cell r="C21" t="str">
            <v>ウクライナ語</v>
          </cell>
        </row>
        <row r="22">
          <cell r="C22" t="str">
            <v>トルコ語</v>
          </cell>
        </row>
        <row r="23">
          <cell r="C23" t="str">
            <v>ハンガリー語</v>
          </cell>
        </row>
        <row r="24">
          <cell r="C24" t="str">
            <v>チェコ語</v>
          </cell>
        </row>
        <row r="25">
          <cell r="C25" t="str">
            <v>スロバキア語</v>
          </cell>
        </row>
        <row r="26">
          <cell r="C26" t="str">
            <v>ルーマニア語</v>
          </cell>
        </row>
        <row r="27">
          <cell r="C27" t="str">
            <v>アラビア語</v>
          </cell>
        </row>
        <row r="28">
          <cell r="C28" t="str">
            <v>タイ語</v>
          </cell>
        </row>
        <row r="29">
          <cell r="C29" t="str">
            <v>ブラジルポルトガル語</v>
          </cell>
        </row>
        <row r="30">
          <cell r="C30" t="str">
            <v>スペイン語(南米)</v>
          </cell>
        </row>
        <row r="31">
          <cell r="C31" t="str">
            <v>英語(中近東)</v>
          </cell>
        </row>
        <row r="32">
          <cell r="C32" t="str">
            <v>市販英語</v>
          </cell>
        </row>
        <row r="33">
          <cell r="C33" t="str">
            <v>北米フランス語</v>
          </cell>
        </row>
        <row r="34">
          <cell r="C34" t="str">
            <v>北米スペイン語</v>
          </cell>
        </row>
        <row r="35">
          <cell r="C35" t="str">
            <v>マレー語</v>
          </cell>
        </row>
        <row r="36">
          <cell r="C36" t="str">
            <v>インドネシア語</v>
          </cell>
        </row>
        <row r="37">
          <cell r="C37" t="str">
            <v>バスク語</v>
          </cell>
        </row>
        <row r="38">
          <cell r="C38" t="str">
            <v>ブルガリア語</v>
          </cell>
        </row>
        <row r="39">
          <cell r="C39" t="str">
            <v>フラマン語</v>
          </cell>
        </row>
        <row r="40">
          <cell r="C40" t="str">
            <v>英語(豪)</v>
          </cell>
        </row>
        <row r="41">
          <cell r="C41" t="str">
            <v>台湾国語</v>
          </cell>
        </row>
        <row r="42">
          <cell r="C42" t="str">
            <v>英語(インド)</v>
          </cell>
        </row>
        <row r="43">
          <cell r="C43" t="str">
            <v>ヒンドゥー語</v>
          </cell>
        </row>
        <row r="44">
          <cell r="C44" t="str">
            <v>ベトナム語</v>
          </cell>
        </row>
        <row r="45">
          <cell r="C45" t="str">
            <v>フィリピン語</v>
          </cell>
        </row>
        <row r="46">
          <cell r="C46" t="str">
            <v>タミル語</v>
          </cell>
        </row>
        <row r="47">
          <cell r="C47" t="str">
            <v>ペルシャ語</v>
          </cell>
        </row>
        <row r="48">
          <cell r="C48" t="str">
            <v>ヘブライ語</v>
          </cell>
        </row>
        <row r="49">
          <cell r="C49" t="str">
            <v>イスラエル語</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6304-58FE-49DB-8E08-8BC6C1C023CE}">
  <dimension ref="A1:AN49"/>
  <sheetViews>
    <sheetView tabSelected="1" view="pageBreakPreview" topLeftCell="A17" zoomScaleNormal="100" zoomScaleSheetLayoutView="100" workbookViewId="0">
      <selection activeCell="AR48" sqref="AR48"/>
    </sheetView>
  </sheetViews>
  <sheetFormatPr defaultColWidth="9" defaultRowHeight="15"/>
  <cols>
    <col min="1" max="40" width="2.33203125" style="227" customWidth="1"/>
    <col min="41" max="16384" width="9" style="227"/>
  </cols>
  <sheetData>
    <row r="1" spans="1:40" ht="13.5" customHeight="1">
      <c r="A1" s="224"/>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6"/>
    </row>
    <row r="2" spans="1:40" ht="13.5" customHeight="1">
      <c r="A2" s="228"/>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30"/>
    </row>
    <row r="3" spans="1:40" ht="13.5" customHeight="1">
      <c r="A3" s="228"/>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30"/>
    </row>
    <row r="4" spans="1:40" ht="13.5" customHeight="1">
      <c r="A4" s="228"/>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30"/>
    </row>
    <row r="5" spans="1:40" ht="13.5" customHeight="1">
      <c r="A5" s="228"/>
      <c r="B5" s="229"/>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30"/>
    </row>
    <row r="6" spans="1:40" ht="13.5" customHeight="1">
      <c r="A6" s="228"/>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30"/>
    </row>
    <row r="7" spans="1:40" ht="13.5" customHeight="1">
      <c r="A7" s="228"/>
      <c r="B7" s="229"/>
      <c r="C7" s="229"/>
      <c r="D7" s="229"/>
      <c r="E7" s="229"/>
      <c r="F7" s="229"/>
      <c r="G7" s="229"/>
      <c r="H7" s="229"/>
      <c r="I7" s="229"/>
      <c r="J7" s="229"/>
      <c r="K7" s="229"/>
      <c r="L7" s="229"/>
      <c r="M7" s="229"/>
      <c r="N7" s="229"/>
      <c r="O7" s="229"/>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30"/>
    </row>
    <row r="8" spans="1:40" ht="13.5" customHeight="1">
      <c r="A8" s="228"/>
      <c r="B8" s="229"/>
      <c r="C8" s="229"/>
      <c r="D8" s="229"/>
      <c r="E8" s="229"/>
      <c r="F8" s="229"/>
      <c r="G8" s="229"/>
      <c r="H8" s="229"/>
      <c r="I8" s="229"/>
      <c r="J8" s="229"/>
      <c r="K8" s="229"/>
      <c r="L8" s="229"/>
      <c r="M8" s="229"/>
      <c r="N8" s="229"/>
      <c r="O8" s="229"/>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30"/>
    </row>
    <row r="9" spans="1:40" ht="28.5" customHeight="1">
      <c r="A9" s="272" t="str">
        <f ca="1">MID(CELL("filename",A1), FIND("[",CELL("filename",A1))+1, FIND("]",CELL("filename",A1))-FIND("[",CELL("filename",A1))-6)</f>
        <v>alert_S_ADBZR_APP-CSTD-0-06-A-C0</v>
      </c>
      <c r="B9" s="273"/>
      <c r="C9" s="273"/>
      <c r="D9" s="273"/>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c r="AN9" s="274"/>
    </row>
    <row r="10" spans="1:40" ht="28.5" customHeight="1">
      <c r="A10" s="275"/>
      <c r="B10" s="276"/>
      <c r="C10" s="276"/>
      <c r="D10" s="276"/>
      <c r="E10" s="276"/>
      <c r="F10" s="276"/>
      <c r="G10" s="276"/>
      <c r="H10" s="276"/>
      <c r="I10" s="276"/>
      <c r="J10" s="276"/>
      <c r="K10" s="276"/>
      <c r="L10" s="276"/>
      <c r="M10" s="276"/>
      <c r="N10" s="276"/>
      <c r="O10" s="276"/>
      <c r="P10" s="276"/>
      <c r="Q10" s="276"/>
      <c r="R10" s="276"/>
      <c r="S10" s="276"/>
      <c r="T10" s="276"/>
      <c r="U10" s="276"/>
      <c r="V10" s="276"/>
      <c r="W10" s="276"/>
      <c r="X10" s="276"/>
      <c r="Y10" s="276"/>
      <c r="Z10" s="276"/>
      <c r="AA10" s="276"/>
      <c r="AB10" s="276"/>
      <c r="AC10" s="276"/>
      <c r="AD10" s="276"/>
      <c r="AE10" s="276"/>
      <c r="AF10" s="276"/>
      <c r="AG10" s="276"/>
      <c r="AH10" s="276"/>
      <c r="AI10" s="276"/>
      <c r="AJ10" s="276"/>
      <c r="AK10" s="276"/>
      <c r="AL10" s="276"/>
      <c r="AM10" s="276"/>
      <c r="AN10" s="277"/>
    </row>
    <row r="11" spans="1:40" ht="13.5" customHeight="1">
      <c r="A11" s="228"/>
      <c r="B11" s="229"/>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29"/>
      <c r="AA11" s="229"/>
      <c r="AB11" s="229"/>
      <c r="AC11" s="229"/>
      <c r="AD11" s="229"/>
      <c r="AE11" s="229"/>
      <c r="AF11" s="229"/>
      <c r="AG11" s="229"/>
      <c r="AH11" s="229"/>
      <c r="AI11" s="229"/>
      <c r="AJ11" s="229"/>
      <c r="AK11" s="229"/>
      <c r="AL11" s="229"/>
      <c r="AM11" s="229"/>
      <c r="AN11" s="230"/>
    </row>
    <row r="12" spans="1:40" ht="13.5" customHeight="1">
      <c r="A12" s="228"/>
      <c r="B12" s="229"/>
      <c r="C12" s="229"/>
      <c r="D12" s="229"/>
      <c r="E12" s="229"/>
      <c r="F12" s="229"/>
      <c r="G12" s="229"/>
      <c r="H12" s="229"/>
      <c r="I12" s="229"/>
      <c r="J12" s="229"/>
      <c r="K12" s="229"/>
      <c r="L12" s="229"/>
      <c r="M12" s="229"/>
      <c r="N12" s="229"/>
      <c r="O12" s="229"/>
      <c r="P12" s="229"/>
      <c r="Q12" s="229"/>
      <c r="R12" s="229"/>
      <c r="S12" s="229"/>
      <c r="T12" s="229"/>
      <c r="U12" s="229"/>
      <c r="V12" s="229"/>
      <c r="W12" s="229"/>
      <c r="X12" s="229"/>
      <c r="Y12" s="229"/>
      <c r="Z12" s="229"/>
      <c r="AA12" s="229"/>
      <c r="AB12" s="229"/>
      <c r="AC12" s="229"/>
      <c r="AD12" s="229"/>
      <c r="AE12" s="229"/>
      <c r="AF12" s="229"/>
      <c r="AG12" s="229"/>
      <c r="AH12" s="229"/>
      <c r="AI12" s="229"/>
      <c r="AJ12" s="229"/>
      <c r="AK12" s="229"/>
      <c r="AL12" s="229"/>
      <c r="AM12" s="229"/>
      <c r="AN12" s="230"/>
    </row>
    <row r="13" spans="1:40" ht="13.5" customHeight="1">
      <c r="A13" s="228"/>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c r="AA13" s="229"/>
      <c r="AB13" s="229"/>
      <c r="AC13" s="229"/>
      <c r="AD13" s="229"/>
      <c r="AE13" s="229"/>
      <c r="AF13" s="229"/>
      <c r="AG13" s="229"/>
      <c r="AH13" s="229"/>
      <c r="AI13" s="229"/>
      <c r="AJ13" s="229"/>
      <c r="AK13" s="229"/>
      <c r="AL13" s="229"/>
      <c r="AM13" s="229"/>
      <c r="AN13" s="230"/>
    </row>
    <row r="14" spans="1:40" ht="13.5" customHeight="1">
      <c r="A14" s="228"/>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c r="AA14" s="229"/>
      <c r="AB14" s="229"/>
      <c r="AC14" s="229"/>
      <c r="AD14" s="229"/>
      <c r="AE14" s="229"/>
      <c r="AF14" s="229"/>
      <c r="AG14" s="229"/>
      <c r="AH14" s="229"/>
      <c r="AI14" s="229"/>
      <c r="AJ14" s="229"/>
      <c r="AK14" s="229"/>
      <c r="AL14" s="229"/>
      <c r="AM14" s="229"/>
      <c r="AN14" s="230"/>
    </row>
    <row r="15" spans="1:40" ht="13.5" customHeight="1">
      <c r="A15" s="228"/>
      <c r="B15" s="229"/>
      <c r="C15" s="229"/>
      <c r="D15" s="229"/>
      <c r="E15" s="229"/>
      <c r="F15" s="229"/>
      <c r="G15" s="229"/>
      <c r="H15" s="229"/>
      <c r="I15" s="229"/>
      <c r="J15" s="229"/>
      <c r="K15" s="229"/>
      <c r="L15" s="229"/>
      <c r="M15" s="229"/>
      <c r="N15" s="229"/>
      <c r="O15" s="229"/>
      <c r="P15" s="229"/>
      <c r="Q15" s="229"/>
      <c r="R15" s="229"/>
      <c r="S15" s="229"/>
      <c r="T15" s="229"/>
      <c r="U15" s="229"/>
      <c r="V15" s="229"/>
      <c r="W15" s="229"/>
      <c r="X15" s="229"/>
      <c r="Y15" s="229"/>
      <c r="Z15" s="229"/>
      <c r="AA15" s="229"/>
      <c r="AB15" s="229"/>
      <c r="AC15" s="229"/>
      <c r="AD15" s="229"/>
      <c r="AE15" s="229"/>
      <c r="AF15" s="229"/>
      <c r="AG15" s="229"/>
      <c r="AH15" s="229"/>
      <c r="AI15" s="229"/>
      <c r="AJ15" s="229"/>
      <c r="AK15" s="229"/>
      <c r="AL15" s="229"/>
      <c r="AM15" s="229"/>
      <c r="AN15" s="230"/>
    </row>
    <row r="16" spans="1:40" ht="13.5" customHeight="1">
      <c r="A16" s="228"/>
      <c r="B16" s="229"/>
      <c r="C16" s="229"/>
      <c r="D16" s="229"/>
      <c r="E16" s="229"/>
      <c r="F16" s="229"/>
      <c r="G16" s="229"/>
      <c r="H16" s="229"/>
      <c r="I16" s="229"/>
      <c r="J16" s="229"/>
      <c r="K16" s="229"/>
      <c r="L16" s="229"/>
      <c r="M16" s="229"/>
      <c r="N16" s="229"/>
      <c r="O16" s="229"/>
      <c r="P16" s="229"/>
      <c r="Q16" s="229"/>
      <c r="R16" s="229"/>
      <c r="S16" s="229"/>
      <c r="T16" s="229"/>
      <c r="U16" s="229"/>
      <c r="V16" s="229"/>
      <c r="W16" s="229"/>
      <c r="X16" s="229"/>
      <c r="Y16" s="229"/>
      <c r="Z16" s="229"/>
      <c r="AA16" s="229"/>
      <c r="AB16" s="229"/>
      <c r="AC16" s="229"/>
      <c r="AD16" s="229"/>
      <c r="AE16" s="229"/>
      <c r="AF16" s="229"/>
      <c r="AG16" s="229"/>
      <c r="AH16" s="229"/>
      <c r="AI16" s="229"/>
      <c r="AJ16" s="229"/>
      <c r="AK16" s="229"/>
      <c r="AL16" s="229"/>
      <c r="AM16" s="229"/>
      <c r="AN16" s="230"/>
    </row>
    <row r="17" spans="1:40" ht="13.5" customHeight="1">
      <c r="A17" s="228"/>
      <c r="B17" s="229"/>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29"/>
      <c r="AE17" s="229"/>
      <c r="AF17" s="229"/>
      <c r="AG17" s="229"/>
      <c r="AH17" s="229"/>
      <c r="AI17" s="229"/>
      <c r="AJ17" s="229"/>
      <c r="AK17" s="229"/>
      <c r="AL17" s="229"/>
      <c r="AM17" s="229"/>
      <c r="AN17" s="230"/>
    </row>
    <row r="18" spans="1:40" ht="13.5" customHeight="1">
      <c r="A18" s="228"/>
      <c r="B18" s="229"/>
      <c r="C18" s="229"/>
      <c r="D18" s="229"/>
      <c r="E18" s="229"/>
      <c r="F18" s="229"/>
      <c r="G18" s="229"/>
      <c r="H18" s="229"/>
      <c r="I18" s="229"/>
      <c r="J18" s="229"/>
      <c r="K18" s="229"/>
      <c r="L18" s="229"/>
      <c r="M18" s="229"/>
      <c r="N18" s="229"/>
      <c r="O18" s="229"/>
      <c r="P18" s="229"/>
      <c r="Q18" s="229"/>
      <c r="R18" s="229"/>
      <c r="S18" s="229"/>
      <c r="T18" s="229"/>
      <c r="U18" s="229"/>
      <c r="V18" s="229"/>
      <c r="W18" s="229"/>
      <c r="X18" s="229"/>
      <c r="Y18" s="229"/>
      <c r="Z18" s="229"/>
      <c r="AA18" s="229"/>
      <c r="AB18" s="229"/>
      <c r="AC18" s="229"/>
      <c r="AD18" s="229"/>
      <c r="AE18" s="229"/>
      <c r="AF18" s="229"/>
      <c r="AG18" s="229"/>
      <c r="AH18" s="229"/>
      <c r="AI18" s="229"/>
      <c r="AJ18" s="229"/>
      <c r="AK18" s="229"/>
      <c r="AL18" s="229"/>
      <c r="AM18" s="229"/>
      <c r="AN18" s="230"/>
    </row>
    <row r="19" spans="1:40" ht="13.5" customHeight="1">
      <c r="A19" s="228"/>
      <c r="B19" s="229"/>
      <c r="C19" s="229"/>
      <c r="D19" s="229"/>
      <c r="E19" s="229"/>
      <c r="F19" s="229"/>
      <c r="G19" s="229"/>
      <c r="H19" s="229"/>
      <c r="I19" s="229"/>
      <c r="J19" s="229"/>
      <c r="K19" s="229"/>
      <c r="L19" s="229"/>
      <c r="M19" s="229"/>
      <c r="N19" s="229"/>
      <c r="O19" s="229"/>
      <c r="P19" s="229"/>
      <c r="Q19" s="229"/>
      <c r="R19" s="229"/>
      <c r="S19" s="229"/>
      <c r="T19" s="229"/>
      <c r="U19" s="229"/>
      <c r="V19" s="229"/>
      <c r="W19" s="229"/>
      <c r="X19" s="229"/>
      <c r="Y19" s="229"/>
      <c r="Z19" s="229"/>
      <c r="AA19" s="229"/>
      <c r="AB19" s="229"/>
      <c r="AC19" s="229"/>
      <c r="AD19" s="229"/>
      <c r="AE19" s="229"/>
      <c r="AF19" s="229"/>
      <c r="AG19" s="229"/>
      <c r="AH19" s="229"/>
      <c r="AI19" s="229"/>
      <c r="AJ19" s="229"/>
      <c r="AK19" s="229"/>
      <c r="AL19" s="229"/>
      <c r="AM19" s="229"/>
      <c r="AN19" s="230"/>
    </row>
    <row r="20" spans="1:40" ht="13.5" customHeight="1">
      <c r="A20" s="228"/>
      <c r="B20" s="229"/>
      <c r="C20" s="229"/>
      <c r="D20" s="229"/>
      <c r="E20" s="229"/>
      <c r="F20" s="229"/>
      <c r="G20" s="229"/>
      <c r="H20" s="229"/>
      <c r="I20" s="229"/>
      <c r="J20" s="229"/>
      <c r="K20" s="229"/>
      <c r="L20" s="229"/>
      <c r="M20" s="229"/>
      <c r="N20" s="229"/>
      <c r="O20" s="229"/>
      <c r="P20" s="229"/>
      <c r="Q20" s="229"/>
      <c r="R20" s="229"/>
      <c r="S20" s="229"/>
      <c r="T20" s="229"/>
      <c r="U20" s="229"/>
      <c r="V20" s="229"/>
      <c r="W20" s="229"/>
      <c r="X20" s="229"/>
      <c r="Y20" s="229"/>
      <c r="Z20" s="229"/>
      <c r="AA20" s="229"/>
      <c r="AB20" s="229"/>
      <c r="AC20" s="229"/>
      <c r="AD20" s="229"/>
      <c r="AE20" s="229"/>
      <c r="AF20" s="229"/>
      <c r="AG20" s="229"/>
      <c r="AH20" s="229"/>
      <c r="AI20" s="229"/>
      <c r="AJ20" s="229"/>
      <c r="AK20" s="229"/>
      <c r="AL20" s="229"/>
      <c r="AM20" s="229"/>
      <c r="AN20" s="230"/>
    </row>
    <row r="21" spans="1:40" ht="13.5" customHeight="1">
      <c r="A21" s="228"/>
      <c r="B21" s="229"/>
      <c r="C21" s="229"/>
      <c r="D21" s="229"/>
      <c r="E21" s="229"/>
      <c r="F21" s="229"/>
      <c r="G21" s="229"/>
      <c r="H21" s="229"/>
      <c r="I21" s="229"/>
      <c r="J21" s="229"/>
      <c r="K21" s="229"/>
      <c r="L21" s="229"/>
      <c r="M21" s="229"/>
      <c r="N21" s="229"/>
      <c r="O21" s="229"/>
      <c r="P21" s="229"/>
      <c r="Q21" s="229"/>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30"/>
    </row>
    <row r="22" spans="1:40" ht="13.5" customHeight="1">
      <c r="A22" s="228"/>
      <c r="B22" s="229"/>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30"/>
    </row>
    <row r="23" spans="1:40" ht="13.5" customHeight="1">
      <c r="A23" s="228"/>
      <c r="B23" s="229"/>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30"/>
    </row>
    <row r="24" spans="1:40" ht="13.5" customHeight="1">
      <c r="A24" s="228"/>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30"/>
    </row>
    <row r="25" spans="1:40" ht="13.5" customHeight="1">
      <c r="A25" s="228"/>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30"/>
    </row>
    <row r="26" spans="1:40" ht="13.5" customHeight="1">
      <c r="A26" s="228"/>
      <c r="B26" s="229"/>
      <c r="C26" s="229"/>
      <c r="D26" s="229"/>
      <c r="E26" s="229"/>
      <c r="F26" s="229"/>
      <c r="G26" s="229"/>
      <c r="H26" s="229"/>
      <c r="I26" s="229"/>
      <c r="J26" s="229"/>
      <c r="K26" s="229"/>
      <c r="L26" s="229"/>
      <c r="M26" s="229"/>
      <c r="N26" s="229"/>
      <c r="O26" s="229"/>
      <c r="P26" s="229"/>
      <c r="Q26" s="229"/>
      <c r="R26" s="229"/>
      <c r="S26" s="229"/>
      <c r="T26" s="229"/>
      <c r="U26" s="229"/>
      <c r="V26" s="229"/>
      <c r="W26" s="229"/>
      <c r="X26" s="229"/>
      <c r="Y26" s="265" t="s">
        <v>284</v>
      </c>
      <c r="Z26" s="229"/>
      <c r="AA26" s="229"/>
      <c r="AB26" s="229"/>
      <c r="AC26" s="229"/>
      <c r="AD26" s="229"/>
      <c r="AE26" s="229"/>
      <c r="AF26" s="229"/>
      <c r="AG26" s="229"/>
      <c r="AH26" s="229"/>
      <c r="AI26" s="229"/>
      <c r="AJ26" s="229"/>
      <c r="AK26" s="229"/>
      <c r="AL26" s="229"/>
      <c r="AM26" s="229"/>
      <c r="AN26" s="230"/>
    </row>
    <row r="27" spans="1:40" ht="13.5" customHeight="1">
      <c r="A27" s="228"/>
      <c r="B27" s="229"/>
      <c r="C27" s="229"/>
      <c r="D27" s="229"/>
      <c r="E27" s="229"/>
      <c r="F27" s="229"/>
      <c r="G27" s="229"/>
      <c r="H27" s="229"/>
      <c r="I27" s="229"/>
      <c r="J27" s="229"/>
      <c r="K27" s="229"/>
      <c r="L27" s="229"/>
      <c r="M27" s="229"/>
      <c r="N27" s="229"/>
      <c r="O27" s="229"/>
      <c r="P27" s="229"/>
      <c r="Q27" s="229"/>
      <c r="R27" s="229"/>
      <c r="S27" s="229"/>
      <c r="T27" s="229"/>
      <c r="U27" s="229"/>
      <c r="V27" s="229"/>
      <c r="W27" s="229"/>
      <c r="X27" s="229"/>
      <c r="Y27" s="269" t="s">
        <v>260</v>
      </c>
      <c r="Z27" s="270"/>
      <c r="AA27" s="270"/>
      <c r="AB27" s="270"/>
      <c r="AC27" s="271"/>
      <c r="AD27" s="269" t="s">
        <v>261</v>
      </c>
      <c r="AE27" s="270"/>
      <c r="AF27" s="270"/>
      <c r="AG27" s="270"/>
      <c r="AH27" s="271"/>
      <c r="AI27" s="278" t="s">
        <v>262</v>
      </c>
      <c r="AJ27" s="270"/>
      <c r="AK27" s="270"/>
      <c r="AL27" s="270"/>
      <c r="AM27" s="271"/>
      <c r="AN27" s="230"/>
    </row>
    <row r="28" spans="1:40" ht="13.5" customHeight="1">
      <c r="A28" s="228"/>
      <c r="B28" s="229"/>
      <c r="C28" s="229"/>
      <c r="D28" s="229"/>
      <c r="E28" s="229"/>
      <c r="F28" s="229"/>
      <c r="G28" s="229"/>
      <c r="H28" s="229"/>
      <c r="I28" s="229"/>
      <c r="J28" s="229"/>
      <c r="K28" s="229"/>
      <c r="L28" s="229"/>
      <c r="M28" s="229"/>
      <c r="N28" s="229"/>
      <c r="O28" s="229"/>
      <c r="P28" s="229"/>
      <c r="Q28" s="229"/>
      <c r="R28" s="229"/>
      <c r="S28" s="229"/>
      <c r="T28" s="229"/>
      <c r="U28" s="229"/>
      <c r="V28" s="229"/>
      <c r="W28" s="229"/>
      <c r="X28" s="229"/>
      <c r="Y28" s="224"/>
      <c r="Z28" s="225"/>
      <c r="AA28" s="225"/>
      <c r="AB28" s="225"/>
      <c r="AC28" s="226"/>
      <c r="AD28" s="231"/>
      <c r="AE28" s="225"/>
      <c r="AF28" s="225"/>
      <c r="AG28" s="225"/>
      <c r="AH28" s="226"/>
      <c r="AI28" s="231"/>
      <c r="AJ28" s="225"/>
      <c r="AK28" s="225"/>
      <c r="AL28" s="225"/>
      <c r="AM28" s="226"/>
      <c r="AN28" s="230"/>
    </row>
    <row r="29" spans="1:40" ht="13.5" customHeight="1">
      <c r="A29" s="228"/>
      <c r="B29" s="229"/>
      <c r="C29" s="229"/>
      <c r="D29" s="229"/>
      <c r="E29" s="229"/>
      <c r="F29" s="229"/>
      <c r="G29" s="229"/>
      <c r="H29" s="229"/>
      <c r="I29" s="229"/>
      <c r="J29" s="229"/>
      <c r="K29" s="229"/>
      <c r="L29" s="229"/>
      <c r="M29" s="229"/>
      <c r="N29" s="229"/>
      <c r="O29" s="229"/>
      <c r="P29" s="229"/>
      <c r="Q29" s="229"/>
      <c r="R29" s="229"/>
      <c r="S29" s="229"/>
      <c r="T29" s="229"/>
      <c r="U29" s="229"/>
      <c r="V29" s="229"/>
      <c r="W29" s="229"/>
      <c r="X29" s="229"/>
      <c r="Y29" s="228"/>
      <c r="Z29" s="229"/>
      <c r="AA29" s="229"/>
      <c r="AB29" s="229"/>
      <c r="AC29" s="230"/>
      <c r="AD29" s="228"/>
      <c r="AE29" s="232"/>
      <c r="AF29" s="229"/>
      <c r="AG29" s="229"/>
      <c r="AH29" s="230"/>
      <c r="AI29" s="228"/>
      <c r="AJ29" s="232"/>
      <c r="AK29" s="229"/>
      <c r="AL29" s="229"/>
      <c r="AM29" s="230"/>
      <c r="AN29" s="230"/>
    </row>
    <row r="30" spans="1:40" ht="13.5" customHeight="1">
      <c r="A30" s="228"/>
      <c r="B30" s="229"/>
      <c r="C30" s="229"/>
      <c r="D30" s="229"/>
      <c r="E30" s="229"/>
      <c r="F30" s="229"/>
      <c r="G30" s="229"/>
      <c r="H30" s="229"/>
      <c r="I30" s="229"/>
      <c r="J30" s="229"/>
      <c r="K30" s="229"/>
      <c r="L30" s="229"/>
      <c r="M30" s="229"/>
      <c r="N30" s="229"/>
      <c r="O30" s="229"/>
      <c r="P30" s="229"/>
      <c r="Q30" s="229"/>
      <c r="R30" s="229"/>
      <c r="S30" s="229"/>
      <c r="T30" s="229"/>
      <c r="U30" s="229"/>
      <c r="V30" s="229"/>
      <c r="W30" s="229"/>
      <c r="X30" s="229"/>
      <c r="Y30" s="228"/>
      <c r="Z30" s="229"/>
      <c r="AA30" s="233" t="s">
        <v>263</v>
      </c>
      <c r="AB30" s="229"/>
      <c r="AC30" s="230"/>
      <c r="AD30" s="228"/>
      <c r="AE30" s="229"/>
      <c r="AF30" s="232"/>
      <c r="AG30" s="229"/>
      <c r="AH30" s="230"/>
      <c r="AI30" s="228"/>
      <c r="AJ30" s="229"/>
      <c r="AK30" s="232"/>
      <c r="AL30" s="229"/>
      <c r="AM30" s="230"/>
      <c r="AN30" s="230"/>
    </row>
    <row r="31" spans="1:40" ht="13.5" customHeight="1">
      <c r="A31" s="228"/>
      <c r="B31" s="229"/>
      <c r="C31" s="229"/>
      <c r="D31" s="229"/>
      <c r="E31" s="229"/>
      <c r="F31" s="229"/>
      <c r="G31" s="229"/>
      <c r="H31" s="229"/>
      <c r="I31" s="229"/>
      <c r="J31" s="229"/>
      <c r="K31" s="229"/>
      <c r="L31" s="229"/>
      <c r="M31" s="229"/>
      <c r="N31" s="229"/>
      <c r="O31" s="229"/>
      <c r="P31" s="229"/>
      <c r="Q31" s="229"/>
      <c r="R31" s="229"/>
      <c r="S31" s="229"/>
      <c r="T31" s="229"/>
      <c r="U31" s="229"/>
      <c r="V31" s="229"/>
      <c r="W31" s="229"/>
      <c r="X31" s="229"/>
      <c r="Y31" s="228"/>
      <c r="Z31" s="229"/>
      <c r="AA31" s="229"/>
      <c r="AB31" s="229"/>
      <c r="AC31" s="230"/>
      <c r="AD31" s="228"/>
      <c r="AE31" s="229"/>
      <c r="AF31" s="229"/>
      <c r="AG31" s="232"/>
      <c r="AH31" s="230"/>
      <c r="AI31" s="228"/>
      <c r="AJ31" s="229"/>
      <c r="AK31" s="229"/>
      <c r="AL31" s="232"/>
      <c r="AM31" s="230"/>
      <c r="AN31" s="230"/>
    </row>
    <row r="32" spans="1:40" ht="13.5" customHeight="1">
      <c r="A32" s="228"/>
      <c r="B32" s="229"/>
      <c r="C32" s="229"/>
      <c r="D32" s="229"/>
      <c r="E32" s="229"/>
      <c r="F32" s="229"/>
      <c r="G32" s="229"/>
      <c r="H32" s="229"/>
      <c r="I32" s="229"/>
      <c r="J32" s="229"/>
      <c r="K32" s="229"/>
      <c r="L32" s="229"/>
      <c r="M32" s="229"/>
      <c r="N32" s="229"/>
      <c r="O32" s="229"/>
      <c r="P32" s="229"/>
      <c r="Q32" s="229"/>
      <c r="R32" s="229"/>
      <c r="S32" s="229"/>
      <c r="T32" s="229"/>
      <c r="U32" s="229"/>
      <c r="V32" s="229"/>
      <c r="W32" s="229"/>
      <c r="X32" s="229"/>
      <c r="Y32" s="234"/>
      <c r="Z32" s="235"/>
      <c r="AA32" s="235"/>
      <c r="AB32" s="235"/>
      <c r="AC32" s="236"/>
      <c r="AD32" s="234"/>
      <c r="AE32" s="235"/>
      <c r="AF32" s="235"/>
      <c r="AG32" s="235"/>
      <c r="AH32" s="237"/>
      <c r="AI32" s="234"/>
      <c r="AJ32" s="235"/>
      <c r="AK32" s="235"/>
      <c r="AL32" s="235"/>
      <c r="AM32" s="237"/>
      <c r="AN32" s="230"/>
    </row>
    <row r="33" spans="1:40" ht="13.5" customHeight="1">
      <c r="A33" s="228"/>
      <c r="B33" s="229"/>
      <c r="C33" s="229"/>
      <c r="D33" s="229"/>
      <c r="E33" s="229"/>
      <c r="F33" s="229"/>
      <c r="G33" s="229"/>
      <c r="H33" s="229"/>
      <c r="I33" s="229"/>
      <c r="J33" s="229"/>
      <c r="K33" s="229"/>
      <c r="L33" s="229"/>
      <c r="M33" s="229"/>
      <c r="N33" s="229"/>
      <c r="O33" s="229"/>
      <c r="P33" s="229"/>
      <c r="Q33" s="229"/>
      <c r="R33" s="229"/>
      <c r="S33" s="229"/>
      <c r="T33" s="229"/>
      <c r="U33" s="229"/>
      <c r="V33" s="229"/>
      <c r="W33" s="229"/>
      <c r="X33" s="229"/>
      <c r="Y33" s="229"/>
      <c r="Z33" s="229"/>
      <c r="AA33" s="229"/>
      <c r="AB33" s="229"/>
      <c r="AC33" s="229"/>
      <c r="AD33" s="229"/>
      <c r="AE33" s="229"/>
      <c r="AF33" s="229"/>
      <c r="AG33" s="229"/>
      <c r="AH33" s="229"/>
      <c r="AI33" s="229"/>
      <c r="AJ33" s="229"/>
      <c r="AK33" s="229"/>
      <c r="AL33" s="229"/>
      <c r="AM33" s="229"/>
      <c r="AN33" s="230"/>
    </row>
    <row r="34" spans="1:40" ht="13.5" customHeight="1">
      <c r="A34" s="228"/>
      <c r="B34" s="229"/>
      <c r="C34" s="229"/>
      <c r="D34" s="229"/>
      <c r="E34" s="229"/>
      <c r="F34" s="229"/>
      <c r="G34" s="229"/>
      <c r="H34" s="229"/>
      <c r="I34" s="229"/>
      <c r="J34" s="229"/>
      <c r="K34" s="229"/>
      <c r="L34" s="229"/>
      <c r="M34" s="229"/>
      <c r="N34" s="229"/>
      <c r="O34" s="229"/>
      <c r="P34" s="229"/>
      <c r="Q34" s="229"/>
      <c r="R34" s="229"/>
      <c r="S34" s="229"/>
      <c r="T34" s="229"/>
      <c r="U34" s="229"/>
      <c r="V34" s="229"/>
      <c r="W34" s="229"/>
      <c r="X34" s="229"/>
      <c r="Y34" s="238" t="s">
        <v>264</v>
      </c>
      <c r="Z34" s="229"/>
      <c r="AA34" s="229"/>
      <c r="AB34" s="229"/>
      <c r="AC34" s="229"/>
      <c r="AD34" s="229"/>
      <c r="AE34" s="229"/>
      <c r="AF34" s="229"/>
      <c r="AG34" s="229"/>
      <c r="AH34" s="229"/>
      <c r="AI34" s="229"/>
      <c r="AJ34" s="229"/>
      <c r="AK34" s="229"/>
      <c r="AL34" s="229"/>
      <c r="AM34" s="229"/>
      <c r="AN34" s="230"/>
    </row>
    <row r="35" spans="1:40" ht="13.5" customHeight="1">
      <c r="A35" s="228"/>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69" t="s">
        <v>260</v>
      </c>
      <c r="Z35" s="270"/>
      <c r="AA35" s="270"/>
      <c r="AB35" s="270"/>
      <c r="AC35" s="271"/>
      <c r="AD35" s="269" t="s">
        <v>261</v>
      </c>
      <c r="AE35" s="270"/>
      <c r="AF35" s="270"/>
      <c r="AG35" s="270"/>
      <c r="AH35" s="271"/>
      <c r="AI35" s="278" t="s">
        <v>262</v>
      </c>
      <c r="AJ35" s="270"/>
      <c r="AK35" s="270"/>
      <c r="AL35" s="270"/>
      <c r="AM35" s="271"/>
      <c r="AN35" s="230"/>
    </row>
    <row r="36" spans="1:40" ht="13.5" customHeight="1">
      <c r="A36" s="228"/>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4"/>
      <c r="Z36" s="225"/>
      <c r="AA36" s="225"/>
      <c r="AB36" s="225"/>
      <c r="AC36" s="226"/>
      <c r="AD36" s="224"/>
      <c r="AE36" s="225"/>
      <c r="AF36" s="225"/>
      <c r="AG36" s="225"/>
      <c r="AH36" s="225"/>
      <c r="AI36" s="231"/>
      <c r="AJ36" s="225"/>
      <c r="AK36" s="225"/>
      <c r="AL36" s="225"/>
      <c r="AM36" s="226"/>
      <c r="AN36" s="230"/>
    </row>
    <row r="37" spans="1:40" ht="13.5" customHeight="1">
      <c r="A37" s="228"/>
      <c r="B37" s="229"/>
      <c r="C37" s="229"/>
      <c r="D37" s="229"/>
      <c r="E37" s="229"/>
      <c r="F37" s="229"/>
      <c r="G37" s="229"/>
      <c r="H37" s="229"/>
      <c r="I37" s="229"/>
      <c r="J37" s="229"/>
      <c r="K37" s="229"/>
      <c r="L37" s="229"/>
      <c r="M37" s="229"/>
      <c r="N37" s="229"/>
      <c r="O37" s="229"/>
      <c r="P37" s="229"/>
      <c r="Q37" s="229"/>
      <c r="R37" s="229"/>
      <c r="S37" s="229"/>
      <c r="T37" s="229"/>
      <c r="U37" s="229"/>
      <c r="V37" s="229"/>
      <c r="W37" s="229"/>
      <c r="X37" s="229"/>
      <c r="Y37" s="228"/>
      <c r="Z37" s="229"/>
      <c r="AA37" s="229"/>
      <c r="AB37" s="229"/>
      <c r="AC37" s="230"/>
      <c r="AD37" s="228"/>
      <c r="AE37" s="229"/>
      <c r="AF37" s="229"/>
      <c r="AG37" s="229"/>
      <c r="AH37" s="230"/>
      <c r="AI37" s="228"/>
      <c r="AJ37" s="232"/>
      <c r="AK37" s="229"/>
      <c r="AL37" s="229"/>
      <c r="AM37" s="230"/>
      <c r="AN37" s="230"/>
    </row>
    <row r="38" spans="1:40" ht="13.5" customHeight="1">
      <c r="A38" s="228"/>
      <c r="B38" s="229"/>
      <c r="C38" s="229"/>
      <c r="D38" s="229"/>
      <c r="E38" s="229"/>
      <c r="F38" s="229"/>
      <c r="G38" s="229"/>
      <c r="H38" s="229"/>
      <c r="I38" s="229"/>
      <c r="J38" s="229"/>
      <c r="K38" s="229"/>
      <c r="L38" s="229"/>
      <c r="M38" s="229"/>
      <c r="N38" s="229"/>
      <c r="O38" s="229"/>
      <c r="P38" s="229"/>
      <c r="Q38" s="229"/>
      <c r="R38" s="229"/>
      <c r="S38" s="229"/>
      <c r="T38" s="229"/>
      <c r="U38" s="229"/>
      <c r="V38" s="229"/>
      <c r="W38" s="229"/>
      <c r="X38" s="229"/>
      <c r="Y38" s="228"/>
      <c r="Z38" s="229"/>
      <c r="AA38" s="233" t="s">
        <v>265</v>
      </c>
      <c r="AB38" s="229"/>
      <c r="AC38" s="230"/>
      <c r="AD38" s="228"/>
      <c r="AE38" s="229"/>
      <c r="AF38" s="233" t="s">
        <v>266</v>
      </c>
      <c r="AG38" s="229"/>
      <c r="AH38" s="230"/>
      <c r="AI38" s="228"/>
      <c r="AJ38" s="229"/>
      <c r="AK38" s="232"/>
      <c r="AL38" s="229"/>
      <c r="AM38" s="230"/>
      <c r="AN38" s="230"/>
    </row>
    <row r="39" spans="1:40" ht="13.5" customHeight="1">
      <c r="A39" s="228"/>
      <c r="B39" s="229"/>
      <c r="C39" s="229"/>
      <c r="D39" s="229"/>
      <c r="E39" s="229"/>
      <c r="F39" s="229"/>
      <c r="G39" s="229"/>
      <c r="H39" s="229"/>
      <c r="I39" s="229"/>
      <c r="J39" s="229"/>
      <c r="K39" s="229"/>
      <c r="L39" s="229"/>
      <c r="M39" s="229"/>
      <c r="N39" s="229"/>
      <c r="O39" s="229"/>
      <c r="P39" s="229"/>
      <c r="Q39" s="229"/>
      <c r="R39" s="229"/>
      <c r="S39" s="229"/>
      <c r="T39" s="229"/>
      <c r="U39" s="229"/>
      <c r="V39" s="229"/>
      <c r="W39" s="229"/>
      <c r="X39" s="229"/>
      <c r="Y39" s="228"/>
      <c r="Z39" s="229"/>
      <c r="AA39" s="229"/>
      <c r="AB39" s="229"/>
      <c r="AC39" s="230"/>
      <c r="AD39" s="228"/>
      <c r="AE39" s="229"/>
      <c r="AF39" s="229"/>
      <c r="AG39" s="229"/>
      <c r="AH39" s="230"/>
      <c r="AI39" s="228"/>
      <c r="AJ39" s="229"/>
      <c r="AK39" s="229"/>
      <c r="AL39" s="232"/>
      <c r="AM39" s="230"/>
      <c r="AN39" s="230"/>
    </row>
    <row r="40" spans="1:40" ht="13.5" customHeight="1">
      <c r="A40" s="228"/>
      <c r="B40" s="229"/>
      <c r="C40" s="229"/>
      <c r="D40" s="229"/>
      <c r="E40" s="229"/>
      <c r="F40" s="229"/>
      <c r="G40" s="229"/>
      <c r="H40" s="229"/>
      <c r="I40" s="229"/>
      <c r="J40" s="229"/>
      <c r="K40" s="229"/>
      <c r="L40" s="229"/>
      <c r="M40" s="229"/>
      <c r="N40" s="229"/>
      <c r="O40" s="229"/>
      <c r="P40" s="229"/>
      <c r="Q40" s="229"/>
      <c r="R40" s="229"/>
      <c r="S40" s="229"/>
      <c r="T40" s="229"/>
      <c r="U40" s="229"/>
      <c r="V40" s="229"/>
      <c r="W40" s="229"/>
      <c r="X40" s="229"/>
      <c r="Y40" s="234"/>
      <c r="Z40" s="235"/>
      <c r="AA40" s="235"/>
      <c r="AB40" s="235"/>
      <c r="AC40" s="236"/>
      <c r="AD40" s="234"/>
      <c r="AE40" s="235"/>
      <c r="AF40" s="235"/>
      <c r="AG40" s="235"/>
      <c r="AH40" s="236"/>
      <c r="AI40" s="234"/>
      <c r="AJ40" s="235"/>
      <c r="AK40" s="235"/>
      <c r="AL40" s="235"/>
      <c r="AM40" s="237"/>
      <c r="AN40" s="230"/>
    </row>
    <row r="41" spans="1:40" ht="13.5" customHeight="1">
      <c r="A41" s="228"/>
      <c r="B41" s="229"/>
      <c r="C41" s="229"/>
      <c r="D41" s="229"/>
      <c r="E41" s="229"/>
      <c r="F41" s="229"/>
      <c r="G41" s="229"/>
      <c r="H41" s="229"/>
      <c r="I41" s="229"/>
      <c r="J41" s="229"/>
      <c r="K41" s="229"/>
      <c r="L41" s="229"/>
      <c r="M41" s="229"/>
      <c r="N41" s="229"/>
      <c r="O41" s="229"/>
      <c r="P41" s="229"/>
      <c r="Q41" s="229"/>
      <c r="R41" s="229"/>
      <c r="S41" s="229"/>
      <c r="T41" s="229"/>
      <c r="U41" s="229"/>
      <c r="V41" s="229"/>
      <c r="W41" s="229"/>
      <c r="X41" s="229"/>
      <c r="Y41" s="229"/>
      <c r="Z41" s="229"/>
      <c r="AA41" s="229"/>
      <c r="AB41" s="229"/>
      <c r="AC41" s="229"/>
      <c r="AD41" s="229"/>
      <c r="AE41" s="229"/>
      <c r="AF41" s="229"/>
      <c r="AG41" s="229"/>
      <c r="AH41" s="229"/>
      <c r="AI41" s="229"/>
      <c r="AJ41" s="229"/>
      <c r="AK41" s="229"/>
      <c r="AL41" s="229"/>
      <c r="AM41" s="229"/>
      <c r="AN41" s="230"/>
    </row>
    <row r="42" spans="1:40" ht="13.5" customHeight="1">
      <c r="A42" s="228"/>
      <c r="B42" s="229"/>
      <c r="C42" s="229"/>
      <c r="D42" s="229"/>
      <c r="E42" s="229"/>
      <c r="F42" s="229"/>
      <c r="G42" s="229"/>
      <c r="H42" s="229"/>
      <c r="I42" s="229"/>
      <c r="J42" s="229"/>
      <c r="K42" s="229"/>
      <c r="L42" s="229"/>
      <c r="M42" s="229"/>
      <c r="N42" s="229"/>
      <c r="O42" s="229"/>
      <c r="P42" s="229"/>
      <c r="Q42" s="229"/>
      <c r="R42" s="229"/>
      <c r="S42" s="229"/>
      <c r="T42" s="229"/>
      <c r="U42" s="229"/>
      <c r="V42" s="229"/>
      <c r="W42" s="229"/>
      <c r="X42" s="229"/>
      <c r="Y42" s="238" t="s">
        <v>267</v>
      </c>
      <c r="Z42" s="229"/>
      <c r="AA42" s="229"/>
      <c r="AB42" s="229"/>
      <c r="AC42" s="229"/>
      <c r="AD42" s="229"/>
      <c r="AE42" s="229"/>
      <c r="AF42" s="229"/>
      <c r="AG42" s="229"/>
      <c r="AH42" s="229"/>
      <c r="AI42" s="229"/>
      <c r="AJ42" s="229"/>
      <c r="AK42" s="229"/>
      <c r="AL42" s="229"/>
      <c r="AM42" s="229"/>
      <c r="AN42" s="230"/>
    </row>
    <row r="43" spans="1:40" ht="13.5" customHeight="1">
      <c r="A43" s="228"/>
      <c r="B43" s="229"/>
      <c r="C43" s="229"/>
      <c r="D43" s="229"/>
      <c r="E43" s="229"/>
      <c r="F43" s="229"/>
      <c r="G43" s="229"/>
      <c r="H43" s="229"/>
      <c r="I43" s="229"/>
      <c r="J43" s="229"/>
      <c r="K43" s="229"/>
      <c r="L43" s="229"/>
      <c r="M43" s="229"/>
      <c r="N43" s="229"/>
      <c r="O43" s="229"/>
      <c r="P43" s="229"/>
      <c r="Q43" s="229"/>
      <c r="R43" s="229"/>
      <c r="S43" s="229"/>
      <c r="T43" s="229"/>
      <c r="U43" s="229"/>
      <c r="V43" s="229"/>
      <c r="W43" s="229"/>
      <c r="X43" s="229"/>
      <c r="Y43" s="269" t="s">
        <v>260</v>
      </c>
      <c r="Z43" s="270"/>
      <c r="AA43" s="270"/>
      <c r="AB43" s="270"/>
      <c r="AC43" s="271"/>
      <c r="AD43" s="269" t="s">
        <v>261</v>
      </c>
      <c r="AE43" s="270"/>
      <c r="AF43" s="270"/>
      <c r="AG43" s="270"/>
      <c r="AH43" s="271"/>
      <c r="AI43" s="269" t="s">
        <v>262</v>
      </c>
      <c r="AJ43" s="270"/>
      <c r="AK43" s="270"/>
      <c r="AL43" s="270"/>
      <c r="AM43" s="271"/>
      <c r="AN43" s="230"/>
    </row>
    <row r="44" spans="1:40" ht="13.5" customHeight="1">
      <c r="A44" s="228"/>
      <c r="B44" s="229"/>
      <c r="C44" s="229"/>
      <c r="D44" s="229"/>
      <c r="E44" s="229"/>
      <c r="F44" s="229"/>
      <c r="G44" s="229"/>
      <c r="H44" s="229"/>
      <c r="I44" s="229"/>
      <c r="J44" s="229"/>
      <c r="K44" s="229"/>
      <c r="L44" s="229"/>
      <c r="M44" s="229"/>
      <c r="N44" s="229"/>
      <c r="O44" s="229"/>
      <c r="P44" s="229"/>
      <c r="Q44" s="229"/>
      <c r="R44" s="229"/>
      <c r="S44" s="229"/>
      <c r="T44" s="229"/>
      <c r="U44" s="229"/>
      <c r="V44" s="229"/>
      <c r="W44" s="229"/>
      <c r="X44" s="229"/>
      <c r="Y44" s="231"/>
      <c r="Z44" s="225"/>
      <c r="AA44" s="225"/>
      <c r="AB44" s="225"/>
      <c r="AC44" s="226"/>
      <c r="AD44" s="224"/>
      <c r="AE44" s="225"/>
      <c r="AF44" s="225"/>
      <c r="AG44" s="225"/>
      <c r="AH44" s="225"/>
      <c r="AI44" s="224"/>
      <c r="AJ44" s="225"/>
      <c r="AK44" s="225"/>
      <c r="AL44" s="225"/>
      <c r="AM44" s="226"/>
      <c r="AN44" s="230"/>
    </row>
    <row r="45" spans="1:40" ht="13.5" customHeight="1">
      <c r="A45" s="228"/>
      <c r="B45" s="229"/>
      <c r="C45" s="229"/>
      <c r="D45" s="229"/>
      <c r="E45" s="229"/>
      <c r="F45" s="229"/>
      <c r="G45" s="229"/>
      <c r="H45" s="229"/>
      <c r="I45" s="229"/>
      <c r="J45" s="229"/>
      <c r="K45" s="229"/>
      <c r="L45" s="229"/>
      <c r="M45" s="229"/>
      <c r="N45" s="229"/>
      <c r="O45" s="229"/>
      <c r="P45" s="229"/>
      <c r="Q45" s="229"/>
      <c r="R45" s="229"/>
      <c r="S45" s="229"/>
      <c r="T45" s="229"/>
      <c r="U45" s="229"/>
      <c r="V45" s="229"/>
      <c r="W45" s="229"/>
      <c r="X45" s="229"/>
      <c r="Y45" s="228"/>
      <c r="Z45" s="232"/>
      <c r="AA45" s="229"/>
      <c r="AB45" s="229"/>
      <c r="AC45" s="230"/>
      <c r="AD45" s="228"/>
      <c r="AE45" s="229"/>
      <c r="AF45" s="229"/>
      <c r="AG45" s="229"/>
      <c r="AH45" s="230"/>
      <c r="AI45" s="228"/>
      <c r="AJ45" s="238"/>
      <c r="AK45" s="229"/>
      <c r="AL45" s="229"/>
      <c r="AM45" s="230"/>
      <c r="AN45" s="230"/>
    </row>
    <row r="46" spans="1:40" ht="13.5" customHeight="1">
      <c r="A46" s="228"/>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8"/>
      <c r="Z46" s="229"/>
      <c r="AA46" s="232"/>
      <c r="AB46" s="229"/>
      <c r="AC46" s="230"/>
      <c r="AD46" s="228"/>
      <c r="AE46" s="229"/>
      <c r="AF46" s="233" t="s">
        <v>266</v>
      </c>
      <c r="AG46" s="229"/>
      <c r="AH46" s="230"/>
      <c r="AI46" s="228"/>
      <c r="AJ46" s="229"/>
      <c r="AK46" s="229"/>
      <c r="AL46" s="229"/>
      <c r="AM46" s="230"/>
      <c r="AN46" s="230"/>
    </row>
    <row r="47" spans="1:40" ht="13.5" customHeight="1">
      <c r="A47" s="228"/>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8"/>
      <c r="Z47" s="229"/>
      <c r="AA47" s="229"/>
      <c r="AB47" s="232"/>
      <c r="AC47" s="230"/>
      <c r="AD47" s="228"/>
      <c r="AE47" s="229"/>
      <c r="AF47" s="229"/>
      <c r="AG47" s="229"/>
      <c r="AH47" s="230"/>
      <c r="AI47" s="228"/>
      <c r="AJ47" s="229"/>
      <c r="AK47" s="229"/>
      <c r="AL47" s="229"/>
      <c r="AM47" s="230"/>
      <c r="AN47" s="230"/>
    </row>
    <row r="48" spans="1:40" ht="13.5" customHeight="1">
      <c r="A48" s="228"/>
      <c r="B48" s="229"/>
      <c r="C48" s="229"/>
      <c r="D48" s="229"/>
      <c r="E48" s="229"/>
      <c r="F48" s="229"/>
      <c r="G48" s="229"/>
      <c r="H48" s="229"/>
      <c r="I48" s="229"/>
      <c r="J48" s="229"/>
      <c r="K48" s="229"/>
      <c r="L48" s="229"/>
      <c r="M48" s="229"/>
      <c r="N48" s="229"/>
      <c r="O48" s="229"/>
      <c r="P48" s="229"/>
      <c r="Q48" s="229"/>
      <c r="R48" s="229"/>
      <c r="S48" s="229"/>
      <c r="T48" s="229"/>
      <c r="U48" s="229"/>
      <c r="V48" s="229"/>
      <c r="W48" s="229"/>
      <c r="X48" s="229"/>
      <c r="Y48" s="234"/>
      <c r="Z48" s="235"/>
      <c r="AA48" s="235"/>
      <c r="AB48" s="235"/>
      <c r="AC48" s="237"/>
      <c r="AD48" s="234"/>
      <c r="AE48" s="235"/>
      <c r="AF48" s="235"/>
      <c r="AG48" s="235"/>
      <c r="AH48" s="236"/>
      <c r="AI48" s="234"/>
      <c r="AJ48" s="235"/>
      <c r="AK48" s="235"/>
      <c r="AL48" s="235"/>
      <c r="AM48" s="236"/>
      <c r="AN48" s="230"/>
    </row>
    <row r="49" spans="1:40" ht="13.5" customHeight="1">
      <c r="A49" s="234"/>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6"/>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1025" r:id="rId4">
          <objectPr defaultSize="0" autoPict="0" r:id="rId5">
            <anchor>
              <from>
                <xdr:col>33</xdr:col>
                <xdr:colOff>152400</xdr:colOff>
                <xdr:row>45</xdr:row>
                <xdr:rowOff>83820</xdr:rowOff>
              </from>
              <to>
                <xdr:col>36</xdr:col>
                <xdr:colOff>106680</xdr:colOff>
                <xdr:row>48</xdr:row>
                <xdr:rowOff>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topLeftCell="A11" zoomScale="115" zoomScaleNormal="115" workbookViewId="0">
      <selection activeCell="F19" sqref="F19"/>
    </sheetView>
  </sheetViews>
  <sheetFormatPr defaultRowHeight="13.2"/>
  <cols>
    <col min="1" max="1" width="4.44140625" customWidth="1"/>
    <col min="2" max="2" width="9" style="9" hidden="1" customWidth="1"/>
    <col min="4" max="4" width="69.44140625" customWidth="1"/>
    <col min="5" max="6" width="12.6640625" customWidth="1"/>
    <col min="7" max="16" width="13.109375" hidden="1" customWidth="1"/>
    <col min="17" max="18" width="13.109375" customWidth="1"/>
    <col min="19" max="24" width="12.44140625" customWidth="1"/>
  </cols>
  <sheetData>
    <row r="2" spans="2:18" ht="25.5" customHeight="1">
      <c r="C2" s="6"/>
      <c r="D2" s="6"/>
      <c r="E2" s="6"/>
      <c r="F2" s="6"/>
      <c r="H2" s="7" t="s">
        <v>12</v>
      </c>
      <c r="I2" s="279" t="s">
        <v>13</v>
      </c>
      <c r="J2" s="279"/>
      <c r="K2" s="279"/>
      <c r="L2" s="279"/>
      <c r="M2" s="279"/>
      <c r="N2" s="279"/>
      <c r="O2" s="279"/>
      <c r="P2" s="279"/>
      <c r="Q2" s="279"/>
      <c r="R2" s="279"/>
    </row>
    <row r="3" spans="2:18" ht="25.5" customHeight="1">
      <c r="C3" s="6"/>
      <c r="D3" s="10" t="str">
        <f ca="1">REPLACE(LEFT(CELL("filename",$B$1),FIND(".xls",CELL("filename",$B$1))-1),1,FIND("[",CELL("filename",$B$1)),)</f>
        <v>alert_S_ADBZR_APP-CSTD-0-06-A-C0</v>
      </c>
      <c r="E3" s="6"/>
      <c r="F3" s="6"/>
      <c r="H3" s="8" t="s">
        <v>174</v>
      </c>
      <c r="I3" s="280" t="s">
        <v>173</v>
      </c>
      <c r="J3" s="281"/>
      <c r="K3" s="281"/>
      <c r="L3" s="281"/>
      <c r="M3" s="281"/>
      <c r="N3" s="281"/>
      <c r="O3" s="281"/>
      <c r="P3" s="281"/>
      <c r="Q3" s="281"/>
      <c r="R3" s="281"/>
    </row>
    <row r="4" spans="2:18" ht="25.5" customHeight="1">
      <c r="C4" s="6"/>
      <c r="D4" s="6"/>
      <c r="E4" s="24" t="str">
        <f>DGET(B8:C15,"Ver.",H4:H5)</f>
        <v>1.3.1</v>
      </c>
      <c r="F4" s="6"/>
      <c r="H4" s="9" t="s">
        <v>15</v>
      </c>
    </row>
    <row r="5" spans="2:18" ht="25.5" customHeight="1">
      <c r="C5" s="6"/>
      <c r="D5" s="6"/>
      <c r="E5" s="6"/>
      <c r="F5" s="6"/>
      <c r="H5" s="11">
        <f>MAX(B9:B15)</f>
        <v>5</v>
      </c>
    </row>
    <row r="6" spans="2:18" ht="13.8" thickBot="1"/>
    <row r="7" spans="2:18">
      <c r="C7" s="282" t="s">
        <v>0</v>
      </c>
      <c r="D7" s="283"/>
      <c r="E7" s="284" t="s">
        <v>2</v>
      </c>
      <c r="F7" s="284"/>
      <c r="G7" s="285" t="s">
        <v>5</v>
      </c>
      <c r="H7" s="285"/>
      <c r="I7" s="285"/>
      <c r="J7" s="285"/>
      <c r="K7" s="285"/>
      <c r="L7" s="285"/>
      <c r="M7" s="286" t="s">
        <v>270</v>
      </c>
      <c r="N7" s="286"/>
      <c r="O7" s="286"/>
      <c r="P7" s="286"/>
      <c r="Q7" s="286"/>
      <c r="R7" s="287"/>
    </row>
    <row r="8" spans="2:18" ht="27" thickBot="1">
      <c r="B8" s="9" t="s">
        <v>90</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19.4" thickTop="1">
      <c r="B9" s="9">
        <f>IF(C9=0,0,ROW()-ROW($B$8))</f>
        <v>1</v>
      </c>
      <c r="C9" s="12" t="s">
        <v>14</v>
      </c>
      <c r="D9" s="215" t="s">
        <v>245</v>
      </c>
      <c r="E9" s="13" t="s">
        <v>31</v>
      </c>
      <c r="F9" s="13" t="s">
        <v>234</v>
      </c>
      <c r="G9" s="13" t="s">
        <v>31</v>
      </c>
      <c r="H9" s="13" t="s">
        <v>31</v>
      </c>
      <c r="I9" s="13" t="s">
        <v>31</v>
      </c>
      <c r="J9" s="13" t="s">
        <v>31</v>
      </c>
      <c r="K9" s="13" t="s">
        <v>31</v>
      </c>
      <c r="L9" s="13" t="s">
        <v>31</v>
      </c>
      <c r="M9" s="13"/>
      <c r="N9" s="212"/>
      <c r="O9" s="13"/>
      <c r="P9" s="212"/>
      <c r="Q9" s="13" t="s">
        <v>240</v>
      </c>
      <c r="R9" s="205">
        <v>44279</v>
      </c>
    </row>
    <row r="10" spans="2:18" ht="79.2">
      <c r="B10" s="9">
        <f t="shared" ref="B10:B14" si="0">IF(C10=0,0,ROW()-ROW($B$8))</f>
        <v>2</v>
      </c>
      <c r="C10" s="2" t="s">
        <v>248</v>
      </c>
      <c r="D10" s="213" t="s">
        <v>249</v>
      </c>
      <c r="E10" s="13" t="s">
        <v>31</v>
      </c>
      <c r="F10" s="13" t="s">
        <v>246</v>
      </c>
      <c r="G10" s="13" t="s">
        <v>31</v>
      </c>
      <c r="H10" s="13" t="s">
        <v>31</v>
      </c>
      <c r="I10" s="13" t="s">
        <v>31</v>
      </c>
      <c r="J10" s="13" t="s">
        <v>31</v>
      </c>
      <c r="K10" s="13" t="s">
        <v>31</v>
      </c>
      <c r="L10" s="13" t="s">
        <v>31</v>
      </c>
      <c r="M10" s="13"/>
      <c r="N10" s="212"/>
      <c r="O10" s="13"/>
      <c r="P10" s="212"/>
      <c r="Q10" s="13" t="s">
        <v>247</v>
      </c>
      <c r="R10" s="205">
        <v>44579</v>
      </c>
    </row>
    <row r="11" spans="2:18" ht="145.19999999999999">
      <c r="B11" s="9">
        <f t="shared" si="0"/>
        <v>3</v>
      </c>
      <c r="C11" s="2" t="s">
        <v>254</v>
      </c>
      <c r="D11" s="213" t="s">
        <v>256</v>
      </c>
      <c r="E11" s="13" t="s">
        <v>31</v>
      </c>
      <c r="F11" s="13" t="s">
        <v>246</v>
      </c>
      <c r="G11" s="13"/>
      <c r="H11" s="13"/>
      <c r="I11" s="13"/>
      <c r="J11" s="13"/>
      <c r="K11" s="13" t="s">
        <v>255</v>
      </c>
      <c r="L11" s="212">
        <v>45839</v>
      </c>
      <c r="M11" s="1" t="s">
        <v>31</v>
      </c>
      <c r="N11" s="1" t="s">
        <v>31</v>
      </c>
      <c r="O11" s="1" t="s">
        <v>31</v>
      </c>
      <c r="P11" s="1" t="s">
        <v>31</v>
      </c>
      <c r="Q11" s="1" t="s">
        <v>255</v>
      </c>
      <c r="R11" s="214">
        <v>45839</v>
      </c>
    </row>
    <row r="12" spans="2:18" ht="120.6" customHeight="1">
      <c r="B12" s="9">
        <f t="shared" si="0"/>
        <v>4</v>
      </c>
      <c r="C12" s="268" t="s">
        <v>288</v>
      </c>
      <c r="D12" s="245" t="s">
        <v>274</v>
      </c>
      <c r="E12" s="246" t="s">
        <v>161</v>
      </c>
      <c r="F12" s="246" t="s">
        <v>273</v>
      </c>
      <c r="G12" s="246" t="s">
        <v>161</v>
      </c>
      <c r="H12" s="246" t="s">
        <v>161</v>
      </c>
      <c r="I12" s="246" t="s">
        <v>161</v>
      </c>
      <c r="J12" s="246" t="s">
        <v>161</v>
      </c>
      <c r="K12" s="246" t="s">
        <v>161</v>
      </c>
      <c r="L12" s="246" t="s">
        <v>161</v>
      </c>
      <c r="M12" s="246" t="s">
        <v>161</v>
      </c>
      <c r="N12" s="246" t="s">
        <v>161</v>
      </c>
      <c r="O12" s="246" t="s">
        <v>161</v>
      </c>
      <c r="P12" s="246" t="s">
        <v>161</v>
      </c>
      <c r="Q12" s="246" t="s">
        <v>271</v>
      </c>
      <c r="R12" s="247">
        <v>45996</v>
      </c>
    </row>
    <row r="13" spans="2:18" ht="158.4">
      <c r="B13" s="9">
        <f t="shared" ref="B13" si="1">IF(C13=0,0,ROW()-ROW($B$8))</f>
        <v>5</v>
      </c>
      <c r="C13" s="241" t="s">
        <v>289</v>
      </c>
      <c r="D13" s="242" t="s">
        <v>283</v>
      </c>
      <c r="E13" s="243" t="s">
        <v>161</v>
      </c>
      <c r="F13" s="243" t="s">
        <v>273</v>
      </c>
      <c r="G13" s="243" t="s">
        <v>161</v>
      </c>
      <c r="H13" s="243" t="s">
        <v>161</v>
      </c>
      <c r="I13" s="243" t="s">
        <v>161</v>
      </c>
      <c r="J13" s="243" t="s">
        <v>161</v>
      </c>
      <c r="K13" s="243" t="s">
        <v>161</v>
      </c>
      <c r="L13" s="243" t="s">
        <v>161</v>
      </c>
      <c r="M13" s="243" t="s">
        <v>161</v>
      </c>
      <c r="N13" s="243" t="s">
        <v>161</v>
      </c>
      <c r="O13" s="243" t="s">
        <v>161</v>
      </c>
      <c r="P13" s="243" t="s">
        <v>161</v>
      </c>
      <c r="Q13" s="243" t="s">
        <v>276</v>
      </c>
      <c r="R13" s="244">
        <v>46007</v>
      </c>
    </row>
    <row r="14" spans="2:18" ht="13.8" thickBot="1">
      <c r="B14" s="9">
        <f t="shared" si="0"/>
        <v>0</v>
      </c>
      <c r="C14" s="3"/>
      <c r="D14" s="4"/>
      <c r="E14" s="4"/>
      <c r="F14" s="4"/>
      <c r="G14" s="4"/>
      <c r="H14" s="4"/>
      <c r="I14" s="4"/>
      <c r="J14" s="4"/>
      <c r="K14" s="4"/>
      <c r="L14" s="4"/>
      <c r="M14" s="4"/>
      <c r="N14" s="4"/>
      <c r="O14" s="4"/>
      <c r="P14" s="4"/>
      <c r="Q14" s="4"/>
      <c r="R14" s="5"/>
    </row>
  </sheetData>
  <mergeCells count="6">
    <mergeCell ref="I2:R2"/>
    <mergeCell ref="I3:R3"/>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K19" sqref="K19"/>
    </sheetView>
  </sheetViews>
  <sheetFormatPr defaultRowHeight="13.2"/>
  <cols>
    <col min="2" max="2" width="4.44140625" customWidth="1"/>
    <col min="3" max="3" width="3.44140625" customWidth="1"/>
    <col min="4" max="4" width="17.44140625" customWidth="1"/>
    <col min="5" max="5" width="106" customWidth="1"/>
  </cols>
  <sheetData>
    <row r="2" spans="2:5">
      <c r="B2" s="146" t="s">
        <v>131</v>
      </c>
    </row>
    <row r="3" spans="2:5">
      <c r="C3" t="s">
        <v>141</v>
      </c>
    </row>
    <row r="6" spans="2:5" ht="13.8" thickBot="1">
      <c r="B6" s="146" t="s">
        <v>132</v>
      </c>
      <c r="C6" s="146"/>
    </row>
    <row r="7" spans="2:5" ht="13.8" thickBot="1">
      <c r="C7" s="71" t="s">
        <v>134</v>
      </c>
      <c r="D7" s="79"/>
      <c r="E7" s="72" t="s">
        <v>142</v>
      </c>
    </row>
    <row r="8" spans="2:5" ht="20.25" customHeight="1" thickTop="1">
      <c r="C8" s="150">
        <v>0</v>
      </c>
      <c r="D8" s="80" t="s">
        <v>143</v>
      </c>
      <c r="E8" s="149" t="s">
        <v>251</v>
      </c>
    </row>
    <row r="9" spans="2:5">
      <c r="C9" s="156"/>
      <c r="D9" s="158"/>
      <c r="E9" s="157"/>
    </row>
    <row r="10" spans="2:5" ht="13.8" thickBot="1">
      <c r="C10" s="154"/>
      <c r="D10" s="82"/>
      <c r="E10" s="5"/>
    </row>
    <row r="11" spans="2:5">
      <c r="C11" s="152"/>
    </row>
    <row r="12" spans="2:5" ht="13.8" thickBot="1">
      <c r="B12" s="147" t="s">
        <v>133</v>
      </c>
      <c r="C12" s="78"/>
      <c r="D12" s="78"/>
    </row>
    <row r="13" spans="2:5" ht="13.8" thickBot="1">
      <c r="B13" s="148"/>
      <c r="C13" s="153" t="s">
        <v>134</v>
      </c>
      <c r="D13" s="79" t="s">
        <v>135</v>
      </c>
      <c r="E13" s="72" t="s">
        <v>136</v>
      </c>
    </row>
    <row r="14" spans="2:5" ht="13.8" thickTop="1">
      <c r="C14" s="150">
        <v>0</v>
      </c>
      <c r="D14" s="80" t="s">
        <v>148</v>
      </c>
      <c r="E14" s="155" t="s">
        <v>149</v>
      </c>
    </row>
    <row r="15" spans="2:5">
      <c r="C15" s="151">
        <v>1</v>
      </c>
      <c r="D15" s="81" t="s">
        <v>23</v>
      </c>
      <c r="E15" s="70" t="s">
        <v>137</v>
      </c>
    </row>
    <row r="16" spans="2:5">
      <c r="C16" s="151">
        <v>2</v>
      </c>
      <c r="D16" s="81" t="s">
        <v>24</v>
      </c>
      <c r="E16" s="70" t="s">
        <v>138</v>
      </c>
    </row>
    <row r="17" spans="2:5">
      <c r="C17" s="151">
        <v>3</v>
      </c>
      <c r="D17" s="81" t="s">
        <v>25</v>
      </c>
      <c r="E17" s="70" t="s">
        <v>139</v>
      </c>
    </row>
    <row r="18" spans="2:5">
      <c r="C18" s="151">
        <v>4</v>
      </c>
      <c r="D18" s="81" t="s">
        <v>26</v>
      </c>
      <c r="E18" s="70" t="s">
        <v>140</v>
      </c>
    </row>
    <row r="19" spans="2:5">
      <c r="C19" s="151">
        <v>5</v>
      </c>
      <c r="D19" s="81" t="s">
        <v>150</v>
      </c>
      <c r="E19" s="70" t="s">
        <v>152</v>
      </c>
    </row>
    <row r="20" spans="2:5">
      <c r="C20" s="151">
        <v>6</v>
      </c>
      <c r="D20" s="81" t="s">
        <v>156</v>
      </c>
      <c r="E20" s="70" t="s">
        <v>168</v>
      </c>
    </row>
    <row r="21" spans="2:5" ht="13.8" thickBot="1">
      <c r="C21" s="154"/>
      <c r="D21" s="82"/>
      <c r="E21" s="5"/>
    </row>
    <row r="24" spans="2:5" ht="13.8" thickBot="1">
      <c r="B24" s="146" t="s">
        <v>144</v>
      </c>
    </row>
    <row r="25" spans="2:5" ht="13.8" thickBot="1">
      <c r="C25" s="153" t="s">
        <v>134</v>
      </c>
      <c r="D25" s="79" t="s">
        <v>135</v>
      </c>
      <c r="E25" s="72" t="s">
        <v>136</v>
      </c>
    </row>
    <row r="26" spans="2:5" ht="30.75" customHeight="1" thickTop="1">
      <c r="C26" s="150">
        <v>0</v>
      </c>
      <c r="D26" s="80" t="s">
        <v>145</v>
      </c>
      <c r="E26" s="155" t="s">
        <v>153</v>
      </c>
    </row>
    <row r="27" spans="2:5" ht="120" customHeight="1">
      <c r="C27" s="151">
        <v>1</v>
      </c>
      <c r="D27" s="81" t="s">
        <v>170</v>
      </c>
      <c r="E27" s="83" t="s">
        <v>172</v>
      </c>
    </row>
    <row r="28" spans="2:5" ht="81" customHeight="1">
      <c r="C28" s="151">
        <v>2</v>
      </c>
      <c r="D28" s="81" t="s">
        <v>167</v>
      </c>
      <c r="E28" s="83" t="s">
        <v>178</v>
      </c>
    </row>
    <row r="29" spans="2:5" ht="45" customHeight="1">
      <c r="C29" s="151">
        <v>3</v>
      </c>
      <c r="D29" s="81" t="s">
        <v>151</v>
      </c>
      <c r="E29" s="83" t="s">
        <v>154</v>
      </c>
    </row>
    <row r="30" spans="2:5" ht="16.5" customHeight="1">
      <c r="C30" s="151">
        <v>4</v>
      </c>
      <c r="D30" s="81" t="s">
        <v>146</v>
      </c>
      <c r="E30" s="70" t="s">
        <v>159</v>
      </c>
    </row>
    <row r="31" spans="2:5" ht="16.5" customHeight="1">
      <c r="C31" s="151">
        <v>5</v>
      </c>
      <c r="D31" s="81" t="s">
        <v>147</v>
      </c>
      <c r="E31" s="70" t="s">
        <v>155</v>
      </c>
    </row>
    <row r="32" spans="2:5">
      <c r="C32" s="151"/>
      <c r="D32" s="81"/>
      <c r="E32" s="70"/>
    </row>
    <row r="33" spans="2:5">
      <c r="C33" s="151"/>
      <c r="D33" s="81"/>
      <c r="E33" s="70"/>
    </row>
    <row r="34" spans="2:5" ht="13.8" thickBot="1">
      <c r="C34" s="154"/>
      <c r="D34" s="82"/>
      <c r="E34" s="5"/>
    </row>
    <row r="37" spans="2:5" ht="13.8" thickBot="1">
      <c r="B37" s="146" t="s">
        <v>164</v>
      </c>
    </row>
    <row r="38" spans="2:5">
      <c r="C38" s="288"/>
      <c r="D38" s="289"/>
      <c r="E38" s="104" t="s">
        <v>121</v>
      </c>
    </row>
    <row r="39" spans="2:5" ht="13.8" thickBot="1">
      <c r="C39" s="290"/>
      <c r="D39" s="291"/>
      <c r="E39" s="5" t="s">
        <v>122</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H13" sqref="H13"/>
    </sheetView>
  </sheetViews>
  <sheetFormatPr defaultRowHeight="13.2"/>
  <cols>
    <col min="2" max="2" width="3.6640625" bestFit="1" customWidth="1"/>
    <col min="3" max="3" width="9.109375" bestFit="1" customWidth="1"/>
    <col min="4" max="4" width="19.109375" bestFit="1" customWidth="1"/>
    <col min="6" max="8" width="26.6640625" customWidth="1"/>
    <col min="9" max="9" width="24.44140625" hidden="1" customWidth="1"/>
    <col min="10" max="10" width="9" customWidth="1"/>
    <col min="11" max="14" width="9" hidden="1" customWidth="1"/>
  </cols>
  <sheetData>
    <row r="1" spans="2:10" ht="13.8" thickBot="1"/>
    <row r="2" spans="2:10">
      <c r="B2" s="314" t="s">
        <v>18</v>
      </c>
      <c r="C2" s="315"/>
      <c r="D2" s="305" t="s">
        <v>272</v>
      </c>
      <c r="E2" s="306"/>
      <c r="F2" s="306"/>
      <c r="G2" s="306"/>
      <c r="H2" s="307"/>
    </row>
    <row r="3" spans="2:10">
      <c r="B3" s="292" t="s">
        <v>118</v>
      </c>
      <c r="C3" s="293"/>
      <c r="D3" s="308" t="s">
        <v>269</v>
      </c>
      <c r="E3" s="309"/>
      <c r="F3" s="309"/>
      <c r="G3" s="309"/>
      <c r="H3" s="310"/>
    </row>
    <row r="4" spans="2:10" ht="13.8" thickBot="1">
      <c r="B4" s="303" t="s">
        <v>17</v>
      </c>
      <c r="C4" s="304"/>
      <c r="D4" s="311" t="str">
        <f ca="1">表紙!D3&amp;".c"</f>
        <v>alert_S_ADBZR_APP-CSTD-0-06-A-C0.c</v>
      </c>
      <c r="E4" s="312"/>
      <c r="F4" s="312"/>
      <c r="G4" s="312"/>
      <c r="H4" s="313"/>
    </row>
    <row r="5" spans="2:10" ht="13.8" thickBot="1">
      <c r="D5" t="str">
        <f ca="1">IF(LEN(表紙!D3&amp;".c") = LENB(表紙!D3&amp;".c"),"※モジュール名 全角チェックOK","※モジュール名 全角チェックNG：ファイル名に全角文字が使用されています！")</f>
        <v>※モジュール名 全角チェックOK</v>
      </c>
    </row>
    <row r="6" spans="2:10">
      <c r="B6" s="314" t="s">
        <v>37</v>
      </c>
      <c r="C6" s="315"/>
      <c r="D6" s="316" t="str">
        <f ca="1">MID(D4, LEN("alert_") + 1, FIND("-",D4,1) - LEN("alert_") - 1)</f>
        <v>S_ADBZR_APP</v>
      </c>
      <c r="E6" s="317"/>
      <c r="F6" s="317"/>
      <c r="G6" s="317"/>
      <c r="H6" s="318"/>
    </row>
    <row r="7" spans="2:10">
      <c r="B7" s="292" t="s">
        <v>38</v>
      </c>
      <c r="C7" s="293"/>
      <c r="D7" s="294">
        <f>COUNTA($D$13:$D$37)</f>
        <v>1</v>
      </c>
      <c r="E7" s="295"/>
      <c r="F7" s="295"/>
      <c r="G7" s="295"/>
      <c r="H7" s="296"/>
    </row>
    <row r="8" spans="2:10" ht="14.4">
      <c r="B8" s="292" t="s">
        <v>94</v>
      </c>
      <c r="C8" s="293"/>
      <c r="D8" s="294" t="str">
        <f ca="1">"st_gp_ALERT_"&amp;UPPER(D6)&amp;"_MTRX"</f>
        <v>st_gp_ALERT_S_ADBZR_APP_MTRX</v>
      </c>
      <c r="E8" s="295"/>
      <c r="F8" s="295"/>
      <c r="G8" s="295"/>
      <c r="H8" s="296"/>
      <c r="J8" s="266"/>
    </row>
    <row r="9" spans="2:10">
      <c r="B9" s="292" t="s">
        <v>39</v>
      </c>
      <c r="C9" s="293"/>
      <c r="D9" s="297" t="s">
        <v>197</v>
      </c>
      <c r="E9" s="298"/>
      <c r="F9" s="298"/>
      <c r="G9" s="298"/>
      <c r="H9" s="299"/>
    </row>
    <row r="10" spans="2:10" ht="13.8" thickBot="1">
      <c r="B10" s="303" t="s">
        <v>45</v>
      </c>
      <c r="C10" s="304"/>
      <c r="D10" s="300"/>
      <c r="E10" s="301"/>
      <c r="F10" s="301"/>
      <c r="G10" s="301"/>
      <c r="H10" s="302"/>
    </row>
    <row r="11" spans="2:10" ht="13.8" thickBot="1"/>
    <row r="12" spans="2:10" ht="13.8" thickBot="1">
      <c r="B12" s="137" t="s">
        <v>35</v>
      </c>
      <c r="C12" s="97" t="s">
        <v>44</v>
      </c>
      <c r="D12" s="98" t="s">
        <v>36</v>
      </c>
      <c r="E12" s="98" t="s">
        <v>40</v>
      </c>
      <c r="F12" s="98" t="s">
        <v>41</v>
      </c>
      <c r="G12" s="98" t="s">
        <v>42</v>
      </c>
      <c r="H12" s="99" t="s">
        <v>43</v>
      </c>
      <c r="I12" s="142" t="s">
        <v>48</v>
      </c>
    </row>
    <row r="13" spans="2:10" ht="15" thickTop="1">
      <c r="B13" s="100">
        <v>1</v>
      </c>
      <c r="C13" s="184" t="s">
        <v>161</v>
      </c>
      <c r="D13" s="185" t="s">
        <v>46</v>
      </c>
      <c r="E13" s="185" t="s">
        <v>163</v>
      </c>
      <c r="F13" s="47" t="str">
        <f t="shared" ref="F13" ca="1" si="0">IF($D13&lt;&gt;"","u4_s_Alert"&amp;UPPER(LEFT($D$6,1))&amp;LOWER(MID($D$6,2,100))&amp;IF($D$7=1,"",N13)&amp;"Srcchk","")</f>
        <v>u4_s_AlertS_adbzr_appSrcchk</v>
      </c>
      <c r="G13" s="47" t="str">
        <f t="shared" ref="G13" si="1">IF($D13&lt;&gt;"",IF($E13="○","vd_s_Alert"&amp;UPPER(LEFT($D$6,1))&amp;LOWER(MID($D$6,2,100))&amp;IF($D$7=1,"",N13)&amp;"RwTx","NULL"),"")</f>
        <v>NULL</v>
      </c>
      <c r="H13" s="103" t="str">
        <f ca="1">IF($D13&lt;&gt;"","ALERT_CH_"&amp;UPPER($D$6)&amp;IF($D$7=1,"","_"&amp;UPPER($C13)),"")</f>
        <v>ALERT_CH_S_ADBZR_APP</v>
      </c>
      <c r="I13" s="143" t="str">
        <f ca="1">IF($D13&lt;&gt;"","ALERT_REQ_"&amp;UPPER($D$6)&amp;IF($D$7=1,"","_"&amp;UPPER($C13)),"")</f>
        <v>ALERT_REQ_S_ADBZR_APP</v>
      </c>
      <c r="J13" s="266"/>
    </row>
    <row r="14" spans="2:10">
      <c r="B14" s="90">
        <v>2</v>
      </c>
      <c r="C14" s="186"/>
      <c r="D14" s="187"/>
      <c r="E14" s="187"/>
      <c r="F14" s="42" t="str">
        <f t="shared" ref="F14:F37" si="2">IF($D14&lt;&gt;"","u4_s_Alert"&amp;UPPER(LEFT($D$6,1))&amp;LOWER(MID($D$6,2,100))&amp;IF($D$7=1,"",N14)&amp;"Srcchk","")</f>
        <v/>
      </c>
      <c r="G14" s="42" t="str">
        <f t="shared" ref="G14:G37" si="3">IF($D14&lt;&gt;"",IF($E14="○","vd_s_Alert"&amp;UPPER(LEFT($D$6,1))&amp;LOWER(MID($D$6,2,100))&amp;IF($D$7=1,"",N14)&amp;"RwTx","NULL"),"")</f>
        <v/>
      </c>
      <c r="H14" s="63" t="str">
        <f t="shared" ref="H14:H37" si="4">IF($D14&lt;&gt;"","ALERT_CH_"&amp;UPPER($D$6)&amp;IF($D$7=1,"","_"&amp;UPPER($C14)),"")</f>
        <v/>
      </c>
      <c r="I14" s="144" t="str">
        <f t="shared" ref="I14:I37" si="5">IF($D14&lt;&gt;"","ALERT_REQ_"&amp;UPPER($D$6)&amp;IF($D$7=1,"","_"&amp;UPPER($C14)),"")</f>
        <v/>
      </c>
    </row>
    <row r="15" spans="2:10">
      <c r="B15" s="90">
        <v>3</v>
      </c>
      <c r="C15" s="140"/>
      <c r="D15" s="141"/>
      <c r="E15" s="141"/>
      <c r="F15" s="42" t="str">
        <f t="shared" si="2"/>
        <v/>
      </c>
      <c r="G15" s="42" t="str">
        <f t="shared" si="3"/>
        <v/>
      </c>
      <c r="H15" s="63" t="str">
        <f t="shared" si="4"/>
        <v/>
      </c>
      <c r="I15" s="144" t="str">
        <f t="shared" si="5"/>
        <v/>
      </c>
    </row>
    <row r="16" spans="2:10">
      <c r="B16" s="90">
        <v>4</v>
      </c>
      <c r="C16" s="140"/>
      <c r="D16" s="141"/>
      <c r="E16" s="141"/>
      <c r="F16" s="42" t="str">
        <f t="shared" si="2"/>
        <v/>
      </c>
      <c r="G16" s="42" t="str">
        <f t="shared" si="3"/>
        <v/>
      </c>
      <c r="H16" s="63" t="str">
        <f t="shared" si="4"/>
        <v/>
      </c>
      <c r="I16" s="144" t="str">
        <f t="shared" si="5"/>
        <v/>
      </c>
    </row>
    <row r="17" spans="2:14">
      <c r="B17" s="90">
        <v>5</v>
      </c>
      <c r="C17" s="140"/>
      <c r="D17" s="141"/>
      <c r="E17" s="141"/>
      <c r="F17" s="42" t="str">
        <f t="shared" si="2"/>
        <v/>
      </c>
      <c r="G17" s="42" t="str">
        <f t="shared" si="3"/>
        <v/>
      </c>
      <c r="H17" s="63" t="str">
        <f t="shared" si="4"/>
        <v/>
      </c>
      <c r="I17" s="144" t="str">
        <f t="shared" si="5"/>
        <v/>
      </c>
    </row>
    <row r="18" spans="2:14">
      <c r="B18" s="90">
        <v>6</v>
      </c>
      <c r="C18" s="140"/>
      <c r="D18" s="141"/>
      <c r="E18" s="141"/>
      <c r="F18" s="42" t="str">
        <f t="shared" si="2"/>
        <v/>
      </c>
      <c r="G18" s="42" t="str">
        <f t="shared" si="3"/>
        <v/>
      </c>
      <c r="H18" s="63" t="str">
        <f t="shared" si="4"/>
        <v/>
      </c>
      <c r="I18" s="144" t="str">
        <f t="shared" si="5"/>
        <v/>
      </c>
    </row>
    <row r="19" spans="2:14">
      <c r="B19" s="90">
        <v>7</v>
      </c>
      <c r="C19" s="140"/>
      <c r="D19" s="141"/>
      <c r="E19" s="141"/>
      <c r="F19" s="42" t="str">
        <f t="shared" si="2"/>
        <v/>
      </c>
      <c r="G19" s="42" t="str">
        <f t="shared" si="3"/>
        <v/>
      </c>
      <c r="H19" s="63" t="str">
        <f t="shared" si="4"/>
        <v/>
      </c>
      <c r="I19" s="144" t="str">
        <f t="shared" si="5"/>
        <v/>
      </c>
      <c r="K19" t="s">
        <v>47</v>
      </c>
      <c r="M19" t="e">
        <f t="shared" ref="M19:M37" si="6">FIND("_",C19,1)</f>
        <v>#VALUE!</v>
      </c>
      <c r="N19" t="str">
        <f t="shared" ref="N19:N37" si="7">IF(IFERROR(M19,0),UPPER(LEFT(C19,1))&amp;LOWER(MID(C19,2,M19-2))&amp;UPPER(MID(C19,M19+1,1))&amp;LOWER(MID(C19,M19+2,100)),UPPER(LEFT(C19,1))&amp;LOWER(MID(C19,2,100)))</f>
        <v/>
      </c>
    </row>
    <row r="20" spans="2:14">
      <c r="B20" s="90">
        <v>8</v>
      </c>
      <c r="C20" s="140"/>
      <c r="D20" s="141"/>
      <c r="E20" s="141"/>
      <c r="F20" s="42" t="str">
        <f t="shared" si="2"/>
        <v/>
      </c>
      <c r="G20" s="42" t="str">
        <f t="shared" si="3"/>
        <v/>
      </c>
      <c r="H20" s="63" t="str">
        <f t="shared" si="4"/>
        <v/>
      </c>
      <c r="I20" s="144" t="str">
        <f t="shared" si="5"/>
        <v/>
      </c>
      <c r="K20" t="s">
        <v>47</v>
      </c>
      <c r="M20" t="e">
        <f t="shared" si="6"/>
        <v>#VALUE!</v>
      </c>
      <c r="N20" t="str">
        <f t="shared" si="7"/>
        <v/>
      </c>
    </row>
    <row r="21" spans="2:14">
      <c r="B21" s="90">
        <v>9</v>
      </c>
      <c r="C21" s="140"/>
      <c r="D21" s="141"/>
      <c r="E21" s="141"/>
      <c r="F21" s="42" t="str">
        <f t="shared" si="2"/>
        <v/>
      </c>
      <c r="G21" s="42" t="str">
        <f t="shared" si="3"/>
        <v/>
      </c>
      <c r="H21" s="63" t="str">
        <f t="shared" si="4"/>
        <v/>
      </c>
      <c r="I21" s="144" t="str">
        <f t="shared" si="5"/>
        <v/>
      </c>
      <c r="K21" t="s">
        <v>47</v>
      </c>
      <c r="M21" t="e">
        <f t="shared" si="6"/>
        <v>#VALUE!</v>
      </c>
      <c r="N21" t="str">
        <f t="shared" si="7"/>
        <v/>
      </c>
    </row>
    <row r="22" spans="2:14">
      <c r="B22" s="90">
        <v>10</v>
      </c>
      <c r="C22" s="140"/>
      <c r="D22" s="141"/>
      <c r="E22" s="141"/>
      <c r="F22" s="42" t="str">
        <f t="shared" si="2"/>
        <v/>
      </c>
      <c r="G22" s="42" t="str">
        <f t="shared" si="3"/>
        <v/>
      </c>
      <c r="H22" s="63" t="str">
        <f t="shared" si="4"/>
        <v/>
      </c>
      <c r="I22" s="144" t="str">
        <f t="shared" si="5"/>
        <v/>
      </c>
      <c r="K22" t="s">
        <v>47</v>
      </c>
      <c r="M22" t="e">
        <f t="shared" si="6"/>
        <v>#VALUE!</v>
      </c>
      <c r="N22" t="str">
        <f t="shared" si="7"/>
        <v/>
      </c>
    </row>
    <row r="23" spans="2:14">
      <c r="B23" s="90">
        <v>11</v>
      </c>
      <c r="C23" s="140"/>
      <c r="D23" s="141"/>
      <c r="E23" s="141"/>
      <c r="F23" s="42" t="str">
        <f t="shared" si="2"/>
        <v/>
      </c>
      <c r="G23" s="42" t="str">
        <f t="shared" si="3"/>
        <v/>
      </c>
      <c r="H23" s="63" t="str">
        <f t="shared" si="4"/>
        <v/>
      </c>
      <c r="I23" s="144" t="str">
        <f t="shared" si="5"/>
        <v/>
      </c>
      <c r="K23" t="s">
        <v>47</v>
      </c>
      <c r="M23" t="e">
        <f t="shared" si="6"/>
        <v>#VALUE!</v>
      </c>
      <c r="N23" t="str">
        <f t="shared" si="7"/>
        <v/>
      </c>
    </row>
    <row r="24" spans="2:14">
      <c r="B24" s="90">
        <v>12</v>
      </c>
      <c r="C24" s="140"/>
      <c r="D24" s="141"/>
      <c r="E24" s="141"/>
      <c r="F24" s="42" t="str">
        <f t="shared" si="2"/>
        <v/>
      </c>
      <c r="G24" s="42" t="str">
        <f t="shared" si="3"/>
        <v/>
      </c>
      <c r="H24" s="63" t="str">
        <f t="shared" si="4"/>
        <v/>
      </c>
      <c r="I24" s="144" t="str">
        <f t="shared" si="5"/>
        <v/>
      </c>
      <c r="K24" t="s">
        <v>47</v>
      </c>
      <c r="M24" t="e">
        <f t="shared" si="6"/>
        <v>#VALUE!</v>
      </c>
      <c r="N24" t="str">
        <f t="shared" si="7"/>
        <v/>
      </c>
    </row>
    <row r="25" spans="2:14">
      <c r="B25" s="90">
        <v>13</v>
      </c>
      <c r="C25" s="140"/>
      <c r="D25" s="141"/>
      <c r="E25" s="141"/>
      <c r="F25" s="42" t="str">
        <f t="shared" si="2"/>
        <v/>
      </c>
      <c r="G25" s="42" t="str">
        <f t="shared" si="3"/>
        <v/>
      </c>
      <c r="H25" s="63" t="str">
        <f t="shared" si="4"/>
        <v/>
      </c>
      <c r="I25" s="144" t="str">
        <f t="shared" si="5"/>
        <v/>
      </c>
      <c r="K25" t="s">
        <v>47</v>
      </c>
      <c r="M25" t="e">
        <f t="shared" si="6"/>
        <v>#VALUE!</v>
      </c>
      <c r="N25" t="str">
        <f t="shared" si="7"/>
        <v/>
      </c>
    </row>
    <row r="26" spans="2:14">
      <c r="B26" s="90">
        <v>14</v>
      </c>
      <c r="C26" s="140"/>
      <c r="D26" s="141"/>
      <c r="E26" s="141"/>
      <c r="F26" s="42" t="str">
        <f t="shared" si="2"/>
        <v/>
      </c>
      <c r="G26" s="42" t="str">
        <f t="shared" si="3"/>
        <v/>
      </c>
      <c r="H26" s="63" t="str">
        <f t="shared" si="4"/>
        <v/>
      </c>
      <c r="I26" s="144" t="str">
        <f t="shared" si="5"/>
        <v/>
      </c>
      <c r="K26" t="s">
        <v>47</v>
      </c>
      <c r="M26" t="e">
        <f t="shared" si="6"/>
        <v>#VALUE!</v>
      </c>
      <c r="N26" t="str">
        <f t="shared" si="7"/>
        <v/>
      </c>
    </row>
    <row r="27" spans="2:14">
      <c r="B27" s="90">
        <v>15</v>
      </c>
      <c r="C27" s="140"/>
      <c r="D27" s="141"/>
      <c r="E27" s="141"/>
      <c r="F27" s="42" t="str">
        <f t="shared" si="2"/>
        <v/>
      </c>
      <c r="G27" s="42" t="str">
        <f t="shared" si="3"/>
        <v/>
      </c>
      <c r="H27" s="63" t="str">
        <f t="shared" si="4"/>
        <v/>
      </c>
      <c r="I27" s="144" t="str">
        <f t="shared" si="5"/>
        <v/>
      </c>
      <c r="K27" t="s">
        <v>47</v>
      </c>
      <c r="M27" t="e">
        <f t="shared" si="6"/>
        <v>#VALUE!</v>
      </c>
      <c r="N27" t="str">
        <f t="shared" si="7"/>
        <v/>
      </c>
    </row>
    <row r="28" spans="2:14">
      <c r="B28" s="90">
        <v>16</v>
      </c>
      <c r="C28" s="140"/>
      <c r="D28" s="141"/>
      <c r="E28" s="141"/>
      <c r="F28" s="42" t="str">
        <f t="shared" si="2"/>
        <v/>
      </c>
      <c r="G28" s="42" t="str">
        <f t="shared" si="3"/>
        <v/>
      </c>
      <c r="H28" s="63" t="str">
        <f t="shared" si="4"/>
        <v/>
      </c>
      <c r="I28" s="144" t="str">
        <f t="shared" si="5"/>
        <v/>
      </c>
      <c r="K28" t="s">
        <v>47</v>
      </c>
      <c r="M28" t="e">
        <f t="shared" si="6"/>
        <v>#VALUE!</v>
      </c>
      <c r="N28" t="str">
        <f t="shared" si="7"/>
        <v/>
      </c>
    </row>
    <row r="29" spans="2:14">
      <c r="B29" s="90">
        <v>17</v>
      </c>
      <c r="C29" s="140"/>
      <c r="D29" s="141"/>
      <c r="E29" s="141"/>
      <c r="F29" s="42" t="str">
        <f t="shared" si="2"/>
        <v/>
      </c>
      <c r="G29" s="42" t="str">
        <f t="shared" si="3"/>
        <v/>
      </c>
      <c r="H29" s="63" t="str">
        <f t="shared" si="4"/>
        <v/>
      </c>
      <c r="I29" s="144" t="str">
        <f t="shared" si="5"/>
        <v/>
      </c>
      <c r="K29" t="s">
        <v>47</v>
      </c>
      <c r="M29" t="e">
        <f t="shared" si="6"/>
        <v>#VALUE!</v>
      </c>
      <c r="N29" t="str">
        <f t="shared" si="7"/>
        <v/>
      </c>
    </row>
    <row r="30" spans="2:14">
      <c r="B30" s="90">
        <v>18</v>
      </c>
      <c r="C30" s="140"/>
      <c r="D30" s="141"/>
      <c r="E30" s="141"/>
      <c r="F30" s="42" t="str">
        <f t="shared" si="2"/>
        <v/>
      </c>
      <c r="G30" s="42" t="str">
        <f t="shared" si="3"/>
        <v/>
      </c>
      <c r="H30" s="63" t="str">
        <f t="shared" si="4"/>
        <v/>
      </c>
      <c r="I30" s="144" t="str">
        <f t="shared" si="5"/>
        <v/>
      </c>
      <c r="K30" t="s">
        <v>47</v>
      </c>
      <c r="M30" t="e">
        <f t="shared" si="6"/>
        <v>#VALUE!</v>
      </c>
      <c r="N30" t="str">
        <f t="shared" si="7"/>
        <v/>
      </c>
    </row>
    <row r="31" spans="2:14">
      <c r="B31" s="90">
        <v>19</v>
      </c>
      <c r="C31" s="140"/>
      <c r="D31" s="141"/>
      <c r="E31" s="141"/>
      <c r="F31" s="42" t="str">
        <f t="shared" si="2"/>
        <v/>
      </c>
      <c r="G31" s="42" t="str">
        <f t="shared" si="3"/>
        <v/>
      </c>
      <c r="H31" s="63" t="str">
        <f t="shared" si="4"/>
        <v/>
      </c>
      <c r="I31" s="144" t="str">
        <f t="shared" si="5"/>
        <v/>
      </c>
      <c r="K31" t="s">
        <v>47</v>
      </c>
      <c r="M31" t="e">
        <f t="shared" si="6"/>
        <v>#VALUE!</v>
      </c>
      <c r="N31" t="str">
        <f t="shared" si="7"/>
        <v/>
      </c>
    </row>
    <row r="32" spans="2:14">
      <c r="B32" s="90">
        <v>20</v>
      </c>
      <c r="C32" s="140"/>
      <c r="D32" s="141"/>
      <c r="E32" s="141"/>
      <c r="F32" s="42" t="str">
        <f t="shared" si="2"/>
        <v/>
      </c>
      <c r="G32" s="42" t="str">
        <f t="shared" si="3"/>
        <v/>
      </c>
      <c r="H32" s="63" t="str">
        <f t="shared" si="4"/>
        <v/>
      </c>
      <c r="I32" s="144" t="str">
        <f t="shared" si="5"/>
        <v/>
      </c>
      <c r="K32" t="s">
        <v>47</v>
      </c>
      <c r="M32" t="e">
        <f t="shared" si="6"/>
        <v>#VALUE!</v>
      </c>
      <c r="N32" t="str">
        <f t="shared" si="7"/>
        <v/>
      </c>
    </row>
    <row r="33" spans="2:14">
      <c r="B33" s="90">
        <v>21</v>
      </c>
      <c r="C33" s="140"/>
      <c r="D33" s="141"/>
      <c r="E33" s="141"/>
      <c r="F33" s="42" t="str">
        <f t="shared" si="2"/>
        <v/>
      </c>
      <c r="G33" s="42" t="str">
        <f t="shared" si="3"/>
        <v/>
      </c>
      <c r="H33" s="63" t="str">
        <f t="shared" si="4"/>
        <v/>
      </c>
      <c r="I33" s="144" t="str">
        <f t="shared" si="5"/>
        <v/>
      </c>
      <c r="K33" t="s">
        <v>47</v>
      </c>
      <c r="M33" t="e">
        <f t="shared" si="6"/>
        <v>#VALUE!</v>
      </c>
      <c r="N33" t="str">
        <f t="shared" si="7"/>
        <v/>
      </c>
    </row>
    <row r="34" spans="2:14">
      <c r="B34" s="90">
        <v>22</v>
      </c>
      <c r="C34" s="140"/>
      <c r="D34" s="141"/>
      <c r="E34" s="141"/>
      <c r="F34" s="42" t="str">
        <f t="shared" si="2"/>
        <v/>
      </c>
      <c r="G34" s="42" t="str">
        <f t="shared" si="3"/>
        <v/>
      </c>
      <c r="H34" s="63" t="str">
        <f t="shared" si="4"/>
        <v/>
      </c>
      <c r="I34" s="144" t="str">
        <f t="shared" si="5"/>
        <v/>
      </c>
      <c r="K34" t="s">
        <v>47</v>
      </c>
      <c r="M34" t="e">
        <f t="shared" si="6"/>
        <v>#VALUE!</v>
      </c>
      <c r="N34" t="str">
        <f t="shared" si="7"/>
        <v/>
      </c>
    </row>
    <row r="35" spans="2:14">
      <c r="B35" s="90">
        <v>23</v>
      </c>
      <c r="C35" s="140"/>
      <c r="D35" s="141"/>
      <c r="E35" s="141"/>
      <c r="F35" s="42" t="str">
        <f t="shared" si="2"/>
        <v/>
      </c>
      <c r="G35" s="42" t="str">
        <f t="shared" si="3"/>
        <v/>
      </c>
      <c r="H35" s="63" t="str">
        <f t="shared" si="4"/>
        <v/>
      </c>
      <c r="I35" s="144" t="str">
        <f t="shared" si="5"/>
        <v/>
      </c>
      <c r="K35" t="s">
        <v>47</v>
      </c>
      <c r="M35" t="e">
        <f t="shared" si="6"/>
        <v>#VALUE!</v>
      </c>
      <c r="N35" t="str">
        <f t="shared" si="7"/>
        <v/>
      </c>
    </row>
    <row r="36" spans="2:14">
      <c r="B36" s="90">
        <v>24</v>
      </c>
      <c r="C36" s="140"/>
      <c r="D36" s="141"/>
      <c r="E36" s="141"/>
      <c r="F36" s="42" t="str">
        <f t="shared" si="2"/>
        <v/>
      </c>
      <c r="G36" s="42" t="str">
        <f t="shared" si="3"/>
        <v/>
      </c>
      <c r="H36" s="63" t="str">
        <f t="shared" si="4"/>
        <v/>
      </c>
      <c r="I36" s="144" t="str">
        <f t="shared" si="5"/>
        <v/>
      </c>
      <c r="K36" t="s">
        <v>47</v>
      </c>
      <c r="M36" t="e">
        <f t="shared" si="6"/>
        <v>#VALUE!</v>
      </c>
      <c r="N36" t="str">
        <f t="shared" si="7"/>
        <v/>
      </c>
    </row>
    <row r="37" spans="2:14" ht="13.8" thickBot="1">
      <c r="B37" s="91">
        <v>25</v>
      </c>
      <c r="C37" s="138"/>
      <c r="D37" s="139"/>
      <c r="E37" s="139"/>
      <c r="F37" s="50" t="str">
        <f t="shared" si="2"/>
        <v/>
      </c>
      <c r="G37" s="50" t="str">
        <f t="shared" si="3"/>
        <v/>
      </c>
      <c r="H37" s="64" t="str">
        <f t="shared" si="4"/>
        <v/>
      </c>
      <c r="I37" s="145" t="str">
        <f t="shared" si="5"/>
        <v/>
      </c>
      <c r="K37" t="s">
        <v>47</v>
      </c>
      <c r="M37" t="e">
        <f t="shared" si="6"/>
        <v>#VALUE!</v>
      </c>
      <c r="N37" t="str">
        <f t="shared" si="7"/>
        <v/>
      </c>
    </row>
  </sheetData>
  <protectedRanges>
    <protectedRange sqref="D2:H3 D9:H10 C13:E37" name="編集許可"/>
  </protectedRanges>
  <mergeCells count="16">
    <mergeCell ref="D2:H2"/>
    <mergeCell ref="D3:H3"/>
    <mergeCell ref="D4:H4"/>
    <mergeCell ref="D7:H7"/>
    <mergeCell ref="B2:C2"/>
    <mergeCell ref="B3:C3"/>
    <mergeCell ref="B4:C4"/>
    <mergeCell ref="B6:C6"/>
    <mergeCell ref="B7:C7"/>
    <mergeCell ref="D6:H6"/>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branches/00.Product/20210219_暫定リリース/MET" xr:uid="{00000000-0004-0000-0200-000001000000}"/>
  </hyperlinks>
  <pageMargins left="0.7" right="0.7" top="0.75" bottom="0.75" header="0.3" footer="0.3"/>
  <headerFooter>
    <oddHeader>&amp;C&amp;"Calibri"&amp;10&amp;KFF0000 CONFIDENTIAL&amp;1#_x000D_</oddHead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P5" sqref="P5"/>
    </sheetView>
  </sheetViews>
  <sheetFormatPr defaultRowHeight="13.2"/>
  <cols>
    <col min="2" max="2" width="3.6640625" bestFit="1" customWidth="1"/>
    <col min="3" max="3" width="19.109375" bestFit="1" customWidth="1"/>
    <col min="4" max="4" width="13" customWidth="1"/>
    <col min="5" max="5" width="36.44140625" customWidth="1"/>
    <col min="6" max="6" width="52.6640625" customWidth="1"/>
    <col min="7" max="7" width="7.109375" bestFit="1" customWidth="1"/>
    <col min="8" max="15" width="3.88671875" customWidth="1"/>
    <col min="16" max="16" width="9.88671875" customWidth="1"/>
    <col min="17" max="17" width="44.44140625" customWidth="1"/>
    <col min="18" max="18" width="73.44140625" customWidth="1"/>
  </cols>
  <sheetData>
    <row r="2" spans="2:18" ht="13.8" thickBot="1">
      <c r="B2" t="s">
        <v>191</v>
      </c>
      <c r="O2" t="s">
        <v>193</v>
      </c>
    </row>
    <row r="3" spans="2:18" ht="13.8" thickBot="1">
      <c r="B3" s="137" t="s">
        <v>35</v>
      </c>
      <c r="C3" s="98" t="s">
        <v>180</v>
      </c>
      <c r="D3" s="98" t="s">
        <v>186</v>
      </c>
      <c r="E3" s="99" t="s">
        <v>187</v>
      </c>
      <c r="F3" s="181" t="s">
        <v>182</v>
      </c>
      <c r="G3" s="178" t="s">
        <v>196</v>
      </c>
      <c r="H3" s="41"/>
      <c r="I3" s="41"/>
      <c r="J3" s="41"/>
      <c r="K3" s="41"/>
      <c r="L3" s="41"/>
      <c r="M3" s="41"/>
      <c r="O3" s="137" t="s">
        <v>35</v>
      </c>
      <c r="P3" s="177" t="s">
        <v>176</v>
      </c>
      <c r="Q3" s="177" t="s">
        <v>190</v>
      </c>
      <c r="R3" s="178" t="s">
        <v>182</v>
      </c>
    </row>
    <row r="4" spans="2:18" ht="13.8" hidden="1" thickTop="1">
      <c r="B4" s="169">
        <v>0</v>
      </c>
      <c r="C4" s="170" t="s">
        <v>165</v>
      </c>
      <c r="D4" s="170"/>
      <c r="E4" s="171"/>
      <c r="F4" s="182"/>
      <c r="G4" s="183"/>
      <c r="H4" s="41"/>
      <c r="I4" s="41"/>
      <c r="J4" s="41"/>
      <c r="K4" s="41"/>
      <c r="L4" s="41"/>
      <c r="M4" s="41"/>
      <c r="O4" s="179">
        <v>0</v>
      </c>
      <c r="P4" s="176" t="s">
        <v>165</v>
      </c>
      <c r="Q4" s="176" t="s">
        <v>165</v>
      </c>
      <c r="R4" s="132"/>
    </row>
    <row r="5" spans="2:18" ht="13.8" thickTop="1">
      <c r="B5" s="172">
        <v>1</v>
      </c>
      <c r="C5" s="185"/>
      <c r="D5" s="101"/>
      <c r="E5" s="63" t="str">
        <f>IF($C5&lt;&gt;"","ALERT_" &amp; D5 &amp; "_ID_"&amp;UPPER(Matrix!$D$6) &amp; "_" &amp; $C5,"")</f>
        <v/>
      </c>
      <c r="F5" s="223"/>
      <c r="G5" s="63" t="str">
        <f>IF(E5&lt;&gt;"",LEN(E5),"")</f>
        <v/>
      </c>
      <c r="O5" s="172">
        <v>1</v>
      </c>
      <c r="P5" s="187"/>
      <c r="Q5" s="187"/>
      <c r="R5" s="107"/>
    </row>
    <row r="6" spans="2:18">
      <c r="B6" s="172">
        <v>2</v>
      </c>
      <c r="C6" s="141"/>
      <c r="D6" s="25"/>
      <c r="E6" s="63" t="str">
        <f>IF($C6&lt;&gt;"","ALERT_" &amp; D6 &amp; "_ID_"&amp;UPPER(Matrix!$D$6) &amp; "_" &amp; $C6,"")</f>
        <v/>
      </c>
      <c r="F6" s="106"/>
      <c r="G6" s="63" t="str">
        <f t="shared" ref="G6:G29" si="0">IF(E6&lt;&gt;"",LEN(E6),"")</f>
        <v/>
      </c>
      <c r="O6" s="172">
        <v>2</v>
      </c>
      <c r="P6" s="141"/>
      <c r="Q6" s="141"/>
      <c r="R6" s="107"/>
    </row>
    <row r="7" spans="2:18">
      <c r="B7" s="172">
        <v>3</v>
      </c>
      <c r="C7" s="141"/>
      <c r="D7" s="25"/>
      <c r="E7" s="63" t="str">
        <f>IF($C7&lt;&gt;"","ALERT_" &amp; D7 &amp; "_ID_"&amp;UPPER(Matrix!$D$6) &amp; "_" &amp; $C7,"")</f>
        <v/>
      </c>
      <c r="F7" s="106"/>
      <c r="G7" s="63" t="str">
        <f t="shared" si="0"/>
        <v/>
      </c>
      <c r="O7" s="172">
        <v>3</v>
      </c>
      <c r="P7" s="141"/>
      <c r="Q7" s="141"/>
      <c r="R7" s="107"/>
    </row>
    <row r="8" spans="2:18">
      <c r="B8" s="172">
        <v>4</v>
      </c>
      <c r="C8" s="141"/>
      <c r="D8" s="25"/>
      <c r="E8" s="63" t="str">
        <f>IF($C8&lt;&gt;"","ALERT_" &amp; D8 &amp; "_ID_"&amp;UPPER(Matrix!$D$6) &amp; "_" &amp; $C8,"")</f>
        <v/>
      </c>
      <c r="F8" s="106"/>
      <c r="G8" s="63" t="str">
        <f t="shared" si="0"/>
        <v/>
      </c>
      <c r="O8" s="172">
        <v>4</v>
      </c>
      <c r="P8" s="141"/>
      <c r="Q8" s="141"/>
      <c r="R8" s="107"/>
    </row>
    <row r="9" spans="2:18">
      <c r="B9" s="172">
        <v>5</v>
      </c>
      <c r="C9" s="141"/>
      <c r="D9" s="25"/>
      <c r="E9" s="63" t="str">
        <f>IF($C9&lt;&gt;"","ALERT_" &amp; D9 &amp; "_ID_"&amp;UPPER(Matrix!$D$6) &amp; "_" &amp; $C9,"")</f>
        <v/>
      </c>
      <c r="F9" s="106"/>
      <c r="G9" s="63" t="str">
        <f t="shared" si="0"/>
        <v/>
      </c>
      <c r="O9" s="172">
        <v>5</v>
      </c>
      <c r="P9" s="141"/>
      <c r="Q9" s="141"/>
      <c r="R9" s="107"/>
    </row>
    <row r="10" spans="2:18">
      <c r="B10" s="172">
        <v>6</v>
      </c>
      <c r="C10" s="141"/>
      <c r="D10" s="25"/>
      <c r="E10" s="63" t="str">
        <f>IF($C10&lt;&gt;"","ALERT_" &amp; D10 &amp; "_ID_"&amp;UPPER(Matrix!$D$6) &amp; "_" &amp; $C10,"")</f>
        <v/>
      </c>
      <c r="F10" s="106"/>
      <c r="G10" s="63" t="str">
        <f t="shared" si="0"/>
        <v/>
      </c>
      <c r="O10" s="172">
        <v>6</v>
      </c>
      <c r="P10" s="141"/>
      <c r="Q10" s="141"/>
      <c r="R10" s="107"/>
    </row>
    <row r="11" spans="2:18">
      <c r="B11" s="172">
        <v>7</v>
      </c>
      <c r="C11" s="141"/>
      <c r="D11" s="25"/>
      <c r="E11" s="63" t="str">
        <f>IF($C11&lt;&gt;"","ALERT_" &amp; D11 &amp; "_ID_"&amp;UPPER(Matrix!$D$6) &amp; "_" &amp; $C11,"")</f>
        <v/>
      </c>
      <c r="F11" s="106"/>
      <c r="G11" s="63" t="str">
        <f t="shared" si="0"/>
        <v/>
      </c>
      <c r="O11" s="172">
        <v>7</v>
      </c>
      <c r="P11" s="141"/>
      <c r="Q11" s="141"/>
      <c r="R11" s="107"/>
    </row>
    <row r="12" spans="2:18">
      <c r="B12" s="172">
        <v>8</v>
      </c>
      <c r="C12" s="141"/>
      <c r="D12" s="25"/>
      <c r="E12" s="63" t="str">
        <f>IF($C12&lt;&gt;"","ALERT_" &amp; D12 &amp; "_ID_"&amp;UPPER(Matrix!$D$6) &amp; "_" &amp; $C12,"")</f>
        <v/>
      </c>
      <c r="F12" s="106"/>
      <c r="G12" s="63" t="str">
        <f t="shared" si="0"/>
        <v/>
      </c>
      <c r="O12" s="172">
        <v>8</v>
      </c>
      <c r="P12" s="141"/>
      <c r="Q12" s="141"/>
      <c r="R12" s="107"/>
    </row>
    <row r="13" spans="2:18">
      <c r="B13" s="172">
        <v>9</v>
      </c>
      <c r="C13" s="141"/>
      <c r="D13" s="25"/>
      <c r="E13" s="63" t="str">
        <f>IF($C13&lt;&gt;"","ALERT_" &amp; D13 &amp; "_ID_"&amp;UPPER(Matrix!$D$6) &amp; "_" &amp; $C13,"")</f>
        <v/>
      </c>
      <c r="F13" s="106"/>
      <c r="G13" s="63" t="str">
        <f t="shared" si="0"/>
        <v/>
      </c>
      <c r="O13" s="172">
        <v>9</v>
      </c>
      <c r="P13" s="141"/>
      <c r="Q13" s="141"/>
      <c r="R13" s="107"/>
    </row>
    <row r="14" spans="2:18">
      <c r="B14" s="172">
        <v>10</v>
      </c>
      <c r="C14" s="141"/>
      <c r="D14" s="25"/>
      <c r="E14" s="63" t="str">
        <f>IF($C14&lt;&gt;"","ALERT_" &amp; D14 &amp; "_ID_"&amp;UPPER(Matrix!$D$6) &amp; "_" &amp; $C14,"")</f>
        <v/>
      </c>
      <c r="F14" s="106"/>
      <c r="G14" s="63" t="str">
        <f t="shared" si="0"/>
        <v/>
      </c>
      <c r="O14" s="172">
        <v>10</v>
      </c>
      <c r="P14" s="141"/>
      <c r="Q14" s="141"/>
      <c r="R14" s="107"/>
    </row>
    <row r="15" spans="2:18">
      <c r="B15" s="172">
        <v>11</v>
      </c>
      <c r="C15" s="141"/>
      <c r="D15" s="25"/>
      <c r="E15" s="63" t="str">
        <f>IF($C15&lt;&gt;"","ALERT_" &amp; D15 &amp; "_ID_"&amp;UPPER(Matrix!$D$6) &amp; "_" &amp; $C15,"")</f>
        <v/>
      </c>
      <c r="F15" s="106"/>
      <c r="G15" s="63" t="str">
        <f t="shared" si="0"/>
        <v/>
      </c>
      <c r="O15" s="172">
        <v>11</v>
      </c>
      <c r="P15" s="141"/>
      <c r="Q15" s="141"/>
      <c r="R15" s="107"/>
    </row>
    <row r="16" spans="2:18">
      <c r="B16" s="172">
        <v>12</v>
      </c>
      <c r="C16" s="141"/>
      <c r="D16" s="25"/>
      <c r="E16" s="63" t="str">
        <f>IF($C16&lt;&gt;"","ALERT_" &amp; D16 &amp; "_ID_"&amp;UPPER(Matrix!$D$6) &amp; "_" &amp; $C16,"")</f>
        <v/>
      </c>
      <c r="F16" s="106"/>
      <c r="G16" s="63" t="str">
        <f t="shared" si="0"/>
        <v/>
      </c>
      <c r="O16" s="172">
        <v>12</v>
      </c>
      <c r="P16" s="141"/>
      <c r="Q16" s="141"/>
      <c r="R16" s="107"/>
    </row>
    <row r="17" spans="2:18">
      <c r="B17" s="172">
        <v>13</v>
      </c>
      <c r="C17" s="141"/>
      <c r="D17" s="25"/>
      <c r="E17" s="63" t="str">
        <f>IF($C17&lt;&gt;"","ALERT_" &amp; D17 &amp; "_ID_"&amp;UPPER(Matrix!$D$6) &amp; "_" &amp; $C17,"")</f>
        <v/>
      </c>
      <c r="F17" s="106"/>
      <c r="G17" s="63" t="str">
        <f t="shared" si="0"/>
        <v/>
      </c>
      <c r="O17" s="172">
        <v>13</v>
      </c>
      <c r="P17" s="141"/>
      <c r="Q17" s="141"/>
      <c r="R17" s="107"/>
    </row>
    <row r="18" spans="2:18">
      <c r="B18" s="172">
        <v>14</v>
      </c>
      <c r="C18" s="141"/>
      <c r="D18" s="25"/>
      <c r="E18" s="63" t="str">
        <f>IF($C18&lt;&gt;"","ALERT_" &amp; D18 &amp; "_ID_"&amp;UPPER(Matrix!$D$6) &amp; "_" &amp; $C18,"")</f>
        <v/>
      </c>
      <c r="F18" s="106"/>
      <c r="G18" s="63" t="str">
        <f t="shared" si="0"/>
        <v/>
      </c>
      <c r="O18" s="172">
        <v>14</v>
      </c>
      <c r="P18" s="141"/>
      <c r="Q18" s="141"/>
      <c r="R18" s="107"/>
    </row>
    <row r="19" spans="2:18">
      <c r="B19" s="172">
        <v>15</v>
      </c>
      <c r="C19" s="141"/>
      <c r="D19" s="25"/>
      <c r="E19" s="63" t="str">
        <f>IF($C19&lt;&gt;"","ALERT_" &amp; D19 &amp; "_ID_"&amp;UPPER(Matrix!$D$6) &amp; "_" &amp; $C19,"")</f>
        <v/>
      </c>
      <c r="F19" s="106"/>
      <c r="G19" s="63" t="str">
        <f t="shared" si="0"/>
        <v/>
      </c>
      <c r="O19" s="172">
        <v>15</v>
      </c>
      <c r="P19" s="141"/>
      <c r="Q19" s="141"/>
      <c r="R19" s="107"/>
    </row>
    <row r="20" spans="2:18">
      <c r="B20" s="172">
        <v>16</v>
      </c>
      <c r="C20" s="141"/>
      <c r="D20" s="25"/>
      <c r="E20" s="63" t="str">
        <f>IF($C20&lt;&gt;"","ALERT_" &amp; D20 &amp; "_ID_"&amp;UPPER(Matrix!$D$6) &amp; "_" &amp; $C20,"")</f>
        <v/>
      </c>
      <c r="F20" s="106"/>
      <c r="G20" s="63" t="str">
        <f t="shared" si="0"/>
        <v/>
      </c>
      <c r="O20" s="172">
        <v>16</v>
      </c>
      <c r="P20" s="141"/>
      <c r="Q20" s="141"/>
      <c r="R20" s="107"/>
    </row>
    <row r="21" spans="2:18">
      <c r="B21" s="172">
        <v>17</v>
      </c>
      <c r="C21" s="141"/>
      <c r="D21" s="25"/>
      <c r="E21" s="63" t="str">
        <f>IF($C21&lt;&gt;"","ALERT_" &amp; D21 &amp; "_ID_"&amp;UPPER(Matrix!$D$6) &amp; "_" &amp; $C21,"")</f>
        <v/>
      </c>
      <c r="F21" s="106"/>
      <c r="G21" s="63" t="str">
        <f t="shared" si="0"/>
        <v/>
      </c>
      <c r="O21" s="172">
        <v>17</v>
      </c>
      <c r="P21" s="141"/>
      <c r="Q21" s="141"/>
      <c r="R21" s="107"/>
    </row>
    <row r="22" spans="2:18">
      <c r="B22" s="172">
        <v>18</v>
      </c>
      <c r="C22" s="141"/>
      <c r="D22" s="25"/>
      <c r="E22" s="63" t="str">
        <f>IF($C22&lt;&gt;"","ALERT_" &amp; D22 &amp; "_ID_"&amp;UPPER(Matrix!$D$6) &amp; "_" &amp; $C22,"")</f>
        <v/>
      </c>
      <c r="F22" s="106"/>
      <c r="G22" s="63" t="str">
        <f t="shared" si="0"/>
        <v/>
      </c>
      <c r="O22" s="172">
        <v>18</v>
      </c>
      <c r="P22" s="141"/>
      <c r="Q22" s="141"/>
      <c r="R22" s="107"/>
    </row>
    <row r="23" spans="2:18">
      <c r="B23" s="172">
        <v>19</v>
      </c>
      <c r="C23" s="141"/>
      <c r="D23" s="25"/>
      <c r="E23" s="63" t="str">
        <f>IF($C23&lt;&gt;"","ALERT_" &amp; D23 &amp; "_ID_"&amp;UPPER(Matrix!$D$6) &amp; "_" &amp; $C23,"")</f>
        <v/>
      </c>
      <c r="F23" s="106"/>
      <c r="G23" s="63" t="str">
        <f t="shared" si="0"/>
        <v/>
      </c>
      <c r="O23" s="172">
        <v>19</v>
      </c>
      <c r="P23" s="141"/>
      <c r="Q23" s="141"/>
      <c r="R23" s="107"/>
    </row>
    <row r="24" spans="2:18">
      <c r="B24" s="172">
        <v>20</v>
      </c>
      <c r="C24" s="141"/>
      <c r="D24" s="25"/>
      <c r="E24" s="63" t="str">
        <f>IF($C24&lt;&gt;"","ALERT_" &amp; D24 &amp; "_ID_"&amp;UPPER(Matrix!$D$6) &amp; "_" &amp; $C24,"")</f>
        <v/>
      </c>
      <c r="F24" s="106"/>
      <c r="G24" s="63" t="str">
        <f t="shared" si="0"/>
        <v/>
      </c>
      <c r="O24" s="172">
        <v>20</v>
      </c>
      <c r="P24" s="141"/>
      <c r="Q24" s="141"/>
      <c r="R24" s="107"/>
    </row>
    <row r="25" spans="2:18">
      <c r="B25" s="172">
        <v>21</v>
      </c>
      <c r="C25" s="141"/>
      <c r="D25" s="25"/>
      <c r="E25" s="63" t="str">
        <f>IF($C25&lt;&gt;"","ALERT_" &amp; D25 &amp; "_ID_"&amp;UPPER(Matrix!$D$6) &amp; "_" &amp; $C25,"")</f>
        <v/>
      </c>
      <c r="F25" s="106"/>
      <c r="G25" s="63" t="str">
        <f t="shared" si="0"/>
        <v/>
      </c>
      <c r="O25" s="172">
        <v>21</v>
      </c>
      <c r="P25" s="141"/>
      <c r="Q25" s="141"/>
      <c r="R25" s="107"/>
    </row>
    <row r="26" spans="2:18">
      <c r="B26" s="172">
        <v>22</v>
      </c>
      <c r="C26" s="141"/>
      <c r="D26" s="25"/>
      <c r="E26" s="63" t="str">
        <f>IF($C26&lt;&gt;"","ALERT_" &amp; D26 &amp; "_ID_"&amp;UPPER(Matrix!$D$6) &amp; "_" &amp; $C26,"")</f>
        <v/>
      </c>
      <c r="F26" s="106"/>
      <c r="G26" s="63" t="str">
        <f t="shared" si="0"/>
        <v/>
      </c>
      <c r="O26" s="172">
        <v>22</v>
      </c>
      <c r="P26" s="141"/>
      <c r="Q26" s="141"/>
      <c r="R26" s="107"/>
    </row>
    <row r="27" spans="2:18">
      <c r="B27" s="172">
        <v>23</v>
      </c>
      <c r="C27" s="141"/>
      <c r="D27" s="25"/>
      <c r="E27" s="63" t="str">
        <f>IF($C27&lt;&gt;"","ALERT_" &amp; D27 &amp; "_ID_"&amp;UPPER(Matrix!$D$6) &amp; "_" &amp; $C27,"")</f>
        <v/>
      </c>
      <c r="F27" s="106"/>
      <c r="G27" s="63" t="str">
        <f t="shared" si="0"/>
        <v/>
      </c>
      <c r="O27" s="172">
        <v>23</v>
      </c>
      <c r="P27" s="141"/>
      <c r="Q27" s="141"/>
      <c r="R27" s="107"/>
    </row>
    <row r="28" spans="2:18">
      <c r="B28" s="172">
        <v>24</v>
      </c>
      <c r="C28" s="141"/>
      <c r="D28" s="25"/>
      <c r="E28" s="63" t="str">
        <f>IF($C28&lt;&gt;"","ALERT_" &amp; D28 &amp; "_ID_"&amp;UPPER(Matrix!$D$6) &amp; "_" &amp; $C28,"")</f>
        <v/>
      </c>
      <c r="F28" s="106"/>
      <c r="G28" s="63" t="str">
        <f t="shared" si="0"/>
        <v/>
      </c>
      <c r="O28" s="172">
        <v>24</v>
      </c>
      <c r="P28" s="141"/>
      <c r="Q28" s="141"/>
      <c r="R28" s="107"/>
    </row>
    <row r="29" spans="2:18" ht="13.8" thickBot="1">
      <c r="B29" s="173">
        <v>25</v>
      </c>
      <c r="C29" s="139"/>
      <c r="D29" s="49"/>
      <c r="E29" s="64" t="str">
        <f>IF($C29&lt;&gt;"","ALERT_" &amp; D29 &amp; "_ID_"&amp;UPPER(Matrix!$D$6) &amp; "_" &amp; $C29,"")</f>
        <v/>
      </c>
      <c r="F29" s="108"/>
      <c r="G29" s="64" t="str">
        <f t="shared" si="0"/>
        <v/>
      </c>
      <c r="O29" s="173">
        <v>25</v>
      </c>
      <c r="P29" s="139"/>
      <c r="Q29" s="139"/>
      <c r="R29" s="109"/>
    </row>
    <row r="32" spans="2:18" ht="13.8" thickBot="1">
      <c r="B32" t="s">
        <v>192</v>
      </c>
      <c r="O32" t="s">
        <v>189</v>
      </c>
    </row>
    <row r="33" spans="2:18" ht="13.8" thickBot="1">
      <c r="B33" s="137" t="s">
        <v>35</v>
      </c>
      <c r="C33" s="98" t="s">
        <v>180</v>
      </c>
      <c r="D33" s="98" t="s">
        <v>185</v>
      </c>
      <c r="E33" s="99" t="s">
        <v>183</v>
      </c>
      <c r="F33" s="178" t="s">
        <v>184</v>
      </c>
      <c r="G33" s="178" t="s">
        <v>196</v>
      </c>
      <c r="O33" s="137" t="s">
        <v>35</v>
      </c>
      <c r="P33" s="177" t="s">
        <v>177</v>
      </c>
      <c r="Q33" s="177" t="s">
        <v>194</v>
      </c>
      <c r="R33" s="178" t="s">
        <v>181</v>
      </c>
    </row>
    <row r="34" spans="2:18" ht="13.8" hidden="1" thickTop="1">
      <c r="B34" s="169">
        <v>0</v>
      </c>
      <c r="C34" s="170" t="s">
        <v>165</v>
      </c>
      <c r="D34" s="170"/>
      <c r="E34" s="171"/>
      <c r="F34" s="180" t="s">
        <v>165</v>
      </c>
      <c r="G34" s="183"/>
      <c r="O34" s="179">
        <v>0</v>
      </c>
      <c r="P34" s="176" t="s">
        <v>165</v>
      </c>
      <c r="Q34" s="176" t="s">
        <v>165</v>
      </c>
      <c r="R34" s="180" t="s">
        <v>165</v>
      </c>
    </row>
    <row r="35" spans="2:18" ht="13.8" thickTop="1">
      <c r="B35" s="172">
        <v>1</v>
      </c>
      <c r="C35" s="187"/>
      <c r="D35" s="101"/>
      <c r="E35" s="63" t="str">
        <f>IF($C35&lt;&gt;"","ALERT_" &amp; UPPER(Matrix!$D$6) &amp; "_" &amp; $C35,"")</f>
        <v/>
      </c>
      <c r="F35" s="188"/>
      <c r="G35" s="63" t="str">
        <f>IF(E35&lt;&gt;"",LEN(E35),"")</f>
        <v/>
      </c>
      <c r="O35" s="172">
        <v>1</v>
      </c>
      <c r="P35" s="141"/>
      <c r="Q35" s="141"/>
      <c r="R35" s="174"/>
    </row>
    <row r="36" spans="2:18">
      <c r="B36" s="172">
        <v>2</v>
      </c>
      <c r="C36" s="187"/>
      <c r="D36" s="101"/>
      <c r="E36" s="63" t="str">
        <f>IF($C36&lt;&gt;"","ALERT_" &amp; UPPER(Matrix!$D$6) &amp; "_" &amp; $C36,"")</f>
        <v/>
      </c>
      <c r="F36" s="188"/>
      <c r="G36" s="63" t="str">
        <f>IF(E36&lt;&gt;"",LEN(E36),"")</f>
        <v/>
      </c>
      <c r="O36" s="172">
        <v>2</v>
      </c>
      <c r="P36" s="141"/>
      <c r="Q36" s="141"/>
      <c r="R36" s="174"/>
    </row>
    <row r="37" spans="2:18">
      <c r="B37" s="172">
        <v>3</v>
      </c>
      <c r="C37" s="141"/>
      <c r="D37" s="25"/>
      <c r="E37" s="63" t="str">
        <f>IF($C37&lt;&gt;"","ALERT_" &amp; UPPER(Matrix!$D$6) &amp; "_" &amp; $C37,"")</f>
        <v/>
      </c>
      <c r="F37" s="174"/>
      <c r="G37" s="63" t="str">
        <f>IF(E37&lt;&gt;"",LEN(E37),"")</f>
        <v/>
      </c>
      <c r="O37" s="172">
        <v>3</v>
      </c>
      <c r="P37" s="141"/>
      <c r="Q37" s="141"/>
      <c r="R37" s="174"/>
    </row>
    <row r="38" spans="2:18">
      <c r="B38" s="172">
        <v>4</v>
      </c>
      <c r="C38" s="141"/>
      <c r="D38" s="25"/>
      <c r="E38" s="63" t="str">
        <f>IF($C38&lt;&gt;"","ALERT_" &amp; UPPER(Matrix!$D$6) &amp; "_" &amp; $C38,"")</f>
        <v/>
      </c>
      <c r="F38" s="174"/>
      <c r="G38" s="63" t="str">
        <f t="shared" ref="G38:G59" si="1">IF(E38&lt;&gt;"",LEN(E38),"")</f>
        <v/>
      </c>
      <c r="O38" s="172">
        <v>4</v>
      </c>
      <c r="P38" s="141"/>
      <c r="Q38" s="141"/>
      <c r="R38" s="174"/>
    </row>
    <row r="39" spans="2:18">
      <c r="B39" s="172">
        <v>5</v>
      </c>
      <c r="C39" s="141"/>
      <c r="D39" s="25"/>
      <c r="E39" s="63" t="str">
        <f>IF($C39&lt;&gt;"","ALERT_" &amp; UPPER(Matrix!$D$6) &amp; "_" &amp; $C39,"")</f>
        <v/>
      </c>
      <c r="F39" s="174"/>
      <c r="G39" s="63" t="str">
        <f t="shared" si="1"/>
        <v/>
      </c>
      <c r="O39" s="172">
        <v>5</v>
      </c>
      <c r="P39" s="141"/>
      <c r="Q39" s="141"/>
      <c r="R39" s="174"/>
    </row>
    <row r="40" spans="2:18">
      <c r="B40" s="172">
        <v>6</v>
      </c>
      <c r="C40" s="141"/>
      <c r="D40" s="25"/>
      <c r="E40" s="63" t="str">
        <f>IF($C40&lt;&gt;"","ALERT_" &amp; UPPER(Matrix!$D$6) &amp; "_" &amp; $C40,"")</f>
        <v/>
      </c>
      <c r="F40" s="174"/>
      <c r="G40" s="63" t="str">
        <f t="shared" si="1"/>
        <v/>
      </c>
      <c r="O40" s="172">
        <v>6</v>
      </c>
      <c r="P40" s="141"/>
      <c r="Q40" s="141"/>
      <c r="R40" s="174"/>
    </row>
    <row r="41" spans="2:18">
      <c r="B41" s="172">
        <v>7</v>
      </c>
      <c r="C41" s="141"/>
      <c r="D41" s="25"/>
      <c r="E41" s="63" t="str">
        <f>IF($C41&lt;&gt;"","ALERT_" &amp; UPPER(Matrix!$D$6) &amp; "_" &amp; $C41,"")</f>
        <v/>
      </c>
      <c r="F41" s="174"/>
      <c r="G41" s="63" t="str">
        <f t="shared" si="1"/>
        <v/>
      </c>
      <c r="O41" s="172">
        <v>7</v>
      </c>
      <c r="P41" s="141"/>
      <c r="Q41" s="141"/>
      <c r="R41" s="174"/>
    </row>
    <row r="42" spans="2:18">
      <c r="B42" s="172">
        <v>8</v>
      </c>
      <c r="C42" s="141"/>
      <c r="D42" s="25"/>
      <c r="E42" s="63" t="str">
        <f>IF($C42&lt;&gt;"","ALERT_" &amp; UPPER(Matrix!$D$6) &amp; "_" &amp; $C42,"")</f>
        <v/>
      </c>
      <c r="F42" s="174"/>
      <c r="G42" s="63" t="str">
        <f t="shared" si="1"/>
        <v/>
      </c>
      <c r="O42" s="172">
        <v>8</v>
      </c>
      <c r="P42" s="141"/>
      <c r="Q42" s="141"/>
      <c r="R42" s="174"/>
    </row>
    <row r="43" spans="2:18">
      <c r="B43" s="172">
        <v>9</v>
      </c>
      <c r="C43" s="141"/>
      <c r="D43" s="25"/>
      <c r="E43" s="63" t="str">
        <f>IF($C43&lt;&gt;"","ALERT_" &amp; UPPER(Matrix!$D$6) &amp; "_" &amp; $C43,"")</f>
        <v/>
      </c>
      <c r="F43" s="174"/>
      <c r="G43" s="63" t="str">
        <f t="shared" si="1"/>
        <v/>
      </c>
      <c r="O43" s="172">
        <v>9</v>
      </c>
      <c r="P43" s="141"/>
      <c r="Q43" s="141"/>
      <c r="R43" s="174"/>
    </row>
    <row r="44" spans="2:18">
      <c r="B44" s="172">
        <v>10</v>
      </c>
      <c r="C44" s="141"/>
      <c r="D44" s="25"/>
      <c r="E44" s="63" t="str">
        <f>IF($C44&lt;&gt;"","ALERT_" &amp; UPPER(Matrix!$D$6) &amp; "_" &amp; $C44,"")</f>
        <v/>
      </c>
      <c r="F44" s="174"/>
      <c r="G44" s="63" t="str">
        <f t="shared" si="1"/>
        <v/>
      </c>
      <c r="O44" s="172">
        <v>10</v>
      </c>
      <c r="P44" s="141"/>
      <c r="Q44" s="141"/>
      <c r="R44" s="174"/>
    </row>
    <row r="45" spans="2:18">
      <c r="B45" s="172">
        <v>11</v>
      </c>
      <c r="C45" s="141"/>
      <c r="D45" s="25"/>
      <c r="E45" s="63" t="str">
        <f>IF($C45&lt;&gt;"","ALERT_" &amp; UPPER(Matrix!$D$6) &amp; "_" &amp; $C45,"")</f>
        <v/>
      </c>
      <c r="F45" s="174"/>
      <c r="G45" s="63" t="str">
        <f t="shared" si="1"/>
        <v/>
      </c>
      <c r="O45" s="172">
        <v>11</v>
      </c>
      <c r="P45" s="141"/>
      <c r="Q45" s="141"/>
      <c r="R45" s="174"/>
    </row>
    <row r="46" spans="2:18">
      <c r="B46" s="172">
        <v>12</v>
      </c>
      <c r="C46" s="141"/>
      <c r="D46" s="25"/>
      <c r="E46" s="63" t="str">
        <f>IF($C46&lt;&gt;"","ALERT_" &amp; UPPER(Matrix!$D$6) &amp; "_" &amp; $C46,"")</f>
        <v/>
      </c>
      <c r="F46" s="174"/>
      <c r="G46" s="63" t="str">
        <f t="shared" si="1"/>
        <v/>
      </c>
      <c r="O46" s="172">
        <v>12</v>
      </c>
      <c r="P46" s="141"/>
      <c r="Q46" s="141"/>
      <c r="R46" s="174"/>
    </row>
    <row r="47" spans="2:18">
      <c r="B47" s="172">
        <v>13</v>
      </c>
      <c r="C47" s="141"/>
      <c r="D47" s="25"/>
      <c r="E47" s="63" t="str">
        <f>IF($C47&lt;&gt;"","ALERT_" &amp; UPPER(Matrix!$D$6) &amp; "_" &amp; $C47,"")</f>
        <v/>
      </c>
      <c r="F47" s="174"/>
      <c r="G47" s="63" t="str">
        <f t="shared" si="1"/>
        <v/>
      </c>
      <c r="O47" s="172">
        <v>13</v>
      </c>
      <c r="P47" s="141"/>
      <c r="Q47" s="141"/>
      <c r="R47" s="174"/>
    </row>
    <row r="48" spans="2:18">
      <c r="B48" s="172">
        <v>14</v>
      </c>
      <c r="C48" s="141"/>
      <c r="D48" s="25"/>
      <c r="E48" s="63" t="str">
        <f>IF($C48&lt;&gt;"","ALERT_" &amp; UPPER(Matrix!$D$6) &amp; "_" &amp; $C48,"")</f>
        <v/>
      </c>
      <c r="F48" s="174"/>
      <c r="G48" s="63" t="str">
        <f t="shared" si="1"/>
        <v/>
      </c>
      <c r="O48" s="172">
        <v>14</v>
      </c>
      <c r="P48" s="141"/>
      <c r="Q48" s="141"/>
      <c r="R48" s="174"/>
    </row>
    <row r="49" spans="2:18">
      <c r="B49" s="172">
        <v>15</v>
      </c>
      <c r="C49" s="141"/>
      <c r="D49" s="25"/>
      <c r="E49" s="63" t="str">
        <f>IF($C49&lt;&gt;"","ALERT_" &amp; UPPER(Matrix!$D$6) &amp; "_" &amp; $C49,"")</f>
        <v/>
      </c>
      <c r="F49" s="174"/>
      <c r="G49" s="63" t="str">
        <f t="shared" si="1"/>
        <v/>
      </c>
      <c r="O49" s="172">
        <v>15</v>
      </c>
      <c r="P49" s="141"/>
      <c r="Q49" s="141"/>
      <c r="R49" s="174"/>
    </row>
    <row r="50" spans="2:18">
      <c r="B50" s="172">
        <v>16</v>
      </c>
      <c r="C50" s="141"/>
      <c r="D50" s="25"/>
      <c r="E50" s="63" t="str">
        <f>IF($C50&lt;&gt;"","ALERT_" &amp; UPPER(Matrix!$D$6) &amp; "_" &amp; $C50,"")</f>
        <v/>
      </c>
      <c r="F50" s="174"/>
      <c r="G50" s="63" t="str">
        <f t="shared" si="1"/>
        <v/>
      </c>
      <c r="O50" s="172">
        <v>16</v>
      </c>
      <c r="P50" s="141"/>
      <c r="Q50" s="141"/>
      <c r="R50" s="174"/>
    </row>
    <row r="51" spans="2:18">
      <c r="B51" s="172">
        <v>17</v>
      </c>
      <c r="C51" s="141"/>
      <c r="D51" s="25"/>
      <c r="E51" s="63" t="str">
        <f>IF($C51&lt;&gt;"","ALERT_" &amp; UPPER(Matrix!$D$6) &amp; "_" &amp; $C51,"")</f>
        <v/>
      </c>
      <c r="F51" s="174"/>
      <c r="G51" s="63" t="str">
        <f t="shared" si="1"/>
        <v/>
      </c>
      <c r="O51" s="172">
        <v>17</v>
      </c>
      <c r="P51" s="141"/>
      <c r="Q51" s="141"/>
      <c r="R51" s="174"/>
    </row>
    <row r="52" spans="2:18">
      <c r="B52" s="172">
        <v>18</v>
      </c>
      <c r="C52" s="141"/>
      <c r="D52" s="25"/>
      <c r="E52" s="63" t="str">
        <f>IF($C52&lt;&gt;"","ALERT_" &amp; UPPER(Matrix!$D$6) &amp; "_" &amp; $C52,"")</f>
        <v/>
      </c>
      <c r="F52" s="174"/>
      <c r="G52" s="63" t="str">
        <f t="shared" si="1"/>
        <v/>
      </c>
      <c r="O52" s="172">
        <v>18</v>
      </c>
      <c r="P52" s="141"/>
      <c r="Q52" s="141"/>
      <c r="R52" s="174"/>
    </row>
    <row r="53" spans="2:18">
      <c r="B53" s="172">
        <v>19</v>
      </c>
      <c r="C53" s="141"/>
      <c r="D53" s="25"/>
      <c r="E53" s="63" t="str">
        <f>IF($C53&lt;&gt;"","ALERT_" &amp; UPPER(Matrix!$D$6) &amp; "_" &amp; $C53,"")</f>
        <v/>
      </c>
      <c r="F53" s="174"/>
      <c r="G53" s="63" t="str">
        <f t="shared" si="1"/>
        <v/>
      </c>
      <c r="O53" s="172">
        <v>19</v>
      </c>
      <c r="P53" s="141"/>
      <c r="Q53" s="141"/>
      <c r="R53" s="174"/>
    </row>
    <row r="54" spans="2:18">
      <c r="B54" s="172">
        <v>20</v>
      </c>
      <c r="C54" s="141"/>
      <c r="D54" s="25"/>
      <c r="E54" s="63" t="str">
        <f>IF($C54&lt;&gt;"","ALERT_" &amp; UPPER(Matrix!$D$6) &amp; "_" &amp; $C54,"")</f>
        <v/>
      </c>
      <c r="F54" s="174"/>
      <c r="G54" s="63" t="str">
        <f t="shared" si="1"/>
        <v/>
      </c>
      <c r="O54" s="172">
        <v>20</v>
      </c>
      <c r="P54" s="141"/>
      <c r="Q54" s="141"/>
      <c r="R54" s="174"/>
    </row>
    <row r="55" spans="2:18">
      <c r="B55" s="172">
        <v>21</v>
      </c>
      <c r="C55" s="141"/>
      <c r="D55" s="25"/>
      <c r="E55" s="63" t="str">
        <f>IF($C55&lt;&gt;"","ALERT_" &amp; UPPER(Matrix!$D$6) &amp; "_" &amp; $C55,"")</f>
        <v/>
      </c>
      <c r="F55" s="174"/>
      <c r="G55" s="63" t="str">
        <f t="shared" si="1"/>
        <v/>
      </c>
      <c r="O55" s="172">
        <v>21</v>
      </c>
      <c r="P55" s="141"/>
      <c r="Q55" s="141"/>
      <c r="R55" s="174"/>
    </row>
    <row r="56" spans="2:18">
      <c r="B56" s="172">
        <v>22</v>
      </c>
      <c r="C56" s="141"/>
      <c r="D56" s="25"/>
      <c r="E56" s="63" t="str">
        <f>IF($C56&lt;&gt;"","ALERT_" &amp; UPPER(Matrix!$D$6) &amp; "_" &amp; $C56,"")</f>
        <v/>
      </c>
      <c r="F56" s="174"/>
      <c r="G56" s="63" t="str">
        <f t="shared" si="1"/>
        <v/>
      </c>
      <c r="O56" s="172">
        <v>22</v>
      </c>
      <c r="P56" s="141"/>
      <c r="Q56" s="141"/>
      <c r="R56" s="174"/>
    </row>
    <row r="57" spans="2:18">
      <c r="B57" s="172">
        <v>23</v>
      </c>
      <c r="C57" s="141"/>
      <c r="D57" s="25"/>
      <c r="E57" s="63" t="str">
        <f>IF($C57&lt;&gt;"","ALERT_" &amp; UPPER(Matrix!$D$6) &amp; "_" &amp; $C57,"")</f>
        <v/>
      </c>
      <c r="F57" s="174"/>
      <c r="G57" s="63" t="str">
        <f t="shared" si="1"/>
        <v/>
      </c>
      <c r="O57" s="172">
        <v>23</v>
      </c>
      <c r="P57" s="141"/>
      <c r="Q57" s="141"/>
      <c r="R57" s="174"/>
    </row>
    <row r="58" spans="2:18">
      <c r="B58" s="172">
        <v>24</v>
      </c>
      <c r="C58" s="141"/>
      <c r="D58" s="25"/>
      <c r="E58" s="63" t="str">
        <f>IF($C58&lt;&gt;"","ALERT_" &amp; UPPER(Matrix!$D$6) &amp; "_" &amp; $C58,"")</f>
        <v/>
      </c>
      <c r="F58" s="174"/>
      <c r="G58" s="63" t="str">
        <f t="shared" si="1"/>
        <v/>
      </c>
      <c r="O58" s="172">
        <v>24</v>
      </c>
      <c r="P58" s="141"/>
      <c r="Q58" s="141"/>
      <c r="R58" s="174"/>
    </row>
    <row r="59" spans="2:18" ht="13.8" thickBot="1">
      <c r="B59" s="173">
        <v>25</v>
      </c>
      <c r="C59" s="139"/>
      <c r="D59" s="49"/>
      <c r="E59" s="64" t="str">
        <f>IF($C59&lt;&gt;"","ALERT_" &amp; UPPER(Matrix!$D$6) &amp; "_" &amp; $C59,"")</f>
        <v/>
      </c>
      <c r="F59" s="175"/>
      <c r="G59" s="64" t="str">
        <f t="shared" si="1"/>
        <v/>
      </c>
      <c r="O59" s="173">
        <v>25</v>
      </c>
      <c r="P59" s="139"/>
      <c r="Q59" s="139"/>
      <c r="R59" s="17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C22" sqref="C22"/>
    </sheetView>
  </sheetViews>
  <sheetFormatPr defaultRowHeight="13.2"/>
  <cols>
    <col min="2" max="2" width="28.44140625" customWidth="1"/>
    <col min="3" max="3" width="15.88671875" customWidth="1"/>
    <col min="5" max="5" width="12.44140625" customWidth="1"/>
    <col min="6" max="6" width="19.6640625" customWidth="1"/>
    <col min="7" max="7" width="12.44140625" customWidth="1"/>
    <col min="8" max="8" width="47.33203125" customWidth="1"/>
    <col min="9" max="9" width="12.44140625" customWidth="1"/>
    <col min="10" max="10" width="31.6640625" customWidth="1"/>
    <col min="11" max="11" width="12.44140625" customWidth="1"/>
    <col min="12" max="12" width="16.109375" customWidth="1"/>
    <col min="14" max="14" width="30.109375" bestFit="1" customWidth="1"/>
    <col min="15" max="15" width="57.109375" hidden="1" customWidth="1"/>
    <col min="21" max="21" width="13" hidden="1" customWidth="1"/>
  </cols>
  <sheetData>
    <row r="1" spans="1:21" ht="13.8" thickBot="1">
      <c r="C1" s="84" t="s">
        <v>103</v>
      </c>
    </row>
    <row r="2" spans="1:21" ht="13.8" thickBot="1">
      <c r="B2" s="92" t="s">
        <v>55</v>
      </c>
      <c r="C2" s="93" t="s">
        <v>125</v>
      </c>
      <c r="D2" s="94" t="s">
        <v>49</v>
      </c>
      <c r="E2" s="95" t="s">
        <v>50</v>
      </c>
      <c r="F2" s="96" t="s">
        <v>23</v>
      </c>
      <c r="G2" s="95" t="s">
        <v>51</v>
      </c>
      <c r="H2" s="96" t="s">
        <v>25</v>
      </c>
      <c r="I2" s="95" t="s">
        <v>52</v>
      </c>
      <c r="J2" s="96" t="s">
        <v>162</v>
      </c>
      <c r="K2" s="95" t="s">
        <v>53</v>
      </c>
      <c r="L2" s="96" t="s">
        <v>26</v>
      </c>
      <c r="M2" s="93" t="s">
        <v>54</v>
      </c>
      <c r="N2" s="96" t="s">
        <v>120</v>
      </c>
      <c r="O2" s="112" t="s">
        <v>81</v>
      </c>
    </row>
    <row r="3" spans="1:21" ht="14.4" hidden="1" thickTop="1" thickBot="1">
      <c r="B3" s="26"/>
      <c r="C3" s="46" t="s">
        <v>107</v>
      </c>
      <c r="D3" s="105"/>
      <c r="E3" s="12"/>
      <c r="F3" s="14"/>
      <c r="G3" s="12"/>
      <c r="H3" s="14"/>
      <c r="I3" s="12"/>
      <c r="J3" s="14"/>
      <c r="K3" s="12"/>
      <c r="L3" s="14"/>
      <c r="M3" s="47"/>
      <c r="N3" s="103"/>
      <c r="O3" s="113"/>
      <c r="U3" s="88" t="s">
        <v>97</v>
      </c>
    </row>
    <row r="4" spans="1:21" ht="13.8" thickTop="1">
      <c r="A4" s="263" t="s">
        <v>281</v>
      </c>
      <c r="B4" s="102" t="s">
        <v>277</v>
      </c>
      <c r="C4" s="248" t="s">
        <v>279</v>
      </c>
      <c r="D4" s="110">
        <v>0</v>
      </c>
      <c r="E4" s="189" t="s">
        <v>129</v>
      </c>
      <c r="F4" s="190" t="s">
        <v>31</v>
      </c>
      <c r="G4" s="249" t="s">
        <v>257</v>
      </c>
      <c r="H4" s="250" t="s">
        <v>258</v>
      </c>
      <c r="I4" s="189" t="s">
        <v>129</v>
      </c>
      <c r="J4" s="190" t="s">
        <v>31</v>
      </c>
      <c r="K4" s="189" t="s">
        <v>129</v>
      </c>
      <c r="L4" s="190" t="s">
        <v>31</v>
      </c>
      <c r="M4" s="47">
        <f ca="1">LEN(N4)</f>
        <v>29</v>
      </c>
      <c r="N4" s="103" t="str">
        <f ca="1">VLOOKUP($B4,Matrix!$H$13:$I$37,2,FALSE)&amp;"_"&amp;C4</f>
        <v>ALERT_REQ_S_ADBZR_APP_DISCONT</v>
      </c>
      <c r="O4" s="113" t="str">
        <f t="shared" ref="O4:O35" ca="1" si="0">"#define "&amp;N4&amp;REPT(" ",48-M4)&amp;"("&amp;D4&amp;"U)"</f>
        <v>#define ALERT_REQ_S_ADBZR_APP_DISCONT                   (0U)</v>
      </c>
      <c r="U4" s="88" t="s">
        <v>97</v>
      </c>
    </row>
    <row r="5" spans="1:21">
      <c r="A5" s="263" t="s">
        <v>281</v>
      </c>
      <c r="B5" s="102" t="s">
        <v>277</v>
      </c>
      <c r="C5" s="101" t="s">
        <v>199</v>
      </c>
      <c r="D5" s="111">
        <v>1</v>
      </c>
      <c r="E5" s="102" t="s">
        <v>129</v>
      </c>
      <c r="F5" s="191" t="s">
        <v>31</v>
      </c>
      <c r="G5" s="251" t="s">
        <v>165</v>
      </c>
      <c r="H5" s="252" t="s">
        <v>259</v>
      </c>
      <c r="I5" s="102" t="s">
        <v>129</v>
      </c>
      <c r="J5" s="191" t="s">
        <v>31</v>
      </c>
      <c r="K5" s="102" t="s">
        <v>129</v>
      </c>
      <c r="L5" s="191" t="s">
        <v>31</v>
      </c>
      <c r="M5" s="42">
        <f t="shared" ref="M5:M68" ca="1" si="1">LEN(N5)</f>
        <v>32</v>
      </c>
      <c r="N5" s="103" t="str">
        <f ca="1">VLOOKUP($B5,Matrix!$H$13:$I$37,2,FALSE)&amp;"_"&amp;C5</f>
        <v>ALERT_REQ_S_ADBZR_APP_COMPLETION</v>
      </c>
      <c r="O5" s="114" t="str">
        <f t="shared" ca="1" si="0"/>
        <v>#define ALERT_REQ_S_ADBZR_APP_COMPLETION                (1U)</v>
      </c>
      <c r="U5" s="86" t="s">
        <v>98</v>
      </c>
    </row>
    <row r="6" spans="1:21">
      <c r="B6" s="102"/>
      <c r="C6" s="101"/>
      <c r="D6" s="110"/>
      <c r="E6" s="102"/>
      <c r="F6" s="191"/>
      <c r="G6" s="102"/>
      <c r="H6" s="191"/>
      <c r="I6" s="102"/>
      <c r="J6" s="191"/>
      <c r="K6" s="102"/>
      <c r="L6" s="191"/>
      <c r="M6" s="42" t="e">
        <f t="shared" ca="1" si="1"/>
        <v>#N/A</v>
      </c>
      <c r="N6" s="103" t="e">
        <f ca="1">VLOOKUP($B6,Matrix!$H$13:$I$37,2,FALSE)&amp;"_"&amp;C6</f>
        <v>#N/A</v>
      </c>
      <c r="O6" s="114" t="e">
        <f t="shared" ca="1" si="0"/>
        <v>#N/A</v>
      </c>
      <c r="U6" s="31" t="s">
        <v>99</v>
      </c>
    </row>
    <row r="7" spans="1:21">
      <c r="B7" s="102"/>
      <c r="C7" s="101"/>
      <c r="D7" s="111"/>
      <c r="E7" s="102"/>
      <c r="F7" s="191"/>
      <c r="G7" s="102"/>
      <c r="H7" s="191"/>
      <c r="I7" s="102"/>
      <c r="J7" s="191"/>
      <c r="K7" s="102"/>
      <c r="L7" s="191"/>
      <c r="M7" s="42" t="e">
        <f t="shared" ca="1" si="1"/>
        <v>#N/A</v>
      </c>
      <c r="N7" s="103" t="e">
        <f ca="1">VLOOKUP($B7,Matrix!$H$13:$I$37,2,FALSE)&amp;"_"&amp;C7</f>
        <v>#N/A</v>
      </c>
      <c r="O7" s="114" t="e">
        <f t="shared" ca="1" si="0"/>
        <v>#N/A</v>
      </c>
      <c r="U7" s="31" t="s">
        <v>100</v>
      </c>
    </row>
    <row r="8" spans="1:21">
      <c r="B8" s="102"/>
      <c r="C8" s="101"/>
      <c r="D8" s="111"/>
      <c r="E8" s="102"/>
      <c r="F8" s="191"/>
      <c r="G8" s="102"/>
      <c r="H8" s="191"/>
      <c r="I8" s="102"/>
      <c r="J8" s="191"/>
      <c r="K8" s="102"/>
      <c r="L8" s="191"/>
      <c r="M8" s="42" t="e">
        <f t="shared" ca="1" si="1"/>
        <v>#N/A</v>
      </c>
      <c r="N8" s="103" t="e">
        <f ca="1">VLOOKUP($B8,Matrix!$H$13:$I$37,2,FALSE)&amp;"_"&amp;C8</f>
        <v>#N/A</v>
      </c>
      <c r="O8" s="114" t="e">
        <f t="shared" ca="1" si="0"/>
        <v>#N/A</v>
      </c>
      <c r="U8" s="31" t="s">
        <v>101</v>
      </c>
    </row>
    <row r="9" spans="1:21">
      <c r="B9" s="102"/>
      <c r="C9" s="101"/>
      <c r="D9" s="111"/>
      <c r="E9" s="102"/>
      <c r="F9" s="191"/>
      <c r="G9" s="102"/>
      <c r="H9" s="191"/>
      <c r="I9" s="102"/>
      <c r="J9" s="191"/>
      <c r="K9" s="102"/>
      <c r="L9" s="191"/>
      <c r="M9" s="42" t="e">
        <f t="shared" ca="1" si="1"/>
        <v>#N/A</v>
      </c>
      <c r="N9" s="103" t="e">
        <f ca="1">VLOOKUP($B9,Matrix!$H$13:$I$37,2,FALSE)&amp;"_"&amp;C9</f>
        <v>#N/A</v>
      </c>
      <c r="O9" s="114" t="e">
        <f t="shared" ca="1" si="0"/>
        <v>#N/A</v>
      </c>
      <c r="U9" s="31" t="s">
        <v>102</v>
      </c>
    </row>
    <row r="10" spans="1:21">
      <c r="B10" s="102"/>
      <c r="C10" s="101"/>
      <c r="D10" s="111"/>
      <c r="E10" s="102"/>
      <c r="F10" s="191"/>
      <c r="G10" s="102"/>
      <c r="H10" s="191"/>
      <c r="I10" s="102"/>
      <c r="J10" s="191"/>
      <c r="K10" s="102"/>
      <c r="L10" s="191"/>
      <c r="M10" s="42" t="e">
        <f t="shared" ca="1" si="1"/>
        <v>#N/A</v>
      </c>
      <c r="N10" s="103" t="e">
        <f ca="1">VLOOKUP($B10,Matrix!$H$13:$I$37,2,FALSE)&amp;"_"&amp;C10</f>
        <v>#N/A</v>
      </c>
      <c r="O10" s="114" t="e">
        <f t="shared" ca="1" si="0"/>
        <v>#N/A</v>
      </c>
      <c r="U10" s="31"/>
    </row>
    <row r="11" spans="1:21">
      <c r="B11" s="102"/>
      <c r="C11" s="101"/>
      <c r="D11" s="111"/>
      <c r="E11" s="102"/>
      <c r="F11" s="191"/>
      <c r="G11" s="102"/>
      <c r="H11" s="191"/>
      <c r="I11" s="102"/>
      <c r="J11" s="191"/>
      <c r="K11" s="102"/>
      <c r="L11" s="191"/>
      <c r="M11" s="42" t="e">
        <f t="shared" ca="1" si="1"/>
        <v>#N/A</v>
      </c>
      <c r="N11" s="103" t="e">
        <f ca="1">VLOOKUP($B11,Matrix!$H$13:$I$37,2,FALSE)&amp;"_"&amp;C11</f>
        <v>#N/A</v>
      </c>
      <c r="O11" s="114" t="e">
        <f t="shared" ca="1" si="0"/>
        <v>#N/A</v>
      </c>
      <c r="U11" s="31"/>
    </row>
    <row r="12" spans="1:21">
      <c r="B12" s="102"/>
      <c r="C12" s="101"/>
      <c r="D12" s="111"/>
      <c r="E12" s="102"/>
      <c r="F12" s="191"/>
      <c r="G12" s="102"/>
      <c r="H12" s="191"/>
      <c r="I12" s="102"/>
      <c r="J12" s="191"/>
      <c r="K12" s="102"/>
      <c r="L12" s="191"/>
      <c r="M12" s="42" t="e">
        <f t="shared" ca="1" si="1"/>
        <v>#N/A</v>
      </c>
      <c r="N12" s="103" t="e">
        <f ca="1">VLOOKUP($B12,Matrix!$H$13:$I$37,2,FALSE)&amp;"_"&amp;C12</f>
        <v>#N/A</v>
      </c>
      <c r="O12" s="114" t="e">
        <f t="shared" ca="1" si="0"/>
        <v>#N/A</v>
      </c>
      <c r="U12" s="31"/>
    </row>
    <row r="13" spans="1:21" ht="13.8" thickBot="1">
      <c r="B13" s="102"/>
      <c r="C13" s="101"/>
      <c r="D13" s="111"/>
      <c r="E13" s="102"/>
      <c r="F13" s="191"/>
      <c r="G13" s="102"/>
      <c r="H13" s="191"/>
      <c r="I13" s="102"/>
      <c r="J13" s="191"/>
      <c r="K13" s="102"/>
      <c r="L13" s="191"/>
      <c r="M13" s="42" t="e">
        <f t="shared" ca="1" si="1"/>
        <v>#N/A</v>
      </c>
      <c r="N13" s="103" t="e">
        <f ca="1">VLOOKUP($B13,Matrix!$H$13:$I$37,2,FALSE)&amp;"_"&amp;C13</f>
        <v>#N/A</v>
      </c>
      <c r="O13" s="114" t="e">
        <f t="shared" ca="1" si="0"/>
        <v>#N/A</v>
      </c>
      <c r="U13" s="87"/>
    </row>
    <row r="14" spans="1:21">
      <c r="B14" s="102"/>
      <c r="C14" s="101"/>
      <c r="D14" s="111"/>
      <c r="E14" s="102"/>
      <c r="F14" s="191"/>
      <c r="G14" s="102"/>
      <c r="H14" s="191"/>
      <c r="I14" s="102"/>
      <c r="J14" s="191"/>
      <c r="K14" s="102"/>
      <c r="L14" s="191"/>
      <c r="M14" s="42" t="e">
        <f t="shared" ca="1" si="1"/>
        <v>#N/A</v>
      </c>
      <c r="N14" s="103" t="e">
        <f ca="1">VLOOKUP($B14,Matrix!$H$13:$I$37,2,FALSE)&amp;"_"&amp;C14</f>
        <v>#N/A</v>
      </c>
      <c r="O14" s="114" t="e">
        <f t="shared" ca="1" si="0"/>
        <v>#N/A</v>
      </c>
    </row>
    <row r="15" spans="1:21">
      <c r="B15" s="102"/>
      <c r="C15" s="101"/>
      <c r="D15" s="111"/>
      <c r="E15" s="102"/>
      <c r="F15" s="191"/>
      <c r="G15" s="102"/>
      <c r="H15" s="191"/>
      <c r="I15" s="102"/>
      <c r="J15" s="191"/>
      <c r="K15" s="102"/>
      <c r="L15" s="191"/>
      <c r="M15" s="42" t="e">
        <f t="shared" ca="1" si="1"/>
        <v>#N/A</v>
      </c>
      <c r="N15" s="103" t="e">
        <f ca="1">VLOOKUP($B15,Matrix!$H$13:$I$37,2,FALSE)&amp;"_"&amp;C15</f>
        <v>#N/A</v>
      </c>
      <c r="O15" s="114" t="e">
        <f t="shared" ca="1" si="0"/>
        <v>#N/A</v>
      </c>
    </row>
    <row r="16" spans="1:21">
      <c r="B16" s="102"/>
      <c r="C16" s="101"/>
      <c r="D16" s="111"/>
      <c r="E16" s="102"/>
      <c r="F16" s="191"/>
      <c r="G16" s="102"/>
      <c r="H16" s="191"/>
      <c r="I16" s="102"/>
      <c r="J16" s="191"/>
      <c r="K16" s="102"/>
      <c r="L16" s="191"/>
      <c r="M16" s="42" t="e">
        <f t="shared" ca="1" si="1"/>
        <v>#N/A</v>
      </c>
      <c r="N16" s="103" t="e">
        <f ca="1">VLOOKUP($B16,Matrix!$H$13:$I$37,2,FALSE)&amp;"_"&amp;C16</f>
        <v>#N/A</v>
      </c>
      <c r="O16" s="114" t="e">
        <f t="shared" ca="1" si="0"/>
        <v>#N/A</v>
      </c>
    </row>
    <row r="17" spans="2:15">
      <c r="B17" s="102"/>
      <c r="C17" s="101"/>
      <c r="D17" s="111"/>
      <c r="E17" s="102"/>
      <c r="F17" s="191"/>
      <c r="G17" s="102"/>
      <c r="H17" s="191"/>
      <c r="I17" s="102"/>
      <c r="J17" s="191"/>
      <c r="K17" s="102"/>
      <c r="L17" s="191"/>
      <c r="M17" s="42" t="e">
        <f t="shared" ca="1" si="1"/>
        <v>#N/A</v>
      </c>
      <c r="N17" s="103" t="e">
        <f ca="1">VLOOKUP($B17,Matrix!$H$13:$I$37,2,FALSE)&amp;"_"&amp;C17</f>
        <v>#N/A</v>
      </c>
      <c r="O17" s="114" t="e">
        <f t="shared" ca="1" si="0"/>
        <v>#N/A</v>
      </c>
    </row>
    <row r="18" spans="2:15">
      <c r="B18" s="102"/>
      <c r="C18" s="101"/>
      <c r="D18" s="111"/>
      <c r="E18" s="102"/>
      <c r="F18" s="191"/>
      <c r="G18" s="102"/>
      <c r="H18" s="191"/>
      <c r="I18" s="102"/>
      <c r="J18" s="191"/>
      <c r="K18" s="102"/>
      <c r="L18" s="191"/>
      <c r="M18" s="42" t="e">
        <f t="shared" ca="1" si="1"/>
        <v>#N/A</v>
      </c>
      <c r="N18" s="103" t="e">
        <f ca="1">VLOOKUP($B18,Matrix!$H$13:$I$37,2,FALSE)&amp;"_"&amp;C18</f>
        <v>#N/A</v>
      </c>
      <c r="O18" s="114" t="e">
        <f t="shared" ca="1" si="0"/>
        <v>#N/A</v>
      </c>
    </row>
    <row r="19" spans="2:15">
      <c r="B19" s="102"/>
      <c r="C19" s="101"/>
      <c r="D19" s="111"/>
      <c r="E19" s="102"/>
      <c r="F19" s="191"/>
      <c r="G19" s="102"/>
      <c r="H19" s="191"/>
      <c r="I19" s="102"/>
      <c r="J19" s="191"/>
      <c r="K19" s="102"/>
      <c r="L19" s="191"/>
      <c r="M19" s="42" t="e">
        <f t="shared" ca="1" si="1"/>
        <v>#N/A</v>
      </c>
      <c r="N19" s="103" t="e">
        <f ca="1">VLOOKUP($B19,Matrix!$H$13:$I$37,2,FALSE)&amp;"_"&amp;C19</f>
        <v>#N/A</v>
      </c>
      <c r="O19" s="114" t="e">
        <f t="shared" ca="1" si="0"/>
        <v>#N/A</v>
      </c>
    </row>
    <row r="20" spans="2:15">
      <c r="B20" s="102"/>
      <c r="C20" s="101"/>
      <c r="D20" s="111"/>
      <c r="E20" s="102"/>
      <c r="F20" s="191"/>
      <c r="G20" s="102"/>
      <c r="H20" s="191"/>
      <c r="I20" s="102"/>
      <c r="J20" s="191"/>
      <c r="K20" s="102"/>
      <c r="L20" s="191"/>
      <c r="M20" s="42" t="e">
        <f t="shared" ca="1" si="1"/>
        <v>#N/A</v>
      </c>
      <c r="N20" s="103" t="e">
        <f ca="1">VLOOKUP($B20,Matrix!$H$13:$I$37,2,FALSE)&amp;"_"&amp;C20</f>
        <v>#N/A</v>
      </c>
      <c r="O20" s="114" t="e">
        <f t="shared" ca="1" si="0"/>
        <v>#N/A</v>
      </c>
    </row>
    <row r="21" spans="2:15">
      <c r="B21" s="102"/>
      <c r="C21" s="101"/>
      <c r="D21" s="111"/>
      <c r="E21" s="102"/>
      <c r="F21" s="191"/>
      <c r="G21" s="102"/>
      <c r="H21" s="191"/>
      <c r="I21" s="102"/>
      <c r="J21" s="191"/>
      <c r="K21" s="102"/>
      <c r="L21" s="191"/>
      <c r="M21" s="42" t="e">
        <f t="shared" ca="1" si="1"/>
        <v>#N/A</v>
      </c>
      <c r="N21" s="103" t="e">
        <f ca="1">VLOOKUP($B21,Matrix!$H$13:$I$37,2,FALSE)&amp;"_"&amp;C21</f>
        <v>#N/A</v>
      </c>
      <c r="O21" s="114" t="e">
        <f t="shared" ca="1" si="0"/>
        <v>#N/A</v>
      </c>
    </row>
    <row r="22" spans="2:15">
      <c r="B22" s="102"/>
      <c r="C22" s="101"/>
      <c r="D22" s="111"/>
      <c r="E22" s="102"/>
      <c r="F22" s="191"/>
      <c r="G22" s="102"/>
      <c r="H22" s="191"/>
      <c r="I22" s="102"/>
      <c r="J22" s="191"/>
      <c r="K22" s="102"/>
      <c r="L22" s="191"/>
      <c r="M22" s="42" t="e">
        <f t="shared" ca="1" si="1"/>
        <v>#N/A</v>
      </c>
      <c r="N22" s="103" t="e">
        <f ca="1">VLOOKUP($B22,Matrix!$H$13:$I$37,2,FALSE)&amp;"_"&amp;C22</f>
        <v>#N/A</v>
      </c>
      <c r="O22" s="114" t="e">
        <f t="shared" ca="1" si="0"/>
        <v>#N/A</v>
      </c>
    </row>
    <row r="23" spans="2:15">
      <c r="B23" s="26"/>
      <c r="C23" s="25"/>
      <c r="D23" s="106"/>
      <c r="E23" s="26"/>
      <c r="F23" s="107"/>
      <c r="G23" s="26"/>
      <c r="H23" s="107"/>
      <c r="I23" s="26"/>
      <c r="J23" s="107"/>
      <c r="K23" s="26"/>
      <c r="L23" s="107"/>
      <c r="M23" s="42" t="e">
        <f t="shared" ca="1" si="1"/>
        <v>#N/A</v>
      </c>
      <c r="N23" s="103" t="e">
        <f ca="1">VLOOKUP($B23,Matrix!$H$13:$I$37,2,FALSE)&amp;"_"&amp;C23</f>
        <v>#N/A</v>
      </c>
      <c r="O23" s="114" t="e">
        <f t="shared" ca="1" si="0"/>
        <v>#N/A</v>
      </c>
    </row>
    <row r="24" spans="2:15">
      <c r="B24" s="26"/>
      <c r="C24" s="25"/>
      <c r="D24" s="106"/>
      <c r="E24" s="26"/>
      <c r="F24" s="107"/>
      <c r="G24" s="26"/>
      <c r="H24" s="107"/>
      <c r="I24" s="26"/>
      <c r="J24" s="107"/>
      <c r="K24" s="26"/>
      <c r="L24" s="107"/>
      <c r="M24" s="42" t="e">
        <f t="shared" ca="1" si="1"/>
        <v>#N/A</v>
      </c>
      <c r="N24" s="103" t="e">
        <f ca="1">VLOOKUP($B24,Matrix!$H$13:$I$37,2,FALSE)&amp;"_"&amp;C24</f>
        <v>#N/A</v>
      </c>
      <c r="O24" s="114" t="e">
        <f t="shared" ca="1" si="0"/>
        <v>#N/A</v>
      </c>
    </row>
    <row r="25" spans="2:15">
      <c r="B25" s="26"/>
      <c r="C25" s="25"/>
      <c r="D25" s="106"/>
      <c r="E25" s="26"/>
      <c r="F25" s="107"/>
      <c r="G25" s="26"/>
      <c r="H25" s="107"/>
      <c r="I25" s="26"/>
      <c r="J25" s="107"/>
      <c r="K25" s="26"/>
      <c r="L25" s="107"/>
      <c r="M25" s="42" t="e">
        <f t="shared" ca="1" si="1"/>
        <v>#N/A</v>
      </c>
      <c r="N25" s="103" t="e">
        <f ca="1">VLOOKUP($B25,Matrix!$H$13:$I$37,2,FALSE)&amp;"_"&amp;C25</f>
        <v>#N/A</v>
      </c>
      <c r="O25" s="114" t="e">
        <f t="shared" ca="1" si="0"/>
        <v>#N/A</v>
      </c>
    </row>
    <row r="26" spans="2:15">
      <c r="B26" s="26"/>
      <c r="C26" s="25"/>
      <c r="D26" s="106"/>
      <c r="E26" s="26"/>
      <c r="F26" s="107"/>
      <c r="G26" s="26"/>
      <c r="H26" s="107"/>
      <c r="I26" s="26"/>
      <c r="J26" s="107"/>
      <c r="K26" s="26"/>
      <c r="L26" s="107"/>
      <c r="M26" s="42" t="e">
        <f t="shared" ca="1" si="1"/>
        <v>#N/A</v>
      </c>
      <c r="N26" s="103" t="e">
        <f ca="1">VLOOKUP($B26,Matrix!$H$13:$I$37,2,FALSE)&amp;"_"&amp;C26</f>
        <v>#N/A</v>
      </c>
      <c r="O26" s="114" t="e">
        <f t="shared" ca="1" si="0"/>
        <v>#N/A</v>
      </c>
    </row>
    <row r="27" spans="2:15">
      <c r="B27" s="26"/>
      <c r="C27" s="25"/>
      <c r="D27" s="106"/>
      <c r="E27" s="26"/>
      <c r="F27" s="107"/>
      <c r="G27" s="26"/>
      <c r="H27" s="107"/>
      <c r="I27" s="26"/>
      <c r="J27" s="107"/>
      <c r="K27" s="26"/>
      <c r="L27" s="107"/>
      <c r="M27" s="42" t="e">
        <f t="shared" ca="1" si="1"/>
        <v>#N/A</v>
      </c>
      <c r="N27" s="103" t="e">
        <f ca="1">VLOOKUP($B27,Matrix!$H$13:$I$37,2,FALSE)&amp;"_"&amp;C27</f>
        <v>#N/A</v>
      </c>
      <c r="O27" s="114" t="e">
        <f t="shared" ca="1" si="0"/>
        <v>#N/A</v>
      </c>
    </row>
    <row r="28" spans="2:15">
      <c r="B28" s="26"/>
      <c r="C28" s="25"/>
      <c r="D28" s="106"/>
      <c r="E28" s="26"/>
      <c r="F28" s="107"/>
      <c r="G28" s="26"/>
      <c r="H28" s="107"/>
      <c r="I28" s="26"/>
      <c r="J28" s="107"/>
      <c r="K28" s="26"/>
      <c r="L28" s="107"/>
      <c r="M28" s="42" t="e">
        <f t="shared" ca="1" si="1"/>
        <v>#N/A</v>
      </c>
      <c r="N28" s="103" t="e">
        <f ca="1">VLOOKUP($B28,Matrix!$H$13:$I$37,2,FALSE)&amp;"_"&amp;C28</f>
        <v>#N/A</v>
      </c>
      <c r="O28" s="114" t="e">
        <f t="shared" ca="1" si="0"/>
        <v>#N/A</v>
      </c>
    </row>
    <row r="29" spans="2:15">
      <c r="B29" s="26"/>
      <c r="C29" s="25"/>
      <c r="D29" s="106"/>
      <c r="E29" s="26"/>
      <c r="F29" s="107"/>
      <c r="G29" s="26"/>
      <c r="H29" s="107"/>
      <c r="I29" s="26"/>
      <c r="J29" s="107"/>
      <c r="K29" s="26"/>
      <c r="L29" s="107"/>
      <c r="M29" s="42" t="e">
        <f t="shared" ca="1" si="1"/>
        <v>#N/A</v>
      </c>
      <c r="N29" s="103" t="e">
        <f ca="1">VLOOKUP($B29,Matrix!$H$13:$I$37,2,FALSE)&amp;"_"&amp;C29</f>
        <v>#N/A</v>
      </c>
      <c r="O29" s="114" t="e">
        <f t="shared" ca="1" si="0"/>
        <v>#N/A</v>
      </c>
    </row>
    <row r="30" spans="2:15">
      <c r="B30" s="26"/>
      <c r="C30" s="25"/>
      <c r="D30" s="106"/>
      <c r="E30" s="26"/>
      <c r="F30" s="107"/>
      <c r="G30" s="26"/>
      <c r="H30" s="107"/>
      <c r="I30" s="26"/>
      <c r="J30" s="107"/>
      <c r="K30" s="26"/>
      <c r="L30" s="107"/>
      <c r="M30" s="42" t="e">
        <f t="shared" ca="1" si="1"/>
        <v>#N/A</v>
      </c>
      <c r="N30" s="103" t="e">
        <f ca="1">VLOOKUP($B30,Matrix!$H$13:$I$37,2,FALSE)&amp;"_"&amp;C30</f>
        <v>#N/A</v>
      </c>
      <c r="O30" s="114" t="e">
        <f t="shared" ca="1" si="0"/>
        <v>#N/A</v>
      </c>
    </row>
    <row r="31" spans="2:15">
      <c r="B31" s="26"/>
      <c r="C31" s="25"/>
      <c r="D31" s="106"/>
      <c r="E31" s="26"/>
      <c r="F31" s="107"/>
      <c r="G31" s="26"/>
      <c r="H31" s="107"/>
      <c r="I31" s="26"/>
      <c r="J31" s="107"/>
      <c r="K31" s="26"/>
      <c r="L31" s="107"/>
      <c r="M31" s="42" t="e">
        <f t="shared" ca="1" si="1"/>
        <v>#N/A</v>
      </c>
      <c r="N31" s="103" t="e">
        <f ca="1">VLOOKUP($B31,Matrix!$H$13:$I$37,2,FALSE)&amp;"_"&amp;C31</f>
        <v>#N/A</v>
      </c>
      <c r="O31" s="114" t="e">
        <f t="shared" ca="1" si="0"/>
        <v>#N/A</v>
      </c>
    </row>
    <row r="32" spans="2:15">
      <c r="B32" s="26"/>
      <c r="C32" s="101"/>
      <c r="D32" s="106"/>
      <c r="E32" s="26"/>
      <c r="F32" s="107"/>
      <c r="G32" s="26"/>
      <c r="H32" s="107"/>
      <c r="I32" s="26"/>
      <c r="J32" s="107"/>
      <c r="K32" s="26"/>
      <c r="L32" s="107"/>
      <c r="M32" s="42" t="e">
        <f t="shared" ca="1" si="1"/>
        <v>#N/A</v>
      </c>
      <c r="N32" s="103" t="e">
        <f ca="1">VLOOKUP($B32,Matrix!$H$13:$I$37,2,FALSE)&amp;"_"&amp;C32</f>
        <v>#N/A</v>
      </c>
      <c r="O32" s="114" t="e">
        <f t="shared" ca="1" si="0"/>
        <v>#N/A</v>
      </c>
    </row>
    <row r="33" spans="2:15">
      <c r="B33" s="26"/>
      <c r="C33" s="101"/>
      <c r="D33" s="106"/>
      <c r="E33" s="26"/>
      <c r="F33" s="107"/>
      <c r="G33" s="26"/>
      <c r="H33" s="107"/>
      <c r="I33" s="26"/>
      <c r="J33" s="107"/>
      <c r="K33" s="26"/>
      <c r="L33" s="107"/>
      <c r="M33" s="42" t="e">
        <f t="shared" ca="1" si="1"/>
        <v>#N/A</v>
      </c>
      <c r="N33" s="103" t="e">
        <f ca="1">VLOOKUP($B33,Matrix!$H$13:$I$37,2,FALSE)&amp;"_"&amp;C33</f>
        <v>#N/A</v>
      </c>
      <c r="O33" s="114" t="e">
        <f t="shared" ca="1" si="0"/>
        <v>#N/A</v>
      </c>
    </row>
    <row r="34" spans="2:15">
      <c r="B34" s="26"/>
      <c r="C34" s="101"/>
      <c r="D34" s="106"/>
      <c r="E34" s="26"/>
      <c r="F34" s="107"/>
      <c r="G34" s="26"/>
      <c r="H34" s="107"/>
      <c r="I34" s="26"/>
      <c r="J34" s="107"/>
      <c r="K34" s="26"/>
      <c r="L34" s="107"/>
      <c r="M34" s="42" t="e">
        <f t="shared" ca="1" si="1"/>
        <v>#N/A</v>
      </c>
      <c r="N34" s="103" t="e">
        <f ca="1">VLOOKUP($B34,Matrix!$H$13:$I$37,2,FALSE)&amp;"_"&amp;C34</f>
        <v>#N/A</v>
      </c>
      <c r="O34" s="114" t="e">
        <f t="shared" ca="1" si="0"/>
        <v>#N/A</v>
      </c>
    </row>
    <row r="35" spans="2:15">
      <c r="B35" s="26"/>
      <c r="C35" s="101"/>
      <c r="D35" s="106"/>
      <c r="E35" s="26"/>
      <c r="F35" s="107"/>
      <c r="G35" s="26"/>
      <c r="H35" s="107"/>
      <c r="I35" s="26"/>
      <c r="J35" s="107"/>
      <c r="K35" s="26"/>
      <c r="L35" s="107"/>
      <c r="M35" s="42" t="e">
        <f t="shared" ca="1" si="1"/>
        <v>#N/A</v>
      </c>
      <c r="N35" s="103" t="e">
        <f ca="1">VLOOKUP($B35,Matrix!$H$13:$I$37,2,FALSE)&amp;"_"&amp;C35</f>
        <v>#N/A</v>
      </c>
      <c r="O35" s="114" t="e">
        <f t="shared" ca="1" si="0"/>
        <v>#N/A</v>
      </c>
    </row>
    <row r="36" spans="2:15">
      <c r="B36" s="26"/>
      <c r="C36" s="101"/>
      <c r="D36" s="106"/>
      <c r="E36" s="26"/>
      <c r="F36" s="107"/>
      <c r="G36" s="26"/>
      <c r="H36" s="107"/>
      <c r="I36" s="26"/>
      <c r="J36" s="107"/>
      <c r="K36" s="26"/>
      <c r="L36" s="107"/>
      <c r="M36" s="42" t="e">
        <f t="shared" ca="1" si="1"/>
        <v>#N/A</v>
      </c>
      <c r="N36" s="103" t="e">
        <f ca="1">VLOOKUP($B36,Matrix!$H$13:$I$37,2,FALSE)&amp;"_"&amp;C36</f>
        <v>#N/A</v>
      </c>
      <c r="O36" s="114" t="e">
        <f t="shared" ref="O36:O67" ca="1" si="2">"#define "&amp;N36&amp;REPT(" ",48-M36)&amp;"("&amp;D36&amp;"U)"</f>
        <v>#N/A</v>
      </c>
    </row>
    <row r="37" spans="2:15">
      <c r="B37" s="26"/>
      <c r="C37" s="101"/>
      <c r="D37" s="106"/>
      <c r="E37" s="26"/>
      <c r="F37" s="107"/>
      <c r="G37" s="26"/>
      <c r="H37" s="107"/>
      <c r="I37" s="26"/>
      <c r="J37" s="107"/>
      <c r="K37" s="26"/>
      <c r="L37" s="107"/>
      <c r="M37" s="42" t="e">
        <f t="shared" ca="1" si="1"/>
        <v>#N/A</v>
      </c>
      <c r="N37" s="103" t="e">
        <f ca="1">VLOOKUP($B37,Matrix!$H$13:$I$37,2,FALSE)&amp;"_"&amp;C37</f>
        <v>#N/A</v>
      </c>
      <c r="O37" s="114" t="e">
        <f t="shared" ca="1" si="2"/>
        <v>#N/A</v>
      </c>
    </row>
    <row r="38" spans="2:15">
      <c r="B38" s="26"/>
      <c r="C38" s="101"/>
      <c r="D38" s="106"/>
      <c r="E38" s="26"/>
      <c r="F38" s="107"/>
      <c r="G38" s="26"/>
      <c r="H38" s="107"/>
      <c r="I38" s="26"/>
      <c r="J38" s="107"/>
      <c r="K38" s="26"/>
      <c r="L38" s="107"/>
      <c r="M38" s="42" t="e">
        <f t="shared" ca="1" si="1"/>
        <v>#N/A</v>
      </c>
      <c r="N38" s="103" t="e">
        <f ca="1">VLOOKUP($B38,Matrix!$H$13:$I$37,2,FALSE)&amp;"_"&amp;C38</f>
        <v>#N/A</v>
      </c>
      <c r="O38" s="114" t="e">
        <f t="shared" ca="1" si="2"/>
        <v>#N/A</v>
      </c>
    </row>
    <row r="39" spans="2:15">
      <c r="B39" s="26"/>
      <c r="C39" s="101"/>
      <c r="D39" s="106"/>
      <c r="E39" s="26"/>
      <c r="F39" s="107"/>
      <c r="G39" s="26"/>
      <c r="H39" s="107"/>
      <c r="I39" s="26"/>
      <c r="J39" s="107"/>
      <c r="K39" s="26"/>
      <c r="L39" s="107"/>
      <c r="M39" s="42" t="e">
        <f t="shared" ca="1" si="1"/>
        <v>#N/A</v>
      </c>
      <c r="N39" s="103" t="e">
        <f ca="1">VLOOKUP($B39,Matrix!$H$13:$I$37,2,FALSE)&amp;"_"&amp;C39</f>
        <v>#N/A</v>
      </c>
      <c r="O39" s="114" t="e">
        <f t="shared" ca="1" si="2"/>
        <v>#N/A</v>
      </c>
    </row>
    <row r="40" spans="2:15">
      <c r="B40" s="26"/>
      <c r="C40" s="101"/>
      <c r="D40" s="106"/>
      <c r="E40" s="26"/>
      <c r="F40" s="107"/>
      <c r="G40" s="26"/>
      <c r="H40" s="107"/>
      <c r="I40" s="26"/>
      <c r="J40" s="107"/>
      <c r="K40" s="26"/>
      <c r="L40" s="107"/>
      <c r="M40" s="42" t="e">
        <f t="shared" ca="1" si="1"/>
        <v>#N/A</v>
      </c>
      <c r="N40" s="103" t="e">
        <f ca="1">VLOOKUP($B40,Matrix!$H$13:$I$37,2,FALSE)&amp;"_"&amp;C40</f>
        <v>#N/A</v>
      </c>
      <c r="O40" s="114" t="e">
        <f t="shared" ca="1" si="2"/>
        <v>#N/A</v>
      </c>
    </row>
    <row r="41" spans="2:15">
      <c r="B41" s="26"/>
      <c r="C41" s="101"/>
      <c r="D41" s="106"/>
      <c r="E41" s="26"/>
      <c r="F41" s="107"/>
      <c r="G41" s="26"/>
      <c r="H41" s="107"/>
      <c r="I41" s="26"/>
      <c r="J41" s="107"/>
      <c r="K41" s="26"/>
      <c r="L41" s="107"/>
      <c r="M41" s="42" t="e">
        <f t="shared" ca="1" si="1"/>
        <v>#N/A</v>
      </c>
      <c r="N41" s="103" t="e">
        <f ca="1">VLOOKUP($B41,Matrix!$H$13:$I$37,2,FALSE)&amp;"_"&amp;C41</f>
        <v>#N/A</v>
      </c>
      <c r="O41" s="114" t="e">
        <f t="shared" ca="1" si="2"/>
        <v>#N/A</v>
      </c>
    </row>
    <row r="42" spans="2:15">
      <c r="B42" s="26"/>
      <c r="C42" s="101"/>
      <c r="D42" s="106"/>
      <c r="E42" s="26"/>
      <c r="F42" s="107"/>
      <c r="G42" s="26"/>
      <c r="H42" s="107"/>
      <c r="I42" s="26"/>
      <c r="J42" s="107"/>
      <c r="K42" s="26"/>
      <c r="L42" s="107"/>
      <c r="M42" s="42" t="e">
        <f t="shared" ca="1" si="1"/>
        <v>#N/A</v>
      </c>
      <c r="N42" s="103" t="e">
        <f ca="1">VLOOKUP($B42,Matrix!$H$13:$I$37,2,FALSE)&amp;"_"&amp;C42</f>
        <v>#N/A</v>
      </c>
      <c r="O42" s="114" t="e">
        <f t="shared" ca="1" si="2"/>
        <v>#N/A</v>
      </c>
    </row>
    <row r="43" spans="2:15">
      <c r="B43" s="26"/>
      <c r="C43" s="101"/>
      <c r="D43" s="106"/>
      <c r="E43" s="26"/>
      <c r="F43" s="107"/>
      <c r="G43" s="26"/>
      <c r="H43" s="107"/>
      <c r="I43" s="26"/>
      <c r="J43" s="107"/>
      <c r="K43" s="26"/>
      <c r="L43" s="107"/>
      <c r="M43" s="42" t="e">
        <f t="shared" ca="1" si="1"/>
        <v>#N/A</v>
      </c>
      <c r="N43" s="103" t="e">
        <f ca="1">VLOOKUP($B43,Matrix!$H$13:$I$37,2,FALSE)&amp;"_"&amp;C43</f>
        <v>#N/A</v>
      </c>
      <c r="O43" s="114" t="e">
        <f t="shared" ca="1" si="2"/>
        <v>#N/A</v>
      </c>
    </row>
    <row r="44" spans="2:15">
      <c r="B44" s="26"/>
      <c r="C44" s="101"/>
      <c r="D44" s="106"/>
      <c r="E44" s="26"/>
      <c r="F44" s="107"/>
      <c r="G44" s="26"/>
      <c r="H44" s="107"/>
      <c r="I44" s="26"/>
      <c r="J44" s="107"/>
      <c r="K44" s="26"/>
      <c r="L44" s="107"/>
      <c r="M44" s="42" t="e">
        <f t="shared" ca="1" si="1"/>
        <v>#N/A</v>
      </c>
      <c r="N44" s="103" t="e">
        <f ca="1">VLOOKUP($B44,Matrix!$H$13:$I$37,2,FALSE)&amp;"_"&amp;C44</f>
        <v>#N/A</v>
      </c>
      <c r="O44" s="114" t="e">
        <f t="shared" ca="1" si="2"/>
        <v>#N/A</v>
      </c>
    </row>
    <row r="45" spans="2:15">
      <c r="B45" s="26"/>
      <c r="C45" s="101"/>
      <c r="D45" s="106"/>
      <c r="E45" s="26"/>
      <c r="F45" s="107"/>
      <c r="G45" s="26"/>
      <c r="H45" s="107"/>
      <c r="I45" s="26"/>
      <c r="J45" s="107"/>
      <c r="K45" s="26"/>
      <c r="L45" s="107"/>
      <c r="M45" s="42" t="e">
        <f t="shared" ca="1" si="1"/>
        <v>#N/A</v>
      </c>
      <c r="N45" s="103" t="e">
        <f ca="1">VLOOKUP($B45,Matrix!$H$13:$I$37,2,FALSE)&amp;"_"&amp;C45</f>
        <v>#N/A</v>
      </c>
      <c r="O45" s="114" t="e">
        <f t="shared" ca="1" si="2"/>
        <v>#N/A</v>
      </c>
    </row>
    <row r="46" spans="2:15">
      <c r="B46" s="26"/>
      <c r="C46" s="25"/>
      <c r="D46" s="106"/>
      <c r="E46" s="26"/>
      <c r="F46" s="107"/>
      <c r="G46" s="26"/>
      <c r="H46" s="107"/>
      <c r="I46" s="26"/>
      <c r="J46" s="107"/>
      <c r="K46" s="26"/>
      <c r="L46" s="107"/>
      <c r="M46" s="42" t="e">
        <f t="shared" ca="1" si="1"/>
        <v>#N/A</v>
      </c>
      <c r="N46" s="103" t="e">
        <f ca="1">VLOOKUP($B46,Matrix!$H$13:$I$37,2,FALSE)&amp;"_"&amp;C46</f>
        <v>#N/A</v>
      </c>
      <c r="O46" s="114" t="e">
        <f t="shared" ca="1" si="2"/>
        <v>#N/A</v>
      </c>
    </row>
    <row r="47" spans="2:15">
      <c r="B47" s="26"/>
      <c r="C47" s="25"/>
      <c r="D47" s="106"/>
      <c r="E47" s="26"/>
      <c r="F47" s="107"/>
      <c r="G47" s="26"/>
      <c r="H47" s="107"/>
      <c r="I47" s="26"/>
      <c r="J47" s="107"/>
      <c r="K47" s="26"/>
      <c r="L47" s="107"/>
      <c r="M47" s="42" t="e">
        <f t="shared" ca="1" si="1"/>
        <v>#N/A</v>
      </c>
      <c r="N47" s="103" t="e">
        <f ca="1">VLOOKUP($B47,Matrix!$H$13:$I$37,2,FALSE)&amp;"_"&amp;C47</f>
        <v>#N/A</v>
      </c>
      <c r="O47" s="114" t="e">
        <f t="shared" ca="1" si="2"/>
        <v>#N/A</v>
      </c>
    </row>
    <row r="48" spans="2:15">
      <c r="B48" s="26"/>
      <c r="C48" s="25"/>
      <c r="D48" s="106"/>
      <c r="E48" s="26"/>
      <c r="F48" s="107"/>
      <c r="G48" s="26"/>
      <c r="H48" s="107"/>
      <c r="I48" s="26"/>
      <c r="J48" s="107"/>
      <c r="K48" s="26"/>
      <c r="L48" s="107"/>
      <c r="M48" s="42" t="e">
        <f t="shared" ca="1" si="1"/>
        <v>#N/A</v>
      </c>
      <c r="N48" s="103" t="e">
        <f ca="1">VLOOKUP($B48,Matrix!$H$13:$I$37,2,FALSE)&amp;"_"&amp;C48</f>
        <v>#N/A</v>
      </c>
      <c r="O48" s="114" t="e">
        <f t="shared" ca="1" si="2"/>
        <v>#N/A</v>
      </c>
    </row>
    <row r="49" spans="2:15">
      <c r="B49" s="26"/>
      <c r="C49" s="25"/>
      <c r="D49" s="106"/>
      <c r="E49" s="26"/>
      <c r="F49" s="107"/>
      <c r="G49" s="26"/>
      <c r="H49" s="107"/>
      <c r="I49" s="26"/>
      <c r="J49" s="107"/>
      <c r="K49" s="26"/>
      <c r="L49" s="107"/>
      <c r="M49" s="42" t="e">
        <f t="shared" ca="1" si="1"/>
        <v>#N/A</v>
      </c>
      <c r="N49" s="103" t="e">
        <f ca="1">VLOOKUP($B49,Matrix!$H$13:$I$37,2,FALSE)&amp;"_"&amp;C49</f>
        <v>#N/A</v>
      </c>
      <c r="O49" s="114" t="e">
        <f t="shared" ca="1" si="2"/>
        <v>#N/A</v>
      </c>
    </row>
    <row r="50" spans="2:15">
      <c r="B50" s="26"/>
      <c r="C50" s="25"/>
      <c r="D50" s="106"/>
      <c r="E50" s="26"/>
      <c r="F50" s="107"/>
      <c r="G50" s="26"/>
      <c r="H50" s="107"/>
      <c r="I50" s="26"/>
      <c r="J50" s="107"/>
      <c r="K50" s="26"/>
      <c r="L50" s="107"/>
      <c r="M50" s="42" t="e">
        <f t="shared" ca="1" si="1"/>
        <v>#N/A</v>
      </c>
      <c r="N50" s="103" t="e">
        <f ca="1">VLOOKUP($B50,Matrix!$H$13:$I$37,2,FALSE)&amp;"_"&amp;C50</f>
        <v>#N/A</v>
      </c>
      <c r="O50" s="114" t="e">
        <f t="shared" ca="1" si="2"/>
        <v>#N/A</v>
      </c>
    </row>
    <row r="51" spans="2:15">
      <c r="B51" s="26"/>
      <c r="C51" s="25"/>
      <c r="D51" s="106"/>
      <c r="E51" s="26"/>
      <c r="F51" s="107"/>
      <c r="G51" s="26"/>
      <c r="H51" s="107"/>
      <c r="I51" s="26"/>
      <c r="J51" s="107"/>
      <c r="K51" s="26"/>
      <c r="L51" s="107"/>
      <c r="M51" s="42" t="e">
        <f t="shared" ca="1" si="1"/>
        <v>#N/A</v>
      </c>
      <c r="N51" s="103" t="e">
        <f ca="1">VLOOKUP($B51,Matrix!$H$13:$I$37,2,FALSE)&amp;"_"&amp;C51</f>
        <v>#N/A</v>
      </c>
      <c r="O51" s="114" t="e">
        <f t="shared" ca="1" si="2"/>
        <v>#N/A</v>
      </c>
    </row>
    <row r="52" spans="2:15">
      <c r="B52" s="26"/>
      <c r="C52" s="25"/>
      <c r="D52" s="106"/>
      <c r="E52" s="26"/>
      <c r="F52" s="107"/>
      <c r="G52" s="26"/>
      <c r="H52" s="107"/>
      <c r="I52" s="26"/>
      <c r="J52" s="107"/>
      <c r="K52" s="26"/>
      <c r="L52" s="107"/>
      <c r="M52" s="42" t="e">
        <f t="shared" ca="1" si="1"/>
        <v>#N/A</v>
      </c>
      <c r="N52" s="103" t="e">
        <f ca="1">VLOOKUP($B52,Matrix!$H$13:$I$37,2,FALSE)&amp;"_"&amp;C52</f>
        <v>#N/A</v>
      </c>
      <c r="O52" s="114" t="e">
        <f t="shared" ca="1" si="2"/>
        <v>#N/A</v>
      </c>
    </row>
    <row r="53" spans="2:15">
      <c r="B53" s="26"/>
      <c r="C53" s="25"/>
      <c r="D53" s="106"/>
      <c r="E53" s="26"/>
      <c r="F53" s="107"/>
      <c r="G53" s="26"/>
      <c r="H53" s="107"/>
      <c r="I53" s="26"/>
      <c r="J53" s="107"/>
      <c r="K53" s="26"/>
      <c r="L53" s="107"/>
      <c r="M53" s="42" t="e">
        <f t="shared" ca="1" si="1"/>
        <v>#N/A</v>
      </c>
      <c r="N53" s="103" t="e">
        <f ca="1">VLOOKUP($B53,Matrix!$H$13:$I$37,2,FALSE)&amp;"_"&amp;C53</f>
        <v>#N/A</v>
      </c>
      <c r="O53" s="114" t="e">
        <f t="shared" ca="1" si="2"/>
        <v>#N/A</v>
      </c>
    </row>
    <row r="54" spans="2:15">
      <c r="B54" s="26"/>
      <c r="C54" s="25"/>
      <c r="D54" s="106"/>
      <c r="E54" s="26"/>
      <c r="F54" s="107"/>
      <c r="G54" s="26"/>
      <c r="H54" s="107"/>
      <c r="I54" s="26"/>
      <c r="J54" s="107"/>
      <c r="K54" s="26"/>
      <c r="L54" s="107"/>
      <c r="M54" s="42" t="e">
        <f t="shared" ca="1" si="1"/>
        <v>#N/A</v>
      </c>
      <c r="N54" s="103" t="e">
        <f ca="1">VLOOKUP($B54,Matrix!$H$13:$I$37,2,FALSE)&amp;"_"&amp;C54</f>
        <v>#N/A</v>
      </c>
      <c r="O54" s="114" t="e">
        <f t="shared" ca="1" si="2"/>
        <v>#N/A</v>
      </c>
    </row>
    <row r="55" spans="2:15">
      <c r="B55" s="26"/>
      <c r="C55" s="25"/>
      <c r="D55" s="106"/>
      <c r="E55" s="26"/>
      <c r="F55" s="107"/>
      <c r="G55" s="26"/>
      <c r="H55" s="107"/>
      <c r="I55" s="26"/>
      <c r="J55" s="107"/>
      <c r="K55" s="26"/>
      <c r="L55" s="107"/>
      <c r="M55" s="42" t="e">
        <f t="shared" ca="1" si="1"/>
        <v>#N/A</v>
      </c>
      <c r="N55" s="103" t="e">
        <f ca="1">VLOOKUP($B55,Matrix!$H$13:$I$37,2,FALSE)&amp;"_"&amp;C55</f>
        <v>#N/A</v>
      </c>
      <c r="O55" s="114" t="e">
        <f t="shared" ca="1" si="2"/>
        <v>#N/A</v>
      </c>
    </row>
    <row r="56" spans="2:15">
      <c r="B56" s="26"/>
      <c r="C56" s="25"/>
      <c r="D56" s="106"/>
      <c r="E56" s="26"/>
      <c r="F56" s="107"/>
      <c r="G56" s="26"/>
      <c r="H56" s="107"/>
      <c r="I56" s="26"/>
      <c r="J56" s="107"/>
      <c r="K56" s="26"/>
      <c r="L56" s="107"/>
      <c r="M56" s="42" t="e">
        <f t="shared" ca="1" si="1"/>
        <v>#N/A</v>
      </c>
      <c r="N56" s="103" t="e">
        <f ca="1">VLOOKUP($B56,Matrix!$H$13:$I$37,2,FALSE)&amp;"_"&amp;C56</f>
        <v>#N/A</v>
      </c>
      <c r="O56" s="114" t="e">
        <f t="shared" ca="1" si="2"/>
        <v>#N/A</v>
      </c>
    </row>
    <row r="57" spans="2:15">
      <c r="B57" s="26"/>
      <c r="C57" s="25"/>
      <c r="D57" s="106"/>
      <c r="E57" s="26"/>
      <c r="F57" s="107"/>
      <c r="G57" s="26"/>
      <c r="H57" s="107"/>
      <c r="I57" s="26"/>
      <c r="J57" s="107"/>
      <c r="K57" s="26"/>
      <c r="L57" s="107"/>
      <c r="M57" s="42" t="e">
        <f t="shared" ca="1" si="1"/>
        <v>#N/A</v>
      </c>
      <c r="N57" s="103" t="e">
        <f ca="1">VLOOKUP($B57,Matrix!$H$13:$I$37,2,FALSE)&amp;"_"&amp;C57</f>
        <v>#N/A</v>
      </c>
      <c r="O57" s="114" t="e">
        <f t="shared" ca="1" si="2"/>
        <v>#N/A</v>
      </c>
    </row>
    <row r="58" spans="2:15">
      <c r="B58" s="26"/>
      <c r="C58" s="25"/>
      <c r="D58" s="106"/>
      <c r="E58" s="26"/>
      <c r="F58" s="107"/>
      <c r="G58" s="26"/>
      <c r="H58" s="107"/>
      <c r="I58" s="26"/>
      <c r="J58" s="107"/>
      <c r="K58" s="26"/>
      <c r="L58" s="107"/>
      <c r="M58" s="42" t="e">
        <f t="shared" ca="1" si="1"/>
        <v>#N/A</v>
      </c>
      <c r="N58" s="103" t="e">
        <f ca="1">VLOOKUP($B58,Matrix!$H$13:$I$37,2,FALSE)&amp;"_"&amp;C58</f>
        <v>#N/A</v>
      </c>
      <c r="O58" s="114" t="e">
        <f t="shared" ca="1" si="2"/>
        <v>#N/A</v>
      </c>
    </row>
    <row r="59" spans="2:15">
      <c r="B59" s="26"/>
      <c r="C59" s="25"/>
      <c r="D59" s="106"/>
      <c r="E59" s="26"/>
      <c r="F59" s="107"/>
      <c r="G59" s="26"/>
      <c r="H59" s="107"/>
      <c r="I59" s="26"/>
      <c r="J59" s="107"/>
      <c r="K59" s="26"/>
      <c r="L59" s="107"/>
      <c r="M59" s="42" t="e">
        <f t="shared" ca="1" si="1"/>
        <v>#N/A</v>
      </c>
      <c r="N59" s="103" t="e">
        <f ca="1">VLOOKUP($B59,Matrix!$H$13:$I$37,2,FALSE)&amp;"_"&amp;C59</f>
        <v>#N/A</v>
      </c>
      <c r="O59" s="114" t="e">
        <f t="shared" ca="1" si="2"/>
        <v>#N/A</v>
      </c>
    </row>
    <row r="60" spans="2:15">
      <c r="B60" s="26"/>
      <c r="C60" s="25"/>
      <c r="D60" s="106"/>
      <c r="E60" s="26"/>
      <c r="F60" s="107"/>
      <c r="G60" s="26"/>
      <c r="H60" s="107"/>
      <c r="I60" s="26"/>
      <c r="J60" s="107"/>
      <c r="K60" s="26"/>
      <c r="L60" s="107"/>
      <c r="M60" s="42" t="e">
        <f t="shared" ca="1" si="1"/>
        <v>#N/A</v>
      </c>
      <c r="N60" s="103" t="e">
        <f ca="1">VLOOKUP($B60,Matrix!$H$13:$I$37,2,FALSE)&amp;"_"&amp;C60</f>
        <v>#N/A</v>
      </c>
      <c r="O60" s="114" t="e">
        <f t="shared" ca="1" si="2"/>
        <v>#N/A</v>
      </c>
    </row>
    <row r="61" spans="2:15">
      <c r="B61" s="26"/>
      <c r="C61" s="25"/>
      <c r="D61" s="106"/>
      <c r="E61" s="26"/>
      <c r="F61" s="107"/>
      <c r="G61" s="26"/>
      <c r="H61" s="107"/>
      <c r="I61" s="26"/>
      <c r="J61" s="107"/>
      <c r="K61" s="26"/>
      <c r="L61" s="107"/>
      <c r="M61" s="42" t="e">
        <f t="shared" ca="1" si="1"/>
        <v>#N/A</v>
      </c>
      <c r="N61" s="103" t="e">
        <f ca="1">VLOOKUP($B61,Matrix!$H$13:$I$37,2,FALSE)&amp;"_"&amp;C61</f>
        <v>#N/A</v>
      </c>
      <c r="O61" s="114" t="e">
        <f t="shared" ca="1" si="2"/>
        <v>#N/A</v>
      </c>
    </row>
    <row r="62" spans="2:15">
      <c r="B62" s="26"/>
      <c r="C62" s="25"/>
      <c r="D62" s="106"/>
      <c r="E62" s="26"/>
      <c r="F62" s="107"/>
      <c r="G62" s="26"/>
      <c r="H62" s="107"/>
      <c r="I62" s="26"/>
      <c r="J62" s="107"/>
      <c r="K62" s="26"/>
      <c r="L62" s="107"/>
      <c r="M62" s="42" t="e">
        <f t="shared" ca="1" si="1"/>
        <v>#N/A</v>
      </c>
      <c r="N62" s="103" t="e">
        <f ca="1">VLOOKUP($B62,Matrix!$H$13:$I$37,2,FALSE)&amp;"_"&amp;C62</f>
        <v>#N/A</v>
      </c>
      <c r="O62" s="114" t="e">
        <f t="shared" ca="1" si="2"/>
        <v>#N/A</v>
      </c>
    </row>
    <row r="63" spans="2:15">
      <c r="B63" s="26"/>
      <c r="C63" s="25"/>
      <c r="D63" s="106"/>
      <c r="E63" s="26"/>
      <c r="F63" s="107"/>
      <c r="G63" s="26"/>
      <c r="H63" s="107"/>
      <c r="I63" s="26"/>
      <c r="J63" s="107"/>
      <c r="K63" s="26"/>
      <c r="L63" s="107"/>
      <c r="M63" s="42" t="e">
        <f t="shared" ca="1" si="1"/>
        <v>#N/A</v>
      </c>
      <c r="N63" s="103" t="e">
        <f ca="1">VLOOKUP($B63,Matrix!$H$13:$I$37,2,FALSE)&amp;"_"&amp;C63</f>
        <v>#N/A</v>
      </c>
      <c r="O63" s="114" t="e">
        <f t="shared" ca="1" si="2"/>
        <v>#N/A</v>
      </c>
    </row>
    <row r="64" spans="2:15">
      <c r="B64" s="26"/>
      <c r="C64" s="25"/>
      <c r="D64" s="106"/>
      <c r="E64" s="26"/>
      <c r="F64" s="107"/>
      <c r="G64" s="26"/>
      <c r="H64" s="107"/>
      <c r="I64" s="26"/>
      <c r="J64" s="107"/>
      <c r="K64" s="26"/>
      <c r="L64" s="107"/>
      <c r="M64" s="42" t="e">
        <f t="shared" ca="1" si="1"/>
        <v>#N/A</v>
      </c>
      <c r="N64" s="103" t="e">
        <f ca="1">VLOOKUP($B64,Matrix!$H$13:$I$37,2,FALSE)&amp;"_"&amp;C64</f>
        <v>#N/A</v>
      </c>
      <c r="O64" s="114" t="e">
        <f t="shared" ca="1" si="2"/>
        <v>#N/A</v>
      </c>
    </row>
    <row r="65" spans="2:15">
      <c r="B65" s="26"/>
      <c r="C65" s="25"/>
      <c r="D65" s="106"/>
      <c r="E65" s="26"/>
      <c r="F65" s="107"/>
      <c r="G65" s="26"/>
      <c r="H65" s="107"/>
      <c r="I65" s="26"/>
      <c r="J65" s="107"/>
      <c r="K65" s="26"/>
      <c r="L65" s="107"/>
      <c r="M65" s="42" t="e">
        <f t="shared" ca="1" si="1"/>
        <v>#N/A</v>
      </c>
      <c r="N65" s="103" t="e">
        <f ca="1">VLOOKUP($B65,Matrix!$H$13:$I$37,2,FALSE)&amp;"_"&amp;C65</f>
        <v>#N/A</v>
      </c>
      <c r="O65" s="114" t="e">
        <f t="shared" ca="1" si="2"/>
        <v>#N/A</v>
      </c>
    </row>
    <row r="66" spans="2:15">
      <c r="B66" s="26"/>
      <c r="C66" s="25"/>
      <c r="D66" s="106"/>
      <c r="E66" s="26"/>
      <c r="F66" s="107"/>
      <c r="G66" s="26"/>
      <c r="H66" s="107"/>
      <c r="I66" s="26"/>
      <c r="J66" s="107"/>
      <c r="K66" s="26"/>
      <c r="L66" s="107"/>
      <c r="M66" s="42" t="e">
        <f t="shared" ca="1" si="1"/>
        <v>#N/A</v>
      </c>
      <c r="N66" s="103" t="e">
        <f ca="1">VLOOKUP($B66,Matrix!$H$13:$I$37,2,FALSE)&amp;"_"&amp;C66</f>
        <v>#N/A</v>
      </c>
      <c r="O66" s="114" t="e">
        <f t="shared" ca="1" si="2"/>
        <v>#N/A</v>
      </c>
    </row>
    <row r="67" spans="2:15">
      <c r="B67" s="26"/>
      <c r="C67" s="25"/>
      <c r="D67" s="106"/>
      <c r="E67" s="26"/>
      <c r="F67" s="107"/>
      <c r="G67" s="26"/>
      <c r="H67" s="107"/>
      <c r="I67" s="26"/>
      <c r="J67" s="107"/>
      <c r="K67" s="26"/>
      <c r="L67" s="107"/>
      <c r="M67" s="42" t="e">
        <f t="shared" ca="1" si="1"/>
        <v>#N/A</v>
      </c>
      <c r="N67" s="103" t="e">
        <f ca="1">VLOOKUP($B67,Matrix!$H$13:$I$37,2,FALSE)&amp;"_"&amp;C67</f>
        <v>#N/A</v>
      </c>
      <c r="O67" s="114" t="e">
        <f t="shared" ca="1" si="2"/>
        <v>#N/A</v>
      </c>
    </row>
    <row r="68" spans="2:15">
      <c r="B68" s="26"/>
      <c r="C68" s="25"/>
      <c r="D68" s="106"/>
      <c r="E68" s="26"/>
      <c r="F68" s="107"/>
      <c r="G68" s="26"/>
      <c r="H68" s="107"/>
      <c r="I68" s="26"/>
      <c r="J68" s="107"/>
      <c r="K68" s="26"/>
      <c r="L68" s="107"/>
      <c r="M68" s="42" t="e">
        <f t="shared" ca="1" si="1"/>
        <v>#N/A</v>
      </c>
      <c r="N68" s="103" t="e">
        <f ca="1">VLOOKUP($B68,Matrix!$H$13:$I$37,2,FALSE)&amp;"_"&amp;C68</f>
        <v>#N/A</v>
      </c>
      <c r="O68" s="114" t="e">
        <f t="shared" ref="O68:O99" ca="1" si="3">"#define "&amp;N68&amp;REPT(" ",48-M68)&amp;"("&amp;D68&amp;"U)"</f>
        <v>#N/A</v>
      </c>
    </row>
    <row r="69" spans="2:15">
      <c r="B69" s="26"/>
      <c r="C69" s="25"/>
      <c r="D69" s="106"/>
      <c r="E69" s="26"/>
      <c r="F69" s="107"/>
      <c r="G69" s="26"/>
      <c r="H69" s="107"/>
      <c r="I69" s="26"/>
      <c r="J69" s="107"/>
      <c r="K69" s="26"/>
      <c r="L69" s="107"/>
      <c r="M69" s="42" t="e">
        <f t="shared" ref="M69:M103" ca="1" si="4">LEN(N69)</f>
        <v>#N/A</v>
      </c>
      <c r="N69" s="103" t="e">
        <f ca="1">VLOOKUP($B69,Matrix!$H$13:$I$37,2,FALSE)&amp;"_"&amp;C69</f>
        <v>#N/A</v>
      </c>
      <c r="O69" s="114" t="e">
        <f t="shared" ca="1" si="3"/>
        <v>#N/A</v>
      </c>
    </row>
    <row r="70" spans="2:15">
      <c r="B70" s="26"/>
      <c r="C70" s="25"/>
      <c r="D70" s="106"/>
      <c r="E70" s="26"/>
      <c r="F70" s="107"/>
      <c r="G70" s="26"/>
      <c r="H70" s="107"/>
      <c r="I70" s="26"/>
      <c r="J70" s="107"/>
      <c r="K70" s="26"/>
      <c r="L70" s="107"/>
      <c r="M70" s="42" t="e">
        <f t="shared" ca="1" si="4"/>
        <v>#N/A</v>
      </c>
      <c r="N70" s="103" t="e">
        <f ca="1">VLOOKUP($B70,Matrix!$H$13:$I$37,2,FALSE)&amp;"_"&amp;C70</f>
        <v>#N/A</v>
      </c>
      <c r="O70" s="114" t="e">
        <f t="shared" ca="1" si="3"/>
        <v>#N/A</v>
      </c>
    </row>
    <row r="71" spans="2:15">
      <c r="B71" s="26"/>
      <c r="C71" s="25"/>
      <c r="D71" s="106"/>
      <c r="E71" s="26"/>
      <c r="F71" s="107"/>
      <c r="G71" s="26"/>
      <c r="H71" s="107"/>
      <c r="I71" s="26"/>
      <c r="J71" s="107"/>
      <c r="K71" s="26"/>
      <c r="L71" s="107"/>
      <c r="M71" s="42" t="e">
        <f t="shared" ca="1" si="4"/>
        <v>#N/A</v>
      </c>
      <c r="N71" s="103" t="e">
        <f ca="1">VLOOKUP($B71,Matrix!$H$13:$I$37,2,FALSE)&amp;"_"&amp;C71</f>
        <v>#N/A</v>
      </c>
      <c r="O71" s="114" t="e">
        <f t="shared" ca="1" si="3"/>
        <v>#N/A</v>
      </c>
    </row>
    <row r="72" spans="2:15">
      <c r="B72" s="26"/>
      <c r="C72" s="25"/>
      <c r="D72" s="106"/>
      <c r="E72" s="26"/>
      <c r="F72" s="107"/>
      <c r="G72" s="26"/>
      <c r="H72" s="107"/>
      <c r="I72" s="26"/>
      <c r="J72" s="107"/>
      <c r="K72" s="26"/>
      <c r="L72" s="107"/>
      <c r="M72" s="42" t="e">
        <f t="shared" ca="1" si="4"/>
        <v>#N/A</v>
      </c>
      <c r="N72" s="103" t="e">
        <f ca="1">VLOOKUP($B72,Matrix!$H$13:$I$37,2,FALSE)&amp;"_"&amp;C72</f>
        <v>#N/A</v>
      </c>
      <c r="O72" s="114" t="e">
        <f t="shared" ca="1" si="3"/>
        <v>#N/A</v>
      </c>
    </row>
    <row r="73" spans="2:15">
      <c r="B73" s="26"/>
      <c r="C73" s="25"/>
      <c r="D73" s="106"/>
      <c r="E73" s="26"/>
      <c r="F73" s="107"/>
      <c r="G73" s="26"/>
      <c r="H73" s="107"/>
      <c r="I73" s="26"/>
      <c r="J73" s="107"/>
      <c r="K73" s="26"/>
      <c r="L73" s="107"/>
      <c r="M73" s="42" t="e">
        <f t="shared" ca="1" si="4"/>
        <v>#N/A</v>
      </c>
      <c r="N73" s="103" t="e">
        <f ca="1">VLOOKUP($B73,Matrix!$H$13:$I$37,2,FALSE)&amp;"_"&amp;C73</f>
        <v>#N/A</v>
      </c>
      <c r="O73" s="114" t="e">
        <f t="shared" ca="1" si="3"/>
        <v>#N/A</v>
      </c>
    </row>
    <row r="74" spans="2:15">
      <c r="B74" s="26"/>
      <c r="C74" s="25"/>
      <c r="D74" s="106"/>
      <c r="E74" s="26"/>
      <c r="F74" s="107"/>
      <c r="G74" s="26"/>
      <c r="H74" s="107"/>
      <c r="I74" s="26"/>
      <c r="J74" s="107"/>
      <c r="K74" s="26"/>
      <c r="L74" s="107"/>
      <c r="M74" s="42" t="e">
        <f t="shared" ca="1" si="4"/>
        <v>#N/A</v>
      </c>
      <c r="N74" s="103" t="e">
        <f ca="1">VLOOKUP($B74,Matrix!$H$13:$I$37,2,FALSE)&amp;"_"&amp;C74</f>
        <v>#N/A</v>
      </c>
      <c r="O74" s="114" t="e">
        <f t="shared" ca="1" si="3"/>
        <v>#N/A</v>
      </c>
    </row>
    <row r="75" spans="2:15">
      <c r="B75" s="26"/>
      <c r="C75" s="25"/>
      <c r="D75" s="106"/>
      <c r="E75" s="26"/>
      <c r="F75" s="107"/>
      <c r="G75" s="26"/>
      <c r="H75" s="107"/>
      <c r="I75" s="26"/>
      <c r="J75" s="107"/>
      <c r="K75" s="26"/>
      <c r="L75" s="107"/>
      <c r="M75" s="42" t="e">
        <f t="shared" ca="1" si="4"/>
        <v>#N/A</v>
      </c>
      <c r="N75" s="103" t="e">
        <f ca="1">VLOOKUP($B75,Matrix!$H$13:$I$37,2,FALSE)&amp;"_"&amp;C75</f>
        <v>#N/A</v>
      </c>
      <c r="O75" s="114" t="e">
        <f t="shared" ca="1" si="3"/>
        <v>#N/A</v>
      </c>
    </row>
    <row r="76" spans="2:15">
      <c r="B76" s="26"/>
      <c r="C76" s="25"/>
      <c r="D76" s="106"/>
      <c r="E76" s="26"/>
      <c r="F76" s="107"/>
      <c r="G76" s="26"/>
      <c r="H76" s="107"/>
      <c r="I76" s="26"/>
      <c r="J76" s="107"/>
      <c r="K76" s="26"/>
      <c r="L76" s="107"/>
      <c r="M76" s="42" t="e">
        <f t="shared" ca="1" si="4"/>
        <v>#N/A</v>
      </c>
      <c r="N76" s="103" t="e">
        <f ca="1">VLOOKUP($B76,Matrix!$H$13:$I$37,2,FALSE)&amp;"_"&amp;C76</f>
        <v>#N/A</v>
      </c>
      <c r="O76" s="114" t="e">
        <f t="shared" ca="1" si="3"/>
        <v>#N/A</v>
      </c>
    </row>
    <row r="77" spans="2:15">
      <c r="B77" s="26"/>
      <c r="C77" s="25"/>
      <c r="D77" s="106"/>
      <c r="E77" s="26"/>
      <c r="F77" s="107"/>
      <c r="G77" s="26"/>
      <c r="H77" s="107"/>
      <c r="I77" s="26"/>
      <c r="J77" s="107"/>
      <c r="K77" s="26"/>
      <c r="L77" s="107"/>
      <c r="M77" s="42" t="e">
        <f t="shared" ca="1" si="4"/>
        <v>#N/A</v>
      </c>
      <c r="N77" s="103" t="e">
        <f ca="1">VLOOKUP($B77,Matrix!$H$13:$I$37,2,FALSE)&amp;"_"&amp;C77</f>
        <v>#N/A</v>
      </c>
      <c r="O77" s="114" t="e">
        <f t="shared" ca="1" si="3"/>
        <v>#N/A</v>
      </c>
    </row>
    <row r="78" spans="2:15">
      <c r="B78" s="26"/>
      <c r="C78" s="25"/>
      <c r="D78" s="106"/>
      <c r="E78" s="26"/>
      <c r="F78" s="107"/>
      <c r="G78" s="26"/>
      <c r="H78" s="107"/>
      <c r="I78" s="26"/>
      <c r="J78" s="107"/>
      <c r="K78" s="26"/>
      <c r="L78" s="107"/>
      <c r="M78" s="42" t="e">
        <f t="shared" ca="1" si="4"/>
        <v>#N/A</v>
      </c>
      <c r="N78" s="103" t="e">
        <f ca="1">VLOOKUP($B78,Matrix!$H$13:$I$37,2,FALSE)&amp;"_"&amp;C78</f>
        <v>#N/A</v>
      </c>
      <c r="O78" s="114" t="e">
        <f t="shared" ca="1" si="3"/>
        <v>#N/A</v>
      </c>
    </row>
    <row r="79" spans="2:15">
      <c r="B79" s="26"/>
      <c r="C79" s="25"/>
      <c r="D79" s="106"/>
      <c r="E79" s="26"/>
      <c r="F79" s="107"/>
      <c r="G79" s="26"/>
      <c r="H79" s="107"/>
      <c r="I79" s="26"/>
      <c r="J79" s="107"/>
      <c r="K79" s="26"/>
      <c r="L79" s="107"/>
      <c r="M79" s="42" t="e">
        <f t="shared" ca="1" si="4"/>
        <v>#N/A</v>
      </c>
      <c r="N79" s="103" t="e">
        <f ca="1">VLOOKUP($B79,Matrix!$H$13:$I$37,2,FALSE)&amp;"_"&amp;C79</f>
        <v>#N/A</v>
      </c>
      <c r="O79" s="114" t="e">
        <f t="shared" ca="1" si="3"/>
        <v>#N/A</v>
      </c>
    </row>
    <row r="80" spans="2:15">
      <c r="B80" s="26"/>
      <c r="C80" s="25"/>
      <c r="D80" s="106"/>
      <c r="E80" s="26"/>
      <c r="F80" s="107"/>
      <c r="G80" s="26"/>
      <c r="H80" s="107"/>
      <c r="I80" s="26"/>
      <c r="J80" s="107"/>
      <c r="K80" s="26"/>
      <c r="L80" s="107"/>
      <c r="M80" s="42" t="e">
        <f t="shared" ca="1" si="4"/>
        <v>#N/A</v>
      </c>
      <c r="N80" s="103" t="e">
        <f ca="1">VLOOKUP($B80,Matrix!$H$13:$I$37,2,FALSE)&amp;"_"&amp;C80</f>
        <v>#N/A</v>
      </c>
      <c r="O80" s="114" t="e">
        <f t="shared" ca="1" si="3"/>
        <v>#N/A</v>
      </c>
    </row>
    <row r="81" spans="2:15">
      <c r="B81" s="26"/>
      <c r="C81" s="25"/>
      <c r="D81" s="106"/>
      <c r="E81" s="26"/>
      <c r="F81" s="107"/>
      <c r="G81" s="26"/>
      <c r="H81" s="107"/>
      <c r="I81" s="26"/>
      <c r="J81" s="107"/>
      <c r="K81" s="26"/>
      <c r="L81" s="107"/>
      <c r="M81" s="42" t="e">
        <f t="shared" ca="1" si="4"/>
        <v>#N/A</v>
      </c>
      <c r="N81" s="103" t="e">
        <f ca="1">VLOOKUP($B81,Matrix!$H$13:$I$37,2,FALSE)&amp;"_"&amp;C81</f>
        <v>#N/A</v>
      </c>
      <c r="O81" s="114" t="e">
        <f t="shared" ca="1" si="3"/>
        <v>#N/A</v>
      </c>
    </row>
    <row r="82" spans="2:15">
      <c r="B82" s="26"/>
      <c r="C82" s="25"/>
      <c r="D82" s="106"/>
      <c r="E82" s="26"/>
      <c r="F82" s="107"/>
      <c r="G82" s="26"/>
      <c r="H82" s="107"/>
      <c r="I82" s="26"/>
      <c r="J82" s="107"/>
      <c r="K82" s="26"/>
      <c r="L82" s="107"/>
      <c r="M82" s="42" t="e">
        <f t="shared" ca="1" si="4"/>
        <v>#N/A</v>
      </c>
      <c r="N82" s="103" t="e">
        <f ca="1">VLOOKUP($B82,Matrix!$H$13:$I$37,2,FALSE)&amp;"_"&amp;C82</f>
        <v>#N/A</v>
      </c>
      <c r="O82" s="114" t="e">
        <f t="shared" ca="1" si="3"/>
        <v>#N/A</v>
      </c>
    </row>
    <row r="83" spans="2:15">
      <c r="B83" s="26"/>
      <c r="C83" s="25"/>
      <c r="D83" s="106"/>
      <c r="E83" s="26"/>
      <c r="F83" s="107"/>
      <c r="G83" s="26"/>
      <c r="H83" s="107"/>
      <c r="I83" s="26"/>
      <c r="J83" s="107"/>
      <c r="K83" s="26"/>
      <c r="L83" s="107"/>
      <c r="M83" s="42" t="e">
        <f t="shared" ca="1" si="4"/>
        <v>#N/A</v>
      </c>
      <c r="N83" s="103" t="e">
        <f ca="1">VLOOKUP($B83,Matrix!$H$13:$I$37,2,FALSE)&amp;"_"&amp;C83</f>
        <v>#N/A</v>
      </c>
      <c r="O83" s="114" t="e">
        <f t="shared" ca="1" si="3"/>
        <v>#N/A</v>
      </c>
    </row>
    <row r="84" spans="2:15">
      <c r="B84" s="26"/>
      <c r="C84" s="25"/>
      <c r="D84" s="106"/>
      <c r="E84" s="26"/>
      <c r="F84" s="107"/>
      <c r="G84" s="26"/>
      <c r="H84" s="107"/>
      <c r="I84" s="26"/>
      <c r="J84" s="107"/>
      <c r="K84" s="26"/>
      <c r="L84" s="107"/>
      <c r="M84" s="42" t="e">
        <f t="shared" ca="1" si="4"/>
        <v>#N/A</v>
      </c>
      <c r="N84" s="103" t="e">
        <f ca="1">VLOOKUP($B84,Matrix!$H$13:$I$37,2,FALSE)&amp;"_"&amp;C84</f>
        <v>#N/A</v>
      </c>
      <c r="O84" s="114" t="e">
        <f t="shared" ca="1" si="3"/>
        <v>#N/A</v>
      </c>
    </row>
    <row r="85" spans="2:15">
      <c r="B85" s="26"/>
      <c r="C85" s="25"/>
      <c r="D85" s="106"/>
      <c r="E85" s="26"/>
      <c r="F85" s="107"/>
      <c r="G85" s="26"/>
      <c r="H85" s="107"/>
      <c r="I85" s="26"/>
      <c r="J85" s="107"/>
      <c r="K85" s="26"/>
      <c r="L85" s="107"/>
      <c r="M85" s="42" t="e">
        <f t="shared" ca="1" si="4"/>
        <v>#N/A</v>
      </c>
      <c r="N85" s="103" t="e">
        <f ca="1">VLOOKUP($B85,Matrix!$H$13:$I$37,2,FALSE)&amp;"_"&amp;C85</f>
        <v>#N/A</v>
      </c>
      <c r="O85" s="114" t="e">
        <f t="shared" ca="1" si="3"/>
        <v>#N/A</v>
      </c>
    </row>
    <row r="86" spans="2:15">
      <c r="B86" s="26"/>
      <c r="C86" s="25"/>
      <c r="D86" s="106"/>
      <c r="E86" s="26"/>
      <c r="F86" s="107"/>
      <c r="G86" s="26"/>
      <c r="H86" s="107"/>
      <c r="I86" s="26"/>
      <c r="J86" s="107"/>
      <c r="K86" s="26"/>
      <c r="L86" s="107"/>
      <c r="M86" s="42" t="e">
        <f t="shared" ca="1" si="4"/>
        <v>#N/A</v>
      </c>
      <c r="N86" s="103" t="e">
        <f ca="1">VLOOKUP($B86,Matrix!$H$13:$I$37,2,FALSE)&amp;"_"&amp;C86</f>
        <v>#N/A</v>
      </c>
      <c r="O86" s="114" t="e">
        <f t="shared" ca="1" si="3"/>
        <v>#N/A</v>
      </c>
    </row>
    <row r="87" spans="2:15">
      <c r="B87" s="26"/>
      <c r="C87" s="25"/>
      <c r="D87" s="106"/>
      <c r="E87" s="26"/>
      <c r="F87" s="107"/>
      <c r="G87" s="26"/>
      <c r="H87" s="107"/>
      <c r="I87" s="26"/>
      <c r="J87" s="107"/>
      <c r="K87" s="26"/>
      <c r="L87" s="107"/>
      <c r="M87" s="42" t="e">
        <f t="shared" ca="1" si="4"/>
        <v>#N/A</v>
      </c>
      <c r="N87" s="63" t="e">
        <f ca="1">VLOOKUP($B87,Matrix!$H$13:$I$37,2,FALSE)&amp;"_"&amp;C87</f>
        <v>#N/A</v>
      </c>
      <c r="O87" s="114" t="e">
        <f t="shared" ca="1" si="3"/>
        <v>#N/A</v>
      </c>
    </row>
    <row r="88" spans="2:15">
      <c r="B88" s="26"/>
      <c r="C88" s="25"/>
      <c r="D88" s="106"/>
      <c r="E88" s="26"/>
      <c r="F88" s="107"/>
      <c r="G88" s="26"/>
      <c r="H88" s="107"/>
      <c r="I88" s="26"/>
      <c r="J88" s="107"/>
      <c r="K88" s="26"/>
      <c r="L88" s="107"/>
      <c r="M88" s="42" t="e">
        <f t="shared" ca="1" si="4"/>
        <v>#N/A</v>
      </c>
      <c r="N88" s="63" t="e">
        <f ca="1">VLOOKUP($B88,Matrix!$H$13:$I$37,2,FALSE)&amp;"_"&amp;C88</f>
        <v>#N/A</v>
      </c>
      <c r="O88" s="114" t="e">
        <f t="shared" ca="1" si="3"/>
        <v>#N/A</v>
      </c>
    </row>
    <row r="89" spans="2:15">
      <c r="B89" s="26"/>
      <c r="C89" s="25"/>
      <c r="D89" s="106"/>
      <c r="E89" s="26"/>
      <c r="F89" s="107"/>
      <c r="G89" s="26"/>
      <c r="H89" s="107"/>
      <c r="I89" s="26"/>
      <c r="J89" s="107"/>
      <c r="K89" s="26"/>
      <c r="L89" s="107"/>
      <c r="M89" s="42" t="e">
        <f t="shared" ca="1" si="4"/>
        <v>#N/A</v>
      </c>
      <c r="N89" s="63" t="e">
        <f ca="1">VLOOKUP($B89,Matrix!$H$13:$I$37,2,FALSE)&amp;"_"&amp;C89</f>
        <v>#N/A</v>
      </c>
      <c r="O89" s="114" t="e">
        <f t="shared" ca="1" si="3"/>
        <v>#N/A</v>
      </c>
    </row>
    <row r="90" spans="2:15">
      <c r="B90" s="26"/>
      <c r="C90" s="25"/>
      <c r="D90" s="106"/>
      <c r="E90" s="26"/>
      <c r="F90" s="107"/>
      <c r="G90" s="26"/>
      <c r="H90" s="107"/>
      <c r="I90" s="26"/>
      <c r="J90" s="107"/>
      <c r="K90" s="26"/>
      <c r="L90" s="107"/>
      <c r="M90" s="42" t="e">
        <f t="shared" ca="1" si="4"/>
        <v>#N/A</v>
      </c>
      <c r="N90" s="63" t="e">
        <f ca="1">VLOOKUP($B90,Matrix!$H$13:$I$37,2,FALSE)&amp;"_"&amp;C90</f>
        <v>#N/A</v>
      </c>
      <c r="O90" s="114" t="e">
        <f t="shared" ca="1" si="3"/>
        <v>#N/A</v>
      </c>
    </row>
    <row r="91" spans="2:15">
      <c r="B91" s="26"/>
      <c r="C91" s="25"/>
      <c r="D91" s="106"/>
      <c r="E91" s="26"/>
      <c r="F91" s="107"/>
      <c r="G91" s="26"/>
      <c r="H91" s="107"/>
      <c r="I91" s="26"/>
      <c r="J91" s="107"/>
      <c r="K91" s="26"/>
      <c r="L91" s="107"/>
      <c r="M91" s="42" t="e">
        <f t="shared" ca="1" si="4"/>
        <v>#N/A</v>
      </c>
      <c r="N91" s="63" t="e">
        <f ca="1">VLOOKUP($B91,Matrix!$H$13:$I$37,2,FALSE)&amp;"_"&amp;C91</f>
        <v>#N/A</v>
      </c>
      <c r="O91" s="114" t="e">
        <f t="shared" ca="1" si="3"/>
        <v>#N/A</v>
      </c>
    </row>
    <row r="92" spans="2:15">
      <c r="B92" s="26"/>
      <c r="C92" s="25"/>
      <c r="D92" s="106"/>
      <c r="E92" s="26"/>
      <c r="F92" s="107"/>
      <c r="G92" s="26"/>
      <c r="H92" s="107"/>
      <c r="I92" s="26"/>
      <c r="J92" s="107"/>
      <c r="K92" s="26"/>
      <c r="L92" s="107"/>
      <c r="M92" s="42" t="e">
        <f t="shared" ca="1" si="4"/>
        <v>#N/A</v>
      </c>
      <c r="N92" s="63" t="e">
        <f ca="1">VLOOKUP($B92,Matrix!$H$13:$I$37,2,FALSE)&amp;"_"&amp;C92</f>
        <v>#N/A</v>
      </c>
      <c r="O92" s="114" t="e">
        <f t="shared" ca="1" si="3"/>
        <v>#N/A</v>
      </c>
    </row>
    <row r="93" spans="2:15">
      <c r="B93" s="26"/>
      <c r="C93" s="25"/>
      <c r="D93" s="106"/>
      <c r="E93" s="26"/>
      <c r="F93" s="107"/>
      <c r="G93" s="26"/>
      <c r="H93" s="107"/>
      <c r="I93" s="26"/>
      <c r="J93" s="107"/>
      <c r="K93" s="26"/>
      <c r="L93" s="107"/>
      <c r="M93" s="42" t="e">
        <f t="shared" ca="1" si="4"/>
        <v>#N/A</v>
      </c>
      <c r="N93" s="63" t="e">
        <f ca="1">VLOOKUP($B93,Matrix!$H$13:$I$37,2,FALSE)&amp;"_"&amp;C93</f>
        <v>#N/A</v>
      </c>
      <c r="O93" s="114" t="e">
        <f t="shared" ca="1" si="3"/>
        <v>#N/A</v>
      </c>
    </row>
    <row r="94" spans="2:15">
      <c r="B94" s="26"/>
      <c r="C94" s="25"/>
      <c r="D94" s="106"/>
      <c r="E94" s="26"/>
      <c r="F94" s="107"/>
      <c r="G94" s="26"/>
      <c r="H94" s="107"/>
      <c r="I94" s="26"/>
      <c r="J94" s="107"/>
      <c r="K94" s="26"/>
      <c r="L94" s="107"/>
      <c r="M94" s="42" t="e">
        <f t="shared" ca="1" si="4"/>
        <v>#N/A</v>
      </c>
      <c r="N94" s="63" t="e">
        <f ca="1">VLOOKUP($B94,Matrix!$H$13:$I$37,2,FALSE)&amp;"_"&amp;C94</f>
        <v>#N/A</v>
      </c>
      <c r="O94" s="114" t="e">
        <f t="shared" ca="1" si="3"/>
        <v>#N/A</v>
      </c>
    </row>
    <row r="95" spans="2:15">
      <c r="B95" s="26"/>
      <c r="C95" s="25"/>
      <c r="D95" s="106"/>
      <c r="E95" s="26"/>
      <c r="F95" s="107"/>
      <c r="G95" s="26"/>
      <c r="H95" s="107"/>
      <c r="I95" s="26"/>
      <c r="J95" s="107"/>
      <c r="K95" s="26"/>
      <c r="L95" s="107"/>
      <c r="M95" s="42" t="e">
        <f t="shared" ca="1" si="4"/>
        <v>#N/A</v>
      </c>
      <c r="N95" s="63" t="e">
        <f ca="1">VLOOKUP($B95,Matrix!$H$13:$I$37,2,FALSE)&amp;"_"&amp;C95</f>
        <v>#N/A</v>
      </c>
      <c r="O95" s="114" t="e">
        <f t="shared" ca="1" si="3"/>
        <v>#N/A</v>
      </c>
    </row>
    <row r="96" spans="2:15">
      <c r="B96" s="26"/>
      <c r="C96" s="25"/>
      <c r="D96" s="106"/>
      <c r="E96" s="26"/>
      <c r="F96" s="107"/>
      <c r="G96" s="26"/>
      <c r="H96" s="107"/>
      <c r="I96" s="26"/>
      <c r="J96" s="107"/>
      <c r="K96" s="26"/>
      <c r="L96" s="107"/>
      <c r="M96" s="42" t="e">
        <f t="shared" ca="1" si="4"/>
        <v>#N/A</v>
      </c>
      <c r="N96" s="63" t="e">
        <f ca="1">VLOOKUP($B96,Matrix!$H$13:$I$37,2,FALSE)&amp;"_"&amp;C96</f>
        <v>#N/A</v>
      </c>
      <c r="O96" s="114" t="e">
        <f t="shared" ca="1" si="3"/>
        <v>#N/A</v>
      </c>
    </row>
    <row r="97" spans="2:15">
      <c r="B97" s="26"/>
      <c r="C97" s="25"/>
      <c r="D97" s="106"/>
      <c r="E97" s="26"/>
      <c r="F97" s="107"/>
      <c r="G97" s="26"/>
      <c r="H97" s="107"/>
      <c r="I97" s="26"/>
      <c r="J97" s="107"/>
      <c r="K97" s="26"/>
      <c r="L97" s="107"/>
      <c r="M97" s="42" t="e">
        <f t="shared" ca="1" si="4"/>
        <v>#N/A</v>
      </c>
      <c r="N97" s="63" t="e">
        <f ca="1">VLOOKUP($B97,Matrix!$H$13:$I$37,2,FALSE)&amp;"_"&amp;C97</f>
        <v>#N/A</v>
      </c>
      <c r="O97" s="114" t="e">
        <f t="shared" ca="1" si="3"/>
        <v>#N/A</v>
      </c>
    </row>
    <row r="98" spans="2:15">
      <c r="B98" s="26"/>
      <c r="C98" s="25"/>
      <c r="D98" s="106"/>
      <c r="E98" s="26"/>
      <c r="F98" s="107"/>
      <c r="G98" s="26"/>
      <c r="H98" s="107"/>
      <c r="I98" s="26"/>
      <c r="J98" s="107"/>
      <c r="K98" s="26"/>
      <c r="L98" s="107"/>
      <c r="M98" s="42" t="e">
        <f t="shared" ca="1" si="4"/>
        <v>#N/A</v>
      </c>
      <c r="N98" s="63" t="e">
        <f ca="1">VLOOKUP($B98,Matrix!$H$13:$I$37,2,FALSE)&amp;"_"&amp;C98</f>
        <v>#N/A</v>
      </c>
      <c r="O98" s="114" t="e">
        <f t="shared" ca="1" si="3"/>
        <v>#N/A</v>
      </c>
    </row>
    <row r="99" spans="2:15">
      <c r="B99" s="26"/>
      <c r="C99" s="25"/>
      <c r="D99" s="106"/>
      <c r="E99" s="26"/>
      <c r="F99" s="107"/>
      <c r="G99" s="26"/>
      <c r="H99" s="107"/>
      <c r="I99" s="26"/>
      <c r="J99" s="107"/>
      <c r="K99" s="26"/>
      <c r="L99" s="107"/>
      <c r="M99" s="42" t="e">
        <f t="shared" ca="1" si="4"/>
        <v>#N/A</v>
      </c>
      <c r="N99" s="63" t="e">
        <f ca="1">VLOOKUP($B99,Matrix!$H$13:$I$37,2,FALSE)&amp;"_"&amp;C99</f>
        <v>#N/A</v>
      </c>
      <c r="O99" s="114" t="e">
        <f t="shared" ca="1" si="3"/>
        <v>#N/A</v>
      </c>
    </row>
    <row r="100" spans="2:15">
      <c r="B100" s="26"/>
      <c r="C100" s="25"/>
      <c r="D100" s="106"/>
      <c r="E100" s="26"/>
      <c r="F100" s="107"/>
      <c r="G100" s="26"/>
      <c r="H100" s="107"/>
      <c r="I100" s="26"/>
      <c r="J100" s="107"/>
      <c r="K100" s="26"/>
      <c r="L100" s="107"/>
      <c r="M100" s="42" t="e">
        <f t="shared" ca="1" si="4"/>
        <v>#N/A</v>
      </c>
      <c r="N100" s="63" t="e">
        <f ca="1">VLOOKUP($B100,Matrix!$H$13:$I$37,2,FALSE)&amp;"_"&amp;C100</f>
        <v>#N/A</v>
      </c>
      <c r="O100" s="114" t="e">
        <f t="shared" ref="O100:O103" ca="1" si="5">"#define "&amp;N100&amp;REPT(" ",48-M100)&amp;"("&amp;D100&amp;"U)"</f>
        <v>#N/A</v>
      </c>
    </row>
    <row r="101" spans="2:15">
      <c r="B101" s="26"/>
      <c r="C101" s="25"/>
      <c r="D101" s="106"/>
      <c r="E101" s="26"/>
      <c r="F101" s="107"/>
      <c r="G101" s="26"/>
      <c r="H101" s="107"/>
      <c r="I101" s="26"/>
      <c r="J101" s="107"/>
      <c r="K101" s="26"/>
      <c r="L101" s="107"/>
      <c r="M101" s="42" t="e">
        <f t="shared" ca="1" si="4"/>
        <v>#N/A</v>
      </c>
      <c r="N101" s="63" t="e">
        <f ca="1">VLOOKUP($B101,Matrix!$H$13:$I$37,2,FALSE)&amp;"_"&amp;C101</f>
        <v>#N/A</v>
      </c>
      <c r="O101" s="114" t="e">
        <f t="shared" ca="1" si="5"/>
        <v>#N/A</v>
      </c>
    </row>
    <row r="102" spans="2:15">
      <c r="B102" s="26"/>
      <c r="C102" s="25"/>
      <c r="D102" s="106"/>
      <c r="E102" s="26"/>
      <c r="F102" s="107"/>
      <c r="G102" s="26"/>
      <c r="H102" s="107"/>
      <c r="I102" s="26"/>
      <c r="J102" s="107"/>
      <c r="K102" s="26"/>
      <c r="L102" s="107"/>
      <c r="M102" s="42" t="e">
        <f t="shared" ca="1" si="4"/>
        <v>#N/A</v>
      </c>
      <c r="N102" s="63" t="e">
        <f ca="1">VLOOKUP($B102,Matrix!$H$13:$I$37,2,FALSE)&amp;"_"&amp;C102</f>
        <v>#N/A</v>
      </c>
      <c r="O102" s="114" t="e">
        <f t="shared" ca="1" si="5"/>
        <v>#N/A</v>
      </c>
    </row>
    <row r="103" spans="2:15" ht="13.8" thickBot="1">
      <c r="B103" s="48"/>
      <c r="C103" s="49"/>
      <c r="D103" s="108"/>
      <c r="E103" s="48"/>
      <c r="F103" s="109"/>
      <c r="G103" s="48"/>
      <c r="H103" s="109"/>
      <c r="I103" s="48"/>
      <c r="J103" s="109"/>
      <c r="K103" s="48"/>
      <c r="L103" s="109"/>
      <c r="M103" s="50" t="e">
        <f t="shared" ca="1" si="4"/>
        <v>#N/A</v>
      </c>
      <c r="N103" s="64" t="e">
        <f ca="1">VLOOKUP($B103,Matrix!$H$13:$I$37,2,FALSE)&amp;"_"&amp;C103</f>
        <v>#N/A</v>
      </c>
      <c r="O103" s="115"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pageSetup paperSize="9" orientation="portrait" horizontalDpi="300" verticalDpi="300" r:id="rId1"/>
  <headerFooter>
    <oddHeader>&amp;C&amp;"Calibri"&amp;10&amp;KFF0000 CONFIDENTIAL&amp;1#_x000D_</oddHead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pane ySplit="3" topLeftCell="A4" activePane="bottomLeft" state="frozen"/>
      <selection pane="bottomLeft" activeCell="AU5" sqref="AU5:AU17"/>
    </sheetView>
  </sheetViews>
  <sheetFormatPr defaultRowHeight="13.2"/>
  <cols>
    <col min="1" max="1" width="6" customWidth="1"/>
    <col min="2" max="2" width="16.6640625" bestFit="1" customWidth="1"/>
    <col min="3" max="3" width="3" bestFit="1" customWidth="1"/>
    <col min="4" max="35" width="3" customWidth="1"/>
    <col min="36" max="36" width="39.44140625" customWidth="1"/>
    <col min="37" max="37" width="4.109375" customWidth="1"/>
    <col min="38" max="42" width="9" hidden="1" customWidth="1"/>
    <col min="43" max="43" width="20.44140625" hidden="1" customWidth="1"/>
    <col min="44" max="45" width="41.109375" customWidth="1"/>
    <col min="46" max="46" width="38.33203125" customWidth="1"/>
    <col min="47" max="47" width="45.44140625" customWidth="1"/>
    <col min="48" max="48" width="23.44140625" customWidth="1"/>
    <col min="49" max="49" width="29" bestFit="1" customWidth="1"/>
  </cols>
  <sheetData>
    <row r="1" spans="1:49">
      <c r="AH1" t="s">
        <v>56</v>
      </c>
      <c r="AI1" t="s">
        <v>57</v>
      </c>
    </row>
    <row r="2" spans="1:49">
      <c r="B2" s="116" t="s">
        <v>126</v>
      </c>
      <c r="C2" s="319" t="s">
        <v>82</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21" t="s">
        <v>157</v>
      </c>
    </row>
    <row r="3" spans="1:49" ht="213" customHeight="1" thickBot="1">
      <c r="B3" s="216" t="str">
        <f>IF(OR(IF(COUNTIF(D6:AC69,"0")&lt;&gt;0,TRUE,FALSE),IF(COUNTIF(D6:AC69,"1")&lt;&gt;0,TRUE,FALSE)),"Search Table","Index Table")</f>
        <v>Index Table</v>
      </c>
      <c r="C3" s="320"/>
      <c r="D3" s="118" t="s">
        <v>58</v>
      </c>
      <c r="E3" s="118" t="s">
        <v>63</v>
      </c>
      <c r="F3" s="118" t="s">
        <v>47</v>
      </c>
      <c r="G3" s="118" t="s">
        <v>46</v>
      </c>
      <c r="H3" s="118" t="s">
        <v>124</v>
      </c>
      <c r="I3" s="118" t="s">
        <v>123</v>
      </c>
      <c r="J3" s="118" t="s">
        <v>128</v>
      </c>
      <c r="K3" s="118" t="s">
        <v>127</v>
      </c>
      <c r="L3" s="119" t="s">
        <v>63</v>
      </c>
      <c r="M3" s="119" t="s">
        <v>59</v>
      </c>
      <c r="N3" s="119" t="s">
        <v>59</v>
      </c>
      <c r="O3" s="119" t="s">
        <v>59</v>
      </c>
      <c r="P3" s="119" t="s">
        <v>59</v>
      </c>
      <c r="Q3" s="119" t="s">
        <v>59</v>
      </c>
      <c r="R3" s="119" t="s">
        <v>59</v>
      </c>
      <c r="S3" s="119" t="s">
        <v>59</v>
      </c>
      <c r="T3" s="119" t="s">
        <v>59</v>
      </c>
      <c r="U3" s="119" t="s">
        <v>59</v>
      </c>
      <c r="V3" s="119" t="s">
        <v>59</v>
      </c>
      <c r="W3" s="119" t="s">
        <v>59</v>
      </c>
      <c r="X3" s="119" t="s">
        <v>59</v>
      </c>
      <c r="Y3" s="119" t="s">
        <v>59</v>
      </c>
      <c r="Z3" s="119" t="s">
        <v>59</v>
      </c>
      <c r="AA3" s="119" t="s">
        <v>59</v>
      </c>
      <c r="AB3" s="119" t="s">
        <v>59</v>
      </c>
      <c r="AC3" s="119" t="s">
        <v>59</v>
      </c>
      <c r="AD3" s="119" t="s">
        <v>59</v>
      </c>
      <c r="AE3" s="327" t="s">
        <v>198</v>
      </c>
      <c r="AF3" s="328"/>
      <c r="AG3" s="327" t="s">
        <v>244</v>
      </c>
      <c r="AH3" s="329"/>
      <c r="AI3" s="330"/>
      <c r="AJ3" s="322"/>
      <c r="AR3" s="85" t="s">
        <v>95</v>
      </c>
    </row>
    <row r="4" spans="1:49" ht="13.8" thickBot="1">
      <c r="A4" s="323" t="s">
        <v>60</v>
      </c>
      <c r="B4" s="324"/>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1"/>
      <c r="AR4" s="73" t="s">
        <v>79</v>
      </c>
      <c r="AS4" s="74"/>
      <c r="AT4" s="74"/>
      <c r="AU4" s="74"/>
      <c r="AV4" s="74"/>
      <c r="AW4" s="75"/>
    </row>
    <row r="5" spans="1:49" ht="13.8" thickBot="1">
      <c r="A5" s="325"/>
      <c r="B5" s="326"/>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2"/>
      <c r="AR5" s="76" t="str">
        <f ca="1">"static const U4  "&amp;AW8&amp;"["&amp;AW10&amp;"]"&amp;" = {"</f>
        <v>static const U4  u4_sp_ALERT_S_ADBZR_APP_CRIT[ALERT_S_ADBZR_APP_NUM_DST] = {</v>
      </c>
      <c r="AS5" s="76" t="str">
        <f ca="1">"static const U4  "&amp;$AW$9&amp;"["&amp;$AW$10&amp;"] = {"</f>
        <v>static const U4  u4_sp_ALERT_S_ADBZR_APP_MASK[ALERT_S_ADBZR_APP_NUM_DST] = {</v>
      </c>
      <c r="AT5" s="76" t="str">
        <f ca="1">"static const U1  "&amp;$AW$11&amp;"["&amp;$AW$10&amp;"] = {"</f>
        <v>static const U1  u1_sp_ALERT_S_ADBZR_APP_DST[ALERT_S_ADBZR_APP_NUM_DST] = {</v>
      </c>
      <c r="AU5" s="76" t="str">
        <f ca="1">"const ST_ALERT_MTRX "&amp;$AW$12&amp;" = {"</f>
        <v>const ST_ALERT_MTRX st_gp_ALERT_S_ADBZR_APP_MTRX[1] = {</v>
      </c>
      <c r="AV5" s="60" t="str">
        <f ca="1">"#define "&amp;AW10&amp;REPT(" ",41-LEN(AW10))&amp;"("&amp;AW13&amp;"U)"</f>
        <v>#define ALERT_S_ADBZR_APP_NUM_DST                (32U)</v>
      </c>
      <c r="AW5" s="61"/>
    </row>
    <row r="6" spans="1:49">
      <c r="B6" s="125" t="str">
        <f ca="1">"Table "&amp;$AW$6</f>
        <v>Table S_ADBZR_APP</v>
      </c>
      <c r="C6" s="47">
        <f>ROW()-ROW($C$6)</f>
        <v>0</v>
      </c>
      <c r="D6" s="120" t="s">
        <v>64</v>
      </c>
      <c r="E6" s="120" t="s">
        <v>64</v>
      </c>
      <c r="F6" s="120" t="s">
        <v>64</v>
      </c>
      <c r="G6" s="120" t="s">
        <v>64</v>
      </c>
      <c r="H6" s="120" t="s">
        <v>64</v>
      </c>
      <c r="I6" s="120" t="s">
        <v>64</v>
      </c>
      <c r="J6" s="120" t="s">
        <v>64</v>
      </c>
      <c r="K6" s="120" t="s">
        <v>64</v>
      </c>
      <c r="L6" s="120" t="s">
        <v>64</v>
      </c>
      <c r="M6" s="120" t="s">
        <v>64</v>
      </c>
      <c r="N6" s="120" t="s">
        <v>64</v>
      </c>
      <c r="O6" s="120" t="s">
        <v>64</v>
      </c>
      <c r="P6" s="120" t="s">
        <v>64</v>
      </c>
      <c r="Q6" s="120" t="s">
        <v>64</v>
      </c>
      <c r="R6" s="120" t="s">
        <v>64</v>
      </c>
      <c r="S6" s="120" t="s">
        <v>64</v>
      </c>
      <c r="T6" s="120" t="s">
        <v>64</v>
      </c>
      <c r="U6" s="120" t="s">
        <v>64</v>
      </c>
      <c r="V6" s="120" t="s">
        <v>64</v>
      </c>
      <c r="W6" s="120" t="s">
        <v>64</v>
      </c>
      <c r="X6" s="120" t="s">
        <v>64</v>
      </c>
      <c r="Y6" s="120" t="s">
        <v>64</v>
      </c>
      <c r="Z6" s="120" t="s">
        <v>64</v>
      </c>
      <c r="AA6" s="120" t="s">
        <v>64</v>
      </c>
      <c r="AB6" s="120" t="s">
        <v>64</v>
      </c>
      <c r="AC6" s="120" t="s">
        <v>64</v>
      </c>
      <c r="AD6" s="120" t="s">
        <v>64</v>
      </c>
      <c r="AE6" s="120">
        <v>0</v>
      </c>
      <c r="AF6" s="123">
        <v>0</v>
      </c>
      <c r="AG6" s="123">
        <v>0</v>
      </c>
      <c r="AH6" s="123">
        <v>0</v>
      </c>
      <c r="AI6" s="123">
        <v>0</v>
      </c>
      <c r="AJ6" s="46" t="s">
        <v>233</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(U4)0x0000001FU,                                                           /* 00 UNKNOWN                                         */</v>
      </c>
      <c r="AT6" s="58" t="str">
        <f t="shared" ref="AT6:AT69" si="1">IF(AJ6&lt;&gt;"",AL6&amp;IF(AJ7&lt;&gt;"",","," ")&amp;REPT(" ",78-LEN(AL6))&amp;"/* "&amp;IF(C6&lt;10,"0"&amp;C6,C6)&amp;" "&amp;AJ6&amp;REPT(" ",48-LEN(AJ6))&amp;"*/",IF(AJ5&lt;&gt;"","};",""))</f>
        <v xml:space="preserve">    (U1)ALERT_REQ_UNKNOWN,                                                     /* 00 UNKNOWN                                         */</v>
      </c>
      <c r="AU6" s="58" t="s">
        <v>65</v>
      </c>
      <c r="AV6" s="43" t="s">
        <v>67</v>
      </c>
      <c r="AW6" s="62" t="str">
        <f ca="1">UPPER(RIGHT(CELL("filename",A1),LEN(CELL("filename",A1))-FIND("]",CELL("filename",A1))))</f>
        <v>S_ADBZR_APP</v>
      </c>
    </row>
    <row r="7" spans="1:49">
      <c r="A7" s="263" t="s">
        <v>275</v>
      </c>
      <c r="B7" s="125"/>
      <c r="C7" s="42">
        <f t="shared" ref="C7:C69" si="2">ROW()-ROW($C$6)</f>
        <v>1</v>
      </c>
      <c r="D7" s="56" t="s">
        <v>64</v>
      </c>
      <c r="E7" s="56" t="s">
        <v>64</v>
      </c>
      <c r="F7" s="56" t="s">
        <v>64</v>
      </c>
      <c r="G7" s="56" t="s">
        <v>64</v>
      </c>
      <c r="H7" s="56" t="s">
        <v>64</v>
      </c>
      <c r="I7" s="56" t="s">
        <v>64</v>
      </c>
      <c r="J7" s="56" t="s">
        <v>64</v>
      </c>
      <c r="K7" s="56" t="s">
        <v>64</v>
      </c>
      <c r="L7" s="56" t="s">
        <v>64</v>
      </c>
      <c r="M7" s="56" t="s">
        <v>64</v>
      </c>
      <c r="N7" s="56" t="s">
        <v>64</v>
      </c>
      <c r="O7" s="56" t="s">
        <v>64</v>
      </c>
      <c r="P7" s="56" t="s">
        <v>64</v>
      </c>
      <c r="Q7" s="56" t="s">
        <v>64</v>
      </c>
      <c r="R7" s="56" t="s">
        <v>64</v>
      </c>
      <c r="S7" s="56" t="s">
        <v>64</v>
      </c>
      <c r="T7" s="56" t="s">
        <v>64</v>
      </c>
      <c r="U7" s="56" t="s">
        <v>64</v>
      </c>
      <c r="V7" s="56" t="s">
        <v>64</v>
      </c>
      <c r="W7" s="56" t="s">
        <v>64</v>
      </c>
      <c r="X7" s="56" t="s">
        <v>64</v>
      </c>
      <c r="Y7" s="56" t="s">
        <v>64</v>
      </c>
      <c r="Z7" s="56" t="s">
        <v>64</v>
      </c>
      <c r="AA7" s="56" t="s">
        <v>64</v>
      </c>
      <c r="AB7" s="56" t="s">
        <v>64</v>
      </c>
      <c r="AC7" s="56" t="s">
        <v>64</v>
      </c>
      <c r="AD7" s="56" t="s">
        <v>64</v>
      </c>
      <c r="AE7" s="56">
        <v>0</v>
      </c>
      <c r="AF7" s="123">
        <v>0</v>
      </c>
      <c r="AG7" s="123">
        <v>0</v>
      </c>
      <c r="AH7" s="123">
        <v>0</v>
      </c>
      <c r="AI7" s="123">
        <v>1</v>
      </c>
      <c r="AJ7" s="254" t="s">
        <v>107</v>
      </c>
      <c r="AL7" t="str">
        <f t="shared" si="0"/>
        <v xml:space="preserve">    (U1)ALERT_REQ_UNKNOWN</v>
      </c>
      <c r="AR7" s="58" t="str">
        <f t="shared" ref="AR7:AR70" si="3">IF(AQ72&lt;&gt;"",AQ72,IF(AQ71&lt;&gt;"","};",""))</f>
        <v xml:space="preserve">    (U4)0x00000001U,                                                           /* 01 UNKNOWN                                         */</v>
      </c>
      <c r="AS7" s="58" t="str">
        <f t="shared" ref="AS7:AS70" si="4">IF(AQ137&lt;&gt;"",AQ137,IF(AQ136&lt;&gt;"","};",""))</f>
        <v xml:space="preserve">    (U4)0x0000001FU,                                                           /* 01 UNKNOWN                                         */</v>
      </c>
      <c r="AT7" s="58" t="str">
        <f t="shared" si="1"/>
        <v xml:space="preserve">    (U1)ALERT_REQ_UNKNOWN,                                                     /* 01 UNKNOWN                                         */</v>
      </c>
      <c r="AU7" s="58" t="str">
        <f ca="1">"        &amp;"&amp;$AW$14&amp;","&amp;REPT(" ",69-LEN($AW$14))&amp;"/* fp_u4_SRC_CHK                                      */"</f>
        <v xml:space="preserve">        &amp;u4_s_AlertS_adbzr_appSrcchk,                                          /* fp_u4_SRC_CHK                                      */</v>
      </c>
      <c r="AV7" s="44" t="s">
        <v>68</v>
      </c>
      <c r="AW7" s="124">
        <f>IF(B3="Search Table",1,0)</f>
        <v>0</v>
      </c>
    </row>
    <row r="8" spans="1:49">
      <c r="A8" s="84" t="s">
        <v>282</v>
      </c>
      <c r="B8" s="125"/>
      <c r="C8" s="42">
        <f t="shared" si="2"/>
        <v>2</v>
      </c>
      <c r="D8" s="56" t="s">
        <v>64</v>
      </c>
      <c r="E8" s="56" t="s">
        <v>64</v>
      </c>
      <c r="F8" s="56" t="s">
        <v>64</v>
      </c>
      <c r="G8" s="56" t="s">
        <v>64</v>
      </c>
      <c r="H8" s="56" t="s">
        <v>64</v>
      </c>
      <c r="I8" s="56" t="s">
        <v>64</v>
      </c>
      <c r="J8" s="56" t="s">
        <v>64</v>
      </c>
      <c r="K8" s="56" t="s">
        <v>64</v>
      </c>
      <c r="L8" s="56" t="s">
        <v>64</v>
      </c>
      <c r="M8" s="56" t="s">
        <v>64</v>
      </c>
      <c r="N8" s="56" t="s">
        <v>64</v>
      </c>
      <c r="O8" s="56" t="s">
        <v>64</v>
      </c>
      <c r="P8" s="56" t="s">
        <v>64</v>
      </c>
      <c r="Q8" s="56" t="s">
        <v>64</v>
      </c>
      <c r="R8" s="56" t="s">
        <v>64</v>
      </c>
      <c r="S8" s="56" t="s">
        <v>64</v>
      </c>
      <c r="T8" s="56" t="s">
        <v>64</v>
      </c>
      <c r="U8" s="56" t="s">
        <v>64</v>
      </c>
      <c r="V8" s="56" t="s">
        <v>64</v>
      </c>
      <c r="W8" s="56" t="s">
        <v>64</v>
      </c>
      <c r="X8" s="56" t="s">
        <v>64</v>
      </c>
      <c r="Y8" s="56" t="s">
        <v>64</v>
      </c>
      <c r="Z8" s="56" t="s">
        <v>64</v>
      </c>
      <c r="AA8" s="56" t="s">
        <v>64</v>
      </c>
      <c r="AB8" s="56" t="s">
        <v>64</v>
      </c>
      <c r="AC8" s="56" t="s">
        <v>64</v>
      </c>
      <c r="AD8" s="56" t="s">
        <v>64</v>
      </c>
      <c r="AE8" s="56">
        <v>0</v>
      </c>
      <c r="AF8" s="123">
        <v>0</v>
      </c>
      <c r="AG8" s="123">
        <v>0</v>
      </c>
      <c r="AH8" s="123">
        <v>1</v>
      </c>
      <c r="AI8" s="123">
        <v>0</v>
      </c>
      <c r="AJ8" s="255" t="s">
        <v>278</v>
      </c>
      <c r="AL8" t="str">
        <f t="shared" ca="1" si="0"/>
        <v xml:space="preserve">    (U1)ALERT_REQ_S_ADBZR_APP_DISCONT</v>
      </c>
      <c r="AR8" s="58" t="str">
        <f t="shared" si="3"/>
        <v xml:space="preserve">    (U4)0x00000002U,                                                           /* 02 DISCONT                                         */</v>
      </c>
      <c r="AS8" s="58" t="str">
        <f t="shared" si="4"/>
        <v xml:space="preserve">    (U4)0x0000001FU,                                                           /* 02 DISCONT                                         */</v>
      </c>
      <c r="AT8" s="58" t="str">
        <f ca="1">IF(AJ8&lt;&gt;"",AL8&amp;IF(AJ9&lt;&gt;"",","," ")&amp;REPT(" ",78-LEN(AL8))&amp;"/* "&amp;IF(C8&lt;10,"0"&amp;C8,C8)&amp;" "&amp;AJ8&amp;REPT(" ",48-LEN(AJ8))&amp;"*/",IF(AJ7&lt;&gt;"","};",""))</f>
        <v xml:space="preserve">    (U1)ALERT_REQ_S_ADBZR_APP_DISCONT,                                         /* 02 DISCONT                                         */</v>
      </c>
      <c r="AU8" s="58" t="str">
        <f ca="1">IF($AW$15&lt;&gt;"NULL","        &amp;"&amp;$AW$15&amp;","&amp;REPT(" ",69-LEN($AW$15))&amp;"/* fp_vd_XDST                                         */","        vdp_PTR_NA,                                                            /* fp_vd_XDST                                         */")</f>
        <v xml:space="preserve">        vdp_PTR_NA,                                                            /* fp_vd_XDST                                         */</v>
      </c>
      <c r="AV8" s="44" t="s">
        <v>69</v>
      </c>
      <c r="AW8" s="63" t="str">
        <f ca="1">"u4_sp_ALERT_"&amp;IF(AW6&lt;&gt;AW17,$AW$17&amp;"_"&amp;$AW$6,AW17)&amp;"_CRIT"</f>
        <v>u4_sp_ALERT_S_ADBZR_APP_CRIT</v>
      </c>
    </row>
    <row r="9" spans="1:49">
      <c r="A9" s="263" t="s">
        <v>275</v>
      </c>
      <c r="B9" s="125"/>
      <c r="C9" s="42">
        <f t="shared" si="2"/>
        <v>3</v>
      </c>
      <c r="D9" s="56" t="s">
        <v>64</v>
      </c>
      <c r="E9" s="56" t="s">
        <v>64</v>
      </c>
      <c r="F9" s="56" t="s">
        <v>64</v>
      </c>
      <c r="G9" s="56" t="s">
        <v>64</v>
      </c>
      <c r="H9" s="56" t="s">
        <v>64</v>
      </c>
      <c r="I9" s="56" t="s">
        <v>64</v>
      </c>
      <c r="J9" s="56" t="s">
        <v>64</v>
      </c>
      <c r="K9" s="56" t="s">
        <v>64</v>
      </c>
      <c r="L9" s="56" t="s">
        <v>64</v>
      </c>
      <c r="M9" s="56" t="s">
        <v>64</v>
      </c>
      <c r="N9" s="56" t="s">
        <v>64</v>
      </c>
      <c r="O9" s="56" t="s">
        <v>64</v>
      </c>
      <c r="P9" s="56" t="s">
        <v>64</v>
      </c>
      <c r="Q9" s="56" t="s">
        <v>64</v>
      </c>
      <c r="R9" s="56" t="s">
        <v>64</v>
      </c>
      <c r="S9" s="56" t="s">
        <v>64</v>
      </c>
      <c r="T9" s="56" t="s">
        <v>64</v>
      </c>
      <c r="U9" s="56" t="s">
        <v>64</v>
      </c>
      <c r="V9" s="56" t="s">
        <v>64</v>
      </c>
      <c r="W9" s="56" t="s">
        <v>64</v>
      </c>
      <c r="X9" s="56" t="s">
        <v>64</v>
      </c>
      <c r="Y9" s="56" t="s">
        <v>64</v>
      </c>
      <c r="Z9" s="56" t="s">
        <v>64</v>
      </c>
      <c r="AA9" s="56" t="s">
        <v>64</v>
      </c>
      <c r="AB9" s="56" t="s">
        <v>64</v>
      </c>
      <c r="AC9" s="56" t="s">
        <v>64</v>
      </c>
      <c r="AD9" s="56" t="s">
        <v>64</v>
      </c>
      <c r="AE9" s="56">
        <v>0</v>
      </c>
      <c r="AF9" s="56">
        <v>0</v>
      </c>
      <c r="AG9" s="56">
        <v>0</v>
      </c>
      <c r="AH9" s="56">
        <v>1</v>
      </c>
      <c r="AI9" s="56">
        <v>1</v>
      </c>
      <c r="AJ9" s="253" t="s">
        <v>107</v>
      </c>
      <c r="AL9" t="str">
        <f t="shared" si="0"/>
        <v xml:space="preserve">    (U1)ALERT_REQ_UNKNOWN</v>
      </c>
      <c r="AR9" s="58" t="str">
        <f t="shared" si="3"/>
        <v xml:space="preserve">    (U4)0x00000003U,                                                           /* 03 UNKNOWN                                         */</v>
      </c>
      <c r="AS9" s="58" t="str">
        <f t="shared" si="4"/>
        <v xml:space="preserve">    (U4)0x0000001FU,                                                           /* 03 UNKNOWN                                         */</v>
      </c>
      <c r="AT9" s="58" t="str">
        <f t="shared" si="1"/>
        <v xml:space="preserve">    (U1)ALERT_REQ_UNKNOWN,                                                     /* 03 UNKNOWN                                         */</v>
      </c>
      <c r="AU9" s="58"/>
      <c r="AV9" s="44" t="s">
        <v>70</v>
      </c>
      <c r="AW9" s="63" t="str">
        <f ca="1">"u4_sp_ALERT_"&amp;IF(AW6&lt;&gt;AW17,$AW$17&amp;"_"&amp;$AW$6,AW17)&amp;"_MASK"</f>
        <v>u4_sp_ALERT_S_ADBZR_APP_MASK</v>
      </c>
    </row>
    <row r="10" spans="1:49">
      <c r="B10" s="125"/>
      <c r="C10" s="42">
        <f t="shared" si="2"/>
        <v>4</v>
      </c>
      <c r="D10" s="56" t="s">
        <v>64</v>
      </c>
      <c r="E10" s="56" t="s">
        <v>64</v>
      </c>
      <c r="F10" s="56" t="s">
        <v>64</v>
      </c>
      <c r="G10" s="56" t="s">
        <v>64</v>
      </c>
      <c r="H10" s="56" t="s">
        <v>64</v>
      </c>
      <c r="I10" s="56" t="s">
        <v>64</v>
      </c>
      <c r="J10" s="56" t="s">
        <v>64</v>
      </c>
      <c r="K10" s="56" t="s">
        <v>64</v>
      </c>
      <c r="L10" s="56" t="s">
        <v>64</v>
      </c>
      <c r="M10" s="56" t="s">
        <v>64</v>
      </c>
      <c r="N10" s="56" t="s">
        <v>64</v>
      </c>
      <c r="O10" s="56" t="s">
        <v>64</v>
      </c>
      <c r="P10" s="56" t="s">
        <v>64</v>
      </c>
      <c r="Q10" s="56" t="s">
        <v>64</v>
      </c>
      <c r="R10" s="56" t="s">
        <v>64</v>
      </c>
      <c r="S10" s="56" t="s">
        <v>64</v>
      </c>
      <c r="T10" s="56" t="s">
        <v>64</v>
      </c>
      <c r="U10" s="56" t="s">
        <v>64</v>
      </c>
      <c r="V10" s="56" t="s">
        <v>64</v>
      </c>
      <c r="W10" s="56" t="s">
        <v>64</v>
      </c>
      <c r="X10" s="56" t="s">
        <v>64</v>
      </c>
      <c r="Y10" s="56" t="s">
        <v>64</v>
      </c>
      <c r="Z10" s="56" t="s">
        <v>64</v>
      </c>
      <c r="AA10" s="56" t="s">
        <v>64</v>
      </c>
      <c r="AB10" s="56" t="s">
        <v>64</v>
      </c>
      <c r="AC10" s="56" t="s">
        <v>64</v>
      </c>
      <c r="AD10" s="56" t="s">
        <v>64</v>
      </c>
      <c r="AE10" s="56">
        <v>0</v>
      </c>
      <c r="AF10" s="56">
        <v>0</v>
      </c>
      <c r="AG10" s="56">
        <v>1</v>
      </c>
      <c r="AH10" s="123">
        <v>0</v>
      </c>
      <c r="AI10" s="123">
        <v>0</v>
      </c>
      <c r="AJ10" s="25" t="s">
        <v>33</v>
      </c>
      <c r="AL10" t="str">
        <f t="shared" si="0"/>
        <v xml:space="preserve">    (U1)ALERT_REQ_UNKNOWN</v>
      </c>
      <c r="AR10" s="58" t="str">
        <f t="shared" si="3"/>
        <v xml:space="preserve">    (U4)0x00000004U,                                                           /* 04 UNKNOWN                                         */</v>
      </c>
      <c r="AS10" s="58" t="str">
        <f t="shared" si="4"/>
        <v xml:space="preserve">    (U4)0x0000001FU,                                                           /* 04 UNKNOWN                                         */</v>
      </c>
      <c r="AT10" s="58" t="str">
        <f t="shared" si="1"/>
        <v xml:space="preserve">    (U1)ALERT_REQ_UNKNOWN,                                                     /* 04 UNKNOWN                                         */</v>
      </c>
      <c r="AU10" s="58" t="str">
        <f>IF($AW$7=1,"        &amp;"&amp;$AW$9&amp;"[0],"&amp;REPT(" ",66-LEN($AW$9))&amp;"/* u4p_MASK                                           */","        (const U4 *)vdp_PTR_NA,                                                /* u4p_MASK                                           */")</f>
        <v xml:space="preserve">        (const U4 *)vdp_PTR_NA,                                                /* u4p_MASK                                           */</v>
      </c>
      <c r="AV10" s="44" t="s">
        <v>71</v>
      </c>
      <c r="AW10" s="63" t="str">
        <f ca="1">"ALERT_"&amp;IF(AW6&lt;&gt;AW17,$AW$17&amp;"_"&amp;$AW$6,AW17)&amp;"_NUM_DST"</f>
        <v>ALERT_S_ADBZR_APP_NUM_DST</v>
      </c>
    </row>
    <row r="11" spans="1:49">
      <c r="B11" s="125"/>
      <c r="C11" s="42">
        <f t="shared" si="2"/>
        <v>5</v>
      </c>
      <c r="D11" s="56" t="s">
        <v>64</v>
      </c>
      <c r="E11" s="56" t="s">
        <v>64</v>
      </c>
      <c r="F11" s="56" t="s">
        <v>64</v>
      </c>
      <c r="G11" s="56" t="s">
        <v>64</v>
      </c>
      <c r="H11" s="56" t="s">
        <v>64</v>
      </c>
      <c r="I11" s="56" t="s">
        <v>64</v>
      </c>
      <c r="J11" s="56" t="s">
        <v>64</v>
      </c>
      <c r="K11" s="56" t="s">
        <v>64</v>
      </c>
      <c r="L11" s="56" t="s">
        <v>64</v>
      </c>
      <c r="M11" s="56" t="s">
        <v>64</v>
      </c>
      <c r="N11" s="56" t="s">
        <v>64</v>
      </c>
      <c r="O11" s="56" t="s">
        <v>64</v>
      </c>
      <c r="P11" s="56" t="s">
        <v>64</v>
      </c>
      <c r="Q11" s="56" t="s">
        <v>64</v>
      </c>
      <c r="R11" s="56" t="s">
        <v>64</v>
      </c>
      <c r="S11" s="56" t="s">
        <v>64</v>
      </c>
      <c r="T11" s="56" t="s">
        <v>64</v>
      </c>
      <c r="U11" s="56" t="s">
        <v>64</v>
      </c>
      <c r="V11" s="56" t="s">
        <v>64</v>
      </c>
      <c r="W11" s="56" t="s">
        <v>64</v>
      </c>
      <c r="X11" s="56" t="s">
        <v>64</v>
      </c>
      <c r="Y11" s="56" t="s">
        <v>64</v>
      </c>
      <c r="Z11" s="56" t="s">
        <v>64</v>
      </c>
      <c r="AA11" s="56" t="s">
        <v>64</v>
      </c>
      <c r="AB11" s="56" t="s">
        <v>64</v>
      </c>
      <c r="AC11" s="56" t="s">
        <v>64</v>
      </c>
      <c r="AD11" s="56" t="s">
        <v>64</v>
      </c>
      <c r="AE11" s="56">
        <v>0</v>
      </c>
      <c r="AF11" s="56">
        <v>0</v>
      </c>
      <c r="AG11" s="56">
        <v>1</v>
      </c>
      <c r="AH11" s="123">
        <v>0</v>
      </c>
      <c r="AI11" s="123">
        <v>1</v>
      </c>
      <c r="AJ11" s="25" t="s">
        <v>33</v>
      </c>
      <c r="AL11" t="str">
        <f t="shared" si="0"/>
        <v xml:space="preserve">    (U1)ALERT_REQ_UNKNOWN</v>
      </c>
      <c r="AR11" s="58" t="str">
        <f t="shared" si="3"/>
        <v xml:space="preserve">    (U4)0x00000005U,                                                           /* 05 UNKNOWN                                         */</v>
      </c>
      <c r="AS11" s="58" t="str">
        <f t="shared" si="4"/>
        <v xml:space="preserve">    (U4)0x0000001FU,                                                           /* 05 UNKNOWN                                         */</v>
      </c>
      <c r="AT11" s="58" t="str">
        <f t="shared" si="1"/>
        <v xml:space="preserve">    (U1)ALERT_REQ_UNKNOWN,                                                     /* 05 UNKNOWN                                         */</v>
      </c>
      <c r="AU11" s="58" t="str">
        <f>IF($AW$7=1,"        &amp;"&amp;$AW$8&amp;"[0],"&amp;REPT(" ",66-LEN($AW$8))&amp;"/* u4p_CRIT                                           */","        (const U4 *)vdp_PTR_NA,                                                /* u4p_CRIT                                           */")</f>
        <v xml:space="preserve">        (const U4 *)vdp_PTR_NA,                                                /* u4p_CRIT                                           */</v>
      </c>
      <c r="AV11" s="44" t="s">
        <v>72</v>
      </c>
      <c r="AW11" s="63" t="str">
        <f ca="1">"u1_sp_ALERT_"&amp;IF(AW6&lt;&gt;AW17,$AW$17&amp;"_"&amp;$AW$6,AW17)&amp;"_DST"</f>
        <v>u1_sp_ALERT_S_ADBZR_APP_DST</v>
      </c>
    </row>
    <row r="12" spans="1:49">
      <c r="B12" s="125"/>
      <c r="C12" s="42">
        <f t="shared" si="2"/>
        <v>6</v>
      </c>
      <c r="D12" s="56" t="s">
        <v>64</v>
      </c>
      <c r="E12" s="56" t="s">
        <v>64</v>
      </c>
      <c r="F12" s="56" t="s">
        <v>64</v>
      </c>
      <c r="G12" s="56" t="s">
        <v>64</v>
      </c>
      <c r="H12" s="56" t="s">
        <v>64</v>
      </c>
      <c r="I12" s="56" t="s">
        <v>64</v>
      </c>
      <c r="J12" s="56" t="s">
        <v>64</v>
      </c>
      <c r="K12" s="56" t="s">
        <v>64</v>
      </c>
      <c r="L12" s="56" t="s">
        <v>64</v>
      </c>
      <c r="M12" s="56" t="s">
        <v>64</v>
      </c>
      <c r="N12" s="56" t="s">
        <v>64</v>
      </c>
      <c r="O12" s="56" t="s">
        <v>64</v>
      </c>
      <c r="P12" s="56" t="s">
        <v>64</v>
      </c>
      <c r="Q12" s="56" t="s">
        <v>64</v>
      </c>
      <c r="R12" s="56" t="s">
        <v>64</v>
      </c>
      <c r="S12" s="56" t="s">
        <v>64</v>
      </c>
      <c r="T12" s="56" t="s">
        <v>64</v>
      </c>
      <c r="U12" s="56" t="s">
        <v>64</v>
      </c>
      <c r="V12" s="56" t="s">
        <v>64</v>
      </c>
      <c r="W12" s="56" t="s">
        <v>64</v>
      </c>
      <c r="X12" s="56" t="s">
        <v>64</v>
      </c>
      <c r="Y12" s="56" t="s">
        <v>64</v>
      </c>
      <c r="Z12" s="56" t="s">
        <v>64</v>
      </c>
      <c r="AA12" s="56" t="s">
        <v>64</v>
      </c>
      <c r="AB12" s="56" t="s">
        <v>64</v>
      </c>
      <c r="AC12" s="56" t="s">
        <v>64</v>
      </c>
      <c r="AD12" s="56" t="s">
        <v>64</v>
      </c>
      <c r="AE12" s="56">
        <v>0</v>
      </c>
      <c r="AF12" s="56">
        <v>0</v>
      </c>
      <c r="AG12" s="56">
        <v>1</v>
      </c>
      <c r="AH12" s="123">
        <v>1</v>
      </c>
      <c r="AI12" s="123">
        <v>0</v>
      </c>
      <c r="AJ12" s="25" t="s">
        <v>199</v>
      </c>
      <c r="AL12" t="str">
        <f ca="1">IF($AJ12="UNKNOWN","    (U1)ALERT_REQ_UNKNOWN","    (U1)"&amp;"ALERT_REQ_"&amp;$AW$17&amp;"_"&amp;IF($AW$6&lt;&gt;$AW$17,$AW$6&amp;"_","")&amp;AJ12)</f>
        <v xml:space="preserve">    (U1)ALERT_REQ_S_ADBZR_APP_COMPLETION</v>
      </c>
      <c r="AR12" s="58" t="str">
        <f t="shared" si="3"/>
        <v xml:space="preserve">    (U4)0x00000006U,                                                           /* 06 COMPLETION                                      */</v>
      </c>
      <c r="AS12" s="58" t="str">
        <f t="shared" si="4"/>
        <v xml:space="preserve">    (U4)0x0000001FU,                                                           /* 06 COMPLETION                                      */</v>
      </c>
      <c r="AT12" s="58" t="str">
        <f t="shared" ca="1" si="1"/>
        <v xml:space="preserve">    (U1)ALERT_REQ_S_ADBZR_APP_COMPLETION,                                      /* 06 COMPLETION                                      */</v>
      </c>
      <c r="AU12" s="58"/>
      <c r="AV12" s="44" t="s">
        <v>86</v>
      </c>
      <c r="AW12" s="63" t="str">
        <f ca="1">Matrix!D8&amp;"["&amp;Matrix!D7&amp;"]"</f>
        <v>st_gp_ALERT_S_ADBZR_APP_MTRX[1]</v>
      </c>
    </row>
    <row r="13" spans="1:49">
      <c r="B13" s="125"/>
      <c r="C13" s="42">
        <f t="shared" si="2"/>
        <v>7</v>
      </c>
      <c r="D13" s="56" t="s">
        <v>64</v>
      </c>
      <c r="E13" s="56" t="s">
        <v>64</v>
      </c>
      <c r="F13" s="56" t="s">
        <v>64</v>
      </c>
      <c r="G13" s="56" t="s">
        <v>64</v>
      </c>
      <c r="H13" s="56" t="s">
        <v>64</v>
      </c>
      <c r="I13" s="56" t="s">
        <v>64</v>
      </c>
      <c r="J13" s="56" t="s">
        <v>64</v>
      </c>
      <c r="K13" s="56" t="s">
        <v>64</v>
      </c>
      <c r="L13" s="56" t="s">
        <v>64</v>
      </c>
      <c r="M13" s="56" t="s">
        <v>64</v>
      </c>
      <c r="N13" s="56" t="s">
        <v>64</v>
      </c>
      <c r="O13" s="56" t="s">
        <v>64</v>
      </c>
      <c r="P13" s="56" t="s">
        <v>64</v>
      </c>
      <c r="Q13" s="56" t="s">
        <v>64</v>
      </c>
      <c r="R13" s="56" t="s">
        <v>64</v>
      </c>
      <c r="S13" s="56" t="s">
        <v>64</v>
      </c>
      <c r="T13" s="56" t="s">
        <v>64</v>
      </c>
      <c r="U13" s="56" t="s">
        <v>64</v>
      </c>
      <c r="V13" s="56" t="s">
        <v>64</v>
      </c>
      <c r="W13" s="56" t="s">
        <v>64</v>
      </c>
      <c r="X13" s="56" t="s">
        <v>64</v>
      </c>
      <c r="Y13" s="56" t="s">
        <v>64</v>
      </c>
      <c r="Z13" s="56" t="s">
        <v>64</v>
      </c>
      <c r="AA13" s="56" t="s">
        <v>64</v>
      </c>
      <c r="AB13" s="56" t="s">
        <v>64</v>
      </c>
      <c r="AC13" s="56" t="s">
        <v>64</v>
      </c>
      <c r="AD13" s="56" t="s">
        <v>64</v>
      </c>
      <c r="AE13" s="56">
        <v>0</v>
      </c>
      <c r="AF13" s="56">
        <v>0</v>
      </c>
      <c r="AG13" s="56">
        <v>1</v>
      </c>
      <c r="AH13" s="56">
        <v>1</v>
      </c>
      <c r="AI13" s="56">
        <v>1</v>
      </c>
      <c r="AJ13" s="25" t="s">
        <v>33</v>
      </c>
      <c r="AL13" t="str">
        <f t="shared" si="0"/>
        <v xml:space="preserve">    (U1)ALERT_REQ_UNKNOWN</v>
      </c>
      <c r="AR13" s="58" t="str">
        <f t="shared" si="3"/>
        <v xml:space="preserve">    (U4)0x00000007U,                                                           /* 07 UNKNOWN                                         */</v>
      </c>
      <c r="AS13" s="58" t="str">
        <f t="shared" si="4"/>
        <v xml:space="preserve">    (U4)0x0000001FU,                                                           /* 07 UNKNOWN                                         */</v>
      </c>
      <c r="AT13" s="58" t="str">
        <f t="shared" si="1"/>
        <v xml:space="preserve">    (U1)ALERT_REQ_UNKNOWN,                                                     /* 07 UNKNOWN                                         */</v>
      </c>
      <c r="AU13" s="58" t="str">
        <f ca="1">"        &amp;"&amp;$AW$11&amp;"[0],"&amp;REPT(" ",66-LEN($AW$11))&amp;"/* u1p_DST                                            */"</f>
        <v xml:space="preserve">        &amp;u1_sp_ALERT_S_ADBZR_APP_DST[0],                                       /* u1p_DST                                            */</v>
      </c>
      <c r="AV13" s="44" t="s">
        <v>73</v>
      </c>
      <c r="AW13" s="124">
        <f>COUNTA($AJ$6:$AJ$69)</f>
        <v>32</v>
      </c>
    </row>
    <row r="14" spans="1:49">
      <c r="B14" s="125"/>
      <c r="C14" s="42">
        <f t="shared" si="2"/>
        <v>8</v>
      </c>
      <c r="D14" s="56" t="s">
        <v>64</v>
      </c>
      <c r="E14" s="56" t="s">
        <v>64</v>
      </c>
      <c r="F14" s="56" t="s">
        <v>64</v>
      </c>
      <c r="G14" s="56" t="s">
        <v>64</v>
      </c>
      <c r="H14" s="56" t="s">
        <v>64</v>
      </c>
      <c r="I14" s="56" t="s">
        <v>64</v>
      </c>
      <c r="J14" s="56" t="s">
        <v>64</v>
      </c>
      <c r="K14" s="56" t="s">
        <v>64</v>
      </c>
      <c r="L14" s="56" t="s">
        <v>64</v>
      </c>
      <c r="M14" s="56" t="s">
        <v>64</v>
      </c>
      <c r="N14" s="56" t="s">
        <v>64</v>
      </c>
      <c r="O14" s="56" t="s">
        <v>64</v>
      </c>
      <c r="P14" s="56" t="s">
        <v>64</v>
      </c>
      <c r="Q14" s="56" t="s">
        <v>64</v>
      </c>
      <c r="R14" s="56" t="s">
        <v>64</v>
      </c>
      <c r="S14" s="56" t="s">
        <v>64</v>
      </c>
      <c r="T14" s="56" t="s">
        <v>64</v>
      </c>
      <c r="U14" s="56" t="s">
        <v>64</v>
      </c>
      <c r="V14" s="56" t="s">
        <v>64</v>
      </c>
      <c r="W14" s="56" t="s">
        <v>64</v>
      </c>
      <c r="X14" s="56" t="s">
        <v>64</v>
      </c>
      <c r="Y14" s="56" t="s">
        <v>64</v>
      </c>
      <c r="Z14" s="56" t="s">
        <v>64</v>
      </c>
      <c r="AA14" s="56" t="s">
        <v>64</v>
      </c>
      <c r="AB14" s="56" t="s">
        <v>64</v>
      </c>
      <c r="AC14" s="56" t="s">
        <v>64</v>
      </c>
      <c r="AD14" s="56" t="s">
        <v>64</v>
      </c>
      <c r="AE14" s="56">
        <v>0</v>
      </c>
      <c r="AF14" s="56">
        <v>1</v>
      </c>
      <c r="AG14" s="56">
        <v>0</v>
      </c>
      <c r="AH14" s="56">
        <v>0</v>
      </c>
      <c r="AI14" s="56">
        <v>0</v>
      </c>
      <c r="AJ14" s="25" t="s">
        <v>33</v>
      </c>
      <c r="AL14" t="str">
        <f t="shared" si="0"/>
        <v xml:space="preserve">    (U1)ALERT_REQ_UNKNOWN</v>
      </c>
      <c r="AR14" s="58" t="str">
        <f t="shared" si="3"/>
        <v xml:space="preserve">    (U4)0x00000008U,                                                           /* 08 UNKNOWN                                         */</v>
      </c>
      <c r="AS14" s="58" t="str">
        <f t="shared" si="4"/>
        <v xml:space="preserve">    (U4)0x0000001FU,                                                           /* 08 UNKNOWN                                         */</v>
      </c>
      <c r="AT14" s="58" t="str">
        <f t="shared" si="1"/>
        <v xml:space="preserve">    (U1)ALERT_REQ_UNKNOWN,                                                     /* 08 UNKNOWN                                         */</v>
      </c>
      <c r="AU14" s="58" t="str">
        <f ca="1">"        (U2)"&amp;$AW$10&amp;","&amp;REPT(" ",66-LEN($AW$10))&amp;"/* u2_num_srch                                        */"</f>
        <v xml:space="preserve">        (U2)ALERT_S_ADBZR_APP_NUM_DST,                                         /* u2_num_srch                                        */</v>
      </c>
      <c r="AV14" s="44" t="s">
        <v>74</v>
      </c>
      <c r="AW14" s="63" t="str">
        <f ca="1">IF(AW6&lt;&gt;AW17,VLOOKUP(AW6,Matrix!$C$13:$G$37,4,FALSE),Matrix!F13)</f>
        <v>u4_s_AlertS_adbzr_appSrcchk</v>
      </c>
    </row>
    <row r="15" spans="1:49">
      <c r="B15" s="125"/>
      <c r="C15" s="42">
        <f t="shared" si="2"/>
        <v>9</v>
      </c>
      <c r="D15" s="56" t="s">
        <v>64</v>
      </c>
      <c r="E15" s="56" t="s">
        <v>64</v>
      </c>
      <c r="F15" s="56" t="s">
        <v>64</v>
      </c>
      <c r="G15" s="56" t="s">
        <v>64</v>
      </c>
      <c r="H15" s="56" t="s">
        <v>64</v>
      </c>
      <c r="I15" s="56" t="s">
        <v>64</v>
      </c>
      <c r="J15" s="56" t="s">
        <v>64</v>
      </c>
      <c r="K15" s="56" t="s">
        <v>64</v>
      </c>
      <c r="L15" s="56" t="s">
        <v>64</v>
      </c>
      <c r="M15" s="56" t="s">
        <v>64</v>
      </c>
      <c r="N15" s="56" t="s">
        <v>64</v>
      </c>
      <c r="O15" s="56" t="s">
        <v>64</v>
      </c>
      <c r="P15" s="56" t="s">
        <v>64</v>
      </c>
      <c r="Q15" s="56" t="s">
        <v>64</v>
      </c>
      <c r="R15" s="56" t="s">
        <v>64</v>
      </c>
      <c r="S15" s="56" t="s">
        <v>64</v>
      </c>
      <c r="T15" s="56" t="s">
        <v>64</v>
      </c>
      <c r="U15" s="56" t="s">
        <v>64</v>
      </c>
      <c r="V15" s="56" t="s">
        <v>64</v>
      </c>
      <c r="W15" s="56" t="s">
        <v>64</v>
      </c>
      <c r="X15" s="56" t="s">
        <v>64</v>
      </c>
      <c r="Y15" s="56" t="s">
        <v>64</v>
      </c>
      <c r="Z15" s="56" t="s">
        <v>64</v>
      </c>
      <c r="AA15" s="56" t="s">
        <v>64</v>
      </c>
      <c r="AB15" s="56" t="s">
        <v>64</v>
      </c>
      <c r="AC15" s="56" t="s">
        <v>64</v>
      </c>
      <c r="AD15" s="56" t="s">
        <v>64</v>
      </c>
      <c r="AE15" s="56">
        <v>0</v>
      </c>
      <c r="AF15" s="56">
        <v>1</v>
      </c>
      <c r="AG15" s="56">
        <v>0</v>
      </c>
      <c r="AH15" s="56">
        <v>0</v>
      </c>
      <c r="AI15" s="56">
        <v>1</v>
      </c>
      <c r="AJ15" s="25" t="s">
        <v>33</v>
      </c>
      <c r="AL15" t="str">
        <f t="shared" si="0"/>
        <v xml:space="preserve">    (U1)ALERT_REQ_UNKNOWN</v>
      </c>
      <c r="AR15" s="58" t="str">
        <f t="shared" si="3"/>
        <v xml:space="preserve">    (U4)0x00000009U,                                                           /* 09 UNKNOWN                                         */</v>
      </c>
      <c r="AS15" s="58" t="str">
        <f t="shared" si="4"/>
        <v xml:space="preserve">    (U4)0x0000001FU,                                                           /* 09 UNKNOWN                                         */</v>
      </c>
      <c r="AT15" s="58" t="str">
        <f t="shared" si="1"/>
        <v xml:space="preserve">    (U1)ALERT_REQ_UNKNOWN,                                                     /* 09 UNKNOWN                                         */</v>
      </c>
      <c r="AU15" s="58" t="str">
        <f ca="1">"        (U1)"&amp;$AW$16&amp;REPT(" ",67-LEN($AW$16))&amp;"/* u1_vom_act                                         */"</f>
        <v xml:space="preserve">        (U1)ALERT_VOM_IGN_ON                                                   /* u1_vom_act                                         */</v>
      </c>
      <c r="AV15" s="44" t="s">
        <v>77</v>
      </c>
      <c r="AW15" s="63" t="str">
        <f ca="1">IF(AW6&lt;&gt;AW17,VLOOKUP(AW6,Matrix!$C$13:$G$37,5,FALSE),Matrix!G13)</f>
        <v>NULL</v>
      </c>
    </row>
    <row r="16" spans="1:49">
      <c r="B16" s="125"/>
      <c r="C16" s="42">
        <f t="shared" si="2"/>
        <v>10</v>
      </c>
      <c r="D16" s="56" t="s">
        <v>64</v>
      </c>
      <c r="E16" s="56" t="s">
        <v>64</v>
      </c>
      <c r="F16" s="56" t="s">
        <v>64</v>
      </c>
      <c r="G16" s="56" t="s">
        <v>64</v>
      </c>
      <c r="H16" s="56" t="s">
        <v>64</v>
      </c>
      <c r="I16" s="56" t="s">
        <v>64</v>
      </c>
      <c r="J16" s="56" t="s">
        <v>64</v>
      </c>
      <c r="K16" s="56" t="s">
        <v>64</v>
      </c>
      <c r="L16" s="56" t="s">
        <v>64</v>
      </c>
      <c r="M16" s="56" t="s">
        <v>64</v>
      </c>
      <c r="N16" s="56" t="s">
        <v>64</v>
      </c>
      <c r="O16" s="56" t="s">
        <v>64</v>
      </c>
      <c r="P16" s="56" t="s">
        <v>64</v>
      </c>
      <c r="Q16" s="56" t="s">
        <v>64</v>
      </c>
      <c r="R16" s="56" t="s">
        <v>64</v>
      </c>
      <c r="S16" s="56" t="s">
        <v>64</v>
      </c>
      <c r="T16" s="56" t="s">
        <v>64</v>
      </c>
      <c r="U16" s="56" t="s">
        <v>64</v>
      </c>
      <c r="V16" s="56" t="s">
        <v>64</v>
      </c>
      <c r="W16" s="56" t="s">
        <v>64</v>
      </c>
      <c r="X16" s="56" t="s">
        <v>64</v>
      </c>
      <c r="Y16" s="56" t="s">
        <v>64</v>
      </c>
      <c r="Z16" s="56" t="s">
        <v>64</v>
      </c>
      <c r="AA16" s="56" t="s">
        <v>64</v>
      </c>
      <c r="AB16" s="56" t="s">
        <v>64</v>
      </c>
      <c r="AC16" s="56" t="s">
        <v>64</v>
      </c>
      <c r="AD16" s="56" t="s">
        <v>64</v>
      </c>
      <c r="AE16" s="56">
        <v>0</v>
      </c>
      <c r="AF16" s="56">
        <v>1</v>
      </c>
      <c r="AG16" s="56">
        <v>0</v>
      </c>
      <c r="AH16" s="56">
        <v>1</v>
      </c>
      <c r="AI16" s="56">
        <v>0</v>
      </c>
      <c r="AJ16" s="25" t="s">
        <v>33</v>
      </c>
      <c r="AL16" t="str">
        <f t="shared" si="0"/>
        <v xml:space="preserve">    (U1)ALERT_REQ_UNKNOWN</v>
      </c>
      <c r="AR16" s="58" t="str">
        <f t="shared" si="3"/>
        <v xml:space="preserve">    (U4)0x0000000AU,                                                           /* 10 UNKNOWN                                         */</v>
      </c>
      <c r="AS16" s="58" t="str">
        <f t="shared" si="4"/>
        <v xml:space="preserve">    (U4)0x0000001FU,                                                           /* 10 UNKNOWN                                         */</v>
      </c>
      <c r="AT16" s="58" t="str">
        <f t="shared" si="1"/>
        <v xml:space="preserve">    (U1)ALERT_REQ_UNKNOWN,                                                     /* 10 UNKNOWN                                         */</v>
      </c>
      <c r="AU16" s="58" t="s">
        <v>66</v>
      </c>
      <c r="AV16" s="44" t="s">
        <v>75</v>
      </c>
      <c r="AW16" s="63" t="str">
        <f ca="1">IF(AW6&lt;&gt;AW17,VLOOKUP(AW6,Matrix!$C$13:$G$37,2,FALSE),Matrix!D13)</f>
        <v>ALERT_VOM_IGN_ON</v>
      </c>
    </row>
    <row r="17" spans="1:49" ht="13.8" thickBot="1">
      <c r="B17" s="125"/>
      <c r="C17" s="42">
        <f t="shared" si="2"/>
        <v>11</v>
      </c>
      <c r="D17" s="56" t="s">
        <v>64</v>
      </c>
      <c r="E17" s="56" t="s">
        <v>64</v>
      </c>
      <c r="F17" s="56" t="s">
        <v>64</v>
      </c>
      <c r="G17" s="56" t="s">
        <v>64</v>
      </c>
      <c r="H17" s="56" t="s">
        <v>64</v>
      </c>
      <c r="I17" s="56" t="s">
        <v>64</v>
      </c>
      <c r="J17" s="56" t="s">
        <v>64</v>
      </c>
      <c r="K17" s="56" t="s">
        <v>64</v>
      </c>
      <c r="L17" s="56" t="s">
        <v>64</v>
      </c>
      <c r="M17" s="56" t="s">
        <v>64</v>
      </c>
      <c r="N17" s="56" t="s">
        <v>64</v>
      </c>
      <c r="O17" s="56" t="s">
        <v>64</v>
      </c>
      <c r="P17" s="56" t="s">
        <v>64</v>
      </c>
      <c r="Q17" s="56" t="s">
        <v>64</v>
      </c>
      <c r="R17" s="56" t="s">
        <v>64</v>
      </c>
      <c r="S17" s="56" t="s">
        <v>64</v>
      </c>
      <c r="T17" s="56" t="s">
        <v>64</v>
      </c>
      <c r="U17" s="56" t="s">
        <v>64</v>
      </c>
      <c r="V17" s="56" t="s">
        <v>64</v>
      </c>
      <c r="W17" s="56" t="s">
        <v>64</v>
      </c>
      <c r="X17" s="56" t="s">
        <v>64</v>
      </c>
      <c r="Y17" s="56" t="s">
        <v>64</v>
      </c>
      <c r="Z17" s="56" t="s">
        <v>64</v>
      </c>
      <c r="AA17" s="56" t="s">
        <v>64</v>
      </c>
      <c r="AB17" s="56" t="s">
        <v>64</v>
      </c>
      <c r="AC17" s="56" t="s">
        <v>64</v>
      </c>
      <c r="AD17" s="56" t="s">
        <v>64</v>
      </c>
      <c r="AE17" s="56">
        <v>0</v>
      </c>
      <c r="AF17" s="56">
        <v>1</v>
      </c>
      <c r="AG17" s="56">
        <v>0</v>
      </c>
      <c r="AH17" s="56">
        <v>1</v>
      </c>
      <c r="AI17" s="56">
        <v>1</v>
      </c>
      <c r="AJ17" s="25" t="s">
        <v>33</v>
      </c>
      <c r="AL17" t="str">
        <f t="shared" si="0"/>
        <v xml:space="preserve">    (U1)ALERT_REQ_UNKNOWN</v>
      </c>
      <c r="AR17" s="58" t="str">
        <f t="shared" si="3"/>
        <v xml:space="preserve">    (U4)0x0000000BU,                                                           /* 11 UNKNOWN                                         */</v>
      </c>
      <c r="AS17" s="58" t="str">
        <f t="shared" si="4"/>
        <v xml:space="preserve">    (U4)0x0000001FU,                                                           /* 11 UNKNOWN                                         */</v>
      </c>
      <c r="AT17" s="58" t="str">
        <f t="shared" si="1"/>
        <v xml:space="preserve">    (U1)ALERT_REQ_UNKNOWN,                                                     /* 11 UNKNOWN                                         */</v>
      </c>
      <c r="AU17" s="59" t="s">
        <v>78</v>
      </c>
      <c r="AV17" s="45" t="s">
        <v>76</v>
      </c>
      <c r="AW17" s="64" t="str">
        <f ca="1">UPPER(Matrix!$D$6)</f>
        <v>S_ADBZR_APP</v>
      </c>
    </row>
    <row r="18" spans="1:49">
      <c r="B18" s="125"/>
      <c r="C18" s="42">
        <f t="shared" si="2"/>
        <v>12</v>
      </c>
      <c r="D18" s="56" t="s">
        <v>64</v>
      </c>
      <c r="E18" s="56" t="s">
        <v>64</v>
      </c>
      <c r="F18" s="56" t="s">
        <v>64</v>
      </c>
      <c r="G18" s="56" t="s">
        <v>64</v>
      </c>
      <c r="H18" s="56" t="s">
        <v>64</v>
      </c>
      <c r="I18" s="56" t="s">
        <v>64</v>
      </c>
      <c r="J18" s="56" t="s">
        <v>64</v>
      </c>
      <c r="K18" s="56" t="s">
        <v>64</v>
      </c>
      <c r="L18" s="56" t="s">
        <v>64</v>
      </c>
      <c r="M18" s="56" t="s">
        <v>64</v>
      </c>
      <c r="N18" s="56" t="s">
        <v>64</v>
      </c>
      <c r="O18" s="56" t="s">
        <v>64</v>
      </c>
      <c r="P18" s="56" t="s">
        <v>64</v>
      </c>
      <c r="Q18" s="56" t="s">
        <v>64</v>
      </c>
      <c r="R18" s="56" t="s">
        <v>64</v>
      </c>
      <c r="S18" s="56" t="s">
        <v>64</v>
      </c>
      <c r="T18" s="56" t="s">
        <v>64</v>
      </c>
      <c r="U18" s="56" t="s">
        <v>64</v>
      </c>
      <c r="V18" s="56" t="s">
        <v>64</v>
      </c>
      <c r="W18" s="56" t="s">
        <v>64</v>
      </c>
      <c r="X18" s="56" t="s">
        <v>64</v>
      </c>
      <c r="Y18" s="56" t="s">
        <v>64</v>
      </c>
      <c r="Z18" s="56" t="s">
        <v>64</v>
      </c>
      <c r="AA18" s="56" t="s">
        <v>64</v>
      </c>
      <c r="AB18" s="56" t="s">
        <v>64</v>
      </c>
      <c r="AC18" s="56" t="s">
        <v>64</v>
      </c>
      <c r="AD18" s="56" t="s">
        <v>64</v>
      </c>
      <c r="AE18" s="56">
        <v>0</v>
      </c>
      <c r="AF18" s="56">
        <v>1</v>
      </c>
      <c r="AG18" s="56">
        <v>1</v>
      </c>
      <c r="AH18" s="56">
        <v>0</v>
      </c>
      <c r="AI18" s="56">
        <v>0</v>
      </c>
      <c r="AJ18" s="25" t="s">
        <v>33</v>
      </c>
      <c r="AL18" t="str">
        <f t="shared" si="0"/>
        <v xml:space="preserve">    (U1)ALERT_REQ_UNKNOWN</v>
      </c>
      <c r="AR18" s="58" t="str">
        <f t="shared" si="3"/>
        <v xml:space="preserve">    (U4)0x0000000CU,                                                           /* 12 UNKNOWN                                         */</v>
      </c>
      <c r="AS18" s="58" t="str">
        <f t="shared" si="4"/>
        <v xml:space="preserve">    (U4)0x0000001FU,                                                           /* 12 UNKNOWN                                         */</v>
      </c>
      <c r="AT18" s="58" t="str">
        <f t="shared" si="1"/>
        <v xml:space="preserve">    (U1)ALERT_REQ_UNKNOWN,                                                     /* 12 UNKNOWN                                         */</v>
      </c>
    </row>
    <row r="19" spans="1:49">
      <c r="B19" s="125"/>
      <c r="C19" s="42">
        <f t="shared" si="2"/>
        <v>13</v>
      </c>
      <c r="D19" s="56" t="s">
        <v>64</v>
      </c>
      <c r="E19" s="56" t="s">
        <v>64</v>
      </c>
      <c r="F19" s="56" t="s">
        <v>64</v>
      </c>
      <c r="G19" s="56" t="s">
        <v>64</v>
      </c>
      <c r="H19" s="56" t="s">
        <v>64</v>
      </c>
      <c r="I19" s="56" t="s">
        <v>64</v>
      </c>
      <c r="J19" s="56" t="s">
        <v>64</v>
      </c>
      <c r="K19" s="56" t="s">
        <v>64</v>
      </c>
      <c r="L19" s="56" t="s">
        <v>64</v>
      </c>
      <c r="M19" s="56" t="s">
        <v>64</v>
      </c>
      <c r="N19" s="56" t="s">
        <v>64</v>
      </c>
      <c r="O19" s="56" t="s">
        <v>64</v>
      </c>
      <c r="P19" s="56" t="s">
        <v>64</v>
      </c>
      <c r="Q19" s="56" t="s">
        <v>64</v>
      </c>
      <c r="R19" s="56" t="s">
        <v>64</v>
      </c>
      <c r="S19" s="56" t="s">
        <v>64</v>
      </c>
      <c r="T19" s="56" t="s">
        <v>64</v>
      </c>
      <c r="U19" s="56" t="s">
        <v>64</v>
      </c>
      <c r="V19" s="56" t="s">
        <v>64</v>
      </c>
      <c r="W19" s="56" t="s">
        <v>64</v>
      </c>
      <c r="X19" s="56" t="s">
        <v>64</v>
      </c>
      <c r="Y19" s="56" t="s">
        <v>64</v>
      </c>
      <c r="Z19" s="56" t="s">
        <v>64</v>
      </c>
      <c r="AA19" s="56" t="s">
        <v>64</v>
      </c>
      <c r="AB19" s="56" t="s">
        <v>64</v>
      </c>
      <c r="AC19" s="56" t="s">
        <v>64</v>
      </c>
      <c r="AD19" s="56" t="s">
        <v>64</v>
      </c>
      <c r="AE19" s="56">
        <v>0</v>
      </c>
      <c r="AF19" s="56">
        <v>1</v>
      </c>
      <c r="AG19" s="56">
        <v>1</v>
      </c>
      <c r="AH19" s="56">
        <v>0</v>
      </c>
      <c r="AI19" s="56">
        <v>1</v>
      </c>
      <c r="AJ19" s="25" t="s">
        <v>33</v>
      </c>
      <c r="AL19" t="str">
        <f t="shared" si="0"/>
        <v xml:space="preserve">    (U1)ALERT_REQ_UNKNOWN</v>
      </c>
      <c r="AR19" s="58" t="str">
        <f t="shared" si="3"/>
        <v xml:space="preserve">    (U4)0x0000000DU,                                                           /* 13 UNKNOWN                                         */</v>
      </c>
      <c r="AS19" s="58" t="str">
        <f t="shared" si="4"/>
        <v xml:space="preserve">    (U4)0x0000001FU,                                                           /* 13 UNKNOWN                                         */</v>
      </c>
      <c r="AT19" s="58" t="str">
        <f t="shared" si="1"/>
        <v xml:space="preserve">    (U1)ALERT_REQ_UNKNOWN,                                                     /* 13 UNKNOWN                                         */</v>
      </c>
    </row>
    <row r="20" spans="1:49">
      <c r="B20" s="125"/>
      <c r="C20" s="42">
        <f t="shared" si="2"/>
        <v>14</v>
      </c>
      <c r="D20" s="56" t="s">
        <v>64</v>
      </c>
      <c r="E20" s="56" t="s">
        <v>64</v>
      </c>
      <c r="F20" s="56" t="s">
        <v>64</v>
      </c>
      <c r="G20" s="56" t="s">
        <v>64</v>
      </c>
      <c r="H20" s="56" t="s">
        <v>64</v>
      </c>
      <c r="I20" s="56" t="s">
        <v>64</v>
      </c>
      <c r="J20" s="56" t="s">
        <v>64</v>
      </c>
      <c r="K20" s="56" t="s">
        <v>64</v>
      </c>
      <c r="L20" s="56" t="s">
        <v>64</v>
      </c>
      <c r="M20" s="56" t="s">
        <v>64</v>
      </c>
      <c r="N20" s="56" t="s">
        <v>64</v>
      </c>
      <c r="O20" s="56" t="s">
        <v>64</v>
      </c>
      <c r="P20" s="56" t="s">
        <v>64</v>
      </c>
      <c r="Q20" s="56" t="s">
        <v>64</v>
      </c>
      <c r="R20" s="56" t="s">
        <v>64</v>
      </c>
      <c r="S20" s="56" t="s">
        <v>64</v>
      </c>
      <c r="T20" s="56" t="s">
        <v>64</v>
      </c>
      <c r="U20" s="56" t="s">
        <v>64</v>
      </c>
      <c r="V20" s="56" t="s">
        <v>64</v>
      </c>
      <c r="W20" s="56" t="s">
        <v>64</v>
      </c>
      <c r="X20" s="56" t="s">
        <v>64</v>
      </c>
      <c r="Y20" s="56" t="s">
        <v>64</v>
      </c>
      <c r="Z20" s="56" t="s">
        <v>64</v>
      </c>
      <c r="AA20" s="56" t="s">
        <v>64</v>
      </c>
      <c r="AB20" s="56" t="s">
        <v>64</v>
      </c>
      <c r="AC20" s="56" t="s">
        <v>64</v>
      </c>
      <c r="AD20" s="56" t="s">
        <v>64</v>
      </c>
      <c r="AE20" s="56">
        <v>0</v>
      </c>
      <c r="AF20" s="56">
        <v>1</v>
      </c>
      <c r="AG20" s="56">
        <v>1</v>
      </c>
      <c r="AH20" s="56">
        <v>1</v>
      </c>
      <c r="AI20" s="56">
        <v>0</v>
      </c>
      <c r="AJ20" s="25" t="s">
        <v>33</v>
      </c>
      <c r="AL20" t="str">
        <f t="shared" si="0"/>
        <v xml:space="preserve">    (U1)ALERT_REQ_UNKNOWN</v>
      </c>
      <c r="AR20" s="58" t="str">
        <f t="shared" si="3"/>
        <v xml:space="preserve">    (U4)0x0000000EU,                                                           /* 14 UNKNOWN                                         */</v>
      </c>
      <c r="AS20" s="58" t="str">
        <f t="shared" si="4"/>
        <v xml:space="preserve">    (U4)0x0000001FU,                                                           /* 14 UNKNOWN                                         */</v>
      </c>
      <c r="AT20" s="58" t="str">
        <f t="shared" si="1"/>
        <v xml:space="preserve">    (U1)ALERT_REQ_UNKNOWN,                                                     /* 14 UNKNOWN                                         */</v>
      </c>
    </row>
    <row r="21" spans="1:49">
      <c r="B21" s="125"/>
      <c r="C21" s="42">
        <f t="shared" si="2"/>
        <v>15</v>
      </c>
      <c r="D21" s="56" t="s">
        <v>64</v>
      </c>
      <c r="E21" s="56" t="s">
        <v>64</v>
      </c>
      <c r="F21" s="56" t="s">
        <v>64</v>
      </c>
      <c r="G21" s="56" t="s">
        <v>64</v>
      </c>
      <c r="H21" s="56" t="s">
        <v>64</v>
      </c>
      <c r="I21" s="56" t="s">
        <v>64</v>
      </c>
      <c r="J21" s="56" t="s">
        <v>64</v>
      </c>
      <c r="K21" s="56" t="s">
        <v>64</v>
      </c>
      <c r="L21" s="56" t="s">
        <v>64</v>
      </c>
      <c r="M21" s="56" t="s">
        <v>64</v>
      </c>
      <c r="N21" s="56" t="s">
        <v>64</v>
      </c>
      <c r="O21" s="56" t="s">
        <v>64</v>
      </c>
      <c r="P21" s="56" t="s">
        <v>64</v>
      </c>
      <c r="Q21" s="56" t="s">
        <v>64</v>
      </c>
      <c r="R21" s="56" t="s">
        <v>64</v>
      </c>
      <c r="S21" s="56" t="s">
        <v>64</v>
      </c>
      <c r="T21" s="56" t="s">
        <v>64</v>
      </c>
      <c r="U21" s="56" t="s">
        <v>64</v>
      </c>
      <c r="V21" s="56" t="s">
        <v>64</v>
      </c>
      <c r="W21" s="56" t="s">
        <v>64</v>
      </c>
      <c r="X21" s="56" t="s">
        <v>64</v>
      </c>
      <c r="Y21" s="56" t="s">
        <v>64</v>
      </c>
      <c r="Z21" s="56" t="s">
        <v>64</v>
      </c>
      <c r="AA21" s="56" t="s">
        <v>64</v>
      </c>
      <c r="AB21" s="56" t="s">
        <v>64</v>
      </c>
      <c r="AC21" s="56" t="s">
        <v>64</v>
      </c>
      <c r="AD21" s="56" t="s">
        <v>64</v>
      </c>
      <c r="AE21" s="56">
        <v>0</v>
      </c>
      <c r="AF21" s="56">
        <v>1</v>
      </c>
      <c r="AG21" s="56">
        <v>1</v>
      </c>
      <c r="AH21" s="56">
        <v>1</v>
      </c>
      <c r="AI21" s="56">
        <v>1</v>
      </c>
      <c r="AJ21" s="25" t="s">
        <v>33</v>
      </c>
      <c r="AL21" t="str">
        <f t="shared" si="0"/>
        <v xml:space="preserve">    (U1)ALERT_REQ_UNKNOWN</v>
      </c>
      <c r="AR21" s="58" t="str">
        <f t="shared" si="3"/>
        <v xml:space="preserve">    (U4)0x0000000FU,                                                           /* 15 UNKNOWN                                         */</v>
      </c>
      <c r="AS21" s="58" t="str">
        <f t="shared" si="4"/>
        <v xml:space="preserve">    (U4)0x0000001FU,                                                           /* 15 UNKNOWN                                         */</v>
      </c>
      <c r="AT21" s="58" t="str">
        <f t="shared" si="1"/>
        <v xml:space="preserve">    (U1)ALERT_REQ_UNKNOWN,                                                     /* 15 UNKNOWN                                         */</v>
      </c>
    </row>
    <row r="22" spans="1:49">
      <c r="A22" s="84" t="s">
        <v>282</v>
      </c>
      <c r="B22" s="125"/>
      <c r="C22" s="42">
        <f t="shared" si="2"/>
        <v>16</v>
      </c>
      <c r="D22" s="56" t="s">
        <v>64</v>
      </c>
      <c r="E22" s="56" t="s">
        <v>64</v>
      </c>
      <c r="F22" s="56" t="s">
        <v>64</v>
      </c>
      <c r="G22" s="56" t="s">
        <v>64</v>
      </c>
      <c r="H22" s="56" t="s">
        <v>64</v>
      </c>
      <c r="I22" s="56" t="s">
        <v>64</v>
      </c>
      <c r="J22" s="56" t="s">
        <v>64</v>
      </c>
      <c r="K22" s="56" t="s">
        <v>64</v>
      </c>
      <c r="L22" s="56" t="s">
        <v>64</v>
      </c>
      <c r="M22" s="56" t="s">
        <v>64</v>
      </c>
      <c r="N22" s="56" t="s">
        <v>64</v>
      </c>
      <c r="O22" s="56" t="s">
        <v>64</v>
      </c>
      <c r="P22" s="56" t="s">
        <v>64</v>
      </c>
      <c r="Q22" s="56" t="s">
        <v>64</v>
      </c>
      <c r="R22" s="56" t="s">
        <v>64</v>
      </c>
      <c r="S22" s="56" t="s">
        <v>64</v>
      </c>
      <c r="T22" s="56" t="s">
        <v>64</v>
      </c>
      <c r="U22" s="56" t="s">
        <v>64</v>
      </c>
      <c r="V22" s="56" t="s">
        <v>64</v>
      </c>
      <c r="W22" s="56" t="s">
        <v>64</v>
      </c>
      <c r="X22" s="56" t="s">
        <v>64</v>
      </c>
      <c r="Y22" s="56" t="s">
        <v>64</v>
      </c>
      <c r="Z22" s="56" t="s">
        <v>64</v>
      </c>
      <c r="AA22" s="56" t="s">
        <v>64</v>
      </c>
      <c r="AB22" s="56" t="s">
        <v>64</v>
      </c>
      <c r="AC22" s="56" t="s">
        <v>64</v>
      </c>
      <c r="AD22" s="56" t="s">
        <v>64</v>
      </c>
      <c r="AE22" s="56">
        <v>1</v>
      </c>
      <c r="AF22" s="56">
        <v>0</v>
      </c>
      <c r="AG22" s="123">
        <v>0</v>
      </c>
      <c r="AH22" s="123">
        <v>0</v>
      </c>
      <c r="AI22" s="123">
        <v>0</v>
      </c>
      <c r="AJ22" s="255" t="s">
        <v>278</v>
      </c>
      <c r="AL22" t="str">
        <f t="shared" ca="1" si="0"/>
        <v xml:space="preserve">    (U1)ALERT_REQ_S_ADBZR_APP_DISCONT</v>
      </c>
      <c r="AR22" s="58" t="str">
        <f t="shared" si="3"/>
        <v xml:space="preserve">    (U4)0x00000010U,                                                           /* 16 DISCONT                                         */</v>
      </c>
      <c r="AS22" s="58" t="str">
        <f t="shared" si="4"/>
        <v xml:space="preserve">    (U4)0x0000001FU,                                                           /* 16 DISCONT                                         */</v>
      </c>
      <c r="AT22" s="58" t="str">
        <f t="shared" ca="1" si="1"/>
        <v xml:space="preserve">    (U1)ALERT_REQ_S_ADBZR_APP_DISCONT,                                         /* 16 DISCONT                                         */</v>
      </c>
    </row>
    <row r="23" spans="1:49">
      <c r="A23" s="84" t="s">
        <v>282</v>
      </c>
      <c r="B23" s="125"/>
      <c r="C23" s="42">
        <f t="shared" si="2"/>
        <v>17</v>
      </c>
      <c r="D23" s="56" t="s">
        <v>64</v>
      </c>
      <c r="E23" s="56" t="s">
        <v>64</v>
      </c>
      <c r="F23" s="56" t="s">
        <v>64</v>
      </c>
      <c r="G23" s="56" t="s">
        <v>64</v>
      </c>
      <c r="H23" s="56" t="s">
        <v>64</v>
      </c>
      <c r="I23" s="56" t="s">
        <v>64</v>
      </c>
      <c r="J23" s="56" t="s">
        <v>64</v>
      </c>
      <c r="K23" s="56" t="s">
        <v>64</v>
      </c>
      <c r="L23" s="56" t="s">
        <v>64</v>
      </c>
      <c r="M23" s="56" t="s">
        <v>64</v>
      </c>
      <c r="N23" s="56" t="s">
        <v>64</v>
      </c>
      <c r="O23" s="56" t="s">
        <v>64</v>
      </c>
      <c r="P23" s="56" t="s">
        <v>64</v>
      </c>
      <c r="Q23" s="56" t="s">
        <v>64</v>
      </c>
      <c r="R23" s="56" t="s">
        <v>64</v>
      </c>
      <c r="S23" s="56" t="s">
        <v>64</v>
      </c>
      <c r="T23" s="56" t="s">
        <v>64</v>
      </c>
      <c r="U23" s="56" t="s">
        <v>64</v>
      </c>
      <c r="V23" s="56" t="s">
        <v>64</v>
      </c>
      <c r="W23" s="56" t="s">
        <v>64</v>
      </c>
      <c r="X23" s="56" t="s">
        <v>64</v>
      </c>
      <c r="Y23" s="56" t="s">
        <v>64</v>
      </c>
      <c r="Z23" s="56" t="s">
        <v>64</v>
      </c>
      <c r="AA23" s="56" t="s">
        <v>64</v>
      </c>
      <c r="AB23" s="56" t="s">
        <v>64</v>
      </c>
      <c r="AC23" s="56" t="s">
        <v>64</v>
      </c>
      <c r="AD23" s="56" t="s">
        <v>64</v>
      </c>
      <c r="AE23" s="56">
        <v>1</v>
      </c>
      <c r="AF23" s="56">
        <v>0</v>
      </c>
      <c r="AG23" s="123">
        <v>0</v>
      </c>
      <c r="AH23" s="123">
        <v>0</v>
      </c>
      <c r="AI23" s="123">
        <v>1</v>
      </c>
      <c r="AJ23" s="255" t="s">
        <v>278</v>
      </c>
      <c r="AL23" t="str">
        <f t="shared" ca="1" si="0"/>
        <v xml:space="preserve">    (U1)ALERT_REQ_S_ADBZR_APP_DISCONT</v>
      </c>
      <c r="AR23" s="58" t="str">
        <f t="shared" si="3"/>
        <v xml:space="preserve">    (U4)0x00000011U,                                                           /* 17 DISCONT                                         */</v>
      </c>
      <c r="AS23" s="58" t="str">
        <f t="shared" si="4"/>
        <v xml:space="preserve">    (U4)0x0000001FU,                                                           /* 17 DISCONT                                         */</v>
      </c>
      <c r="AT23" s="58" t="str">
        <f t="shared" ca="1" si="1"/>
        <v xml:space="preserve">    (U1)ALERT_REQ_S_ADBZR_APP_DISCONT,                                         /* 17 DISCONT                                         */</v>
      </c>
    </row>
    <row r="24" spans="1:49">
      <c r="A24" s="84" t="s">
        <v>282</v>
      </c>
      <c r="B24" s="125"/>
      <c r="C24" s="42">
        <f t="shared" si="2"/>
        <v>18</v>
      </c>
      <c r="D24" s="56" t="s">
        <v>64</v>
      </c>
      <c r="E24" s="56" t="s">
        <v>64</v>
      </c>
      <c r="F24" s="56" t="s">
        <v>64</v>
      </c>
      <c r="G24" s="56" t="s">
        <v>64</v>
      </c>
      <c r="H24" s="56" t="s">
        <v>64</v>
      </c>
      <c r="I24" s="56" t="s">
        <v>64</v>
      </c>
      <c r="J24" s="56" t="s">
        <v>64</v>
      </c>
      <c r="K24" s="56" t="s">
        <v>64</v>
      </c>
      <c r="L24" s="56" t="s">
        <v>64</v>
      </c>
      <c r="M24" s="56" t="s">
        <v>64</v>
      </c>
      <c r="N24" s="56" t="s">
        <v>64</v>
      </c>
      <c r="O24" s="56" t="s">
        <v>64</v>
      </c>
      <c r="P24" s="56" t="s">
        <v>64</v>
      </c>
      <c r="Q24" s="56" t="s">
        <v>64</v>
      </c>
      <c r="R24" s="56" t="s">
        <v>64</v>
      </c>
      <c r="S24" s="56" t="s">
        <v>64</v>
      </c>
      <c r="T24" s="56" t="s">
        <v>64</v>
      </c>
      <c r="U24" s="56" t="s">
        <v>64</v>
      </c>
      <c r="V24" s="56" t="s">
        <v>64</v>
      </c>
      <c r="W24" s="56" t="s">
        <v>64</v>
      </c>
      <c r="X24" s="56" t="s">
        <v>64</v>
      </c>
      <c r="Y24" s="56" t="s">
        <v>64</v>
      </c>
      <c r="Z24" s="56" t="s">
        <v>64</v>
      </c>
      <c r="AA24" s="56" t="s">
        <v>64</v>
      </c>
      <c r="AB24" s="56" t="s">
        <v>64</v>
      </c>
      <c r="AC24" s="56" t="s">
        <v>64</v>
      </c>
      <c r="AD24" s="56" t="s">
        <v>64</v>
      </c>
      <c r="AE24" s="56">
        <v>1</v>
      </c>
      <c r="AF24" s="56">
        <v>0</v>
      </c>
      <c r="AG24" s="123">
        <v>0</v>
      </c>
      <c r="AH24" s="123">
        <v>1</v>
      </c>
      <c r="AI24" s="123">
        <v>0</v>
      </c>
      <c r="AJ24" s="267" t="s">
        <v>278</v>
      </c>
      <c r="AL24" t="str">
        <f t="shared" ca="1" si="0"/>
        <v xml:space="preserve">    (U1)ALERT_REQ_S_ADBZR_APP_DISCONT</v>
      </c>
      <c r="AR24" s="58" t="str">
        <f t="shared" si="3"/>
        <v xml:space="preserve">    (U4)0x00000012U,                                                           /* 18 DISCONT                                         */</v>
      </c>
      <c r="AS24" s="58" t="str">
        <f t="shared" si="4"/>
        <v xml:space="preserve">    (U4)0x0000001FU,                                                           /* 18 DISCONT                                         */</v>
      </c>
      <c r="AT24" s="58" t="str">
        <f t="shared" ca="1" si="1"/>
        <v xml:space="preserve">    (U1)ALERT_REQ_S_ADBZR_APP_DISCONT,                                         /* 18 DISCONT                                         */</v>
      </c>
    </row>
    <row r="25" spans="1:49">
      <c r="A25" s="84" t="s">
        <v>282</v>
      </c>
      <c r="B25" s="125"/>
      <c r="C25" s="42">
        <f t="shared" si="2"/>
        <v>19</v>
      </c>
      <c r="D25" s="56" t="s">
        <v>64</v>
      </c>
      <c r="E25" s="56" t="s">
        <v>64</v>
      </c>
      <c r="F25" s="56" t="s">
        <v>64</v>
      </c>
      <c r="G25" s="56" t="s">
        <v>64</v>
      </c>
      <c r="H25" s="56" t="s">
        <v>64</v>
      </c>
      <c r="I25" s="56" t="s">
        <v>64</v>
      </c>
      <c r="J25" s="56" t="s">
        <v>64</v>
      </c>
      <c r="K25" s="56" t="s">
        <v>64</v>
      </c>
      <c r="L25" s="56" t="s">
        <v>64</v>
      </c>
      <c r="M25" s="56" t="s">
        <v>64</v>
      </c>
      <c r="N25" s="56" t="s">
        <v>64</v>
      </c>
      <c r="O25" s="56" t="s">
        <v>64</v>
      </c>
      <c r="P25" s="56" t="s">
        <v>64</v>
      </c>
      <c r="Q25" s="56" t="s">
        <v>64</v>
      </c>
      <c r="R25" s="56" t="s">
        <v>64</v>
      </c>
      <c r="S25" s="56" t="s">
        <v>64</v>
      </c>
      <c r="T25" s="56" t="s">
        <v>64</v>
      </c>
      <c r="U25" s="56" t="s">
        <v>64</v>
      </c>
      <c r="V25" s="56" t="s">
        <v>64</v>
      </c>
      <c r="W25" s="56" t="s">
        <v>64</v>
      </c>
      <c r="X25" s="56" t="s">
        <v>64</v>
      </c>
      <c r="Y25" s="56" t="s">
        <v>64</v>
      </c>
      <c r="Z25" s="56" t="s">
        <v>64</v>
      </c>
      <c r="AA25" s="56" t="s">
        <v>64</v>
      </c>
      <c r="AB25" s="56" t="s">
        <v>64</v>
      </c>
      <c r="AC25" s="56" t="s">
        <v>64</v>
      </c>
      <c r="AD25" s="56" t="s">
        <v>64</v>
      </c>
      <c r="AE25" s="56">
        <v>1</v>
      </c>
      <c r="AF25" s="56">
        <v>0</v>
      </c>
      <c r="AG25" s="56">
        <v>0</v>
      </c>
      <c r="AH25" s="56">
        <v>1</v>
      </c>
      <c r="AI25" s="56">
        <v>1</v>
      </c>
      <c r="AJ25" s="267" t="s">
        <v>278</v>
      </c>
      <c r="AL25" t="str">
        <f t="shared" ca="1" si="0"/>
        <v xml:space="preserve">    (U1)ALERT_REQ_S_ADBZR_APP_DISCONT</v>
      </c>
      <c r="AR25" s="58" t="str">
        <f t="shared" si="3"/>
        <v xml:space="preserve">    (U4)0x00000013U,                                                           /* 19 DISCONT                                         */</v>
      </c>
      <c r="AS25" s="58" t="str">
        <f t="shared" si="4"/>
        <v xml:space="preserve">    (U4)0x0000001FU,                                                           /* 19 DISCONT                                         */</v>
      </c>
      <c r="AT25" s="58" t="str">
        <f t="shared" ca="1" si="1"/>
        <v xml:space="preserve">    (U1)ALERT_REQ_S_ADBZR_APP_DISCONT,                                         /* 19 DISCONT                                         */</v>
      </c>
    </row>
    <row r="26" spans="1:49">
      <c r="A26" s="84" t="s">
        <v>282</v>
      </c>
      <c r="B26" s="125"/>
      <c r="C26" s="42">
        <f t="shared" si="2"/>
        <v>20</v>
      </c>
      <c r="D26" s="56" t="s">
        <v>64</v>
      </c>
      <c r="E26" s="56" t="s">
        <v>64</v>
      </c>
      <c r="F26" s="56" t="s">
        <v>64</v>
      </c>
      <c r="G26" s="56" t="s">
        <v>64</v>
      </c>
      <c r="H26" s="56" t="s">
        <v>64</v>
      </c>
      <c r="I26" s="56" t="s">
        <v>64</v>
      </c>
      <c r="J26" s="56" t="s">
        <v>64</v>
      </c>
      <c r="K26" s="56" t="s">
        <v>64</v>
      </c>
      <c r="L26" s="56" t="s">
        <v>64</v>
      </c>
      <c r="M26" s="56" t="s">
        <v>64</v>
      </c>
      <c r="N26" s="56" t="s">
        <v>64</v>
      </c>
      <c r="O26" s="56" t="s">
        <v>64</v>
      </c>
      <c r="P26" s="56" t="s">
        <v>64</v>
      </c>
      <c r="Q26" s="56" t="s">
        <v>64</v>
      </c>
      <c r="R26" s="56" t="s">
        <v>64</v>
      </c>
      <c r="S26" s="56" t="s">
        <v>64</v>
      </c>
      <c r="T26" s="56" t="s">
        <v>64</v>
      </c>
      <c r="U26" s="56" t="s">
        <v>64</v>
      </c>
      <c r="V26" s="56" t="s">
        <v>64</v>
      </c>
      <c r="W26" s="56" t="s">
        <v>64</v>
      </c>
      <c r="X26" s="56" t="s">
        <v>64</v>
      </c>
      <c r="Y26" s="56" t="s">
        <v>64</v>
      </c>
      <c r="Z26" s="56" t="s">
        <v>64</v>
      </c>
      <c r="AA26" s="56" t="s">
        <v>64</v>
      </c>
      <c r="AB26" s="56" t="s">
        <v>64</v>
      </c>
      <c r="AC26" s="56" t="s">
        <v>64</v>
      </c>
      <c r="AD26" s="56" t="s">
        <v>64</v>
      </c>
      <c r="AE26" s="56">
        <v>1</v>
      </c>
      <c r="AF26" s="56">
        <v>0</v>
      </c>
      <c r="AG26" s="56">
        <v>1</v>
      </c>
      <c r="AH26" s="123">
        <v>0</v>
      </c>
      <c r="AI26" s="123">
        <v>0</v>
      </c>
      <c r="AJ26" s="267" t="s">
        <v>278</v>
      </c>
      <c r="AL26" t="str">
        <f t="shared" ca="1" si="0"/>
        <v xml:space="preserve">    (U1)ALERT_REQ_S_ADBZR_APP_DISCONT</v>
      </c>
      <c r="AR26" s="58" t="str">
        <f t="shared" si="3"/>
        <v xml:space="preserve">    (U4)0x00000014U,                                                           /* 20 DISCONT                                         */</v>
      </c>
      <c r="AS26" s="58" t="str">
        <f t="shared" si="4"/>
        <v xml:space="preserve">    (U4)0x0000001FU,                                                           /* 20 DISCONT                                         */</v>
      </c>
      <c r="AT26" s="58" t="str">
        <f t="shared" ca="1" si="1"/>
        <v xml:space="preserve">    (U1)ALERT_REQ_S_ADBZR_APP_DISCONT,                                         /* 20 DISCONT                                         */</v>
      </c>
    </row>
    <row r="27" spans="1:49">
      <c r="A27" s="84" t="s">
        <v>282</v>
      </c>
      <c r="B27" s="125"/>
      <c r="C27" s="42">
        <f t="shared" si="2"/>
        <v>21</v>
      </c>
      <c r="D27" s="56" t="s">
        <v>64</v>
      </c>
      <c r="E27" s="56" t="s">
        <v>64</v>
      </c>
      <c r="F27" s="56" t="s">
        <v>64</v>
      </c>
      <c r="G27" s="56" t="s">
        <v>64</v>
      </c>
      <c r="H27" s="56" t="s">
        <v>64</v>
      </c>
      <c r="I27" s="56" t="s">
        <v>64</v>
      </c>
      <c r="J27" s="56" t="s">
        <v>64</v>
      </c>
      <c r="K27" s="56" t="s">
        <v>64</v>
      </c>
      <c r="L27" s="56" t="s">
        <v>64</v>
      </c>
      <c r="M27" s="56" t="s">
        <v>64</v>
      </c>
      <c r="N27" s="56" t="s">
        <v>64</v>
      </c>
      <c r="O27" s="56" t="s">
        <v>64</v>
      </c>
      <c r="P27" s="56" t="s">
        <v>64</v>
      </c>
      <c r="Q27" s="56" t="s">
        <v>64</v>
      </c>
      <c r="R27" s="56" t="s">
        <v>64</v>
      </c>
      <c r="S27" s="56" t="s">
        <v>64</v>
      </c>
      <c r="T27" s="56" t="s">
        <v>64</v>
      </c>
      <c r="U27" s="56" t="s">
        <v>64</v>
      </c>
      <c r="V27" s="56" t="s">
        <v>64</v>
      </c>
      <c r="W27" s="56" t="s">
        <v>64</v>
      </c>
      <c r="X27" s="56" t="s">
        <v>64</v>
      </c>
      <c r="Y27" s="56" t="s">
        <v>64</v>
      </c>
      <c r="Z27" s="56" t="s">
        <v>64</v>
      </c>
      <c r="AA27" s="56" t="s">
        <v>64</v>
      </c>
      <c r="AB27" s="56" t="s">
        <v>64</v>
      </c>
      <c r="AC27" s="56" t="s">
        <v>64</v>
      </c>
      <c r="AD27" s="56" t="s">
        <v>64</v>
      </c>
      <c r="AE27" s="56">
        <v>1</v>
      </c>
      <c r="AF27" s="56">
        <v>0</v>
      </c>
      <c r="AG27" s="56">
        <v>1</v>
      </c>
      <c r="AH27" s="123">
        <v>0</v>
      </c>
      <c r="AI27" s="123">
        <v>1</v>
      </c>
      <c r="AJ27" s="267" t="s">
        <v>278</v>
      </c>
      <c r="AL27" t="str">
        <f t="shared" ca="1" si="0"/>
        <v xml:space="preserve">    (U1)ALERT_REQ_S_ADBZR_APP_DISCONT</v>
      </c>
      <c r="AR27" s="58" t="str">
        <f t="shared" si="3"/>
        <v xml:space="preserve">    (U4)0x00000015U,                                                           /* 21 DISCONT                                         */</v>
      </c>
      <c r="AS27" s="58" t="str">
        <f t="shared" si="4"/>
        <v xml:space="preserve">    (U4)0x0000001FU,                                                           /* 21 DISCONT                                         */</v>
      </c>
      <c r="AT27" s="58" t="str">
        <f t="shared" ca="1" si="1"/>
        <v xml:space="preserve">    (U1)ALERT_REQ_S_ADBZR_APP_DISCONT,                                         /* 21 DISCONT                                         */</v>
      </c>
    </row>
    <row r="28" spans="1:49">
      <c r="A28" s="84" t="s">
        <v>282</v>
      </c>
      <c r="B28" s="125"/>
      <c r="C28" s="42">
        <f t="shared" si="2"/>
        <v>22</v>
      </c>
      <c r="D28" s="56" t="s">
        <v>64</v>
      </c>
      <c r="E28" s="56" t="s">
        <v>64</v>
      </c>
      <c r="F28" s="56" t="s">
        <v>64</v>
      </c>
      <c r="G28" s="56" t="s">
        <v>64</v>
      </c>
      <c r="H28" s="56" t="s">
        <v>64</v>
      </c>
      <c r="I28" s="56" t="s">
        <v>64</v>
      </c>
      <c r="J28" s="56" t="s">
        <v>64</v>
      </c>
      <c r="K28" s="56" t="s">
        <v>64</v>
      </c>
      <c r="L28" s="56" t="s">
        <v>64</v>
      </c>
      <c r="M28" s="56" t="s">
        <v>64</v>
      </c>
      <c r="N28" s="56" t="s">
        <v>64</v>
      </c>
      <c r="O28" s="56" t="s">
        <v>64</v>
      </c>
      <c r="P28" s="56" t="s">
        <v>64</v>
      </c>
      <c r="Q28" s="56" t="s">
        <v>64</v>
      </c>
      <c r="R28" s="56" t="s">
        <v>64</v>
      </c>
      <c r="S28" s="56" t="s">
        <v>64</v>
      </c>
      <c r="T28" s="56" t="s">
        <v>64</v>
      </c>
      <c r="U28" s="56" t="s">
        <v>64</v>
      </c>
      <c r="V28" s="56" t="s">
        <v>64</v>
      </c>
      <c r="W28" s="56" t="s">
        <v>64</v>
      </c>
      <c r="X28" s="56" t="s">
        <v>64</v>
      </c>
      <c r="Y28" s="56" t="s">
        <v>64</v>
      </c>
      <c r="Z28" s="56" t="s">
        <v>64</v>
      </c>
      <c r="AA28" s="56" t="s">
        <v>64</v>
      </c>
      <c r="AB28" s="56" t="s">
        <v>64</v>
      </c>
      <c r="AC28" s="56" t="s">
        <v>64</v>
      </c>
      <c r="AD28" s="56" t="s">
        <v>64</v>
      </c>
      <c r="AE28" s="56">
        <v>1</v>
      </c>
      <c r="AF28" s="56">
        <v>0</v>
      </c>
      <c r="AG28" s="56">
        <v>1</v>
      </c>
      <c r="AH28" s="123">
        <v>1</v>
      </c>
      <c r="AI28" s="123">
        <v>0</v>
      </c>
      <c r="AJ28" s="267" t="s">
        <v>278</v>
      </c>
      <c r="AL28" t="str">
        <f t="shared" ca="1" si="0"/>
        <v xml:space="preserve">    (U1)ALERT_REQ_S_ADBZR_APP_DISCONT</v>
      </c>
      <c r="AR28" s="58" t="str">
        <f t="shared" si="3"/>
        <v xml:space="preserve">    (U4)0x00000016U,                                                           /* 22 DISCONT                                         */</v>
      </c>
      <c r="AS28" s="58" t="str">
        <f t="shared" si="4"/>
        <v xml:space="preserve">    (U4)0x0000001FU,                                                           /* 22 DISCONT                                         */</v>
      </c>
      <c r="AT28" s="58" t="str">
        <f t="shared" ca="1" si="1"/>
        <v xml:space="preserve">    (U1)ALERT_REQ_S_ADBZR_APP_DISCONT,                                         /* 22 DISCONT                                         */</v>
      </c>
    </row>
    <row r="29" spans="1:49">
      <c r="A29" s="84" t="s">
        <v>282</v>
      </c>
      <c r="B29" s="125"/>
      <c r="C29" s="42">
        <f t="shared" si="2"/>
        <v>23</v>
      </c>
      <c r="D29" s="56" t="s">
        <v>64</v>
      </c>
      <c r="E29" s="56" t="s">
        <v>64</v>
      </c>
      <c r="F29" s="56" t="s">
        <v>64</v>
      </c>
      <c r="G29" s="56" t="s">
        <v>64</v>
      </c>
      <c r="H29" s="56" t="s">
        <v>64</v>
      </c>
      <c r="I29" s="56" t="s">
        <v>64</v>
      </c>
      <c r="J29" s="56" t="s">
        <v>64</v>
      </c>
      <c r="K29" s="56" t="s">
        <v>64</v>
      </c>
      <c r="L29" s="56" t="s">
        <v>64</v>
      </c>
      <c r="M29" s="56" t="s">
        <v>64</v>
      </c>
      <c r="N29" s="56" t="s">
        <v>64</v>
      </c>
      <c r="O29" s="56" t="s">
        <v>64</v>
      </c>
      <c r="P29" s="56" t="s">
        <v>64</v>
      </c>
      <c r="Q29" s="56" t="s">
        <v>64</v>
      </c>
      <c r="R29" s="56" t="s">
        <v>64</v>
      </c>
      <c r="S29" s="56" t="s">
        <v>64</v>
      </c>
      <c r="T29" s="56" t="s">
        <v>64</v>
      </c>
      <c r="U29" s="56" t="s">
        <v>64</v>
      </c>
      <c r="V29" s="56" t="s">
        <v>64</v>
      </c>
      <c r="W29" s="56" t="s">
        <v>64</v>
      </c>
      <c r="X29" s="56" t="s">
        <v>64</v>
      </c>
      <c r="Y29" s="56" t="s">
        <v>64</v>
      </c>
      <c r="Z29" s="56" t="s">
        <v>64</v>
      </c>
      <c r="AA29" s="56" t="s">
        <v>64</v>
      </c>
      <c r="AB29" s="56" t="s">
        <v>64</v>
      </c>
      <c r="AC29" s="56" t="s">
        <v>64</v>
      </c>
      <c r="AD29" s="56" t="s">
        <v>64</v>
      </c>
      <c r="AE29" s="56">
        <v>1</v>
      </c>
      <c r="AF29" s="56">
        <v>0</v>
      </c>
      <c r="AG29" s="56">
        <v>1</v>
      </c>
      <c r="AH29" s="56">
        <v>1</v>
      </c>
      <c r="AI29" s="56">
        <v>1</v>
      </c>
      <c r="AJ29" s="267" t="s">
        <v>278</v>
      </c>
      <c r="AL29" t="str">
        <f t="shared" ca="1" si="0"/>
        <v xml:space="preserve">    (U1)ALERT_REQ_S_ADBZR_APP_DISCONT</v>
      </c>
      <c r="AR29" s="58" t="str">
        <f t="shared" si="3"/>
        <v xml:space="preserve">    (U4)0x00000017U,                                                           /* 23 DISCONT                                         */</v>
      </c>
      <c r="AS29" s="58" t="str">
        <f t="shared" si="4"/>
        <v xml:space="preserve">    (U4)0x0000001FU,                                                           /* 23 DISCONT                                         */</v>
      </c>
      <c r="AT29" s="58" t="str">
        <f t="shared" ca="1" si="1"/>
        <v xml:space="preserve">    (U1)ALERT_REQ_S_ADBZR_APP_DISCONT,                                         /* 23 DISCONT                                         */</v>
      </c>
    </row>
    <row r="30" spans="1:49">
      <c r="A30" s="84" t="s">
        <v>282</v>
      </c>
      <c r="B30" s="125"/>
      <c r="C30" s="42">
        <f t="shared" si="2"/>
        <v>24</v>
      </c>
      <c r="D30" s="56" t="s">
        <v>64</v>
      </c>
      <c r="E30" s="56" t="s">
        <v>64</v>
      </c>
      <c r="F30" s="56" t="s">
        <v>64</v>
      </c>
      <c r="G30" s="56" t="s">
        <v>64</v>
      </c>
      <c r="H30" s="56" t="s">
        <v>64</v>
      </c>
      <c r="I30" s="56" t="s">
        <v>64</v>
      </c>
      <c r="J30" s="56" t="s">
        <v>64</v>
      </c>
      <c r="K30" s="56" t="s">
        <v>64</v>
      </c>
      <c r="L30" s="56" t="s">
        <v>64</v>
      </c>
      <c r="M30" s="56" t="s">
        <v>64</v>
      </c>
      <c r="N30" s="56" t="s">
        <v>64</v>
      </c>
      <c r="O30" s="56" t="s">
        <v>64</v>
      </c>
      <c r="P30" s="56" t="s">
        <v>64</v>
      </c>
      <c r="Q30" s="56" t="s">
        <v>64</v>
      </c>
      <c r="R30" s="56" t="s">
        <v>64</v>
      </c>
      <c r="S30" s="56" t="s">
        <v>64</v>
      </c>
      <c r="T30" s="56" t="s">
        <v>64</v>
      </c>
      <c r="U30" s="56" t="s">
        <v>64</v>
      </c>
      <c r="V30" s="56" t="s">
        <v>64</v>
      </c>
      <c r="W30" s="56" t="s">
        <v>64</v>
      </c>
      <c r="X30" s="56" t="s">
        <v>64</v>
      </c>
      <c r="Y30" s="56" t="s">
        <v>64</v>
      </c>
      <c r="Z30" s="56" t="s">
        <v>64</v>
      </c>
      <c r="AA30" s="56" t="s">
        <v>64</v>
      </c>
      <c r="AB30" s="56" t="s">
        <v>64</v>
      </c>
      <c r="AC30" s="56" t="s">
        <v>64</v>
      </c>
      <c r="AD30" s="56" t="s">
        <v>64</v>
      </c>
      <c r="AE30" s="56">
        <v>1</v>
      </c>
      <c r="AF30" s="56">
        <v>1</v>
      </c>
      <c r="AG30" s="123">
        <v>0</v>
      </c>
      <c r="AH30" s="123">
        <v>0</v>
      </c>
      <c r="AI30" s="123">
        <v>0</v>
      </c>
      <c r="AJ30" s="267" t="s">
        <v>278</v>
      </c>
      <c r="AL30" t="str">
        <f t="shared" ca="1" si="0"/>
        <v xml:space="preserve">    (U1)ALERT_REQ_S_ADBZR_APP_DISCONT</v>
      </c>
      <c r="AR30" s="58" t="str">
        <f t="shared" si="3"/>
        <v xml:space="preserve">    (U4)0x00000018U,                                                           /* 24 DISCONT                                         */</v>
      </c>
      <c r="AS30" s="58" t="str">
        <f t="shared" si="4"/>
        <v xml:space="preserve">    (U4)0x0000001FU,                                                           /* 24 DISCONT                                         */</v>
      </c>
      <c r="AT30" s="58" t="str">
        <f t="shared" ca="1" si="1"/>
        <v xml:space="preserve">    (U1)ALERT_REQ_S_ADBZR_APP_DISCONT,                                         /* 24 DISCONT                                         */</v>
      </c>
    </row>
    <row r="31" spans="1:49">
      <c r="A31" s="84" t="s">
        <v>282</v>
      </c>
      <c r="B31" s="125"/>
      <c r="C31" s="42">
        <f t="shared" si="2"/>
        <v>25</v>
      </c>
      <c r="D31" s="56" t="s">
        <v>64</v>
      </c>
      <c r="E31" s="56" t="s">
        <v>64</v>
      </c>
      <c r="F31" s="56" t="s">
        <v>64</v>
      </c>
      <c r="G31" s="56" t="s">
        <v>64</v>
      </c>
      <c r="H31" s="56" t="s">
        <v>64</v>
      </c>
      <c r="I31" s="56" t="s">
        <v>64</v>
      </c>
      <c r="J31" s="56" t="s">
        <v>64</v>
      </c>
      <c r="K31" s="56" t="s">
        <v>64</v>
      </c>
      <c r="L31" s="56" t="s">
        <v>64</v>
      </c>
      <c r="M31" s="56" t="s">
        <v>64</v>
      </c>
      <c r="N31" s="56" t="s">
        <v>64</v>
      </c>
      <c r="O31" s="56" t="s">
        <v>64</v>
      </c>
      <c r="P31" s="56" t="s">
        <v>64</v>
      </c>
      <c r="Q31" s="56" t="s">
        <v>64</v>
      </c>
      <c r="R31" s="56" t="s">
        <v>64</v>
      </c>
      <c r="S31" s="56" t="s">
        <v>64</v>
      </c>
      <c r="T31" s="56" t="s">
        <v>64</v>
      </c>
      <c r="U31" s="56" t="s">
        <v>64</v>
      </c>
      <c r="V31" s="56" t="s">
        <v>64</v>
      </c>
      <c r="W31" s="56" t="s">
        <v>64</v>
      </c>
      <c r="X31" s="56" t="s">
        <v>64</v>
      </c>
      <c r="Y31" s="56" t="s">
        <v>64</v>
      </c>
      <c r="Z31" s="56" t="s">
        <v>64</v>
      </c>
      <c r="AA31" s="56" t="s">
        <v>64</v>
      </c>
      <c r="AB31" s="56" t="s">
        <v>64</v>
      </c>
      <c r="AC31" s="56" t="s">
        <v>64</v>
      </c>
      <c r="AD31" s="56" t="s">
        <v>64</v>
      </c>
      <c r="AE31" s="56">
        <v>1</v>
      </c>
      <c r="AF31" s="56">
        <v>1</v>
      </c>
      <c r="AG31" s="123">
        <v>0</v>
      </c>
      <c r="AH31" s="123">
        <v>0</v>
      </c>
      <c r="AI31" s="123">
        <v>1</v>
      </c>
      <c r="AJ31" s="267" t="s">
        <v>278</v>
      </c>
      <c r="AL31" t="str">
        <f t="shared" ca="1" si="0"/>
        <v xml:space="preserve">    (U1)ALERT_REQ_S_ADBZR_APP_DISCONT</v>
      </c>
      <c r="AR31" s="58" t="str">
        <f t="shared" si="3"/>
        <v xml:space="preserve">    (U4)0x00000019U,                                                           /* 25 DISCONT                                         */</v>
      </c>
      <c r="AS31" s="58" t="str">
        <f t="shared" si="4"/>
        <v xml:space="preserve">    (U4)0x0000001FU,                                                           /* 25 DISCONT                                         */</v>
      </c>
      <c r="AT31" s="58" t="str">
        <f t="shared" ca="1" si="1"/>
        <v xml:space="preserve">    (U1)ALERT_REQ_S_ADBZR_APP_DISCONT,                                         /* 25 DISCONT                                         */</v>
      </c>
    </row>
    <row r="32" spans="1:49">
      <c r="A32" s="84" t="s">
        <v>282</v>
      </c>
      <c r="B32" s="125"/>
      <c r="C32" s="42">
        <f t="shared" si="2"/>
        <v>26</v>
      </c>
      <c r="D32" s="56" t="s">
        <v>64</v>
      </c>
      <c r="E32" s="56" t="s">
        <v>64</v>
      </c>
      <c r="F32" s="56" t="s">
        <v>64</v>
      </c>
      <c r="G32" s="56" t="s">
        <v>64</v>
      </c>
      <c r="H32" s="56" t="s">
        <v>64</v>
      </c>
      <c r="I32" s="56" t="s">
        <v>64</v>
      </c>
      <c r="J32" s="56" t="s">
        <v>64</v>
      </c>
      <c r="K32" s="56" t="s">
        <v>64</v>
      </c>
      <c r="L32" s="56" t="s">
        <v>64</v>
      </c>
      <c r="M32" s="56" t="s">
        <v>64</v>
      </c>
      <c r="N32" s="56" t="s">
        <v>64</v>
      </c>
      <c r="O32" s="56" t="s">
        <v>64</v>
      </c>
      <c r="P32" s="56" t="s">
        <v>64</v>
      </c>
      <c r="Q32" s="56" t="s">
        <v>64</v>
      </c>
      <c r="R32" s="56" t="s">
        <v>64</v>
      </c>
      <c r="S32" s="56" t="s">
        <v>64</v>
      </c>
      <c r="T32" s="56" t="s">
        <v>64</v>
      </c>
      <c r="U32" s="56" t="s">
        <v>64</v>
      </c>
      <c r="V32" s="56" t="s">
        <v>64</v>
      </c>
      <c r="W32" s="56" t="s">
        <v>64</v>
      </c>
      <c r="X32" s="56" t="s">
        <v>64</v>
      </c>
      <c r="Y32" s="56" t="s">
        <v>64</v>
      </c>
      <c r="Z32" s="56" t="s">
        <v>64</v>
      </c>
      <c r="AA32" s="56" t="s">
        <v>64</v>
      </c>
      <c r="AB32" s="56" t="s">
        <v>64</v>
      </c>
      <c r="AC32" s="56" t="s">
        <v>64</v>
      </c>
      <c r="AD32" s="56" t="s">
        <v>64</v>
      </c>
      <c r="AE32" s="56">
        <v>1</v>
      </c>
      <c r="AF32" s="56">
        <v>1</v>
      </c>
      <c r="AG32" s="123">
        <v>0</v>
      </c>
      <c r="AH32" s="123">
        <v>1</v>
      </c>
      <c r="AI32" s="123">
        <v>0</v>
      </c>
      <c r="AJ32" s="267" t="s">
        <v>278</v>
      </c>
      <c r="AL32" t="str">
        <f t="shared" ca="1" si="0"/>
        <v xml:space="preserve">    (U1)ALERT_REQ_S_ADBZR_APP_DISCONT</v>
      </c>
      <c r="AR32" s="58" t="str">
        <f t="shared" si="3"/>
        <v xml:space="preserve">    (U4)0x0000001AU,                                                           /* 26 DISCONT                                         */</v>
      </c>
      <c r="AS32" s="58" t="str">
        <f t="shared" si="4"/>
        <v xml:space="preserve">    (U4)0x0000001FU,                                                           /* 26 DISCONT                                         */</v>
      </c>
      <c r="AT32" s="58" t="str">
        <f t="shared" ca="1" si="1"/>
        <v xml:space="preserve">    (U1)ALERT_REQ_S_ADBZR_APP_DISCONT,                                         /* 26 DISCONT                                         */</v>
      </c>
    </row>
    <row r="33" spans="1:46">
      <c r="A33" s="84" t="s">
        <v>282</v>
      </c>
      <c r="B33" s="125"/>
      <c r="C33" s="42">
        <f t="shared" si="2"/>
        <v>27</v>
      </c>
      <c r="D33" s="56" t="s">
        <v>64</v>
      </c>
      <c r="E33" s="56" t="s">
        <v>64</v>
      </c>
      <c r="F33" s="56" t="s">
        <v>64</v>
      </c>
      <c r="G33" s="56" t="s">
        <v>64</v>
      </c>
      <c r="H33" s="56" t="s">
        <v>64</v>
      </c>
      <c r="I33" s="56" t="s">
        <v>64</v>
      </c>
      <c r="J33" s="56" t="s">
        <v>64</v>
      </c>
      <c r="K33" s="56" t="s">
        <v>64</v>
      </c>
      <c r="L33" s="56" t="s">
        <v>64</v>
      </c>
      <c r="M33" s="56" t="s">
        <v>64</v>
      </c>
      <c r="N33" s="56" t="s">
        <v>64</v>
      </c>
      <c r="O33" s="56" t="s">
        <v>64</v>
      </c>
      <c r="P33" s="56" t="s">
        <v>64</v>
      </c>
      <c r="Q33" s="56" t="s">
        <v>64</v>
      </c>
      <c r="R33" s="56" t="s">
        <v>64</v>
      </c>
      <c r="S33" s="56" t="s">
        <v>64</v>
      </c>
      <c r="T33" s="56" t="s">
        <v>64</v>
      </c>
      <c r="U33" s="56" t="s">
        <v>64</v>
      </c>
      <c r="V33" s="56" t="s">
        <v>64</v>
      </c>
      <c r="W33" s="56" t="s">
        <v>64</v>
      </c>
      <c r="X33" s="56" t="s">
        <v>64</v>
      </c>
      <c r="Y33" s="56" t="s">
        <v>64</v>
      </c>
      <c r="Z33" s="56" t="s">
        <v>64</v>
      </c>
      <c r="AA33" s="56" t="s">
        <v>64</v>
      </c>
      <c r="AB33" s="56" t="s">
        <v>64</v>
      </c>
      <c r="AC33" s="56" t="s">
        <v>64</v>
      </c>
      <c r="AD33" s="56" t="s">
        <v>64</v>
      </c>
      <c r="AE33" s="56">
        <v>1</v>
      </c>
      <c r="AF33" s="56">
        <v>1</v>
      </c>
      <c r="AG33" s="56">
        <v>0</v>
      </c>
      <c r="AH33" s="56">
        <v>1</v>
      </c>
      <c r="AI33" s="56">
        <v>1</v>
      </c>
      <c r="AJ33" s="267" t="s">
        <v>278</v>
      </c>
      <c r="AL33" t="str">
        <f t="shared" ca="1" si="0"/>
        <v xml:space="preserve">    (U1)ALERT_REQ_S_ADBZR_APP_DISCONT</v>
      </c>
      <c r="AR33" s="58" t="str">
        <f t="shared" si="3"/>
        <v xml:space="preserve">    (U4)0x0000001BU,                                                           /* 27 DISCONT                                         */</v>
      </c>
      <c r="AS33" s="58" t="str">
        <f t="shared" si="4"/>
        <v xml:space="preserve">    (U4)0x0000001FU,                                                           /* 27 DISCONT                                         */</v>
      </c>
      <c r="AT33" s="58" t="str">
        <f t="shared" ca="1" si="1"/>
        <v xml:space="preserve">    (U1)ALERT_REQ_S_ADBZR_APP_DISCONT,                                         /* 27 DISCONT                                         */</v>
      </c>
    </row>
    <row r="34" spans="1:46">
      <c r="A34" s="84" t="s">
        <v>282</v>
      </c>
      <c r="B34" s="125"/>
      <c r="C34" s="42">
        <f t="shared" si="2"/>
        <v>28</v>
      </c>
      <c r="D34" s="56" t="s">
        <v>64</v>
      </c>
      <c r="E34" s="56" t="s">
        <v>64</v>
      </c>
      <c r="F34" s="56" t="s">
        <v>64</v>
      </c>
      <c r="G34" s="56" t="s">
        <v>64</v>
      </c>
      <c r="H34" s="56" t="s">
        <v>64</v>
      </c>
      <c r="I34" s="56" t="s">
        <v>64</v>
      </c>
      <c r="J34" s="56" t="s">
        <v>64</v>
      </c>
      <c r="K34" s="56" t="s">
        <v>64</v>
      </c>
      <c r="L34" s="56" t="s">
        <v>64</v>
      </c>
      <c r="M34" s="56" t="s">
        <v>64</v>
      </c>
      <c r="N34" s="56" t="s">
        <v>64</v>
      </c>
      <c r="O34" s="56" t="s">
        <v>64</v>
      </c>
      <c r="P34" s="56" t="s">
        <v>64</v>
      </c>
      <c r="Q34" s="56" t="s">
        <v>64</v>
      </c>
      <c r="R34" s="56" t="s">
        <v>64</v>
      </c>
      <c r="S34" s="56" t="s">
        <v>64</v>
      </c>
      <c r="T34" s="56" t="s">
        <v>64</v>
      </c>
      <c r="U34" s="56" t="s">
        <v>64</v>
      </c>
      <c r="V34" s="56" t="s">
        <v>64</v>
      </c>
      <c r="W34" s="56" t="s">
        <v>64</v>
      </c>
      <c r="X34" s="56" t="s">
        <v>64</v>
      </c>
      <c r="Y34" s="56" t="s">
        <v>64</v>
      </c>
      <c r="Z34" s="56" t="s">
        <v>64</v>
      </c>
      <c r="AA34" s="56" t="s">
        <v>64</v>
      </c>
      <c r="AB34" s="56" t="s">
        <v>64</v>
      </c>
      <c r="AC34" s="56" t="s">
        <v>64</v>
      </c>
      <c r="AD34" s="56" t="s">
        <v>64</v>
      </c>
      <c r="AE34" s="56">
        <v>1</v>
      </c>
      <c r="AF34" s="56">
        <v>1</v>
      </c>
      <c r="AG34" s="56">
        <v>1</v>
      </c>
      <c r="AH34" s="123">
        <v>0</v>
      </c>
      <c r="AI34" s="123">
        <v>0</v>
      </c>
      <c r="AJ34" s="267" t="s">
        <v>278</v>
      </c>
      <c r="AL34" t="str">
        <f t="shared" ca="1" si="0"/>
        <v xml:space="preserve">    (U1)ALERT_REQ_S_ADBZR_APP_DISCONT</v>
      </c>
      <c r="AR34" s="58" t="str">
        <f t="shared" si="3"/>
        <v xml:space="preserve">    (U4)0x0000001CU,                                                           /* 28 DISCONT                                         */</v>
      </c>
      <c r="AS34" s="58" t="str">
        <f t="shared" si="4"/>
        <v xml:space="preserve">    (U4)0x0000001FU,                                                           /* 28 DISCONT                                         */</v>
      </c>
      <c r="AT34" s="58" t="str">
        <f t="shared" ca="1" si="1"/>
        <v xml:space="preserve">    (U1)ALERT_REQ_S_ADBZR_APP_DISCONT,                                         /* 28 DISCONT                                         */</v>
      </c>
    </row>
    <row r="35" spans="1:46">
      <c r="A35" s="84" t="s">
        <v>282</v>
      </c>
      <c r="B35" s="125"/>
      <c r="C35" s="42">
        <f t="shared" si="2"/>
        <v>29</v>
      </c>
      <c r="D35" s="56" t="s">
        <v>64</v>
      </c>
      <c r="E35" s="56" t="s">
        <v>64</v>
      </c>
      <c r="F35" s="56" t="s">
        <v>64</v>
      </c>
      <c r="G35" s="56" t="s">
        <v>64</v>
      </c>
      <c r="H35" s="56" t="s">
        <v>64</v>
      </c>
      <c r="I35" s="56" t="s">
        <v>64</v>
      </c>
      <c r="J35" s="56" t="s">
        <v>64</v>
      </c>
      <c r="K35" s="56" t="s">
        <v>64</v>
      </c>
      <c r="L35" s="56" t="s">
        <v>64</v>
      </c>
      <c r="M35" s="56" t="s">
        <v>64</v>
      </c>
      <c r="N35" s="56" t="s">
        <v>64</v>
      </c>
      <c r="O35" s="56" t="s">
        <v>64</v>
      </c>
      <c r="P35" s="56" t="s">
        <v>64</v>
      </c>
      <c r="Q35" s="56" t="s">
        <v>64</v>
      </c>
      <c r="R35" s="56" t="s">
        <v>64</v>
      </c>
      <c r="S35" s="56" t="s">
        <v>64</v>
      </c>
      <c r="T35" s="56" t="s">
        <v>64</v>
      </c>
      <c r="U35" s="56" t="s">
        <v>64</v>
      </c>
      <c r="V35" s="56" t="s">
        <v>64</v>
      </c>
      <c r="W35" s="56" t="s">
        <v>64</v>
      </c>
      <c r="X35" s="56" t="s">
        <v>64</v>
      </c>
      <c r="Y35" s="56" t="s">
        <v>64</v>
      </c>
      <c r="Z35" s="56" t="s">
        <v>64</v>
      </c>
      <c r="AA35" s="56" t="s">
        <v>64</v>
      </c>
      <c r="AB35" s="56" t="s">
        <v>64</v>
      </c>
      <c r="AC35" s="56" t="s">
        <v>64</v>
      </c>
      <c r="AD35" s="56" t="s">
        <v>64</v>
      </c>
      <c r="AE35" s="56">
        <v>1</v>
      </c>
      <c r="AF35" s="56">
        <v>1</v>
      </c>
      <c r="AG35" s="56">
        <v>1</v>
      </c>
      <c r="AH35" s="123">
        <v>0</v>
      </c>
      <c r="AI35" s="123">
        <v>1</v>
      </c>
      <c r="AJ35" s="267" t="s">
        <v>278</v>
      </c>
      <c r="AL35" t="str">
        <f t="shared" ca="1" si="0"/>
        <v xml:space="preserve">    (U1)ALERT_REQ_S_ADBZR_APP_DISCONT</v>
      </c>
      <c r="AR35" s="58" t="str">
        <f t="shared" si="3"/>
        <v xml:space="preserve">    (U4)0x0000001DU,                                                           /* 29 DISCONT                                         */</v>
      </c>
      <c r="AS35" s="58" t="str">
        <f t="shared" si="4"/>
        <v xml:space="preserve">    (U4)0x0000001FU,                                                           /* 29 DISCONT                                         */</v>
      </c>
      <c r="AT35" s="58" t="str">
        <f t="shared" ca="1" si="1"/>
        <v xml:space="preserve">    (U1)ALERT_REQ_S_ADBZR_APP_DISCONT,                                         /* 29 DISCONT                                         */</v>
      </c>
    </row>
    <row r="36" spans="1:46">
      <c r="A36" s="84" t="s">
        <v>282</v>
      </c>
      <c r="B36" s="125"/>
      <c r="C36" s="42">
        <f t="shared" si="2"/>
        <v>30</v>
      </c>
      <c r="D36" s="56" t="s">
        <v>64</v>
      </c>
      <c r="E36" s="56" t="s">
        <v>64</v>
      </c>
      <c r="F36" s="56" t="s">
        <v>64</v>
      </c>
      <c r="G36" s="56" t="s">
        <v>64</v>
      </c>
      <c r="H36" s="56" t="s">
        <v>64</v>
      </c>
      <c r="I36" s="56" t="s">
        <v>64</v>
      </c>
      <c r="J36" s="56" t="s">
        <v>64</v>
      </c>
      <c r="K36" s="56" t="s">
        <v>64</v>
      </c>
      <c r="L36" s="56" t="s">
        <v>64</v>
      </c>
      <c r="M36" s="56" t="s">
        <v>64</v>
      </c>
      <c r="N36" s="56" t="s">
        <v>64</v>
      </c>
      <c r="O36" s="56" t="s">
        <v>64</v>
      </c>
      <c r="P36" s="56" t="s">
        <v>64</v>
      </c>
      <c r="Q36" s="56" t="s">
        <v>64</v>
      </c>
      <c r="R36" s="56" t="s">
        <v>64</v>
      </c>
      <c r="S36" s="56" t="s">
        <v>64</v>
      </c>
      <c r="T36" s="56" t="s">
        <v>64</v>
      </c>
      <c r="U36" s="56" t="s">
        <v>64</v>
      </c>
      <c r="V36" s="56" t="s">
        <v>64</v>
      </c>
      <c r="W36" s="56" t="s">
        <v>64</v>
      </c>
      <c r="X36" s="56" t="s">
        <v>64</v>
      </c>
      <c r="Y36" s="56" t="s">
        <v>64</v>
      </c>
      <c r="Z36" s="56" t="s">
        <v>64</v>
      </c>
      <c r="AA36" s="56" t="s">
        <v>64</v>
      </c>
      <c r="AB36" s="56" t="s">
        <v>64</v>
      </c>
      <c r="AC36" s="56" t="s">
        <v>64</v>
      </c>
      <c r="AD36" s="56" t="s">
        <v>64</v>
      </c>
      <c r="AE36" s="56">
        <v>1</v>
      </c>
      <c r="AF36" s="56">
        <v>1</v>
      </c>
      <c r="AG36" s="56">
        <v>1</v>
      </c>
      <c r="AH36" s="123">
        <v>1</v>
      </c>
      <c r="AI36" s="123">
        <v>0</v>
      </c>
      <c r="AJ36" s="267" t="s">
        <v>278</v>
      </c>
      <c r="AL36" t="str">
        <f t="shared" ca="1" si="0"/>
        <v xml:space="preserve">    (U1)ALERT_REQ_S_ADBZR_APP_DISCONT</v>
      </c>
      <c r="AR36" s="58" t="str">
        <f t="shared" si="3"/>
        <v xml:space="preserve">    (U4)0x0000001EU,                                                           /* 30 DISCONT                                         */</v>
      </c>
      <c r="AS36" s="58" t="str">
        <f t="shared" si="4"/>
        <v xml:space="preserve">    (U4)0x0000001FU,                                                           /* 30 DISCONT                                         */</v>
      </c>
      <c r="AT36" s="58" t="str">
        <f t="shared" ca="1" si="1"/>
        <v xml:space="preserve">    (U1)ALERT_REQ_S_ADBZR_APP_DISCONT,                                         /* 30 DISCONT                                         */</v>
      </c>
    </row>
    <row r="37" spans="1:46">
      <c r="A37" s="84" t="s">
        <v>282</v>
      </c>
      <c r="B37" s="125"/>
      <c r="C37" s="42">
        <f t="shared" si="2"/>
        <v>31</v>
      </c>
      <c r="D37" s="56" t="s">
        <v>64</v>
      </c>
      <c r="E37" s="56" t="s">
        <v>64</v>
      </c>
      <c r="F37" s="56" t="s">
        <v>64</v>
      </c>
      <c r="G37" s="56" t="s">
        <v>64</v>
      </c>
      <c r="H37" s="56" t="s">
        <v>64</v>
      </c>
      <c r="I37" s="56" t="s">
        <v>64</v>
      </c>
      <c r="J37" s="56" t="s">
        <v>64</v>
      </c>
      <c r="K37" s="56" t="s">
        <v>64</v>
      </c>
      <c r="L37" s="56" t="s">
        <v>64</v>
      </c>
      <c r="M37" s="56" t="s">
        <v>64</v>
      </c>
      <c r="N37" s="56" t="s">
        <v>64</v>
      </c>
      <c r="O37" s="56" t="s">
        <v>64</v>
      </c>
      <c r="P37" s="56" t="s">
        <v>64</v>
      </c>
      <c r="Q37" s="56" t="s">
        <v>64</v>
      </c>
      <c r="R37" s="56" t="s">
        <v>64</v>
      </c>
      <c r="S37" s="56" t="s">
        <v>64</v>
      </c>
      <c r="T37" s="56" t="s">
        <v>64</v>
      </c>
      <c r="U37" s="56" t="s">
        <v>64</v>
      </c>
      <c r="V37" s="56" t="s">
        <v>64</v>
      </c>
      <c r="W37" s="56" t="s">
        <v>64</v>
      </c>
      <c r="X37" s="56" t="s">
        <v>64</v>
      </c>
      <c r="Y37" s="56" t="s">
        <v>64</v>
      </c>
      <c r="Z37" s="56" t="s">
        <v>64</v>
      </c>
      <c r="AA37" s="56" t="s">
        <v>64</v>
      </c>
      <c r="AB37" s="56" t="s">
        <v>64</v>
      </c>
      <c r="AC37" s="56" t="s">
        <v>64</v>
      </c>
      <c r="AD37" s="56" t="s">
        <v>64</v>
      </c>
      <c r="AE37" s="56">
        <v>1</v>
      </c>
      <c r="AF37" s="56">
        <v>1</v>
      </c>
      <c r="AG37" s="56">
        <v>1</v>
      </c>
      <c r="AH37" s="56">
        <v>1</v>
      </c>
      <c r="AI37" s="56">
        <v>1</v>
      </c>
      <c r="AJ37" s="267" t="s">
        <v>278</v>
      </c>
      <c r="AL37" t="str">
        <f t="shared" ca="1" si="0"/>
        <v xml:space="preserve">    (U1)ALERT_REQ_S_ADBZR_APP_DISCONT</v>
      </c>
      <c r="AR37" s="58" t="str">
        <f t="shared" si="3"/>
        <v xml:space="preserve">    (U4)0x0000001FU                                                            /* 31 DISCONT                                         */</v>
      </c>
      <c r="AS37" s="58" t="str">
        <f t="shared" si="4"/>
        <v xml:space="preserve">    (U4)0x0000001FU                                                            /* 31 DISCONT                                         */</v>
      </c>
      <c r="AT37" s="58" t="str">
        <f t="shared" ca="1" si="1"/>
        <v xml:space="preserve">    (U1)ALERT_REQ_S_ADBZR_APP_DISCONT                                          /* 31 DISCONT                                         */</v>
      </c>
    </row>
    <row r="38" spans="1:46">
      <c r="B38" s="125"/>
      <c r="C38" s="42">
        <f t="shared" si="2"/>
        <v>32</v>
      </c>
      <c r="D38" s="56" t="s">
        <v>64</v>
      </c>
      <c r="E38" s="56" t="s">
        <v>64</v>
      </c>
      <c r="F38" s="56" t="s">
        <v>64</v>
      </c>
      <c r="G38" s="56" t="s">
        <v>64</v>
      </c>
      <c r="H38" s="56" t="s">
        <v>64</v>
      </c>
      <c r="I38" s="56" t="s">
        <v>64</v>
      </c>
      <c r="J38" s="56" t="s">
        <v>64</v>
      </c>
      <c r="K38" s="56" t="s">
        <v>64</v>
      </c>
      <c r="L38" s="56" t="s">
        <v>64</v>
      </c>
      <c r="M38" s="56" t="s">
        <v>64</v>
      </c>
      <c r="N38" s="56" t="s">
        <v>64</v>
      </c>
      <c r="O38" s="56" t="s">
        <v>64</v>
      </c>
      <c r="P38" s="56" t="s">
        <v>64</v>
      </c>
      <c r="Q38" s="56" t="s">
        <v>64</v>
      </c>
      <c r="R38" s="56" t="s">
        <v>64</v>
      </c>
      <c r="S38" s="56" t="s">
        <v>64</v>
      </c>
      <c r="T38" s="56" t="s">
        <v>64</v>
      </c>
      <c r="U38" s="56" t="s">
        <v>64</v>
      </c>
      <c r="V38" s="56" t="s">
        <v>64</v>
      </c>
      <c r="W38" s="56" t="s">
        <v>64</v>
      </c>
      <c r="X38" s="56" t="s">
        <v>64</v>
      </c>
      <c r="Y38" s="56" t="s">
        <v>64</v>
      </c>
      <c r="Z38" s="56" t="s">
        <v>64</v>
      </c>
      <c r="AA38" s="56" t="s">
        <v>64</v>
      </c>
      <c r="AB38" s="56" t="s">
        <v>64</v>
      </c>
      <c r="AC38" s="56" t="s">
        <v>64</v>
      </c>
      <c r="AD38" s="56" t="s">
        <v>64</v>
      </c>
      <c r="AE38" s="56" t="s">
        <v>64</v>
      </c>
      <c r="AF38" s="56" t="s">
        <v>64</v>
      </c>
      <c r="AG38" s="56" t="s">
        <v>64</v>
      </c>
      <c r="AH38" s="56" t="s">
        <v>64</v>
      </c>
      <c r="AI38" s="56" t="s">
        <v>64</v>
      </c>
      <c r="AJ38" s="25"/>
      <c r="AL38" t="str">
        <f t="shared" ca="1" si="0"/>
        <v xml:space="preserve">    (U1)ALERT_REQ_S_ADBZR_APP_</v>
      </c>
      <c r="AR38" s="58" t="str">
        <f t="shared" si="3"/>
        <v>};</v>
      </c>
      <c r="AS38" s="58" t="str">
        <f t="shared" si="4"/>
        <v>};</v>
      </c>
      <c r="AT38" s="58" t="str">
        <f t="shared" si="1"/>
        <v>};</v>
      </c>
    </row>
    <row r="39" spans="1:46">
      <c r="B39" s="125"/>
      <c r="C39" s="42">
        <f t="shared" si="2"/>
        <v>33</v>
      </c>
      <c r="D39" s="56" t="s">
        <v>64</v>
      </c>
      <c r="E39" s="56" t="s">
        <v>64</v>
      </c>
      <c r="F39" s="56" t="s">
        <v>64</v>
      </c>
      <c r="G39" s="56" t="s">
        <v>64</v>
      </c>
      <c r="H39" s="56" t="s">
        <v>64</v>
      </c>
      <c r="I39" s="56" t="s">
        <v>64</v>
      </c>
      <c r="J39" s="56" t="s">
        <v>64</v>
      </c>
      <c r="K39" s="56" t="s">
        <v>64</v>
      </c>
      <c r="L39" s="56" t="s">
        <v>64</v>
      </c>
      <c r="M39" s="56" t="s">
        <v>64</v>
      </c>
      <c r="N39" s="56" t="s">
        <v>64</v>
      </c>
      <c r="O39" s="56" t="s">
        <v>64</v>
      </c>
      <c r="P39" s="56" t="s">
        <v>64</v>
      </c>
      <c r="Q39" s="56" t="s">
        <v>64</v>
      </c>
      <c r="R39" s="56" t="s">
        <v>64</v>
      </c>
      <c r="S39" s="56" t="s">
        <v>64</v>
      </c>
      <c r="T39" s="56" t="s">
        <v>64</v>
      </c>
      <c r="U39" s="56" t="s">
        <v>64</v>
      </c>
      <c r="V39" s="56" t="s">
        <v>64</v>
      </c>
      <c r="W39" s="56" t="s">
        <v>64</v>
      </c>
      <c r="X39" s="56" t="s">
        <v>64</v>
      </c>
      <c r="Y39" s="56" t="s">
        <v>64</v>
      </c>
      <c r="Z39" s="56" t="s">
        <v>64</v>
      </c>
      <c r="AA39" s="56" t="s">
        <v>64</v>
      </c>
      <c r="AB39" s="56" t="s">
        <v>64</v>
      </c>
      <c r="AC39" s="56" t="s">
        <v>64</v>
      </c>
      <c r="AD39" s="56" t="s">
        <v>64</v>
      </c>
      <c r="AE39" s="56" t="s">
        <v>64</v>
      </c>
      <c r="AF39" s="56" t="s">
        <v>64</v>
      </c>
      <c r="AG39" s="56" t="s">
        <v>64</v>
      </c>
      <c r="AH39" s="56" t="s">
        <v>64</v>
      </c>
      <c r="AI39" s="56" t="s">
        <v>64</v>
      </c>
      <c r="AJ39" s="25"/>
      <c r="AL39" t="str">
        <f t="shared" ca="1" si="0"/>
        <v xml:space="preserve">    (U1)ALERT_REQ_S_ADBZR_APP_</v>
      </c>
      <c r="AR39" s="58" t="str">
        <f t="shared" si="3"/>
        <v/>
      </c>
      <c r="AS39" s="58" t="str">
        <f t="shared" si="4"/>
        <v/>
      </c>
      <c r="AT39" s="58" t="str">
        <f t="shared" si="1"/>
        <v/>
      </c>
    </row>
    <row r="40" spans="1:46">
      <c r="B40" s="125"/>
      <c r="C40" s="42">
        <f t="shared" si="2"/>
        <v>34</v>
      </c>
      <c r="D40" s="56" t="s">
        <v>64</v>
      </c>
      <c r="E40" s="56" t="s">
        <v>64</v>
      </c>
      <c r="F40" s="56" t="s">
        <v>64</v>
      </c>
      <c r="G40" s="56" t="s">
        <v>64</v>
      </c>
      <c r="H40" s="56" t="s">
        <v>64</v>
      </c>
      <c r="I40" s="56" t="s">
        <v>64</v>
      </c>
      <c r="J40" s="56" t="s">
        <v>64</v>
      </c>
      <c r="K40" s="56" t="s">
        <v>64</v>
      </c>
      <c r="L40" s="56" t="s">
        <v>64</v>
      </c>
      <c r="M40" s="56" t="s">
        <v>64</v>
      </c>
      <c r="N40" s="56" t="s">
        <v>64</v>
      </c>
      <c r="O40" s="56" t="s">
        <v>64</v>
      </c>
      <c r="P40" s="56" t="s">
        <v>64</v>
      </c>
      <c r="Q40" s="56" t="s">
        <v>64</v>
      </c>
      <c r="R40" s="56" t="s">
        <v>64</v>
      </c>
      <c r="S40" s="56" t="s">
        <v>64</v>
      </c>
      <c r="T40" s="56" t="s">
        <v>64</v>
      </c>
      <c r="U40" s="56" t="s">
        <v>64</v>
      </c>
      <c r="V40" s="56" t="s">
        <v>64</v>
      </c>
      <c r="W40" s="56" t="s">
        <v>64</v>
      </c>
      <c r="X40" s="56" t="s">
        <v>64</v>
      </c>
      <c r="Y40" s="56" t="s">
        <v>64</v>
      </c>
      <c r="Z40" s="56" t="s">
        <v>64</v>
      </c>
      <c r="AA40" s="56" t="s">
        <v>64</v>
      </c>
      <c r="AB40" s="56" t="s">
        <v>64</v>
      </c>
      <c r="AC40" s="56" t="s">
        <v>64</v>
      </c>
      <c r="AD40" s="56" t="s">
        <v>64</v>
      </c>
      <c r="AE40" s="56" t="s">
        <v>64</v>
      </c>
      <c r="AF40" s="56" t="s">
        <v>64</v>
      </c>
      <c r="AG40" s="56" t="s">
        <v>64</v>
      </c>
      <c r="AH40" s="56" t="s">
        <v>64</v>
      </c>
      <c r="AI40" s="56" t="s">
        <v>64</v>
      </c>
      <c r="AJ40" s="25"/>
      <c r="AL40" t="str">
        <f t="shared" ca="1" si="0"/>
        <v xml:space="preserve">    (U1)ALERT_REQ_S_ADBZR_APP_</v>
      </c>
      <c r="AR40" s="58" t="str">
        <f t="shared" si="3"/>
        <v/>
      </c>
      <c r="AS40" s="58" t="str">
        <f t="shared" si="4"/>
        <v/>
      </c>
      <c r="AT40" s="58" t="str">
        <f t="shared" si="1"/>
        <v/>
      </c>
    </row>
    <row r="41" spans="1:46">
      <c r="B41" s="125"/>
      <c r="C41" s="42">
        <f t="shared" si="2"/>
        <v>35</v>
      </c>
      <c r="D41" s="56" t="s">
        <v>64</v>
      </c>
      <c r="E41" s="56" t="s">
        <v>64</v>
      </c>
      <c r="F41" s="56" t="s">
        <v>64</v>
      </c>
      <c r="G41" s="56" t="s">
        <v>64</v>
      </c>
      <c r="H41" s="56" t="s">
        <v>64</v>
      </c>
      <c r="I41" s="56" t="s">
        <v>64</v>
      </c>
      <c r="J41" s="56" t="s">
        <v>64</v>
      </c>
      <c r="K41" s="56" t="s">
        <v>64</v>
      </c>
      <c r="L41" s="56" t="s">
        <v>64</v>
      </c>
      <c r="M41" s="56" t="s">
        <v>64</v>
      </c>
      <c r="N41" s="56" t="s">
        <v>64</v>
      </c>
      <c r="O41" s="56" t="s">
        <v>64</v>
      </c>
      <c r="P41" s="56" t="s">
        <v>64</v>
      </c>
      <c r="Q41" s="56" t="s">
        <v>64</v>
      </c>
      <c r="R41" s="56" t="s">
        <v>64</v>
      </c>
      <c r="S41" s="56" t="s">
        <v>64</v>
      </c>
      <c r="T41" s="56" t="s">
        <v>64</v>
      </c>
      <c r="U41" s="56" t="s">
        <v>64</v>
      </c>
      <c r="V41" s="56" t="s">
        <v>64</v>
      </c>
      <c r="W41" s="56" t="s">
        <v>64</v>
      </c>
      <c r="X41" s="56" t="s">
        <v>64</v>
      </c>
      <c r="Y41" s="56" t="s">
        <v>64</v>
      </c>
      <c r="Z41" s="56" t="s">
        <v>64</v>
      </c>
      <c r="AA41" s="56" t="s">
        <v>64</v>
      </c>
      <c r="AB41" s="56" t="s">
        <v>64</v>
      </c>
      <c r="AC41" s="56" t="s">
        <v>64</v>
      </c>
      <c r="AD41" s="56" t="s">
        <v>64</v>
      </c>
      <c r="AE41" s="56" t="s">
        <v>64</v>
      </c>
      <c r="AF41" s="56" t="s">
        <v>64</v>
      </c>
      <c r="AG41" s="56" t="s">
        <v>64</v>
      </c>
      <c r="AH41" s="56" t="s">
        <v>64</v>
      </c>
      <c r="AI41" s="56" t="s">
        <v>64</v>
      </c>
      <c r="AJ41" s="25"/>
      <c r="AL41" t="str">
        <f t="shared" ca="1" si="0"/>
        <v xml:space="preserve">    (U1)ALERT_REQ_S_ADBZR_APP_</v>
      </c>
      <c r="AR41" s="58" t="str">
        <f t="shared" si="3"/>
        <v/>
      </c>
      <c r="AS41" s="58" t="str">
        <f t="shared" si="4"/>
        <v/>
      </c>
      <c r="AT41" s="58" t="str">
        <f t="shared" si="1"/>
        <v/>
      </c>
    </row>
    <row r="42" spans="1:46">
      <c r="B42" s="125"/>
      <c r="C42" s="42">
        <f t="shared" si="2"/>
        <v>36</v>
      </c>
      <c r="D42" s="56" t="s">
        <v>64</v>
      </c>
      <c r="E42" s="56" t="s">
        <v>64</v>
      </c>
      <c r="F42" s="56" t="s">
        <v>64</v>
      </c>
      <c r="G42" s="56" t="s">
        <v>64</v>
      </c>
      <c r="H42" s="56" t="s">
        <v>64</v>
      </c>
      <c r="I42" s="56" t="s">
        <v>64</v>
      </c>
      <c r="J42" s="56" t="s">
        <v>64</v>
      </c>
      <c r="K42" s="56" t="s">
        <v>64</v>
      </c>
      <c r="L42" s="56" t="s">
        <v>64</v>
      </c>
      <c r="M42" s="56" t="s">
        <v>64</v>
      </c>
      <c r="N42" s="56" t="s">
        <v>64</v>
      </c>
      <c r="O42" s="56" t="s">
        <v>64</v>
      </c>
      <c r="P42" s="56" t="s">
        <v>64</v>
      </c>
      <c r="Q42" s="56" t="s">
        <v>64</v>
      </c>
      <c r="R42" s="56" t="s">
        <v>64</v>
      </c>
      <c r="S42" s="56" t="s">
        <v>64</v>
      </c>
      <c r="T42" s="56" t="s">
        <v>64</v>
      </c>
      <c r="U42" s="56" t="s">
        <v>64</v>
      </c>
      <c r="V42" s="56" t="s">
        <v>64</v>
      </c>
      <c r="W42" s="56" t="s">
        <v>64</v>
      </c>
      <c r="X42" s="56" t="s">
        <v>64</v>
      </c>
      <c r="Y42" s="56" t="s">
        <v>64</v>
      </c>
      <c r="Z42" s="56" t="s">
        <v>64</v>
      </c>
      <c r="AA42" s="56" t="s">
        <v>64</v>
      </c>
      <c r="AB42" s="56" t="s">
        <v>64</v>
      </c>
      <c r="AC42" s="56" t="s">
        <v>64</v>
      </c>
      <c r="AD42" s="56" t="s">
        <v>64</v>
      </c>
      <c r="AE42" s="56" t="s">
        <v>64</v>
      </c>
      <c r="AF42" s="56" t="s">
        <v>64</v>
      </c>
      <c r="AG42" s="56" t="s">
        <v>64</v>
      </c>
      <c r="AH42" s="56" t="s">
        <v>64</v>
      </c>
      <c r="AI42" s="56" t="s">
        <v>64</v>
      </c>
      <c r="AJ42" s="25"/>
      <c r="AL42" t="str">
        <f t="shared" ca="1" si="0"/>
        <v xml:space="preserve">    (U1)ALERT_REQ_S_ADBZR_APP_</v>
      </c>
      <c r="AR42" s="58" t="str">
        <f t="shared" si="3"/>
        <v/>
      </c>
      <c r="AS42" s="58" t="str">
        <f t="shared" si="4"/>
        <v/>
      </c>
      <c r="AT42" s="58" t="str">
        <f t="shared" si="1"/>
        <v/>
      </c>
    </row>
    <row r="43" spans="1:46">
      <c r="B43" s="125"/>
      <c r="C43" s="42">
        <f t="shared" si="2"/>
        <v>37</v>
      </c>
      <c r="D43" s="56" t="s">
        <v>64</v>
      </c>
      <c r="E43" s="56" t="s">
        <v>64</v>
      </c>
      <c r="F43" s="56" t="s">
        <v>64</v>
      </c>
      <c r="G43" s="56" t="s">
        <v>64</v>
      </c>
      <c r="H43" s="56" t="s">
        <v>64</v>
      </c>
      <c r="I43" s="56" t="s">
        <v>64</v>
      </c>
      <c r="J43" s="56" t="s">
        <v>64</v>
      </c>
      <c r="K43" s="56" t="s">
        <v>64</v>
      </c>
      <c r="L43" s="56" t="s">
        <v>64</v>
      </c>
      <c r="M43" s="56" t="s">
        <v>64</v>
      </c>
      <c r="N43" s="56" t="s">
        <v>64</v>
      </c>
      <c r="O43" s="56" t="s">
        <v>64</v>
      </c>
      <c r="P43" s="56" t="s">
        <v>64</v>
      </c>
      <c r="Q43" s="56" t="s">
        <v>64</v>
      </c>
      <c r="R43" s="56" t="s">
        <v>64</v>
      </c>
      <c r="S43" s="56" t="s">
        <v>64</v>
      </c>
      <c r="T43" s="56" t="s">
        <v>64</v>
      </c>
      <c r="U43" s="56" t="s">
        <v>64</v>
      </c>
      <c r="V43" s="56" t="s">
        <v>64</v>
      </c>
      <c r="W43" s="56" t="s">
        <v>64</v>
      </c>
      <c r="X43" s="56" t="s">
        <v>64</v>
      </c>
      <c r="Y43" s="56" t="s">
        <v>64</v>
      </c>
      <c r="Z43" s="56" t="s">
        <v>64</v>
      </c>
      <c r="AA43" s="56" t="s">
        <v>64</v>
      </c>
      <c r="AB43" s="56" t="s">
        <v>64</v>
      </c>
      <c r="AC43" s="56" t="s">
        <v>64</v>
      </c>
      <c r="AD43" s="56" t="s">
        <v>64</v>
      </c>
      <c r="AE43" s="56" t="s">
        <v>64</v>
      </c>
      <c r="AF43" s="56" t="s">
        <v>64</v>
      </c>
      <c r="AG43" s="56" t="s">
        <v>64</v>
      </c>
      <c r="AH43" s="56" t="s">
        <v>64</v>
      </c>
      <c r="AI43" s="56" t="s">
        <v>64</v>
      </c>
      <c r="AJ43" s="25"/>
      <c r="AL43" t="str">
        <f t="shared" ca="1" si="0"/>
        <v xml:space="preserve">    (U1)ALERT_REQ_S_ADBZR_APP_</v>
      </c>
      <c r="AR43" s="58" t="str">
        <f t="shared" si="3"/>
        <v/>
      </c>
      <c r="AS43" s="58" t="str">
        <f t="shared" si="4"/>
        <v/>
      </c>
      <c r="AT43" s="58" t="str">
        <f t="shared" si="1"/>
        <v/>
      </c>
    </row>
    <row r="44" spans="1:46">
      <c r="B44" s="125"/>
      <c r="C44" s="42">
        <f t="shared" si="2"/>
        <v>38</v>
      </c>
      <c r="D44" s="56" t="s">
        <v>64</v>
      </c>
      <c r="E44" s="56" t="s">
        <v>64</v>
      </c>
      <c r="F44" s="56" t="s">
        <v>64</v>
      </c>
      <c r="G44" s="56" t="s">
        <v>64</v>
      </c>
      <c r="H44" s="56" t="s">
        <v>64</v>
      </c>
      <c r="I44" s="56" t="s">
        <v>64</v>
      </c>
      <c r="J44" s="56" t="s">
        <v>64</v>
      </c>
      <c r="K44" s="56" t="s">
        <v>64</v>
      </c>
      <c r="L44" s="56" t="s">
        <v>64</v>
      </c>
      <c r="M44" s="56" t="s">
        <v>64</v>
      </c>
      <c r="N44" s="56" t="s">
        <v>64</v>
      </c>
      <c r="O44" s="56" t="s">
        <v>64</v>
      </c>
      <c r="P44" s="56" t="s">
        <v>64</v>
      </c>
      <c r="Q44" s="56" t="s">
        <v>64</v>
      </c>
      <c r="R44" s="56" t="s">
        <v>64</v>
      </c>
      <c r="S44" s="56" t="s">
        <v>64</v>
      </c>
      <c r="T44" s="56" t="s">
        <v>64</v>
      </c>
      <c r="U44" s="56" t="s">
        <v>64</v>
      </c>
      <c r="V44" s="56" t="s">
        <v>64</v>
      </c>
      <c r="W44" s="56" t="s">
        <v>64</v>
      </c>
      <c r="X44" s="56" t="s">
        <v>64</v>
      </c>
      <c r="Y44" s="56" t="s">
        <v>64</v>
      </c>
      <c r="Z44" s="56" t="s">
        <v>64</v>
      </c>
      <c r="AA44" s="56" t="s">
        <v>64</v>
      </c>
      <c r="AB44" s="56" t="s">
        <v>64</v>
      </c>
      <c r="AC44" s="56" t="s">
        <v>64</v>
      </c>
      <c r="AD44" s="56" t="s">
        <v>64</v>
      </c>
      <c r="AE44" s="56" t="s">
        <v>64</v>
      </c>
      <c r="AF44" s="56" t="s">
        <v>64</v>
      </c>
      <c r="AG44" s="56" t="s">
        <v>64</v>
      </c>
      <c r="AH44" s="56" t="s">
        <v>64</v>
      </c>
      <c r="AI44" s="56" t="s">
        <v>64</v>
      </c>
      <c r="AJ44" s="25"/>
      <c r="AL44" t="str">
        <f t="shared" ca="1" si="0"/>
        <v xml:space="preserve">    (U1)ALERT_REQ_S_ADBZR_APP_</v>
      </c>
      <c r="AR44" s="58" t="str">
        <f t="shared" si="3"/>
        <v/>
      </c>
      <c r="AS44" s="58" t="str">
        <f t="shared" si="4"/>
        <v/>
      </c>
      <c r="AT44" s="58" t="str">
        <f t="shared" si="1"/>
        <v/>
      </c>
    </row>
    <row r="45" spans="1:46">
      <c r="B45" s="125"/>
      <c r="C45" s="42">
        <f t="shared" si="2"/>
        <v>39</v>
      </c>
      <c r="D45" s="56" t="s">
        <v>64</v>
      </c>
      <c r="E45" s="56" t="s">
        <v>64</v>
      </c>
      <c r="F45" s="56" t="s">
        <v>64</v>
      </c>
      <c r="G45" s="56" t="s">
        <v>64</v>
      </c>
      <c r="H45" s="56" t="s">
        <v>64</v>
      </c>
      <c r="I45" s="56" t="s">
        <v>64</v>
      </c>
      <c r="J45" s="56" t="s">
        <v>64</v>
      </c>
      <c r="K45" s="56" t="s">
        <v>64</v>
      </c>
      <c r="L45" s="56" t="s">
        <v>64</v>
      </c>
      <c r="M45" s="56" t="s">
        <v>64</v>
      </c>
      <c r="N45" s="56" t="s">
        <v>64</v>
      </c>
      <c r="O45" s="56" t="s">
        <v>64</v>
      </c>
      <c r="P45" s="56" t="s">
        <v>64</v>
      </c>
      <c r="Q45" s="56" t="s">
        <v>64</v>
      </c>
      <c r="R45" s="56" t="s">
        <v>64</v>
      </c>
      <c r="S45" s="56" t="s">
        <v>64</v>
      </c>
      <c r="T45" s="56" t="s">
        <v>64</v>
      </c>
      <c r="U45" s="56" t="s">
        <v>64</v>
      </c>
      <c r="V45" s="56" t="s">
        <v>64</v>
      </c>
      <c r="W45" s="56" t="s">
        <v>64</v>
      </c>
      <c r="X45" s="56" t="s">
        <v>64</v>
      </c>
      <c r="Y45" s="56" t="s">
        <v>64</v>
      </c>
      <c r="Z45" s="56" t="s">
        <v>64</v>
      </c>
      <c r="AA45" s="56" t="s">
        <v>64</v>
      </c>
      <c r="AB45" s="56" t="s">
        <v>64</v>
      </c>
      <c r="AC45" s="56" t="s">
        <v>64</v>
      </c>
      <c r="AD45" s="56" t="s">
        <v>64</v>
      </c>
      <c r="AE45" s="56" t="s">
        <v>64</v>
      </c>
      <c r="AF45" s="56" t="s">
        <v>64</v>
      </c>
      <c r="AG45" s="56" t="s">
        <v>64</v>
      </c>
      <c r="AH45" s="56" t="s">
        <v>64</v>
      </c>
      <c r="AI45" s="56" t="s">
        <v>64</v>
      </c>
      <c r="AJ45" s="25"/>
      <c r="AL45" t="str">
        <f t="shared" ca="1" si="0"/>
        <v xml:space="preserve">    (U1)ALERT_REQ_S_ADBZR_APP_</v>
      </c>
      <c r="AR45" s="58" t="str">
        <f t="shared" si="3"/>
        <v/>
      </c>
      <c r="AS45" s="58" t="str">
        <f t="shared" si="4"/>
        <v/>
      </c>
      <c r="AT45" s="58" t="str">
        <f t="shared" si="1"/>
        <v/>
      </c>
    </row>
    <row r="46" spans="1:46">
      <c r="B46" s="125"/>
      <c r="C46" s="42">
        <f t="shared" si="2"/>
        <v>40</v>
      </c>
      <c r="D46" s="56" t="s">
        <v>64</v>
      </c>
      <c r="E46" s="56" t="s">
        <v>64</v>
      </c>
      <c r="F46" s="56" t="s">
        <v>64</v>
      </c>
      <c r="G46" s="56" t="s">
        <v>64</v>
      </c>
      <c r="H46" s="56" t="s">
        <v>64</v>
      </c>
      <c r="I46" s="56" t="s">
        <v>64</v>
      </c>
      <c r="J46" s="56" t="s">
        <v>64</v>
      </c>
      <c r="K46" s="56" t="s">
        <v>64</v>
      </c>
      <c r="L46" s="56" t="s">
        <v>64</v>
      </c>
      <c r="M46" s="56" t="s">
        <v>64</v>
      </c>
      <c r="N46" s="56" t="s">
        <v>64</v>
      </c>
      <c r="O46" s="56" t="s">
        <v>64</v>
      </c>
      <c r="P46" s="56" t="s">
        <v>64</v>
      </c>
      <c r="Q46" s="56" t="s">
        <v>64</v>
      </c>
      <c r="R46" s="56" t="s">
        <v>64</v>
      </c>
      <c r="S46" s="56" t="s">
        <v>64</v>
      </c>
      <c r="T46" s="56" t="s">
        <v>64</v>
      </c>
      <c r="U46" s="56" t="s">
        <v>64</v>
      </c>
      <c r="V46" s="56" t="s">
        <v>64</v>
      </c>
      <c r="W46" s="56" t="s">
        <v>64</v>
      </c>
      <c r="X46" s="56" t="s">
        <v>64</v>
      </c>
      <c r="Y46" s="56" t="s">
        <v>64</v>
      </c>
      <c r="Z46" s="56" t="s">
        <v>64</v>
      </c>
      <c r="AA46" s="56" t="s">
        <v>64</v>
      </c>
      <c r="AB46" s="56" t="s">
        <v>64</v>
      </c>
      <c r="AC46" s="56" t="s">
        <v>64</v>
      </c>
      <c r="AD46" s="56" t="s">
        <v>64</v>
      </c>
      <c r="AE46" s="56" t="s">
        <v>64</v>
      </c>
      <c r="AF46" s="56" t="s">
        <v>64</v>
      </c>
      <c r="AG46" s="56" t="s">
        <v>64</v>
      </c>
      <c r="AH46" s="56" t="s">
        <v>64</v>
      </c>
      <c r="AI46" s="56" t="s">
        <v>64</v>
      </c>
      <c r="AJ46" s="25"/>
      <c r="AL46" t="str">
        <f t="shared" ca="1" si="0"/>
        <v xml:space="preserve">    (U1)ALERT_REQ_S_ADBZR_APP_</v>
      </c>
      <c r="AR46" s="58" t="str">
        <f t="shared" si="3"/>
        <v/>
      </c>
      <c r="AS46" s="58" t="str">
        <f t="shared" si="4"/>
        <v/>
      </c>
      <c r="AT46" s="58" t="str">
        <f t="shared" si="1"/>
        <v/>
      </c>
    </row>
    <row r="47" spans="1:46">
      <c r="B47" s="125"/>
      <c r="C47" s="42">
        <f t="shared" si="2"/>
        <v>41</v>
      </c>
      <c r="D47" s="56" t="s">
        <v>64</v>
      </c>
      <c r="E47" s="56" t="s">
        <v>64</v>
      </c>
      <c r="F47" s="56" t="s">
        <v>64</v>
      </c>
      <c r="G47" s="56" t="s">
        <v>64</v>
      </c>
      <c r="H47" s="56" t="s">
        <v>64</v>
      </c>
      <c r="I47" s="56" t="s">
        <v>64</v>
      </c>
      <c r="J47" s="56" t="s">
        <v>64</v>
      </c>
      <c r="K47" s="56" t="s">
        <v>64</v>
      </c>
      <c r="L47" s="56" t="s">
        <v>64</v>
      </c>
      <c r="M47" s="56" t="s">
        <v>64</v>
      </c>
      <c r="N47" s="56" t="s">
        <v>64</v>
      </c>
      <c r="O47" s="56" t="s">
        <v>64</v>
      </c>
      <c r="P47" s="56" t="s">
        <v>64</v>
      </c>
      <c r="Q47" s="56" t="s">
        <v>64</v>
      </c>
      <c r="R47" s="56" t="s">
        <v>64</v>
      </c>
      <c r="S47" s="56" t="s">
        <v>64</v>
      </c>
      <c r="T47" s="56" t="s">
        <v>64</v>
      </c>
      <c r="U47" s="56" t="s">
        <v>64</v>
      </c>
      <c r="V47" s="56" t="s">
        <v>64</v>
      </c>
      <c r="W47" s="56" t="s">
        <v>64</v>
      </c>
      <c r="X47" s="56" t="s">
        <v>64</v>
      </c>
      <c r="Y47" s="56" t="s">
        <v>64</v>
      </c>
      <c r="Z47" s="56" t="s">
        <v>64</v>
      </c>
      <c r="AA47" s="56" t="s">
        <v>64</v>
      </c>
      <c r="AB47" s="56" t="s">
        <v>64</v>
      </c>
      <c r="AC47" s="56" t="s">
        <v>64</v>
      </c>
      <c r="AD47" s="56" t="s">
        <v>64</v>
      </c>
      <c r="AE47" s="56" t="s">
        <v>64</v>
      </c>
      <c r="AF47" s="56" t="s">
        <v>64</v>
      </c>
      <c r="AG47" s="56" t="s">
        <v>64</v>
      </c>
      <c r="AH47" s="56" t="s">
        <v>64</v>
      </c>
      <c r="AI47" s="56" t="s">
        <v>64</v>
      </c>
      <c r="AJ47" s="25"/>
      <c r="AL47" t="str">
        <f t="shared" ca="1" si="0"/>
        <v xml:space="preserve">    (U1)ALERT_REQ_S_ADBZR_APP_</v>
      </c>
      <c r="AR47" s="58" t="str">
        <f t="shared" si="3"/>
        <v/>
      </c>
      <c r="AS47" s="58" t="str">
        <f t="shared" si="4"/>
        <v/>
      </c>
      <c r="AT47" s="58" t="str">
        <f t="shared" si="1"/>
        <v/>
      </c>
    </row>
    <row r="48" spans="1:46">
      <c r="B48" s="125"/>
      <c r="C48" s="42">
        <f t="shared" si="2"/>
        <v>42</v>
      </c>
      <c r="D48" s="56" t="s">
        <v>64</v>
      </c>
      <c r="E48" s="56" t="s">
        <v>64</v>
      </c>
      <c r="F48" s="56" t="s">
        <v>64</v>
      </c>
      <c r="G48" s="56" t="s">
        <v>64</v>
      </c>
      <c r="H48" s="56" t="s">
        <v>64</v>
      </c>
      <c r="I48" s="56" t="s">
        <v>64</v>
      </c>
      <c r="J48" s="56" t="s">
        <v>64</v>
      </c>
      <c r="K48" s="56" t="s">
        <v>64</v>
      </c>
      <c r="L48" s="56" t="s">
        <v>64</v>
      </c>
      <c r="M48" s="56" t="s">
        <v>64</v>
      </c>
      <c r="N48" s="56" t="s">
        <v>64</v>
      </c>
      <c r="O48" s="56" t="s">
        <v>64</v>
      </c>
      <c r="P48" s="56" t="s">
        <v>64</v>
      </c>
      <c r="Q48" s="56" t="s">
        <v>64</v>
      </c>
      <c r="R48" s="56" t="s">
        <v>64</v>
      </c>
      <c r="S48" s="56" t="s">
        <v>64</v>
      </c>
      <c r="T48" s="56" t="s">
        <v>64</v>
      </c>
      <c r="U48" s="56" t="s">
        <v>64</v>
      </c>
      <c r="V48" s="56" t="s">
        <v>64</v>
      </c>
      <c r="W48" s="56" t="s">
        <v>64</v>
      </c>
      <c r="X48" s="56" t="s">
        <v>64</v>
      </c>
      <c r="Y48" s="56" t="s">
        <v>64</v>
      </c>
      <c r="Z48" s="56" t="s">
        <v>64</v>
      </c>
      <c r="AA48" s="56" t="s">
        <v>64</v>
      </c>
      <c r="AB48" s="56" t="s">
        <v>64</v>
      </c>
      <c r="AC48" s="56" t="s">
        <v>64</v>
      </c>
      <c r="AD48" s="56" t="s">
        <v>64</v>
      </c>
      <c r="AE48" s="56" t="s">
        <v>64</v>
      </c>
      <c r="AF48" s="56" t="s">
        <v>64</v>
      </c>
      <c r="AG48" s="56" t="s">
        <v>64</v>
      </c>
      <c r="AH48" s="56" t="s">
        <v>64</v>
      </c>
      <c r="AI48" s="56" t="s">
        <v>64</v>
      </c>
      <c r="AJ48" s="25"/>
      <c r="AL48" t="str">
        <f t="shared" ca="1" si="0"/>
        <v xml:space="preserve">    (U1)ALERT_REQ_S_ADBZR_APP_</v>
      </c>
      <c r="AR48" s="58" t="str">
        <f t="shared" si="3"/>
        <v/>
      </c>
      <c r="AS48" s="58" t="str">
        <f t="shared" si="4"/>
        <v/>
      </c>
      <c r="AT48" s="58" t="str">
        <f t="shared" si="1"/>
        <v/>
      </c>
    </row>
    <row r="49" spans="2:46">
      <c r="B49" s="125"/>
      <c r="C49" s="42">
        <f t="shared" si="2"/>
        <v>43</v>
      </c>
      <c r="D49" s="56" t="s">
        <v>64</v>
      </c>
      <c r="E49" s="56" t="s">
        <v>64</v>
      </c>
      <c r="F49" s="56" t="s">
        <v>64</v>
      </c>
      <c r="G49" s="56" t="s">
        <v>64</v>
      </c>
      <c r="H49" s="56" t="s">
        <v>64</v>
      </c>
      <c r="I49" s="56" t="s">
        <v>64</v>
      </c>
      <c r="J49" s="56" t="s">
        <v>64</v>
      </c>
      <c r="K49" s="56" t="s">
        <v>64</v>
      </c>
      <c r="L49" s="56" t="s">
        <v>64</v>
      </c>
      <c r="M49" s="56" t="s">
        <v>64</v>
      </c>
      <c r="N49" s="56" t="s">
        <v>64</v>
      </c>
      <c r="O49" s="56" t="s">
        <v>64</v>
      </c>
      <c r="P49" s="56" t="s">
        <v>64</v>
      </c>
      <c r="Q49" s="56" t="s">
        <v>64</v>
      </c>
      <c r="R49" s="56" t="s">
        <v>64</v>
      </c>
      <c r="S49" s="56" t="s">
        <v>64</v>
      </c>
      <c r="T49" s="56" t="s">
        <v>64</v>
      </c>
      <c r="U49" s="56" t="s">
        <v>64</v>
      </c>
      <c r="V49" s="56" t="s">
        <v>64</v>
      </c>
      <c r="W49" s="56" t="s">
        <v>64</v>
      </c>
      <c r="X49" s="56" t="s">
        <v>64</v>
      </c>
      <c r="Y49" s="56" t="s">
        <v>64</v>
      </c>
      <c r="Z49" s="56" t="s">
        <v>64</v>
      </c>
      <c r="AA49" s="56" t="s">
        <v>64</v>
      </c>
      <c r="AB49" s="56" t="s">
        <v>64</v>
      </c>
      <c r="AC49" s="56" t="s">
        <v>64</v>
      </c>
      <c r="AD49" s="56" t="s">
        <v>64</v>
      </c>
      <c r="AE49" s="56" t="s">
        <v>64</v>
      </c>
      <c r="AF49" s="56" t="s">
        <v>64</v>
      </c>
      <c r="AG49" s="56" t="s">
        <v>64</v>
      </c>
      <c r="AH49" s="56" t="s">
        <v>64</v>
      </c>
      <c r="AI49" s="56" t="s">
        <v>64</v>
      </c>
      <c r="AJ49" s="25"/>
      <c r="AL49" t="str">
        <f t="shared" ca="1" si="0"/>
        <v xml:space="preserve">    (U1)ALERT_REQ_S_ADBZR_APP_</v>
      </c>
      <c r="AR49" s="58" t="str">
        <f t="shared" si="3"/>
        <v/>
      </c>
      <c r="AS49" s="58" t="str">
        <f t="shared" si="4"/>
        <v/>
      </c>
      <c r="AT49" s="58" t="str">
        <f t="shared" si="1"/>
        <v/>
      </c>
    </row>
    <row r="50" spans="2:46">
      <c r="B50" s="125"/>
      <c r="C50" s="42">
        <f t="shared" si="2"/>
        <v>44</v>
      </c>
      <c r="D50" s="56" t="s">
        <v>64</v>
      </c>
      <c r="E50" s="56" t="s">
        <v>64</v>
      </c>
      <c r="F50" s="56" t="s">
        <v>64</v>
      </c>
      <c r="G50" s="56" t="s">
        <v>64</v>
      </c>
      <c r="H50" s="56" t="s">
        <v>64</v>
      </c>
      <c r="I50" s="56" t="s">
        <v>64</v>
      </c>
      <c r="J50" s="56" t="s">
        <v>64</v>
      </c>
      <c r="K50" s="56" t="s">
        <v>64</v>
      </c>
      <c r="L50" s="56" t="s">
        <v>64</v>
      </c>
      <c r="M50" s="56" t="s">
        <v>64</v>
      </c>
      <c r="N50" s="56" t="s">
        <v>64</v>
      </c>
      <c r="O50" s="56" t="s">
        <v>64</v>
      </c>
      <c r="P50" s="56" t="s">
        <v>64</v>
      </c>
      <c r="Q50" s="56" t="s">
        <v>64</v>
      </c>
      <c r="R50" s="56" t="s">
        <v>64</v>
      </c>
      <c r="S50" s="56" t="s">
        <v>64</v>
      </c>
      <c r="T50" s="56" t="s">
        <v>64</v>
      </c>
      <c r="U50" s="56" t="s">
        <v>64</v>
      </c>
      <c r="V50" s="56" t="s">
        <v>64</v>
      </c>
      <c r="W50" s="56" t="s">
        <v>64</v>
      </c>
      <c r="X50" s="56" t="s">
        <v>64</v>
      </c>
      <c r="Y50" s="56" t="s">
        <v>64</v>
      </c>
      <c r="Z50" s="56" t="s">
        <v>64</v>
      </c>
      <c r="AA50" s="56" t="s">
        <v>64</v>
      </c>
      <c r="AB50" s="56" t="s">
        <v>64</v>
      </c>
      <c r="AC50" s="56" t="s">
        <v>64</v>
      </c>
      <c r="AD50" s="56" t="s">
        <v>64</v>
      </c>
      <c r="AE50" s="56" t="s">
        <v>64</v>
      </c>
      <c r="AF50" s="56" t="s">
        <v>64</v>
      </c>
      <c r="AG50" s="56" t="s">
        <v>64</v>
      </c>
      <c r="AH50" s="56" t="s">
        <v>64</v>
      </c>
      <c r="AI50" s="56" t="s">
        <v>64</v>
      </c>
      <c r="AJ50" s="25"/>
      <c r="AL50" t="str">
        <f t="shared" ca="1" si="0"/>
        <v xml:space="preserve">    (U1)ALERT_REQ_S_ADBZR_APP_</v>
      </c>
      <c r="AR50" s="58" t="str">
        <f t="shared" si="3"/>
        <v/>
      </c>
      <c r="AS50" s="58" t="str">
        <f t="shared" si="4"/>
        <v/>
      </c>
      <c r="AT50" s="58" t="str">
        <f t="shared" si="1"/>
        <v/>
      </c>
    </row>
    <row r="51" spans="2:46">
      <c r="B51" s="125"/>
      <c r="C51" s="42">
        <f t="shared" si="2"/>
        <v>45</v>
      </c>
      <c r="D51" s="56" t="s">
        <v>64</v>
      </c>
      <c r="E51" s="56" t="s">
        <v>64</v>
      </c>
      <c r="F51" s="56" t="s">
        <v>64</v>
      </c>
      <c r="G51" s="56" t="s">
        <v>64</v>
      </c>
      <c r="H51" s="56" t="s">
        <v>64</v>
      </c>
      <c r="I51" s="56" t="s">
        <v>64</v>
      </c>
      <c r="J51" s="56" t="s">
        <v>64</v>
      </c>
      <c r="K51" s="56" t="s">
        <v>64</v>
      </c>
      <c r="L51" s="56" t="s">
        <v>64</v>
      </c>
      <c r="M51" s="56" t="s">
        <v>64</v>
      </c>
      <c r="N51" s="56" t="s">
        <v>64</v>
      </c>
      <c r="O51" s="56" t="s">
        <v>64</v>
      </c>
      <c r="P51" s="56" t="s">
        <v>64</v>
      </c>
      <c r="Q51" s="56" t="s">
        <v>64</v>
      </c>
      <c r="R51" s="56" t="s">
        <v>64</v>
      </c>
      <c r="S51" s="56" t="s">
        <v>64</v>
      </c>
      <c r="T51" s="56" t="s">
        <v>64</v>
      </c>
      <c r="U51" s="56" t="s">
        <v>64</v>
      </c>
      <c r="V51" s="56" t="s">
        <v>64</v>
      </c>
      <c r="W51" s="56" t="s">
        <v>64</v>
      </c>
      <c r="X51" s="56" t="s">
        <v>64</v>
      </c>
      <c r="Y51" s="56" t="s">
        <v>64</v>
      </c>
      <c r="Z51" s="56" t="s">
        <v>64</v>
      </c>
      <c r="AA51" s="56" t="s">
        <v>64</v>
      </c>
      <c r="AB51" s="56" t="s">
        <v>64</v>
      </c>
      <c r="AC51" s="56" t="s">
        <v>64</v>
      </c>
      <c r="AD51" s="56" t="s">
        <v>64</v>
      </c>
      <c r="AE51" s="56" t="s">
        <v>64</v>
      </c>
      <c r="AF51" s="56" t="s">
        <v>64</v>
      </c>
      <c r="AG51" s="56" t="s">
        <v>64</v>
      </c>
      <c r="AH51" s="56" t="s">
        <v>64</v>
      </c>
      <c r="AI51" s="56" t="s">
        <v>64</v>
      </c>
      <c r="AJ51" s="25"/>
      <c r="AL51" t="str">
        <f t="shared" ca="1" si="0"/>
        <v xml:space="preserve">    (U1)ALERT_REQ_S_ADBZR_APP_</v>
      </c>
      <c r="AR51" s="58" t="str">
        <f t="shared" si="3"/>
        <v/>
      </c>
      <c r="AS51" s="58" t="str">
        <f t="shared" si="4"/>
        <v/>
      </c>
      <c r="AT51" s="58" t="str">
        <f t="shared" si="1"/>
        <v/>
      </c>
    </row>
    <row r="52" spans="2:46">
      <c r="B52" s="125"/>
      <c r="C52" s="42">
        <f t="shared" si="2"/>
        <v>46</v>
      </c>
      <c r="D52" s="56" t="s">
        <v>64</v>
      </c>
      <c r="E52" s="56" t="s">
        <v>64</v>
      </c>
      <c r="F52" s="56" t="s">
        <v>64</v>
      </c>
      <c r="G52" s="56" t="s">
        <v>64</v>
      </c>
      <c r="H52" s="56" t="s">
        <v>64</v>
      </c>
      <c r="I52" s="56" t="s">
        <v>64</v>
      </c>
      <c r="J52" s="56" t="s">
        <v>64</v>
      </c>
      <c r="K52" s="56" t="s">
        <v>64</v>
      </c>
      <c r="L52" s="56" t="s">
        <v>64</v>
      </c>
      <c r="M52" s="56" t="s">
        <v>64</v>
      </c>
      <c r="N52" s="56" t="s">
        <v>64</v>
      </c>
      <c r="O52" s="56" t="s">
        <v>64</v>
      </c>
      <c r="P52" s="56" t="s">
        <v>64</v>
      </c>
      <c r="Q52" s="56" t="s">
        <v>64</v>
      </c>
      <c r="R52" s="56" t="s">
        <v>64</v>
      </c>
      <c r="S52" s="56" t="s">
        <v>64</v>
      </c>
      <c r="T52" s="56" t="s">
        <v>64</v>
      </c>
      <c r="U52" s="56" t="s">
        <v>64</v>
      </c>
      <c r="V52" s="56" t="s">
        <v>64</v>
      </c>
      <c r="W52" s="56" t="s">
        <v>64</v>
      </c>
      <c r="X52" s="56" t="s">
        <v>64</v>
      </c>
      <c r="Y52" s="56" t="s">
        <v>64</v>
      </c>
      <c r="Z52" s="56" t="s">
        <v>64</v>
      </c>
      <c r="AA52" s="56" t="s">
        <v>64</v>
      </c>
      <c r="AB52" s="56" t="s">
        <v>64</v>
      </c>
      <c r="AC52" s="56" t="s">
        <v>64</v>
      </c>
      <c r="AD52" s="56" t="s">
        <v>64</v>
      </c>
      <c r="AE52" s="56" t="s">
        <v>64</v>
      </c>
      <c r="AF52" s="56" t="s">
        <v>64</v>
      </c>
      <c r="AG52" s="56" t="s">
        <v>64</v>
      </c>
      <c r="AH52" s="56" t="s">
        <v>64</v>
      </c>
      <c r="AI52" s="56" t="s">
        <v>64</v>
      </c>
      <c r="AJ52" s="25"/>
      <c r="AL52" t="str">
        <f t="shared" ca="1" si="0"/>
        <v xml:space="preserve">    (U1)ALERT_REQ_S_ADBZR_APP_</v>
      </c>
      <c r="AR52" s="58" t="str">
        <f t="shared" si="3"/>
        <v/>
      </c>
      <c r="AS52" s="58" t="str">
        <f t="shared" si="4"/>
        <v/>
      </c>
      <c r="AT52" s="58" t="str">
        <f t="shared" si="1"/>
        <v/>
      </c>
    </row>
    <row r="53" spans="2:46">
      <c r="B53" s="125"/>
      <c r="C53" s="42">
        <f t="shared" si="2"/>
        <v>47</v>
      </c>
      <c r="D53" s="56" t="s">
        <v>64</v>
      </c>
      <c r="E53" s="56" t="s">
        <v>64</v>
      </c>
      <c r="F53" s="56" t="s">
        <v>64</v>
      </c>
      <c r="G53" s="56" t="s">
        <v>64</v>
      </c>
      <c r="H53" s="56" t="s">
        <v>64</v>
      </c>
      <c r="I53" s="56" t="s">
        <v>64</v>
      </c>
      <c r="J53" s="56" t="s">
        <v>64</v>
      </c>
      <c r="K53" s="56" t="s">
        <v>64</v>
      </c>
      <c r="L53" s="56" t="s">
        <v>64</v>
      </c>
      <c r="M53" s="56" t="s">
        <v>64</v>
      </c>
      <c r="N53" s="56" t="s">
        <v>64</v>
      </c>
      <c r="O53" s="56" t="s">
        <v>64</v>
      </c>
      <c r="P53" s="56" t="s">
        <v>64</v>
      </c>
      <c r="Q53" s="56" t="s">
        <v>64</v>
      </c>
      <c r="R53" s="56" t="s">
        <v>64</v>
      </c>
      <c r="S53" s="56" t="s">
        <v>64</v>
      </c>
      <c r="T53" s="56" t="s">
        <v>64</v>
      </c>
      <c r="U53" s="56" t="s">
        <v>64</v>
      </c>
      <c r="V53" s="56" t="s">
        <v>64</v>
      </c>
      <c r="W53" s="56" t="s">
        <v>64</v>
      </c>
      <c r="X53" s="56" t="s">
        <v>64</v>
      </c>
      <c r="Y53" s="56" t="s">
        <v>64</v>
      </c>
      <c r="Z53" s="56" t="s">
        <v>64</v>
      </c>
      <c r="AA53" s="56" t="s">
        <v>64</v>
      </c>
      <c r="AB53" s="56" t="s">
        <v>64</v>
      </c>
      <c r="AC53" s="56" t="s">
        <v>64</v>
      </c>
      <c r="AD53" s="56" t="s">
        <v>64</v>
      </c>
      <c r="AE53" s="56" t="s">
        <v>64</v>
      </c>
      <c r="AF53" s="56" t="s">
        <v>64</v>
      </c>
      <c r="AG53" s="56" t="s">
        <v>64</v>
      </c>
      <c r="AH53" s="56" t="s">
        <v>64</v>
      </c>
      <c r="AI53" s="56" t="s">
        <v>64</v>
      </c>
      <c r="AJ53" s="25"/>
      <c r="AL53" t="str">
        <f t="shared" ca="1" si="0"/>
        <v xml:space="preserve">    (U1)ALERT_REQ_S_ADBZR_APP_</v>
      </c>
      <c r="AR53" s="58" t="str">
        <f t="shared" si="3"/>
        <v/>
      </c>
      <c r="AS53" s="58" t="str">
        <f t="shared" si="4"/>
        <v/>
      </c>
      <c r="AT53" s="58" t="str">
        <f t="shared" si="1"/>
        <v/>
      </c>
    </row>
    <row r="54" spans="2:46">
      <c r="B54" s="125"/>
      <c r="C54" s="42">
        <f t="shared" si="2"/>
        <v>48</v>
      </c>
      <c r="D54" s="56" t="s">
        <v>64</v>
      </c>
      <c r="E54" s="56" t="s">
        <v>64</v>
      </c>
      <c r="F54" s="56" t="s">
        <v>64</v>
      </c>
      <c r="G54" s="56" t="s">
        <v>64</v>
      </c>
      <c r="H54" s="56" t="s">
        <v>64</v>
      </c>
      <c r="I54" s="56" t="s">
        <v>64</v>
      </c>
      <c r="J54" s="56" t="s">
        <v>64</v>
      </c>
      <c r="K54" s="56" t="s">
        <v>64</v>
      </c>
      <c r="L54" s="56" t="s">
        <v>64</v>
      </c>
      <c r="M54" s="56" t="s">
        <v>64</v>
      </c>
      <c r="N54" s="56" t="s">
        <v>64</v>
      </c>
      <c r="O54" s="56" t="s">
        <v>64</v>
      </c>
      <c r="P54" s="56" t="s">
        <v>64</v>
      </c>
      <c r="Q54" s="56" t="s">
        <v>64</v>
      </c>
      <c r="R54" s="56" t="s">
        <v>64</v>
      </c>
      <c r="S54" s="56" t="s">
        <v>64</v>
      </c>
      <c r="T54" s="56" t="s">
        <v>64</v>
      </c>
      <c r="U54" s="56" t="s">
        <v>64</v>
      </c>
      <c r="V54" s="56" t="s">
        <v>64</v>
      </c>
      <c r="W54" s="56" t="s">
        <v>64</v>
      </c>
      <c r="X54" s="56" t="s">
        <v>64</v>
      </c>
      <c r="Y54" s="56" t="s">
        <v>64</v>
      </c>
      <c r="Z54" s="56" t="s">
        <v>64</v>
      </c>
      <c r="AA54" s="56" t="s">
        <v>64</v>
      </c>
      <c r="AB54" s="56" t="s">
        <v>64</v>
      </c>
      <c r="AC54" s="56" t="s">
        <v>64</v>
      </c>
      <c r="AD54" s="56" t="s">
        <v>64</v>
      </c>
      <c r="AE54" s="56" t="s">
        <v>64</v>
      </c>
      <c r="AF54" s="56" t="s">
        <v>64</v>
      </c>
      <c r="AG54" s="56" t="s">
        <v>64</v>
      </c>
      <c r="AH54" s="56" t="s">
        <v>64</v>
      </c>
      <c r="AI54" s="56" t="s">
        <v>64</v>
      </c>
      <c r="AJ54" s="25"/>
      <c r="AL54" t="str">
        <f t="shared" ca="1" si="0"/>
        <v xml:space="preserve">    (U1)ALERT_REQ_S_ADBZR_APP_</v>
      </c>
      <c r="AR54" s="58" t="str">
        <f t="shared" si="3"/>
        <v/>
      </c>
      <c r="AS54" s="58" t="str">
        <f t="shared" si="4"/>
        <v/>
      </c>
      <c r="AT54" s="58" t="str">
        <f t="shared" si="1"/>
        <v/>
      </c>
    </row>
    <row r="55" spans="2:46">
      <c r="B55" s="125"/>
      <c r="C55" s="42">
        <f t="shared" si="2"/>
        <v>49</v>
      </c>
      <c r="D55" s="56" t="s">
        <v>64</v>
      </c>
      <c r="E55" s="56" t="s">
        <v>64</v>
      </c>
      <c r="F55" s="56" t="s">
        <v>64</v>
      </c>
      <c r="G55" s="56" t="s">
        <v>64</v>
      </c>
      <c r="H55" s="56" t="s">
        <v>64</v>
      </c>
      <c r="I55" s="56" t="s">
        <v>64</v>
      </c>
      <c r="J55" s="56" t="s">
        <v>64</v>
      </c>
      <c r="K55" s="56" t="s">
        <v>64</v>
      </c>
      <c r="L55" s="56" t="s">
        <v>64</v>
      </c>
      <c r="M55" s="56" t="s">
        <v>64</v>
      </c>
      <c r="N55" s="56" t="s">
        <v>64</v>
      </c>
      <c r="O55" s="56" t="s">
        <v>64</v>
      </c>
      <c r="P55" s="56" t="s">
        <v>64</v>
      </c>
      <c r="Q55" s="56" t="s">
        <v>64</v>
      </c>
      <c r="R55" s="56" t="s">
        <v>64</v>
      </c>
      <c r="S55" s="56" t="s">
        <v>64</v>
      </c>
      <c r="T55" s="56" t="s">
        <v>64</v>
      </c>
      <c r="U55" s="56" t="s">
        <v>64</v>
      </c>
      <c r="V55" s="56" t="s">
        <v>64</v>
      </c>
      <c r="W55" s="56" t="s">
        <v>64</v>
      </c>
      <c r="X55" s="56" t="s">
        <v>64</v>
      </c>
      <c r="Y55" s="56" t="s">
        <v>64</v>
      </c>
      <c r="Z55" s="56" t="s">
        <v>64</v>
      </c>
      <c r="AA55" s="56" t="s">
        <v>64</v>
      </c>
      <c r="AB55" s="56" t="s">
        <v>64</v>
      </c>
      <c r="AC55" s="56" t="s">
        <v>64</v>
      </c>
      <c r="AD55" s="56" t="s">
        <v>64</v>
      </c>
      <c r="AE55" s="56" t="s">
        <v>64</v>
      </c>
      <c r="AF55" s="56" t="s">
        <v>64</v>
      </c>
      <c r="AG55" s="56" t="s">
        <v>64</v>
      </c>
      <c r="AH55" s="56" t="s">
        <v>64</v>
      </c>
      <c r="AI55" s="56" t="s">
        <v>64</v>
      </c>
      <c r="AJ55" s="25"/>
      <c r="AL55" t="str">
        <f t="shared" ca="1" si="0"/>
        <v xml:space="preserve">    (U1)ALERT_REQ_S_ADBZR_APP_</v>
      </c>
      <c r="AR55" s="58" t="str">
        <f t="shared" si="3"/>
        <v/>
      </c>
      <c r="AS55" s="58" t="str">
        <f t="shared" si="4"/>
        <v/>
      </c>
      <c r="AT55" s="58" t="str">
        <f t="shared" si="1"/>
        <v/>
      </c>
    </row>
    <row r="56" spans="2:46">
      <c r="B56" s="125"/>
      <c r="C56" s="42">
        <f t="shared" si="2"/>
        <v>50</v>
      </c>
      <c r="D56" s="56" t="s">
        <v>64</v>
      </c>
      <c r="E56" s="56" t="s">
        <v>64</v>
      </c>
      <c r="F56" s="56" t="s">
        <v>64</v>
      </c>
      <c r="G56" s="56" t="s">
        <v>64</v>
      </c>
      <c r="H56" s="56" t="s">
        <v>64</v>
      </c>
      <c r="I56" s="56" t="s">
        <v>64</v>
      </c>
      <c r="J56" s="56" t="s">
        <v>64</v>
      </c>
      <c r="K56" s="56" t="s">
        <v>64</v>
      </c>
      <c r="L56" s="56" t="s">
        <v>64</v>
      </c>
      <c r="M56" s="56" t="s">
        <v>64</v>
      </c>
      <c r="N56" s="56" t="s">
        <v>64</v>
      </c>
      <c r="O56" s="56" t="s">
        <v>64</v>
      </c>
      <c r="P56" s="56" t="s">
        <v>64</v>
      </c>
      <c r="Q56" s="56" t="s">
        <v>64</v>
      </c>
      <c r="R56" s="56" t="s">
        <v>64</v>
      </c>
      <c r="S56" s="56" t="s">
        <v>64</v>
      </c>
      <c r="T56" s="56" t="s">
        <v>64</v>
      </c>
      <c r="U56" s="56" t="s">
        <v>64</v>
      </c>
      <c r="V56" s="56" t="s">
        <v>64</v>
      </c>
      <c r="W56" s="56" t="s">
        <v>64</v>
      </c>
      <c r="X56" s="56" t="s">
        <v>64</v>
      </c>
      <c r="Y56" s="56" t="s">
        <v>64</v>
      </c>
      <c r="Z56" s="56" t="s">
        <v>64</v>
      </c>
      <c r="AA56" s="56" t="s">
        <v>64</v>
      </c>
      <c r="AB56" s="56" t="s">
        <v>64</v>
      </c>
      <c r="AC56" s="56" t="s">
        <v>64</v>
      </c>
      <c r="AD56" s="56" t="s">
        <v>64</v>
      </c>
      <c r="AE56" s="56" t="s">
        <v>64</v>
      </c>
      <c r="AF56" s="56" t="s">
        <v>64</v>
      </c>
      <c r="AG56" s="56" t="s">
        <v>64</v>
      </c>
      <c r="AH56" s="56" t="s">
        <v>64</v>
      </c>
      <c r="AI56" s="56" t="s">
        <v>64</v>
      </c>
      <c r="AJ56" s="25"/>
      <c r="AL56" t="str">
        <f t="shared" ca="1" si="0"/>
        <v xml:space="preserve">    (U1)ALERT_REQ_S_ADBZR_APP_</v>
      </c>
      <c r="AR56" s="58" t="str">
        <f t="shared" si="3"/>
        <v/>
      </c>
      <c r="AS56" s="58" t="str">
        <f t="shared" si="4"/>
        <v/>
      </c>
      <c r="AT56" s="58" t="str">
        <f t="shared" si="1"/>
        <v/>
      </c>
    </row>
    <row r="57" spans="2:46">
      <c r="B57" s="125"/>
      <c r="C57" s="42">
        <f t="shared" si="2"/>
        <v>51</v>
      </c>
      <c r="D57" s="56" t="s">
        <v>64</v>
      </c>
      <c r="E57" s="56" t="s">
        <v>64</v>
      </c>
      <c r="F57" s="56" t="s">
        <v>64</v>
      </c>
      <c r="G57" s="56" t="s">
        <v>64</v>
      </c>
      <c r="H57" s="56" t="s">
        <v>64</v>
      </c>
      <c r="I57" s="56" t="s">
        <v>64</v>
      </c>
      <c r="J57" s="56" t="s">
        <v>64</v>
      </c>
      <c r="K57" s="56" t="s">
        <v>64</v>
      </c>
      <c r="L57" s="56" t="s">
        <v>64</v>
      </c>
      <c r="M57" s="56" t="s">
        <v>64</v>
      </c>
      <c r="N57" s="56" t="s">
        <v>64</v>
      </c>
      <c r="O57" s="56" t="s">
        <v>64</v>
      </c>
      <c r="P57" s="56" t="s">
        <v>64</v>
      </c>
      <c r="Q57" s="56" t="s">
        <v>64</v>
      </c>
      <c r="R57" s="56" t="s">
        <v>64</v>
      </c>
      <c r="S57" s="56" t="s">
        <v>64</v>
      </c>
      <c r="T57" s="56" t="s">
        <v>64</v>
      </c>
      <c r="U57" s="56" t="s">
        <v>64</v>
      </c>
      <c r="V57" s="56" t="s">
        <v>64</v>
      </c>
      <c r="W57" s="56" t="s">
        <v>64</v>
      </c>
      <c r="X57" s="56" t="s">
        <v>64</v>
      </c>
      <c r="Y57" s="56" t="s">
        <v>64</v>
      </c>
      <c r="Z57" s="56" t="s">
        <v>64</v>
      </c>
      <c r="AA57" s="56" t="s">
        <v>64</v>
      </c>
      <c r="AB57" s="56" t="s">
        <v>64</v>
      </c>
      <c r="AC57" s="56" t="s">
        <v>64</v>
      </c>
      <c r="AD57" s="56" t="s">
        <v>64</v>
      </c>
      <c r="AE57" s="56" t="s">
        <v>64</v>
      </c>
      <c r="AF57" s="56" t="s">
        <v>64</v>
      </c>
      <c r="AG57" s="56" t="s">
        <v>64</v>
      </c>
      <c r="AH57" s="56" t="s">
        <v>64</v>
      </c>
      <c r="AI57" s="56" t="s">
        <v>64</v>
      </c>
      <c r="AJ57" s="25"/>
      <c r="AL57" t="str">
        <f t="shared" ca="1" si="0"/>
        <v xml:space="preserve">    (U1)ALERT_REQ_S_ADBZR_APP_</v>
      </c>
      <c r="AR57" s="58" t="str">
        <f t="shared" si="3"/>
        <v/>
      </c>
      <c r="AS57" s="58" t="str">
        <f t="shared" si="4"/>
        <v/>
      </c>
      <c r="AT57" s="58" t="str">
        <f t="shared" si="1"/>
        <v/>
      </c>
    </row>
    <row r="58" spans="2:46">
      <c r="B58" s="125"/>
      <c r="C58" s="42">
        <f t="shared" si="2"/>
        <v>52</v>
      </c>
      <c r="D58" s="56" t="s">
        <v>64</v>
      </c>
      <c r="E58" s="56" t="s">
        <v>64</v>
      </c>
      <c r="F58" s="56" t="s">
        <v>64</v>
      </c>
      <c r="G58" s="56" t="s">
        <v>64</v>
      </c>
      <c r="H58" s="56" t="s">
        <v>64</v>
      </c>
      <c r="I58" s="56" t="s">
        <v>64</v>
      </c>
      <c r="J58" s="56" t="s">
        <v>64</v>
      </c>
      <c r="K58" s="56" t="s">
        <v>64</v>
      </c>
      <c r="L58" s="56" t="s">
        <v>64</v>
      </c>
      <c r="M58" s="56" t="s">
        <v>64</v>
      </c>
      <c r="N58" s="56" t="s">
        <v>64</v>
      </c>
      <c r="O58" s="56" t="s">
        <v>64</v>
      </c>
      <c r="P58" s="56" t="s">
        <v>64</v>
      </c>
      <c r="Q58" s="56" t="s">
        <v>64</v>
      </c>
      <c r="R58" s="56" t="s">
        <v>64</v>
      </c>
      <c r="S58" s="56" t="s">
        <v>64</v>
      </c>
      <c r="T58" s="56" t="s">
        <v>64</v>
      </c>
      <c r="U58" s="56" t="s">
        <v>64</v>
      </c>
      <c r="V58" s="56" t="s">
        <v>64</v>
      </c>
      <c r="W58" s="56" t="s">
        <v>64</v>
      </c>
      <c r="X58" s="56" t="s">
        <v>64</v>
      </c>
      <c r="Y58" s="56" t="s">
        <v>64</v>
      </c>
      <c r="Z58" s="56" t="s">
        <v>64</v>
      </c>
      <c r="AA58" s="56" t="s">
        <v>64</v>
      </c>
      <c r="AB58" s="56" t="s">
        <v>64</v>
      </c>
      <c r="AC58" s="56" t="s">
        <v>64</v>
      </c>
      <c r="AD58" s="56" t="s">
        <v>64</v>
      </c>
      <c r="AE58" s="56" t="s">
        <v>64</v>
      </c>
      <c r="AF58" s="56" t="s">
        <v>64</v>
      </c>
      <c r="AG58" s="56" t="s">
        <v>64</v>
      </c>
      <c r="AH58" s="56" t="s">
        <v>64</v>
      </c>
      <c r="AI58" s="56" t="s">
        <v>64</v>
      </c>
      <c r="AJ58" s="25"/>
      <c r="AL58" t="str">
        <f t="shared" ca="1" si="0"/>
        <v xml:space="preserve">    (U1)ALERT_REQ_S_ADBZR_APP_</v>
      </c>
      <c r="AR58" s="58" t="str">
        <f t="shared" si="3"/>
        <v/>
      </c>
      <c r="AS58" s="58" t="str">
        <f t="shared" si="4"/>
        <v/>
      </c>
      <c r="AT58" s="58" t="str">
        <f t="shared" si="1"/>
        <v/>
      </c>
    </row>
    <row r="59" spans="2:46">
      <c r="B59" s="125"/>
      <c r="C59" s="42">
        <f t="shared" si="2"/>
        <v>53</v>
      </c>
      <c r="D59" s="56" t="s">
        <v>64</v>
      </c>
      <c r="E59" s="56" t="s">
        <v>64</v>
      </c>
      <c r="F59" s="56" t="s">
        <v>64</v>
      </c>
      <c r="G59" s="56" t="s">
        <v>64</v>
      </c>
      <c r="H59" s="56" t="s">
        <v>64</v>
      </c>
      <c r="I59" s="56" t="s">
        <v>64</v>
      </c>
      <c r="J59" s="56" t="s">
        <v>64</v>
      </c>
      <c r="K59" s="56" t="s">
        <v>64</v>
      </c>
      <c r="L59" s="56" t="s">
        <v>64</v>
      </c>
      <c r="M59" s="56" t="s">
        <v>64</v>
      </c>
      <c r="N59" s="56" t="s">
        <v>64</v>
      </c>
      <c r="O59" s="56" t="s">
        <v>64</v>
      </c>
      <c r="P59" s="56" t="s">
        <v>64</v>
      </c>
      <c r="Q59" s="56" t="s">
        <v>64</v>
      </c>
      <c r="R59" s="56" t="s">
        <v>64</v>
      </c>
      <c r="S59" s="56" t="s">
        <v>64</v>
      </c>
      <c r="T59" s="56" t="s">
        <v>64</v>
      </c>
      <c r="U59" s="56" t="s">
        <v>64</v>
      </c>
      <c r="V59" s="56" t="s">
        <v>64</v>
      </c>
      <c r="W59" s="56" t="s">
        <v>64</v>
      </c>
      <c r="X59" s="56" t="s">
        <v>64</v>
      </c>
      <c r="Y59" s="56" t="s">
        <v>64</v>
      </c>
      <c r="Z59" s="56" t="s">
        <v>64</v>
      </c>
      <c r="AA59" s="56" t="s">
        <v>64</v>
      </c>
      <c r="AB59" s="56" t="s">
        <v>64</v>
      </c>
      <c r="AC59" s="56" t="s">
        <v>64</v>
      </c>
      <c r="AD59" s="56" t="s">
        <v>64</v>
      </c>
      <c r="AE59" s="56" t="s">
        <v>64</v>
      </c>
      <c r="AF59" s="56" t="s">
        <v>64</v>
      </c>
      <c r="AG59" s="56" t="s">
        <v>64</v>
      </c>
      <c r="AH59" s="56" t="s">
        <v>64</v>
      </c>
      <c r="AI59" s="56" t="s">
        <v>64</v>
      </c>
      <c r="AJ59" s="25"/>
      <c r="AL59" t="str">
        <f t="shared" ca="1" si="0"/>
        <v xml:space="preserve">    (U1)ALERT_REQ_S_ADBZR_APP_</v>
      </c>
      <c r="AR59" s="58" t="str">
        <f t="shared" si="3"/>
        <v/>
      </c>
      <c r="AS59" s="58" t="str">
        <f t="shared" si="4"/>
        <v/>
      </c>
      <c r="AT59" s="58" t="str">
        <f t="shared" si="1"/>
        <v/>
      </c>
    </row>
    <row r="60" spans="2:46">
      <c r="B60" s="125"/>
      <c r="C60" s="42">
        <f t="shared" si="2"/>
        <v>54</v>
      </c>
      <c r="D60" s="56" t="s">
        <v>64</v>
      </c>
      <c r="E60" s="56" t="s">
        <v>64</v>
      </c>
      <c r="F60" s="56" t="s">
        <v>64</v>
      </c>
      <c r="G60" s="56" t="s">
        <v>64</v>
      </c>
      <c r="H60" s="56" t="s">
        <v>64</v>
      </c>
      <c r="I60" s="56" t="s">
        <v>64</v>
      </c>
      <c r="J60" s="56" t="s">
        <v>64</v>
      </c>
      <c r="K60" s="56" t="s">
        <v>64</v>
      </c>
      <c r="L60" s="56" t="s">
        <v>64</v>
      </c>
      <c r="M60" s="56" t="s">
        <v>64</v>
      </c>
      <c r="N60" s="56" t="s">
        <v>64</v>
      </c>
      <c r="O60" s="56" t="s">
        <v>64</v>
      </c>
      <c r="P60" s="56" t="s">
        <v>64</v>
      </c>
      <c r="Q60" s="56" t="s">
        <v>64</v>
      </c>
      <c r="R60" s="56" t="s">
        <v>64</v>
      </c>
      <c r="S60" s="56" t="s">
        <v>64</v>
      </c>
      <c r="T60" s="56" t="s">
        <v>64</v>
      </c>
      <c r="U60" s="56" t="s">
        <v>64</v>
      </c>
      <c r="V60" s="56" t="s">
        <v>64</v>
      </c>
      <c r="W60" s="56" t="s">
        <v>64</v>
      </c>
      <c r="X60" s="56" t="s">
        <v>64</v>
      </c>
      <c r="Y60" s="56" t="s">
        <v>64</v>
      </c>
      <c r="Z60" s="56" t="s">
        <v>64</v>
      </c>
      <c r="AA60" s="56" t="s">
        <v>64</v>
      </c>
      <c r="AB60" s="56" t="s">
        <v>64</v>
      </c>
      <c r="AC60" s="56" t="s">
        <v>64</v>
      </c>
      <c r="AD60" s="56" t="s">
        <v>64</v>
      </c>
      <c r="AE60" s="56" t="s">
        <v>64</v>
      </c>
      <c r="AF60" s="56" t="s">
        <v>64</v>
      </c>
      <c r="AG60" s="56" t="s">
        <v>64</v>
      </c>
      <c r="AH60" s="56" t="s">
        <v>64</v>
      </c>
      <c r="AI60" s="56" t="s">
        <v>64</v>
      </c>
      <c r="AJ60" s="25"/>
      <c r="AL60" t="str">
        <f t="shared" ca="1" si="0"/>
        <v xml:space="preserve">    (U1)ALERT_REQ_S_ADBZR_APP_</v>
      </c>
      <c r="AR60" s="58" t="str">
        <f t="shared" si="3"/>
        <v/>
      </c>
      <c r="AS60" s="58" t="str">
        <f t="shared" si="4"/>
        <v/>
      </c>
      <c r="AT60" s="58" t="str">
        <f t="shared" si="1"/>
        <v/>
      </c>
    </row>
    <row r="61" spans="2:46">
      <c r="B61" s="125"/>
      <c r="C61" s="42">
        <f t="shared" si="2"/>
        <v>55</v>
      </c>
      <c r="D61" s="56" t="s">
        <v>64</v>
      </c>
      <c r="E61" s="56" t="s">
        <v>64</v>
      </c>
      <c r="F61" s="56" t="s">
        <v>64</v>
      </c>
      <c r="G61" s="56" t="s">
        <v>64</v>
      </c>
      <c r="H61" s="56" t="s">
        <v>64</v>
      </c>
      <c r="I61" s="56" t="s">
        <v>64</v>
      </c>
      <c r="J61" s="56" t="s">
        <v>64</v>
      </c>
      <c r="K61" s="56" t="s">
        <v>64</v>
      </c>
      <c r="L61" s="56" t="s">
        <v>64</v>
      </c>
      <c r="M61" s="56" t="s">
        <v>64</v>
      </c>
      <c r="N61" s="56" t="s">
        <v>64</v>
      </c>
      <c r="O61" s="56" t="s">
        <v>64</v>
      </c>
      <c r="P61" s="56" t="s">
        <v>64</v>
      </c>
      <c r="Q61" s="56" t="s">
        <v>64</v>
      </c>
      <c r="R61" s="56" t="s">
        <v>64</v>
      </c>
      <c r="S61" s="56" t="s">
        <v>64</v>
      </c>
      <c r="T61" s="56" t="s">
        <v>64</v>
      </c>
      <c r="U61" s="56" t="s">
        <v>64</v>
      </c>
      <c r="V61" s="56" t="s">
        <v>64</v>
      </c>
      <c r="W61" s="56" t="s">
        <v>64</v>
      </c>
      <c r="X61" s="56" t="s">
        <v>64</v>
      </c>
      <c r="Y61" s="56" t="s">
        <v>64</v>
      </c>
      <c r="Z61" s="56" t="s">
        <v>64</v>
      </c>
      <c r="AA61" s="56" t="s">
        <v>64</v>
      </c>
      <c r="AB61" s="56" t="s">
        <v>64</v>
      </c>
      <c r="AC61" s="56" t="s">
        <v>64</v>
      </c>
      <c r="AD61" s="56" t="s">
        <v>64</v>
      </c>
      <c r="AE61" s="56" t="s">
        <v>64</v>
      </c>
      <c r="AF61" s="56" t="s">
        <v>64</v>
      </c>
      <c r="AG61" s="56" t="s">
        <v>64</v>
      </c>
      <c r="AH61" s="56" t="s">
        <v>64</v>
      </c>
      <c r="AI61" s="56" t="s">
        <v>64</v>
      </c>
      <c r="AJ61" s="25"/>
      <c r="AL61" t="str">
        <f t="shared" ca="1" si="0"/>
        <v xml:space="preserve">    (U1)ALERT_REQ_S_ADBZR_APP_</v>
      </c>
      <c r="AR61" s="58" t="str">
        <f t="shared" si="3"/>
        <v/>
      </c>
      <c r="AS61" s="58" t="str">
        <f t="shared" si="4"/>
        <v/>
      </c>
      <c r="AT61" s="58" t="str">
        <f t="shared" si="1"/>
        <v/>
      </c>
    </row>
    <row r="62" spans="2:46">
      <c r="B62" s="125"/>
      <c r="C62" s="42">
        <f t="shared" si="2"/>
        <v>56</v>
      </c>
      <c r="D62" s="56" t="s">
        <v>64</v>
      </c>
      <c r="E62" s="56" t="s">
        <v>64</v>
      </c>
      <c r="F62" s="56" t="s">
        <v>64</v>
      </c>
      <c r="G62" s="56" t="s">
        <v>64</v>
      </c>
      <c r="H62" s="56" t="s">
        <v>64</v>
      </c>
      <c r="I62" s="56" t="s">
        <v>64</v>
      </c>
      <c r="J62" s="56" t="s">
        <v>64</v>
      </c>
      <c r="K62" s="56" t="s">
        <v>64</v>
      </c>
      <c r="L62" s="56" t="s">
        <v>64</v>
      </c>
      <c r="M62" s="56" t="s">
        <v>64</v>
      </c>
      <c r="N62" s="56" t="s">
        <v>64</v>
      </c>
      <c r="O62" s="56" t="s">
        <v>64</v>
      </c>
      <c r="P62" s="56" t="s">
        <v>64</v>
      </c>
      <c r="Q62" s="56" t="s">
        <v>64</v>
      </c>
      <c r="R62" s="56" t="s">
        <v>64</v>
      </c>
      <c r="S62" s="56" t="s">
        <v>64</v>
      </c>
      <c r="T62" s="56" t="s">
        <v>64</v>
      </c>
      <c r="U62" s="56" t="s">
        <v>64</v>
      </c>
      <c r="V62" s="56" t="s">
        <v>64</v>
      </c>
      <c r="W62" s="56" t="s">
        <v>64</v>
      </c>
      <c r="X62" s="56" t="s">
        <v>64</v>
      </c>
      <c r="Y62" s="56" t="s">
        <v>64</v>
      </c>
      <c r="Z62" s="56" t="s">
        <v>64</v>
      </c>
      <c r="AA62" s="56" t="s">
        <v>64</v>
      </c>
      <c r="AB62" s="56" t="s">
        <v>64</v>
      </c>
      <c r="AC62" s="56" t="s">
        <v>64</v>
      </c>
      <c r="AD62" s="56" t="s">
        <v>64</v>
      </c>
      <c r="AE62" s="56" t="s">
        <v>64</v>
      </c>
      <c r="AF62" s="56" t="s">
        <v>64</v>
      </c>
      <c r="AG62" s="56" t="s">
        <v>64</v>
      </c>
      <c r="AH62" s="56" t="s">
        <v>64</v>
      </c>
      <c r="AI62" s="56" t="s">
        <v>64</v>
      </c>
      <c r="AJ62" s="25"/>
      <c r="AL62" t="str">
        <f t="shared" ca="1" si="0"/>
        <v xml:space="preserve">    (U1)ALERT_REQ_S_ADBZR_APP_</v>
      </c>
      <c r="AR62" s="58" t="str">
        <f t="shared" si="3"/>
        <v/>
      </c>
      <c r="AS62" s="58" t="str">
        <f t="shared" si="4"/>
        <v/>
      </c>
      <c r="AT62" s="58" t="str">
        <f t="shared" si="1"/>
        <v/>
      </c>
    </row>
    <row r="63" spans="2:46">
      <c r="B63" s="125"/>
      <c r="C63" s="42">
        <f t="shared" si="2"/>
        <v>57</v>
      </c>
      <c r="D63" s="56" t="s">
        <v>64</v>
      </c>
      <c r="E63" s="56" t="s">
        <v>64</v>
      </c>
      <c r="F63" s="56" t="s">
        <v>64</v>
      </c>
      <c r="G63" s="56" t="s">
        <v>64</v>
      </c>
      <c r="H63" s="56" t="s">
        <v>64</v>
      </c>
      <c r="I63" s="56" t="s">
        <v>64</v>
      </c>
      <c r="J63" s="56" t="s">
        <v>64</v>
      </c>
      <c r="K63" s="56" t="s">
        <v>64</v>
      </c>
      <c r="L63" s="56" t="s">
        <v>64</v>
      </c>
      <c r="M63" s="56" t="s">
        <v>64</v>
      </c>
      <c r="N63" s="56" t="s">
        <v>64</v>
      </c>
      <c r="O63" s="56" t="s">
        <v>64</v>
      </c>
      <c r="P63" s="56" t="s">
        <v>64</v>
      </c>
      <c r="Q63" s="56" t="s">
        <v>64</v>
      </c>
      <c r="R63" s="56" t="s">
        <v>64</v>
      </c>
      <c r="S63" s="56" t="s">
        <v>64</v>
      </c>
      <c r="T63" s="56" t="s">
        <v>64</v>
      </c>
      <c r="U63" s="56" t="s">
        <v>64</v>
      </c>
      <c r="V63" s="56" t="s">
        <v>64</v>
      </c>
      <c r="W63" s="56" t="s">
        <v>64</v>
      </c>
      <c r="X63" s="56" t="s">
        <v>64</v>
      </c>
      <c r="Y63" s="56" t="s">
        <v>64</v>
      </c>
      <c r="Z63" s="56" t="s">
        <v>64</v>
      </c>
      <c r="AA63" s="56" t="s">
        <v>64</v>
      </c>
      <c r="AB63" s="56" t="s">
        <v>64</v>
      </c>
      <c r="AC63" s="56" t="s">
        <v>64</v>
      </c>
      <c r="AD63" s="56" t="s">
        <v>64</v>
      </c>
      <c r="AE63" s="56" t="s">
        <v>64</v>
      </c>
      <c r="AF63" s="56" t="s">
        <v>64</v>
      </c>
      <c r="AG63" s="56" t="s">
        <v>64</v>
      </c>
      <c r="AH63" s="56" t="s">
        <v>64</v>
      </c>
      <c r="AI63" s="56" t="s">
        <v>64</v>
      </c>
      <c r="AJ63" s="25"/>
      <c r="AL63" t="str">
        <f t="shared" ca="1" si="0"/>
        <v xml:space="preserve">    (U1)ALERT_REQ_S_ADBZR_APP_</v>
      </c>
      <c r="AR63" s="58" t="str">
        <f t="shared" si="3"/>
        <v/>
      </c>
      <c r="AS63" s="58" t="str">
        <f t="shared" si="4"/>
        <v/>
      </c>
      <c r="AT63" s="58" t="str">
        <f t="shared" si="1"/>
        <v/>
      </c>
    </row>
    <row r="64" spans="2:46">
      <c r="B64" s="125"/>
      <c r="C64" s="42">
        <f t="shared" si="2"/>
        <v>58</v>
      </c>
      <c r="D64" s="56" t="s">
        <v>64</v>
      </c>
      <c r="E64" s="56" t="s">
        <v>64</v>
      </c>
      <c r="F64" s="56" t="s">
        <v>64</v>
      </c>
      <c r="G64" s="56" t="s">
        <v>64</v>
      </c>
      <c r="H64" s="56" t="s">
        <v>64</v>
      </c>
      <c r="I64" s="56" t="s">
        <v>64</v>
      </c>
      <c r="J64" s="56" t="s">
        <v>64</v>
      </c>
      <c r="K64" s="56" t="s">
        <v>64</v>
      </c>
      <c r="L64" s="56" t="s">
        <v>64</v>
      </c>
      <c r="M64" s="56" t="s">
        <v>64</v>
      </c>
      <c r="N64" s="56" t="s">
        <v>64</v>
      </c>
      <c r="O64" s="56" t="s">
        <v>64</v>
      </c>
      <c r="P64" s="56" t="s">
        <v>64</v>
      </c>
      <c r="Q64" s="56" t="s">
        <v>64</v>
      </c>
      <c r="R64" s="56" t="s">
        <v>64</v>
      </c>
      <c r="S64" s="56" t="s">
        <v>64</v>
      </c>
      <c r="T64" s="56" t="s">
        <v>64</v>
      </c>
      <c r="U64" s="56" t="s">
        <v>64</v>
      </c>
      <c r="V64" s="56" t="s">
        <v>64</v>
      </c>
      <c r="W64" s="56" t="s">
        <v>64</v>
      </c>
      <c r="X64" s="56" t="s">
        <v>64</v>
      </c>
      <c r="Y64" s="56" t="s">
        <v>64</v>
      </c>
      <c r="Z64" s="56" t="s">
        <v>64</v>
      </c>
      <c r="AA64" s="56" t="s">
        <v>64</v>
      </c>
      <c r="AB64" s="56" t="s">
        <v>64</v>
      </c>
      <c r="AC64" s="56" t="s">
        <v>64</v>
      </c>
      <c r="AD64" s="56" t="s">
        <v>64</v>
      </c>
      <c r="AE64" s="56" t="s">
        <v>64</v>
      </c>
      <c r="AF64" s="56" t="s">
        <v>64</v>
      </c>
      <c r="AG64" s="56" t="s">
        <v>64</v>
      </c>
      <c r="AH64" s="56" t="s">
        <v>64</v>
      </c>
      <c r="AI64" s="56" t="s">
        <v>64</v>
      </c>
      <c r="AJ64" s="25"/>
      <c r="AL64" t="str">
        <f t="shared" ca="1" si="0"/>
        <v xml:space="preserve">    (U1)ALERT_REQ_S_ADBZR_APP_</v>
      </c>
      <c r="AR64" s="58" t="str">
        <f t="shared" si="3"/>
        <v/>
      </c>
      <c r="AS64" s="58" t="str">
        <f t="shared" si="4"/>
        <v/>
      </c>
      <c r="AT64" s="58" t="str">
        <f t="shared" si="1"/>
        <v/>
      </c>
    </row>
    <row r="65" spans="1:46">
      <c r="B65" s="125"/>
      <c r="C65" s="42">
        <f t="shared" si="2"/>
        <v>59</v>
      </c>
      <c r="D65" s="56" t="s">
        <v>64</v>
      </c>
      <c r="E65" s="56" t="s">
        <v>64</v>
      </c>
      <c r="F65" s="56" t="s">
        <v>64</v>
      </c>
      <c r="G65" s="56" t="s">
        <v>64</v>
      </c>
      <c r="H65" s="56" t="s">
        <v>64</v>
      </c>
      <c r="I65" s="56" t="s">
        <v>64</v>
      </c>
      <c r="J65" s="56" t="s">
        <v>64</v>
      </c>
      <c r="K65" s="56" t="s">
        <v>64</v>
      </c>
      <c r="L65" s="56" t="s">
        <v>64</v>
      </c>
      <c r="M65" s="56" t="s">
        <v>64</v>
      </c>
      <c r="N65" s="56" t="s">
        <v>64</v>
      </c>
      <c r="O65" s="56" t="s">
        <v>64</v>
      </c>
      <c r="P65" s="56" t="s">
        <v>64</v>
      </c>
      <c r="Q65" s="56" t="s">
        <v>64</v>
      </c>
      <c r="R65" s="56" t="s">
        <v>64</v>
      </c>
      <c r="S65" s="56" t="s">
        <v>64</v>
      </c>
      <c r="T65" s="56" t="s">
        <v>64</v>
      </c>
      <c r="U65" s="56" t="s">
        <v>64</v>
      </c>
      <c r="V65" s="56" t="s">
        <v>64</v>
      </c>
      <c r="W65" s="56" t="s">
        <v>64</v>
      </c>
      <c r="X65" s="56" t="s">
        <v>64</v>
      </c>
      <c r="Y65" s="56" t="s">
        <v>64</v>
      </c>
      <c r="Z65" s="56" t="s">
        <v>64</v>
      </c>
      <c r="AA65" s="56" t="s">
        <v>64</v>
      </c>
      <c r="AB65" s="56" t="s">
        <v>64</v>
      </c>
      <c r="AC65" s="56" t="s">
        <v>64</v>
      </c>
      <c r="AD65" s="56" t="s">
        <v>64</v>
      </c>
      <c r="AE65" s="56" t="s">
        <v>64</v>
      </c>
      <c r="AF65" s="56" t="s">
        <v>64</v>
      </c>
      <c r="AG65" s="56" t="s">
        <v>64</v>
      </c>
      <c r="AH65" s="56" t="s">
        <v>64</v>
      </c>
      <c r="AI65" s="56" t="s">
        <v>64</v>
      </c>
      <c r="AJ65" s="25"/>
      <c r="AL65" t="str">
        <f t="shared" ca="1" si="0"/>
        <v xml:space="preserve">    (U1)ALERT_REQ_S_ADBZR_APP_</v>
      </c>
      <c r="AR65" s="58" t="str">
        <f t="shared" si="3"/>
        <v/>
      </c>
      <c r="AS65" s="58" t="str">
        <f t="shared" si="4"/>
        <v/>
      </c>
      <c r="AT65" s="58" t="str">
        <f t="shared" si="1"/>
        <v/>
      </c>
    </row>
    <row r="66" spans="1:46">
      <c r="B66" s="125"/>
      <c r="C66" s="42">
        <f t="shared" si="2"/>
        <v>60</v>
      </c>
      <c r="D66" s="56" t="s">
        <v>64</v>
      </c>
      <c r="E66" s="56" t="s">
        <v>64</v>
      </c>
      <c r="F66" s="56" t="s">
        <v>64</v>
      </c>
      <c r="G66" s="56" t="s">
        <v>64</v>
      </c>
      <c r="H66" s="56" t="s">
        <v>64</v>
      </c>
      <c r="I66" s="56" t="s">
        <v>64</v>
      </c>
      <c r="J66" s="56" t="s">
        <v>64</v>
      </c>
      <c r="K66" s="56" t="s">
        <v>64</v>
      </c>
      <c r="L66" s="56" t="s">
        <v>64</v>
      </c>
      <c r="M66" s="56" t="s">
        <v>64</v>
      </c>
      <c r="N66" s="56" t="s">
        <v>64</v>
      </c>
      <c r="O66" s="56" t="s">
        <v>64</v>
      </c>
      <c r="P66" s="56" t="s">
        <v>64</v>
      </c>
      <c r="Q66" s="56" t="s">
        <v>64</v>
      </c>
      <c r="R66" s="56" t="s">
        <v>64</v>
      </c>
      <c r="S66" s="56" t="s">
        <v>64</v>
      </c>
      <c r="T66" s="56" t="s">
        <v>64</v>
      </c>
      <c r="U66" s="56" t="s">
        <v>64</v>
      </c>
      <c r="V66" s="56" t="s">
        <v>64</v>
      </c>
      <c r="W66" s="56" t="s">
        <v>64</v>
      </c>
      <c r="X66" s="56" t="s">
        <v>64</v>
      </c>
      <c r="Y66" s="56" t="s">
        <v>64</v>
      </c>
      <c r="Z66" s="56" t="s">
        <v>64</v>
      </c>
      <c r="AA66" s="56" t="s">
        <v>64</v>
      </c>
      <c r="AB66" s="56" t="s">
        <v>64</v>
      </c>
      <c r="AC66" s="56" t="s">
        <v>64</v>
      </c>
      <c r="AD66" s="56" t="s">
        <v>64</v>
      </c>
      <c r="AE66" s="56" t="s">
        <v>64</v>
      </c>
      <c r="AF66" s="56" t="s">
        <v>64</v>
      </c>
      <c r="AG66" s="56" t="s">
        <v>64</v>
      </c>
      <c r="AH66" s="56" t="s">
        <v>64</v>
      </c>
      <c r="AI66" s="56" t="s">
        <v>64</v>
      </c>
      <c r="AJ66" s="25"/>
      <c r="AL66" t="str">
        <f t="shared" ca="1" si="0"/>
        <v xml:space="preserve">    (U1)ALERT_REQ_S_ADBZR_APP_</v>
      </c>
      <c r="AR66" s="58" t="str">
        <f t="shared" si="3"/>
        <v/>
      </c>
      <c r="AS66" s="58" t="str">
        <f t="shared" si="4"/>
        <v/>
      </c>
      <c r="AT66" s="58" t="str">
        <f t="shared" si="1"/>
        <v/>
      </c>
    </row>
    <row r="67" spans="1:46">
      <c r="B67" s="125"/>
      <c r="C67" s="42">
        <f t="shared" si="2"/>
        <v>61</v>
      </c>
      <c r="D67" s="56" t="s">
        <v>64</v>
      </c>
      <c r="E67" s="56" t="s">
        <v>64</v>
      </c>
      <c r="F67" s="56" t="s">
        <v>64</v>
      </c>
      <c r="G67" s="56" t="s">
        <v>64</v>
      </c>
      <c r="H67" s="56" t="s">
        <v>64</v>
      </c>
      <c r="I67" s="56" t="s">
        <v>64</v>
      </c>
      <c r="J67" s="56" t="s">
        <v>64</v>
      </c>
      <c r="K67" s="56" t="s">
        <v>64</v>
      </c>
      <c r="L67" s="56" t="s">
        <v>64</v>
      </c>
      <c r="M67" s="56" t="s">
        <v>64</v>
      </c>
      <c r="N67" s="56" t="s">
        <v>64</v>
      </c>
      <c r="O67" s="56" t="s">
        <v>64</v>
      </c>
      <c r="P67" s="56" t="s">
        <v>64</v>
      </c>
      <c r="Q67" s="56" t="s">
        <v>64</v>
      </c>
      <c r="R67" s="56" t="s">
        <v>64</v>
      </c>
      <c r="S67" s="56" t="s">
        <v>64</v>
      </c>
      <c r="T67" s="56" t="s">
        <v>64</v>
      </c>
      <c r="U67" s="56" t="s">
        <v>64</v>
      </c>
      <c r="V67" s="56" t="s">
        <v>64</v>
      </c>
      <c r="W67" s="56" t="s">
        <v>64</v>
      </c>
      <c r="X67" s="56" t="s">
        <v>64</v>
      </c>
      <c r="Y67" s="56" t="s">
        <v>64</v>
      </c>
      <c r="Z67" s="56" t="s">
        <v>64</v>
      </c>
      <c r="AA67" s="56" t="s">
        <v>64</v>
      </c>
      <c r="AB67" s="56" t="s">
        <v>64</v>
      </c>
      <c r="AC67" s="56" t="s">
        <v>64</v>
      </c>
      <c r="AD67" s="56" t="s">
        <v>64</v>
      </c>
      <c r="AE67" s="56" t="s">
        <v>64</v>
      </c>
      <c r="AF67" s="56" t="s">
        <v>64</v>
      </c>
      <c r="AG67" s="56" t="s">
        <v>64</v>
      </c>
      <c r="AH67" s="56" t="s">
        <v>64</v>
      </c>
      <c r="AI67" s="56" t="s">
        <v>64</v>
      </c>
      <c r="AJ67" s="25"/>
      <c r="AL67" t="str">
        <f t="shared" ca="1" si="0"/>
        <v xml:space="preserve">    (U1)ALERT_REQ_S_ADBZR_APP_</v>
      </c>
      <c r="AR67" s="58" t="str">
        <f t="shared" si="3"/>
        <v/>
      </c>
      <c r="AS67" s="58" t="str">
        <f t="shared" si="4"/>
        <v/>
      </c>
      <c r="AT67" s="58" t="str">
        <f t="shared" si="1"/>
        <v/>
      </c>
    </row>
    <row r="68" spans="1:46">
      <c r="B68" s="125"/>
      <c r="C68" s="42">
        <f t="shared" si="2"/>
        <v>62</v>
      </c>
      <c r="D68" s="56" t="s">
        <v>64</v>
      </c>
      <c r="E68" s="56" t="s">
        <v>64</v>
      </c>
      <c r="F68" s="56" t="s">
        <v>64</v>
      </c>
      <c r="G68" s="56" t="s">
        <v>64</v>
      </c>
      <c r="H68" s="56" t="s">
        <v>64</v>
      </c>
      <c r="I68" s="56" t="s">
        <v>64</v>
      </c>
      <c r="J68" s="56" t="s">
        <v>64</v>
      </c>
      <c r="K68" s="56" t="s">
        <v>64</v>
      </c>
      <c r="L68" s="56" t="s">
        <v>64</v>
      </c>
      <c r="M68" s="56" t="s">
        <v>64</v>
      </c>
      <c r="N68" s="56" t="s">
        <v>64</v>
      </c>
      <c r="O68" s="56" t="s">
        <v>64</v>
      </c>
      <c r="P68" s="56" t="s">
        <v>64</v>
      </c>
      <c r="Q68" s="56" t="s">
        <v>64</v>
      </c>
      <c r="R68" s="56" t="s">
        <v>64</v>
      </c>
      <c r="S68" s="56" t="s">
        <v>64</v>
      </c>
      <c r="T68" s="56" t="s">
        <v>64</v>
      </c>
      <c r="U68" s="56" t="s">
        <v>64</v>
      </c>
      <c r="V68" s="56" t="s">
        <v>64</v>
      </c>
      <c r="W68" s="56" t="s">
        <v>64</v>
      </c>
      <c r="X68" s="56" t="s">
        <v>64</v>
      </c>
      <c r="Y68" s="56" t="s">
        <v>64</v>
      </c>
      <c r="Z68" s="56" t="s">
        <v>64</v>
      </c>
      <c r="AA68" s="56" t="s">
        <v>64</v>
      </c>
      <c r="AB68" s="56" t="s">
        <v>64</v>
      </c>
      <c r="AC68" s="56" t="s">
        <v>64</v>
      </c>
      <c r="AD68" s="56" t="s">
        <v>64</v>
      </c>
      <c r="AE68" s="56" t="s">
        <v>64</v>
      </c>
      <c r="AF68" s="56" t="s">
        <v>64</v>
      </c>
      <c r="AG68" s="56" t="s">
        <v>64</v>
      </c>
      <c r="AH68" s="56" t="s">
        <v>64</v>
      </c>
      <c r="AI68" s="56" t="s">
        <v>64</v>
      </c>
      <c r="AJ68" s="25"/>
      <c r="AL68" t="str">
        <f t="shared" ca="1" si="0"/>
        <v xml:space="preserve">    (U1)ALERT_REQ_S_ADBZR_APP_</v>
      </c>
      <c r="AR68" s="58" t="str">
        <f t="shared" si="3"/>
        <v/>
      </c>
      <c r="AS68" s="58" t="str">
        <f t="shared" si="4"/>
        <v/>
      </c>
      <c r="AT68" s="58" t="str">
        <f t="shared" si="1"/>
        <v/>
      </c>
    </row>
    <row r="69" spans="1:46">
      <c r="B69" s="126"/>
      <c r="C69" s="42">
        <f t="shared" si="2"/>
        <v>63</v>
      </c>
      <c r="D69" s="56" t="s">
        <v>64</v>
      </c>
      <c r="E69" s="56" t="s">
        <v>64</v>
      </c>
      <c r="F69" s="56" t="s">
        <v>64</v>
      </c>
      <c r="G69" s="56" t="s">
        <v>64</v>
      </c>
      <c r="H69" s="56" t="s">
        <v>64</v>
      </c>
      <c r="I69" s="56" t="s">
        <v>64</v>
      </c>
      <c r="J69" s="56" t="s">
        <v>64</v>
      </c>
      <c r="K69" s="56" t="s">
        <v>64</v>
      </c>
      <c r="L69" s="56" t="s">
        <v>64</v>
      </c>
      <c r="M69" s="56" t="s">
        <v>64</v>
      </c>
      <c r="N69" s="56" t="s">
        <v>64</v>
      </c>
      <c r="O69" s="56" t="s">
        <v>64</v>
      </c>
      <c r="P69" s="56" t="s">
        <v>64</v>
      </c>
      <c r="Q69" s="56" t="s">
        <v>64</v>
      </c>
      <c r="R69" s="56" t="s">
        <v>64</v>
      </c>
      <c r="S69" s="56" t="s">
        <v>64</v>
      </c>
      <c r="T69" s="56" t="s">
        <v>64</v>
      </c>
      <c r="U69" s="56" t="s">
        <v>64</v>
      </c>
      <c r="V69" s="56" t="s">
        <v>64</v>
      </c>
      <c r="W69" s="56" t="s">
        <v>64</v>
      </c>
      <c r="X69" s="56" t="s">
        <v>64</v>
      </c>
      <c r="Y69" s="56" t="s">
        <v>64</v>
      </c>
      <c r="Z69" s="56" t="s">
        <v>64</v>
      </c>
      <c r="AA69" s="56" t="s">
        <v>64</v>
      </c>
      <c r="AB69" s="56" t="s">
        <v>64</v>
      </c>
      <c r="AC69" s="56" t="s">
        <v>64</v>
      </c>
      <c r="AD69" s="56" t="s">
        <v>64</v>
      </c>
      <c r="AE69" s="56" t="s">
        <v>64</v>
      </c>
      <c r="AF69" s="56" t="s">
        <v>64</v>
      </c>
      <c r="AG69" s="56" t="s">
        <v>64</v>
      </c>
      <c r="AH69" s="56" t="s">
        <v>64</v>
      </c>
      <c r="AI69" s="56" t="s">
        <v>64</v>
      </c>
      <c r="AJ69" s="25"/>
      <c r="AL69" t="str">
        <f t="shared" ca="1" si="0"/>
        <v xml:space="preserve">    (U1)ALERT_REQ_S_ADBZR_APP_</v>
      </c>
      <c r="AR69" s="58" t="str">
        <f t="shared" si="3"/>
        <v/>
      </c>
      <c r="AS69" s="58" t="str">
        <f t="shared" si="4"/>
        <v/>
      </c>
      <c r="AT69" s="58" t="str">
        <f t="shared" si="1"/>
        <v/>
      </c>
    </row>
    <row r="70" spans="1:46" ht="13.8" thickBot="1">
      <c r="A70" s="51" t="s">
        <v>61</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27" t="str">
        <f ca="1">IF(B6&lt;&gt;"",B6,"")</f>
        <v>Table S_ADBZR_APP</v>
      </c>
      <c r="C71" s="42">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5"/>
      <c r="C72" s="42">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42" t="str">
        <f t="shared" si="7"/>
        <v>UNKNOWN</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UNKNOWN                                         */</v>
      </c>
    </row>
    <row r="73" spans="1:46">
      <c r="B73" s="125"/>
      <c r="C73" s="42">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42" t="str">
        <f t="shared" si="7"/>
        <v>DISCONT</v>
      </c>
      <c r="AK73" s="55"/>
      <c r="AL73" s="55" t="str">
        <f t="shared" si="10"/>
        <v>02</v>
      </c>
      <c r="AM73" s="57" t="str">
        <f t="shared" si="11"/>
        <v>00</v>
      </c>
      <c r="AN73" s="57" t="str">
        <f t="shared" si="12"/>
        <v>00</v>
      </c>
      <c r="AO73" s="57" t="str">
        <f t="shared" si="13"/>
        <v>00</v>
      </c>
      <c r="AQ73" t="str">
        <f t="shared" si="8"/>
        <v xml:space="preserve">    (U4)0x00000002U,                                                           /* 02 DISCONT                                         */</v>
      </c>
    </row>
    <row r="74" spans="1:46">
      <c r="B74" s="125"/>
      <c r="C74" s="42">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25"/>
      <c r="C75" s="42">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42" t="str">
        <f t="shared" si="7"/>
        <v>UNKNOWN</v>
      </c>
      <c r="AK75" s="55"/>
      <c r="AL75" s="55" t="str">
        <f t="shared" si="10"/>
        <v>04</v>
      </c>
      <c r="AM75" s="57" t="str">
        <f t="shared" si="11"/>
        <v>00</v>
      </c>
      <c r="AN75" s="57" t="str">
        <f t="shared" si="12"/>
        <v>00</v>
      </c>
      <c r="AO75" s="57" t="str">
        <f t="shared" si="13"/>
        <v>00</v>
      </c>
      <c r="AQ75" t="str">
        <f t="shared" si="8"/>
        <v xml:space="preserve">    (U4)0x00000004U,                                                           /* 04 UNKNOWN                                         */</v>
      </c>
    </row>
    <row r="76" spans="1:46">
      <c r="B76" s="125"/>
      <c r="C76" s="42">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25"/>
      <c r="C77" s="42">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42" t="str">
        <f t="shared" si="7"/>
        <v>COMPLETION</v>
      </c>
      <c r="AK77" s="55"/>
      <c r="AL77" s="55" t="str">
        <f t="shared" si="10"/>
        <v>06</v>
      </c>
      <c r="AM77" s="57" t="str">
        <f t="shared" si="11"/>
        <v>00</v>
      </c>
      <c r="AN77" s="57" t="str">
        <f t="shared" si="12"/>
        <v>00</v>
      </c>
      <c r="AO77" s="57" t="str">
        <f t="shared" si="13"/>
        <v>00</v>
      </c>
      <c r="AQ77" t="str">
        <f t="shared" si="8"/>
        <v xml:space="preserve">    (U4)0x00000006U,                                                           /* 06 COMPLETION                                      */</v>
      </c>
    </row>
    <row r="78" spans="1:46">
      <c r="B78" s="125"/>
      <c r="C78" s="42">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25"/>
      <c r="C79" s="42">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42" t="str">
        <f t="shared" si="7"/>
        <v>UNKNOWN</v>
      </c>
      <c r="AK79" s="55"/>
      <c r="AL79" s="55" t="str">
        <f t="shared" si="10"/>
        <v>08</v>
      </c>
      <c r="AM79" s="57" t="str">
        <f t="shared" si="11"/>
        <v>00</v>
      </c>
      <c r="AN79" s="57" t="str">
        <f t="shared" si="12"/>
        <v>00</v>
      </c>
      <c r="AO79" s="57" t="str">
        <f t="shared" si="13"/>
        <v>00</v>
      </c>
      <c r="AQ79" t="str">
        <f t="shared" si="8"/>
        <v xml:space="preserve">    (U4)0x00000008U,                                                           /* 08 UNKNOWN                                         */</v>
      </c>
    </row>
    <row r="80" spans="1:46">
      <c r="B80" s="125"/>
      <c r="C80" s="42">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42" t="str">
        <f t="shared" si="7"/>
        <v>UNKNOWN</v>
      </c>
      <c r="AK80" s="55"/>
      <c r="AL80" s="55" t="str">
        <f t="shared" si="10"/>
        <v>09</v>
      </c>
      <c r="AM80" s="57" t="str">
        <f t="shared" si="11"/>
        <v>00</v>
      </c>
      <c r="AN80" s="57" t="str">
        <f t="shared" si="12"/>
        <v>00</v>
      </c>
      <c r="AO80" s="57" t="str">
        <f t="shared" si="13"/>
        <v>00</v>
      </c>
      <c r="AQ80" t="str">
        <f t="shared" si="8"/>
        <v xml:space="preserve">    (U4)0x00000009U,                                                           /* 09 UNKNOWN                                         */</v>
      </c>
    </row>
    <row r="81" spans="2:43">
      <c r="B81" s="125"/>
      <c r="C81" s="42">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42" t="str">
        <f t="shared" si="7"/>
        <v>UNKNOWN</v>
      </c>
      <c r="AK81" s="55"/>
      <c r="AL81" s="55" t="str">
        <f t="shared" si="10"/>
        <v>0A</v>
      </c>
      <c r="AM81" s="57" t="str">
        <f t="shared" si="11"/>
        <v>00</v>
      </c>
      <c r="AN81" s="57" t="str">
        <f t="shared" si="12"/>
        <v>00</v>
      </c>
      <c r="AO81" s="57" t="str">
        <f t="shared" si="13"/>
        <v>00</v>
      </c>
      <c r="AQ81" t="str">
        <f t="shared" si="8"/>
        <v xml:space="preserve">    (U4)0x0000000AU,                                                           /* 10 UNKNOWN                                         */</v>
      </c>
    </row>
    <row r="82" spans="2:43">
      <c r="B82" s="125"/>
      <c r="C82" s="42">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42" t="str">
        <f t="shared" si="7"/>
        <v>UNKNOWN</v>
      </c>
      <c r="AK82" s="55"/>
      <c r="AL82" s="55" t="str">
        <f t="shared" si="10"/>
        <v>0B</v>
      </c>
      <c r="AM82" s="57" t="str">
        <f t="shared" si="11"/>
        <v>00</v>
      </c>
      <c r="AN82" s="57" t="str">
        <f t="shared" si="12"/>
        <v>00</v>
      </c>
      <c r="AO82" s="57" t="str">
        <f t="shared" si="13"/>
        <v>00</v>
      </c>
      <c r="AQ82" t="str">
        <f t="shared" si="8"/>
        <v xml:space="preserve">    (U4)0x0000000BU,                                                           /* 11 UNKNOWN                                         */</v>
      </c>
    </row>
    <row r="83" spans="2:43">
      <c r="B83" s="125"/>
      <c r="C83" s="42">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42" t="str">
        <f t="shared" si="7"/>
        <v>UNKNOWN</v>
      </c>
      <c r="AK83" s="55"/>
      <c r="AL83" s="55" t="str">
        <f t="shared" si="10"/>
        <v>0C</v>
      </c>
      <c r="AM83" s="57" t="str">
        <f t="shared" si="11"/>
        <v>00</v>
      </c>
      <c r="AN83" s="57" t="str">
        <f t="shared" si="12"/>
        <v>00</v>
      </c>
      <c r="AO83" s="57" t="str">
        <f t="shared" si="13"/>
        <v>00</v>
      </c>
      <c r="AQ83" t="str">
        <f t="shared" si="8"/>
        <v xml:space="preserve">    (U4)0x0000000CU,                                                           /* 12 UNKNOWN                                         */</v>
      </c>
    </row>
    <row r="84" spans="2:43">
      <c r="B84" s="125"/>
      <c r="C84" s="42">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42" t="str">
        <f t="shared" si="7"/>
        <v>UNKNOWN</v>
      </c>
      <c r="AK84" s="55"/>
      <c r="AL84" s="55" t="str">
        <f t="shared" si="10"/>
        <v>0D</v>
      </c>
      <c r="AM84" s="57" t="str">
        <f t="shared" si="11"/>
        <v>00</v>
      </c>
      <c r="AN84" s="57" t="str">
        <f t="shared" si="12"/>
        <v>00</v>
      </c>
      <c r="AO84" s="57" t="str">
        <f t="shared" si="13"/>
        <v>00</v>
      </c>
      <c r="AQ84" t="str">
        <f t="shared" si="8"/>
        <v xml:space="preserve">    (U4)0x0000000DU,                                                           /* 13 UNKNOWN                                         */</v>
      </c>
    </row>
    <row r="85" spans="2:43">
      <c r="B85" s="125"/>
      <c r="C85" s="42">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42" t="str">
        <f t="shared" si="7"/>
        <v>UNKNOWN</v>
      </c>
      <c r="AK85" s="55"/>
      <c r="AL85" s="55" t="str">
        <f t="shared" si="10"/>
        <v>0E</v>
      </c>
      <c r="AM85" s="57" t="str">
        <f t="shared" si="11"/>
        <v>00</v>
      </c>
      <c r="AN85" s="57" t="str">
        <f t="shared" si="12"/>
        <v>00</v>
      </c>
      <c r="AO85" s="57" t="str">
        <f t="shared" si="13"/>
        <v>00</v>
      </c>
      <c r="AQ85" t="str">
        <f t="shared" si="8"/>
        <v xml:space="preserve">    (U4)0x0000000EU,                                                           /* 14 UNKNOWN                                         */</v>
      </c>
    </row>
    <row r="86" spans="2:43">
      <c r="B86" s="125"/>
      <c r="C86" s="42">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42" t="str">
        <f t="shared" si="7"/>
        <v>UNKNOWN</v>
      </c>
      <c r="AK86" s="55"/>
      <c r="AL86" s="55" t="str">
        <f t="shared" si="10"/>
        <v>0F</v>
      </c>
      <c r="AM86" s="57" t="str">
        <f t="shared" si="11"/>
        <v>00</v>
      </c>
      <c r="AN86" s="57" t="str">
        <f t="shared" si="12"/>
        <v>00</v>
      </c>
      <c r="AO86" s="57" t="str">
        <f t="shared" si="13"/>
        <v>00</v>
      </c>
      <c r="AQ86" t="str">
        <f t="shared" si="8"/>
        <v xml:space="preserve">    (U4)0x0000000FU,                                                           /* 15 UNKNOWN                                         */</v>
      </c>
    </row>
    <row r="87" spans="2:43">
      <c r="B87" s="125"/>
      <c r="C87" s="42">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42" t="str">
        <f t="shared" si="7"/>
        <v>DISCONT</v>
      </c>
      <c r="AK87" s="55"/>
      <c r="AL87" s="55" t="str">
        <f t="shared" si="10"/>
        <v>10</v>
      </c>
      <c r="AM87" s="57" t="str">
        <f t="shared" si="11"/>
        <v>00</v>
      </c>
      <c r="AN87" s="57" t="str">
        <f t="shared" si="12"/>
        <v>00</v>
      </c>
      <c r="AO87" s="57" t="str">
        <f t="shared" si="13"/>
        <v>00</v>
      </c>
      <c r="AQ87" t="str">
        <f t="shared" si="8"/>
        <v xml:space="preserve">    (U4)0x00000010U,                                                           /* 16 DISCONT                                         */</v>
      </c>
    </row>
    <row r="88" spans="2:43">
      <c r="B88" s="125"/>
      <c r="C88" s="42">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42" t="str">
        <f t="shared" si="7"/>
        <v>DISCONT</v>
      </c>
      <c r="AK88" s="55"/>
      <c r="AL88" s="55" t="str">
        <f t="shared" si="10"/>
        <v>11</v>
      </c>
      <c r="AM88" s="57" t="str">
        <f t="shared" si="11"/>
        <v>00</v>
      </c>
      <c r="AN88" s="57" t="str">
        <f t="shared" si="12"/>
        <v>00</v>
      </c>
      <c r="AO88" s="57" t="str">
        <f t="shared" si="13"/>
        <v>00</v>
      </c>
      <c r="AQ88" t="str">
        <f t="shared" si="8"/>
        <v xml:space="preserve">    (U4)0x00000011U,                                                           /* 17 DISCONT                                         */</v>
      </c>
    </row>
    <row r="89" spans="2:43">
      <c r="B89" s="125"/>
      <c r="C89" s="42">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42" t="str">
        <f t="shared" si="7"/>
        <v>DISCONT</v>
      </c>
      <c r="AK89" s="55"/>
      <c r="AL89" s="55" t="str">
        <f t="shared" si="10"/>
        <v>12</v>
      </c>
      <c r="AM89" s="57" t="str">
        <f t="shared" si="11"/>
        <v>00</v>
      </c>
      <c r="AN89" s="57" t="str">
        <f t="shared" si="12"/>
        <v>00</v>
      </c>
      <c r="AO89" s="57" t="str">
        <f t="shared" si="13"/>
        <v>00</v>
      </c>
      <c r="AQ89" t="str">
        <f t="shared" si="8"/>
        <v xml:space="preserve">    (U4)0x00000012U,                                                           /* 18 DISCONT                                         */</v>
      </c>
    </row>
    <row r="90" spans="2:43">
      <c r="B90" s="125"/>
      <c r="C90" s="42">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42" t="str">
        <f t="shared" si="7"/>
        <v>DISCONT</v>
      </c>
      <c r="AK90" s="55"/>
      <c r="AL90" s="55" t="str">
        <f t="shared" si="10"/>
        <v>13</v>
      </c>
      <c r="AM90" s="57" t="str">
        <f t="shared" si="11"/>
        <v>00</v>
      </c>
      <c r="AN90" s="57" t="str">
        <f t="shared" si="12"/>
        <v>00</v>
      </c>
      <c r="AO90" s="57" t="str">
        <f t="shared" si="13"/>
        <v>00</v>
      </c>
      <c r="AQ90" t="str">
        <f t="shared" si="8"/>
        <v xml:space="preserve">    (U4)0x00000013U,                                                           /* 19 DISCONT                                         */</v>
      </c>
    </row>
    <row r="91" spans="2:43">
      <c r="B91" s="125"/>
      <c r="C91" s="42">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42" t="str">
        <f t="shared" si="7"/>
        <v>DISCONT</v>
      </c>
      <c r="AK91" s="55"/>
      <c r="AL91" s="55" t="str">
        <f t="shared" si="10"/>
        <v>14</v>
      </c>
      <c r="AM91" s="57" t="str">
        <f t="shared" si="11"/>
        <v>00</v>
      </c>
      <c r="AN91" s="57" t="str">
        <f t="shared" si="12"/>
        <v>00</v>
      </c>
      <c r="AO91" s="57" t="str">
        <f t="shared" si="13"/>
        <v>00</v>
      </c>
      <c r="AQ91" t="str">
        <f t="shared" si="8"/>
        <v xml:space="preserve">    (U4)0x00000014U,                                                           /* 20 DISCONT                                         */</v>
      </c>
    </row>
    <row r="92" spans="2:43">
      <c r="B92" s="125"/>
      <c r="C92" s="42">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42" t="str">
        <f t="shared" si="7"/>
        <v>DISCONT</v>
      </c>
      <c r="AK92" s="55"/>
      <c r="AL92" s="55" t="str">
        <f t="shared" si="10"/>
        <v>15</v>
      </c>
      <c r="AM92" s="57" t="str">
        <f t="shared" si="11"/>
        <v>00</v>
      </c>
      <c r="AN92" s="57" t="str">
        <f t="shared" si="12"/>
        <v>00</v>
      </c>
      <c r="AO92" s="57" t="str">
        <f t="shared" si="13"/>
        <v>00</v>
      </c>
      <c r="AQ92" t="str">
        <f t="shared" si="8"/>
        <v xml:space="preserve">    (U4)0x00000015U,                                                           /* 21 DISCONT                                         */</v>
      </c>
    </row>
    <row r="93" spans="2:43">
      <c r="B93" s="125"/>
      <c r="C93" s="42">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42" t="str">
        <f t="shared" si="7"/>
        <v>DISCONT</v>
      </c>
      <c r="AK93" s="55"/>
      <c r="AL93" s="55" t="str">
        <f t="shared" si="10"/>
        <v>16</v>
      </c>
      <c r="AM93" s="57" t="str">
        <f t="shared" si="11"/>
        <v>00</v>
      </c>
      <c r="AN93" s="57" t="str">
        <f t="shared" si="12"/>
        <v>00</v>
      </c>
      <c r="AO93" s="57" t="str">
        <f t="shared" si="13"/>
        <v>00</v>
      </c>
      <c r="AQ93" t="str">
        <f t="shared" si="8"/>
        <v xml:space="preserve">    (U4)0x00000016U,                                                           /* 22 DISCONT                                         */</v>
      </c>
    </row>
    <row r="94" spans="2:43">
      <c r="B94" s="125"/>
      <c r="C94" s="42">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42" t="str">
        <f t="shared" si="7"/>
        <v>DISCONT</v>
      </c>
      <c r="AK94" s="55"/>
      <c r="AL94" s="55" t="str">
        <f t="shared" si="10"/>
        <v>17</v>
      </c>
      <c r="AM94" s="57" t="str">
        <f t="shared" si="11"/>
        <v>00</v>
      </c>
      <c r="AN94" s="57" t="str">
        <f t="shared" si="12"/>
        <v>00</v>
      </c>
      <c r="AO94" s="57" t="str">
        <f t="shared" si="13"/>
        <v>00</v>
      </c>
      <c r="AQ94" t="str">
        <f t="shared" si="8"/>
        <v xml:space="preserve">    (U4)0x00000017U,                                                           /* 23 DISCONT                                         */</v>
      </c>
    </row>
    <row r="95" spans="2:43">
      <c r="B95" s="125"/>
      <c r="C95" s="42">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42" t="str">
        <f t="shared" si="7"/>
        <v>DISCONT</v>
      </c>
      <c r="AK95" s="55"/>
      <c r="AL95" s="55" t="str">
        <f t="shared" si="10"/>
        <v>18</v>
      </c>
      <c r="AM95" s="57" t="str">
        <f t="shared" si="11"/>
        <v>00</v>
      </c>
      <c r="AN95" s="57" t="str">
        <f t="shared" si="12"/>
        <v>00</v>
      </c>
      <c r="AO95" s="57" t="str">
        <f t="shared" si="13"/>
        <v>00</v>
      </c>
      <c r="AQ95" t="str">
        <f t="shared" si="8"/>
        <v xml:space="preserve">    (U4)0x00000018U,                                                           /* 24 DISCONT                                         */</v>
      </c>
    </row>
    <row r="96" spans="2:43">
      <c r="B96" s="125"/>
      <c r="C96" s="42">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42" t="str">
        <f t="shared" si="7"/>
        <v>DISCONT</v>
      </c>
      <c r="AK96" s="55"/>
      <c r="AL96" s="55" t="str">
        <f t="shared" si="10"/>
        <v>19</v>
      </c>
      <c r="AM96" s="57" t="str">
        <f t="shared" si="11"/>
        <v>00</v>
      </c>
      <c r="AN96" s="57" t="str">
        <f t="shared" si="12"/>
        <v>00</v>
      </c>
      <c r="AO96" s="57" t="str">
        <f t="shared" si="13"/>
        <v>00</v>
      </c>
      <c r="AQ96" t="str">
        <f t="shared" si="8"/>
        <v xml:space="preserve">    (U4)0x00000019U,                                                           /* 25 DISCONT                                         */</v>
      </c>
    </row>
    <row r="97" spans="2:43">
      <c r="B97" s="125"/>
      <c r="C97" s="42">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42" t="str">
        <f t="shared" si="7"/>
        <v>DISCONT</v>
      </c>
      <c r="AK97" s="55"/>
      <c r="AL97" s="55" t="str">
        <f t="shared" si="10"/>
        <v>1A</v>
      </c>
      <c r="AM97" s="57" t="str">
        <f t="shared" si="11"/>
        <v>00</v>
      </c>
      <c r="AN97" s="57" t="str">
        <f t="shared" si="12"/>
        <v>00</v>
      </c>
      <c r="AO97" s="57" t="str">
        <f t="shared" si="13"/>
        <v>00</v>
      </c>
      <c r="AQ97" t="str">
        <f t="shared" si="8"/>
        <v xml:space="preserve">    (U4)0x0000001AU,                                                           /* 26 DISCONT                                         */</v>
      </c>
    </row>
    <row r="98" spans="2:43">
      <c r="B98" s="125"/>
      <c r="C98" s="42">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42" t="str">
        <f t="shared" si="7"/>
        <v>DISCONT</v>
      </c>
      <c r="AK98" s="55"/>
      <c r="AL98" s="55" t="str">
        <f t="shared" si="10"/>
        <v>1B</v>
      </c>
      <c r="AM98" s="57" t="str">
        <f t="shared" si="11"/>
        <v>00</v>
      </c>
      <c r="AN98" s="57" t="str">
        <f t="shared" si="12"/>
        <v>00</v>
      </c>
      <c r="AO98" s="57" t="str">
        <f t="shared" si="13"/>
        <v>00</v>
      </c>
      <c r="AQ98" t="str">
        <f t="shared" si="8"/>
        <v xml:space="preserve">    (U4)0x0000001BU,                                                           /* 27 DISCONT                                         */</v>
      </c>
    </row>
    <row r="99" spans="2:43">
      <c r="B99" s="125"/>
      <c r="C99" s="42">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42" t="str">
        <f t="shared" si="7"/>
        <v>DISCONT</v>
      </c>
      <c r="AK99" s="55"/>
      <c r="AL99" s="55" t="str">
        <f t="shared" si="10"/>
        <v>1C</v>
      </c>
      <c r="AM99" s="57" t="str">
        <f t="shared" si="11"/>
        <v>00</v>
      </c>
      <c r="AN99" s="57" t="str">
        <f t="shared" si="12"/>
        <v>00</v>
      </c>
      <c r="AO99" s="57" t="str">
        <f t="shared" si="13"/>
        <v>00</v>
      </c>
      <c r="AQ99" t="str">
        <f t="shared" si="8"/>
        <v xml:space="preserve">    (U4)0x0000001CU,                                                           /* 28 DISCONT                                         */</v>
      </c>
    </row>
    <row r="100" spans="2:43">
      <c r="B100" s="125"/>
      <c r="C100" s="42">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42" t="str">
        <f t="shared" si="7"/>
        <v>DISCONT</v>
      </c>
      <c r="AK100" s="55"/>
      <c r="AL100" s="55" t="str">
        <f t="shared" si="10"/>
        <v>1D</v>
      </c>
      <c r="AM100" s="57" t="str">
        <f t="shared" si="11"/>
        <v>00</v>
      </c>
      <c r="AN100" s="57" t="str">
        <f t="shared" si="12"/>
        <v>00</v>
      </c>
      <c r="AO100" s="57" t="str">
        <f t="shared" si="13"/>
        <v>00</v>
      </c>
      <c r="AQ100" t="str">
        <f t="shared" si="8"/>
        <v xml:space="preserve">    (U4)0x0000001DU,                                                           /* 29 DISCONT                                         */</v>
      </c>
    </row>
    <row r="101" spans="2:43">
      <c r="B101" s="125"/>
      <c r="C101" s="42">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42" t="str">
        <f t="shared" si="7"/>
        <v>DISCONT</v>
      </c>
      <c r="AK101" s="55"/>
      <c r="AL101" s="55" t="str">
        <f t="shared" si="10"/>
        <v>1E</v>
      </c>
      <c r="AM101" s="57" t="str">
        <f t="shared" si="11"/>
        <v>00</v>
      </c>
      <c r="AN101" s="57" t="str">
        <f t="shared" si="12"/>
        <v>00</v>
      </c>
      <c r="AO101" s="57" t="str">
        <f t="shared" si="13"/>
        <v>00</v>
      </c>
      <c r="AQ101" t="str">
        <f t="shared" si="8"/>
        <v xml:space="preserve">    (U4)0x0000001EU,                                                           /* 30 DISCONT                                         */</v>
      </c>
    </row>
    <row r="102" spans="2:43">
      <c r="B102" s="125"/>
      <c r="C102" s="42">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42" t="str">
        <f t="shared" si="7"/>
        <v>DISCONT</v>
      </c>
      <c r="AK102" s="55"/>
      <c r="AL102" s="55" t="str">
        <f t="shared" si="10"/>
        <v>1F</v>
      </c>
      <c r="AM102" s="57" t="str">
        <f t="shared" si="11"/>
        <v>00</v>
      </c>
      <c r="AN102" s="57" t="str">
        <f t="shared" si="12"/>
        <v>00</v>
      </c>
      <c r="AO102" s="57" t="str">
        <f t="shared" si="13"/>
        <v>00</v>
      </c>
      <c r="AQ102" t="str">
        <f t="shared" si="8"/>
        <v xml:space="preserve">    (U4)0x0000001FU                                                            /* 31 DISCONT                                         */</v>
      </c>
    </row>
    <row r="103" spans="2:43">
      <c r="B103" s="125"/>
      <c r="C103" s="42">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0</v>
      </c>
      <c r="AE103" s="117">
        <f t="shared" si="21"/>
        <v>0</v>
      </c>
      <c r="AF103" s="117">
        <f t="shared" si="21"/>
        <v>0</v>
      </c>
      <c r="AG103" s="117">
        <f t="shared" si="21"/>
        <v>0</v>
      </c>
      <c r="AH103" s="117">
        <f t="shared" si="21"/>
        <v>0</v>
      </c>
      <c r="AI103" s="117">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25"/>
      <c r="C104" s="42">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0</v>
      </c>
      <c r="AE104" s="117">
        <f t="shared" si="21"/>
        <v>0</v>
      </c>
      <c r="AF104" s="117">
        <f t="shared" si="21"/>
        <v>0</v>
      </c>
      <c r="AG104" s="117">
        <f t="shared" si="21"/>
        <v>0</v>
      </c>
      <c r="AH104" s="117">
        <f t="shared" si="21"/>
        <v>0</v>
      </c>
      <c r="AI104" s="117">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25"/>
      <c r="C105" s="42">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0</v>
      </c>
      <c r="AE105" s="117">
        <f t="shared" si="21"/>
        <v>0</v>
      </c>
      <c r="AF105" s="117">
        <f t="shared" si="21"/>
        <v>0</v>
      </c>
      <c r="AG105" s="117">
        <f t="shared" si="21"/>
        <v>0</v>
      </c>
      <c r="AH105" s="117">
        <f t="shared" si="21"/>
        <v>0</v>
      </c>
      <c r="AI105" s="117">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25"/>
      <c r="C106" s="42">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0</v>
      </c>
      <c r="AE106" s="117">
        <f t="shared" si="21"/>
        <v>0</v>
      </c>
      <c r="AF106" s="117">
        <f t="shared" si="21"/>
        <v>0</v>
      </c>
      <c r="AG106" s="117">
        <f t="shared" si="21"/>
        <v>0</v>
      </c>
      <c r="AH106" s="117">
        <f t="shared" si="21"/>
        <v>0</v>
      </c>
      <c r="AI106" s="117">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25"/>
      <c r="C107" s="42">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0</v>
      </c>
      <c r="AE107" s="117">
        <f t="shared" si="21"/>
        <v>0</v>
      </c>
      <c r="AF107" s="117">
        <f t="shared" si="21"/>
        <v>0</v>
      </c>
      <c r="AG107" s="117">
        <f t="shared" si="21"/>
        <v>0</v>
      </c>
      <c r="AH107" s="117">
        <f t="shared" si="21"/>
        <v>0</v>
      </c>
      <c r="AI107" s="117">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25"/>
      <c r="C108" s="42">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0</v>
      </c>
      <c r="AE108" s="117">
        <f t="shared" si="21"/>
        <v>0</v>
      </c>
      <c r="AF108" s="117">
        <f t="shared" si="21"/>
        <v>0</v>
      </c>
      <c r="AG108" s="117">
        <f t="shared" si="21"/>
        <v>0</v>
      </c>
      <c r="AH108" s="117">
        <f t="shared" si="21"/>
        <v>0</v>
      </c>
      <c r="AI108" s="117">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25"/>
      <c r="C109" s="42">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0</v>
      </c>
      <c r="AE109" s="117">
        <f t="shared" si="21"/>
        <v>0</v>
      </c>
      <c r="AF109" s="117">
        <f t="shared" si="21"/>
        <v>0</v>
      </c>
      <c r="AG109" s="117">
        <f t="shared" si="21"/>
        <v>0</v>
      </c>
      <c r="AH109" s="117">
        <f t="shared" si="21"/>
        <v>0</v>
      </c>
      <c r="AI109" s="117">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25"/>
      <c r="C110" s="42">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0</v>
      </c>
      <c r="AE110" s="117">
        <f t="shared" si="21"/>
        <v>0</v>
      </c>
      <c r="AF110" s="117">
        <f t="shared" si="21"/>
        <v>0</v>
      </c>
      <c r="AG110" s="117">
        <f t="shared" si="21"/>
        <v>0</v>
      </c>
      <c r="AH110" s="117">
        <f t="shared" si="21"/>
        <v>0</v>
      </c>
      <c r="AI110" s="117">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25"/>
      <c r="C111" s="42">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0</v>
      </c>
      <c r="AE111" s="117">
        <f t="shared" si="23"/>
        <v>0</v>
      </c>
      <c r="AF111" s="117">
        <f t="shared" si="23"/>
        <v>0</v>
      </c>
      <c r="AG111" s="117">
        <f t="shared" si="23"/>
        <v>0</v>
      </c>
      <c r="AH111" s="117">
        <f t="shared" si="23"/>
        <v>0</v>
      </c>
      <c r="AI111" s="117">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25"/>
      <c r="C112" s="42">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0</v>
      </c>
      <c r="AE112" s="117">
        <f t="shared" si="23"/>
        <v>0</v>
      </c>
      <c r="AF112" s="117">
        <f t="shared" si="23"/>
        <v>0</v>
      </c>
      <c r="AG112" s="117">
        <f t="shared" si="23"/>
        <v>0</v>
      </c>
      <c r="AH112" s="117">
        <f t="shared" si="23"/>
        <v>0</v>
      </c>
      <c r="AI112" s="117">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25"/>
      <c r="C113" s="42">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0</v>
      </c>
      <c r="AE113" s="117">
        <f t="shared" si="23"/>
        <v>0</v>
      </c>
      <c r="AF113" s="117">
        <f t="shared" si="23"/>
        <v>0</v>
      </c>
      <c r="AG113" s="117">
        <f t="shared" si="23"/>
        <v>0</v>
      </c>
      <c r="AH113" s="117">
        <f t="shared" si="23"/>
        <v>0</v>
      </c>
      <c r="AI113" s="117">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25"/>
      <c r="C114" s="42">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0</v>
      </c>
      <c r="AE114" s="117">
        <f t="shared" si="23"/>
        <v>0</v>
      </c>
      <c r="AF114" s="117">
        <f t="shared" si="23"/>
        <v>0</v>
      </c>
      <c r="AG114" s="117">
        <f t="shared" si="23"/>
        <v>0</v>
      </c>
      <c r="AH114" s="117">
        <f t="shared" si="23"/>
        <v>0</v>
      </c>
      <c r="AI114" s="117">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25"/>
      <c r="C115" s="42">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0</v>
      </c>
      <c r="AE115" s="117">
        <f t="shared" si="23"/>
        <v>0</v>
      </c>
      <c r="AF115" s="117">
        <f t="shared" si="23"/>
        <v>0</v>
      </c>
      <c r="AG115" s="117">
        <f t="shared" si="23"/>
        <v>0</v>
      </c>
      <c r="AH115" s="117">
        <f t="shared" si="23"/>
        <v>0</v>
      </c>
      <c r="AI115" s="117">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25"/>
      <c r="C116" s="42">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0</v>
      </c>
      <c r="AE116" s="117">
        <f t="shared" si="23"/>
        <v>0</v>
      </c>
      <c r="AF116" s="117">
        <f t="shared" si="23"/>
        <v>0</v>
      </c>
      <c r="AG116" s="117">
        <f t="shared" si="23"/>
        <v>0</v>
      </c>
      <c r="AH116" s="117">
        <f t="shared" si="23"/>
        <v>0</v>
      </c>
      <c r="AI116" s="117">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25"/>
      <c r="C117" s="42">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0</v>
      </c>
      <c r="AE117" s="117">
        <f t="shared" si="23"/>
        <v>0</v>
      </c>
      <c r="AF117" s="117">
        <f t="shared" si="23"/>
        <v>0</v>
      </c>
      <c r="AG117" s="117">
        <f t="shared" si="23"/>
        <v>0</v>
      </c>
      <c r="AH117" s="117">
        <f t="shared" si="23"/>
        <v>0</v>
      </c>
      <c r="AI117" s="117">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25"/>
      <c r="C118" s="42">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0</v>
      </c>
      <c r="AE118" s="117">
        <f t="shared" si="23"/>
        <v>0</v>
      </c>
      <c r="AF118" s="117">
        <f t="shared" si="23"/>
        <v>0</v>
      </c>
      <c r="AG118" s="117">
        <f t="shared" si="23"/>
        <v>0</v>
      </c>
      <c r="AH118" s="117">
        <f t="shared" si="23"/>
        <v>0</v>
      </c>
      <c r="AI118" s="117">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25"/>
      <c r="C119" s="42">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0</v>
      </c>
      <c r="AE119" s="117">
        <f t="shared" si="25"/>
        <v>0</v>
      </c>
      <c r="AF119" s="117">
        <f t="shared" si="25"/>
        <v>0</v>
      </c>
      <c r="AG119" s="117">
        <f t="shared" si="25"/>
        <v>0</v>
      </c>
      <c r="AH119" s="117">
        <f t="shared" si="25"/>
        <v>0</v>
      </c>
      <c r="AI119" s="117">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25"/>
      <c r="C120" s="42">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0</v>
      </c>
      <c r="AE120" s="117">
        <f t="shared" si="25"/>
        <v>0</v>
      </c>
      <c r="AF120" s="117">
        <f t="shared" si="25"/>
        <v>0</v>
      </c>
      <c r="AG120" s="117">
        <f t="shared" si="25"/>
        <v>0</v>
      </c>
      <c r="AH120" s="117">
        <f t="shared" si="25"/>
        <v>0</v>
      </c>
      <c r="AI120" s="117">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25"/>
      <c r="C121" s="42">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0</v>
      </c>
      <c r="AE121" s="117">
        <f t="shared" si="25"/>
        <v>0</v>
      </c>
      <c r="AF121" s="117">
        <f t="shared" si="25"/>
        <v>0</v>
      </c>
      <c r="AG121" s="117">
        <f t="shared" si="25"/>
        <v>0</v>
      </c>
      <c r="AH121" s="117">
        <f t="shared" si="25"/>
        <v>0</v>
      </c>
      <c r="AI121" s="117">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25"/>
      <c r="C122" s="42">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0</v>
      </c>
      <c r="AE122" s="117">
        <f t="shared" si="25"/>
        <v>0</v>
      </c>
      <c r="AF122" s="117">
        <f t="shared" si="25"/>
        <v>0</v>
      </c>
      <c r="AG122" s="117">
        <f t="shared" si="25"/>
        <v>0</v>
      </c>
      <c r="AH122" s="117">
        <f t="shared" si="25"/>
        <v>0</v>
      </c>
      <c r="AI122" s="117">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25"/>
      <c r="C123" s="42">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0</v>
      </c>
      <c r="AE123" s="117">
        <f t="shared" si="25"/>
        <v>0</v>
      </c>
      <c r="AF123" s="117">
        <f t="shared" si="25"/>
        <v>0</v>
      </c>
      <c r="AG123" s="117">
        <f t="shared" si="25"/>
        <v>0</v>
      </c>
      <c r="AH123" s="117">
        <f t="shared" si="25"/>
        <v>0</v>
      </c>
      <c r="AI123" s="117">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25"/>
      <c r="C124" s="42">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0</v>
      </c>
      <c r="AE124" s="117">
        <f t="shared" si="25"/>
        <v>0</v>
      </c>
      <c r="AF124" s="117">
        <f t="shared" si="25"/>
        <v>0</v>
      </c>
      <c r="AG124" s="117">
        <f t="shared" si="25"/>
        <v>0</v>
      </c>
      <c r="AH124" s="117">
        <f t="shared" si="25"/>
        <v>0</v>
      </c>
      <c r="AI124" s="117">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25"/>
      <c r="C125" s="42">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0</v>
      </c>
      <c r="AE125" s="117">
        <f t="shared" si="25"/>
        <v>0</v>
      </c>
      <c r="AF125" s="117">
        <f t="shared" si="25"/>
        <v>0</v>
      </c>
      <c r="AG125" s="117">
        <f t="shared" si="25"/>
        <v>0</v>
      </c>
      <c r="AH125" s="117">
        <f t="shared" si="25"/>
        <v>0</v>
      </c>
      <c r="AI125" s="117">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25"/>
      <c r="C126" s="42">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0</v>
      </c>
      <c r="AE126" s="117">
        <f t="shared" si="25"/>
        <v>0</v>
      </c>
      <c r="AF126" s="117">
        <f t="shared" si="25"/>
        <v>0</v>
      </c>
      <c r="AG126" s="117">
        <f t="shared" si="25"/>
        <v>0</v>
      </c>
      <c r="AH126" s="117">
        <f t="shared" si="25"/>
        <v>0</v>
      </c>
      <c r="AI126" s="117">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25"/>
      <c r="C127" s="42">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0</v>
      </c>
      <c r="AE127" s="117">
        <f t="shared" si="27"/>
        <v>0</v>
      </c>
      <c r="AF127" s="117">
        <f t="shared" si="27"/>
        <v>0</v>
      </c>
      <c r="AG127" s="117">
        <f t="shared" si="27"/>
        <v>0</v>
      </c>
      <c r="AH127" s="117">
        <f t="shared" si="27"/>
        <v>0</v>
      </c>
      <c r="AI127" s="117">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25"/>
      <c r="C128" s="42">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0</v>
      </c>
      <c r="AE128" s="117">
        <f t="shared" si="27"/>
        <v>0</v>
      </c>
      <c r="AF128" s="117">
        <f t="shared" si="27"/>
        <v>0</v>
      </c>
      <c r="AG128" s="117">
        <f t="shared" si="27"/>
        <v>0</v>
      </c>
      <c r="AH128" s="117">
        <f t="shared" si="27"/>
        <v>0</v>
      </c>
      <c r="AI128" s="117">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25"/>
      <c r="C129" s="42">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0</v>
      </c>
      <c r="AE129" s="117">
        <f t="shared" si="27"/>
        <v>0</v>
      </c>
      <c r="AF129" s="117">
        <f t="shared" si="27"/>
        <v>0</v>
      </c>
      <c r="AG129" s="117">
        <f t="shared" si="27"/>
        <v>0</v>
      </c>
      <c r="AH129" s="117">
        <f t="shared" si="27"/>
        <v>0</v>
      </c>
      <c r="AI129" s="117">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25"/>
      <c r="C130" s="42">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0</v>
      </c>
      <c r="AE130" s="117">
        <f t="shared" si="27"/>
        <v>0</v>
      </c>
      <c r="AF130" s="117">
        <f t="shared" si="27"/>
        <v>0</v>
      </c>
      <c r="AG130" s="117">
        <f t="shared" si="27"/>
        <v>0</v>
      </c>
      <c r="AH130" s="117">
        <f t="shared" si="27"/>
        <v>0</v>
      </c>
      <c r="AI130" s="117">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25"/>
      <c r="C131" s="42">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0</v>
      </c>
      <c r="AE131" s="117">
        <f t="shared" si="27"/>
        <v>0</v>
      </c>
      <c r="AF131" s="117">
        <f t="shared" si="27"/>
        <v>0</v>
      </c>
      <c r="AG131" s="117">
        <f t="shared" si="27"/>
        <v>0</v>
      </c>
      <c r="AH131" s="117">
        <f t="shared" si="27"/>
        <v>0</v>
      </c>
      <c r="AI131" s="117">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25"/>
      <c r="C132" s="42">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0</v>
      </c>
      <c r="AE132" s="117">
        <f t="shared" si="27"/>
        <v>0</v>
      </c>
      <c r="AF132" s="117">
        <f t="shared" si="27"/>
        <v>0</v>
      </c>
      <c r="AG132" s="117">
        <f t="shared" si="27"/>
        <v>0</v>
      </c>
      <c r="AH132" s="117">
        <f t="shared" si="27"/>
        <v>0</v>
      </c>
      <c r="AI132" s="117">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25"/>
      <c r="C133" s="42">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0</v>
      </c>
      <c r="AE133" s="117">
        <f t="shared" si="27"/>
        <v>0</v>
      </c>
      <c r="AF133" s="117">
        <f t="shared" si="27"/>
        <v>0</v>
      </c>
      <c r="AG133" s="117">
        <f t="shared" si="27"/>
        <v>0</v>
      </c>
      <c r="AH133" s="117">
        <f t="shared" si="27"/>
        <v>0</v>
      </c>
      <c r="AI133" s="117">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26"/>
      <c r="C134" s="42">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0</v>
      </c>
      <c r="AE134" s="117">
        <f t="shared" si="27"/>
        <v>0</v>
      </c>
      <c r="AF134" s="117">
        <f t="shared" si="27"/>
        <v>0</v>
      </c>
      <c r="AG134" s="117">
        <f t="shared" si="27"/>
        <v>0</v>
      </c>
      <c r="AH134" s="117">
        <f t="shared" si="27"/>
        <v>0</v>
      </c>
      <c r="AI134" s="117">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62</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7" t="str">
        <f ca="1">IF(B6&lt;&gt;"",B6,"")</f>
        <v>Table S_ADBZR_APP</v>
      </c>
      <c r="C136" s="42">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0</v>
      </c>
      <c r="AE136" s="117">
        <f t="shared" si="29"/>
        <v>1</v>
      </c>
      <c r="AF136" s="117">
        <f t="shared" si="29"/>
        <v>1</v>
      </c>
      <c r="AG136" s="117">
        <f t="shared" si="29"/>
        <v>1</v>
      </c>
      <c r="AH136" s="117">
        <f t="shared" si="29"/>
        <v>1</v>
      </c>
      <c r="AI136" s="117">
        <f t="shared" si="29"/>
        <v>1</v>
      </c>
      <c r="AJ136" s="42" t="str">
        <f t="shared" ref="AJ136:AJ199" si="30">IF(AJ6&lt;&gt;"",AJ6,"")</f>
        <v>UNKNOWN</v>
      </c>
      <c r="AK136" s="55"/>
      <c r="AL136" s="55" t="str">
        <f>BIN2HEX(AB136&amp;AC136&amp;AD136&amp;AE136&amp;AF136&amp;AG136&amp;AH136&amp;AI136,2)</f>
        <v>1F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5"/>
      <c r="C137" s="42">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0</v>
      </c>
      <c r="AE137" s="117">
        <f t="shared" si="29"/>
        <v>1</v>
      </c>
      <c r="AF137" s="117">
        <f t="shared" si="29"/>
        <v>1</v>
      </c>
      <c r="AG137" s="117">
        <f t="shared" si="29"/>
        <v>1</v>
      </c>
      <c r="AH137" s="117">
        <f t="shared" si="29"/>
        <v>1</v>
      </c>
      <c r="AI137" s="117">
        <f t="shared" si="29"/>
        <v>1</v>
      </c>
      <c r="AJ137" s="42" t="str">
        <f t="shared" si="30"/>
        <v>UNKNOWN</v>
      </c>
      <c r="AK137" s="55"/>
      <c r="AL137" s="55" t="str">
        <f t="shared" ref="AL137:AL199" si="33">BIN2HEX(AB137&amp;AC137&amp;AD137&amp;AE137&amp;AF137&amp;AG137&amp;AH137&amp;AI137,2)</f>
        <v>1F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(U4)0x0000001FU,                                                           /* 01 UNKNOWN                                         */</v>
      </c>
    </row>
    <row r="138" spans="1:43">
      <c r="B138" s="125"/>
      <c r="C138" s="42">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0</v>
      </c>
      <c r="AE138" s="117">
        <f t="shared" si="29"/>
        <v>1</v>
      </c>
      <c r="AF138" s="117">
        <f t="shared" si="29"/>
        <v>1</v>
      </c>
      <c r="AG138" s="117">
        <f t="shared" si="29"/>
        <v>1</v>
      </c>
      <c r="AH138" s="117">
        <f t="shared" si="29"/>
        <v>1</v>
      </c>
      <c r="AI138" s="117">
        <f t="shared" si="29"/>
        <v>1</v>
      </c>
      <c r="AJ138" s="42" t="str">
        <f t="shared" si="30"/>
        <v>DISCONT</v>
      </c>
      <c r="AK138" s="55"/>
      <c r="AL138" s="55" t="str">
        <f t="shared" si="33"/>
        <v>1F</v>
      </c>
      <c r="AM138" s="57" t="str">
        <f t="shared" si="34"/>
        <v>00</v>
      </c>
      <c r="AN138" s="57" t="str">
        <f t="shared" si="35"/>
        <v>00</v>
      </c>
      <c r="AO138" s="57" t="str">
        <f t="shared" si="36"/>
        <v>00</v>
      </c>
      <c r="AQ138" t="str">
        <f t="shared" si="31"/>
        <v xml:space="preserve">    (U4)0x0000001FU,                                                           /* 02 DISCONT                                         */</v>
      </c>
    </row>
    <row r="139" spans="1:43">
      <c r="B139" s="125"/>
      <c r="C139" s="42">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0</v>
      </c>
      <c r="AE139" s="117">
        <f t="shared" si="29"/>
        <v>1</v>
      </c>
      <c r="AF139" s="117">
        <f t="shared" si="29"/>
        <v>1</v>
      </c>
      <c r="AG139" s="117">
        <f t="shared" si="29"/>
        <v>1</v>
      </c>
      <c r="AH139" s="117">
        <f t="shared" si="29"/>
        <v>1</v>
      </c>
      <c r="AI139" s="117">
        <f t="shared" si="29"/>
        <v>1</v>
      </c>
      <c r="AJ139" s="42" t="str">
        <f t="shared" si="30"/>
        <v>UNKNOWN</v>
      </c>
      <c r="AK139" s="55"/>
      <c r="AL139" s="55" t="str">
        <f t="shared" si="33"/>
        <v>1F</v>
      </c>
      <c r="AM139" s="57" t="str">
        <f t="shared" si="34"/>
        <v>00</v>
      </c>
      <c r="AN139" s="57" t="str">
        <f t="shared" si="35"/>
        <v>00</v>
      </c>
      <c r="AO139" s="57" t="str">
        <f t="shared" si="36"/>
        <v>00</v>
      </c>
      <c r="AQ139" t="str">
        <f t="shared" si="31"/>
        <v xml:space="preserve">    (U4)0x0000001FU,                                                           /* 03 UNKNOWN                                         */</v>
      </c>
    </row>
    <row r="140" spans="1:43">
      <c r="B140" s="125"/>
      <c r="C140" s="42">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0</v>
      </c>
      <c r="AE140" s="117">
        <f t="shared" si="29"/>
        <v>1</v>
      </c>
      <c r="AF140" s="117">
        <f t="shared" si="29"/>
        <v>1</v>
      </c>
      <c r="AG140" s="117">
        <f t="shared" si="29"/>
        <v>1</v>
      </c>
      <c r="AH140" s="117">
        <f t="shared" si="29"/>
        <v>1</v>
      </c>
      <c r="AI140" s="117">
        <f t="shared" si="29"/>
        <v>1</v>
      </c>
      <c r="AJ140" s="42" t="str">
        <f t="shared" si="30"/>
        <v>UNKNOWN</v>
      </c>
      <c r="AK140" s="55"/>
      <c r="AL140" s="55" t="str">
        <f t="shared" si="33"/>
        <v>1F</v>
      </c>
      <c r="AM140" s="57" t="str">
        <f t="shared" si="34"/>
        <v>00</v>
      </c>
      <c r="AN140" s="57" t="str">
        <f t="shared" si="35"/>
        <v>00</v>
      </c>
      <c r="AO140" s="57" t="str">
        <f t="shared" si="36"/>
        <v>00</v>
      </c>
      <c r="AQ140" t="str">
        <f t="shared" si="31"/>
        <v xml:space="preserve">    (U4)0x0000001FU,                                                           /* 04 UNKNOWN                                         */</v>
      </c>
    </row>
    <row r="141" spans="1:43">
      <c r="B141" s="125"/>
      <c r="C141" s="42">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0</v>
      </c>
      <c r="AE141" s="117">
        <f t="shared" si="29"/>
        <v>1</v>
      </c>
      <c r="AF141" s="117">
        <f t="shared" si="29"/>
        <v>1</v>
      </c>
      <c r="AG141" s="117">
        <f t="shared" si="29"/>
        <v>1</v>
      </c>
      <c r="AH141" s="117">
        <f t="shared" si="29"/>
        <v>1</v>
      </c>
      <c r="AI141" s="117">
        <f t="shared" si="29"/>
        <v>1</v>
      </c>
      <c r="AJ141" s="42" t="str">
        <f t="shared" si="30"/>
        <v>UNKNOWN</v>
      </c>
      <c r="AK141" s="55"/>
      <c r="AL141" s="55" t="str">
        <f t="shared" si="33"/>
        <v>1F</v>
      </c>
      <c r="AM141" s="57" t="str">
        <f t="shared" si="34"/>
        <v>00</v>
      </c>
      <c r="AN141" s="57" t="str">
        <f t="shared" si="35"/>
        <v>00</v>
      </c>
      <c r="AO141" s="57" t="str">
        <f t="shared" si="36"/>
        <v>00</v>
      </c>
      <c r="AQ141" t="str">
        <f t="shared" si="31"/>
        <v xml:space="preserve">    (U4)0x0000001FU,                                                           /* 05 UNKNOWN                                         */</v>
      </c>
    </row>
    <row r="142" spans="1:43">
      <c r="B142" s="125"/>
      <c r="C142" s="42">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0</v>
      </c>
      <c r="AE142" s="117">
        <f t="shared" si="29"/>
        <v>1</v>
      </c>
      <c r="AF142" s="117">
        <f t="shared" si="29"/>
        <v>1</v>
      </c>
      <c r="AG142" s="117">
        <f t="shared" si="29"/>
        <v>1</v>
      </c>
      <c r="AH142" s="117">
        <f t="shared" si="29"/>
        <v>1</v>
      </c>
      <c r="AI142" s="117">
        <f t="shared" si="29"/>
        <v>1</v>
      </c>
      <c r="AJ142" s="42" t="str">
        <f t="shared" si="30"/>
        <v>COMPLETION</v>
      </c>
      <c r="AK142" s="55"/>
      <c r="AL142" s="55" t="str">
        <f t="shared" si="33"/>
        <v>1F</v>
      </c>
      <c r="AM142" s="57" t="str">
        <f t="shared" si="34"/>
        <v>00</v>
      </c>
      <c r="AN142" s="57" t="str">
        <f t="shared" si="35"/>
        <v>00</v>
      </c>
      <c r="AO142" s="57" t="str">
        <f t="shared" si="36"/>
        <v>00</v>
      </c>
      <c r="AQ142" t="str">
        <f t="shared" si="31"/>
        <v xml:space="preserve">    (U4)0x0000001FU,                                                           /* 06 COMPLETION                                      */</v>
      </c>
    </row>
    <row r="143" spans="1:43">
      <c r="B143" s="125"/>
      <c r="C143" s="42">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0</v>
      </c>
      <c r="AE143" s="117">
        <f t="shared" si="29"/>
        <v>1</v>
      </c>
      <c r="AF143" s="117">
        <f t="shared" si="29"/>
        <v>1</v>
      </c>
      <c r="AG143" s="117">
        <f t="shared" si="29"/>
        <v>1</v>
      </c>
      <c r="AH143" s="117">
        <f t="shared" si="29"/>
        <v>1</v>
      </c>
      <c r="AI143" s="117">
        <f t="shared" ref="AI143" si="37">IF(OR(AI13=0,AI13=1),1,0)</f>
        <v>1</v>
      </c>
      <c r="AJ143" s="42" t="str">
        <f t="shared" si="30"/>
        <v>UNKNOWN</v>
      </c>
      <c r="AK143" s="55"/>
      <c r="AL143" s="55" t="str">
        <f t="shared" si="33"/>
        <v>1F</v>
      </c>
      <c r="AM143" s="57" t="str">
        <f t="shared" si="34"/>
        <v>00</v>
      </c>
      <c r="AN143" s="57" t="str">
        <f t="shared" si="35"/>
        <v>00</v>
      </c>
      <c r="AO143" s="57" t="str">
        <f t="shared" si="36"/>
        <v>00</v>
      </c>
      <c r="AQ143" t="str">
        <f t="shared" si="31"/>
        <v xml:space="preserve">    (U4)0x0000001FU,                                                           /* 07 UNKNOWN                                         */</v>
      </c>
    </row>
    <row r="144" spans="1:43">
      <c r="B144" s="125"/>
      <c r="C144" s="42">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0</v>
      </c>
      <c r="AE144" s="117">
        <f t="shared" si="38"/>
        <v>1</v>
      </c>
      <c r="AF144" s="117">
        <f t="shared" si="38"/>
        <v>1</v>
      </c>
      <c r="AG144" s="117">
        <f t="shared" si="38"/>
        <v>1</v>
      </c>
      <c r="AH144" s="117">
        <f t="shared" si="38"/>
        <v>1</v>
      </c>
      <c r="AI144" s="117">
        <f t="shared" si="38"/>
        <v>1</v>
      </c>
      <c r="AJ144" s="42" t="str">
        <f t="shared" si="30"/>
        <v>UNKNOWN</v>
      </c>
      <c r="AK144" s="55"/>
      <c r="AL144" s="55" t="str">
        <f t="shared" si="33"/>
        <v>1F</v>
      </c>
      <c r="AM144" s="57" t="str">
        <f t="shared" si="34"/>
        <v>00</v>
      </c>
      <c r="AN144" s="57" t="str">
        <f t="shared" si="35"/>
        <v>00</v>
      </c>
      <c r="AO144" s="57" t="str">
        <f t="shared" si="36"/>
        <v>00</v>
      </c>
      <c r="AQ144" t="str">
        <f t="shared" si="31"/>
        <v xml:space="preserve">    (U4)0x0000001FU,                                                           /* 08 UNKNOWN                                         */</v>
      </c>
    </row>
    <row r="145" spans="2:43">
      <c r="B145" s="125"/>
      <c r="C145" s="42">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0</v>
      </c>
      <c r="AE145" s="117">
        <f t="shared" si="38"/>
        <v>1</v>
      </c>
      <c r="AF145" s="117">
        <f t="shared" si="38"/>
        <v>1</v>
      </c>
      <c r="AG145" s="117">
        <f t="shared" si="38"/>
        <v>1</v>
      </c>
      <c r="AH145" s="117">
        <f t="shared" si="38"/>
        <v>1</v>
      </c>
      <c r="AI145" s="117">
        <f t="shared" si="38"/>
        <v>1</v>
      </c>
      <c r="AJ145" s="42" t="str">
        <f t="shared" si="30"/>
        <v>UNKNOWN</v>
      </c>
      <c r="AK145" s="55"/>
      <c r="AL145" s="55" t="str">
        <f t="shared" si="33"/>
        <v>1F</v>
      </c>
      <c r="AM145" s="57" t="str">
        <f t="shared" si="34"/>
        <v>00</v>
      </c>
      <c r="AN145" s="57" t="str">
        <f t="shared" si="35"/>
        <v>00</v>
      </c>
      <c r="AO145" s="57" t="str">
        <f t="shared" si="36"/>
        <v>00</v>
      </c>
      <c r="AQ145" t="str">
        <f t="shared" si="31"/>
        <v xml:space="preserve">    (U4)0x0000001FU,                                                           /* 09 UNKNOWN                                         */</v>
      </c>
    </row>
    <row r="146" spans="2:43">
      <c r="B146" s="125"/>
      <c r="C146" s="42">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0</v>
      </c>
      <c r="AE146" s="117">
        <f t="shared" si="38"/>
        <v>1</v>
      </c>
      <c r="AF146" s="117">
        <f t="shared" si="38"/>
        <v>1</v>
      </c>
      <c r="AG146" s="117">
        <f t="shared" si="38"/>
        <v>1</v>
      </c>
      <c r="AH146" s="117">
        <f t="shared" si="38"/>
        <v>1</v>
      </c>
      <c r="AI146" s="117">
        <f t="shared" si="38"/>
        <v>1</v>
      </c>
      <c r="AJ146" s="42" t="str">
        <f t="shared" si="30"/>
        <v>UNKNOWN</v>
      </c>
      <c r="AK146" s="55"/>
      <c r="AL146" s="55" t="str">
        <f t="shared" si="33"/>
        <v>1F</v>
      </c>
      <c r="AM146" s="57" t="str">
        <f t="shared" si="34"/>
        <v>00</v>
      </c>
      <c r="AN146" s="57" t="str">
        <f t="shared" si="35"/>
        <v>00</v>
      </c>
      <c r="AO146" s="57" t="str">
        <f t="shared" si="36"/>
        <v>00</v>
      </c>
      <c r="AQ146" t="str">
        <f t="shared" si="31"/>
        <v xml:space="preserve">    (U4)0x0000001FU,                                                           /* 10 UNKNOWN                                         */</v>
      </c>
    </row>
    <row r="147" spans="2:43">
      <c r="B147" s="125"/>
      <c r="C147" s="42">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0</v>
      </c>
      <c r="AE147" s="117">
        <f t="shared" si="38"/>
        <v>1</v>
      </c>
      <c r="AF147" s="117">
        <f t="shared" si="38"/>
        <v>1</v>
      </c>
      <c r="AG147" s="117">
        <f t="shared" si="38"/>
        <v>1</v>
      </c>
      <c r="AH147" s="117">
        <f t="shared" si="38"/>
        <v>1</v>
      </c>
      <c r="AI147" s="117">
        <f t="shared" si="38"/>
        <v>1</v>
      </c>
      <c r="AJ147" s="42" t="str">
        <f t="shared" si="30"/>
        <v>UNKNOWN</v>
      </c>
      <c r="AK147" s="55"/>
      <c r="AL147" s="55" t="str">
        <f t="shared" si="33"/>
        <v>1F</v>
      </c>
      <c r="AM147" s="57" t="str">
        <f t="shared" si="34"/>
        <v>00</v>
      </c>
      <c r="AN147" s="57" t="str">
        <f t="shared" si="35"/>
        <v>00</v>
      </c>
      <c r="AO147" s="57" t="str">
        <f t="shared" si="36"/>
        <v>00</v>
      </c>
      <c r="AQ147" t="str">
        <f t="shared" si="31"/>
        <v xml:space="preserve">    (U4)0x0000001FU,                                                           /* 11 UNKNOWN                                         */</v>
      </c>
    </row>
    <row r="148" spans="2:43">
      <c r="B148" s="125"/>
      <c r="C148" s="42">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0</v>
      </c>
      <c r="AE148" s="117">
        <f t="shared" si="38"/>
        <v>1</v>
      </c>
      <c r="AF148" s="117">
        <f t="shared" si="38"/>
        <v>1</v>
      </c>
      <c r="AG148" s="117">
        <f t="shared" si="38"/>
        <v>1</v>
      </c>
      <c r="AH148" s="117">
        <f t="shared" si="38"/>
        <v>1</v>
      </c>
      <c r="AI148" s="117">
        <f t="shared" si="38"/>
        <v>1</v>
      </c>
      <c r="AJ148" s="42" t="str">
        <f t="shared" si="30"/>
        <v>UNKNOWN</v>
      </c>
      <c r="AK148" s="55"/>
      <c r="AL148" s="55" t="str">
        <f t="shared" si="33"/>
        <v>1F</v>
      </c>
      <c r="AM148" s="57" t="str">
        <f t="shared" si="34"/>
        <v>00</v>
      </c>
      <c r="AN148" s="57" t="str">
        <f t="shared" si="35"/>
        <v>00</v>
      </c>
      <c r="AO148" s="57" t="str">
        <f t="shared" si="36"/>
        <v>00</v>
      </c>
      <c r="AQ148" t="str">
        <f t="shared" si="31"/>
        <v xml:space="preserve">    (U4)0x0000001FU,                                                           /* 12 UNKNOWN                                         */</v>
      </c>
    </row>
    <row r="149" spans="2:43">
      <c r="B149" s="125"/>
      <c r="C149" s="42">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0</v>
      </c>
      <c r="AE149" s="117">
        <f t="shared" si="38"/>
        <v>1</v>
      </c>
      <c r="AF149" s="117">
        <f t="shared" si="38"/>
        <v>1</v>
      </c>
      <c r="AG149" s="117">
        <f t="shared" si="38"/>
        <v>1</v>
      </c>
      <c r="AH149" s="117">
        <f t="shared" si="38"/>
        <v>1</v>
      </c>
      <c r="AI149" s="117">
        <f t="shared" si="38"/>
        <v>1</v>
      </c>
      <c r="AJ149" s="42" t="str">
        <f t="shared" si="30"/>
        <v>UNKNOWN</v>
      </c>
      <c r="AK149" s="55"/>
      <c r="AL149" s="55" t="str">
        <f t="shared" si="33"/>
        <v>1F</v>
      </c>
      <c r="AM149" s="57" t="str">
        <f t="shared" si="34"/>
        <v>00</v>
      </c>
      <c r="AN149" s="57" t="str">
        <f t="shared" si="35"/>
        <v>00</v>
      </c>
      <c r="AO149" s="57" t="str">
        <f t="shared" si="36"/>
        <v>00</v>
      </c>
      <c r="AQ149" t="str">
        <f t="shared" si="31"/>
        <v xml:space="preserve">    (U4)0x0000001FU,                                                           /* 13 UNKNOWN                                         */</v>
      </c>
    </row>
    <row r="150" spans="2:43">
      <c r="B150" s="125"/>
      <c r="C150" s="42">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0</v>
      </c>
      <c r="AE150" s="117">
        <f t="shared" si="38"/>
        <v>1</v>
      </c>
      <c r="AF150" s="117">
        <f t="shared" si="38"/>
        <v>1</v>
      </c>
      <c r="AG150" s="117">
        <f t="shared" si="38"/>
        <v>1</v>
      </c>
      <c r="AH150" s="117">
        <f t="shared" si="38"/>
        <v>1</v>
      </c>
      <c r="AI150" s="117">
        <f t="shared" si="38"/>
        <v>1</v>
      </c>
      <c r="AJ150" s="42" t="str">
        <f t="shared" si="30"/>
        <v>UNKNOWN</v>
      </c>
      <c r="AK150" s="55"/>
      <c r="AL150" s="55" t="str">
        <f t="shared" si="33"/>
        <v>1F</v>
      </c>
      <c r="AM150" s="57" t="str">
        <f t="shared" si="34"/>
        <v>00</v>
      </c>
      <c r="AN150" s="57" t="str">
        <f t="shared" si="35"/>
        <v>00</v>
      </c>
      <c r="AO150" s="57" t="str">
        <f t="shared" si="36"/>
        <v>00</v>
      </c>
      <c r="AQ150" t="str">
        <f t="shared" si="31"/>
        <v xml:space="preserve">    (U4)0x0000001FU,                                                           /* 14 UNKNOWN                                         */</v>
      </c>
    </row>
    <row r="151" spans="2:43">
      <c r="B151" s="125"/>
      <c r="C151" s="42">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0</v>
      </c>
      <c r="AE151" s="117">
        <f t="shared" si="38"/>
        <v>1</v>
      </c>
      <c r="AF151" s="117">
        <f t="shared" si="38"/>
        <v>1</v>
      </c>
      <c r="AG151" s="117">
        <f t="shared" si="38"/>
        <v>1</v>
      </c>
      <c r="AH151" s="117">
        <f t="shared" si="38"/>
        <v>1</v>
      </c>
      <c r="AI151" s="117">
        <f t="shared" ref="AI151" si="39">IF(OR(AI21=0,AI21=1),1,0)</f>
        <v>1</v>
      </c>
      <c r="AJ151" s="42" t="str">
        <f t="shared" si="30"/>
        <v>UNKNOWN</v>
      </c>
      <c r="AK151" s="55"/>
      <c r="AL151" s="55" t="str">
        <f t="shared" si="33"/>
        <v>1F</v>
      </c>
      <c r="AM151" s="57" t="str">
        <f t="shared" si="34"/>
        <v>00</v>
      </c>
      <c r="AN151" s="57" t="str">
        <f t="shared" si="35"/>
        <v>00</v>
      </c>
      <c r="AO151" s="57" t="str">
        <f t="shared" si="36"/>
        <v>00</v>
      </c>
      <c r="AQ151" t="str">
        <f t="shared" si="31"/>
        <v xml:space="preserve">    (U4)0x0000001FU,                                                           /* 15 UNKNOWN                                         */</v>
      </c>
    </row>
    <row r="152" spans="2:43">
      <c r="B152" s="125"/>
      <c r="C152" s="42">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0</v>
      </c>
      <c r="AE152" s="117">
        <f t="shared" si="40"/>
        <v>1</v>
      </c>
      <c r="AF152" s="117">
        <f t="shared" si="40"/>
        <v>1</v>
      </c>
      <c r="AG152" s="117">
        <f t="shared" si="40"/>
        <v>1</v>
      </c>
      <c r="AH152" s="117">
        <f t="shared" si="40"/>
        <v>1</v>
      </c>
      <c r="AI152" s="117">
        <f t="shared" si="40"/>
        <v>1</v>
      </c>
      <c r="AJ152" s="42" t="str">
        <f t="shared" si="30"/>
        <v>DISCONT</v>
      </c>
      <c r="AK152" s="55"/>
      <c r="AL152" s="55" t="str">
        <f t="shared" si="33"/>
        <v>1F</v>
      </c>
      <c r="AM152" s="57" t="str">
        <f t="shared" si="34"/>
        <v>00</v>
      </c>
      <c r="AN152" s="57" t="str">
        <f t="shared" si="35"/>
        <v>00</v>
      </c>
      <c r="AO152" s="57" t="str">
        <f t="shared" si="36"/>
        <v>00</v>
      </c>
      <c r="AQ152" t="str">
        <f t="shared" si="31"/>
        <v xml:space="preserve">    (U4)0x0000001FU,                                                           /* 16 DISCONT                                         */</v>
      </c>
    </row>
    <row r="153" spans="2:43">
      <c r="B153" s="125"/>
      <c r="C153" s="42">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0</v>
      </c>
      <c r="AE153" s="117">
        <f t="shared" si="40"/>
        <v>1</v>
      </c>
      <c r="AF153" s="117">
        <f t="shared" si="40"/>
        <v>1</v>
      </c>
      <c r="AG153" s="117">
        <f t="shared" si="40"/>
        <v>1</v>
      </c>
      <c r="AH153" s="117">
        <f t="shared" si="40"/>
        <v>1</v>
      </c>
      <c r="AI153" s="117">
        <f t="shared" si="40"/>
        <v>1</v>
      </c>
      <c r="AJ153" s="42" t="str">
        <f t="shared" si="30"/>
        <v>DISCONT</v>
      </c>
      <c r="AK153" s="55"/>
      <c r="AL153" s="55" t="str">
        <f t="shared" si="33"/>
        <v>1F</v>
      </c>
      <c r="AM153" s="57" t="str">
        <f t="shared" si="34"/>
        <v>00</v>
      </c>
      <c r="AN153" s="57" t="str">
        <f t="shared" si="35"/>
        <v>00</v>
      </c>
      <c r="AO153" s="57" t="str">
        <f t="shared" si="36"/>
        <v>00</v>
      </c>
      <c r="AQ153" t="str">
        <f t="shared" si="31"/>
        <v xml:space="preserve">    (U4)0x0000001FU,                                                           /* 17 DISCONT                                         */</v>
      </c>
    </row>
    <row r="154" spans="2:43">
      <c r="B154" s="125"/>
      <c r="C154" s="42">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0</v>
      </c>
      <c r="AE154" s="117">
        <f t="shared" si="40"/>
        <v>1</v>
      </c>
      <c r="AF154" s="117">
        <f t="shared" si="40"/>
        <v>1</v>
      </c>
      <c r="AG154" s="117">
        <f t="shared" si="40"/>
        <v>1</v>
      </c>
      <c r="AH154" s="117">
        <f t="shared" si="40"/>
        <v>1</v>
      </c>
      <c r="AI154" s="117">
        <f t="shared" si="40"/>
        <v>1</v>
      </c>
      <c r="AJ154" s="42" t="str">
        <f t="shared" si="30"/>
        <v>DISCONT</v>
      </c>
      <c r="AK154" s="55"/>
      <c r="AL154" s="55" t="str">
        <f t="shared" si="33"/>
        <v>1F</v>
      </c>
      <c r="AM154" s="57" t="str">
        <f t="shared" si="34"/>
        <v>00</v>
      </c>
      <c r="AN154" s="57" t="str">
        <f t="shared" si="35"/>
        <v>00</v>
      </c>
      <c r="AO154" s="57" t="str">
        <f t="shared" si="36"/>
        <v>00</v>
      </c>
      <c r="AQ154" t="str">
        <f t="shared" si="31"/>
        <v xml:space="preserve">    (U4)0x0000001FU,                                                           /* 18 DISCONT                                         */</v>
      </c>
    </row>
    <row r="155" spans="2:43">
      <c r="B155" s="125"/>
      <c r="C155" s="42">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0</v>
      </c>
      <c r="AE155" s="117">
        <f t="shared" si="40"/>
        <v>1</v>
      </c>
      <c r="AF155" s="117">
        <f t="shared" si="40"/>
        <v>1</v>
      </c>
      <c r="AG155" s="117">
        <f t="shared" si="40"/>
        <v>1</v>
      </c>
      <c r="AH155" s="117">
        <f t="shared" si="40"/>
        <v>1</v>
      </c>
      <c r="AI155" s="117">
        <f t="shared" si="40"/>
        <v>1</v>
      </c>
      <c r="AJ155" s="42" t="str">
        <f t="shared" si="30"/>
        <v>DISCONT</v>
      </c>
      <c r="AK155" s="55"/>
      <c r="AL155" s="55" t="str">
        <f t="shared" si="33"/>
        <v>1F</v>
      </c>
      <c r="AM155" s="57" t="str">
        <f t="shared" si="34"/>
        <v>00</v>
      </c>
      <c r="AN155" s="57" t="str">
        <f t="shared" si="35"/>
        <v>00</v>
      </c>
      <c r="AO155" s="57" t="str">
        <f t="shared" si="36"/>
        <v>00</v>
      </c>
      <c r="AQ155" t="str">
        <f t="shared" si="31"/>
        <v xml:space="preserve">    (U4)0x0000001FU,                                                           /* 19 DISCONT                                         */</v>
      </c>
    </row>
    <row r="156" spans="2:43">
      <c r="B156" s="125"/>
      <c r="C156" s="42">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0</v>
      </c>
      <c r="AE156" s="117">
        <f t="shared" si="40"/>
        <v>1</v>
      </c>
      <c r="AF156" s="117">
        <f t="shared" si="40"/>
        <v>1</v>
      </c>
      <c r="AG156" s="117">
        <f t="shared" si="40"/>
        <v>1</v>
      </c>
      <c r="AH156" s="117">
        <f t="shared" si="40"/>
        <v>1</v>
      </c>
      <c r="AI156" s="117">
        <f t="shared" si="40"/>
        <v>1</v>
      </c>
      <c r="AJ156" s="42" t="str">
        <f t="shared" si="30"/>
        <v>DISCONT</v>
      </c>
      <c r="AK156" s="55"/>
      <c r="AL156" s="55" t="str">
        <f t="shared" si="33"/>
        <v>1F</v>
      </c>
      <c r="AM156" s="57" t="str">
        <f t="shared" si="34"/>
        <v>00</v>
      </c>
      <c r="AN156" s="57" t="str">
        <f t="shared" si="35"/>
        <v>00</v>
      </c>
      <c r="AO156" s="57" t="str">
        <f t="shared" si="36"/>
        <v>00</v>
      </c>
      <c r="AQ156" t="str">
        <f t="shared" si="31"/>
        <v xml:space="preserve">    (U4)0x0000001FU,                                                           /* 20 DISCONT                                         */</v>
      </c>
    </row>
    <row r="157" spans="2:43">
      <c r="B157" s="125"/>
      <c r="C157" s="42">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0</v>
      </c>
      <c r="AE157" s="117">
        <f t="shared" si="40"/>
        <v>1</v>
      </c>
      <c r="AF157" s="117">
        <f t="shared" si="40"/>
        <v>1</v>
      </c>
      <c r="AG157" s="117">
        <f t="shared" si="40"/>
        <v>1</v>
      </c>
      <c r="AH157" s="117">
        <f t="shared" si="40"/>
        <v>1</v>
      </c>
      <c r="AI157" s="117">
        <f t="shared" si="40"/>
        <v>1</v>
      </c>
      <c r="AJ157" s="42" t="str">
        <f t="shared" si="30"/>
        <v>DISCONT</v>
      </c>
      <c r="AK157" s="55"/>
      <c r="AL157" s="55" t="str">
        <f t="shared" si="33"/>
        <v>1F</v>
      </c>
      <c r="AM157" s="57" t="str">
        <f t="shared" si="34"/>
        <v>00</v>
      </c>
      <c r="AN157" s="57" t="str">
        <f t="shared" si="35"/>
        <v>00</v>
      </c>
      <c r="AO157" s="57" t="str">
        <f t="shared" si="36"/>
        <v>00</v>
      </c>
      <c r="AQ157" t="str">
        <f t="shared" si="31"/>
        <v xml:space="preserve">    (U4)0x0000001FU,                                                           /* 21 DISCONT                                         */</v>
      </c>
    </row>
    <row r="158" spans="2:43">
      <c r="B158" s="125"/>
      <c r="C158" s="42">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0</v>
      </c>
      <c r="AE158" s="117">
        <f t="shared" si="40"/>
        <v>1</v>
      </c>
      <c r="AF158" s="117">
        <f t="shared" si="40"/>
        <v>1</v>
      </c>
      <c r="AG158" s="117">
        <f t="shared" si="40"/>
        <v>1</v>
      </c>
      <c r="AH158" s="117">
        <f t="shared" si="40"/>
        <v>1</v>
      </c>
      <c r="AI158" s="117">
        <f t="shared" si="40"/>
        <v>1</v>
      </c>
      <c r="AJ158" s="42" t="str">
        <f t="shared" si="30"/>
        <v>DISCONT</v>
      </c>
      <c r="AK158" s="55"/>
      <c r="AL158" s="55" t="str">
        <f t="shared" si="33"/>
        <v>1F</v>
      </c>
      <c r="AM158" s="57" t="str">
        <f t="shared" si="34"/>
        <v>00</v>
      </c>
      <c r="AN158" s="57" t="str">
        <f t="shared" si="35"/>
        <v>00</v>
      </c>
      <c r="AO158" s="57" t="str">
        <f t="shared" si="36"/>
        <v>00</v>
      </c>
      <c r="AQ158" t="str">
        <f t="shared" si="31"/>
        <v xml:space="preserve">    (U4)0x0000001FU,                                                           /* 22 DISCONT                                         */</v>
      </c>
    </row>
    <row r="159" spans="2:43">
      <c r="B159" s="125"/>
      <c r="C159" s="42">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0</v>
      </c>
      <c r="AE159" s="117">
        <f t="shared" si="40"/>
        <v>1</v>
      </c>
      <c r="AF159" s="117">
        <f t="shared" si="40"/>
        <v>1</v>
      </c>
      <c r="AG159" s="117">
        <f t="shared" si="40"/>
        <v>1</v>
      </c>
      <c r="AH159" s="117">
        <f t="shared" si="40"/>
        <v>1</v>
      </c>
      <c r="AI159" s="117">
        <f t="shared" ref="AI159" si="41">IF(OR(AI29=0,AI29=1),1,0)</f>
        <v>1</v>
      </c>
      <c r="AJ159" s="42" t="str">
        <f t="shared" si="30"/>
        <v>DISCONT</v>
      </c>
      <c r="AK159" s="55"/>
      <c r="AL159" s="55" t="str">
        <f t="shared" si="33"/>
        <v>1F</v>
      </c>
      <c r="AM159" s="57" t="str">
        <f t="shared" si="34"/>
        <v>00</v>
      </c>
      <c r="AN159" s="57" t="str">
        <f t="shared" si="35"/>
        <v>00</v>
      </c>
      <c r="AO159" s="57" t="str">
        <f t="shared" si="36"/>
        <v>00</v>
      </c>
      <c r="AQ159" t="str">
        <f t="shared" si="31"/>
        <v xml:space="preserve">    (U4)0x0000001FU,                                                           /* 23 DISCONT                                         */</v>
      </c>
    </row>
    <row r="160" spans="2:43">
      <c r="B160" s="125"/>
      <c r="C160" s="42">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0</v>
      </c>
      <c r="AE160" s="117">
        <f t="shared" si="42"/>
        <v>1</v>
      </c>
      <c r="AF160" s="117">
        <f t="shared" si="42"/>
        <v>1</v>
      </c>
      <c r="AG160" s="117">
        <f t="shared" si="42"/>
        <v>1</v>
      </c>
      <c r="AH160" s="117">
        <f t="shared" si="42"/>
        <v>1</v>
      </c>
      <c r="AI160" s="117">
        <f t="shared" si="42"/>
        <v>1</v>
      </c>
      <c r="AJ160" s="42" t="str">
        <f t="shared" si="30"/>
        <v>DISCONT</v>
      </c>
      <c r="AK160" s="55"/>
      <c r="AL160" s="55" t="str">
        <f t="shared" si="33"/>
        <v>1F</v>
      </c>
      <c r="AM160" s="57" t="str">
        <f t="shared" si="34"/>
        <v>00</v>
      </c>
      <c r="AN160" s="57" t="str">
        <f t="shared" si="35"/>
        <v>00</v>
      </c>
      <c r="AO160" s="57" t="str">
        <f t="shared" si="36"/>
        <v>00</v>
      </c>
      <c r="AQ160" t="str">
        <f t="shared" si="31"/>
        <v xml:space="preserve">    (U4)0x0000001FU,                                                           /* 24 DISCONT                                         */</v>
      </c>
    </row>
    <row r="161" spans="2:43">
      <c r="B161" s="125"/>
      <c r="C161" s="42">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0</v>
      </c>
      <c r="AE161" s="117">
        <f t="shared" si="42"/>
        <v>1</v>
      </c>
      <c r="AF161" s="117">
        <f t="shared" si="42"/>
        <v>1</v>
      </c>
      <c r="AG161" s="117">
        <f t="shared" si="42"/>
        <v>1</v>
      </c>
      <c r="AH161" s="117">
        <f t="shared" si="42"/>
        <v>1</v>
      </c>
      <c r="AI161" s="117">
        <f t="shared" si="42"/>
        <v>1</v>
      </c>
      <c r="AJ161" s="42" t="str">
        <f t="shared" si="30"/>
        <v>DISCONT</v>
      </c>
      <c r="AK161" s="55"/>
      <c r="AL161" s="55" t="str">
        <f t="shared" si="33"/>
        <v>1F</v>
      </c>
      <c r="AM161" s="57" t="str">
        <f t="shared" si="34"/>
        <v>00</v>
      </c>
      <c r="AN161" s="57" t="str">
        <f t="shared" si="35"/>
        <v>00</v>
      </c>
      <c r="AO161" s="57" t="str">
        <f t="shared" si="36"/>
        <v>00</v>
      </c>
      <c r="AQ161" t="str">
        <f t="shared" si="31"/>
        <v xml:space="preserve">    (U4)0x0000001FU,                                                           /* 25 DISCONT                                         */</v>
      </c>
    </row>
    <row r="162" spans="2:43">
      <c r="B162" s="125"/>
      <c r="C162" s="42">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0</v>
      </c>
      <c r="AE162" s="117">
        <f t="shared" si="42"/>
        <v>1</v>
      </c>
      <c r="AF162" s="117">
        <f t="shared" si="42"/>
        <v>1</v>
      </c>
      <c r="AG162" s="117">
        <f t="shared" si="42"/>
        <v>1</v>
      </c>
      <c r="AH162" s="117">
        <f t="shared" si="42"/>
        <v>1</v>
      </c>
      <c r="AI162" s="117">
        <f t="shared" si="42"/>
        <v>1</v>
      </c>
      <c r="AJ162" s="42" t="str">
        <f t="shared" si="30"/>
        <v>DISCONT</v>
      </c>
      <c r="AK162" s="55"/>
      <c r="AL162" s="55" t="str">
        <f t="shared" si="33"/>
        <v>1F</v>
      </c>
      <c r="AM162" s="57" t="str">
        <f t="shared" si="34"/>
        <v>00</v>
      </c>
      <c r="AN162" s="57" t="str">
        <f t="shared" si="35"/>
        <v>00</v>
      </c>
      <c r="AO162" s="57" t="str">
        <f t="shared" si="36"/>
        <v>00</v>
      </c>
      <c r="AQ162" t="str">
        <f t="shared" si="31"/>
        <v xml:space="preserve">    (U4)0x0000001FU,                                                           /* 26 DISCONT                                         */</v>
      </c>
    </row>
    <row r="163" spans="2:43">
      <c r="B163" s="125"/>
      <c r="C163" s="42">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0</v>
      </c>
      <c r="AE163" s="117">
        <f t="shared" si="42"/>
        <v>1</v>
      </c>
      <c r="AF163" s="117">
        <f t="shared" si="42"/>
        <v>1</v>
      </c>
      <c r="AG163" s="117">
        <f t="shared" si="42"/>
        <v>1</v>
      </c>
      <c r="AH163" s="117">
        <f t="shared" si="42"/>
        <v>1</v>
      </c>
      <c r="AI163" s="117">
        <f t="shared" si="42"/>
        <v>1</v>
      </c>
      <c r="AJ163" s="42" t="str">
        <f t="shared" si="30"/>
        <v>DISCONT</v>
      </c>
      <c r="AK163" s="55"/>
      <c r="AL163" s="55" t="str">
        <f t="shared" si="33"/>
        <v>1F</v>
      </c>
      <c r="AM163" s="57" t="str">
        <f t="shared" si="34"/>
        <v>00</v>
      </c>
      <c r="AN163" s="57" t="str">
        <f t="shared" si="35"/>
        <v>00</v>
      </c>
      <c r="AO163" s="57" t="str">
        <f t="shared" si="36"/>
        <v>00</v>
      </c>
      <c r="AQ163" t="str">
        <f t="shared" si="31"/>
        <v xml:space="preserve">    (U4)0x0000001FU,                                                           /* 27 DISCONT                                         */</v>
      </c>
    </row>
    <row r="164" spans="2:43">
      <c r="B164" s="125"/>
      <c r="C164" s="42">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0</v>
      </c>
      <c r="AE164" s="117">
        <f t="shared" si="42"/>
        <v>1</v>
      </c>
      <c r="AF164" s="117">
        <f t="shared" si="42"/>
        <v>1</v>
      </c>
      <c r="AG164" s="117">
        <f t="shared" si="42"/>
        <v>1</v>
      </c>
      <c r="AH164" s="117">
        <f t="shared" si="42"/>
        <v>1</v>
      </c>
      <c r="AI164" s="117">
        <f t="shared" si="42"/>
        <v>1</v>
      </c>
      <c r="AJ164" s="42" t="str">
        <f t="shared" si="30"/>
        <v>DISCONT</v>
      </c>
      <c r="AK164" s="55"/>
      <c r="AL164" s="55" t="str">
        <f t="shared" si="33"/>
        <v>1F</v>
      </c>
      <c r="AM164" s="57" t="str">
        <f t="shared" si="34"/>
        <v>00</v>
      </c>
      <c r="AN164" s="57" t="str">
        <f t="shared" si="35"/>
        <v>00</v>
      </c>
      <c r="AO164" s="57" t="str">
        <f t="shared" si="36"/>
        <v>00</v>
      </c>
      <c r="AQ164" t="str">
        <f t="shared" si="31"/>
        <v xml:space="preserve">    (U4)0x0000001FU,                                                           /* 28 DISCONT                                         */</v>
      </c>
    </row>
    <row r="165" spans="2:43">
      <c r="B165" s="125"/>
      <c r="C165" s="42">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0</v>
      </c>
      <c r="AE165" s="117">
        <f t="shared" si="42"/>
        <v>1</v>
      </c>
      <c r="AF165" s="117">
        <f t="shared" si="42"/>
        <v>1</v>
      </c>
      <c r="AG165" s="117">
        <f t="shared" si="42"/>
        <v>1</v>
      </c>
      <c r="AH165" s="117">
        <f t="shared" si="42"/>
        <v>1</v>
      </c>
      <c r="AI165" s="117">
        <f t="shared" si="42"/>
        <v>1</v>
      </c>
      <c r="AJ165" s="42" t="str">
        <f t="shared" si="30"/>
        <v>DISCONT</v>
      </c>
      <c r="AK165" s="55"/>
      <c r="AL165" s="55" t="str">
        <f t="shared" si="33"/>
        <v>1F</v>
      </c>
      <c r="AM165" s="57" t="str">
        <f t="shared" si="34"/>
        <v>00</v>
      </c>
      <c r="AN165" s="57" t="str">
        <f t="shared" si="35"/>
        <v>00</v>
      </c>
      <c r="AO165" s="57" t="str">
        <f t="shared" si="36"/>
        <v>00</v>
      </c>
      <c r="AQ165" t="str">
        <f t="shared" si="31"/>
        <v xml:space="preserve">    (U4)0x0000001FU,                                                           /* 29 DISCONT                                         */</v>
      </c>
    </row>
    <row r="166" spans="2:43">
      <c r="B166" s="125"/>
      <c r="C166" s="42">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0</v>
      </c>
      <c r="AE166" s="117">
        <f t="shared" si="42"/>
        <v>1</v>
      </c>
      <c r="AF166" s="117">
        <f t="shared" si="42"/>
        <v>1</v>
      </c>
      <c r="AG166" s="117">
        <f t="shared" si="42"/>
        <v>1</v>
      </c>
      <c r="AH166" s="117">
        <f t="shared" si="42"/>
        <v>1</v>
      </c>
      <c r="AI166" s="117">
        <f t="shared" si="42"/>
        <v>1</v>
      </c>
      <c r="AJ166" s="42" t="str">
        <f t="shared" si="30"/>
        <v>DISCONT</v>
      </c>
      <c r="AK166" s="55"/>
      <c r="AL166" s="55" t="str">
        <f t="shared" si="33"/>
        <v>1F</v>
      </c>
      <c r="AM166" s="57" t="str">
        <f t="shared" si="34"/>
        <v>00</v>
      </c>
      <c r="AN166" s="57" t="str">
        <f t="shared" si="35"/>
        <v>00</v>
      </c>
      <c r="AO166" s="57" t="str">
        <f t="shared" si="36"/>
        <v>00</v>
      </c>
      <c r="AQ166" t="str">
        <f t="shared" si="31"/>
        <v xml:space="preserve">    (U4)0x0000001FU,                                                           /* 30 DISCONT                                         */</v>
      </c>
    </row>
    <row r="167" spans="2:43">
      <c r="B167" s="125"/>
      <c r="C167" s="42">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0</v>
      </c>
      <c r="AE167" s="117">
        <f t="shared" si="42"/>
        <v>1</v>
      </c>
      <c r="AF167" s="117">
        <f t="shared" si="42"/>
        <v>1</v>
      </c>
      <c r="AG167" s="117">
        <f t="shared" si="42"/>
        <v>1</v>
      </c>
      <c r="AH167" s="117">
        <f t="shared" si="42"/>
        <v>1</v>
      </c>
      <c r="AI167" s="117">
        <f t="shared" ref="AI167" si="43">IF(OR(AI37=0,AI37=1),1,0)</f>
        <v>1</v>
      </c>
      <c r="AJ167" s="42" t="str">
        <f t="shared" si="30"/>
        <v>DISCONT</v>
      </c>
      <c r="AK167" s="55"/>
      <c r="AL167" s="55" t="str">
        <f t="shared" si="33"/>
        <v>1F</v>
      </c>
      <c r="AM167" s="57" t="str">
        <f t="shared" si="34"/>
        <v>00</v>
      </c>
      <c r="AN167" s="57" t="str">
        <f t="shared" si="35"/>
        <v>00</v>
      </c>
      <c r="AO167" s="57" t="str">
        <f t="shared" si="36"/>
        <v>00</v>
      </c>
      <c r="AQ167" t="str">
        <f t="shared" si="31"/>
        <v xml:space="preserve">    (U4)0x0000001FU                                                            /* 31 DISCONT                                         */</v>
      </c>
    </row>
    <row r="168" spans="2:43">
      <c r="B168" s="125"/>
      <c r="C168" s="42">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0</v>
      </c>
      <c r="AE168" s="117">
        <f t="shared" si="44"/>
        <v>0</v>
      </c>
      <c r="AF168" s="117">
        <f t="shared" si="44"/>
        <v>0</v>
      </c>
      <c r="AG168" s="117">
        <f t="shared" si="44"/>
        <v>0</v>
      </c>
      <c r="AH168" s="117">
        <f t="shared" si="44"/>
        <v>0</v>
      </c>
      <c r="AI168" s="117">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25"/>
      <c r="C169" s="42">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0</v>
      </c>
      <c r="AE169" s="117">
        <f t="shared" si="44"/>
        <v>0</v>
      </c>
      <c r="AF169" s="117">
        <f t="shared" si="44"/>
        <v>0</v>
      </c>
      <c r="AG169" s="117">
        <f t="shared" si="44"/>
        <v>0</v>
      </c>
      <c r="AH169" s="117">
        <f t="shared" si="44"/>
        <v>0</v>
      </c>
      <c r="AI169" s="117">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25"/>
      <c r="C170" s="42">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0</v>
      </c>
      <c r="AE170" s="117">
        <f t="shared" si="44"/>
        <v>0</v>
      </c>
      <c r="AF170" s="117">
        <f t="shared" si="44"/>
        <v>0</v>
      </c>
      <c r="AG170" s="117">
        <f t="shared" si="44"/>
        <v>0</v>
      </c>
      <c r="AH170" s="117">
        <f t="shared" si="44"/>
        <v>0</v>
      </c>
      <c r="AI170" s="117">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25"/>
      <c r="C171" s="42">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0</v>
      </c>
      <c r="AE171" s="117">
        <f t="shared" si="44"/>
        <v>0</v>
      </c>
      <c r="AF171" s="117">
        <f t="shared" si="44"/>
        <v>0</v>
      </c>
      <c r="AG171" s="117">
        <f t="shared" si="44"/>
        <v>0</v>
      </c>
      <c r="AH171" s="117">
        <f t="shared" si="44"/>
        <v>0</v>
      </c>
      <c r="AI171" s="117">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25"/>
      <c r="C172" s="42">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0</v>
      </c>
      <c r="AE172" s="117">
        <f t="shared" si="44"/>
        <v>0</v>
      </c>
      <c r="AF172" s="117">
        <f t="shared" si="44"/>
        <v>0</v>
      </c>
      <c r="AG172" s="117">
        <f t="shared" si="44"/>
        <v>0</v>
      </c>
      <c r="AH172" s="117">
        <f t="shared" si="44"/>
        <v>0</v>
      </c>
      <c r="AI172" s="117">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25"/>
      <c r="C173" s="42">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0</v>
      </c>
      <c r="AE173" s="117">
        <f t="shared" si="44"/>
        <v>0</v>
      </c>
      <c r="AF173" s="117">
        <f t="shared" si="44"/>
        <v>0</v>
      </c>
      <c r="AG173" s="117">
        <f t="shared" si="44"/>
        <v>0</v>
      </c>
      <c r="AH173" s="117">
        <f t="shared" si="44"/>
        <v>0</v>
      </c>
      <c r="AI173" s="117">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25"/>
      <c r="C174" s="42">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0</v>
      </c>
      <c r="AE174" s="117">
        <f t="shared" si="44"/>
        <v>0</v>
      </c>
      <c r="AF174" s="117">
        <f t="shared" si="44"/>
        <v>0</v>
      </c>
      <c r="AG174" s="117">
        <f t="shared" si="44"/>
        <v>0</v>
      </c>
      <c r="AH174" s="117">
        <f t="shared" si="44"/>
        <v>0</v>
      </c>
      <c r="AI174" s="117">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25"/>
      <c r="C175" s="42">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0</v>
      </c>
      <c r="AE175" s="117">
        <f t="shared" si="44"/>
        <v>0</v>
      </c>
      <c r="AF175" s="117">
        <f t="shared" si="44"/>
        <v>0</v>
      </c>
      <c r="AG175" s="117">
        <f t="shared" si="44"/>
        <v>0</v>
      </c>
      <c r="AH175" s="117">
        <f t="shared" si="44"/>
        <v>0</v>
      </c>
      <c r="AI175" s="117">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25"/>
      <c r="C176" s="42">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0</v>
      </c>
      <c r="AE176" s="117">
        <f t="shared" si="46"/>
        <v>0</v>
      </c>
      <c r="AF176" s="117">
        <f t="shared" si="46"/>
        <v>0</v>
      </c>
      <c r="AG176" s="117">
        <f t="shared" si="46"/>
        <v>0</v>
      </c>
      <c r="AH176" s="117">
        <f t="shared" si="46"/>
        <v>0</v>
      </c>
      <c r="AI176" s="117">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25"/>
      <c r="C177" s="42">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0</v>
      </c>
      <c r="AE177" s="117">
        <f t="shared" si="46"/>
        <v>0</v>
      </c>
      <c r="AF177" s="117">
        <f t="shared" si="46"/>
        <v>0</v>
      </c>
      <c r="AG177" s="117">
        <f t="shared" si="46"/>
        <v>0</v>
      </c>
      <c r="AH177" s="117">
        <f t="shared" si="46"/>
        <v>0</v>
      </c>
      <c r="AI177" s="117">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25"/>
      <c r="C178" s="42">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0</v>
      </c>
      <c r="AE178" s="117">
        <f t="shared" si="46"/>
        <v>0</v>
      </c>
      <c r="AF178" s="117">
        <f t="shared" si="46"/>
        <v>0</v>
      </c>
      <c r="AG178" s="117">
        <f t="shared" si="46"/>
        <v>0</v>
      </c>
      <c r="AH178" s="117">
        <f t="shared" si="46"/>
        <v>0</v>
      </c>
      <c r="AI178" s="117">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25"/>
      <c r="C179" s="42">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0</v>
      </c>
      <c r="AE179" s="117">
        <f t="shared" si="46"/>
        <v>0</v>
      </c>
      <c r="AF179" s="117">
        <f t="shared" si="46"/>
        <v>0</v>
      </c>
      <c r="AG179" s="117">
        <f t="shared" si="46"/>
        <v>0</v>
      </c>
      <c r="AH179" s="117">
        <f t="shared" si="46"/>
        <v>0</v>
      </c>
      <c r="AI179" s="117">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25"/>
      <c r="C180" s="42">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0</v>
      </c>
      <c r="AE180" s="117">
        <f t="shared" si="46"/>
        <v>0</v>
      </c>
      <c r="AF180" s="117">
        <f t="shared" si="46"/>
        <v>0</v>
      </c>
      <c r="AG180" s="117">
        <f t="shared" si="46"/>
        <v>0</v>
      </c>
      <c r="AH180" s="117">
        <f t="shared" si="46"/>
        <v>0</v>
      </c>
      <c r="AI180" s="117">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25"/>
      <c r="C181" s="42">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0</v>
      </c>
      <c r="AE181" s="117">
        <f t="shared" si="46"/>
        <v>0</v>
      </c>
      <c r="AF181" s="117">
        <f t="shared" si="46"/>
        <v>0</v>
      </c>
      <c r="AG181" s="117">
        <f t="shared" si="46"/>
        <v>0</v>
      </c>
      <c r="AH181" s="117">
        <f t="shared" si="46"/>
        <v>0</v>
      </c>
      <c r="AI181" s="117">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25"/>
      <c r="C182" s="42">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0</v>
      </c>
      <c r="AE182" s="117">
        <f t="shared" si="46"/>
        <v>0</v>
      </c>
      <c r="AF182" s="117">
        <f t="shared" si="46"/>
        <v>0</v>
      </c>
      <c r="AG182" s="117">
        <f t="shared" si="46"/>
        <v>0</v>
      </c>
      <c r="AH182" s="117">
        <f t="shared" si="46"/>
        <v>0</v>
      </c>
      <c r="AI182" s="117">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25"/>
      <c r="C183" s="42">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0</v>
      </c>
      <c r="AE183" s="117">
        <f t="shared" si="46"/>
        <v>0</v>
      </c>
      <c r="AF183" s="117">
        <f t="shared" si="46"/>
        <v>0</v>
      </c>
      <c r="AG183" s="117">
        <f t="shared" si="46"/>
        <v>0</v>
      </c>
      <c r="AH183" s="117">
        <f t="shared" si="46"/>
        <v>0</v>
      </c>
      <c r="AI183" s="117">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25"/>
      <c r="C184" s="42">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0</v>
      </c>
      <c r="AE184" s="117">
        <f t="shared" si="48"/>
        <v>0</v>
      </c>
      <c r="AF184" s="117">
        <f t="shared" si="48"/>
        <v>0</v>
      </c>
      <c r="AG184" s="117">
        <f t="shared" si="48"/>
        <v>0</v>
      </c>
      <c r="AH184" s="117">
        <f t="shared" si="48"/>
        <v>0</v>
      </c>
      <c r="AI184" s="117">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25"/>
      <c r="C185" s="42">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0</v>
      </c>
      <c r="AE185" s="117">
        <f t="shared" si="48"/>
        <v>0</v>
      </c>
      <c r="AF185" s="117">
        <f t="shared" si="48"/>
        <v>0</v>
      </c>
      <c r="AG185" s="117">
        <f t="shared" si="48"/>
        <v>0</v>
      </c>
      <c r="AH185" s="117">
        <f t="shared" si="48"/>
        <v>0</v>
      </c>
      <c r="AI185" s="117">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25"/>
      <c r="C186" s="42">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0</v>
      </c>
      <c r="AE186" s="117">
        <f t="shared" si="48"/>
        <v>0</v>
      </c>
      <c r="AF186" s="117">
        <f t="shared" si="48"/>
        <v>0</v>
      </c>
      <c r="AG186" s="117">
        <f t="shared" si="48"/>
        <v>0</v>
      </c>
      <c r="AH186" s="117">
        <f t="shared" si="48"/>
        <v>0</v>
      </c>
      <c r="AI186" s="117">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25"/>
      <c r="C187" s="42">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0</v>
      </c>
      <c r="AE187" s="117">
        <f t="shared" si="48"/>
        <v>0</v>
      </c>
      <c r="AF187" s="117">
        <f t="shared" si="48"/>
        <v>0</v>
      </c>
      <c r="AG187" s="117">
        <f t="shared" si="48"/>
        <v>0</v>
      </c>
      <c r="AH187" s="117">
        <f t="shared" si="48"/>
        <v>0</v>
      </c>
      <c r="AI187" s="117">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25"/>
      <c r="C188" s="42">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0</v>
      </c>
      <c r="AE188" s="117">
        <f t="shared" si="48"/>
        <v>0</v>
      </c>
      <c r="AF188" s="117">
        <f t="shared" si="48"/>
        <v>0</v>
      </c>
      <c r="AG188" s="117">
        <f t="shared" si="48"/>
        <v>0</v>
      </c>
      <c r="AH188" s="117">
        <f t="shared" si="48"/>
        <v>0</v>
      </c>
      <c r="AI188" s="117">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25"/>
      <c r="C189" s="42">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0</v>
      </c>
      <c r="AE189" s="117">
        <f t="shared" si="48"/>
        <v>0</v>
      </c>
      <c r="AF189" s="117">
        <f t="shared" si="48"/>
        <v>0</v>
      </c>
      <c r="AG189" s="117">
        <f t="shared" si="48"/>
        <v>0</v>
      </c>
      <c r="AH189" s="117">
        <f t="shared" si="48"/>
        <v>0</v>
      </c>
      <c r="AI189" s="117">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25"/>
      <c r="C190" s="42">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0</v>
      </c>
      <c r="AE190" s="117">
        <f t="shared" si="48"/>
        <v>0</v>
      </c>
      <c r="AF190" s="117">
        <f t="shared" si="48"/>
        <v>0</v>
      </c>
      <c r="AG190" s="117">
        <f t="shared" si="48"/>
        <v>0</v>
      </c>
      <c r="AH190" s="117">
        <f t="shared" si="48"/>
        <v>0</v>
      </c>
      <c r="AI190" s="117">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25"/>
      <c r="C191" s="42">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0</v>
      </c>
      <c r="AE191" s="117">
        <f t="shared" si="48"/>
        <v>0</v>
      </c>
      <c r="AF191" s="117">
        <f t="shared" si="48"/>
        <v>0</v>
      </c>
      <c r="AG191" s="117">
        <f t="shared" si="48"/>
        <v>0</v>
      </c>
      <c r="AH191" s="117">
        <f t="shared" si="48"/>
        <v>0</v>
      </c>
      <c r="AI191" s="117">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25"/>
      <c r="C192" s="42">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0</v>
      </c>
      <c r="AE192" s="117">
        <f t="shared" si="50"/>
        <v>0</v>
      </c>
      <c r="AF192" s="117">
        <f t="shared" si="50"/>
        <v>0</v>
      </c>
      <c r="AG192" s="117">
        <f t="shared" si="50"/>
        <v>0</v>
      </c>
      <c r="AH192" s="117">
        <f t="shared" si="50"/>
        <v>0</v>
      </c>
      <c r="AI192" s="117">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25"/>
      <c r="C193" s="42">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0</v>
      </c>
      <c r="AE193" s="117">
        <f t="shared" si="50"/>
        <v>0</v>
      </c>
      <c r="AF193" s="117">
        <f t="shared" si="50"/>
        <v>0</v>
      </c>
      <c r="AG193" s="117">
        <f t="shared" si="50"/>
        <v>0</v>
      </c>
      <c r="AH193" s="117">
        <f t="shared" si="50"/>
        <v>0</v>
      </c>
      <c r="AI193" s="117">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25"/>
      <c r="C194" s="42">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0</v>
      </c>
      <c r="AE194" s="117">
        <f t="shared" si="50"/>
        <v>0</v>
      </c>
      <c r="AF194" s="117">
        <f t="shared" si="50"/>
        <v>0</v>
      </c>
      <c r="AG194" s="117">
        <f t="shared" si="50"/>
        <v>0</v>
      </c>
      <c r="AH194" s="117">
        <f t="shared" si="50"/>
        <v>0</v>
      </c>
      <c r="AI194" s="117">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25"/>
      <c r="C195" s="42">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0</v>
      </c>
      <c r="AE195" s="117">
        <f t="shared" si="50"/>
        <v>0</v>
      </c>
      <c r="AF195" s="117">
        <f t="shared" si="50"/>
        <v>0</v>
      </c>
      <c r="AG195" s="117">
        <f t="shared" si="50"/>
        <v>0</v>
      </c>
      <c r="AH195" s="117">
        <f t="shared" si="50"/>
        <v>0</v>
      </c>
      <c r="AI195" s="117">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25"/>
      <c r="C196" s="42">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0</v>
      </c>
      <c r="AE196" s="117">
        <f t="shared" si="50"/>
        <v>0</v>
      </c>
      <c r="AF196" s="117">
        <f t="shared" si="50"/>
        <v>0</v>
      </c>
      <c r="AG196" s="117">
        <f t="shared" si="50"/>
        <v>0</v>
      </c>
      <c r="AH196" s="117">
        <f t="shared" si="50"/>
        <v>0</v>
      </c>
      <c r="AI196" s="117">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25"/>
      <c r="C197" s="42">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0</v>
      </c>
      <c r="AE197" s="117">
        <f t="shared" si="50"/>
        <v>0</v>
      </c>
      <c r="AF197" s="117">
        <f t="shared" si="50"/>
        <v>0</v>
      </c>
      <c r="AG197" s="117">
        <f t="shared" si="50"/>
        <v>0</v>
      </c>
      <c r="AH197" s="117">
        <f t="shared" si="50"/>
        <v>0</v>
      </c>
      <c r="AI197" s="117">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25"/>
      <c r="C198" s="42">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0</v>
      </c>
      <c r="AE198" s="117">
        <f t="shared" si="50"/>
        <v>0</v>
      </c>
      <c r="AF198" s="117">
        <f t="shared" si="50"/>
        <v>0</v>
      </c>
      <c r="AG198" s="117">
        <f t="shared" si="50"/>
        <v>0</v>
      </c>
      <c r="AH198" s="117">
        <f t="shared" si="50"/>
        <v>0</v>
      </c>
      <c r="AI198" s="117">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26"/>
      <c r="C199" s="42">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0</v>
      </c>
      <c r="AE199" s="117">
        <f t="shared" si="50"/>
        <v>0</v>
      </c>
      <c r="AF199" s="117">
        <f t="shared" si="50"/>
        <v>0</v>
      </c>
      <c r="AG199" s="117">
        <f t="shared" si="50"/>
        <v>0</v>
      </c>
      <c r="AH199" s="117">
        <f t="shared" si="50"/>
        <v>0</v>
      </c>
      <c r="AI199" s="117">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L3:AD3 D38:AJ69 D6:AD37" name="Table作成編集範囲"/>
    <protectedRange sqref="AE3:AI3" name="Table作成編集範囲_1"/>
    <protectedRange sqref="AE6:AI37" name="Table作成編集範囲_2"/>
    <protectedRange sqref="AJ6:AJ37" name="Table作成編集範囲_3"/>
    <protectedRange sqref="B3" name="Table作成編集範囲_1_1"/>
  </protectedRanges>
  <mergeCells count="5">
    <mergeCell ref="C2:C3"/>
    <mergeCell ref="AJ2:AJ3"/>
    <mergeCell ref="A4:B5"/>
    <mergeCell ref="AE3:AF3"/>
    <mergeCell ref="AG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7C94-046D-49B6-BC04-DFFD705D4C85}">
  <dimension ref="A2:CS72"/>
  <sheetViews>
    <sheetView zoomScale="85" zoomScaleNormal="85" workbookViewId="0">
      <selection activeCell="R30" sqref="R30"/>
    </sheetView>
  </sheetViews>
  <sheetFormatPr defaultRowHeight="13.2"/>
  <cols>
    <col min="2" max="2" width="35.44140625" bestFit="1" customWidth="1"/>
    <col min="3" max="10" width="3.44140625" customWidth="1"/>
    <col min="11" max="11" width="19.6640625" bestFit="1" customWidth="1"/>
    <col min="12" max="12" width="25" customWidth="1"/>
    <col min="13" max="13" width="19.88671875" bestFit="1" customWidth="1"/>
    <col min="14" max="14" width="19.6640625" bestFit="1" customWidth="1"/>
    <col min="15" max="15" width="8.44140625" bestFit="1" customWidth="1"/>
    <col min="16" max="16" width="17.33203125" bestFit="1" customWidth="1"/>
    <col min="17" max="17" width="22" customWidth="1"/>
    <col min="18" max="18" width="11.88671875" bestFit="1" customWidth="1"/>
  </cols>
  <sheetData>
    <row r="2" spans="1:45" ht="15" thickBot="1">
      <c r="A2" s="84" t="s">
        <v>282</v>
      </c>
      <c r="B2" s="27" t="s">
        <v>285</v>
      </c>
      <c r="T2" s="84" t="s">
        <v>250</v>
      </c>
    </row>
    <row r="3" spans="1:45" ht="15" thickBot="1">
      <c r="B3" s="89" t="s">
        <v>126</v>
      </c>
      <c r="C3" s="331" t="s">
        <v>200</v>
      </c>
      <c r="D3" s="332"/>
      <c r="E3" s="332"/>
      <c r="F3" s="332"/>
      <c r="G3" s="332"/>
      <c r="H3" s="332"/>
      <c r="I3" s="332"/>
      <c r="J3" s="333"/>
      <c r="K3" s="165"/>
      <c r="L3" s="165"/>
      <c r="M3" s="168"/>
      <c r="N3" s="166"/>
      <c r="O3" s="166"/>
      <c r="P3" s="166"/>
      <c r="Q3" s="167"/>
    </row>
    <row r="4" spans="1:45">
      <c r="B4" s="65"/>
      <c r="C4" s="219" t="s">
        <v>201</v>
      </c>
      <c r="D4" s="219"/>
      <c r="E4" s="219"/>
      <c r="F4" s="219"/>
      <c r="G4" s="219"/>
      <c r="H4" s="219"/>
      <c r="I4" s="219"/>
      <c r="J4" s="219"/>
      <c r="K4" s="219"/>
      <c r="L4" s="219"/>
      <c r="M4" s="30" t="s">
        <v>48</v>
      </c>
      <c r="N4" s="220" t="s">
        <v>20</v>
      </c>
      <c r="O4" s="221"/>
      <c r="P4" s="221"/>
      <c r="Q4" s="222"/>
    </row>
    <row r="5" spans="1:45">
      <c r="B5" s="66" t="s">
        <v>21</v>
      </c>
      <c r="C5" s="334" t="s">
        <v>168</v>
      </c>
      <c r="D5" s="335"/>
      <c r="E5" s="335"/>
      <c r="F5" s="335"/>
      <c r="G5" s="335"/>
      <c r="H5" s="335"/>
      <c r="I5" s="335"/>
      <c r="J5" s="336"/>
      <c r="K5" s="28" t="s">
        <v>22</v>
      </c>
      <c r="L5" s="81"/>
      <c r="M5" s="256" t="s">
        <v>277</v>
      </c>
      <c r="N5" s="192" t="s">
        <v>23</v>
      </c>
      <c r="O5" s="193" t="s">
        <v>24</v>
      </c>
      <c r="P5" s="1" t="s">
        <v>25</v>
      </c>
      <c r="Q5" s="132" t="s">
        <v>26</v>
      </c>
    </row>
    <row r="6" spans="1:45">
      <c r="B6" s="66" t="s">
        <v>34</v>
      </c>
      <c r="C6" s="159" t="s">
        <v>161</v>
      </c>
      <c r="D6" s="159" t="s">
        <v>161</v>
      </c>
      <c r="E6" s="159" t="s">
        <v>161</v>
      </c>
      <c r="F6" s="159" t="s">
        <v>161</v>
      </c>
      <c r="G6" s="159" t="s">
        <v>161</v>
      </c>
      <c r="H6" s="159" t="s">
        <v>161</v>
      </c>
      <c r="I6" s="159" t="s">
        <v>161</v>
      </c>
      <c r="J6" s="159" t="s">
        <v>161</v>
      </c>
      <c r="K6" s="130" t="s">
        <v>99</v>
      </c>
      <c r="L6" s="131" t="s">
        <v>99</v>
      </c>
      <c r="M6" s="31" t="s">
        <v>202</v>
      </c>
      <c r="N6" s="194"/>
      <c r="O6" s="195"/>
      <c r="P6" s="196"/>
      <c r="Q6" s="132"/>
    </row>
    <row r="7" spans="1:45" ht="26.4">
      <c r="B7" s="67" t="s">
        <v>27</v>
      </c>
      <c r="C7" s="337" t="s">
        <v>36</v>
      </c>
      <c r="D7" s="335"/>
      <c r="E7" s="335"/>
      <c r="F7" s="335"/>
      <c r="G7" s="335"/>
      <c r="H7" s="335"/>
      <c r="I7" s="335"/>
      <c r="J7" s="336"/>
      <c r="K7" s="1" t="s">
        <v>203</v>
      </c>
      <c r="L7" s="28" t="s">
        <v>203</v>
      </c>
      <c r="M7" s="32"/>
      <c r="N7" s="194"/>
      <c r="O7" s="195"/>
      <c r="P7" s="196"/>
      <c r="Q7" s="132"/>
    </row>
    <row r="8" spans="1:45" ht="133.19999999999999">
      <c r="B8" s="66" t="s">
        <v>28</v>
      </c>
      <c r="C8" s="160" t="s">
        <v>204</v>
      </c>
      <c r="D8" s="160" t="s">
        <v>59</v>
      </c>
      <c r="E8" s="160" t="s">
        <v>205</v>
      </c>
      <c r="F8" s="160" t="s">
        <v>206</v>
      </c>
      <c r="G8" s="160" t="s">
        <v>207</v>
      </c>
      <c r="H8" s="160" t="s">
        <v>208</v>
      </c>
      <c r="I8" s="160" t="s">
        <v>209</v>
      </c>
      <c r="J8" s="160" t="s">
        <v>210</v>
      </c>
      <c r="K8" s="1" t="s">
        <v>198</v>
      </c>
      <c r="L8" s="28" t="s">
        <v>244</v>
      </c>
      <c r="M8" s="31" t="s">
        <v>29</v>
      </c>
      <c r="N8" s="194"/>
      <c r="O8" s="195"/>
      <c r="P8" s="196"/>
      <c r="Q8" s="132"/>
    </row>
    <row r="9" spans="1:45" ht="53.4" thickBot="1">
      <c r="A9" s="84" t="s">
        <v>282</v>
      </c>
      <c r="B9" s="68" t="s">
        <v>30</v>
      </c>
      <c r="C9" s="161" t="s">
        <v>211</v>
      </c>
      <c r="D9" s="161" t="s">
        <v>161</v>
      </c>
      <c r="E9" s="161" t="s">
        <v>211</v>
      </c>
      <c r="F9" s="161" t="s">
        <v>211</v>
      </c>
      <c r="G9" s="161" t="s">
        <v>211</v>
      </c>
      <c r="H9" s="161" t="s">
        <v>211</v>
      </c>
      <c r="I9" s="161" t="s">
        <v>211</v>
      </c>
      <c r="J9" s="161" t="s">
        <v>211</v>
      </c>
      <c r="K9" s="29" t="s">
        <v>80</v>
      </c>
      <c r="L9" s="257" t="s">
        <v>268</v>
      </c>
      <c r="M9" s="258" t="s">
        <v>280</v>
      </c>
      <c r="N9" s="197"/>
      <c r="O9" s="198"/>
      <c r="P9" s="262" t="s">
        <v>286</v>
      </c>
      <c r="Q9" s="133"/>
    </row>
    <row r="10" spans="1:45" ht="13.8" thickTop="1">
      <c r="B10" s="69" t="s">
        <v>212</v>
      </c>
      <c r="C10" s="162" t="s">
        <v>160</v>
      </c>
      <c r="D10" s="162" t="s">
        <v>160</v>
      </c>
      <c r="E10" s="162" t="s">
        <v>160</v>
      </c>
      <c r="F10" s="162" t="s">
        <v>160</v>
      </c>
      <c r="G10" s="162" t="s">
        <v>160</v>
      </c>
      <c r="H10" s="162" t="s">
        <v>160</v>
      </c>
      <c r="I10" s="162" t="s">
        <v>160</v>
      </c>
      <c r="J10" s="162" t="s">
        <v>160</v>
      </c>
      <c r="K10" s="34" t="s">
        <v>32</v>
      </c>
      <c r="L10" s="35" t="s">
        <v>213</v>
      </c>
      <c r="M10" s="36" t="s">
        <v>107</v>
      </c>
      <c r="N10" s="199"/>
      <c r="O10" s="200"/>
      <c r="P10" s="34" t="s">
        <v>161</v>
      </c>
      <c r="Q10" s="134"/>
    </row>
    <row r="11" spans="1:45">
      <c r="A11" s="263" t="s">
        <v>275</v>
      </c>
      <c r="B11" s="22" t="s">
        <v>214</v>
      </c>
      <c r="C11" s="163" t="s">
        <v>160</v>
      </c>
      <c r="D11" s="163" t="s">
        <v>160</v>
      </c>
      <c r="E11" s="163" t="s">
        <v>160</v>
      </c>
      <c r="F11" s="163" t="s">
        <v>160</v>
      </c>
      <c r="G11" s="163" t="s">
        <v>160</v>
      </c>
      <c r="H11" s="163" t="s">
        <v>160</v>
      </c>
      <c r="I11" s="163" t="s">
        <v>160</v>
      </c>
      <c r="J11" s="163" t="s">
        <v>160</v>
      </c>
      <c r="K11" s="217" t="s">
        <v>215</v>
      </c>
      <c r="L11" s="33" t="s">
        <v>216</v>
      </c>
      <c r="M11" s="260" t="s">
        <v>107</v>
      </c>
      <c r="N11" s="201"/>
      <c r="O11" s="202"/>
      <c r="P11" s="217" t="s">
        <v>161</v>
      </c>
      <c r="Q11" s="135"/>
    </row>
    <row r="12" spans="1:45">
      <c r="A12" s="84" t="s">
        <v>282</v>
      </c>
      <c r="B12" s="22" t="s">
        <v>217</v>
      </c>
      <c r="C12" s="163" t="s">
        <v>160</v>
      </c>
      <c r="D12" s="163" t="s">
        <v>160</v>
      </c>
      <c r="E12" s="163" t="s">
        <v>160</v>
      </c>
      <c r="F12" s="163" t="s">
        <v>160</v>
      </c>
      <c r="G12" s="163" t="s">
        <v>160</v>
      </c>
      <c r="H12" s="163" t="s">
        <v>160</v>
      </c>
      <c r="I12" s="163" t="s">
        <v>160</v>
      </c>
      <c r="J12" s="163" t="s">
        <v>160</v>
      </c>
      <c r="K12" s="217" t="s">
        <v>32</v>
      </c>
      <c r="L12" s="33" t="s">
        <v>218</v>
      </c>
      <c r="M12" s="259" t="s">
        <v>278</v>
      </c>
      <c r="N12" s="201"/>
      <c r="O12" s="202"/>
      <c r="P12" s="217" t="s">
        <v>287</v>
      </c>
      <c r="Q12" s="135"/>
    </row>
    <row r="13" spans="1:45">
      <c r="A13" s="263" t="s">
        <v>275</v>
      </c>
      <c r="B13" s="22" t="s">
        <v>214</v>
      </c>
      <c r="C13" s="163" t="s">
        <v>160</v>
      </c>
      <c r="D13" s="163" t="s">
        <v>160</v>
      </c>
      <c r="E13" s="163" t="s">
        <v>160</v>
      </c>
      <c r="F13" s="163" t="s">
        <v>160</v>
      </c>
      <c r="G13" s="163" t="s">
        <v>160</v>
      </c>
      <c r="H13" s="163" t="s">
        <v>160</v>
      </c>
      <c r="I13" s="163" t="s">
        <v>160</v>
      </c>
      <c r="J13" s="163" t="s">
        <v>160</v>
      </c>
      <c r="K13" s="217" t="s">
        <v>32</v>
      </c>
      <c r="L13" s="33" t="s">
        <v>219</v>
      </c>
      <c r="M13" s="261" t="s">
        <v>107</v>
      </c>
      <c r="N13" s="201"/>
      <c r="O13" s="202"/>
      <c r="P13" s="217" t="s">
        <v>161</v>
      </c>
      <c r="Q13" s="135"/>
      <c r="AS13" s="84"/>
    </row>
    <row r="14" spans="1:45">
      <c r="B14" s="22" t="s">
        <v>220</v>
      </c>
      <c r="C14" s="163" t="s">
        <v>160</v>
      </c>
      <c r="D14" s="163" t="s">
        <v>160</v>
      </c>
      <c r="E14" s="163" t="s">
        <v>160</v>
      </c>
      <c r="F14" s="163" t="s">
        <v>160</v>
      </c>
      <c r="G14" s="163" t="s">
        <v>160</v>
      </c>
      <c r="H14" s="163" t="s">
        <v>160</v>
      </c>
      <c r="I14" s="163" t="s">
        <v>160</v>
      </c>
      <c r="J14" s="163" t="s">
        <v>160</v>
      </c>
      <c r="K14" s="217" t="s">
        <v>32</v>
      </c>
      <c r="L14" s="33" t="s">
        <v>221</v>
      </c>
      <c r="M14" s="37" t="s">
        <v>107</v>
      </c>
      <c r="N14" s="201"/>
      <c r="O14" s="202"/>
      <c r="P14" s="217" t="s">
        <v>161</v>
      </c>
      <c r="Q14" s="135"/>
    </row>
    <row r="15" spans="1:45">
      <c r="B15" s="22" t="s">
        <v>220</v>
      </c>
      <c r="C15" s="163" t="s">
        <v>160</v>
      </c>
      <c r="D15" s="163" t="s">
        <v>160</v>
      </c>
      <c r="E15" s="163" t="s">
        <v>160</v>
      </c>
      <c r="F15" s="163" t="s">
        <v>160</v>
      </c>
      <c r="G15" s="163" t="s">
        <v>160</v>
      </c>
      <c r="H15" s="163" t="s">
        <v>160</v>
      </c>
      <c r="I15" s="163" t="s">
        <v>160</v>
      </c>
      <c r="J15" s="163" t="s">
        <v>160</v>
      </c>
      <c r="K15" s="217" t="s">
        <v>32</v>
      </c>
      <c r="L15" s="33" t="s">
        <v>222</v>
      </c>
      <c r="M15" s="37" t="s">
        <v>107</v>
      </c>
      <c r="N15" s="201"/>
      <c r="O15" s="202"/>
      <c r="P15" s="217" t="s">
        <v>161</v>
      </c>
      <c r="Q15" s="135"/>
    </row>
    <row r="16" spans="1:45">
      <c r="B16" s="22" t="s">
        <v>223</v>
      </c>
      <c r="C16" s="163" t="s">
        <v>160</v>
      </c>
      <c r="D16" s="163" t="s">
        <v>160</v>
      </c>
      <c r="E16" s="163" t="s">
        <v>160</v>
      </c>
      <c r="F16" s="163" t="s">
        <v>160</v>
      </c>
      <c r="G16" s="163" t="s">
        <v>160</v>
      </c>
      <c r="H16" s="163" t="s">
        <v>160</v>
      </c>
      <c r="I16" s="163" t="s">
        <v>160</v>
      </c>
      <c r="J16" s="163" t="s">
        <v>160</v>
      </c>
      <c r="K16" s="217" t="s">
        <v>32</v>
      </c>
      <c r="L16" s="33" t="s">
        <v>224</v>
      </c>
      <c r="M16" s="37" t="s">
        <v>225</v>
      </c>
      <c r="N16" s="201"/>
      <c r="O16" s="202"/>
      <c r="P16" s="217" t="s">
        <v>239</v>
      </c>
      <c r="Q16" s="135"/>
    </row>
    <row r="17" spans="1:17">
      <c r="B17" s="22" t="s">
        <v>220</v>
      </c>
      <c r="C17" s="163" t="s">
        <v>160</v>
      </c>
      <c r="D17" s="163" t="s">
        <v>160</v>
      </c>
      <c r="E17" s="163" t="s">
        <v>160</v>
      </c>
      <c r="F17" s="163" t="s">
        <v>160</v>
      </c>
      <c r="G17" s="163" t="s">
        <v>160</v>
      </c>
      <c r="H17" s="163" t="s">
        <v>160</v>
      </c>
      <c r="I17" s="163" t="s">
        <v>160</v>
      </c>
      <c r="J17" s="163" t="s">
        <v>160</v>
      </c>
      <c r="K17" s="217" t="s">
        <v>32</v>
      </c>
      <c r="L17" s="33" t="s">
        <v>226</v>
      </c>
      <c r="M17" s="37" t="s">
        <v>107</v>
      </c>
      <c r="N17" s="201"/>
      <c r="O17" s="202"/>
      <c r="P17" s="217" t="s">
        <v>161</v>
      </c>
      <c r="Q17" s="135"/>
    </row>
    <row r="18" spans="1:17">
      <c r="B18" s="22" t="s">
        <v>227</v>
      </c>
      <c r="C18" s="163" t="s">
        <v>160</v>
      </c>
      <c r="D18" s="163" t="s">
        <v>160</v>
      </c>
      <c r="E18" s="163" t="s">
        <v>160</v>
      </c>
      <c r="F18" s="163" t="s">
        <v>160</v>
      </c>
      <c r="G18" s="163" t="s">
        <v>160</v>
      </c>
      <c r="H18" s="163" t="s">
        <v>160</v>
      </c>
      <c r="I18" s="163" t="s">
        <v>160</v>
      </c>
      <c r="J18" s="163" t="s">
        <v>160</v>
      </c>
      <c r="K18" s="217" t="s">
        <v>228</v>
      </c>
      <c r="L18" s="33" t="s">
        <v>229</v>
      </c>
      <c r="M18" s="37" t="s">
        <v>107</v>
      </c>
      <c r="N18" s="201"/>
      <c r="O18" s="202"/>
      <c r="P18" s="217" t="s">
        <v>161</v>
      </c>
      <c r="Q18" s="135"/>
    </row>
    <row r="19" spans="1:17">
      <c r="A19" s="84" t="s">
        <v>282</v>
      </c>
      <c r="B19" s="22" t="s">
        <v>230</v>
      </c>
      <c r="C19" s="163" t="s">
        <v>160</v>
      </c>
      <c r="D19" s="163" t="s">
        <v>160</v>
      </c>
      <c r="E19" s="163" t="s">
        <v>160</v>
      </c>
      <c r="F19" s="163" t="s">
        <v>160</v>
      </c>
      <c r="G19" s="163" t="s">
        <v>160</v>
      </c>
      <c r="H19" s="163" t="s">
        <v>160</v>
      </c>
      <c r="I19" s="163" t="s">
        <v>160</v>
      </c>
      <c r="J19" s="163" t="s">
        <v>160</v>
      </c>
      <c r="K19" s="217" t="s">
        <v>231</v>
      </c>
      <c r="L19" s="33" t="s">
        <v>229</v>
      </c>
      <c r="M19" s="259" t="s">
        <v>278</v>
      </c>
      <c r="N19" s="201"/>
      <c r="O19" s="202"/>
      <c r="P19" s="264" t="s">
        <v>287</v>
      </c>
      <c r="Q19" s="135"/>
    </row>
    <row r="20" spans="1:17">
      <c r="A20" s="84" t="s">
        <v>282</v>
      </c>
      <c r="B20" s="206" t="s">
        <v>232</v>
      </c>
      <c r="C20" s="207" t="s">
        <v>160</v>
      </c>
      <c r="D20" s="207" t="s">
        <v>160</v>
      </c>
      <c r="E20" s="207" t="s">
        <v>160</v>
      </c>
      <c r="F20" s="207" t="s">
        <v>160</v>
      </c>
      <c r="G20" s="207" t="s">
        <v>160</v>
      </c>
      <c r="H20" s="207" t="s">
        <v>160</v>
      </c>
      <c r="I20" s="207" t="s">
        <v>160</v>
      </c>
      <c r="J20" s="207" t="s">
        <v>160</v>
      </c>
      <c r="K20" s="218" t="s">
        <v>235</v>
      </c>
      <c r="L20" s="208" t="s">
        <v>236</v>
      </c>
      <c r="M20" s="259" t="s">
        <v>278</v>
      </c>
      <c r="N20" s="209"/>
      <c r="O20" s="210"/>
      <c r="P20" s="264" t="s">
        <v>287</v>
      </c>
      <c r="Q20" s="211"/>
    </row>
    <row r="21" spans="1:17" ht="18" customHeight="1" thickBot="1">
      <c r="B21" s="23" t="s">
        <v>238</v>
      </c>
      <c r="C21" s="164" t="s">
        <v>160</v>
      </c>
      <c r="D21" s="164" t="s">
        <v>160</v>
      </c>
      <c r="E21" s="164" t="s">
        <v>160</v>
      </c>
      <c r="F21" s="164" t="s">
        <v>160</v>
      </c>
      <c r="G21" s="164" t="s">
        <v>160</v>
      </c>
      <c r="H21" s="164" t="s">
        <v>160</v>
      </c>
      <c r="I21" s="164" t="s">
        <v>160</v>
      </c>
      <c r="J21" s="164" t="s">
        <v>160</v>
      </c>
      <c r="K21" s="38" t="s">
        <v>237</v>
      </c>
      <c r="L21" s="39" t="s">
        <v>236</v>
      </c>
      <c r="M21" s="40" t="s">
        <v>33</v>
      </c>
      <c r="N21" s="203"/>
      <c r="O21" s="204"/>
      <c r="P21" s="38" t="s">
        <v>31</v>
      </c>
      <c r="Q21" s="136"/>
    </row>
    <row r="59" spans="71:97">
      <c r="BS59" s="239"/>
      <c r="BT59" s="239"/>
      <c r="BU59" s="239"/>
      <c r="BV59" s="239"/>
      <c r="BW59" s="239"/>
      <c r="BX59" s="239"/>
      <c r="BY59" s="239"/>
      <c r="BZ59" s="239"/>
      <c r="CA59" s="239"/>
      <c r="CB59" s="239"/>
      <c r="CC59" s="239"/>
      <c r="CD59" s="239"/>
      <c r="CE59" s="239"/>
      <c r="CF59" s="239"/>
      <c r="CG59" s="239"/>
      <c r="CH59" s="239"/>
      <c r="CI59" s="239"/>
      <c r="CJ59" s="239"/>
      <c r="CK59" s="239"/>
      <c r="CL59" s="239"/>
      <c r="CM59" s="239"/>
      <c r="CN59" s="239"/>
      <c r="CO59" s="239"/>
      <c r="CP59" s="239"/>
      <c r="CQ59" s="239"/>
      <c r="CR59" s="239"/>
      <c r="CS59" s="239"/>
    </row>
    <row r="60" spans="71:97">
      <c r="BS60" s="239"/>
      <c r="BT60" s="239"/>
      <c r="BU60" s="239"/>
      <c r="BV60" s="239"/>
      <c r="BW60" s="239"/>
      <c r="BX60" s="239"/>
      <c r="BY60" s="239"/>
      <c r="BZ60" s="239"/>
      <c r="CA60" s="239"/>
      <c r="CB60" s="239"/>
      <c r="CC60" s="239"/>
      <c r="CD60" s="239"/>
      <c r="CE60" s="239"/>
      <c r="CF60" s="239"/>
      <c r="CG60" s="239"/>
      <c r="CH60" s="239"/>
      <c r="CI60" s="239"/>
      <c r="CJ60" s="239"/>
      <c r="CK60" s="239"/>
      <c r="CL60" s="239"/>
      <c r="CM60" s="239"/>
      <c r="CN60" s="239"/>
      <c r="CO60" s="239"/>
      <c r="CP60" s="239"/>
      <c r="CQ60" s="239"/>
      <c r="CR60" s="239"/>
      <c r="CS60" s="239"/>
    </row>
    <row r="61" spans="71:97">
      <c r="BS61" s="240"/>
      <c r="BT61" s="239"/>
      <c r="BU61" s="239"/>
      <c r="BV61" s="239"/>
      <c r="BW61" s="239"/>
      <c r="BX61" s="239"/>
      <c r="BY61" s="239"/>
      <c r="BZ61" s="239"/>
      <c r="CA61" s="239"/>
      <c r="CB61" s="239"/>
      <c r="CC61" s="239"/>
      <c r="CD61" s="239"/>
      <c r="CE61" s="239"/>
      <c r="CF61" s="239"/>
      <c r="CG61" s="239"/>
      <c r="CH61" s="239"/>
      <c r="CI61" s="239"/>
      <c r="CJ61" s="239"/>
      <c r="CK61" s="239"/>
      <c r="CL61" s="239"/>
      <c r="CM61" s="239"/>
      <c r="CN61" s="239"/>
      <c r="CO61" s="239"/>
      <c r="CP61" s="239"/>
      <c r="CQ61" s="239"/>
      <c r="CR61" s="239"/>
      <c r="CS61" s="239"/>
    </row>
    <row r="62" spans="71:97">
      <c r="BS62" s="239"/>
      <c r="BT62" s="239"/>
      <c r="BU62" s="239"/>
      <c r="BV62" s="239"/>
      <c r="BW62" s="239"/>
      <c r="BX62" s="239"/>
      <c r="BY62" s="239"/>
      <c r="BZ62" s="239"/>
      <c r="CA62" s="239"/>
      <c r="CB62" s="239"/>
      <c r="CC62" s="239"/>
      <c r="CD62" s="239"/>
      <c r="CE62" s="239"/>
      <c r="CF62" s="239"/>
      <c r="CG62" s="239"/>
      <c r="CH62" s="239"/>
      <c r="CI62" s="239"/>
      <c r="CJ62" s="239"/>
      <c r="CK62" s="239"/>
      <c r="CL62" s="239"/>
      <c r="CM62" s="239"/>
      <c r="CN62" s="239"/>
      <c r="CO62" s="239"/>
      <c r="CP62" s="239"/>
      <c r="CQ62" s="239"/>
      <c r="CR62" s="239"/>
      <c r="CS62" s="239"/>
    </row>
    <row r="63" spans="71:97">
      <c r="BS63" s="239"/>
      <c r="BT63" s="239"/>
      <c r="BU63" s="239"/>
      <c r="BV63" s="239"/>
      <c r="BW63" s="239"/>
      <c r="BX63" s="239"/>
      <c r="BY63" s="239"/>
      <c r="BZ63" s="239"/>
      <c r="CA63" s="239"/>
      <c r="CB63" s="239"/>
      <c r="CC63" s="239"/>
      <c r="CD63" s="239"/>
      <c r="CE63" s="239"/>
      <c r="CF63" s="239"/>
      <c r="CG63" s="239"/>
      <c r="CH63" s="239"/>
      <c r="CI63" s="239"/>
      <c r="CJ63" s="239"/>
      <c r="CK63" s="239"/>
      <c r="CL63" s="239"/>
      <c r="CM63" s="239"/>
      <c r="CN63" s="239"/>
      <c r="CO63" s="239"/>
      <c r="CP63" s="239"/>
      <c r="CQ63" s="239"/>
      <c r="CR63" s="239"/>
      <c r="CS63" s="239"/>
    </row>
    <row r="64" spans="71:97">
      <c r="BS64" s="239"/>
      <c r="BT64" s="239"/>
      <c r="BU64" s="239"/>
      <c r="BV64" s="239"/>
      <c r="BW64" s="239"/>
      <c r="BX64" s="239"/>
      <c r="BY64" s="239"/>
      <c r="BZ64" s="239"/>
      <c r="CA64" s="239"/>
      <c r="CB64" s="239"/>
      <c r="CC64" s="239"/>
      <c r="CD64" s="239"/>
      <c r="CE64" s="239"/>
      <c r="CF64" s="239"/>
      <c r="CG64" s="239"/>
      <c r="CH64" s="239"/>
      <c r="CI64" s="239"/>
      <c r="CJ64" s="239"/>
      <c r="CK64" s="239"/>
      <c r="CL64" s="239"/>
      <c r="CM64" s="239"/>
      <c r="CN64" s="239"/>
      <c r="CO64" s="239"/>
      <c r="CP64" s="239"/>
      <c r="CQ64" s="239"/>
      <c r="CR64" s="239"/>
      <c r="CS64" s="239"/>
    </row>
    <row r="65" spans="71:97">
      <c r="BS65" s="239"/>
      <c r="BT65" s="239"/>
      <c r="BU65" s="239"/>
      <c r="BV65" s="239"/>
      <c r="BW65" s="239"/>
      <c r="BX65" s="239"/>
      <c r="BY65" s="239"/>
      <c r="BZ65" s="239"/>
      <c r="CA65" s="239"/>
      <c r="CB65" s="239"/>
      <c r="CC65" s="239"/>
      <c r="CD65" s="239"/>
      <c r="CE65" s="239"/>
      <c r="CF65" s="239"/>
      <c r="CG65" s="239"/>
      <c r="CH65" s="239"/>
      <c r="CI65" s="239"/>
      <c r="CJ65" s="239"/>
      <c r="CK65" s="239"/>
      <c r="CL65" s="239"/>
      <c r="CM65" s="239"/>
      <c r="CN65" s="239"/>
      <c r="CO65" s="239"/>
      <c r="CP65" s="239"/>
      <c r="CQ65" s="239"/>
      <c r="CR65" s="239"/>
      <c r="CS65" s="239"/>
    </row>
    <row r="66" spans="71:97">
      <c r="BS66" s="239"/>
      <c r="BT66" s="239"/>
      <c r="BU66" s="239"/>
      <c r="BV66" s="239"/>
      <c r="BW66" s="239"/>
      <c r="BX66" s="239"/>
      <c r="BY66" s="239"/>
      <c r="BZ66" s="239"/>
      <c r="CA66" s="239"/>
      <c r="CB66" s="239"/>
      <c r="CC66" s="239"/>
      <c r="CD66" s="239"/>
      <c r="CE66" s="239"/>
      <c r="CF66" s="239"/>
      <c r="CG66" s="239"/>
      <c r="CH66" s="239"/>
      <c r="CI66" s="239"/>
      <c r="CJ66" s="239"/>
      <c r="CK66" s="239"/>
      <c r="CL66" s="239"/>
      <c r="CM66" s="239"/>
      <c r="CN66" s="239"/>
      <c r="CO66" s="239"/>
      <c r="CP66" s="239"/>
      <c r="CQ66" s="239"/>
      <c r="CR66" s="239"/>
      <c r="CS66" s="239"/>
    </row>
    <row r="67" spans="71:97">
      <c r="BS67" s="239"/>
      <c r="BT67" s="239"/>
      <c r="BU67" s="239"/>
      <c r="BV67" s="239"/>
      <c r="BW67" s="239"/>
      <c r="BX67" s="239"/>
      <c r="BY67" s="239"/>
      <c r="BZ67" s="239"/>
      <c r="CA67" s="239"/>
      <c r="CB67" s="239"/>
      <c r="CC67" s="239"/>
      <c r="CD67" s="239"/>
      <c r="CE67" s="239"/>
      <c r="CF67" s="239"/>
      <c r="CG67" s="239"/>
      <c r="CH67" s="239"/>
      <c r="CI67" s="239"/>
      <c r="CJ67" s="239"/>
      <c r="CK67" s="239"/>
      <c r="CL67" s="239"/>
      <c r="CM67" s="239"/>
      <c r="CN67" s="239"/>
      <c r="CO67" s="239"/>
      <c r="CP67" s="239"/>
      <c r="CQ67" s="239"/>
      <c r="CR67" s="239"/>
      <c r="CS67" s="239"/>
    </row>
    <row r="68" spans="71:97">
      <c r="BS68" s="239"/>
      <c r="BT68" s="239"/>
      <c r="BU68" s="239"/>
      <c r="BV68" s="239"/>
      <c r="BW68" s="239"/>
      <c r="BX68" s="239"/>
      <c r="BY68" s="239"/>
      <c r="BZ68" s="239"/>
      <c r="CA68" s="239"/>
      <c r="CB68" s="239"/>
      <c r="CC68" s="239"/>
      <c r="CD68" s="239"/>
      <c r="CE68" s="239"/>
      <c r="CF68" s="239"/>
      <c r="CG68" s="239"/>
      <c r="CH68" s="239"/>
      <c r="CI68" s="239"/>
      <c r="CJ68" s="239"/>
      <c r="CK68" s="239"/>
      <c r="CL68" s="239"/>
      <c r="CM68" s="239"/>
      <c r="CN68" s="239"/>
      <c r="CO68" s="239"/>
      <c r="CP68" s="239"/>
      <c r="CQ68" s="239"/>
      <c r="CR68" s="239"/>
      <c r="CS68" s="239"/>
    </row>
    <row r="69" spans="71:97">
      <c r="BS69" s="239"/>
      <c r="BT69" s="239"/>
      <c r="BU69" s="239"/>
      <c r="BV69" s="239"/>
      <c r="BW69" s="239"/>
      <c r="BX69" s="239"/>
      <c r="BY69" s="239"/>
      <c r="BZ69" s="239"/>
      <c r="CA69" s="239"/>
      <c r="CB69" s="239"/>
      <c r="CC69" s="239"/>
      <c r="CD69" s="239"/>
      <c r="CE69" s="239"/>
      <c r="CF69" s="239"/>
      <c r="CG69" s="239"/>
      <c r="CH69" s="239"/>
      <c r="CI69" s="239"/>
      <c r="CJ69" s="239"/>
      <c r="CK69" s="239"/>
      <c r="CL69" s="239"/>
      <c r="CM69" s="239"/>
      <c r="CN69" s="239"/>
      <c r="CO69" s="239"/>
      <c r="CP69" s="239"/>
      <c r="CQ69" s="239"/>
      <c r="CR69" s="239"/>
      <c r="CS69" s="239"/>
    </row>
    <row r="70" spans="71:97">
      <c r="BS70" s="239"/>
      <c r="BT70" s="239"/>
      <c r="BU70" s="239"/>
      <c r="BV70" s="239"/>
      <c r="BW70" s="239"/>
      <c r="BX70" s="239"/>
      <c r="BY70" s="239"/>
      <c r="BZ70" s="239"/>
      <c r="CA70" s="239"/>
      <c r="CB70" s="239"/>
      <c r="CC70" s="239"/>
      <c r="CD70" s="239"/>
      <c r="CE70" s="239"/>
      <c r="CF70" s="239"/>
      <c r="CG70" s="239"/>
      <c r="CH70" s="239"/>
      <c r="CI70" s="239"/>
      <c r="CJ70" s="239"/>
      <c r="CK70" s="239"/>
      <c r="CL70" s="239"/>
      <c r="CM70" s="239"/>
      <c r="CN70" s="239"/>
      <c r="CO70" s="239"/>
      <c r="CP70" s="239"/>
      <c r="CQ70" s="239"/>
      <c r="CR70" s="239"/>
      <c r="CS70" s="239"/>
    </row>
    <row r="71" spans="71:97">
      <c r="BS71" s="239"/>
      <c r="BT71" s="239"/>
      <c r="BU71" s="239"/>
      <c r="BV71" s="239"/>
      <c r="BW71" s="239"/>
      <c r="BX71" s="239"/>
      <c r="BY71" s="239"/>
      <c r="BZ71" s="239"/>
      <c r="CA71" s="239"/>
      <c r="CB71" s="239"/>
      <c r="CC71" s="239"/>
      <c r="CD71" s="239"/>
      <c r="CE71" s="239"/>
      <c r="CF71" s="239"/>
      <c r="CG71" s="239"/>
      <c r="CH71" s="239"/>
      <c r="CI71" s="239"/>
      <c r="CJ71" s="239"/>
      <c r="CK71" s="239"/>
      <c r="CL71" s="239"/>
      <c r="CM71" s="239"/>
      <c r="CN71" s="239"/>
      <c r="CO71" s="239"/>
      <c r="CP71" s="239"/>
      <c r="CQ71" s="239"/>
      <c r="CR71" s="239"/>
      <c r="CS71" s="239"/>
    </row>
    <row r="72" spans="71:97">
      <c r="BS72" s="239"/>
      <c r="BT72" s="239"/>
      <c r="BU72" s="239"/>
      <c r="BV72" s="239"/>
      <c r="BW72" s="239"/>
      <c r="BX72" s="239"/>
      <c r="BY72" s="239"/>
      <c r="BZ72" s="239"/>
      <c r="CA72" s="239"/>
      <c r="CB72" s="239"/>
      <c r="CC72" s="239"/>
      <c r="CD72" s="239"/>
      <c r="CE72" s="239"/>
      <c r="CF72" s="239"/>
      <c r="CG72" s="239"/>
      <c r="CH72" s="239"/>
      <c r="CI72" s="239"/>
      <c r="CJ72" s="239"/>
      <c r="CK72" s="239"/>
      <c r="CL72" s="239"/>
      <c r="CM72" s="239"/>
      <c r="CN72" s="239"/>
      <c r="CO72" s="239"/>
      <c r="CP72" s="239"/>
      <c r="CQ72" s="239"/>
      <c r="CR72" s="239"/>
      <c r="CS72" s="239"/>
    </row>
  </sheetData>
  <mergeCells count="3">
    <mergeCell ref="C3:J3"/>
    <mergeCell ref="C5:J5"/>
    <mergeCell ref="C7:J7"/>
  </mergeCells>
  <phoneticPr fontId="2"/>
  <dataValidations count="1">
    <dataValidation type="list" allowBlank="1" showInputMessage="1" showErrorMessage="1" sqref="C3" xr:uid="{B47122F9-E5B2-4942-8DFE-829AD1ECE121}">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16" workbookViewId="0"/>
  </sheetViews>
  <sheetFormatPr defaultRowHeight="13.2"/>
  <cols>
    <col min="2" max="2" width="4.88671875" bestFit="1" customWidth="1"/>
    <col min="3" max="3" width="12.33203125" customWidth="1"/>
    <col min="4" max="4" width="86" customWidth="1"/>
  </cols>
  <sheetData>
    <row r="2" spans="2:4" ht="13.8" thickBot="1">
      <c r="B2" s="77" t="s">
        <v>85</v>
      </c>
      <c r="C2" s="78">
        <f>MAX(B4:B28)</f>
        <v>20</v>
      </c>
      <c r="D2" s="78"/>
    </row>
    <row r="3" spans="2:4" ht="13.8" thickBot="1">
      <c r="B3" s="71" t="s">
        <v>83</v>
      </c>
      <c r="C3" s="79" t="s">
        <v>87</v>
      </c>
      <c r="D3" s="72" t="s">
        <v>84</v>
      </c>
    </row>
    <row r="4" spans="2:4" ht="13.8" thickTop="1">
      <c r="B4" s="12">
        <v>0</v>
      </c>
      <c r="C4" s="80" t="s">
        <v>88</v>
      </c>
      <c r="D4" s="14" t="s">
        <v>19</v>
      </c>
    </row>
    <row r="5" spans="2:4" ht="39.6">
      <c r="B5" s="2">
        <v>1</v>
      </c>
      <c r="C5" s="81" t="s">
        <v>88</v>
      </c>
      <c r="D5" s="83" t="s">
        <v>89</v>
      </c>
    </row>
    <row r="6" spans="2:4" ht="26.4">
      <c r="B6" s="2">
        <v>2</v>
      </c>
      <c r="C6" s="81" t="s">
        <v>91</v>
      </c>
      <c r="D6" s="83" t="s">
        <v>92</v>
      </c>
    </row>
    <row r="7" spans="2:4" ht="52.8">
      <c r="B7" s="2">
        <v>3</v>
      </c>
      <c r="C7" s="81" t="s">
        <v>93</v>
      </c>
      <c r="D7" s="83" t="s">
        <v>96</v>
      </c>
    </row>
    <row r="8" spans="2:4" ht="79.2">
      <c r="B8" s="2">
        <v>4</v>
      </c>
      <c r="C8" s="81" t="s">
        <v>104</v>
      </c>
      <c r="D8" s="83" t="s">
        <v>112</v>
      </c>
    </row>
    <row r="9" spans="2:4" ht="41.25" customHeight="1">
      <c r="B9" s="2">
        <v>5</v>
      </c>
      <c r="C9" s="81" t="s">
        <v>105</v>
      </c>
      <c r="D9" s="83" t="s">
        <v>106</v>
      </c>
    </row>
    <row r="10" spans="2:4" ht="26.4">
      <c r="B10" s="2">
        <v>6</v>
      </c>
      <c r="C10" s="81" t="s">
        <v>88</v>
      </c>
      <c r="D10" s="83" t="s">
        <v>111</v>
      </c>
    </row>
    <row r="11" spans="2:4" ht="26.4">
      <c r="B11" s="2">
        <v>7</v>
      </c>
      <c r="C11" s="81" t="s">
        <v>108</v>
      </c>
      <c r="D11" s="83" t="s">
        <v>109</v>
      </c>
    </row>
    <row r="12" spans="2:4" ht="26.4">
      <c r="B12" s="2">
        <v>8</v>
      </c>
      <c r="C12" s="81" t="s">
        <v>110</v>
      </c>
      <c r="D12" s="83" t="s">
        <v>113</v>
      </c>
    </row>
    <row r="13" spans="2:4" ht="26.4">
      <c r="B13" s="2">
        <v>9</v>
      </c>
      <c r="C13" s="81" t="s">
        <v>114</v>
      </c>
      <c r="D13" s="83" t="s">
        <v>115</v>
      </c>
    </row>
    <row r="14" spans="2:4" ht="26.4">
      <c r="B14" s="2">
        <v>10</v>
      </c>
      <c r="C14" s="81" t="s">
        <v>116</v>
      </c>
      <c r="D14" s="83" t="s">
        <v>117</v>
      </c>
    </row>
    <row r="15" spans="2:4" ht="132">
      <c r="B15" s="2">
        <v>11</v>
      </c>
      <c r="C15" s="81" t="s">
        <v>119</v>
      </c>
      <c r="D15" s="83" t="s">
        <v>130</v>
      </c>
    </row>
    <row r="16" spans="2:4" ht="191.25" customHeight="1">
      <c r="B16" s="2">
        <v>12</v>
      </c>
      <c r="C16" s="81" t="s">
        <v>158</v>
      </c>
      <c r="D16" s="83" t="s">
        <v>166</v>
      </c>
    </row>
    <row r="17" spans="2:4" ht="26.4">
      <c r="B17" s="2">
        <v>13</v>
      </c>
      <c r="C17" s="81" t="s">
        <v>91</v>
      </c>
      <c r="D17" s="83" t="s">
        <v>169</v>
      </c>
    </row>
    <row r="18" spans="2:4" ht="92.4">
      <c r="B18" s="2">
        <v>14</v>
      </c>
      <c r="C18" s="81" t="s">
        <v>91</v>
      </c>
      <c r="D18" s="83" t="s">
        <v>171</v>
      </c>
    </row>
    <row r="19" spans="2:4" ht="39.6">
      <c r="B19" s="2">
        <v>15</v>
      </c>
      <c r="C19" s="81" t="s">
        <v>105</v>
      </c>
      <c r="D19" s="83" t="s">
        <v>175</v>
      </c>
    </row>
    <row r="20" spans="2:4" ht="64.5" customHeight="1">
      <c r="B20" s="2">
        <v>16</v>
      </c>
      <c r="C20" s="81" t="s">
        <v>105</v>
      </c>
      <c r="D20" s="83" t="s">
        <v>179</v>
      </c>
    </row>
    <row r="21" spans="2:4" ht="66.75" customHeight="1">
      <c r="B21" s="2">
        <v>17</v>
      </c>
      <c r="C21" s="81" t="s">
        <v>188</v>
      </c>
      <c r="D21" s="83" t="s">
        <v>195</v>
      </c>
    </row>
    <row r="22" spans="2:4" ht="26.4">
      <c r="B22" s="2">
        <v>18</v>
      </c>
      <c r="C22" s="81" t="s">
        <v>241</v>
      </c>
      <c r="D22" s="83" t="s">
        <v>242</v>
      </c>
    </row>
    <row r="23" spans="2:4" ht="26.4">
      <c r="B23" s="2">
        <v>19</v>
      </c>
      <c r="C23" s="81" t="s">
        <v>241</v>
      </c>
      <c r="D23" s="83" t="s">
        <v>243</v>
      </c>
    </row>
    <row r="24" spans="2:4" ht="92.4">
      <c r="B24" s="2">
        <v>20</v>
      </c>
      <c r="C24" s="81" t="s">
        <v>252</v>
      </c>
      <c r="D24" s="83" t="s">
        <v>253</v>
      </c>
    </row>
    <row r="25" spans="2:4">
      <c r="B25" s="2"/>
      <c r="C25" s="81"/>
      <c r="D25" s="70"/>
    </row>
    <row r="26" spans="2:4">
      <c r="B26" s="2"/>
      <c r="C26" s="81"/>
      <c r="D26" s="70"/>
    </row>
    <row r="27" spans="2:4" ht="13.8" thickBot="1">
      <c r="B27" s="3"/>
      <c r="C27" s="8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S_ADBZR_APP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2025-12-18T05:29:32Z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2025-07-01T04:23:38Z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5d08f4e7-045b-4628-9230-41ee5d2bfea3</vt:lpwstr>
  </property>
  <property fmtid="{D5CDD505-2E9C-101B-9397-08002B2CF9AE}" pid="8" name="MSIP_Label_7ed1414a-99f2-46f9-bbe5-740af8d1b502_ContentBits">
    <vt:lpwstr>1</vt:lpwstr>
  </property>
</Properties>
</file>