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Dj\"/>
    </mc:Choice>
  </mc:AlternateContent>
  <xr:revisionPtr revIDLastSave="0" documentId="13_ncr:1_{97A5E255-E80A-4794-BF17-70AEBF160089}" xr6:coauthVersionLast="47" xr6:coauthVersionMax="47" xr10:uidLastSave="{00000000-0000-0000-0000-000000000000}"/>
  <bookViews>
    <workbookView xWindow="-57720" yWindow="-2250" windowWidth="29040" windowHeight="15720" tabRatio="774" xr2:uid="{00000000-000D-0000-FFFF-FFFF00000000}"/>
  </bookViews>
  <sheets>
    <sheet name="表紙（承認）" sheetId="25" r:id="rId1"/>
    <sheet name="表紙" sheetId="1" r:id="rId2"/>
    <sheet name="はじめに" sheetId="10" r:id="rId3"/>
    <sheet name="Matrix" sheetId="4" r:id="rId4"/>
    <sheet name="Config_IF" sheetId="11" r:id="rId5"/>
    <sheet name="CH_Design" sheetId="5" r:id="rId6"/>
    <sheet name="BLKA" sheetId="13" r:id="rId7"/>
    <sheet name="BLTA" sheetId="15" r:id="rId8"/>
    <sheet name="Reference" sheetId="24" r:id="rId9"/>
    <sheet name="History" sheetId="7" r:id="rId10"/>
    <sheet name="Reference_文字数確認" sheetId="26" r:id="rId11"/>
  </sheets>
  <externalReferences>
    <externalReference r:id="rId12"/>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localSheetId="0" hidden="1">{"'2001 4 12'!$A$7:$K$90"}</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localSheetId="0" hidden="1">{"'2001 4 12'!$A$7:$K$90"}</definedName>
    <definedName name="ああ" hidden="1">{"'2001 4 12'!$A$7:$K$90"}</definedName>
    <definedName name="あああああああああああ" localSheetId="0"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6" i="26" l="1"/>
  <c r="C55" i="26"/>
  <c r="C54" i="26"/>
  <c r="C53" i="26"/>
  <c r="C52" i="26"/>
  <c r="C4" i="26"/>
  <c r="C27" i="26"/>
  <c r="C26" i="26"/>
  <c r="C25" i="26"/>
  <c r="C24" i="26"/>
  <c r="C23" i="26"/>
  <c r="C21" i="26"/>
  <c r="C20" i="26"/>
  <c r="C19" i="26"/>
  <c r="C18" i="26"/>
  <c r="C16" i="26"/>
  <c r="C15" i="26"/>
  <c r="C5" i="26"/>
  <c r="A9" i="25" l="1"/>
  <c r="B3" i="15" l="1"/>
  <c r="B3" i="13"/>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AO197" i="15" s="1"/>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AM195" i="15" s="1"/>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S6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S5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AM187" i="15" s="1"/>
  <c r="T187" i="15"/>
  <c r="S187" i="15"/>
  <c r="R187" i="15"/>
  <c r="Q187" i="15"/>
  <c r="P187" i="15"/>
  <c r="O187" i="15"/>
  <c r="N187" i="15"/>
  <c r="M187" i="15"/>
  <c r="L187" i="15"/>
  <c r="K187" i="15"/>
  <c r="J187" i="15"/>
  <c r="I187" i="15"/>
  <c r="H187" i="15"/>
  <c r="G187" i="15"/>
  <c r="F187" i="15"/>
  <c r="AO187" i="15" s="1"/>
  <c r="E187" i="15"/>
  <c r="D187" i="15"/>
  <c r="AJ186" i="15"/>
  <c r="AQ186" i="15" s="1"/>
  <c r="AS5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S55"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50" i="15" s="1"/>
  <c r="AI179" i="15"/>
  <c r="AH179" i="15"/>
  <c r="AG179" i="15"/>
  <c r="AF179" i="15"/>
  <c r="AE179" i="15"/>
  <c r="AD179" i="15"/>
  <c r="AC179" i="15"/>
  <c r="AB179" i="15"/>
  <c r="AA179" i="15"/>
  <c r="Z179" i="15"/>
  <c r="Y179" i="15"/>
  <c r="X179" i="15"/>
  <c r="W179" i="15"/>
  <c r="V179" i="15"/>
  <c r="U179" i="15"/>
  <c r="T179" i="15"/>
  <c r="AM179" i="15" s="1"/>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A178" i="15"/>
  <c r="Z178" i="15"/>
  <c r="Y178" i="15"/>
  <c r="X178" i="15"/>
  <c r="W178" i="15"/>
  <c r="V178" i="15"/>
  <c r="U178" i="15"/>
  <c r="T178" i="15"/>
  <c r="AM178" i="15" s="1"/>
  <c r="S178" i="15"/>
  <c r="R178" i="15"/>
  <c r="Q178" i="15"/>
  <c r="P178" i="15"/>
  <c r="O178" i="15"/>
  <c r="N178" i="15"/>
  <c r="M178" i="15"/>
  <c r="L178" i="15"/>
  <c r="K178" i="15"/>
  <c r="J178" i="15"/>
  <c r="I178" i="15"/>
  <c r="H178" i="15"/>
  <c r="G178" i="15"/>
  <c r="F178" i="15"/>
  <c r="E178" i="15"/>
  <c r="D178" i="15"/>
  <c r="AO178" i="15" s="1"/>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S46"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Q172" i="15"/>
  <c r="AS43" i="15" s="1"/>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AM171" i="15" s="1"/>
  <c r="S171" i="15"/>
  <c r="R171" i="15"/>
  <c r="Q171" i="15"/>
  <c r="P171" i="15"/>
  <c r="O171" i="15"/>
  <c r="N171" i="15"/>
  <c r="M171" i="15"/>
  <c r="L171" i="15"/>
  <c r="K171" i="15"/>
  <c r="J171" i="15"/>
  <c r="I171" i="15"/>
  <c r="H171" i="15"/>
  <c r="G171" i="15"/>
  <c r="F171" i="15"/>
  <c r="E171" i="15"/>
  <c r="D171" i="15"/>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AN164" i="15" s="1"/>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AN162" i="15" s="1"/>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AN156" i="15" s="1"/>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AN148" i="15" s="1"/>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AM145" i="15" s="1"/>
  <c r="S145" i="15"/>
  <c r="R145" i="15"/>
  <c r="Q145" i="15"/>
  <c r="P145" i="15"/>
  <c r="O145" i="15"/>
  <c r="N145" i="15"/>
  <c r="M145" i="15"/>
  <c r="L145" i="15"/>
  <c r="AN145" i="15" s="1"/>
  <c r="K145" i="15"/>
  <c r="J145" i="15"/>
  <c r="I145" i="15"/>
  <c r="H145" i="15"/>
  <c r="G145" i="15"/>
  <c r="F145" i="15"/>
  <c r="E145" i="15"/>
  <c r="D145" i="15"/>
  <c r="AO145" i="15" s="1"/>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AN138" i="15" s="1"/>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AO131" i="15" s="1"/>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AN130" i="15" s="1"/>
  <c r="K130" i="15"/>
  <c r="J130" i="15"/>
  <c r="I130" i="15"/>
  <c r="H130" i="15"/>
  <c r="G130" i="15"/>
  <c r="F130" i="15"/>
  <c r="E130" i="15"/>
  <c r="D130" i="15"/>
  <c r="AJ129" i="15"/>
  <c r="AQ129" i="15" s="1"/>
  <c r="AI129" i="15"/>
  <c r="AH129" i="15"/>
  <c r="AG129" i="15"/>
  <c r="AF129" i="15"/>
  <c r="AE129" i="15"/>
  <c r="AD129" i="15"/>
  <c r="AC129" i="15"/>
  <c r="AB129" i="15"/>
  <c r="AA129" i="15"/>
  <c r="Z129" i="15"/>
  <c r="Y129" i="15"/>
  <c r="X129" i="15"/>
  <c r="W129" i="15"/>
  <c r="V129" i="15"/>
  <c r="U129" i="15"/>
  <c r="AM129" i="15" s="1"/>
  <c r="T129" i="15"/>
  <c r="S129" i="15"/>
  <c r="R129" i="15"/>
  <c r="Q129" i="15"/>
  <c r="P129" i="15"/>
  <c r="O129" i="15"/>
  <c r="N129" i="15"/>
  <c r="M129" i="15"/>
  <c r="L129" i="15"/>
  <c r="K129" i="15"/>
  <c r="J129" i="15"/>
  <c r="I129" i="15"/>
  <c r="H129" i="15"/>
  <c r="G129" i="15"/>
  <c r="F129" i="15"/>
  <c r="E129" i="15"/>
  <c r="D129" i="15"/>
  <c r="AJ128" i="15"/>
  <c r="AQ128" i="15" s="1"/>
  <c r="AR63" i="15" s="1"/>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AM123" i="15" s="1"/>
  <c r="S123" i="15"/>
  <c r="R123" i="15"/>
  <c r="Q123" i="15"/>
  <c r="P123" i="15"/>
  <c r="O123" i="15"/>
  <c r="N123" i="15"/>
  <c r="M123" i="15"/>
  <c r="L123" i="15"/>
  <c r="AN123" i="15" s="1"/>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Q121" i="15" s="1"/>
  <c r="AI121" i="15"/>
  <c r="AH121" i="15"/>
  <c r="AG121" i="15"/>
  <c r="AF121" i="15"/>
  <c r="AE121" i="15"/>
  <c r="AD121" i="15"/>
  <c r="AC121" i="15"/>
  <c r="AB121" i="15"/>
  <c r="AA121" i="15"/>
  <c r="Z121" i="15"/>
  <c r="Y121" i="15"/>
  <c r="X121" i="15"/>
  <c r="W121" i="15"/>
  <c r="V121" i="15"/>
  <c r="U121" i="15"/>
  <c r="T121" i="15"/>
  <c r="AM121" i="15" s="1"/>
  <c r="S121" i="15"/>
  <c r="R121" i="15"/>
  <c r="Q121" i="15"/>
  <c r="P121" i="15"/>
  <c r="O121" i="15"/>
  <c r="N121" i="15"/>
  <c r="M121" i="15"/>
  <c r="L121" i="15"/>
  <c r="K121" i="15"/>
  <c r="J121" i="15"/>
  <c r="I121" i="15"/>
  <c r="H121" i="15"/>
  <c r="G121" i="15"/>
  <c r="F121" i="15"/>
  <c r="E121" i="15"/>
  <c r="D121" i="15"/>
  <c r="AJ120" i="15"/>
  <c r="AQ120" i="15" s="1"/>
  <c r="AR55"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R54"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R50"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AM113" i="15" s="1"/>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AN109" i="15" s="1"/>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AN106" i="15" s="1"/>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AN102" i="15" s="1"/>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AM101" i="15" s="1"/>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AN98" i="15" s="1"/>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AM97" i="15" s="1"/>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M95"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AM93" i="15" s="1"/>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AM91" i="15" s="1"/>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AM83" i="15" s="1"/>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AO81" i="15" s="1"/>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AN79" i="15" s="1"/>
  <c r="K79" i="15"/>
  <c r="J79" i="15"/>
  <c r="I79" i="15"/>
  <c r="H79" i="15"/>
  <c r="G79" i="15"/>
  <c r="F79" i="15"/>
  <c r="E79" i="15"/>
  <c r="D79" i="15"/>
  <c r="AO79" i="15" s="1"/>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AN72" i="15" s="1"/>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T69" i="15"/>
  <c r="C69" i="15"/>
  <c r="C199" i="15" s="1"/>
  <c r="AT68" i="15"/>
  <c r="C68" i="15"/>
  <c r="AT67" i="15"/>
  <c r="AS67" i="15"/>
  <c r="C67" i="15"/>
  <c r="AT66" i="15"/>
  <c r="AS66" i="15"/>
  <c r="C66" i="15"/>
  <c r="AT65" i="15"/>
  <c r="C65" i="15"/>
  <c r="AT64" i="15"/>
  <c r="C64" i="15"/>
  <c r="AT63" i="15"/>
  <c r="C63" i="15"/>
  <c r="AT62" i="15"/>
  <c r="C62" i="15"/>
  <c r="C127" i="15" s="1"/>
  <c r="AT61" i="15"/>
  <c r="C61" i="15"/>
  <c r="C191" i="15" s="1"/>
  <c r="AT60" i="15"/>
  <c r="C60" i="15"/>
  <c r="AT59" i="15"/>
  <c r="C59" i="15"/>
  <c r="AT58" i="15"/>
  <c r="C58" i="15"/>
  <c r="AT57" i="15"/>
  <c r="C57" i="15"/>
  <c r="AT56" i="15"/>
  <c r="C56" i="15"/>
  <c r="AT55" i="15"/>
  <c r="C55" i="15"/>
  <c r="AT54" i="15"/>
  <c r="C54" i="15"/>
  <c r="C119" i="15" s="1"/>
  <c r="AT53" i="15"/>
  <c r="C53" i="15"/>
  <c r="C183" i="15" s="1"/>
  <c r="AT52" i="15"/>
  <c r="AS52" i="15"/>
  <c r="C52" i="15"/>
  <c r="AT51" i="15"/>
  <c r="AS51" i="15"/>
  <c r="C51" i="15"/>
  <c r="AT50" i="15"/>
  <c r="C50" i="15"/>
  <c r="AT49" i="15"/>
  <c r="C49" i="15"/>
  <c r="AT48" i="15"/>
  <c r="C48" i="15"/>
  <c r="AT47" i="15"/>
  <c r="AS47" i="15"/>
  <c r="C47" i="15"/>
  <c r="AT46" i="15"/>
  <c r="AR46" i="15"/>
  <c r="C46" i="15"/>
  <c r="C111" i="15" s="1"/>
  <c r="AT45" i="15"/>
  <c r="C45" i="15"/>
  <c r="C175" i="15" s="1"/>
  <c r="AT44" i="15"/>
  <c r="C44" i="15"/>
  <c r="AT43" i="15"/>
  <c r="C43" i="15"/>
  <c r="AT42" i="15"/>
  <c r="C42" i="15"/>
  <c r="AT41" i="15"/>
  <c r="C41" i="15"/>
  <c r="AT40" i="15"/>
  <c r="C40" i="15"/>
  <c r="AT39" i="15"/>
  <c r="C39" i="15"/>
  <c r="AT38" i="15"/>
  <c r="C38" i="15"/>
  <c r="C103" i="15" s="1"/>
  <c r="C37" i="15"/>
  <c r="C167" i="15" s="1"/>
  <c r="C36" i="15"/>
  <c r="C35" i="15"/>
  <c r="C34" i="15"/>
  <c r="C33" i="15"/>
  <c r="C32" i="15"/>
  <c r="C31" i="15"/>
  <c r="C161" i="15" s="1"/>
  <c r="C30" i="15"/>
  <c r="C95" i="15" s="1"/>
  <c r="C29" i="15"/>
  <c r="C159" i="15" s="1"/>
  <c r="C28" i="15"/>
  <c r="C27" i="15"/>
  <c r="C157" i="15" s="1"/>
  <c r="C26" i="15"/>
  <c r="C25" i="15"/>
  <c r="C24" i="15"/>
  <c r="C154" i="15" s="1"/>
  <c r="C23" i="15"/>
  <c r="C153" i="15" s="1"/>
  <c r="C22" i="15"/>
  <c r="C152" i="15" s="1"/>
  <c r="C21" i="15"/>
  <c r="C151" i="15" s="1"/>
  <c r="C20" i="15"/>
  <c r="C150" i="15" s="1"/>
  <c r="C19" i="15"/>
  <c r="C149" i="15" s="1"/>
  <c r="C18" i="15"/>
  <c r="C148" i="15" s="1"/>
  <c r="C17" i="15"/>
  <c r="C147" i="15" s="1"/>
  <c r="C16" i="15"/>
  <c r="C146" i="15" s="1"/>
  <c r="C15" i="15"/>
  <c r="C145" i="15" s="1"/>
  <c r="C14" i="15"/>
  <c r="C144" i="15" s="1"/>
  <c r="AW13" i="15"/>
  <c r="C13" i="15"/>
  <c r="C143" i="15" s="1"/>
  <c r="C12" i="15"/>
  <c r="C142" i="15" s="1"/>
  <c r="C11" i="15"/>
  <c r="C141" i="15" s="1"/>
  <c r="C10" i="15"/>
  <c r="C9" i="15"/>
  <c r="C139" i="15" s="1"/>
  <c r="C8" i="15"/>
  <c r="C138" i="15" s="1"/>
  <c r="AW7" i="15"/>
  <c r="C7" i="15"/>
  <c r="C137" i="15" s="1"/>
  <c r="AW6" i="15"/>
  <c r="B6" i="15" s="1"/>
  <c r="B136" i="15" s="1"/>
  <c r="AL6" i="15"/>
  <c r="AT6" i="15" s="1"/>
  <c r="C6" i="15"/>
  <c r="C136" i="15" s="1"/>
  <c r="AS69" i="15" l="1"/>
  <c r="AS68" i="15"/>
  <c r="AR41" i="15"/>
  <c r="AR42" i="15"/>
  <c r="AS41" i="15"/>
  <c r="AS40" i="15"/>
  <c r="AS65" i="15"/>
  <c r="AL109" i="15"/>
  <c r="AR44" i="15"/>
  <c r="AL104" i="15"/>
  <c r="AR51" i="15"/>
  <c r="AL128" i="15"/>
  <c r="AL123" i="15"/>
  <c r="AR58" i="15"/>
  <c r="AS42" i="15"/>
  <c r="AL183" i="15"/>
  <c r="AS53" i="15"/>
  <c r="AR49" i="15"/>
  <c r="AS48" i="15"/>
  <c r="AR69" i="15"/>
  <c r="AR70" i="15"/>
  <c r="AS39" i="15"/>
  <c r="AS44" i="15"/>
  <c r="AS45" i="15"/>
  <c r="AQ158" i="15"/>
  <c r="AS61" i="15"/>
  <c r="AS60" i="15"/>
  <c r="AR65" i="15"/>
  <c r="AR66" i="15"/>
  <c r="AR61" i="15"/>
  <c r="AR62" i="15"/>
  <c r="AR48" i="15"/>
  <c r="AR47" i="15"/>
  <c r="AR67" i="15"/>
  <c r="AR68" i="15"/>
  <c r="AS59" i="15"/>
  <c r="AN74" i="15"/>
  <c r="AM74" i="15"/>
  <c r="AL74" i="15"/>
  <c r="AO82" i="15"/>
  <c r="AO85" i="15"/>
  <c r="AN85" i="15"/>
  <c r="AM85" i="15"/>
  <c r="AL85" i="15"/>
  <c r="AN90" i="15"/>
  <c r="AO91" i="15"/>
  <c r="AN91" i="15"/>
  <c r="AO99" i="15"/>
  <c r="AM99" i="15"/>
  <c r="AN101" i="15"/>
  <c r="AL101" i="15"/>
  <c r="AO107" i="15"/>
  <c r="C110" i="15"/>
  <c r="AO119" i="15"/>
  <c r="AN119" i="15"/>
  <c r="AM119" i="15"/>
  <c r="AL119" i="15"/>
  <c r="AN122" i="15"/>
  <c r="AO129" i="15"/>
  <c r="AN129" i="15"/>
  <c r="AL129" i="15"/>
  <c r="AO146" i="15"/>
  <c r="AM146" i="15"/>
  <c r="AO151" i="15"/>
  <c r="AN151" i="15"/>
  <c r="AN178" i="15"/>
  <c r="AL178" i="15"/>
  <c r="AO181" i="15"/>
  <c r="AL194" i="15"/>
  <c r="AN195" i="15"/>
  <c r="AR45" i="15"/>
  <c r="AR64" i="15"/>
  <c r="AN73" i="15"/>
  <c r="C76" i="15"/>
  <c r="C80" i="15"/>
  <c r="AO86" i="15"/>
  <c r="AN88" i="15"/>
  <c r="AN96" i="15"/>
  <c r="AO97" i="15"/>
  <c r="AQ97" i="15" s="1"/>
  <c r="AN97" i="15"/>
  <c r="AL97" i="15"/>
  <c r="AO106" i="15"/>
  <c r="AM106" i="15"/>
  <c r="AN118" i="15"/>
  <c r="AO120" i="15"/>
  <c r="AM120" i="15"/>
  <c r="AO124" i="15"/>
  <c r="AN124" i="15"/>
  <c r="AM124" i="15"/>
  <c r="AL124" i="15"/>
  <c r="AR59" i="15"/>
  <c r="AN146" i="15"/>
  <c r="AO147" i="15"/>
  <c r="AN147" i="15"/>
  <c r="AM152" i="15"/>
  <c r="AO164" i="15"/>
  <c r="AQ164" i="15" s="1"/>
  <c r="AM164" i="15"/>
  <c r="AO169" i="15"/>
  <c r="AN169" i="15"/>
  <c r="AM169" i="15"/>
  <c r="AL169" i="15"/>
  <c r="AN172" i="15"/>
  <c r="AO179" i="15"/>
  <c r="AN179" i="15"/>
  <c r="AS49" i="15"/>
  <c r="AL195" i="15"/>
  <c r="AR39" i="15"/>
  <c r="AS64" i="15"/>
  <c r="AO73" i="15"/>
  <c r="AO75" i="15"/>
  <c r="AN75" i="15"/>
  <c r="AM75" i="15"/>
  <c r="AM76" i="15"/>
  <c r="AO80" i="15"/>
  <c r="AO84" i="15"/>
  <c r="AN84" i="15"/>
  <c r="AN86" i="15"/>
  <c r="AL86" i="15"/>
  <c r="C87" i="15"/>
  <c r="AO101" i="15"/>
  <c r="AM102" i="15"/>
  <c r="AM105" i="15"/>
  <c r="AL106" i="15"/>
  <c r="AN120" i="15"/>
  <c r="AL120" i="15"/>
  <c r="AM134" i="15"/>
  <c r="AN141" i="15"/>
  <c r="AM141" i="15"/>
  <c r="AO149" i="15"/>
  <c r="AM151" i="15"/>
  <c r="AO152" i="15"/>
  <c r="AL152" i="15"/>
  <c r="AO158" i="15"/>
  <c r="AN158" i="15"/>
  <c r="AM158" i="15"/>
  <c r="AL158" i="15"/>
  <c r="AM163" i="15"/>
  <c r="AO170" i="15"/>
  <c r="AM170" i="15"/>
  <c r="AO174" i="15"/>
  <c r="AN174" i="15"/>
  <c r="AM174" i="15"/>
  <c r="AL174" i="15"/>
  <c r="AL179" i="15"/>
  <c r="AO185" i="15"/>
  <c r="AN185" i="15"/>
  <c r="AM185" i="15"/>
  <c r="AL185" i="15"/>
  <c r="AN188" i="15"/>
  <c r="AO190" i="15"/>
  <c r="AM190" i="15"/>
  <c r="AL190" i="15"/>
  <c r="AO195" i="15"/>
  <c r="AN71" i="15"/>
  <c r="AO74" i="15"/>
  <c r="C77" i="15"/>
  <c r="AM81" i="15"/>
  <c r="AM87" i="15"/>
  <c r="AN92" i="15"/>
  <c r="AO93" i="15"/>
  <c r="AQ93" i="15" s="1"/>
  <c r="AN93" i="15"/>
  <c r="AL93" i="15"/>
  <c r="AO102" i="15"/>
  <c r="AQ102" i="15" s="1"/>
  <c r="AR38" i="15" s="1"/>
  <c r="AO111" i="15"/>
  <c r="AN111" i="15"/>
  <c r="AM111" i="15"/>
  <c r="AL111" i="15"/>
  <c r="AN114" i="15"/>
  <c r="AO121" i="15"/>
  <c r="AN121" i="15"/>
  <c r="AL121" i="15"/>
  <c r="AR56" i="15"/>
  <c r="AO123" i="15"/>
  <c r="AL130" i="15"/>
  <c r="AO134" i="15"/>
  <c r="AL134" i="15"/>
  <c r="AO148" i="15"/>
  <c r="AM148" i="15"/>
  <c r="AO153" i="15"/>
  <c r="AN153" i="15"/>
  <c r="AM153" i="15"/>
  <c r="AL153" i="15"/>
  <c r="AN170" i="15"/>
  <c r="AL170" i="15"/>
  <c r="AO175" i="15"/>
  <c r="AN175" i="15"/>
  <c r="AM175" i="15"/>
  <c r="AL175" i="15"/>
  <c r="AO186" i="15"/>
  <c r="AM186" i="15"/>
  <c r="AO191" i="15"/>
  <c r="AN191" i="15"/>
  <c r="AM191" i="15"/>
  <c r="AL191" i="15"/>
  <c r="AS62" i="15"/>
  <c r="AO72" i="15"/>
  <c r="AO77" i="15"/>
  <c r="AN77" i="15"/>
  <c r="AM77" i="15"/>
  <c r="AM80" i="15"/>
  <c r="AO112" i="15"/>
  <c r="AM112" i="15"/>
  <c r="AO116" i="15"/>
  <c r="AN116" i="15"/>
  <c r="AM116" i="15"/>
  <c r="AL116" i="15"/>
  <c r="AO126" i="15"/>
  <c r="AL126" i="15"/>
  <c r="AM136" i="15"/>
  <c r="AN140" i="15"/>
  <c r="AO143" i="15"/>
  <c r="AN143" i="15"/>
  <c r="AO154" i="15"/>
  <c r="AM154" i="15"/>
  <c r="AQ154" i="15"/>
  <c r="AS24" i="15" s="1"/>
  <c r="AO157" i="15"/>
  <c r="AQ157" i="15" s="1"/>
  <c r="AM160" i="15"/>
  <c r="AO171" i="15"/>
  <c r="AN171" i="15"/>
  <c r="AL171" i="15"/>
  <c r="AO173" i="15"/>
  <c r="AN186" i="15"/>
  <c r="AL186" i="15"/>
  <c r="AO189" i="15"/>
  <c r="AN198" i="15"/>
  <c r="AM71" i="15"/>
  <c r="AO76" i="15"/>
  <c r="AN76" i="15"/>
  <c r="AO78" i="15"/>
  <c r="AN78" i="15"/>
  <c r="AM78" i="15"/>
  <c r="AN80" i="15"/>
  <c r="AN82" i="15"/>
  <c r="AM82" i="15"/>
  <c r="AL82" i="15"/>
  <c r="AQ82" i="15" s="1"/>
  <c r="AR17" i="15" s="1"/>
  <c r="AO87" i="15"/>
  <c r="AQ87" i="15" s="1"/>
  <c r="AO89" i="15"/>
  <c r="AN89" i="15"/>
  <c r="AL89" i="15"/>
  <c r="AM103" i="15"/>
  <c r="AL103" i="15"/>
  <c r="AN112" i="15"/>
  <c r="AL112" i="15"/>
  <c r="AN117" i="15"/>
  <c r="AL117" i="15"/>
  <c r="AR53" i="15"/>
  <c r="AO127" i="15"/>
  <c r="AN127" i="15"/>
  <c r="AM127" i="15"/>
  <c r="AL127" i="15"/>
  <c r="AN131" i="15"/>
  <c r="AM131" i="15"/>
  <c r="AL131" i="15"/>
  <c r="AN134" i="15"/>
  <c r="AO136" i="15"/>
  <c r="AO137" i="15"/>
  <c r="AN137" i="15"/>
  <c r="AM137" i="15"/>
  <c r="AN154" i="15"/>
  <c r="AO161" i="15"/>
  <c r="AN161" i="15"/>
  <c r="AM161" i="15"/>
  <c r="AQ161" i="15" s="1"/>
  <c r="AO166" i="15"/>
  <c r="AQ166" i="15" s="1"/>
  <c r="AS36" i="15" s="1"/>
  <c r="AN166" i="15"/>
  <c r="AM166" i="15"/>
  <c r="AL166" i="15"/>
  <c r="AO167" i="15"/>
  <c r="AN167" i="15"/>
  <c r="AM167" i="15"/>
  <c r="AQ167" i="15" s="1"/>
  <c r="AN182" i="15"/>
  <c r="AN187" i="15"/>
  <c r="AS57" i="15"/>
  <c r="AN196" i="15"/>
  <c r="AS54" i="15"/>
  <c r="AM72" i="15"/>
  <c r="AM73" i="15"/>
  <c r="AL78" i="15"/>
  <c r="C79" i="15"/>
  <c r="AN81" i="15"/>
  <c r="AQ81" i="15" s="1"/>
  <c r="AR16" i="15" s="1"/>
  <c r="C84" i="15"/>
  <c r="AN94" i="15"/>
  <c r="AO95" i="15"/>
  <c r="AN95" i="15"/>
  <c r="AO108" i="15"/>
  <c r="AN108" i="15"/>
  <c r="AM108" i="15"/>
  <c r="AL108" i="15"/>
  <c r="AO113" i="15"/>
  <c r="AN113" i="15"/>
  <c r="AL113" i="15"/>
  <c r="AO115" i="15"/>
  <c r="AN126" i="15"/>
  <c r="AO138" i="15"/>
  <c r="AM138" i="15"/>
  <c r="AO141" i="15"/>
  <c r="AM143" i="15"/>
  <c r="AO144" i="15"/>
  <c r="AO156" i="15"/>
  <c r="AQ156" i="15" s="1"/>
  <c r="AM156" i="15"/>
  <c r="C168" i="15"/>
  <c r="AO177" i="15"/>
  <c r="AN177" i="15"/>
  <c r="AM177" i="15"/>
  <c r="AL177" i="15"/>
  <c r="AN180" i="15"/>
  <c r="AO182" i="15"/>
  <c r="AM182" i="15"/>
  <c r="AL182" i="15"/>
  <c r="AL187" i="15"/>
  <c r="AO193" i="15"/>
  <c r="AN193" i="15"/>
  <c r="AM193" i="15"/>
  <c r="AL193" i="15"/>
  <c r="AO198" i="15"/>
  <c r="AM198" i="15"/>
  <c r="AO199" i="15"/>
  <c r="AN199" i="15"/>
  <c r="AM199" i="15"/>
  <c r="AL199" i="15"/>
  <c r="AQ95" i="15"/>
  <c r="AQ153" i="15"/>
  <c r="AL167" i="15"/>
  <c r="AL100" i="15"/>
  <c r="AL164" i="15"/>
  <c r="AL102" i="15"/>
  <c r="AL98" i="15"/>
  <c r="AL96" i="15"/>
  <c r="AL90" i="15"/>
  <c r="AQ90" i="15" s="1"/>
  <c r="AL94" i="15"/>
  <c r="AL88" i="15"/>
  <c r="AL92" i="15"/>
  <c r="AL154" i="15"/>
  <c r="AL91" i="15"/>
  <c r="AQ91" i="15" s="1"/>
  <c r="AL95" i="15"/>
  <c r="AL156" i="15"/>
  <c r="AL161" i="15"/>
  <c r="AL162" i="15"/>
  <c r="AL83" i="15"/>
  <c r="AQ83" i="15" s="1"/>
  <c r="AR18" i="15" s="1"/>
  <c r="AL81" i="15"/>
  <c r="AL151" i="15"/>
  <c r="AQ151" i="15" s="1"/>
  <c r="AS21" i="15" s="1"/>
  <c r="AL84" i="15"/>
  <c r="AQ84" i="15" s="1"/>
  <c r="AR19" i="15" s="1"/>
  <c r="AL148" i="15"/>
  <c r="AL147" i="15"/>
  <c r="AL146" i="15"/>
  <c r="AL145" i="15"/>
  <c r="AQ145" i="15" s="1"/>
  <c r="AS15" i="15" s="1"/>
  <c r="AL141" i="15"/>
  <c r="AQ141" i="15" s="1"/>
  <c r="AS11" i="15" s="1"/>
  <c r="AL144" i="15"/>
  <c r="AL73" i="15"/>
  <c r="AL77" i="15"/>
  <c r="AQ77" i="15" s="1"/>
  <c r="AR12" i="15" s="1"/>
  <c r="AL75" i="15"/>
  <c r="AQ75" i="15" s="1"/>
  <c r="AL79" i="15"/>
  <c r="AQ79" i="15" s="1"/>
  <c r="AR14" i="15" s="1"/>
  <c r="AL137" i="15"/>
  <c r="AL76" i="15"/>
  <c r="AL143" i="15"/>
  <c r="AL72" i="15"/>
  <c r="AL80" i="15"/>
  <c r="AL138" i="15"/>
  <c r="AQ138" i="15" s="1"/>
  <c r="AS8" i="15" s="1"/>
  <c r="AL71" i="15"/>
  <c r="AL136" i="15"/>
  <c r="C163" i="15"/>
  <c r="C98" i="15"/>
  <c r="C171" i="15"/>
  <c r="C106" i="15"/>
  <c r="C140" i="15"/>
  <c r="C75" i="15"/>
  <c r="C187" i="15"/>
  <c r="C122" i="15"/>
  <c r="C155" i="15"/>
  <c r="C90" i="15"/>
  <c r="C195" i="15"/>
  <c r="C130" i="15"/>
  <c r="AO71" i="15"/>
  <c r="C179" i="15"/>
  <c r="C114" i="15"/>
  <c r="AR52" i="15"/>
  <c r="AR60" i="15"/>
  <c r="C83" i="15"/>
  <c r="C88" i="15"/>
  <c r="AO100" i="15"/>
  <c r="AQ100" i="15" s="1"/>
  <c r="AO109" i="15"/>
  <c r="AM109" i="15"/>
  <c r="AM110" i="15"/>
  <c r="AO114" i="15"/>
  <c r="AM114" i="15"/>
  <c r="C118" i="15"/>
  <c r="AN125" i="15"/>
  <c r="AL125" i="15"/>
  <c r="AO132" i="15"/>
  <c r="AN132" i="15"/>
  <c r="AM132" i="15"/>
  <c r="AL132" i="15"/>
  <c r="AN144" i="15"/>
  <c r="AN149" i="15"/>
  <c r="AM149" i="15"/>
  <c r="AL149" i="15"/>
  <c r="AQ149" i="15" s="1"/>
  <c r="AS19" i="15" s="1"/>
  <c r="AO160" i="15"/>
  <c r="AQ160" i="15" s="1"/>
  <c r="AN160" i="15"/>
  <c r="AL160" i="15"/>
  <c r="AO172" i="15"/>
  <c r="AM172" i="15"/>
  <c r="C176" i="15"/>
  <c r="C184" i="15"/>
  <c r="C192" i="15"/>
  <c r="AO196" i="15"/>
  <c r="AM196" i="15"/>
  <c r="AL196" i="15"/>
  <c r="C165" i="15"/>
  <c r="C100" i="15"/>
  <c r="C173" i="15"/>
  <c r="C108" i="15"/>
  <c r="C181" i="15"/>
  <c r="C116" i="15"/>
  <c r="AR57" i="15"/>
  <c r="C189" i="15"/>
  <c r="C124" i="15"/>
  <c r="C197" i="15"/>
  <c r="C132" i="15"/>
  <c r="C74" i="15"/>
  <c r="C82" i="15"/>
  <c r="AO88" i="15"/>
  <c r="AQ88" i="15" s="1"/>
  <c r="AR23" i="15" s="1"/>
  <c r="AM88" i="15"/>
  <c r="C92" i="15"/>
  <c r="C94" i="15"/>
  <c r="C96" i="15"/>
  <c r="AO98" i="15"/>
  <c r="AQ98" i="15" s="1"/>
  <c r="AM98" i="15"/>
  <c r="AN100" i="15"/>
  <c r="AM100" i="15"/>
  <c r="AO103" i="15"/>
  <c r="AN103" i="15"/>
  <c r="AO110" i="15"/>
  <c r="AL110" i="15"/>
  <c r="AL114" i="15"/>
  <c r="AO117" i="15"/>
  <c r="AM117" i="15"/>
  <c r="AM118" i="15"/>
  <c r="AO122" i="15"/>
  <c r="AM122" i="15"/>
  <c r="C126" i="15"/>
  <c r="AN133" i="15"/>
  <c r="AL133" i="15"/>
  <c r="AN136" i="15"/>
  <c r="AN152" i="15"/>
  <c r="AQ152" i="15" s="1"/>
  <c r="AN157" i="15"/>
  <c r="AM157" i="15"/>
  <c r="AL157" i="15"/>
  <c r="AO168" i="15"/>
  <c r="AN168" i="15"/>
  <c r="AM168" i="15"/>
  <c r="AL168" i="15"/>
  <c r="AL172" i="15"/>
  <c r="AO180" i="15"/>
  <c r="AM180" i="15"/>
  <c r="AL180" i="15"/>
  <c r="AO188" i="15"/>
  <c r="AM188" i="15"/>
  <c r="AL188" i="15"/>
  <c r="C162" i="15"/>
  <c r="C97" i="15"/>
  <c r="C170" i="15"/>
  <c r="C105" i="15"/>
  <c r="C178" i="15"/>
  <c r="C113" i="15"/>
  <c r="C186" i="15"/>
  <c r="C121" i="15"/>
  <c r="C194" i="15"/>
  <c r="C129" i="15"/>
  <c r="C73" i="15"/>
  <c r="C81" i="15"/>
  <c r="AO90" i="15"/>
  <c r="AM90" i="15"/>
  <c r="AO92" i="15"/>
  <c r="AQ92" i="15" s="1"/>
  <c r="AR27" i="15" s="1"/>
  <c r="AM94" i="15"/>
  <c r="AO96" i="15"/>
  <c r="AQ96" i="15" s="1"/>
  <c r="AR31" i="15" s="1"/>
  <c r="AM96" i="15"/>
  <c r="AO104" i="15"/>
  <c r="AM104" i="15"/>
  <c r="AN107" i="15"/>
  <c r="AM107" i="15"/>
  <c r="AL107" i="15"/>
  <c r="AO118" i="15"/>
  <c r="AL118" i="15"/>
  <c r="AL122" i="15"/>
  <c r="AO125" i="15"/>
  <c r="AM125" i="15"/>
  <c r="AM126" i="15"/>
  <c r="AO130" i="15"/>
  <c r="AM130" i="15"/>
  <c r="C134" i="15"/>
  <c r="AO139" i="15"/>
  <c r="AN139" i="15"/>
  <c r="AL139" i="15"/>
  <c r="AO142" i="15"/>
  <c r="AN142" i="15"/>
  <c r="AM142" i="15"/>
  <c r="AL142" i="15"/>
  <c r="AO162" i="15"/>
  <c r="AM162" i="15"/>
  <c r="AN165" i="15"/>
  <c r="AQ165" i="15" s="1"/>
  <c r="AS35" i="15" s="1"/>
  <c r="AM165" i="15"/>
  <c r="AL165" i="15"/>
  <c r="AO176" i="15"/>
  <c r="AN176" i="15"/>
  <c r="AM176" i="15"/>
  <c r="AL176" i="15"/>
  <c r="AO184" i="15"/>
  <c r="AN184" i="15"/>
  <c r="AM184" i="15"/>
  <c r="AL184" i="15"/>
  <c r="AO192" i="15"/>
  <c r="AN192" i="15"/>
  <c r="AM192" i="15"/>
  <c r="AL192" i="15"/>
  <c r="AN197" i="15"/>
  <c r="AM197" i="15"/>
  <c r="AL197" i="15"/>
  <c r="B71" i="15"/>
  <c r="C72" i="15"/>
  <c r="AM92" i="15"/>
  <c r="AO94" i="15"/>
  <c r="AQ94" i="15" s="1"/>
  <c r="AR29" i="15" s="1"/>
  <c r="AN110" i="15"/>
  <c r="AN115" i="15"/>
  <c r="AM115" i="15"/>
  <c r="AL115" i="15"/>
  <c r="AO133" i="15"/>
  <c r="AM133" i="15"/>
  <c r="AO150" i="15"/>
  <c r="AN150" i="15"/>
  <c r="AM150" i="15"/>
  <c r="AL150" i="15"/>
  <c r="AN173" i="15"/>
  <c r="AM173" i="15"/>
  <c r="AL173" i="15"/>
  <c r="AN181" i="15"/>
  <c r="AM181" i="15"/>
  <c r="AL181" i="15"/>
  <c r="AN189" i="15"/>
  <c r="AM189" i="15"/>
  <c r="AL189" i="15"/>
  <c r="C156" i="15"/>
  <c r="C91" i="15"/>
  <c r="C164" i="15"/>
  <c r="C99" i="15"/>
  <c r="C172" i="15"/>
  <c r="C107" i="15"/>
  <c r="C180" i="15"/>
  <c r="C115" i="15"/>
  <c r="C188" i="15"/>
  <c r="C123" i="15"/>
  <c r="C196" i="15"/>
  <c r="C131" i="15"/>
  <c r="C71" i="15"/>
  <c r="AN87" i="15"/>
  <c r="AL87" i="15"/>
  <c r="AO140" i="15"/>
  <c r="AM140" i="15"/>
  <c r="AO155" i="15"/>
  <c r="AQ155" i="15" s="1"/>
  <c r="AN155" i="15"/>
  <c r="AL155" i="15"/>
  <c r="C169" i="15"/>
  <c r="C104" i="15"/>
  <c r="C177" i="15"/>
  <c r="C112" i="15"/>
  <c r="C185" i="15"/>
  <c r="C120" i="15"/>
  <c r="C193" i="15"/>
  <c r="C128" i="15"/>
  <c r="C78" i="15"/>
  <c r="C86" i="15"/>
  <c r="C89" i="15"/>
  <c r="AQ89" i="15" s="1"/>
  <c r="AR24" i="15" s="1"/>
  <c r="AN99" i="15"/>
  <c r="AQ99" i="15" s="1"/>
  <c r="AR34" i="15" s="1"/>
  <c r="AL99" i="15"/>
  <c r="C102" i="15"/>
  <c r="AO105" i="15"/>
  <c r="AN105" i="15"/>
  <c r="AL105" i="15"/>
  <c r="AO128" i="15"/>
  <c r="AM128" i="15"/>
  <c r="AL140" i="15"/>
  <c r="AM144" i="15"/>
  <c r="AO159" i="15"/>
  <c r="AQ159" i="15" s="1"/>
  <c r="AS29" i="15" s="1"/>
  <c r="AN159" i="15"/>
  <c r="AM159" i="15"/>
  <c r="AL159" i="15"/>
  <c r="AO163" i="15"/>
  <c r="AQ163" i="15" s="1"/>
  <c r="AN163" i="15"/>
  <c r="AL163" i="15"/>
  <c r="AN190" i="15"/>
  <c r="AL198" i="15"/>
  <c r="C158" i="15"/>
  <c r="C93" i="15"/>
  <c r="C166" i="15"/>
  <c r="C101" i="15"/>
  <c r="AQ101" i="15" s="1"/>
  <c r="C174" i="15"/>
  <c r="C109" i="15"/>
  <c r="C182" i="15"/>
  <c r="C117" i="15"/>
  <c r="C190" i="15"/>
  <c r="C125" i="15"/>
  <c r="C198" i="15"/>
  <c r="C133" i="15"/>
  <c r="C85" i="15"/>
  <c r="AM86" i="15"/>
  <c r="C160" i="15"/>
  <c r="AS23" i="15" l="1"/>
  <c r="AS31" i="15"/>
  <c r="AQ147" i="15"/>
  <c r="AS17" i="15" s="1"/>
  <c r="AR25" i="15"/>
  <c r="AQ78" i="15"/>
  <c r="AR13" i="15" s="1"/>
  <c r="AQ146" i="15"/>
  <c r="AS16" i="15" s="1"/>
  <c r="AQ74" i="15"/>
  <c r="AR9" i="15" s="1"/>
  <c r="AQ150" i="15"/>
  <c r="AS20" i="15" s="1"/>
  <c r="AR30" i="15"/>
  <c r="AQ76" i="15"/>
  <c r="AR11" i="15" s="1"/>
  <c r="AQ143" i="15"/>
  <c r="AS13" i="15" s="1"/>
  <c r="AQ86" i="15"/>
  <c r="AR21" i="15" s="1"/>
  <c r="AQ72" i="15"/>
  <c r="AR7" i="15" s="1"/>
  <c r="AQ142" i="15"/>
  <c r="AS12" i="15" s="1"/>
  <c r="AR26" i="15"/>
  <c r="AS26" i="15"/>
  <c r="AS25" i="15"/>
  <c r="AS30" i="15"/>
  <c r="AQ148" i="15"/>
  <c r="AS18" i="15" s="1"/>
  <c r="AQ140" i="15"/>
  <c r="AS10" i="15" s="1"/>
  <c r="AS22" i="15"/>
  <c r="AR35" i="15"/>
  <c r="AQ80" i="15"/>
  <c r="AR15" i="15" s="1"/>
  <c r="AS27" i="15"/>
  <c r="AR28" i="15"/>
  <c r="AS34" i="15"/>
  <c r="AQ85" i="15"/>
  <c r="AR20" i="15" s="1"/>
  <c r="AS28" i="15"/>
  <c r="AR37" i="15"/>
  <c r="AR36" i="15"/>
  <c r="AR33" i="15"/>
  <c r="AR32" i="15"/>
  <c r="AS37" i="15"/>
  <c r="AS38" i="15"/>
  <c r="AQ162" i="15"/>
  <c r="AS32" i="15" s="1"/>
  <c r="AQ144" i="15"/>
  <c r="AS14" i="15" s="1"/>
  <c r="AQ71" i="15"/>
  <c r="AR6" i="15" s="1"/>
  <c r="AQ136" i="15"/>
  <c r="AS6" i="15" s="1"/>
  <c r="AQ137" i="15"/>
  <c r="AS7" i="15" s="1"/>
  <c r="AQ139" i="15"/>
  <c r="AS9" i="15" s="1"/>
  <c r="AQ73" i="15"/>
  <c r="AR8" i="15" s="1"/>
  <c r="AR10" i="15"/>
  <c r="B10" i="1"/>
  <c r="AR22" i="15" l="1"/>
  <c r="AS33" i="15"/>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O16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O137" i="13" s="1"/>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AM128" i="13" s="1"/>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AN119" i="13" s="1"/>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AN103" i="13" s="1"/>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C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AT37" i="13"/>
  <c r="C37" i="13"/>
  <c r="C167" i="13" s="1"/>
  <c r="AT36" i="13"/>
  <c r="C36" i="13"/>
  <c r="C166" i="13" s="1"/>
  <c r="C35" i="13"/>
  <c r="C165" i="13" s="1"/>
  <c r="C34" i="13"/>
  <c r="AT33" i="13"/>
  <c r="C33" i="13"/>
  <c r="C163" i="13" s="1"/>
  <c r="C32" i="13"/>
  <c r="C162" i="13" s="1"/>
  <c r="C31" i="13"/>
  <c r="C161" i="13" s="1"/>
  <c r="C30" i="13"/>
  <c r="C29" i="13"/>
  <c r="C159" i="13" s="1"/>
  <c r="AT28" i="13"/>
  <c r="C28" i="13"/>
  <c r="C27" i="13"/>
  <c r="C157" i="13" s="1"/>
  <c r="C26" i="13"/>
  <c r="AT25" i="13"/>
  <c r="C25" i="13"/>
  <c r="C155" i="13" s="1"/>
  <c r="AT24" i="13"/>
  <c r="C24" i="13"/>
  <c r="C154" i="13" s="1"/>
  <c r="C23" i="13"/>
  <c r="C153" i="13" s="1"/>
  <c r="C22" i="13"/>
  <c r="AT21" i="13"/>
  <c r="C21" i="13"/>
  <c r="C151" i="13" s="1"/>
  <c r="C20" i="13"/>
  <c r="C150" i="13" s="1"/>
  <c r="C19" i="13"/>
  <c r="C149" i="13" s="1"/>
  <c r="C18" i="13"/>
  <c r="C148" i="13" s="1"/>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AL6" i="13"/>
  <c r="AT6" i="13" s="1"/>
  <c r="C6" i="13"/>
  <c r="C136" i="13" s="1"/>
  <c r="AU11" i="13" l="1"/>
  <c r="AU10" i="13"/>
  <c r="AN75" i="13"/>
  <c r="AN81" i="13"/>
  <c r="AM138" i="13"/>
  <c r="AO145" i="13"/>
  <c r="AM170" i="13"/>
  <c r="AO193" i="13"/>
  <c r="AM90" i="13"/>
  <c r="AN106" i="13"/>
  <c r="AM150" i="13"/>
  <c r="AO179" i="13"/>
  <c r="AO181" i="13"/>
  <c r="AO71" i="13"/>
  <c r="AN71" i="13"/>
  <c r="C77" i="13"/>
  <c r="AO86" i="13"/>
  <c r="AO89" i="13"/>
  <c r="AM99" i="13"/>
  <c r="AN129" i="13"/>
  <c r="AM131" i="13"/>
  <c r="AM156" i="13"/>
  <c r="AO163" i="13"/>
  <c r="AM186" i="13"/>
  <c r="AN194" i="13"/>
  <c r="AO195" i="13"/>
  <c r="AN77" i="13"/>
  <c r="AN83" i="13"/>
  <c r="AO84" i="13"/>
  <c r="AM100" i="13"/>
  <c r="AM112" i="13"/>
  <c r="AO167" i="13"/>
  <c r="AO173" i="13"/>
  <c r="AO185" i="13"/>
  <c r="AO78" i="13"/>
  <c r="AO93" i="13"/>
  <c r="AO139" i="13"/>
  <c r="AM174" i="13"/>
  <c r="AO197" i="13"/>
  <c r="AN109" i="13"/>
  <c r="AN125" i="13"/>
  <c r="AO151" i="13"/>
  <c r="AO175" i="13"/>
  <c r="AM198" i="13"/>
  <c r="AN87" i="13"/>
  <c r="AM95" i="13"/>
  <c r="AM133" i="13"/>
  <c r="AM144" i="13"/>
  <c r="AM152" i="13"/>
  <c r="AO157" i="13"/>
  <c r="AM176" i="13"/>
  <c r="AO191" i="13"/>
  <c r="AL196" i="13"/>
  <c r="AO199" i="13"/>
  <c r="AO149" i="13"/>
  <c r="AN175" i="13"/>
  <c r="AM178" i="13"/>
  <c r="AL181" i="13"/>
  <c r="C73" i="13"/>
  <c r="AN73" i="13"/>
  <c r="AM76" i="13"/>
  <c r="AO103" i="13"/>
  <c r="AM103" i="13"/>
  <c r="C106" i="13"/>
  <c r="AO111" i="13"/>
  <c r="AM117" i="13"/>
  <c r="C120" i="13"/>
  <c r="AN120" i="13"/>
  <c r="AN133" i="13"/>
  <c r="AO134" i="13"/>
  <c r="AM146" i="13"/>
  <c r="AO158" i="13"/>
  <c r="AN184" i="13"/>
  <c r="AM187" i="13"/>
  <c r="AO190" i="13"/>
  <c r="AN193" i="13"/>
  <c r="AM196" i="13"/>
  <c r="C72" i="13"/>
  <c r="AN72" i="13"/>
  <c r="AM75" i="13"/>
  <c r="AO76" i="13"/>
  <c r="C80" i="13"/>
  <c r="AN80" i="13"/>
  <c r="C92" i="13"/>
  <c r="AO97" i="13"/>
  <c r="AN105" i="13"/>
  <c r="AO107" i="13"/>
  <c r="AN114" i="13"/>
  <c r="AN124" i="13"/>
  <c r="AN132" i="13"/>
  <c r="AM136" i="13"/>
  <c r="AM159" i="13"/>
  <c r="AM168" i="13"/>
  <c r="AO176" i="13"/>
  <c r="AM182" i="13"/>
  <c r="C71" i="13"/>
  <c r="AM82" i="13"/>
  <c r="C86" i="13"/>
  <c r="AN86" i="13"/>
  <c r="AM89" i="13"/>
  <c r="AN91" i="13"/>
  <c r="AN100" i="13"/>
  <c r="AM126" i="13"/>
  <c r="AN137" i="13"/>
  <c r="AN142" i="13"/>
  <c r="AM145" i="13"/>
  <c r="AO148" i="13"/>
  <c r="AN151" i="13"/>
  <c r="AM154" i="13"/>
  <c r="AN160" i="13"/>
  <c r="AM163" i="13"/>
  <c r="AO166" i="13"/>
  <c r="AN169" i="13"/>
  <c r="AM172" i="13"/>
  <c r="AO194" i="13"/>
  <c r="C79" i="13"/>
  <c r="AN79" i="13"/>
  <c r="AO82" i="13"/>
  <c r="AM88" i="13"/>
  <c r="AM94" i="13"/>
  <c r="AN104" i="13"/>
  <c r="AM113" i="13"/>
  <c r="AN123" i="13"/>
  <c r="AO143" i="13"/>
  <c r="AM181" i="13"/>
  <c r="AO184" i="13"/>
  <c r="AN188" i="13"/>
  <c r="AO189" i="13"/>
  <c r="AO74" i="13"/>
  <c r="C78" i="13"/>
  <c r="AN78" i="13"/>
  <c r="AM81" i="13"/>
  <c r="C85" i="13"/>
  <c r="AN85" i="13"/>
  <c r="AM87" i="13"/>
  <c r="AO88" i="13"/>
  <c r="AL92" i="13"/>
  <c r="AO101" i="13"/>
  <c r="AN118" i="13"/>
  <c r="AO128" i="13"/>
  <c r="AM134" i="13"/>
  <c r="AM140" i="13"/>
  <c r="AM158" i="13"/>
  <c r="AO170" i="13"/>
  <c r="AN178" i="13"/>
  <c r="AN187" i="13"/>
  <c r="AM190" i="13"/>
  <c r="AM73" i="13"/>
  <c r="C84" i="13"/>
  <c r="AN84" i="13"/>
  <c r="AM93" i="13"/>
  <c r="AN98" i="13"/>
  <c r="AM106" i="13"/>
  <c r="AO114" i="13"/>
  <c r="AL114" i="13"/>
  <c r="AM120" i="13"/>
  <c r="AN127" i="13"/>
  <c r="AN131" i="13"/>
  <c r="AN136" i="13"/>
  <c r="AM162" i="13"/>
  <c r="AL194" i="13"/>
  <c r="AN196" i="13"/>
  <c r="AM199" i="13"/>
  <c r="AM72" i="13"/>
  <c r="AM111" i="13"/>
  <c r="AN117" i="13"/>
  <c r="AM119" i="13"/>
  <c r="AM129" i="13"/>
  <c r="AM139" i="13"/>
  <c r="AO142" i="13"/>
  <c r="AN145" i="13"/>
  <c r="AM148" i="13"/>
  <c r="AN154" i="13"/>
  <c r="AM157" i="13"/>
  <c r="AO160" i="13"/>
  <c r="AN163" i="13"/>
  <c r="AM166" i="13"/>
  <c r="AN172" i="13"/>
  <c r="AM180" i="13"/>
  <c r="AN182" i="13"/>
  <c r="AO183" i="13"/>
  <c r="AO188" i="13"/>
  <c r="AM194" i="13"/>
  <c r="C76" i="13"/>
  <c r="AN76" i="13"/>
  <c r="AO80" i="13"/>
  <c r="AO90" i="13"/>
  <c r="AO95" i="13"/>
  <c r="AN107" i="13"/>
  <c r="AM107" i="13"/>
  <c r="AN112" i="13"/>
  <c r="AN122" i="13"/>
  <c r="AL138" i="13"/>
  <c r="AO155" i="13"/>
  <c r="AM175" i="13"/>
  <c r="AO178" i="13"/>
  <c r="AN181" i="13"/>
  <c r="AM184" i="13"/>
  <c r="AM79" i="13"/>
  <c r="C89" i="13"/>
  <c r="AO91" i="13"/>
  <c r="AN102" i="13"/>
  <c r="AM193" i="13"/>
  <c r="AO196" i="13"/>
  <c r="AM78" i="13"/>
  <c r="AN82" i="13"/>
  <c r="AM85" i="13"/>
  <c r="AO109" i="13"/>
  <c r="AO113" i="13"/>
  <c r="AN121" i="13"/>
  <c r="AM123" i="13"/>
  <c r="C126" i="13"/>
  <c r="AN126" i="13"/>
  <c r="AO136" i="13"/>
  <c r="AO159" i="13"/>
  <c r="AM165" i="13"/>
  <c r="AO182" i="13"/>
  <c r="AN190" i="13"/>
  <c r="AN199" i="13"/>
  <c r="C74" i="13"/>
  <c r="AN74" i="13"/>
  <c r="AM84" i="13"/>
  <c r="C88" i="13"/>
  <c r="AN88" i="13"/>
  <c r="AN92" i="13"/>
  <c r="AN97" i="13"/>
  <c r="AM101" i="13"/>
  <c r="AM105" i="13"/>
  <c r="AN116" i="13"/>
  <c r="C121" i="13"/>
  <c r="AN139" i="13"/>
  <c r="AM142" i="13"/>
  <c r="AN148" i="13"/>
  <c r="AM151" i="13"/>
  <c r="AO154" i="13"/>
  <c r="AN157" i="13"/>
  <c r="AM160" i="13"/>
  <c r="AN166" i="13"/>
  <c r="AM169" i="13"/>
  <c r="AO172" i="13"/>
  <c r="AN176" i="13"/>
  <c r="AO177" i="13"/>
  <c r="AM188" i="13"/>
  <c r="AL152" i="13"/>
  <c r="AL154" i="13"/>
  <c r="AL156" i="13"/>
  <c r="AL145" i="13"/>
  <c r="AL163" i="13"/>
  <c r="AL93" i="13"/>
  <c r="AL98" i="13"/>
  <c r="AL146" i="13"/>
  <c r="AL148" i="13"/>
  <c r="AL150" i="13"/>
  <c r="AL164" i="13"/>
  <c r="AL166" i="13"/>
  <c r="AL167" i="13"/>
  <c r="AL102" i="13"/>
  <c r="AL139" i="13"/>
  <c r="AL157" i="13"/>
  <c r="AL77" i="13"/>
  <c r="AQ77" i="13" s="1"/>
  <c r="AL81" i="13"/>
  <c r="AL87" i="13"/>
  <c r="AL140" i="13"/>
  <c r="AL142" i="13"/>
  <c r="AL144" i="13"/>
  <c r="AL158" i="13"/>
  <c r="AL160" i="13"/>
  <c r="AL170" i="13"/>
  <c r="AL172" i="13"/>
  <c r="AL174" i="13"/>
  <c r="AL187" i="13"/>
  <c r="AL197" i="13"/>
  <c r="AL104" i="13"/>
  <c r="AL108" i="13"/>
  <c r="AL188" i="13"/>
  <c r="AL190" i="13"/>
  <c r="AL128" i="13"/>
  <c r="AL179" i="13"/>
  <c r="AL193" i="13"/>
  <c r="AQ193" i="13" s="1"/>
  <c r="AL75" i="13"/>
  <c r="AL110" i="13"/>
  <c r="AL111" i="13"/>
  <c r="AL134" i="13"/>
  <c r="AL136" i="13"/>
  <c r="AQ136" i="13" s="1"/>
  <c r="AS6" i="13" s="1"/>
  <c r="AL151" i="13"/>
  <c r="AQ15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AT22" i="13"/>
  <c r="C156" i="13"/>
  <c r="AT26" i="13"/>
  <c r="C169" i="13"/>
  <c r="C104" i="13"/>
  <c r="C188" i="13"/>
  <c r="C123" i="13"/>
  <c r="AT58" i="13"/>
  <c r="AT39" i="13"/>
  <c r="AT54" i="13"/>
  <c r="C83" i="13"/>
  <c r="AN101" i="13"/>
  <c r="AT18" i="13"/>
  <c r="AT69" i="13"/>
  <c r="C147" i="13"/>
  <c r="AT17" i="13"/>
  <c r="C160" i="13"/>
  <c r="C95" i="13"/>
  <c r="C164" i="13"/>
  <c r="C99" i="13"/>
  <c r="AT34" i="13"/>
  <c r="C168" i="13"/>
  <c r="AT38" i="13"/>
  <c r="C103" i="13"/>
  <c r="C181" i="13"/>
  <c r="C116" i="13"/>
  <c r="C196" i="13"/>
  <c r="C131" i="13"/>
  <c r="AL71" i="13"/>
  <c r="C82" i="13"/>
  <c r="C184" i="13"/>
  <c r="C119" i="13"/>
  <c r="C199" i="13"/>
  <c r="C134" i="13"/>
  <c r="AT30" i="13"/>
  <c r="AT51" i="13"/>
  <c r="AT66" i="13"/>
  <c r="AL73" i="13"/>
  <c r="AM74" i="13"/>
  <c r="AL79" i="13"/>
  <c r="AQ79" i="13" s="1"/>
  <c r="AM80" i="13"/>
  <c r="AL85" i="13"/>
  <c r="AQ85" i="13" s="1"/>
  <c r="AM86" i="13"/>
  <c r="C87" i="13"/>
  <c r="C91" i="13"/>
  <c r="AT20" i="13"/>
  <c r="AT32" i="13"/>
  <c r="AT44" i="13"/>
  <c r="AT56" i="13"/>
  <c r="C195" i="13"/>
  <c r="C130" i="13"/>
  <c r="C198" i="13"/>
  <c r="AT68" i="13"/>
  <c r="C133" i="13"/>
  <c r="AL72" i="13"/>
  <c r="AQ72" i="13" s="1"/>
  <c r="AR7" i="13" s="1"/>
  <c r="AO73" i="13"/>
  <c r="AQ73" i="13" s="1"/>
  <c r="AR8" i="13" s="1"/>
  <c r="AL74" i="13"/>
  <c r="AO75" i="13"/>
  <c r="AL76" i="13"/>
  <c r="AO77" i="13"/>
  <c r="AL78" i="13"/>
  <c r="AQ78" i="13" s="1"/>
  <c r="AO79" i="13"/>
  <c r="AL80" i="13"/>
  <c r="AQ80" i="13" s="1"/>
  <c r="AO81" i="13"/>
  <c r="AL82" i="13"/>
  <c r="AO83" i="13"/>
  <c r="AL84" i="13"/>
  <c r="AQ84" i="13" s="1"/>
  <c r="AO85" i="13"/>
  <c r="AL86" i="13"/>
  <c r="AQ86" i="13" s="1"/>
  <c r="AR21" i="13" s="1"/>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Q75" i="13"/>
  <c r="AQ76" i="13"/>
  <c r="AQ81" i="13"/>
  <c r="AQ82" i="13"/>
  <c r="AQ83" i="13"/>
  <c r="AQ87" i="13"/>
  <c r="AQ88" i="13"/>
  <c r="AR23" i="13" s="1"/>
  <c r="AN89" i="13"/>
  <c r="AN90" i="13"/>
  <c r="AQ90" i="13" s="1"/>
  <c r="AN93" i="13"/>
  <c r="AQ93" i="13" s="1"/>
  <c r="C97" i="13"/>
  <c r="C98" i="13"/>
  <c r="AO99" i="13"/>
  <c r="AL99" i="13"/>
  <c r="AM116" i="13"/>
  <c r="C117" i="13"/>
  <c r="AM122" i="13"/>
  <c r="B136" i="13"/>
  <c r="AM102" i="13"/>
  <c r="AM104" i="13"/>
  <c r="AM71" i="13"/>
  <c r="AQ71" i="13" s="1"/>
  <c r="AR6" i="13" s="1"/>
  <c r="AM91" i="13"/>
  <c r="AM92" i="13"/>
  <c r="C94" i="13"/>
  <c r="AO96" i="13"/>
  <c r="AL100" i="13"/>
  <c r="AO108" i="13"/>
  <c r="AN110" i="13"/>
  <c r="AN111" i="13"/>
  <c r="C112" i="13"/>
  <c r="AM121" i="13"/>
  <c r="C122" i="13"/>
  <c r="AM127" i="13"/>
  <c r="C197" i="13"/>
  <c r="C132" i="13"/>
  <c r="AL91" i="13"/>
  <c r="AO94" i="13"/>
  <c r="AQ94" i="13" s="1"/>
  <c r="AL97" i="13"/>
  <c r="AQ97" i="13" s="1"/>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M147" i="13"/>
  <c r="AQ148" i="13"/>
  <c r="AM153" i="13"/>
  <c r="AQ154" i="13"/>
  <c r="AM164" i="13"/>
  <c r="AO165" i="13"/>
  <c r="AQ169" i="13"/>
  <c r="AQ181" i="13"/>
  <c r="AQ190" i="13"/>
  <c r="AM132" i="13"/>
  <c r="AQ163" i="13"/>
  <c r="AL89" i="13"/>
  <c r="AQ89" i="13" s="1"/>
  <c r="AR24" i="13" s="1"/>
  <c r="AO92" i="13"/>
  <c r="AQ92" i="13" s="1"/>
  <c r="AL95" i="13"/>
  <c r="AO98" i="13"/>
  <c r="AQ98" i="13" s="1"/>
  <c r="AL101" i="13"/>
  <c r="AO104" i="13"/>
  <c r="AQ104" i="13" s="1"/>
  <c r="AL107" i="13"/>
  <c r="AQ107" i="13" s="1"/>
  <c r="AO110" i="13"/>
  <c r="AQ110" i="13" s="1"/>
  <c r="AL113" i="13"/>
  <c r="AM114" i="13"/>
  <c r="AQ114" i="13" s="1"/>
  <c r="AN130" i="13"/>
  <c r="AO133" i="13"/>
  <c r="AL133" i="13"/>
  <c r="AQ133" i="13" s="1"/>
  <c r="AL137" i="13"/>
  <c r="AN138" i="13"/>
  <c r="AQ139" i="13"/>
  <c r="AS9" i="13" s="1"/>
  <c r="AO141" i="13"/>
  <c r="AQ145" i="13"/>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Q138" i="13" s="1"/>
  <c r="AS8" i="13" s="1"/>
  <c r="AN140" i="13"/>
  <c r="AO144" i="13"/>
  <c r="AQ144" i="13" s="1"/>
  <c r="AN146" i="13"/>
  <c r="AO150" i="13"/>
  <c r="AQ150" i="13" s="1"/>
  <c r="AN152" i="13"/>
  <c r="AO156" i="13"/>
  <c r="AQ156" i="13" s="1"/>
  <c r="AN158" i="13"/>
  <c r="AQ158" i="13" s="1"/>
  <c r="AO162" i="13"/>
  <c r="AN164" i="13"/>
  <c r="AO168" i="13"/>
  <c r="AN170" i="13"/>
  <c r="AQ170" i="13" s="1"/>
  <c r="AO174" i="13"/>
  <c r="AO180" i="13"/>
  <c r="AQ182" i="13"/>
  <c r="AS52" i="13" s="1"/>
  <c r="AO186" i="13"/>
  <c r="AQ186" i="13" s="1"/>
  <c r="AQ188" i="13"/>
  <c r="AS58" i="13" s="1"/>
  <c r="AO192" i="13"/>
  <c r="AQ194" i="13"/>
  <c r="AO198" i="13"/>
  <c r="AM171" i="13"/>
  <c r="AM177" i="13"/>
  <c r="AM183" i="13"/>
  <c r="AM189" i="13"/>
  <c r="AM195" i="13"/>
  <c r="AQ160" i="13"/>
  <c r="AN162" i="13"/>
  <c r="AQ166" i="13"/>
  <c r="AN168" i="13"/>
  <c r="AQ172" i="13"/>
  <c r="AQ174" i="13"/>
  <c r="AQ192" i="13"/>
  <c r="AL141" i="13"/>
  <c r="AN143" i="13"/>
  <c r="AL147" i="13"/>
  <c r="AN149" i="13"/>
  <c r="AL153" i="13"/>
  <c r="AN155" i="13"/>
  <c r="AQ155" i="13" s="1"/>
  <c r="AS25" i="13" s="1"/>
  <c r="AL159" i="13"/>
  <c r="AN161" i="13"/>
  <c r="AQ161" i="13" s="1"/>
  <c r="AL165" i="13"/>
  <c r="AN167" i="13"/>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S68" i="13" s="1"/>
  <c r="AS50" i="13" l="1"/>
  <c r="AS28" i="13"/>
  <c r="AR29" i="13"/>
  <c r="AR18" i="13"/>
  <c r="AS62" i="13"/>
  <c r="AS21" i="13"/>
  <c r="AR12" i="13"/>
  <c r="AR15" i="13"/>
  <c r="AS45" i="13"/>
  <c r="AR33" i="13"/>
  <c r="AS56" i="13"/>
  <c r="AQ74" i="13"/>
  <c r="AR9" i="13" s="1"/>
  <c r="AS63" i="13"/>
  <c r="AS15" i="13"/>
  <c r="AR22" i="13"/>
  <c r="AS26" i="13"/>
  <c r="AR19" i="13"/>
  <c r="AR13" i="13"/>
  <c r="AR28" i="13"/>
  <c r="AR17" i="13"/>
  <c r="AR20" i="13"/>
  <c r="AS14" i="13"/>
  <c r="AS27" i="13"/>
  <c r="AR25" i="13"/>
  <c r="AR16" i="13"/>
  <c r="AR10" i="13"/>
  <c r="AS31" i="13"/>
  <c r="AR11" i="13"/>
  <c r="AR14" i="13"/>
  <c r="AQ167" i="13"/>
  <c r="AS37" i="13" s="1"/>
  <c r="AQ143" i="13"/>
  <c r="AS13" i="13" s="1"/>
  <c r="AQ137" i="13"/>
  <c r="AS7" i="13" s="1"/>
  <c r="AQ149" i="13"/>
  <c r="AS19" i="13" s="1"/>
  <c r="AQ91" i="13"/>
  <c r="AR26" i="13" s="1"/>
  <c r="AS48" i="13"/>
  <c r="AR42" i="13"/>
  <c r="AS46" i="13"/>
  <c r="AS67" i="13"/>
  <c r="AS55" i="13"/>
  <c r="AR63" i="13"/>
  <c r="AR39" i="13"/>
  <c r="AS44" i="13"/>
  <c r="AS64" i="13"/>
  <c r="AS40" i="13"/>
  <c r="AS61" i="13"/>
  <c r="AS49" i="13"/>
  <c r="AS57" i="13"/>
  <c r="AS51" i="13"/>
  <c r="AQ131" i="13"/>
  <c r="AQ111" i="13"/>
  <c r="AR46" i="13" s="1"/>
  <c r="AQ129" i="13"/>
  <c r="AR64" i="13" s="1"/>
  <c r="AQ115" i="13"/>
  <c r="AR50" i="13" s="1"/>
  <c r="AQ183" i="13"/>
  <c r="AS53" i="13" s="1"/>
  <c r="AQ132" i="13"/>
  <c r="AQ113" i="13"/>
  <c r="AR48" i="13" s="1"/>
  <c r="AQ109" i="13"/>
  <c r="AR45" i="13" s="1"/>
  <c r="AQ95" i="13"/>
  <c r="AR30" i="13" s="1"/>
  <c r="AQ101" i="13"/>
  <c r="AQ195" i="13"/>
  <c r="AS65" i="13" s="1"/>
  <c r="AQ177" i="13"/>
  <c r="AS47" i="13" s="1"/>
  <c r="AQ100" i="13"/>
  <c r="AQ173" i="13"/>
  <c r="AS43" i="13" s="1"/>
  <c r="AQ189" i="13"/>
  <c r="AS59" i="13" s="1"/>
  <c r="AQ116" i="13"/>
  <c r="AR51" i="13" s="1"/>
  <c r="AR70" i="13"/>
  <c r="AR69" i="13"/>
  <c r="AQ152" i="13"/>
  <c r="AS22" i="13" s="1"/>
  <c r="AQ140" i="13"/>
  <c r="AS10" i="13" s="1"/>
  <c r="AQ171" i="13"/>
  <c r="AS41" i="13" s="1"/>
  <c r="AQ168" i="13"/>
  <c r="AS38" i="13" s="1"/>
  <c r="AQ164" i="13"/>
  <c r="AS34" i="13" s="1"/>
  <c r="AQ141" i="13"/>
  <c r="AQ130" i="13"/>
  <c r="AR65" i="13" s="1"/>
  <c r="AQ159" i="13"/>
  <c r="AS29" i="13" s="1"/>
  <c r="AQ124" i="13"/>
  <c r="AR59" i="13" s="1"/>
  <c r="AQ120" i="13"/>
  <c r="AR55" i="13" s="1"/>
  <c r="AQ102" i="13"/>
  <c r="AQ162" i="13"/>
  <c r="AS32" i="13" s="1"/>
  <c r="AS70" i="13"/>
  <c r="AS69" i="13"/>
  <c r="AQ146" i="13"/>
  <c r="AS16" i="13" s="1"/>
  <c r="AQ153" i="13"/>
  <c r="AS24" i="13" s="1"/>
  <c r="AQ165" i="13"/>
  <c r="AQ96" i="13"/>
  <c r="AR32" i="13" s="1"/>
  <c r="AQ105" i="13"/>
  <c r="AR40" i="13" s="1"/>
  <c r="AQ147" i="13"/>
  <c r="AQ126" i="13"/>
  <c r="AR61" i="13" s="1"/>
  <c r="AQ122" i="13"/>
  <c r="AR57" i="13" s="1"/>
  <c r="AQ118" i="13"/>
  <c r="AR53" i="13" s="1"/>
  <c r="AQ108" i="13"/>
  <c r="AR43" i="13" s="1"/>
  <c r="AQ99" i="13"/>
  <c r="AR34" i="13" s="1"/>
  <c r="AR37" i="13" l="1"/>
  <c r="AS35" i="13"/>
  <c r="AR31" i="13"/>
  <c r="AR67" i="13"/>
  <c r="AS17" i="13"/>
  <c r="AR35" i="13"/>
  <c r="AS11" i="13"/>
  <c r="AR27" i="13"/>
  <c r="AS18" i="13"/>
  <c r="AS36" i="13"/>
  <c r="AS23" i="13"/>
  <c r="AR36" i="13"/>
  <c r="AS20" i="13"/>
  <c r="AS12" i="13"/>
  <c r="AS33" i="13"/>
  <c r="AS30" i="13"/>
  <c r="AR41" i="13"/>
  <c r="AS60" i="13"/>
  <c r="AR47" i="13"/>
  <c r="AR54" i="13"/>
  <c r="AS39" i="13"/>
  <c r="AR44" i="13"/>
  <c r="AS66" i="13"/>
  <c r="AS54" i="13"/>
  <c r="AR38" i="13"/>
  <c r="AR66" i="13"/>
  <c r="AR49" i="13"/>
  <c r="AR56" i="13"/>
  <c r="AR58" i="13"/>
  <c r="AR68" i="13"/>
  <c r="AR52" i="13"/>
  <c r="AS42" i="13"/>
  <c r="AR60" i="13"/>
  <c r="AR6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53" i="15" s="1"/>
  <c r="AL18" i="15"/>
  <c r="AT18" i="15" s="1"/>
  <c r="AL21" i="15"/>
  <c r="AT21" i="15" s="1"/>
  <c r="AL14" i="15"/>
  <c r="AT14" i="15" s="1"/>
  <c r="AL19" i="15"/>
  <c r="AT19" i="15" s="1"/>
  <c r="AL15" i="15"/>
  <c r="AT15" i="15" s="1"/>
  <c r="AL16" i="15"/>
  <c r="AT16" i="15" s="1"/>
  <c r="AL20" i="15"/>
  <c r="AT20" i="15" s="1"/>
  <c r="AL17" i="15"/>
  <c r="AT17" i="15" s="1"/>
  <c r="AW17" i="13"/>
  <c r="E37" i="11"/>
  <c r="G37" i="11" s="1"/>
  <c r="E36" i="11"/>
  <c r="G36" i="11" s="1"/>
  <c r="E35" i="11"/>
  <c r="G35" i="11" s="1"/>
  <c r="E20" i="11"/>
  <c r="G20" i="11" s="1"/>
  <c r="E7" i="11"/>
  <c r="G7" i="11" s="1"/>
  <c r="E5" i="11"/>
  <c r="G5" i="11" s="1"/>
  <c r="E15" i="11"/>
  <c r="G15" i="11" s="1"/>
  <c r="E6" i="11"/>
  <c r="G6" i="11" s="1"/>
  <c r="I35" i="4"/>
  <c r="I27" i="4"/>
  <c r="I20" i="4"/>
  <c r="I34" i="4"/>
  <c r="I26" i="4"/>
  <c r="I33" i="4"/>
  <c r="I25" i="4"/>
  <c r="I19" i="4"/>
  <c r="I32" i="4"/>
  <c r="I24" i="4"/>
  <c r="I23" i="4"/>
  <c r="I30" i="4"/>
  <c r="I22" i="4"/>
  <c r="I29" i="4"/>
  <c r="I28" i="4"/>
  <c r="I31" i="4"/>
  <c r="I21" i="4"/>
  <c r="I18" i="4"/>
  <c r="I17" i="4"/>
  <c r="D8" i="4"/>
  <c r="AL25" i="15" l="1"/>
  <c r="AT25" i="15" s="1"/>
  <c r="AL27" i="15"/>
  <c r="AT27" i="15" s="1"/>
  <c r="AL22" i="15"/>
  <c r="AT22" i="15" s="1"/>
  <c r="AL30" i="15"/>
  <c r="AT30" i="15" s="1"/>
  <c r="AL35" i="15"/>
  <c r="AT35" i="15" s="1"/>
  <c r="AL29" i="15"/>
  <c r="AT29" i="15" s="1"/>
  <c r="AL37" i="15"/>
  <c r="AT37" i="15" s="1"/>
  <c r="AL36" i="15"/>
  <c r="AT36" i="15" s="1"/>
  <c r="AL24" i="15"/>
  <c r="AT24" i="15" s="1"/>
  <c r="AL28" i="15"/>
  <c r="AT28" i="15" s="1"/>
  <c r="AL34" i="15"/>
  <c r="AT34" i="15" s="1"/>
  <c r="AL33" i="15"/>
  <c r="AT33" i="15" s="1"/>
  <c r="AL32" i="15"/>
  <c r="AT32" i="15" s="1"/>
  <c r="AL23" i="15"/>
  <c r="AT23" i="15" s="1"/>
  <c r="AL26" i="15"/>
  <c r="AT26" i="15" s="1"/>
  <c r="AL31" i="15"/>
  <c r="AT31" i="15" s="1"/>
  <c r="AL40" i="15"/>
  <c r="AW16" i="15"/>
  <c r="AU15" i="15" s="1"/>
  <c r="AW8" i="15"/>
  <c r="AU11" i="15" s="1"/>
  <c r="AL7" i="15"/>
  <c r="AT7" i="15" s="1"/>
  <c r="AL38" i="15"/>
  <c r="AL41" i="15"/>
  <c r="AL52" i="15"/>
  <c r="AL49" i="15"/>
  <c r="AL42" i="15"/>
  <c r="AL10" i="15"/>
  <c r="AT10" i="15" s="1"/>
  <c r="AL60" i="15"/>
  <c r="AL61" i="15"/>
  <c r="AL43" i="15"/>
  <c r="AL39" i="15"/>
  <c r="AL11" i="15"/>
  <c r="AT11" i="15" s="1"/>
  <c r="AL48" i="15"/>
  <c r="AL69" i="15"/>
  <c r="AL57" i="15"/>
  <c r="AL46" i="15"/>
  <c r="AL51" i="15"/>
  <c r="AW11" i="15"/>
  <c r="AU13" i="15" s="1"/>
  <c r="AL50" i="15"/>
  <c r="AL47" i="15"/>
  <c r="AW10" i="15"/>
  <c r="AU14" i="15" s="1"/>
  <c r="AL44" i="15"/>
  <c r="AL65" i="15"/>
  <c r="AL54" i="15"/>
  <c r="AL59" i="15"/>
  <c r="AL58" i="15"/>
  <c r="AL55" i="15"/>
  <c r="AL62" i="15"/>
  <c r="AL67" i="15"/>
  <c r="AL56" i="15"/>
  <c r="AL66" i="15"/>
  <c r="AL63" i="15"/>
  <c r="AL13" i="15"/>
  <c r="AT13" i="15" s="1"/>
  <c r="AW9" i="15"/>
  <c r="AU10" i="15" s="1"/>
  <c r="AL9" i="15"/>
  <c r="AT9" i="15" s="1"/>
  <c r="AL64" i="15"/>
  <c r="AL45" i="15"/>
  <c r="AL12" i="15"/>
  <c r="AT12" i="15" s="1"/>
  <c r="AL8" i="15"/>
  <c r="AT8" i="15" s="1"/>
  <c r="AL68" i="15"/>
  <c r="AW12" i="13"/>
  <c r="AU5" i="13" s="1"/>
  <c r="AW12" i="15"/>
  <c r="AU5" i="15" s="1"/>
  <c r="AL34" i="13"/>
  <c r="AL26" i="13"/>
  <c r="AL24" i="13"/>
  <c r="AL31" i="13"/>
  <c r="AT31" i="13" s="1"/>
  <c r="AL21" i="13"/>
  <c r="AL18" i="13"/>
  <c r="AL32" i="13"/>
  <c r="AL19" i="13"/>
  <c r="AT19" i="13" s="1"/>
  <c r="AL36" i="13"/>
  <c r="AL28" i="13"/>
  <c r="AL23" i="13"/>
  <c r="AT23" i="13" s="1"/>
  <c r="AL29" i="13"/>
  <c r="AT29" i="13" s="1"/>
  <c r="AL33" i="13"/>
  <c r="AL30" i="13"/>
  <c r="AL25" i="13"/>
  <c r="AL20" i="13"/>
  <c r="AL17" i="13"/>
  <c r="AL35" i="13"/>
  <c r="AT35" i="13" s="1"/>
  <c r="AL27" i="13"/>
  <c r="AT27" i="13" s="1"/>
  <c r="AL22" i="13"/>
  <c r="AL37" i="13"/>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L14" i="4"/>
  <c r="AV5" i="15" l="1"/>
  <c r="AS5" i="15"/>
  <c r="AR5" i="15"/>
  <c r="AT5" i="15"/>
  <c r="AS5" i="13"/>
  <c r="AT5" i="13"/>
  <c r="AV5" i="13"/>
  <c r="AR5" i="13"/>
  <c r="B14" i="1"/>
  <c r="B13" i="1"/>
  <c r="B12" i="1"/>
  <c r="B11" i="1"/>
  <c r="B9" i="1"/>
  <c r="C2" i="7" l="1"/>
  <c r="G14" i="4" l="1"/>
  <c r="H14" i="4"/>
  <c r="I14" i="4"/>
  <c r="H15" i="4"/>
  <c r="I15" i="4"/>
  <c r="H16" i="4"/>
  <c r="I16" i="4"/>
  <c r="G17" i="4"/>
  <c r="H17" i="4"/>
  <c r="G18" i="4"/>
  <c r="H18" i="4"/>
  <c r="G19" i="4"/>
  <c r="H19" i="4"/>
  <c r="G20" i="4"/>
  <c r="H20" i="4"/>
  <c r="G21" i="4"/>
  <c r="H21"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F16" i="4" l="1"/>
  <c r="AW14" i="15" s="1"/>
  <c r="AU7" i="15" s="1"/>
  <c r="G15" i="4"/>
  <c r="AW15" i="15" l="1"/>
  <c r="AU8" i="15" s="1"/>
  <c r="G13" i="4"/>
  <c r="AW15" i="13" s="1"/>
  <c r="AU8" i="13" s="1"/>
  <c r="F13" i="4"/>
  <c r="AW14" i="13" s="1"/>
  <c r="AU7" i="13" s="1"/>
  <c r="I13" i="4" l="1"/>
  <c r="H13" i="4"/>
  <c r="N45" i="5" l="1"/>
  <c r="M45" i="5" s="1"/>
  <c r="O45" i="5" s="1"/>
  <c r="N47" i="5"/>
  <c r="M47" i="5" s="1"/>
  <c r="O47" i="5" s="1"/>
  <c r="N25" i="5"/>
  <c r="M25" i="5" s="1"/>
  <c r="O25" i="5" s="1"/>
  <c r="H5" i="1"/>
  <c r="E4" i="1" s="1"/>
  <c r="N88" i="5"/>
  <c r="N86" i="5"/>
  <c r="N84" i="5"/>
  <c r="N82" i="5"/>
  <c r="N80" i="5"/>
  <c r="N78" i="5"/>
  <c r="N76" i="5"/>
  <c r="N74" i="5"/>
  <c r="N72" i="5"/>
  <c r="N70" i="5"/>
  <c r="N68" i="5"/>
  <c r="N66" i="5"/>
  <c r="N64" i="5"/>
  <c r="N62" i="5"/>
  <c r="N60" i="5"/>
  <c r="N58" i="5"/>
  <c r="N56" i="5"/>
  <c r="N54" i="5"/>
  <c r="N52" i="5"/>
  <c r="N50" i="5"/>
  <c r="N49" i="5"/>
  <c r="N46" i="5"/>
  <c r="N43" i="5"/>
  <c r="N41" i="5"/>
  <c r="N89" i="5"/>
  <c r="N87" i="5"/>
  <c r="N85" i="5"/>
  <c r="N83" i="5"/>
  <c r="N81" i="5"/>
  <c r="N79" i="5"/>
  <c r="N77" i="5"/>
  <c r="N75" i="5"/>
  <c r="N73" i="5"/>
  <c r="N71" i="5"/>
  <c r="N69" i="5"/>
  <c r="N67" i="5"/>
  <c r="N65" i="5"/>
  <c r="N63" i="5"/>
  <c r="N61" i="5"/>
  <c r="N59" i="5"/>
  <c r="N57" i="5"/>
  <c r="N55" i="5"/>
  <c r="N53" i="5"/>
  <c r="N51" i="5"/>
  <c r="N48" i="5"/>
  <c r="N44" i="5"/>
  <c r="N42" i="5"/>
  <c r="N40" i="5"/>
  <c r="N39" i="5"/>
  <c r="N35" i="5"/>
  <c r="N31" i="5"/>
  <c r="N24" i="5"/>
  <c r="N20" i="5"/>
  <c r="N17" i="5"/>
  <c r="N15" i="5"/>
  <c r="N9" i="5"/>
  <c r="N5" i="5"/>
  <c r="N38" i="5"/>
  <c r="N36" i="5"/>
  <c r="N34" i="5"/>
  <c r="N32" i="5"/>
  <c r="N30" i="5"/>
  <c r="N28" i="5"/>
  <c r="N26" i="5"/>
  <c r="N23" i="5"/>
  <c r="N21" i="5"/>
  <c r="N19" i="5"/>
  <c r="N14" i="5"/>
  <c r="N12" i="5"/>
  <c r="N10" i="5"/>
  <c r="N8" i="5"/>
  <c r="N6" i="5"/>
  <c r="N4" i="5"/>
  <c r="N37" i="5"/>
  <c r="N33" i="5"/>
  <c r="N29" i="5"/>
  <c r="N27" i="5"/>
  <c r="N22" i="5"/>
  <c r="N18" i="5"/>
  <c r="N16" i="5"/>
  <c r="N13" i="5"/>
  <c r="N11" i="5"/>
  <c r="N7" i="5"/>
  <c r="M16" i="5" l="1"/>
  <c r="O16" i="5" s="1"/>
  <c r="M29" i="5"/>
  <c r="O29" i="5" s="1"/>
  <c r="M6" i="5"/>
  <c r="O6" i="5" s="1"/>
  <c r="M14" i="5"/>
  <c r="O14" i="5" s="1"/>
  <c r="M26" i="5"/>
  <c r="O26" i="5" s="1"/>
  <c r="M7" i="5"/>
  <c r="O7" i="5" s="1"/>
  <c r="M13" i="5"/>
  <c r="O13" i="5" s="1"/>
  <c r="M18" i="5"/>
  <c r="O18" i="5" s="1"/>
  <c r="M27" i="5"/>
  <c r="O27" i="5" s="1"/>
  <c r="M33" i="5"/>
  <c r="O33" i="5" s="1"/>
  <c r="M4" i="5"/>
  <c r="O4" i="5" s="1"/>
  <c r="M8" i="5"/>
  <c r="O8" i="5" s="1"/>
  <c r="M12" i="5"/>
  <c r="O12" i="5" s="1"/>
  <c r="M19" i="5"/>
  <c r="O19" i="5" s="1"/>
  <c r="M23" i="5"/>
  <c r="O23" i="5" s="1"/>
  <c r="M28" i="5"/>
  <c r="O28" i="5" s="1"/>
  <c r="M32" i="5"/>
  <c r="O32" i="5" s="1"/>
  <c r="M36" i="5"/>
  <c r="O36" i="5" s="1"/>
  <c r="M5" i="5"/>
  <c r="O5" i="5" s="1"/>
  <c r="M15" i="5"/>
  <c r="O15" i="5" s="1"/>
  <c r="M20" i="5"/>
  <c r="O20" i="5" s="1"/>
  <c r="M31" i="5"/>
  <c r="O31" i="5" s="1"/>
  <c r="M39" i="5"/>
  <c r="O39" i="5" s="1"/>
  <c r="M42" i="5"/>
  <c r="O42" i="5" s="1"/>
  <c r="M44" i="5"/>
  <c r="O44" i="5" s="1"/>
  <c r="M51" i="5"/>
  <c r="O51" i="5" s="1"/>
  <c r="M55" i="5"/>
  <c r="O55" i="5" s="1"/>
  <c r="M59" i="5"/>
  <c r="O59" i="5" s="1"/>
  <c r="M63" i="5"/>
  <c r="O63" i="5" s="1"/>
  <c r="M67" i="5"/>
  <c r="O67" i="5" s="1"/>
  <c r="M71" i="5"/>
  <c r="O71" i="5" s="1"/>
  <c r="M75" i="5"/>
  <c r="O75" i="5" s="1"/>
  <c r="M79" i="5"/>
  <c r="O79" i="5" s="1"/>
  <c r="M83" i="5"/>
  <c r="O83" i="5" s="1"/>
  <c r="M87" i="5"/>
  <c r="O87" i="5" s="1"/>
  <c r="M41" i="5"/>
  <c r="O41" i="5" s="1"/>
  <c r="M49" i="5"/>
  <c r="O49" i="5" s="1"/>
  <c r="M50" i="5"/>
  <c r="O50" i="5" s="1"/>
  <c r="M54" i="5"/>
  <c r="O54" i="5" s="1"/>
  <c r="M58" i="5"/>
  <c r="O58" i="5" s="1"/>
  <c r="M62" i="5"/>
  <c r="O62" i="5" s="1"/>
  <c r="M66" i="5"/>
  <c r="O66" i="5" s="1"/>
  <c r="M70" i="5"/>
  <c r="O70" i="5" s="1"/>
  <c r="M74" i="5"/>
  <c r="O74" i="5" s="1"/>
  <c r="M78" i="5"/>
  <c r="O78" i="5" s="1"/>
  <c r="M82" i="5"/>
  <c r="O82" i="5" s="1"/>
  <c r="M86" i="5"/>
  <c r="O86" i="5" s="1"/>
  <c r="M11" i="5"/>
  <c r="O11" i="5" s="1"/>
  <c r="M22" i="5"/>
  <c r="O22" i="5" s="1"/>
  <c r="M37" i="5"/>
  <c r="O37" i="5" s="1"/>
  <c r="M10" i="5"/>
  <c r="O10" i="5" s="1"/>
  <c r="M21" i="5"/>
  <c r="O21" i="5" s="1"/>
  <c r="M30" i="5"/>
  <c r="O30" i="5" s="1"/>
  <c r="M34" i="5"/>
  <c r="O34" i="5" s="1"/>
  <c r="M38" i="5"/>
  <c r="O38" i="5" s="1"/>
  <c r="M9" i="5"/>
  <c r="O9" i="5" s="1"/>
  <c r="M17" i="5"/>
  <c r="O17" i="5" s="1"/>
  <c r="M24" i="5"/>
  <c r="O24" i="5" s="1"/>
  <c r="M35" i="5"/>
  <c r="O35" i="5" s="1"/>
  <c r="M40" i="5"/>
  <c r="O40" i="5" s="1"/>
  <c r="M48" i="5"/>
  <c r="O48" i="5" s="1"/>
  <c r="M53" i="5"/>
  <c r="O53" i="5" s="1"/>
  <c r="M57" i="5"/>
  <c r="O57" i="5" s="1"/>
  <c r="M61" i="5"/>
  <c r="O61" i="5" s="1"/>
  <c r="M65" i="5"/>
  <c r="O65" i="5" s="1"/>
  <c r="M69" i="5"/>
  <c r="O69" i="5" s="1"/>
  <c r="M73" i="5"/>
  <c r="O73" i="5" s="1"/>
  <c r="M77" i="5"/>
  <c r="O77" i="5" s="1"/>
  <c r="M81" i="5"/>
  <c r="O81" i="5" s="1"/>
  <c r="M85" i="5"/>
  <c r="O85" i="5" s="1"/>
  <c r="M89" i="5"/>
  <c r="O89" i="5" s="1"/>
  <c r="M43" i="5"/>
  <c r="O43" i="5" s="1"/>
  <c r="M46" i="5"/>
  <c r="O46" i="5" s="1"/>
  <c r="M52" i="5"/>
  <c r="O52" i="5" s="1"/>
  <c r="M56" i="5"/>
  <c r="O56" i="5" s="1"/>
  <c r="M60" i="5"/>
  <c r="O60" i="5" s="1"/>
  <c r="M64" i="5"/>
  <c r="O64" i="5" s="1"/>
  <c r="M68" i="5"/>
  <c r="O68" i="5" s="1"/>
  <c r="M72" i="5"/>
  <c r="O72" i="5" s="1"/>
  <c r="M76" i="5"/>
  <c r="O76" i="5" s="1"/>
  <c r="M80" i="5"/>
  <c r="O80" i="5" s="1"/>
  <c r="M84" i="5"/>
  <c r="O84" i="5" s="1"/>
  <c r="M88" i="5"/>
  <c r="O8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50" authorId="2" shapeId="0" xr:uid="{00000000-0006-0000-0400-00000D000000}">
      <text>
        <r>
          <rPr>
            <sz val="9"/>
            <color indexed="81"/>
            <rFont val="MS P ゴシック"/>
            <family val="3"/>
            <charset val="128"/>
          </rPr>
          <t xml:space="preserve">下記Alert対象外
デフォルトカーソル位置 / Default cursor position：""Not Agree""
・「Agree」を操作したら、""HOFDIOPE = 01b""を送信する
・「Not Agree」を操作したら、""HOFDIOPE = 10b""を送信する
・「Back」を操作したら、""HOFDIOPE = 11b""を送信する""
・ After operating ""Yes"", send ""HOFDIOPE = 01b""
・ After operating ""No"", send ""HOFDIOPE = 10b""
・ After operating ""Back"", send ""HOFDIOPE = 11b""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丹羽　ファラ</author>
  </authors>
  <commentList>
    <comment ref="B41" authorId="0" shapeId="0" xr:uid="{2CE66D4F-B14C-48EF-94F6-FA64E38835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4" authorId="1" shapeId="0" xr:uid="{DEA50645-5A6A-4C8F-A6AD-E15099A55B84}">
      <text>
        <r>
          <rPr>
            <b/>
            <sz val="9"/>
            <color indexed="81"/>
            <rFont val="MS P ゴシック"/>
            <family val="3"/>
            <charset val="128"/>
          </rPr>
          <t xml:space="preserve">リモート送信条件成立：IG ON 且つ PTS ONが15[s]以上
</t>
        </r>
      </text>
    </comment>
    <comment ref="E44" authorId="1" shapeId="0" xr:uid="{59AA5622-1783-46CA-9921-7C58B78EA868}">
      <text>
        <r>
          <rPr>
            <b/>
            <sz val="9"/>
            <color indexed="81"/>
            <rFont val="MS P ゴシック"/>
            <family val="3"/>
            <charset val="128"/>
          </rPr>
          <t xml:space="preserve">IG ON 且つ ST OFF
</t>
        </r>
      </text>
    </comment>
    <comment ref="F44" authorId="1" shapeId="0" xr:uid="{171014B8-7D14-4067-97AA-D5A83922A711}">
      <text>
        <r>
          <rPr>
            <b/>
            <sz val="9"/>
            <color indexed="81"/>
            <rFont val="MS P ゴシック"/>
            <family val="3"/>
            <charset val="128"/>
          </rPr>
          <t>IG ON</t>
        </r>
      </text>
    </comment>
    <comment ref="G44" authorId="1" shapeId="0" xr:uid="{63CDE213-78B2-442D-8F99-9D297BA412E9}">
      <text>
        <r>
          <rPr>
            <b/>
            <sz val="9"/>
            <color indexed="81"/>
            <rFont val="MS P ゴシック"/>
            <family val="3"/>
            <charset val="128"/>
          </rPr>
          <t xml:space="preserve">IG OFF 且つ IG OFF後25[m]未満
</t>
        </r>
      </text>
    </comment>
    <comment ref="H44" authorId="1" shapeId="0" xr:uid="{26EE1347-5EE0-43E2-984B-36B2E7C1F78A}">
      <text>
        <r>
          <rPr>
            <b/>
            <sz val="9"/>
            <color indexed="81"/>
            <rFont val="MS P ゴシック"/>
            <family val="3"/>
            <charset val="128"/>
          </rPr>
          <t xml:space="preserve">IG OFF
</t>
        </r>
      </text>
    </comment>
    <comment ref="I44" authorId="1" shapeId="0" xr:uid="{7DD8989E-195A-4243-B782-3FE265AD1F8F}">
      <text>
        <r>
          <rPr>
            <b/>
            <sz val="9"/>
            <color indexed="81"/>
            <rFont val="MS P ゴシック"/>
            <family val="3"/>
            <charset val="128"/>
          </rPr>
          <t xml:space="preserve">IG ON 又は IG OFF後25[m]未満
</t>
        </r>
      </text>
    </comment>
    <comment ref="J44" authorId="1" shapeId="0" xr:uid="{2A2784DA-D2F8-452E-8F8D-62E35E0CB4CD}">
      <text>
        <r>
          <rPr>
            <b/>
            <sz val="9"/>
            <color indexed="81"/>
            <rFont val="MS P ゴシック"/>
            <family val="3"/>
            <charset val="128"/>
          </rPr>
          <t>+B ON 又は ACC ON</t>
        </r>
      </text>
    </comment>
    <comment ref="K44" authorId="2" shapeId="0" xr:uid="{3043BAFB-F27A-45D6-AA65-08E543780C09}">
      <text>
        <r>
          <rPr>
            <b/>
            <sz val="9"/>
            <color indexed="81"/>
            <rFont val="ＭＳ Ｐゴシック"/>
            <family val="3"/>
            <charset val="128"/>
          </rPr>
          <t>通常:</t>
        </r>
        <r>
          <rPr>
            <sz val="9"/>
            <color indexed="81"/>
            <rFont val="ＭＳ Ｐゴシック"/>
            <family val="3"/>
            <charset val="128"/>
          </rPr>
          <t xml:space="preserve"> 通常、通信途絶
</t>
        </r>
        <r>
          <rPr>
            <b/>
            <sz val="9"/>
            <color indexed="81"/>
            <rFont val="ＭＳ Ｐゴシック"/>
            <family val="3"/>
            <charset val="128"/>
          </rPr>
          <t>未受信:</t>
        </r>
        <r>
          <rPr>
            <sz val="9"/>
            <color indexed="81"/>
            <rFont val="ＭＳ Ｐゴシック"/>
            <family val="3"/>
            <charset val="128"/>
          </rPr>
          <t xml:space="preserve"> 未受信、未受信通信途絶</t>
        </r>
      </text>
    </comment>
    <comment ref="B62" authorId="0" shapeId="0" xr:uid="{27EB1BB7-F312-4372-8BC5-361CD458DF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5" authorId="1" shapeId="0" xr:uid="{FFCE5041-1F7D-4038-BE3D-DC02EE6799C2}">
      <text>
        <r>
          <rPr>
            <b/>
            <sz val="9"/>
            <color indexed="81"/>
            <rFont val="MS P ゴシック"/>
            <family val="3"/>
            <charset val="128"/>
          </rPr>
          <t xml:space="preserve">リモート送信条件成立：IG ON 且つ PTS ONが15[s]以上
</t>
        </r>
      </text>
    </comment>
    <comment ref="E65" authorId="1" shapeId="0" xr:uid="{D4F8B1D4-633A-4392-961E-A35053FE446E}">
      <text>
        <r>
          <rPr>
            <b/>
            <sz val="9"/>
            <color indexed="81"/>
            <rFont val="MS P ゴシック"/>
            <family val="3"/>
            <charset val="128"/>
          </rPr>
          <t xml:space="preserve">IG ON 且つ ST OFF
</t>
        </r>
      </text>
    </comment>
    <comment ref="F65" authorId="1" shapeId="0" xr:uid="{5D624469-D128-4FCB-A7CF-4690421DFC87}">
      <text>
        <r>
          <rPr>
            <b/>
            <sz val="9"/>
            <color indexed="81"/>
            <rFont val="MS P ゴシック"/>
            <family val="3"/>
            <charset val="128"/>
          </rPr>
          <t>IG ON</t>
        </r>
      </text>
    </comment>
    <comment ref="G65" authorId="1" shapeId="0" xr:uid="{41296D70-9213-41E7-8957-2FC47FA9C281}">
      <text>
        <r>
          <rPr>
            <b/>
            <sz val="9"/>
            <color indexed="81"/>
            <rFont val="MS P ゴシック"/>
            <family val="3"/>
            <charset val="128"/>
          </rPr>
          <t xml:space="preserve">IG OFF 且つ IG OFF後25[m]未満
</t>
        </r>
      </text>
    </comment>
    <comment ref="H65" authorId="1" shapeId="0" xr:uid="{28357EE1-7FEF-4766-BD20-CE6854DE8638}">
      <text>
        <r>
          <rPr>
            <b/>
            <sz val="9"/>
            <color indexed="81"/>
            <rFont val="MS P ゴシック"/>
            <family val="3"/>
            <charset val="128"/>
          </rPr>
          <t xml:space="preserve">IG OFF
</t>
        </r>
      </text>
    </comment>
    <comment ref="I65" authorId="1" shapeId="0" xr:uid="{10C200B0-C09B-43F0-A8F4-94B1F61A7B21}">
      <text>
        <r>
          <rPr>
            <b/>
            <sz val="9"/>
            <color indexed="81"/>
            <rFont val="MS P ゴシック"/>
            <family val="3"/>
            <charset val="128"/>
          </rPr>
          <t xml:space="preserve">IG ON 又は IG OFF後25[m]未満
</t>
        </r>
      </text>
    </comment>
    <comment ref="J65" authorId="1" shapeId="0" xr:uid="{E930CF0A-72F4-4478-B954-1FC6FFB13644}">
      <text>
        <r>
          <rPr>
            <b/>
            <sz val="9"/>
            <color indexed="81"/>
            <rFont val="MS P ゴシック"/>
            <family val="3"/>
            <charset val="128"/>
          </rPr>
          <t>+B ON 又は ACC ON</t>
        </r>
      </text>
    </comment>
  </commentList>
</comments>
</file>

<file path=xl/sharedStrings.xml><?xml version="1.0" encoding="utf-8"?>
<sst xmlns="http://schemas.openxmlformats.org/spreadsheetml/2006/main" count="4775" uniqueCount="316">
  <si>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</si>
  <si>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</si>
  <si>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</si>
  <si>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</si>
  <si>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</si>
  <si>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</si>
  <si>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</si>
  <si>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</si>
  <si>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</si>
  <si>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</si>
  <si>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</si>
  <si>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</si>
  <si>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</si>
  <si>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</si>
  <si>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</si>
  <si>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</si>
  <si>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</si>
  <si>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</si>
  <si>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</si>
  <si>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</si>
  <si>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</si>
  <si>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</si>
  <si>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</si>
  <si>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</si>
  <si>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</si>
  <si>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</si>
  <si>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</si>
  <si>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</si>
  <si>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</si>
  <si>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</si>
  <si>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</si>
  <si>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</si>
  <si>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</si>
  <si>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</si>
  <si>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</si>
  <si>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</si>
  <si>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</si>
  <si>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</si>
  <si>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</si>
  <si>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</si>
  <si>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</si>
  <si>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</si>
  <si>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</si>
  <si>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</si>
  <si>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</si>
  <si>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</si>
  <si>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</si>
  <si>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</si>
  <si>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</si>
  <si>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</si>
  <si>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</si>
  <si>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</si>
  <si>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</si>
  <si>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</si>
  <si>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</si>
  <si>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</si>
  <si>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</si>
  <si>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</si>
  <si>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</si>
  <si>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</si>
  <si>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</si>
  <si>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</si>
  <si>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</si>
  <si>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</si>
  <si>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</si>
  <si>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</si>
  <si>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</si>
  <si>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</si>
  <si>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</si>
  <si>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</si>
  <si>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</si>
  <si>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</si>
  <si>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</si>
  <si>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</si>
  <si>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</si>
  <si>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</si>
  <si>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</si>
  <si>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</si>
  <si>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</si>
  <si>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</si>
  <si>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</si>
  <si>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</si>
  <si>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</si>
  <si>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</si>
  <si>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</si>
  <si>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</si>
  <si>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</si>
  <si>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</si>
  <si>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</si>
  <si>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</si>
  <si>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</si>
  <si>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</si>
  <si>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</si>
  <si>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</si>
  <si>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</si>
  <si>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</si>
  <si>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</si>
  <si>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</si>
  <si>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</si>
  <si>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</si>
  <si>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</si>
  <si>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</si>
  <si>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</si>
  <si>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</si>
  <si>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</si>
  <si>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</si>
  <si>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</si>
  <si>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</si>
  <si>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</si>
  <si>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</si>
  <si>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</si>
  <si>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</si>
  <si>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</si>
  <si>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</si>
  <si>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</si>
  <si>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</si>
  <si>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</si>
  <si>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</si>
  <si>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</si>
  <si>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</si>
  <si>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</si>
  <si>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</si>
  <si>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</si>
  <si>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</si>
  <si>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</si>
  <si>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</si>
  <si>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</si>
  <si>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</si>
  <si>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</si>
  <si>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</si>
  <si>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</si>
  <si>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</si>
  <si>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</si>
  <si>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</si>
  <si>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</si>
  <si>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</si>
  <si>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</si>
  <si>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</si>
  <si>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</si>
  <si>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</si>
  <si>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</si>
  <si>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</si>
  <si>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</si>
  <si>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</si>
  <si>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</si>
  <si>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</si>
  <si>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</si>
  <si>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</si>
  <si>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</si>
  <si>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</si>
  <si>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</si>
  <si>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</si>
  <si>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</si>
  <si>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</si>
  <si>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</si>
  <si>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</si>
  <si>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</si>
  <si>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</si>
  <si>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</si>
  <si>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</si>
  <si>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</si>
  <si>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</si>
  <si>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</si>
  <si>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</si>
  <si>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</si>
  <si>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</si>
  <si>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</si>
  <si>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</si>
  <si>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</si>
  <si>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</si>
  <si>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</si>
  <si>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</si>
  <si>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</si>
  <si>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</si>
  <si>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</si>
  <si>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</si>
  <si>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</si>
  <si>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</si>
  <si>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</si>
  <si>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</si>
  <si>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</si>
  <si>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</si>
  <si>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</si>
  <si>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</si>
  <si>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</si>
  <si>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</si>
  <si>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</si>
  <si>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</si>
  <si>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</si>
  <si>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</si>
  <si>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</si>
  <si>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</si>
  <si>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</si>
  <si>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</si>
  <si>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</si>
  <si>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</si>
  <si>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</si>
  <si>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</si>
  <si>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</si>
  <si>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</si>
  <si>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</si>
  <si>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</si>
  <si>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</si>
  <si>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</si>
  <si>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</si>
  <si>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判定結果</t>
    <phoneticPr fontId="2"/>
  </si>
  <si>
    <t>IG-OFF + * + *</t>
    <phoneticPr fontId="2"/>
  </si>
  <si>
    <t>IG-ON + 未受信通信途絶 + *</t>
    <rPh sb="8" eb="9">
      <t>ミ</t>
    </rPh>
    <rPh sb="9" eb="11">
      <t>ジュシン</t>
    </rPh>
    <rPh sb="11" eb="13">
      <t>ツウシン</t>
    </rPh>
    <rPh sb="13" eb="15">
      <t>トゼツ</t>
    </rPh>
    <phoneticPr fontId="2"/>
  </si>
  <si>
    <t>IG-ON + 通信途絶 + *</t>
    <rPh sb="8" eb="10">
      <t>ツウシン</t>
    </rPh>
    <rPh sb="10" eb="12">
      <t>トゼツ</t>
    </rPh>
    <phoneticPr fontId="2"/>
  </si>
  <si>
    <t>Index</t>
  </si>
  <si>
    <t>NULL</t>
  </si>
  <si>
    <t>TT</t>
    <phoneticPr fontId="2"/>
  </si>
  <si>
    <t>－</t>
  </si>
  <si>
    <t>BAT_WT</t>
    <phoneticPr fontId="2"/>
  </si>
  <si>
    <t>00b</t>
    <phoneticPr fontId="2"/>
  </si>
  <si>
    <t>01b</t>
    <phoneticPr fontId="2"/>
  </si>
  <si>
    <t>10b</t>
    <phoneticPr fontId="2"/>
  </si>
  <si>
    <t>11b</t>
    <phoneticPr fontId="2"/>
  </si>
  <si>
    <t>**b</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</si>
  <si>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</si>
  <si>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IG-ON + 未受信 + *</t>
    <rPh sb="8" eb="11">
      <t>ミジュシン</t>
    </rPh>
    <phoneticPr fontId="2"/>
  </si>
  <si>
    <t>BC</t>
    <phoneticPr fontId="2"/>
  </si>
  <si>
    <t>DS12F03</t>
  </si>
  <si>
    <t>DS12F03</t>
    <phoneticPr fontId="2"/>
  </si>
  <si>
    <t>通常(0b)/
未受信(1b)</t>
    <rPh sb="0" eb="2">
      <t>ツウジョウ</t>
    </rPh>
    <rPh sb="8" eb="9">
      <t>ミ</t>
    </rPh>
    <rPh sb="9" eb="11">
      <t>ジュシン</t>
    </rPh>
    <phoneticPr fontId="2"/>
  </si>
  <si>
    <t>0b</t>
    <phoneticPr fontId="2"/>
  </si>
  <si>
    <t>1b</t>
    <phoneticPr fontId="2"/>
  </si>
  <si>
    <t>*b</t>
  </si>
  <si>
    <t>*b</t>
    <phoneticPr fontId="2"/>
  </si>
  <si>
    <t>非吹鳴(0b)/
LTAキャンセルブザー(1b)</t>
    <rPh sb="0" eb="1">
      <t>ヒ</t>
    </rPh>
    <rPh sb="1" eb="3">
      <t>スイメイ</t>
    </rPh>
    <phoneticPr fontId="2"/>
  </si>
  <si>
    <t>2連発/
-</t>
    <rPh sb="1" eb="3">
      <t>レンパツ</t>
    </rPh>
    <phoneticPr fontId="2"/>
  </si>
  <si>
    <t>IG-ON + 通常 + 非吹鳴</t>
    <phoneticPr fontId="2"/>
  </si>
  <si>
    <t>IG-ON + 通常 + LTAキャンセルブザー</t>
    <phoneticPr fontId="2"/>
  </si>
  <si>
    <t>2連発</t>
  </si>
  <si>
    <t>　</t>
    <phoneticPr fontId="2"/>
  </si>
  <si>
    <t>5.5.0</t>
    <phoneticPr fontId="2"/>
  </si>
  <si>
    <t>PTN1</t>
  </si>
  <si>
    <t>PTN1</t>
    <phoneticPr fontId="2"/>
  </si>
  <si>
    <t>PTN2</t>
  </si>
  <si>
    <t>PTN2</t>
    <phoneticPr fontId="2"/>
  </si>
  <si>
    <t>PTN3</t>
  </si>
  <si>
    <t>PTN3</t>
    <phoneticPr fontId="2"/>
  </si>
  <si>
    <t>UNKNOWN/
PTN1/
PTN2/
PTN3</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</si>
  <si>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</si>
  <si>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</si>
  <si>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</si>
  <si>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DS12F03_STS</t>
    <phoneticPr fontId="2"/>
  </si>
  <si>
    <t>LKACB_SIG</t>
    <phoneticPr fontId="2"/>
  </si>
  <si>
    <t>**b</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</si>
  <si>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</si>
  <si>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</si>
  <si>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phoneticPr fontId="2"/>
  </si>
  <si>
    <t>https://aip01.dndev.net/svn/aip/tmcapp/sd/evidence/trunk/02_Design/01_Vom/Alert/03_Component/alert_design.pptx</t>
    <phoneticPr fontId="2"/>
  </si>
  <si>
    <t>LTABZR_SIG</t>
    <phoneticPr fontId="2"/>
  </si>
  <si>
    <r>
      <t>LTAキャンセルブザ</t>
    </r>
    <r>
      <rPr>
        <b/>
        <sz val="12"/>
        <rFont val="ＭＳ Ｐゴシック"/>
        <family val="3"/>
        <charset val="128"/>
        <scheme val="minor"/>
      </rPr>
      <t>ー判定</t>
    </r>
    <rPh sb="11" eb="13">
      <t>ハンテイ</t>
    </rPh>
    <phoneticPr fontId="2"/>
  </si>
  <si>
    <t>LTA Hands-freeブザー判定</t>
    <rPh sb="17" eb="19">
      <t>ハンテイ</t>
    </rPh>
    <phoneticPr fontId="2"/>
  </si>
  <si>
    <t>LTABZR</t>
    <phoneticPr fontId="2"/>
  </si>
  <si>
    <t>非吹鳴(00b)/
LTA 誤使用警告2(手放し)(01b)/
LTA 誤使用警告3(手放し)(10b)/
LTA中車線逸脱(11b)/</t>
    <rPh sb="0" eb="1">
      <t>ヒ</t>
    </rPh>
    <rPh sb="1" eb="3">
      <t>スイメイ</t>
    </rPh>
    <phoneticPr fontId="2"/>
  </si>
  <si>
    <t>断続/
連発/
-</t>
    <rPh sb="4" eb="6">
      <t>レンパツ</t>
    </rPh>
    <phoneticPr fontId="2"/>
  </si>
  <si>
    <t>IG-ON + 通常 + LTA 誤使用警告2(手放し)</t>
    <phoneticPr fontId="2"/>
  </si>
  <si>
    <t>断続</t>
  </si>
  <si>
    <t>IG-ON + 通常 + LTA 誤使用警告3(手放し)</t>
    <phoneticPr fontId="2"/>
  </si>
  <si>
    <t>IG-ON + 通常 + LTA中車線逸脱</t>
    <phoneticPr fontId="2"/>
  </si>
  <si>
    <t>連発</t>
  </si>
  <si>
    <t>(株)デンソー</t>
    <phoneticPr fontId="2"/>
  </si>
  <si>
    <t>承認</t>
  </si>
  <si>
    <t>検討</t>
  </si>
  <si>
    <t>作成</t>
  </si>
  <si>
    <t>&lt;DN確認印&gt;</t>
  </si>
  <si>
    <t>&lt;DN検討印&gt;</t>
  </si>
  <si>
    <t>&lt;DT確認印&gt;</t>
  </si>
  <si>
    <t>&lt;DT検討印&gt;</t>
  </si>
  <si>
    <t>承認欄 [DT]</t>
    <phoneticPr fontId="2"/>
  </si>
  <si>
    <t>承認者</t>
    <phoneticPr fontId="2"/>
  </si>
  <si>
    <t>DT Anna</t>
    <phoneticPr fontId="2"/>
  </si>
  <si>
    <t>新規作成(流用元：alert_S_LTA-CSTD-1-05-C-C0.xlsx)
19pfv3 CV内部結合1
[Matrix]シート
・対象仕様書変更
・ロケーション変更
・CH Name削除(TT_DMCR，PD_RQHN, PD_EDHF, PD_HFML, PD_STHF, PD_DMCR)
・CH Name追加(BC_LKA, BC_LTA)
[CH_Design]シート
・REQ削除
    TT_DMCR，PD_RQHN, PD_EDHF, PD_HFML, PD_STHF, PD_DMCR
・REQ追加
　　ALERT_CH_S_LTA_1_BC_LKA
　　ALERT_CH_S_LTA_1_BC_LTA
　　ALERT_CH_S_LTA_1_PD
[Reference]シート
・レーントレーシングアシストTT判定の点滅を削除
・LTAキャンセルブザー判定を追加
・LTA ブザー判定を追加</t>
    <rPh sb="0" eb="2">
      <t>シンキ</t>
    </rPh>
    <rPh sb="2" eb="4">
      <t>サクセイ</t>
    </rPh>
    <rPh sb="97" eb="99">
      <t>サクジョ</t>
    </rPh>
    <rPh sb="161" eb="163">
      <t>ツイカ</t>
    </rPh>
    <rPh sb="199" eb="201">
      <t>サクジョ</t>
    </rPh>
    <rPh sb="397" eb="399">
      <t>テンメツ</t>
    </rPh>
    <rPh sb="400" eb="402">
      <t>サクジョツイカツイカ</t>
    </rPh>
    <phoneticPr fontId="2"/>
  </si>
  <si>
    <t>1.1.0</t>
    <phoneticPr fontId="2"/>
  </si>
  <si>
    <t>5.5.0</t>
  </si>
  <si>
    <t>KSE八木春樹</t>
    <rPh sb="3" eb="7">
      <t>ヤギハルキ</t>
    </rPh>
    <phoneticPr fontId="2"/>
  </si>
  <si>
    <t xml:space="preserve">BEV シス検#2(流用元：alert_S_LTA-CSTD-2-00-B-C0.c)
[Matrix]シート
CH削除
[CH_Design]シート
CH削除
[TT]シート
CH削除に伴い、シート削除
[PD]シート
CH削除に伴い、シート削除
[Reference]シート
CH削除に伴い、真理値表の修正
</t>
    <rPh sb="6" eb="7">
      <t>ケン</t>
    </rPh>
    <rPh sb="52" eb="54">
      <t>ツイカ</t>
    </rPh>
    <rPh sb="58" eb="60">
      <t>サクジョ</t>
    </rPh>
    <rPh sb="101" eb="103">
      <t>サクジョ</t>
    </rPh>
    <rPh sb="135" eb="139">
      <t>シンリチヒョウ</t>
    </rPh>
    <rPh sb="139" eb="141">
      <t>ツイカ</t>
    </rPh>
    <rPh sb="144" eb="146">
      <t>サクジョ</t>
    </rPh>
    <rPh sb="147" eb="148">
      <t>トモナ</t>
    </rPh>
    <phoneticPr fontId="2"/>
  </si>
  <si>
    <t>1.1.1</t>
    <phoneticPr fontId="2"/>
  </si>
  <si>
    <t>5.6.0</t>
    <phoneticPr fontId="2"/>
  </si>
  <si>
    <t>DTPH Dj</t>
    <phoneticPr fontId="2"/>
  </si>
  <si>
    <t>デンソーテクノ(株)</t>
    <phoneticPr fontId="2"/>
  </si>
  <si>
    <t>DENSO TECHNO PHIL. INC</t>
    <phoneticPr fontId="2"/>
  </si>
  <si>
    <t>MET-S_ADBZR-CSTD-0-06-A-C0.xlsx</t>
    <phoneticPr fontId="2"/>
  </si>
  <si>
    <t>https://svn.geniie.net/bevs3/bevs3cdc/仕様書/MET/#1/tags/00.Product/v1.19/制御仕様/</t>
    <phoneticPr fontId="2"/>
  </si>
  <si>
    <t>S_ADBZR-CSTD-0-BZR01-REQ023-</t>
    <phoneticPr fontId="2"/>
  </si>
  <si>
    <t>S_ADBZR-CSTD-0-BZR01-REQ024-</t>
    <phoneticPr fontId="2"/>
  </si>
  <si>
    <t>S_ADBZR-CSTD-0-BZR01-REQ025-</t>
    <phoneticPr fontId="2"/>
  </si>
  <si>
    <t>S_ADBZR-CSTD-0-BZR01-REQ026-</t>
    <phoneticPr fontId="2"/>
  </si>
  <si>
    <t>BLKA</t>
    <phoneticPr fontId="2"/>
  </si>
  <si>
    <t>BLTA</t>
    <phoneticPr fontId="2"/>
  </si>
  <si>
    <t>ALERT_CH_S_ADBZR_LTA_BLTA</t>
  </si>
  <si>
    <t>DBL</t>
  </si>
  <si>
    <t>DBL</t>
    <phoneticPr fontId="2"/>
  </si>
  <si>
    <t>ALERT_CH_S_ADBZR_LTA_BLKA</t>
  </si>
  <si>
    <t>st_gp_ALERT_S_ADBZR_LTA_MTRX</t>
    <phoneticPr fontId="2"/>
  </si>
  <si>
    <t>Should be &lt;= 32 characters</t>
    <phoneticPr fontId="2"/>
  </si>
  <si>
    <t>Length</t>
    <phoneticPr fontId="2"/>
  </si>
  <si>
    <t>u4_s_AlertS_adbzr_ltaBlkaSrcchk</t>
  </si>
  <si>
    <t>u4_s_AlertS_adbzr_ltaBltaSrcchk</t>
  </si>
  <si>
    <t>ALERT_REQ_S_ADBZR_LTA_BLKA_DBL</t>
  </si>
  <si>
    <t>ALERT_REQ_S_ADBZR_LTA_BLTA_PTN1</t>
  </si>
  <si>
    <t>ALERT_REQ_S_ADBZR_LTA_BLTA_PTN2</t>
  </si>
  <si>
    <t>ALERT_REQ_S_ADBZR_LTA_BLTA_PTN3</t>
  </si>
  <si>
    <t>u4_sp_ALERT_S_ADBZR_LTA_BLKA_CRIT</t>
  </si>
  <si>
    <t>u4_sp_ALERT_S_ADBZR_LTA_BLKA_MASK</t>
  </si>
  <si>
    <t>ALERT_S_ADBZR_LTA_BLKA_NUM_DST</t>
  </si>
  <si>
    <t>u1_sp_ALERT_S_ADBZR_LTA_BLKA_DST</t>
  </si>
  <si>
    <t>BEV_MCU_シス検ADAS向け (流用元：alert_S_LTA-CSTD-2-00-B-C0.xlsx)
機能名の変更対応：S_LTA → S_ADBZR_LTA
Reference_文字数確認シート追加
影響シート:
Matrixシート
CH_Designシート
BLKAシート、 BLTAシート
Referenceシート</t>
    <rPh sb="103" eb="105">
      <t>ツイカ</t>
    </rPh>
    <phoneticPr fontId="2"/>
  </si>
  <si>
    <t>u4_sp_ALERT_S_ADBZR_LTA_BLTA_CRIT</t>
  </si>
  <si>
    <t>u4_sp_ALERT_S_ADBZR_LTA_BLTA_MASK</t>
  </si>
  <si>
    <t>ALERT_S_ADBZR_LTA_BLTA_NUM_DST</t>
  </si>
  <si>
    <t>u1_sp_ALERT_S_ADBZR_LTA_BLTA_DST</t>
  </si>
  <si>
    <r>
      <t>UNKNOWN/
DOUBLE</t>
    </r>
    <r>
      <rPr>
        <sz val="11"/>
        <color rgb="FFFF0000"/>
        <rFont val="ＭＳ Ｐゴシック"/>
        <family val="3"/>
        <charset val="128"/>
        <scheme val="minor"/>
      </rPr>
      <t>（DBL)</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</si>
</sst>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9"/>
      <color indexed="81"/>
      <name val="ＭＳ Ｐゴシック"/>
      <family val="3"/>
      <charset val="128"/>
    </font>
    <font>
      <b/>
      <sz val="12"/>
      <name val="ＭＳ Ｐゴシック"/>
      <family val="2"/>
      <charset val="128"/>
      <scheme val="minor"/>
    </font>
    <font>
      <sz val="9"/>
      <color indexed="81"/>
      <name val="MS P ゴシック"/>
      <family val="3"/>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2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22" borderId="12"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1" fillId="19" borderId="66" xfId="0" applyFont="1" applyFill="1" applyBorder="1">
      <alignment vertical="center"/>
    </xf>
    <xf numFmtId="0" fontId="1" fillId="19" borderId="11" xfId="0" applyFont="1" applyFill="1" applyBorder="1">
      <alignment vertical="center"/>
    </xf>
    <xf numFmtId="0" fontId="17" fillId="0" borderId="0" xfId="0" applyFont="1">
      <alignment vertical="center"/>
    </xf>
    <xf numFmtId="0" fontId="16" fillId="0" borderId="0" xfId="0" applyFont="1">
      <alignment vertical="center"/>
    </xf>
    <xf numFmtId="0" fontId="18"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2"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0" borderId="31" xfId="0" applyFont="1" applyBorder="1">
      <alignment vertical="center"/>
    </xf>
    <xf numFmtId="0" fontId="16" fillId="18" borderId="31" xfId="0" quotePrefix="1" applyFont="1" applyFill="1" applyBorder="1">
      <alignment vertical="center"/>
    </xf>
    <xf numFmtId="0" fontId="16" fillId="0" borderId="2" xfId="0" quotePrefix="1" applyFont="1" applyBorder="1">
      <alignment vertical="center"/>
    </xf>
    <xf numFmtId="0" fontId="16" fillId="20" borderId="2" xfId="0" applyFont="1" applyFill="1" applyBorder="1">
      <alignment vertical="center"/>
    </xf>
    <xf numFmtId="0" fontId="16" fillId="14" borderId="31"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0" borderId="2" xfId="0" applyFont="1" applyBorder="1">
      <alignment vertical="center"/>
    </xf>
    <xf numFmtId="0" fontId="16" fillId="0" borderId="27" xfId="0" applyFont="1" applyBorder="1">
      <alignment vertical="center"/>
    </xf>
    <xf numFmtId="0" fontId="16" fillId="14" borderId="33" xfId="0" applyFont="1" applyFill="1" applyBorder="1">
      <alignment vertical="center"/>
    </xf>
    <xf numFmtId="0" fontId="16" fillId="18" borderId="31" xfId="0" applyFont="1" applyFill="1" applyBorder="1" applyAlignment="1">
      <alignment vertical="center" textRotation="255"/>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28" xfId="0" applyFont="1" applyBorder="1" applyAlignment="1">
      <alignment vertical="center" wrapText="1"/>
    </xf>
    <xf numFmtId="0" fontId="16" fillId="0" borderId="34" xfId="0" applyFont="1" applyBorder="1" applyAlignment="1">
      <alignment vertical="center" wrapText="1"/>
    </xf>
    <xf numFmtId="0" fontId="16" fillId="15" borderId="16" xfId="0" applyFont="1" applyFill="1" applyBorder="1">
      <alignment vertical="center"/>
    </xf>
    <xf numFmtId="0" fontId="16" fillId="0" borderId="32" xfId="0" applyFont="1" applyBorder="1" applyAlignment="1">
      <alignment vertical="center" wrapText="1"/>
    </xf>
    <xf numFmtId="0" fontId="16" fillId="15" borderId="17" xfId="0" quotePrefix="1" applyFont="1" applyFill="1" applyBorder="1" applyAlignment="1">
      <alignment vertical="center" wrapText="1"/>
    </xf>
    <xf numFmtId="0" fontId="16" fillId="0" borderId="49" xfId="0" applyFont="1" applyBorder="1">
      <alignment vertical="center"/>
    </xf>
    <xf numFmtId="0" fontId="16" fillId="15" borderId="25" xfId="0" applyFont="1" applyFill="1" applyBorder="1" applyAlignment="1">
      <alignment horizontal="center" vertical="center"/>
    </xf>
    <xf numFmtId="0" fontId="16" fillId="0" borderId="29" xfId="0" applyFont="1" applyBorder="1" applyAlignment="1">
      <alignment horizontal="center" vertical="center"/>
    </xf>
    <xf numFmtId="0" fontId="16" fillId="0" borderId="14" xfId="0" applyFont="1" applyBorder="1" applyAlignment="1">
      <alignment horizontal="center" vertical="center"/>
    </xf>
    <xf numFmtId="0" fontId="16" fillId="0" borderId="24" xfId="0" applyFont="1" applyBorder="1" applyAlignment="1">
      <alignment horizontal="center" vertical="center"/>
    </xf>
    <xf numFmtId="0" fontId="16" fillId="15" borderId="14" xfId="0" applyFont="1" applyFill="1" applyBorder="1" applyAlignment="1">
      <alignment horizontal="center" vertical="center"/>
    </xf>
    <xf numFmtId="0" fontId="16" fillId="0" borderId="25" xfId="0" applyFont="1" applyBorder="1" applyAlignment="1">
      <alignment horizontal="center" vertical="center"/>
    </xf>
    <xf numFmtId="0" fontId="16" fillId="15" borderId="15" xfId="0" applyFont="1" applyFill="1" applyBorder="1" applyAlignment="1">
      <alignment horizontal="center" vertical="center"/>
    </xf>
    <xf numFmtId="0" fontId="16" fillId="0" borderId="19" xfId="0" applyFont="1" applyBorder="1">
      <alignment vertical="center"/>
    </xf>
    <xf numFmtId="0" fontId="16" fillId="15" borderId="31" xfId="0" applyFont="1" applyFill="1" applyBorder="1" applyAlignment="1">
      <alignment horizontal="center" vertical="center"/>
    </xf>
    <xf numFmtId="0" fontId="16" fillId="0" borderId="2" xfId="0" applyFont="1" applyBorder="1" applyAlignment="1">
      <alignment horizontal="center" vertical="center"/>
    </xf>
    <xf numFmtId="0" fontId="16" fillId="0" borderId="33" xfId="0" applyFont="1" applyBorder="1" applyAlignment="1">
      <alignment horizontal="center" vertical="center"/>
    </xf>
    <xf numFmtId="0" fontId="16" fillId="15" borderId="2" xfId="0" applyFont="1" applyFill="1" applyBorder="1" applyAlignment="1">
      <alignment horizontal="center" vertical="center"/>
    </xf>
    <xf numFmtId="0" fontId="16" fillId="15" borderId="7" xfId="0" applyFont="1" applyFill="1" applyBorder="1" applyAlignment="1">
      <alignment horizontal="center" vertical="center"/>
    </xf>
    <xf numFmtId="0" fontId="16" fillId="0" borderId="27" xfId="0" applyFont="1" applyBorder="1" applyAlignment="1">
      <alignment horizontal="center" vertical="center"/>
    </xf>
    <xf numFmtId="0" fontId="16" fillId="15" borderId="78" xfId="0" applyFont="1" applyFill="1" applyBorder="1" applyAlignment="1">
      <alignment horizontal="center" vertical="center"/>
    </xf>
    <xf numFmtId="0" fontId="16" fillId="0" borderId="20" xfId="0" applyFont="1" applyBorder="1">
      <alignment vertical="center"/>
    </xf>
    <xf numFmtId="0" fontId="16" fillId="15" borderId="26" xfId="0" applyFont="1" applyFill="1" applyBorder="1" applyAlignment="1">
      <alignment horizontal="center" vertical="center"/>
    </xf>
    <xf numFmtId="0" fontId="16" fillId="0" borderId="9" xfId="0" applyFont="1" applyBorder="1" applyAlignment="1">
      <alignment horizontal="center" vertical="center"/>
    </xf>
    <xf numFmtId="0" fontId="16" fillId="0" borderId="35" xfId="0" applyFont="1" applyBorder="1" applyAlignment="1">
      <alignment horizontal="center" vertical="center"/>
    </xf>
    <xf numFmtId="0" fontId="16" fillId="15" borderId="9" xfId="0" applyFont="1" applyFill="1" applyBorder="1" applyAlignment="1">
      <alignment horizontal="center" vertical="center"/>
    </xf>
    <xf numFmtId="0" fontId="16" fillId="15" borderId="30" xfId="0" applyFont="1" applyFill="1" applyBorder="1" applyAlignment="1">
      <alignment horizontal="center" vertical="center"/>
    </xf>
    <xf numFmtId="0" fontId="16" fillId="15" borderId="10" xfId="0" applyFont="1" applyFill="1" applyBorder="1" applyAlignment="1">
      <alignment horizontal="center" vertical="center"/>
    </xf>
    <xf numFmtId="0" fontId="13" fillId="7" borderId="62" xfId="0" applyFont="1" applyFill="1" applyBorder="1" applyAlignment="1">
      <alignment vertical="center"/>
    </xf>
    <xf numFmtId="0" fontId="20" fillId="0" borderId="0" xfId="0" applyFont="1">
      <alignment vertical="center"/>
    </xf>
    <xf numFmtId="0" fontId="16" fillId="0" borderId="77" xfId="0" applyFont="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3" fillId="12" borderId="7" xfId="0" applyFont="1" applyFill="1" applyBorder="1" applyProtection="1">
      <alignment vertical="center"/>
    </xf>
    <xf numFmtId="0" fontId="16" fillId="12" borderId="7" xfId="0" applyFont="1" applyFill="1" applyBorder="1" applyProtection="1">
      <alignment vertical="center"/>
    </xf>
    <xf numFmtId="0" fontId="0" fillId="0" borderId="54" xfId="0" applyBorder="1" applyAlignment="1">
      <alignment vertical="center" wrapText="1"/>
    </xf>
    <xf numFmtId="0" fontId="0" fillId="0" borderId="2" xfId="0" applyBorder="1" applyAlignment="1">
      <alignment horizontal="center" vertical="center"/>
    </xf>
    <xf numFmtId="0" fontId="0" fillId="0" borderId="14" xfId="0" applyBorder="1" applyAlignment="1">
      <alignment horizontal="center" vertical="center"/>
    </xf>
    <xf numFmtId="0" fontId="16" fillId="12" borderId="23" xfId="0" applyFont="1" applyFill="1" applyBorder="1">
      <alignment vertical="center"/>
    </xf>
    <xf numFmtId="0" fontId="16" fillId="12" borderId="18"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0" borderId="50" xfId="0" applyFont="1" applyBorder="1">
      <alignment vertical="center"/>
    </xf>
    <xf numFmtId="0" fontId="22" fillId="23" borderId="64" xfId="2" applyFill="1" applyBorder="1">
      <alignment vertical="center"/>
    </xf>
    <xf numFmtId="0" fontId="22" fillId="23" borderId="66" xfId="2" applyFill="1" applyBorder="1">
      <alignment vertical="center"/>
    </xf>
    <xf numFmtId="0" fontId="22" fillId="23" borderId="65" xfId="2" applyFill="1" applyBorder="1">
      <alignment vertical="center"/>
    </xf>
    <xf numFmtId="0" fontId="22" fillId="0" borderId="0" xfId="2">
      <alignment vertical="center"/>
    </xf>
    <xf numFmtId="0" fontId="22" fillId="23" borderId="79" xfId="2" applyFill="1" applyBorder="1">
      <alignment vertical="center"/>
    </xf>
    <xf numFmtId="0" fontId="22" fillId="23" borderId="0" xfId="2" applyFill="1">
      <alignment vertical="center"/>
    </xf>
    <xf numFmtId="0" fontId="22" fillId="23" borderId="80" xfId="2" applyFill="1" applyBorder="1">
      <alignment vertical="center"/>
    </xf>
    <xf numFmtId="0" fontId="9" fillId="23" borderId="0" xfId="2" applyFont="1" applyFill="1">
      <alignment vertical="center"/>
    </xf>
    <xf numFmtId="0" fontId="22" fillId="23" borderId="81" xfId="2" applyFill="1" applyBorder="1">
      <alignment vertical="center"/>
    </xf>
    <xf numFmtId="0" fontId="22" fillId="23" borderId="82" xfId="2" applyFill="1" applyBorder="1">
      <alignment vertical="center"/>
    </xf>
    <xf numFmtId="0" fontId="24" fillId="23" borderId="0" xfId="2" applyFont="1" applyFill="1" applyAlignment="1">
      <alignment horizontal="center" vertical="center"/>
    </xf>
    <xf numFmtId="0" fontId="22" fillId="23" borderId="29" xfId="2" applyFill="1" applyBorder="1">
      <alignment vertical="center"/>
    </xf>
    <xf numFmtId="0" fontId="22" fillId="23" borderId="11" xfId="2" applyFill="1" applyBorder="1">
      <alignment vertical="center"/>
    </xf>
    <xf numFmtId="0" fontId="22" fillId="23" borderId="25" xfId="2" applyFill="1" applyBorder="1">
      <alignment vertical="center"/>
    </xf>
    <xf numFmtId="0" fontId="22" fillId="23" borderId="83"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14" xfId="0" applyBorder="1" applyAlignment="1">
      <alignment vertical="center" wrapText="1"/>
    </xf>
    <xf numFmtId="0" fontId="0" fillId="0" borderId="25" xfId="0" applyBorder="1">
      <alignment vertical="center"/>
    </xf>
    <xf numFmtId="14" fontId="0" fillId="0" borderId="14" xfId="0" applyNumberFormat="1" applyBorder="1">
      <alignment vertical="center"/>
    </xf>
    <xf numFmtId="0" fontId="0" fillId="0" borderId="31" xfId="0" applyBorder="1">
      <alignment vertical="center"/>
    </xf>
    <xf numFmtId="0" fontId="0" fillId="0" borderId="26" xfId="0" applyBorder="1">
      <alignment vertical="center"/>
    </xf>
    <xf numFmtId="14" fontId="0" fillId="0" borderId="2" xfId="0" applyNumberFormat="1" applyBorder="1">
      <alignment vertical="center"/>
    </xf>
    <xf numFmtId="0" fontId="0" fillId="0" borderId="2" xfId="0" applyBorder="1" applyAlignment="1">
      <alignment vertical="top" wrapText="1"/>
    </xf>
    <xf numFmtId="0" fontId="22" fillId="23" borderId="0" xfId="2" applyFill="1" applyBorder="1">
      <alignment vertical="center"/>
    </xf>
    <xf numFmtId="0" fontId="10" fillId="0" borderId="6" xfId="0" applyFont="1" applyBorder="1">
      <alignment vertical="center"/>
    </xf>
    <xf numFmtId="0" fontId="15" fillId="0" borderId="2" xfId="0" applyFont="1" applyBorder="1">
      <alignment vertical="center"/>
    </xf>
    <xf numFmtId="14" fontId="15" fillId="0" borderId="7" xfId="0" applyNumberFormat="1" applyFont="1" applyBorder="1">
      <alignment vertical="center"/>
    </xf>
    <xf numFmtId="0" fontId="10" fillId="0" borderId="2" xfId="0" applyFont="1" applyBorder="1" applyAlignment="1">
      <alignment vertical="center" wrapText="1"/>
    </xf>
    <xf numFmtId="0" fontId="10" fillId="0" borderId="14" xfId="0" applyFont="1" applyBorder="1">
      <alignment vertical="center"/>
    </xf>
    <xf numFmtId="0" fontId="15" fillId="0" borderId="14" xfId="0" applyFont="1" applyBorder="1">
      <alignment vertical="center"/>
    </xf>
    <xf numFmtId="0" fontId="10" fillId="0" borderId="31" xfId="0" applyFont="1" applyBorder="1">
      <alignment vertical="center"/>
    </xf>
    <xf numFmtId="0" fontId="15" fillId="0" borderId="33" xfId="0" applyFont="1" applyBorder="1">
      <alignment vertical="center"/>
    </xf>
    <xf numFmtId="0" fontId="15" fillId="0" borderId="33" xfId="0" applyFont="1" applyBorder="1" applyAlignment="1">
      <alignment horizontal="center" vertical="center"/>
    </xf>
    <xf numFmtId="0" fontId="22" fillId="23" borderId="27" xfId="2" applyFill="1" applyBorder="1" applyAlignment="1">
      <alignment horizontal="center" vertical="center"/>
    </xf>
    <xf numFmtId="0" fontId="22" fillId="23" borderId="12" xfId="2" applyFill="1" applyBorder="1" applyAlignment="1">
      <alignment horizontal="center" vertical="center"/>
    </xf>
    <xf numFmtId="0" fontId="22" fillId="23" borderId="31" xfId="2" applyFill="1" applyBorder="1" applyAlignment="1">
      <alignment horizontal="center" vertical="center"/>
    </xf>
    <xf numFmtId="0" fontId="23" fillId="23" borderId="79" xfId="2" applyFont="1" applyFill="1" applyBorder="1" applyAlignment="1">
      <alignment horizontal="center" vertical="center"/>
    </xf>
    <xf numFmtId="0" fontId="22" fillId="23" borderId="0" xfId="2" applyFill="1" applyAlignment="1">
      <alignment horizontal="center" vertical="center"/>
    </xf>
    <xf numFmtId="0" fontId="22" fillId="23" borderId="80" xfId="2" applyFill="1" applyBorder="1" applyAlignment="1">
      <alignment horizontal="center" vertical="center"/>
    </xf>
    <xf numFmtId="0" fontId="22"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4"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6" fillId="18" borderId="68"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cellXfs>
  <cellStyles count="3">
    <cellStyle name="ハイパーリンク" xfId="1" builtinId="8"/>
    <cellStyle name="標準" xfId="0" builtinId="0"/>
    <cellStyle name="標準 5" xfId="2" xr:uid="{D3482DB3-42F2-429A-B9AA-A2CF336A1069}"/>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0000FF"/>
      <color rgb="FFFBBDBD"/>
      <color rgb="FFCCECFF"/>
      <color rgb="FFCCFDB1"/>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png"/><Relationship Id="rId5" Type="http://schemas.openxmlformats.org/officeDocument/2006/relationships/image" Target="../media/image11.emf"/><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33</xdr:col>
      <xdr:colOff>38100</xdr:colOff>
      <xdr:row>43</xdr:row>
      <xdr:rowOff>19050</xdr:rowOff>
    </xdr:from>
    <xdr:to>
      <xdr:col>36</xdr:col>
      <xdr:colOff>76200</xdr:colOff>
      <xdr:row>46</xdr:row>
      <xdr:rowOff>72390</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67300" y="7772400"/>
          <a:ext cx="495300" cy="567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114300</xdr:colOff>
          <xdr:row>45</xdr:row>
          <xdr:rowOff>34290</xdr:rowOff>
        </xdr:from>
        <xdr:to>
          <xdr:col>39</xdr:col>
          <xdr:colOff>1085</xdr:colOff>
          <xdr:row>48</xdr:row>
          <xdr:rowOff>11430</xdr:rowOff>
        </xdr:to>
        <xdr:sp macro="" textlink="">
          <xdr:nvSpPr>
            <xdr:cNvPr id="33795" name="inei1_REYES DYAN" hidden="1">
              <a:extLst>
                <a:ext uri="{63B3BB69-23CF-44E3-9099-C40C66FF867C}">
                  <a14:compatExt spid="_x0000_s33795"/>
                </a:ext>
                <a:ext uri="{FF2B5EF4-FFF2-40B4-BE49-F238E27FC236}">
                  <a16:creationId xmlns:a16="http://schemas.microsoft.com/office/drawing/2014/main" id="{E78222C0-6560-7EA7-C1B6-E5022F385109}"/>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0</xdr:colOff>
      <xdr:row>81</xdr:row>
      <xdr:rowOff>0</xdr:rowOff>
    </xdr:from>
    <xdr:to>
      <xdr:col>51</xdr:col>
      <xdr:colOff>323267</xdr:colOff>
      <xdr:row>89</xdr:row>
      <xdr:rowOff>47624</xdr:rowOff>
    </xdr:to>
    <xdr:pic>
      <xdr:nvPicPr>
        <xdr:cNvPr id="5" name="図 4">
          <a:extLst>
            <a:ext uri="{FF2B5EF4-FFF2-40B4-BE49-F238E27FC236}">
              <a16:creationId xmlns:a16="http://schemas.microsoft.com/office/drawing/2014/main" id="{829489CA-448F-2654-0D5A-BB1491939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02625" y="17835563"/>
          <a:ext cx="17039642" cy="1381124"/>
        </a:xfrm>
        <a:prstGeom prst="rect">
          <a:avLst/>
        </a:prstGeom>
        <a:solidFill>
          <a:schemeClr val="bg1"/>
        </a:solidFill>
      </xdr:spPr>
    </xdr:pic>
    <xdr:clientData/>
  </xdr:twoCellAnchor>
  <xdr:twoCellAnchor editAs="oneCell">
    <xdr:from>
      <xdr:col>24</xdr:col>
      <xdr:colOff>0</xdr:colOff>
      <xdr:row>43</xdr:row>
      <xdr:rowOff>0</xdr:rowOff>
    </xdr:from>
    <xdr:to>
      <xdr:col>48</xdr:col>
      <xdr:colOff>501632</xdr:colOff>
      <xdr:row>78</xdr:row>
      <xdr:rowOff>119062</xdr:rowOff>
    </xdr:to>
    <xdr:pic>
      <xdr:nvPicPr>
        <xdr:cNvPr id="3" name="図 2">
          <a:extLst>
            <a:ext uri="{FF2B5EF4-FFF2-40B4-BE49-F238E27FC236}">
              <a16:creationId xmlns:a16="http://schemas.microsoft.com/office/drawing/2014/main" id="{3FC16F6D-E04F-3B95-301B-B1945EF9AF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002625" y="8905875"/>
          <a:ext cx="15360632" cy="8548687"/>
        </a:xfrm>
        <a:prstGeom prst="rect">
          <a:avLst/>
        </a:prstGeom>
        <a:solidFill>
          <a:schemeClr val="bg1"/>
        </a:solidFill>
      </xdr:spPr>
    </xdr:pic>
    <xdr:clientData/>
  </xdr:twoCellAnchor>
  <xdr:twoCellAnchor editAs="oneCell">
    <xdr:from>
      <xdr:col>24</xdr:col>
      <xdr:colOff>0</xdr:colOff>
      <xdr:row>7</xdr:row>
      <xdr:rowOff>0</xdr:rowOff>
    </xdr:from>
    <xdr:to>
      <xdr:col>42</xdr:col>
      <xdr:colOff>512445</xdr:colOff>
      <xdr:row>42</xdr:row>
      <xdr:rowOff>247685</xdr:rowOff>
    </xdr:to>
    <xdr:pic>
      <xdr:nvPicPr>
        <xdr:cNvPr id="2" name="図 1">
          <a:extLst>
            <a:ext uri="{FF2B5EF4-FFF2-40B4-BE49-F238E27FC236}">
              <a16:creationId xmlns:a16="http://schemas.microsoft.com/office/drawing/2014/main" id="{B8712B10-4B28-8B5A-E7EA-0316B312AB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42941" y="1176618"/>
          <a:ext cx="11414088" cy="6339875"/>
        </a:xfrm>
        <a:prstGeom prst="rect">
          <a:avLst/>
        </a:prstGeom>
        <a:solidFill>
          <a:schemeClr val="bg1"/>
        </a:solidFill>
      </xdr:spPr>
    </xdr:pic>
    <xdr:clientData/>
  </xdr:twoCellAnchor>
  <xdr:twoCellAnchor editAs="oneCell">
    <xdr:from>
      <xdr:col>9</xdr:col>
      <xdr:colOff>37475</xdr:colOff>
      <xdr:row>48</xdr:row>
      <xdr:rowOff>102380</xdr:rowOff>
    </xdr:from>
    <xdr:to>
      <xdr:col>12</xdr:col>
      <xdr:colOff>668814</xdr:colOff>
      <xdr:row>52</xdr:row>
      <xdr:rowOff>25719</xdr:rowOff>
    </xdr:to>
    <xdr:sp macro="" textlink="">
      <xdr:nvSpPr>
        <xdr:cNvPr id="6" name="線吹き出し 1 (枠付き) 148">
          <a:extLst>
            <a:ext uri="{FF2B5EF4-FFF2-40B4-BE49-F238E27FC236}">
              <a16:creationId xmlns:a16="http://schemas.microsoft.com/office/drawing/2014/main" id="{00000000-0008-0000-0800-000006000000}"/>
            </a:ext>
          </a:extLst>
        </xdr:cNvPr>
        <xdr:cNvSpPr/>
      </xdr:nvSpPr>
      <xdr:spPr>
        <a:xfrm>
          <a:off x="7905125" y="23362430"/>
          <a:ext cx="5475754" cy="614854"/>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246130</xdr:colOff>
      <xdr:row>55</xdr:row>
      <xdr:rowOff>125826</xdr:rowOff>
    </xdr:from>
    <xdr:to>
      <xdr:col>12</xdr:col>
      <xdr:colOff>2418</xdr:colOff>
      <xdr:row>57</xdr:row>
      <xdr:rowOff>155123</xdr:rowOff>
    </xdr:to>
    <xdr:sp macro="" textlink="">
      <xdr:nvSpPr>
        <xdr:cNvPr id="7" name="線吹き出し 1 (枠付き) 149">
          <a:extLst>
            <a:ext uri="{FF2B5EF4-FFF2-40B4-BE49-F238E27FC236}">
              <a16:creationId xmlns:a16="http://schemas.microsoft.com/office/drawing/2014/main" id="{00000000-0008-0000-0800-000007000000}"/>
            </a:ext>
          </a:extLst>
        </xdr:cNvPr>
        <xdr:cNvSpPr/>
      </xdr:nvSpPr>
      <xdr:spPr>
        <a:xfrm>
          <a:off x="8380480" y="24586026"/>
          <a:ext cx="4264638" cy="372196"/>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249010</xdr:colOff>
      <xdr:row>73</xdr:row>
      <xdr:rowOff>135511</xdr:rowOff>
    </xdr:from>
    <xdr:to>
      <xdr:col>12</xdr:col>
      <xdr:colOff>876539</xdr:colOff>
      <xdr:row>77</xdr:row>
      <xdr:rowOff>60657</xdr:rowOff>
    </xdr:to>
    <xdr:sp macro="" textlink="">
      <xdr:nvSpPr>
        <xdr:cNvPr id="8" name="線吹き出し 1 (枠付き) 150">
          <a:extLst>
            <a:ext uri="{FF2B5EF4-FFF2-40B4-BE49-F238E27FC236}">
              <a16:creationId xmlns:a16="http://schemas.microsoft.com/office/drawing/2014/main" id="{00000000-0008-0000-0800-000008000000}"/>
            </a:ext>
          </a:extLst>
        </xdr:cNvPr>
        <xdr:cNvSpPr/>
      </xdr:nvSpPr>
      <xdr:spPr>
        <a:xfrm>
          <a:off x="8116660" y="29996386"/>
          <a:ext cx="5475754" cy="618565"/>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190499</xdr:colOff>
      <xdr:row>1</xdr:row>
      <xdr:rowOff>0</xdr:rowOff>
    </xdr:from>
    <xdr:to>
      <xdr:col>23</xdr:col>
      <xdr:colOff>211343</xdr:colOff>
      <xdr:row>5</xdr:row>
      <xdr:rowOff>60859</xdr:rowOff>
    </xdr:to>
    <xdr:sp macro="" textlink="">
      <xdr:nvSpPr>
        <xdr:cNvPr id="9" name="正方形/長方形 8">
          <a:extLst>
            <a:ext uri="{FF2B5EF4-FFF2-40B4-BE49-F238E27FC236}">
              <a16:creationId xmlns:a16="http://schemas.microsoft.com/office/drawing/2014/main" id="{00000000-0008-0000-0800-000009000000}"/>
            </a:ext>
          </a:extLst>
        </xdr:cNvPr>
        <xdr:cNvSpPr/>
      </xdr:nvSpPr>
      <xdr:spPr>
        <a:xfrm>
          <a:off x="19392899" y="171450"/>
          <a:ext cx="3406029" cy="753734"/>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MET-S_LTA-CSTD-2-00-B-C0</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対応からの差分は赤文字で記載</a:t>
          </a:r>
        </a:p>
      </xdr:txBody>
    </xdr:sp>
    <xdr:clientData/>
  </xdr:twoCellAnchor>
  <xdr:twoCellAnchor editAs="oneCell">
    <xdr:from>
      <xdr:col>10</xdr:col>
      <xdr:colOff>751995</xdr:colOff>
      <xdr:row>34</xdr:row>
      <xdr:rowOff>105815</xdr:rowOff>
    </xdr:from>
    <xdr:to>
      <xdr:col>12</xdr:col>
      <xdr:colOff>437557</xdr:colOff>
      <xdr:row>36</xdr:row>
      <xdr:rowOff>136296</xdr:rowOff>
    </xdr:to>
    <xdr:sp macro="" textlink="">
      <xdr:nvSpPr>
        <xdr:cNvPr id="10" name="線吹き出し 1 (枠付き) 147">
          <a:extLst>
            <a:ext uri="{FF2B5EF4-FFF2-40B4-BE49-F238E27FC236}">
              <a16:creationId xmlns:a16="http://schemas.microsoft.com/office/drawing/2014/main" id="{00000000-0008-0000-0800-00000A000000}"/>
            </a:ext>
          </a:extLst>
        </xdr:cNvPr>
        <xdr:cNvSpPr/>
      </xdr:nvSpPr>
      <xdr:spPr>
        <a:xfrm>
          <a:off x="8886345" y="18993890"/>
          <a:ext cx="4263277" cy="381000"/>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49</xdr:col>
      <xdr:colOff>500063</xdr:colOff>
      <xdr:row>27</xdr:row>
      <xdr:rowOff>164102</xdr:rowOff>
    </xdr:from>
    <xdr:to>
      <xdr:col>75</xdr:col>
      <xdr:colOff>249993</xdr:colOff>
      <xdr:row>47</xdr:row>
      <xdr:rowOff>86552</xdr:rowOff>
    </xdr:to>
    <xdr:pic>
      <xdr:nvPicPr>
        <xdr:cNvPr id="15" name="図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4"/>
        <a:stretch>
          <a:fillRect/>
        </a:stretch>
      </xdr:blipFill>
      <xdr:spPr>
        <a:xfrm>
          <a:off x="36980813" y="4664665"/>
          <a:ext cx="15847180" cy="5351700"/>
        </a:xfrm>
        <a:prstGeom prst="rect">
          <a:avLst/>
        </a:prstGeom>
      </xdr:spPr>
    </xdr:pic>
    <xdr:clientData/>
  </xdr:twoCellAnchor>
  <xdr:twoCellAnchor editAs="absolute">
    <xdr:from>
      <xdr:col>23</xdr:col>
      <xdr:colOff>594103</xdr:colOff>
      <xdr:row>28</xdr:row>
      <xdr:rowOff>73045</xdr:rowOff>
    </xdr:from>
    <xdr:to>
      <xdr:col>41</xdr:col>
      <xdr:colOff>477355</xdr:colOff>
      <xdr:row>30</xdr:row>
      <xdr:rowOff>20250</xdr:rowOff>
    </xdr:to>
    <xdr:sp macro="" textlink="">
      <xdr:nvSpPr>
        <xdr:cNvPr id="26" name="正方形/長方形 25">
          <a:extLst>
            <a:ext uri="{FF2B5EF4-FFF2-40B4-BE49-F238E27FC236}">
              <a16:creationId xmlns:a16="http://schemas.microsoft.com/office/drawing/2014/main" id="{00000000-0008-0000-0800-00001A000000}"/>
            </a:ext>
          </a:extLst>
        </xdr:cNvPr>
        <xdr:cNvSpPr/>
      </xdr:nvSpPr>
      <xdr:spPr>
        <a:xfrm>
          <a:off x="20835737" y="4779516"/>
          <a:ext cx="10767749" cy="2738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209486</xdr:colOff>
      <xdr:row>22</xdr:row>
      <xdr:rowOff>65522</xdr:rowOff>
    </xdr:from>
    <xdr:to>
      <xdr:col>43</xdr:col>
      <xdr:colOff>514558</xdr:colOff>
      <xdr:row>24</xdr:row>
      <xdr:rowOff>136164</xdr:rowOff>
    </xdr:to>
    <xdr:sp macro="" textlink="">
      <xdr:nvSpPr>
        <xdr:cNvPr id="27" name="線吹き出し 1 (枠付き) 246">
          <a:extLst>
            <a:ext uri="{FF2B5EF4-FFF2-40B4-BE49-F238E27FC236}">
              <a16:creationId xmlns:a16="http://schemas.microsoft.com/office/drawing/2014/main" id="{00000000-0008-0000-0800-00001B000000}"/>
            </a:ext>
          </a:extLst>
        </xdr:cNvPr>
        <xdr:cNvSpPr/>
      </xdr:nvSpPr>
      <xdr:spPr>
        <a:xfrm>
          <a:off x="28928482" y="3769178"/>
          <a:ext cx="3930062" cy="408724"/>
        </a:xfrm>
        <a:prstGeom prst="borderCallout1">
          <a:avLst>
            <a:gd name="adj1" fmla="val 100965"/>
            <a:gd name="adj2" fmla="val 40508"/>
            <a:gd name="adj3" fmla="val 241224"/>
            <a:gd name="adj4" fmla="val -6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アプリに管理されないので、対象外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177964</xdr:colOff>
      <xdr:row>49</xdr:row>
      <xdr:rowOff>58559</xdr:rowOff>
    </xdr:from>
    <xdr:to>
      <xdr:col>36</xdr:col>
      <xdr:colOff>84346</xdr:colOff>
      <xdr:row>78</xdr:row>
      <xdr:rowOff>122464</xdr:rowOff>
    </xdr:to>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27909321" y="10780988"/>
          <a:ext cx="518704" cy="74117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256360</xdr:colOff>
      <xdr:row>52</xdr:row>
      <xdr:rowOff>82555</xdr:rowOff>
    </xdr:from>
    <xdr:to>
      <xdr:col>35</xdr:col>
      <xdr:colOff>181314</xdr:colOff>
      <xdr:row>54</xdr:row>
      <xdr:rowOff>136145</xdr:rowOff>
    </xdr:to>
    <xdr:sp macro="" textlink="">
      <xdr:nvSpPr>
        <xdr:cNvPr id="47" name="線吹き出し 1 (枠付き) 246">
          <a:extLst>
            <a:ext uri="{FF2B5EF4-FFF2-40B4-BE49-F238E27FC236}">
              <a16:creationId xmlns:a16="http://schemas.microsoft.com/office/drawing/2014/main" id="{00000000-0008-0000-0800-00002F000000}"/>
            </a:ext>
          </a:extLst>
        </xdr:cNvPr>
        <xdr:cNvSpPr/>
      </xdr:nvSpPr>
      <xdr:spPr>
        <a:xfrm>
          <a:off x="26763074" y="11335662"/>
          <a:ext cx="1149597" cy="407376"/>
        </a:xfrm>
        <a:prstGeom prst="borderCallout1">
          <a:avLst>
            <a:gd name="adj1" fmla="val 100965"/>
            <a:gd name="adj2" fmla="val 40508"/>
            <a:gd name="adj3" fmla="val 400071"/>
            <a:gd name="adj4" fmla="val 99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43</xdr:col>
      <xdr:colOff>203466</xdr:colOff>
      <xdr:row>86</xdr:row>
      <xdr:rowOff>68224</xdr:rowOff>
    </xdr:from>
    <xdr:to>
      <xdr:col>48</xdr:col>
      <xdr:colOff>129174</xdr:colOff>
      <xdr:row>87</xdr:row>
      <xdr:rowOff>139975</xdr:rowOff>
    </xdr:to>
    <xdr:sp macro="" textlink="">
      <xdr:nvSpPr>
        <xdr:cNvPr id="48" name="正方形/長方形 47">
          <a:extLst>
            <a:ext uri="{FF2B5EF4-FFF2-40B4-BE49-F238E27FC236}">
              <a16:creationId xmlns:a16="http://schemas.microsoft.com/office/drawing/2014/main" id="{00000000-0008-0000-0800-000030000000}"/>
            </a:ext>
          </a:extLst>
        </xdr:cNvPr>
        <xdr:cNvSpPr/>
      </xdr:nvSpPr>
      <xdr:spPr>
        <a:xfrm>
          <a:off x="32820379" y="19300441"/>
          <a:ext cx="2990273" cy="2456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221120</xdr:colOff>
      <xdr:row>87</xdr:row>
      <xdr:rowOff>145762</xdr:rowOff>
    </xdr:from>
    <xdr:to>
      <xdr:col>48</xdr:col>
      <xdr:colOff>177308</xdr:colOff>
      <xdr:row>89</xdr:row>
      <xdr:rowOff>5846</xdr:rowOff>
    </xdr:to>
    <xdr:sp macro="" textlink="">
      <xdr:nvSpPr>
        <xdr:cNvPr id="49" name="正方形/長方形 48">
          <a:extLst>
            <a:ext uri="{FF2B5EF4-FFF2-40B4-BE49-F238E27FC236}">
              <a16:creationId xmlns:a16="http://schemas.microsoft.com/office/drawing/2014/main" id="{00000000-0008-0000-0800-000031000000}"/>
            </a:ext>
          </a:extLst>
        </xdr:cNvPr>
        <xdr:cNvSpPr/>
      </xdr:nvSpPr>
      <xdr:spPr>
        <a:xfrm>
          <a:off x="32838033" y="19551914"/>
          <a:ext cx="3020753" cy="207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243745</xdr:colOff>
      <xdr:row>81</xdr:row>
      <xdr:rowOff>117896</xdr:rowOff>
    </xdr:from>
    <xdr:to>
      <xdr:col>53</xdr:col>
      <xdr:colOff>91485</xdr:colOff>
      <xdr:row>86</xdr:row>
      <xdr:rowOff>28651</xdr:rowOff>
    </xdr:to>
    <xdr:sp macro="" textlink="">
      <xdr:nvSpPr>
        <xdr:cNvPr id="50" name="線吹き出し 1 (枠付き) 290">
          <a:extLst>
            <a:ext uri="{FF2B5EF4-FFF2-40B4-BE49-F238E27FC236}">
              <a16:creationId xmlns:a16="http://schemas.microsoft.com/office/drawing/2014/main" id="{00000000-0008-0000-0800-000032000000}"/>
            </a:ext>
          </a:extLst>
        </xdr:cNvPr>
        <xdr:cNvSpPr/>
      </xdr:nvSpPr>
      <xdr:spPr>
        <a:xfrm>
          <a:off x="37151049" y="18480439"/>
          <a:ext cx="1686479" cy="780429"/>
        </a:xfrm>
        <a:prstGeom prst="borderCallout1">
          <a:avLst>
            <a:gd name="adj1" fmla="val 59203"/>
            <a:gd name="adj2" fmla="val -288"/>
            <a:gd name="adj3" fmla="val 107365"/>
            <a:gd name="adj4" fmla="val -119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50</xdr:col>
      <xdr:colOff>221666</xdr:colOff>
      <xdr:row>90</xdr:row>
      <xdr:rowOff>68472</xdr:rowOff>
    </xdr:from>
    <xdr:to>
      <xdr:col>52</xdr:col>
      <xdr:colOff>605508</xdr:colOff>
      <xdr:row>95</xdr:row>
      <xdr:rowOff>48873</xdr:rowOff>
    </xdr:to>
    <xdr:sp macro="" textlink="">
      <xdr:nvSpPr>
        <xdr:cNvPr id="51" name="線吹き出し 1 (枠付き) 289">
          <a:extLst>
            <a:ext uri="{FF2B5EF4-FFF2-40B4-BE49-F238E27FC236}">
              <a16:creationId xmlns:a16="http://schemas.microsoft.com/office/drawing/2014/main" id="{00000000-0008-0000-0800-000033000000}"/>
            </a:ext>
          </a:extLst>
        </xdr:cNvPr>
        <xdr:cNvSpPr/>
      </xdr:nvSpPr>
      <xdr:spPr>
        <a:xfrm>
          <a:off x="37128970" y="19996429"/>
          <a:ext cx="1609668" cy="850074"/>
        </a:xfrm>
        <a:prstGeom prst="borderCallout1">
          <a:avLst>
            <a:gd name="adj1" fmla="val 59203"/>
            <a:gd name="adj2" fmla="val -288"/>
            <a:gd name="adj3" fmla="val -31053"/>
            <a:gd name="adj4" fmla="val -125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9</xdr:col>
      <xdr:colOff>590550</xdr:colOff>
      <xdr:row>27</xdr:row>
      <xdr:rowOff>9525</xdr:rowOff>
    </xdr:to>
    <xdr:pic>
      <xdr:nvPicPr>
        <xdr:cNvPr id="36" name="図 35">
          <a:extLst>
            <a:ext uri="{FF2B5EF4-FFF2-40B4-BE49-F238E27FC236}">
              <a16:creationId xmlns:a16="http://schemas.microsoft.com/office/drawing/2014/main" id="{00000000-0008-0000-0A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67275" y="2400300"/>
          <a:ext cx="401955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2</xdr:row>
      <xdr:rowOff>0</xdr:rowOff>
    </xdr:from>
    <xdr:to>
      <xdr:col>17</xdr:col>
      <xdr:colOff>0</xdr:colOff>
      <xdr:row>5</xdr:row>
      <xdr:rowOff>9005</xdr:rowOff>
    </xdr:to>
    <xdr:pic>
      <xdr:nvPicPr>
        <xdr:cNvPr id="33" name="図 32">
          <a:extLst>
            <a:ext uri="{FF2B5EF4-FFF2-40B4-BE49-F238E27FC236}">
              <a16:creationId xmlns:a16="http://schemas.microsoft.com/office/drawing/2014/main" id="{00000000-0008-0000-0A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67276" y="342900"/>
          <a:ext cx="8915399" cy="52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276225</xdr:colOff>
      <xdr:row>3</xdr:row>
      <xdr:rowOff>9525</xdr:rowOff>
    </xdr:from>
    <xdr:to>
      <xdr:col>11</xdr:col>
      <xdr:colOff>161925</xdr:colOff>
      <xdr:row>4</xdr:row>
      <xdr:rowOff>152400</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7886700" y="523875"/>
          <a:ext cx="1943100" cy="3143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76200</xdr:colOff>
      <xdr:row>3</xdr:row>
      <xdr:rowOff>9525</xdr:rowOff>
    </xdr:from>
    <xdr:to>
      <xdr:col>16</xdr:col>
      <xdr:colOff>647700</xdr:colOff>
      <xdr:row>4</xdr:row>
      <xdr:rowOff>152400</xdr:rowOff>
    </xdr:to>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11801475" y="523875"/>
          <a:ext cx="1943100" cy="3143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3</xdr:row>
      <xdr:rowOff>0</xdr:rowOff>
    </xdr:from>
    <xdr:to>
      <xdr:col>1</xdr:col>
      <xdr:colOff>2800350</xdr:colOff>
      <xdr:row>4</xdr:row>
      <xdr:rowOff>161925</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704850" y="342900"/>
          <a:ext cx="27813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14</xdr:row>
      <xdr:rowOff>9525</xdr:rowOff>
    </xdr:from>
    <xdr:to>
      <xdr:col>1</xdr:col>
      <xdr:colOff>2800350</xdr:colOff>
      <xdr:row>16</xdr:row>
      <xdr:rowOff>0</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704850" y="866775"/>
          <a:ext cx="27813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2800350</xdr:colOff>
      <xdr:row>3</xdr:row>
      <xdr:rowOff>166688</xdr:rowOff>
    </xdr:from>
    <xdr:to>
      <xdr:col>8</xdr:col>
      <xdr:colOff>276225</xdr:colOff>
      <xdr:row>3</xdr:row>
      <xdr:rowOff>166688</xdr:rowOff>
    </xdr:to>
    <xdr:cxnSp macro="">
      <xdr:nvCxnSpPr>
        <xdr:cNvPr id="14" name="直線矢印コネクタ 13">
          <a:extLst>
            <a:ext uri="{FF2B5EF4-FFF2-40B4-BE49-F238E27FC236}">
              <a16:creationId xmlns:a16="http://schemas.microsoft.com/office/drawing/2014/main" id="{00000000-0008-0000-0A00-00000E000000}"/>
            </a:ext>
          </a:extLst>
        </xdr:cNvPr>
        <xdr:cNvCxnSpPr>
          <a:cxnSpLocks/>
          <a:stCxn id="9" idx="1"/>
          <a:endCxn id="11" idx="3"/>
        </xdr:cNvCxnSpPr>
      </xdr:nvCxnSpPr>
      <xdr:spPr>
        <a:xfrm flipH="1">
          <a:off x="3486150" y="681038"/>
          <a:ext cx="4400550"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2800350</xdr:colOff>
      <xdr:row>4</xdr:row>
      <xdr:rowOff>152400</xdr:rowOff>
    </xdr:from>
    <xdr:to>
      <xdr:col>15</xdr:col>
      <xdr:colOff>361950</xdr:colOff>
      <xdr:row>15</xdr:row>
      <xdr:rowOff>4763</xdr:rowOff>
    </xdr:to>
    <xdr:cxnSp macro="">
      <xdr:nvCxnSpPr>
        <xdr:cNvPr id="15" name="直線矢印コネクタ 14">
          <a:extLst>
            <a:ext uri="{FF2B5EF4-FFF2-40B4-BE49-F238E27FC236}">
              <a16:creationId xmlns:a16="http://schemas.microsoft.com/office/drawing/2014/main" id="{00000000-0008-0000-0A00-00000F000000}"/>
            </a:ext>
          </a:extLst>
        </xdr:cNvPr>
        <xdr:cNvCxnSpPr>
          <a:stCxn id="10" idx="2"/>
          <a:endCxn id="12" idx="3"/>
        </xdr:cNvCxnSpPr>
      </xdr:nvCxnSpPr>
      <xdr:spPr>
        <a:xfrm flipH="1">
          <a:off x="3486150" y="838200"/>
          <a:ext cx="9286875" cy="36671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16</xdr:row>
      <xdr:rowOff>0</xdr:rowOff>
    </xdr:from>
    <xdr:to>
      <xdr:col>9</xdr:col>
      <xdr:colOff>600075</xdr:colOff>
      <xdr:row>21</xdr:row>
      <xdr:rowOff>28575</xdr:rowOff>
    </xdr:to>
    <xdr:pic>
      <xdr:nvPicPr>
        <xdr:cNvPr id="21" name="図 20">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67275" y="1371600"/>
          <a:ext cx="4029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17</xdr:row>
      <xdr:rowOff>9525</xdr:rowOff>
    </xdr:from>
    <xdr:to>
      <xdr:col>3</xdr:col>
      <xdr:colOff>0</xdr:colOff>
      <xdr:row>21</xdr:row>
      <xdr:rowOff>0</xdr:rowOff>
    </xdr:to>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714375" y="1552575"/>
          <a:ext cx="3467100" cy="6762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17</xdr:row>
      <xdr:rowOff>19050</xdr:rowOff>
    </xdr:from>
    <xdr:to>
      <xdr:col>9</xdr:col>
      <xdr:colOff>581025</xdr:colOff>
      <xdr:row>21</xdr:row>
      <xdr:rowOff>9525</xdr:rowOff>
    </xdr:to>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4867275" y="1562100"/>
          <a:ext cx="4010025" cy="6762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0</xdr:colOff>
      <xdr:row>19</xdr:row>
      <xdr:rowOff>4763</xdr:rowOff>
    </xdr:from>
    <xdr:to>
      <xdr:col>4</xdr:col>
      <xdr:colOff>0</xdr:colOff>
      <xdr:row>19</xdr:row>
      <xdr:rowOff>14288</xdr:rowOff>
    </xdr:to>
    <xdr:cxnSp macro="">
      <xdr:nvCxnSpPr>
        <xdr:cNvPr id="24" name="直線矢印コネクタ 23">
          <a:extLst>
            <a:ext uri="{FF2B5EF4-FFF2-40B4-BE49-F238E27FC236}">
              <a16:creationId xmlns:a16="http://schemas.microsoft.com/office/drawing/2014/main" id="{00000000-0008-0000-0A00-000018000000}"/>
            </a:ext>
          </a:extLst>
        </xdr:cNvPr>
        <xdr:cNvCxnSpPr>
          <a:cxnSpLocks/>
          <a:stCxn id="23" idx="1"/>
          <a:endCxn id="22" idx="3"/>
        </xdr:cNvCxnSpPr>
      </xdr:nvCxnSpPr>
      <xdr:spPr>
        <a:xfrm flipH="1" flipV="1">
          <a:off x="4181475" y="1890713"/>
          <a:ext cx="685800" cy="95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22</xdr:row>
      <xdr:rowOff>9525</xdr:rowOff>
    </xdr:from>
    <xdr:to>
      <xdr:col>2</xdr:col>
      <xdr:colOff>657225</xdr:colOff>
      <xdr:row>24</xdr:row>
      <xdr:rowOff>0</xdr:rowOff>
    </xdr:to>
    <xdr:sp macro="" textlink="">
      <xdr:nvSpPr>
        <xdr:cNvPr id="28" name="正方形/長方形 27">
          <a:extLst>
            <a:ext uri="{FF2B5EF4-FFF2-40B4-BE49-F238E27FC236}">
              <a16:creationId xmlns:a16="http://schemas.microsoft.com/office/drawing/2014/main" id="{00000000-0008-0000-0A00-00001C000000}"/>
            </a:ext>
          </a:extLst>
        </xdr:cNvPr>
        <xdr:cNvSpPr/>
      </xdr:nvSpPr>
      <xdr:spPr>
        <a:xfrm>
          <a:off x="685800" y="2409825"/>
          <a:ext cx="34671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438150</xdr:colOff>
      <xdr:row>22</xdr:row>
      <xdr:rowOff>19050</xdr:rowOff>
    </xdr:from>
    <xdr:to>
      <xdr:col>9</xdr:col>
      <xdr:colOff>600075</xdr:colOff>
      <xdr:row>24</xdr:row>
      <xdr:rowOff>9525</xdr:rowOff>
    </xdr:to>
    <xdr:sp macro="" textlink="">
      <xdr:nvSpPr>
        <xdr:cNvPr id="29" name="正方形/長方形 28">
          <a:extLst>
            <a:ext uri="{FF2B5EF4-FFF2-40B4-BE49-F238E27FC236}">
              <a16:creationId xmlns:a16="http://schemas.microsoft.com/office/drawing/2014/main" id="{00000000-0008-0000-0A00-00001D000000}"/>
            </a:ext>
          </a:extLst>
        </xdr:cNvPr>
        <xdr:cNvSpPr/>
      </xdr:nvSpPr>
      <xdr:spPr>
        <a:xfrm>
          <a:off x="6677025" y="2419350"/>
          <a:ext cx="221932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24</xdr:row>
      <xdr:rowOff>28575</xdr:rowOff>
    </xdr:from>
    <xdr:to>
      <xdr:col>2</xdr:col>
      <xdr:colOff>657225</xdr:colOff>
      <xdr:row>27</xdr:row>
      <xdr:rowOff>0</xdr:rowOff>
    </xdr:to>
    <xdr:sp macro="" textlink="">
      <xdr:nvSpPr>
        <xdr:cNvPr id="30" name="正方形/長方形 29">
          <a:extLst>
            <a:ext uri="{FF2B5EF4-FFF2-40B4-BE49-F238E27FC236}">
              <a16:creationId xmlns:a16="http://schemas.microsoft.com/office/drawing/2014/main" id="{00000000-0008-0000-0A00-00001E000000}"/>
            </a:ext>
          </a:extLst>
        </xdr:cNvPr>
        <xdr:cNvSpPr/>
      </xdr:nvSpPr>
      <xdr:spPr>
        <a:xfrm>
          <a:off x="685800" y="2771775"/>
          <a:ext cx="3467100" cy="4857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438149</xdr:colOff>
      <xdr:row>24</xdr:row>
      <xdr:rowOff>19050</xdr:rowOff>
    </xdr:from>
    <xdr:to>
      <xdr:col>9</xdr:col>
      <xdr:colOff>600074</xdr:colOff>
      <xdr:row>26</xdr:row>
      <xdr:rowOff>161925</xdr:rowOff>
    </xdr:to>
    <xdr:sp macro="" textlink="">
      <xdr:nvSpPr>
        <xdr:cNvPr id="31" name="正方形/長方形 30">
          <a:extLst>
            <a:ext uri="{FF2B5EF4-FFF2-40B4-BE49-F238E27FC236}">
              <a16:creationId xmlns:a16="http://schemas.microsoft.com/office/drawing/2014/main" id="{00000000-0008-0000-0A00-00001F000000}"/>
            </a:ext>
          </a:extLst>
        </xdr:cNvPr>
        <xdr:cNvSpPr/>
      </xdr:nvSpPr>
      <xdr:spPr>
        <a:xfrm>
          <a:off x="6677024" y="2762250"/>
          <a:ext cx="2219325" cy="4857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657225</xdr:colOff>
      <xdr:row>23</xdr:row>
      <xdr:rowOff>4763</xdr:rowOff>
    </xdr:from>
    <xdr:to>
      <xdr:col>6</xdr:col>
      <xdr:colOff>438150</xdr:colOff>
      <xdr:row>23</xdr:row>
      <xdr:rowOff>14288</xdr:rowOff>
    </xdr:to>
    <xdr:cxnSp macro="">
      <xdr:nvCxnSpPr>
        <xdr:cNvPr id="37" name="直線矢印コネクタ 36">
          <a:extLst>
            <a:ext uri="{FF2B5EF4-FFF2-40B4-BE49-F238E27FC236}">
              <a16:creationId xmlns:a16="http://schemas.microsoft.com/office/drawing/2014/main" id="{00000000-0008-0000-0A00-000025000000}"/>
            </a:ext>
          </a:extLst>
        </xdr:cNvPr>
        <xdr:cNvCxnSpPr>
          <a:cxnSpLocks/>
          <a:stCxn id="29" idx="1"/>
          <a:endCxn id="28" idx="3"/>
        </xdr:cNvCxnSpPr>
      </xdr:nvCxnSpPr>
      <xdr:spPr>
        <a:xfrm flipH="1" flipV="1">
          <a:off x="4152900" y="2576513"/>
          <a:ext cx="2524125" cy="95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657225</xdr:colOff>
      <xdr:row>25</xdr:row>
      <xdr:rowOff>90488</xdr:rowOff>
    </xdr:from>
    <xdr:to>
      <xdr:col>6</xdr:col>
      <xdr:colOff>438149</xdr:colOff>
      <xdr:row>25</xdr:row>
      <xdr:rowOff>100013</xdr:rowOff>
    </xdr:to>
    <xdr:cxnSp macro="">
      <xdr:nvCxnSpPr>
        <xdr:cNvPr id="40" name="直線矢印コネクタ 39">
          <a:extLst>
            <a:ext uri="{FF2B5EF4-FFF2-40B4-BE49-F238E27FC236}">
              <a16:creationId xmlns:a16="http://schemas.microsoft.com/office/drawing/2014/main" id="{00000000-0008-0000-0A00-000028000000}"/>
            </a:ext>
          </a:extLst>
        </xdr:cNvPr>
        <xdr:cNvCxnSpPr>
          <a:cxnSpLocks/>
          <a:stCxn id="31" idx="1"/>
          <a:endCxn id="30" idx="3"/>
        </xdr:cNvCxnSpPr>
      </xdr:nvCxnSpPr>
      <xdr:spPr>
        <a:xfrm flipH="1">
          <a:off x="4152900" y="3005138"/>
          <a:ext cx="2524124" cy="95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0</xdr:colOff>
      <xdr:row>16</xdr:row>
      <xdr:rowOff>0</xdr:rowOff>
    </xdr:from>
    <xdr:to>
      <xdr:col>25</xdr:col>
      <xdr:colOff>363245</xdr:colOff>
      <xdr:row>47</xdr:row>
      <xdr:rowOff>134110</xdr:rowOff>
    </xdr:to>
    <xdr:pic>
      <xdr:nvPicPr>
        <xdr:cNvPr id="43" name="図 42">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4"/>
        <a:stretch>
          <a:fillRect/>
        </a:stretch>
      </xdr:blipFill>
      <xdr:spPr>
        <a:xfrm>
          <a:off x="10353675" y="1371600"/>
          <a:ext cx="9278645" cy="5449060"/>
        </a:xfrm>
        <a:prstGeom prst="rect">
          <a:avLst/>
        </a:prstGeom>
      </xdr:spPr>
    </xdr:pic>
    <xdr:clientData/>
  </xdr:twoCellAnchor>
  <xdr:twoCellAnchor>
    <xdr:from>
      <xdr:col>12</xdr:col>
      <xdr:colOff>561975</xdr:colOff>
      <xdr:row>17</xdr:row>
      <xdr:rowOff>9525</xdr:rowOff>
    </xdr:from>
    <xdr:to>
      <xdr:col>13</xdr:col>
      <xdr:colOff>647701</xdr:colOff>
      <xdr:row>17</xdr:row>
      <xdr:rowOff>152401</xdr:rowOff>
    </xdr:to>
    <xdr:sp macro="" textlink="">
      <xdr:nvSpPr>
        <xdr:cNvPr id="44" name="正方形/長方形 43">
          <a:extLst>
            <a:ext uri="{FF2B5EF4-FFF2-40B4-BE49-F238E27FC236}">
              <a16:creationId xmlns:a16="http://schemas.microsoft.com/office/drawing/2014/main" id="{00000000-0008-0000-0A00-00002C000000}"/>
            </a:ext>
          </a:extLst>
        </xdr:cNvPr>
        <xdr:cNvSpPr/>
      </xdr:nvSpPr>
      <xdr:spPr>
        <a:xfrm>
          <a:off x="10915650" y="1552575"/>
          <a:ext cx="771526" cy="14287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504826</xdr:colOff>
      <xdr:row>31</xdr:row>
      <xdr:rowOff>28575</xdr:rowOff>
    </xdr:from>
    <xdr:to>
      <xdr:col>25</xdr:col>
      <xdr:colOff>342900</xdr:colOff>
      <xdr:row>47</xdr:row>
      <xdr:rowOff>142874</xdr:rowOff>
    </xdr:to>
    <xdr:sp macro="" textlink="">
      <xdr:nvSpPr>
        <xdr:cNvPr id="45" name="正方形/長方形 44">
          <a:extLst>
            <a:ext uri="{FF2B5EF4-FFF2-40B4-BE49-F238E27FC236}">
              <a16:creationId xmlns:a16="http://schemas.microsoft.com/office/drawing/2014/main" id="{00000000-0008-0000-0A00-00002D000000}"/>
            </a:ext>
          </a:extLst>
        </xdr:cNvPr>
        <xdr:cNvSpPr/>
      </xdr:nvSpPr>
      <xdr:spPr>
        <a:xfrm>
          <a:off x="14287501" y="3971925"/>
          <a:ext cx="5324474" cy="28574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600075</xdr:colOff>
      <xdr:row>17</xdr:row>
      <xdr:rowOff>80963</xdr:rowOff>
    </xdr:from>
    <xdr:to>
      <xdr:col>12</xdr:col>
      <xdr:colOff>561975</xdr:colOff>
      <xdr:row>23</xdr:row>
      <xdr:rowOff>14288</xdr:rowOff>
    </xdr:to>
    <xdr:cxnSp macro="">
      <xdr:nvCxnSpPr>
        <xdr:cNvPr id="46" name="直線矢印コネクタ 45">
          <a:extLst>
            <a:ext uri="{FF2B5EF4-FFF2-40B4-BE49-F238E27FC236}">
              <a16:creationId xmlns:a16="http://schemas.microsoft.com/office/drawing/2014/main" id="{00000000-0008-0000-0A00-00002E000000}"/>
            </a:ext>
          </a:extLst>
        </xdr:cNvPr>
        <xdr:cNvCxnSpPr>
          <a:cxnSpLocks/>
          <a:stCxn id="29" idx="3"/>
          <a:endCxn id="44" idx="1"/>
        </xdr:cNvCxnSpPr>
      </xdr:nvCxnSpPr>
      <xdr:spPr>
        <a:xfrm flipV="1">
          <a:off x="8896350" y="2995613"/>
          <a:ext cx="2019300" cy="9620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647701</xdr:colOff>
      <xdr:row>17</xdr:row>
      <xdr:rowOff>80963</xdr:rowOff>
    </xdr:from>
    <xdr:to>
      <xdr:col>17</xdr:col>
      <xdr:colOff>504826</xdr:colOff>
      <xdr:row>39</xdr:row>
      <xdr:rowOff>85725</xdr:rowOff>
    </xdr:to>
    <xdr:cxnSp macro="">
      <xdr:nvCxnSpPr>
        <xdr:cNvPr id="49" name="直線矢印コネクタ 48">
          <a:extLst>
            <a:ext uri="{FF2B5EF4-FFF2-40B4-BE49-F238E27FC236}">
              <a16:creationId xmlns:a16="http://schemas.microsoft.com/office/drawing/2014/main" id="{00000000-0008-0000-0A00-000031000000}"/>
            </a:ext>
          </a:extLst>
        </xdr:cNvPr>
        <xdr:cNvCxnSpPr>
          <a:cxnSpLocks/>
          <a:stCxn id="44" idx="3"/>
          <a:endCxn id="45" idx="1"/>
        </xdr:cNvCxnSpPr>
      </xdr:nvCxnSpPr>
      <xdr:spPr>
        <a:xfrm>
          <a:off x="11687176" y="1624013"/>
          <a:ext cx="2600325" cy="377666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2809874</xdr:colOff>
      <xdr:row>22</xdr:row>
      <xdr:rowOff>9525</xdr:rowOff>
    </xdr:from>
    <xdr:to>
      <xdr:col>2</xdr:col>
      <xdr:colOff>657224</xdr:colOff>
      <xdr:row>24</xdr:row>
      <xdr:rowOff>0</xdr:rowOff>
    </xdr:to>
    <xdr:sp macro="" textlink="">
      <xdr:nvSpPr>
        <xdr:cNvPr id="52" name="正方形/長方形 51">
          <a:extLst>
            <a:ext uri="{FF2B5EF4-FFF2-40B4-BE49-F238E27FC236}">
              <a16:creationId xmlns:a16="http://schemas.microsoft.com/office/drawing/2014/main" id="{00000000-0008-0000-0A00-000034000000}"/>
            </a:ext>
          </a:extLst>
        </xdr:cNvPr>
        <xdr:cNvSpPr/>
      </xdr:nvSpPr>
      <xdr:spPr>
        <a:xfrm>
          <a:off x="3495674" y="2409825"/>
          <a:ext cx="65722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533400</xdr:colOff>
      <xdr:row>31</xdr:row>
      <xdr:rowOff>47625</xdr:rowOff>
    </xdr:from>
    <xdr:to>
      <xdr:col>6</xdr:col>
      <xdr:colOff>571500</xdr:colOff>
      <xdr:row>36</xdr:row>
      <xdr:rowOff>47625</xdr:rowOff>
    </xdr:to>
    <xdr:sp macro="" textlink="">
      <xdr:nvSpPr>
        <xdr:cNvPr id="53" name="吹き出し: 四角形 52">
          <a:extLst>
            <a:ext uri="{FF2B5EF4-FFF2-40B4-BE49-F238E27FC236}">
              <a16:creationId xmlns:a16="http://schemas.microsoft.com/office/drawing/2014/main" id="{00000000-0008-0000-0A00-000035000000}"/>
            </a:ext>
          </a:extLst>
        </xdr:cNvPr>
        <xdr:cNvSpPr/>
      </xdr:nvSpPr>
      <xdr:spPr>
        <a:xfrm>
          <a:off x="4714875" y="3990975"/>
          <a:ext cx="2095500" cy="857250"/>
        </a:xfrm>
        <a:prstGeom prst="wedgeRectCallout">
          <a:avLst>
            <a:gd name="adj1" fmla="val -72651"/>
            <a:gd name="adj2" fmla="val -1963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chemeClr val="lt1"/>
              </a:solidFill>
              <a:effectLst/>
              <a:latin typeface="+mn-lt"/>
              <a:ea typeface="+mn-ea"/>
              <a:cs typeface="+mn-cs"/>
            </a:rPr>
            <a:t>CRIT</a:t>
          </a:r>
          <a:r>
            <a:rPr lang="ja-JP" altLang="en-US" sz="1100" b="0" i="0">
              <a:solidFill>
                <a:schemeClr val="lt1"/>
              </a:solidFill>
              <a:effectLst/>
              <a:latin typeface="+mn-lt"/>
              <a:ea typeface="+mn-ea"/>
              <a:cs typeface="+mn-cs"/>
            </a:rPr>
            <a:t>と</a:t>
          </a:r>
          <a:r>
            <a:rPr lang="en-US" altLang="ja-JP" sz="1100" b="0" i="0">
              <a:solidFill>
                <a:schemeClr val="lt1"/>
              </a:solidFill>
              <a:effectLst/>
              <a:latin typeface="+mn-lt"/>
              <a:ea typeface="+mn-ea"/>
              <a:cs typeface="+mn-cs"/>
            </a:rPr>
            <a:t>MASK</a:t>
          </a:r>
          <a:r>
            <a:rPr lang="ja-JP" altLang="en-US" sz="1100" b="0" i="0">
              <a:solidFill>
                <a:schemeClr val="lt1"/>
              </a:solidFill>
              <a:effectLst/>
              <a:latin typeface="+mn-lt"/>
              <a:ea typeface="+mn-ea"/>
              <a:cs typeface="+mn-cs"/>
            </a:rPr>
            <a:t>が</a:t>
          </a:r>
          <a:r>
            <a:rPr lang="en-US" altLang="ja-JP" sz="1100" b="0" i="0">
              <a:solidFill>
                <a:schemeClr val="lt1"/>
              </a:solidFill>
              <a:effectLst/>
              <a:latin typeface="+mn-lt"/>
              <a:ea typeface="+mn-ea"/>
              <a:cs typeface="+mn-cs"/>
            </a:rPr>
            <a:t>32</a:t>
          </a:r>
          <a:r>
            <a:rPr lang="ja-JP" altLang="en-US" sz="1100" b="0" i="0">
              <a:solidFill>
                <a:schemeClr val="lt1"/>
              </a:solidFill>
              <a:effectLst/>
              <a:latin typeface="+mn-lt"/>
              <a:ea typeface="+mn-ea"/>
              <a:cs typeface="+mn-cs"/>
            </a:rPr>
            <a:t>文字を超えていますが、使用されていなかったため、</a:t>
          </a:r>
          <a:r>
            <a:rPr lang="en-US" altLang="ja-JP" sz="1100" b="0" i="0">
              <a:solidFill>
                <a:schemeClr val="lt1"/>
              </a:solidFill>
              <a:effectLst/>
              <a:latin typeface="+mn-lt"/>
              <a:ea typeface="+mn-ea"/>
              <a:cs typeface="+mn-cs"/>
            </a:rPr>
            <a:t>OK</a:t>
          </a:r>
          <a:r>
            <a:rPr lang="ja-JP" altLang="en-US" sz="1100" b="0" i="0">
              <a:solidFill>
                <a:schemeClr val="lt1"/>
              </a:solidFill>
              <a:effectLst/>
              <a:latin typeface="+mn-lt"/>
              <a:ea typeface="+mn-ea"/>
              <a:cs typeface="+mn-cs"/>
            </a:rPr>
            <a:t>とする</a:t>
          </a:r>
          <a:endParaRPr kumimoji="1" lang="ja-JP" altLang="en-US" sz="1100"/>
        </a:p>
      </xdr:txBody>
    </xdr:sp>
    <xdr:clientData/>
  </xdr:twoCellAnchor>
  <xdr:twoCellAnchor>
    <xdr:from>
      <xdr:col>1</xdr:col>
      <xdr:colOff>9525</xdr:colOff>
      <xdr:row>51</xdr:row>
      <xdr:rowOff>0</xdr:rowOff>
    </xdr:from>
    <xdr:to>
      <xdr:col>2</xdr:col>
      <xdr:colOff>666750</xdr:colOff>
      <xdr:row>53</xdr:row>
      <xdr:rowOff>0</xdr:rowOff>
    </xdr:to>
    <xdr:sp macro="" textlink="">
      <xdr:nvSpPr>
        <xdr:cNvPr id="58" name="正方形/長方形 57">
          <a:extLst>
            <a:ext uri="{FF2B5EF4-FFF2-40B4-BE49-F238E27FC236}">
              <a16:creationId xmlns:a16="http://schemas.microsoft.com/office/drawing/2014/main" id="{00000000-0008-0000-0A00-00003A000000}"/>
            </a:ext>
          </a:extLst>
        </xdr:cNvPr>
        <xdr:cNvSpPr/>
      </xdr:nvSpPr>
      <xdr:spPr>
        <a:xfrm>
          <a:off x="695325" y="7372350"/>
          <a:ext cx="3467100" cy="3429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51</xdr:row>
      <xdr:rowOff>0</xdr:rowOff>
    </xdr:from>
    <xdr:to>
      <xdr:col>9</xdr:col>
      <xdr:colOff>590550</xdr:colOff>
      <xdr:row>56</xdr:row>
      <xdr:rowOff>9525</xdr:rowOff>
    </xdr:to>
    <xdr:pic>
      <xdr:nvPicPr>
        <xdr:cNvPr id="59" name="図 58">
          <a:extLst>
            <a:ext uri="{FF2B5EF4-FFF2-40B4-BE49-F238E27FC236}">
              <a16:creationId xmlns:a16="http://schemas.microsoft.com/office/drawing/2014/main" id="{00000000-0008-0000-0A00-00003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67275" y="7372350"/>
          <a:ext cx="401955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428624</xdr:colOff>
      <xdr:row>53</xdr:row>
      <xdr:rowOff>19050</xdr:rowOff>
    </xdr:from>
    <xdr:to>
      <xdr:col>9</xdr:col>
      <xdr:colOff>590549</xdr:colOff>
      <xdr:row>55</xdr:row>
      <xdr:rowOff>161925</xdr:rowOff>
    </xdr:to>
    <xdr:sp macro="" textlink="">
      <xdr:nvSpPr>
        <xdr:cNvPr id="60" name="正方形/長方形 59">
          <a:extLst>
            <a:ext uri="{FF2B5EF4-FFF2-40B4-BE49-F238E27FC236}">
              <a16:creationId xmlns:a16="http://schemas.microsoft.com/office/drawing/2014/main" id="{00000000-0008-0000-0A00-00003C000000}"/>
            </a:ext>
          </a:extLst>
        </xdr:cNvPr>
        <xdr:cNvSpPr/>
      </xdr:nvSpPr>
      <xdr:spPr>
        <a:xfrm>
          <a:off x="6667499" y="7734300"/>
          <a:ext cx="2219325" cy="4857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428625</xdr:colOff>
      <xdr:row>51</xdr:row>
      <xdr:rowOff>9525</xdr:rowOff>
    </xdr:from>
    <xdr:to>
      <xdr:col>9</xdr:col>
      <xdr:colOff>590550</xdr:colOff>
      <xdr:row>53</xdr:row>
      <xdr:rowOff>0</xdr:rowOff>
    </xdr:to>
    <xdr:sp macro="" textlink="">
      <xdr:nvSpPr>
        <xdr:cNvPr id="61" name="正方形/長方形 60">
          <a:extLst>
            <a:ext uri="{FF2B5EF4-FFF2-40B4-BE49-F238E27FC236}">
              <a16:creationId xmlns:a16="http://schemas.microsoft.com/office/drawing/2014/main" id="{00000000-0008-0000-0A00-00003D000000}"/>
            </a:ext>
          </a:extLst>
        </xdr:cNvPr>
        <xdr:cNvSpPr/>
      </xdr:nvSpPr>
      <xdr:spPr>
        <a:xfrm>
          <a:off x="6667500" y="7381875"/>
          <a:ext cx="221932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9524</xdr:colOff>
      <xdr:row>51</xdr:row>
      <xdr:rowOff>0</xdr:rowOff>
    </xdr:from>
    <xdr:to>
      <xdr:col>2</xdr:col>
      <xdr:colOff>666749</xdr:colOff>
      <xdr:row>52</xdr:row>
      <xdr:rowOff>161925</xdr:rowOff>
    </xdr:to>
    <xdr:sp macro="" textlink="">
      <xdr:nvSpPr>
        <xdr:cNvPr id="62" name="正方形/長方形 61">
          <a:extLst>
            <a:ext uri="{FF2B5EF4-FFF2-40B4-BE49-F238E27FC236}">
              <a16:creationId xmlns:a16="http://schemas.microsoft.com/office/drawing/2014/main" id="{00000000-0008-0000-0A00-00003E000000}"/>
            </a:ext>
          </a:extLst>
        </xdr:cNvPr>
        <xdr:cNvSpPr/>
      </xdr:nvSpPr>
      <xdr:spPr>
        <a:xfrm>
          <a:off x="3505199" y="7372350"/>
          <a:ext cx="65722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666749</xdr:colOff>
      <xdr:row>51</xdr:row>
      <xdr:rowOff>166688</xdr:rowOff>
    </xdr:from>
    <xdr:to>
      <xdr:col>6</xdr:col>
      <xdr:colOff>428625</xdr:colOff>
      <xdr:row>52</xdr:row>
      <xdr:rowOff>4763</xdr:rowOff>
    </xdr:to>
    <xdr:cxnSp macro="">
      <xdr:nvCxnSpPr>
        <xdr:cNvPr id="63" name="直線矢印コネクタ 62">
          <a:extLst>
            <a:ext uri="{FF2B5EF4-FFF2-40B4-BE49-F238E27FC236}">
              <a16:creationId xmlns:a16="http://schemas.microsoft.com/office/drawing/2014/main" id="{00000000-0008-0000-0A00-00003F000000}"/>
            </a:ext>
          </a:extLst>
        </xdr:cNvPr>
        <xdr:cNvCxnSpPr>
          <a:cxnSpLocks/>
          <a:stCxn id="61" idx="1"/>
          <a:endCxn id="62" idx="3"/>
        </xdr:cNvCxnSpPr>
      </xdr:nvCxnSpPr>
      <xdr:spPr>
        <a:xfrm flipH="1" flipV="1">
          <a:off x="4162424" y="7539038"/>
          <a:ext cx="2505076" cy="95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666750</xdr:colOff>
      <xdr:row>54</xdr:row>
      <xdr:rowOff>85725</xdr:rowOff>
    </xdr:from>
    <xdr:to>
      <xdr:col>6</xdr:col>
      <xdr:colOff>428624</xdr:colOff>
      <xdr:row>54</xdr:row>
      <xdr:rowOff>90488</xdr:rowOff>
    </xdr:to>
    <xdr:cxnSp macro="">
      <xdr:nvCxnSpPr>
        <xdr:cNvPr id="66" name="直線矢印コネクタ 65">
          <a:extLst>
            <a:ext uri="{FF2B5EF4-FFF2-40B4-BE49-F238E27FC236}">
              <a16:creationId xmlns:a16="http://schemas.microsoft.com/office/drawing/2014/main" id="{00000000-0008-0000-0A00-000042000000}"/>
            </a:ext>
          </a:extLst>
        </xdr:cNvPr>
        <xdr:cNvCxnSpPr>
          <a:cxnSpLocks/>
          <a:stCxn id="60" idx="1"/>
          <a:endCxn id="68" idx="3"/>
        </xdr:cNvCxnSpPr>
      </xdr:nvCxnSpPr>
      <xdr:spPr>
        <a:xfrm flipH="1" flipV="1">
          <a:off x="4162425" y="7972425"/>
          <a:ext cx="2505074" cy="476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53</xdr:row>
      <xdr:rowOff>0</xdr:rowOff>
    </xdr:from>
    <xdr:to>
      <xdr:col>2</xdr:col>
      <xdr:colOff>666750</xdr:colOff>
      <xdr:row>56</xdr:row>
      <xdr:rowOff>0</xdr:rowOff>
    </xdr:to>
    <xdr:sp macro="" textlink="">
      <xdr:nvSpPr>
        <xdr:cNvPr id="68" name="正方形/長方形 67">
          <a:extLst>
            <a:ext uri="{FF2B5EF4-FFF2-40B4-BE49-F238E27FC236}">
              <a16:creationId xmlns:a16="http://schemas.microsoft.com/office/drawing/2014/main" id="{00000000-0008-0000-0A00-000044000000}"/>
            </a:ext>
          </a:extLst>
        </xdr:cNvPr>
        <xdr:cNvSpPr/>
      </xdr:nvSpPr>
      <xdr:spPr>
        <a:xfrm>
          <a:off x="695325" y="7715250"/>
          <a:ext cx="3467100" cy="5143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0</xdr:colOff>
      <xdr:row>51</xdr:row>
      <xdr:rowOff>0</xdr:rowOff>
    </xdr:from>
    <xdr:to>
      <xdr:col>25</xdr:col>
      <xdr:colOff>372771</xdr:colOff>
      <xdr:row>82</xdr:row>
      <xdr:rowOff>115058</xdr:rowOff>
    </xdr:to>
    <xdr:pic>
      <xdr:nvPicPr>
        <xdr:cNvPr id="71" name="図 70">
          <a:extLst>
            <a:ext uri="{FF2B5EF4-FFF2-40B4-BE49-F238E27FC236}">
              <a16:creationId xmlns:a16="http://schemas.microsoft.com/office/drawing/2014/main" id="{00000000-0008-0000-0A00-000047000000}"/>
            </a:ext>
          </a:extLst>
        </xdr:cNvPr>
        <xdr:cNvPicPr>
          <a:picLocks noChangeAspect="1"/>
        </xdr:cNvPicPr>
      </xdr:nvPicPr>
      <xdr:blipFill>
        <a:blip xmlns:r="http://schemas.openxmlformats.org/officeDocument/2006/relationships" r:embed="rId6"/>
        <a:stretch>
          <a:fillRect/>
        </a:stretch>
      </xdr:blipFill>
      <xdr:spPr>
        <a:xfrm>
          <a:off x="10353675" y="7372350"/>
          <a:ext cx="9288171" cy="5430008"/>
        </a:xfrm>
        <a:prstGeom prst="rect">
          <a:avLst/>
        </a:prstGeom>
      </xdr:spPr>
    </xdr:pic>
    <xdr:clientData/>
  </xdr:twoCellAnchor>
  <xdr:twoCellAnchor>
    <xdr:from>
      <xdr:col>17</xdr:col>
      <xdr:colOff>504826</xdr:colOff>
      <xdr:row>65</xdr:row>
      <xdr:rowOff>161925</xdr:rowOff>
    </xdr:from>
    <xdr:to>
      <xdr:col>25</xdr:col>
      <xdr:colOff>342900</xdr:colOff>
      <xdr:row>82</xdr:row>
      <xdr:rowOff>104774</xdr:rowOff>
    </xdr:to>
    <xdr:sp macro="" textlink="">
      <xdr:nvSpPr>
        <xdr:cNvPr id="72" name="正方形/長方形 71">
          <a:extLst>
            <a:ext uri="{FF2B5EF4-FFF2-40B4-BE49-F238E27FC236}">
              <a16:creationId xmlns:a16="http://schemas.microsoft.com/office/drawing/2014/main" id="{00000000-0008-0000-0A00-000048000000}"/>
            </a:ext>
          </a:extLst>
        </xdr:cNvPr>
        <xdr:cNvSpPr/>
      </xdr:nvSpPr>
      <xdr:spPr>
        <a:xfrm>
          <a:off x="14287501" y="9934575"/>
          <a:ext cx="5324474" cy="28574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542925</xdr:colOff>
      <xdr:row>51</xdr:row>
      <xdr:rowOff>152400</xdr:rowOff>
    </xdr:from>
    <xdr:to>
      <xdr:col>13</xdr:col>
      <xdr:colOff>628651</xdr:colOff>
      <xdr:row>52</xdr:row>
      <xdr:rowOff>123826</xdr:rowOff>
    </xdr:to>
    <xdr:sp macro="" textlink="">
      <xdr:nvSpPr>
        <xdr:cNvPr id="73" name="正方形/長方形 72">
          <a:extLst>
            <a:ext uri="{FF2B5EF4-FFF2-40B4-BE49-F238E27FC236}">
              <a16:creationId xmlns:a16="http://schemas.microsoft.com/office/drawing/2014/main" id="{00000000-0008-0000-0A00-000049000000}"/>
            </a:ext>
          </a:extLst>
        </xdr:cNvPr>
        <xdr:cNvSpPr/>
      </xdr:nvSpPr>
      <xdr:spPr>
        <a:xfrm>
          <a:off x="10896600" y="7524750"/>
          <a:ext cx="771526" cy="14287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561975</xdr:colOff>
      <xdr:row>52</xdr:row>
      <xdr:rowOff>28575</xdr:rowOff>
    </xdr:from>
    <xdr:to>
      <xdr:col>12</xdr:col>
      <xdr:colOff>542925</xdr:colOff>
      <xdr:row>52</xdr:row>
      <xdr:rowOff>52388</xdr:rowOff>
    </xdr:to>
    <xdr:cxnSp macro="">
      <xdr:nvCxnSpPr>
        <xdr:cNvPr id="74" name="直線矢印コネクタ 73">
          <a:extLst>
            <a:ext uri="{FF2B5EF4-FFF2-40B4-BE49-F238E27FC236}">
              <a16:creationId xmlns:a16="http://schemas.microsoft.com/office/drawing/2014/main" id="{00000000-0008-0000-0A00-00004A000000}"/>
            </a:ext>
          </a:extLst>
        </xdr:cNvPr>
        <xdr:cNvCxnSpPr>
          <a:cxnSpLocks/>
          <a:endCxn id="73" idx="1"/>
        </xdr:cNvCxnSpPr>
      </xdr:nvCxnSpPr>
      <xdr:spPr>
        <a:xfrm>
          <a:off x="8858250" y="7572375"/>
          <a:ext cx="2038350" cy="2381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628651</xdr:colOff>
      <xdr:row>52</xdr:row>
      <xdr:rowOff>52388</xdr:rowOff>
    </xdr:from>
    <xdr:to>
      <xdr:col>17</xdr:col>
      <xdr:colOff>533400</xdr:colOff>
      <xdr:row>74</xdr:row>
      <xdr:rowOff>85725</xdr:rowOff>
    </xdr:to>
    <xdr:cxnSp macro="">
      <xdr:nvCxnSpPr>
        <xdr:cNvPr id="77" name="直線矢印コネクタ 76">
          <a:extLst>
            <a:ext uri="{FF2B5EF4-FFF2-40B4-BE49-F238E27FC236}">
              <a16:creationId xmlns:a16="http://schemas.microsoft.com/office/drawing/2014/main" id="{00000000-0008-0000-0A00-00004D000000}"/>
            </a:ext>
          </a:extLst>
        </xdr:cNvPr>
        <xdr:cNvCxnSpPr>
          <a:cxnSpLocks/>
          <a:stCxn id="73" idx="3"/>
        </xdr:cNvCxnSpPr>
      </xdr:nvCxnSpPr>
      <xdr:spPr>
        <a:xfrm>
          <a:off x="11668126" y="7596188"/>
          <a:ext cx="2647949" cy="3805237"/>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60</xdr:row>
      <xdr:rowOff>19050</xdr:rowOff>
    </xdr:from>
    <xdr:to>
      <xdr:col>6</xdr:col>
      <xdr:colOff>533400</xdr:colOff>
      <xdr:row>65</xdr:row>
      <xdr:rowOff>19050</xdr:rowOff>
    </xdr:to>
    <xdr:sp macro="" textlink="">
      <xdr:nvSpPr>
        <xdr:cNvPr id="81" name="吹き出し: 四角形 80">
          <a:extLst>
            <a:ext uri="{FF2B5EF4-FFF2-40B4-BE49-F238E27FC236}">
              <a16:creationId xmlns:a16="http://schemas.microsoft.com/office/drawing/2014/main" id="{00000000-0008-0000-0A00-000051000000}"/>
            </a:ext>
          </a:extLst>
        </xdr:cNvPr>
        <xdr:cNvSpPr/>
      </xdr:nvSpPr>
      <xdr:spPr>
        <a:xfrm>
          <a:off x="4676775" y="8934450"/>
          <a:ext cx="2095500" cy="857250"/>
        </a:xfrm>
        <a:prstGeom prst="wedgeRectCallout">
          <a:avLst>
            <a:gd name="adj1" fmla="val -72651"/>
            <a:gd name="adj2" fmla="val -1963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chemeClr val="lt1"/>
              </a:solidFill>
              <a:effectLst/>
              <a:latin typeface="+mn-lt"/>
              <a:ea typeface="+mn-ea"/>
              <a:cs typeface="+mn-cs"/>
            </a:rPr>
            <a:t>CRIT</a:t>
          </a:r>
          <a:r>
            <a:rPr lang="ja-JP" altLang="en-US" sz="1100" b="0" i="0">
              <a:solidFill>
                <a:schemeClr val="lt1"/>
              </a:solidFill>
              <a:effectLst/>
              <a:latin typeface="+mn-lt"/>
              <a:ea typeface="+mn-ea"/>
              <a:cs typeface="+mn-cs"/>
            </a:rPr>
            <a:t>と</a:t>
          </a:r>
          <a:r>
            <a:rPr lang="en-US" altLang="ja-JP" sz="1100" b="0" i="0">
              <a:solidFill>
                <a:schemeClr val="lt1"/>
              </a:solidFill>
              <a:effectLst/>
              <a:latin typeface="+mn-lt"/>
              <a:ea typeface="+mn-ea"/>
              <a:cs typeface="+mn-cs"/>
            </a:rPr>
            <a:t>MASK</a:t>
          </a:r>
          <a:r>
            <a:rPr lang="ja-JP" altLang="en-US" sz="1100" b="0" i="0">
              <a:solidFill>
                <a:schemeClr val="lt1"/>
              </a:solidFill>
              <a:effectLst/>
              <a:latin typeface="+mn-lt"/>
              <a:ea typeface="+mn-ea"/>
              <a:cs typeface="+mn-cs"/>
            </a:rPr>
            <a:t>が</a:t>
          </a:r>
          <a:r>
            <a:rPr lang="en-US" altLang="ja-JP" sz="1100" b="0" i="0">
              <a:solidFill>
                <a:schemeClr val="lt1"/>
              </a:solidFill>
              <a:effectLst/>
              <a:latin typeface="+mn-lt"/>
              <a:ea typeface="+mn-ea"/>
              <a:cs typeface="+mn-cs"/>
            </a:rPr>
            <a:t>32</a:t>
          </a:r>
          <a:r>
            <a:rPr lang="ja-JP" altLang="en-US" sz="1100" b="0" i="0">
              <a:solidFill>
                <a:schemeClr val="lt1"/>
              </a:solidFill>
              <a:effectLst/>
              <a:latin typeface="+mn-lt"/>
              <a:ea typeface="+mn-ea"/>
              <a:cs typeface="+mn-cs"/>
            </a:rPr>
            <a:t>文字を超えていますが、使用されていなかったため、</a:t>
          </a:r>
          <a:r>
            <a:rPr lang="en-US" altLang="ja-JP" sz="1100" b="0" i="0">
              <a:solidFill>
                <a:schemeClr val="lt1"/>
              </a:solidFill>
              <a:effectLst/>
              <a:latin typeface="+mn-lt"/>
              <a:ea typeface="+mn-ea"/>
              <a:cs typeface="+mn-cs"/>
            </a:rPr>
            <a:t>OK</a:t>
          </a:r>
          <a:r>
            <a:rPr lang="ja-JP" altLang="en-US" sz="1100" b="0" i="0">
              <a:solidFill>
                <a:schemeClr val="lt1"/>
              </a:solidFill>
              <a:effectLst/>
              <a:latin typeface="+mn-lt"/>
              <a:ea typeface="+mn-ea"/>
              <a:cs typeface="+mn-cs"/>
            </a:rPr>
            <a:t>とする</a:t>
          </a:r>
          <a:endParaRPr kumimoji="1" lang="ja-JP" altLang="en-US" sz="1100"/>
        </a:p>
      </xdr:txBody>
    </xdr:sp>
    <xdr:clientData/>
  </xdr:twoCellAnchor>
  <xdr:twoCellAnchor>
    <xdr:from>
      <xdr:col>3</xdr:col>
      <xdr:colOff>152400</xdr:colOff>
      <xdr:row>6</xdr:row>
      <xdr:rowOff>66675</xdr:rowOff>
    </xdr:from>
    <xdr:to>
      <xdr:col>6</xdr:col>
      <xdr:colOff>190500</xdr:colOff>
      <xdr:row>11</xdr:row>
      <xdr:rowOff>66675</xdr:rowOff>
    </xdr:to>
    <xdr:sp macro="" textlink="">
      <xdr:nvSpPr>
        <xdr:cNvPr id="82" name="吹き出し: 四角形 81">
          <a:extLst>
            <a:ext uri="{FF2B5EF4-FFF2-40B4-BE49-F238E27FC236}">
              <a16:creationId xmlns:a16="http://schemas.microsoft.com/office/drawing/2014/main" id="{00000000-0008-0000-0A00-000052000000}"/>
            </a:ext>
          </a:extLst>
        </xdr:cNvPr>
        <xdr:cNvSpPr/>
      </xdr:nvSpPr>
      <xdr:spPr>
        <a:xfrm>
          <a:off x="4333875" y="1095375"/>
          <a:ext cx="2095500" cy="857250"/>
        </a:xfrm>
        <a:prstGeom prst="wedgeRectCallout">
          <a:avLst>
            <a:gd name="adj1" fmla="val -2651"/>
            <a:gd name="adj2" fmla="val -77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a:solidFill>
                <a:schemeClr val="lt1"/>
              </a:solidFill>
              <a:effectLst/>
              <a:latin typeface="+mn-lt"/>
              <a:ea typeface="+mn-ea"/>
              <a:cs typeface="+mn-cs"/>
            </a:rPr>
            <a:t>警告は、</a:t>
          </a:r>
          <a:r>
            <a:rPr lang="en-US" altLang="ja-JP" sz="1100" b="0" i="0">
              <a:solidFill>
                <a:schemeClr val="lt1"/>
              </a:solidFill>
              <a:effectLst/>
              <a:latin typeface="+mn-lt"/>
              <a:ea typeface="+mn-ea"/>
              <a:cs typeface="+mn-cs"/>
            </a:rPr>
            <a:t>CH</a:t>
          </a:r>
          <a:r>
            <a:rPr lang="ja-JP" altLang="en-US" sz="1100" b="0" i="0">
              <a:solidFill>
                <a:schemeClr val="lt1"/>
              </a:solidFill>
              <a:effectLst/>
              <a:latin typeface="+mn-lt"/>
              <a:ea typeface="+mn-ea"/>
              <a:cs typeface="+mn-cs"/>
            </a:rPr>
            <a:t>が</a:t>
          </a:r>
          <a:r>
            <a:rPr lang="en-US" altLang="ja-JP" sz="1100" b="0" i="0">
              <a:solidFill>
                <a:schemeClr val="lt1"/>
              </a:solidFill>
              <a:effectLst/>
              <a:latin typeface="+mn-lt"/>
              <a:ea typeface="+mn-ea"/>
              <a:cs typeface="+mn-cs"/>
            </a:rPr>
            <a:t>14</a:t>
          </a:r>
          <a:r>
            <a:rPr lang="ja-JP" altLang="en-US" sz="1100" b="0" i="0">
              <a:solidFill>
                <a:schemeClr val="lt1"/>
              </a:solidFill>
              <a:effectLst/>
              <a:latin typeface="+mn-lt"/>
              <a:ea typeface="+mn-ea"/>
              <a:cs typeface="+mn-cs"/>
            </a:rPr>
            <a:t>文字を超えているかどうかを確認するためだけのものです</a:t>
          </a:r>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10035B22030582\dn-cdc-mcu-AA_BEVS3_CDC_MCU_020_&#21066;&#38500;&#23550;&#24540;\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svn.geniie.net/bevs3/bevs3cdc/&#20181;&#27096;&#26360;/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9570-3F95-4189-84D4-A6E0EACD4E4D}">
  <dimension ref="A1:AN49"/>
  <sheetViews>
    <sheetView tabSelected="1" view="pageBreakPreview" zoomScaleNormal="100" zoomScaleSheetLayoutView="100" workbookViewId="0"/>
  </sheetViews>
  <sheetFormatPr defaultColWidth="9" defaultRowHeight="13.2"/>
  <cols>
    <col min="1" max="40" width="2.21875" style="229" customWidth="1"/>
    <col min="41" max="16384" width="9" style="229"/>
  </cols>
  <sheetData>
    <row r="1" spans="1:40" ht="13.5" customHeight="1">
      <c r="A1" s="226"/>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8"/>
    </row>
    <row r="2" spans="1:40" ht="13.5" customHeight="1">
      <c r="A2" s="230"/>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2"/>
    </row>
    <row r="3" spans="1:40" ht="13.5" customHeight="1">
      <c r="A3" s="230"/>
      <c r="B3" s="231"/>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2"/>
    </row>
    <row r="4" spans="1:40" ht="13.5" customHeight="1">
      <c r="A4" s="230"/>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2"/>
    </row>
    <row r="5" spans="1:40" ht="13.5" customHeight="1">
      <c r="A5" s="230"/>
      <c r="B5" s="231"/>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2"/>
    </row>
    <row r="6" spans="1:40" ht="13.5" customHeight="1">
      <c r="A6" s="230"/>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2"/>
    </row>
    <row r="7" spans="1:40" ht="13.5" customHeight="1">
      <c r="A7" s="230"/>
      <c r="B7" s="231"/>
      <c r="C7" s="231"/>
      <c r="D7" s="231"/>
      <c r="E7" s="231"/>
      <c r="F7" s="231"/>
      <c r="G7" s="231"/>
      <c r="H7" s="231"/>
      <c r="I7" s="231"/>
      <c r="J7" s="231"/>
      <c r="K7" s="231"/>
      <c r="L7" s="231"/>
      <c r="M7" s="231"/>
      <c r="N7" s="231"/>
      <c r="O7" s="231"/>
      <c r="P7" s="231"/>
      <c r="Q7" s="231"/>
      <c r="R7" s="231"/>
      <c r="S7" s="231"/>
      <c r="T7" s="231"/>
      <c r="U7" s="231"/>
      <c r="V7" s="231"/>
      <c r="W7" s="231"/>
      <c r="X7" s="231"/>
      <c r="Y7" s="231"/>
      <c r="Z7" s="231"/>
      <c r="AA7" s="231"/>
      <c r="AB7" s="231"/>
      <c r="AC7" s="231"/>
      <c r="AD7" s="231"/>
      <c r="AE7" s="231"/>
      <c r="AF7" s="231"/>
      <c r="AG7" s="231"/>
      <c r="AH7" s="231"/>
      <c r="AI7" s="231"/>
      <c r="AJ7" s="231"/>
      <c r="AK7" s="231"/>
      <c r="AL7" s="231"/>
      <c r="AM7" s="231"/>
      <c r="AN7" s="232"/>
    </row>
    <row r="8" spans="1:40" ht="13.5" customHeight="1">
      <c r="A8" s="230"/>
      <c r="B8" s="231"/>
      <c r="C8" s="231"/>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c r="AK8" s="231"/>
      <c r="AL8" s="231"/>
      <c r="AM8" s="231"/>
      <c r="AN8" s="232"/>
    </row>
    <row r="9" spans="1:40" ht="28.5" customHeight="1">
      <c r="A9" s="263" t="str">
        <f ca="1">MID(CELL("filename",A1), FIND("[",CELL("filename",A1))+1, FIND("]",CELL("filename",A1))-FIND("[",CELL("filename",A1))-6)</f>
        <v>alert_S_ADBZR_LTA-CSTD-0-06-A-C0</v>
      </c>
      <c r="B9" s="264"/>
      <c r="C9" s="264"/>
      <c r="D9" s="264"/>
      <c r="E9" s="264"/>
      <c r="F9" s="264"/>
      <c r="G9" s="264"/>
      <c r="H9" s="264"/>
      <c r="I9" s="264"/>
      <c r="J9" s="264"/>
      <c r="K9" s="264"/>
      <c r="L9" s="264"/>
      <c r="M9" s="264"/>
      <c r="N9" s="264"/>
      <c r="O9" s="264"/>
      <c r="P9" s="264"/>
      <c r="Q9" s="264"/>
      <c r="R9" s="264"/>
      <c r="S9" s="264"/>
      <c r="T9" s="264"/>
      <c r="U9" s="264"/>
      <c r="V9" s="264"/>
      <c r="W9" s="264"/>
      <c r="X9" s="264"/>
      <c r="Y9" s="264"/>
      <c r="Z9" s="264"/>
      <c r="AA9" s="264"/>
      <c r="AB9" s="264"/>
      <c r="AC9" s="264"/>
      <c r="AD9" s="264"/>
      <c r="AE9" s="264"/>
      <c r="AF9" s="264"/>
      <c r="AG9" s="264"/>
      <c r="AH9" s="264"/>
      <c r="AI9" s="264"/>
      <c r="AJ9" s="264"/>
      <c r="AK9" s="264"/>
      <c r="AL9" s="264"/>
      <c r="AM9" s="264"/>
      <c r="AN9" s="265"/>
    </row>
    <row r="10" spans="1:40" ht="28.5" customHeight="1">
      <c r="A10" s="263"/>
      <c r="B10" s="264"/>
      <c r="C10" s="264"/>
      <c r="D10" s="264"/>
      <c r="E10" s="264"/>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AJ10" s="264"/>
      <c r="AK10" s="264"/>
      <c r="AL10" s="264"/>
      <c r="AM10" s="264"/>
      <c r="AN10" s="265"/>
    </row>
    <row r="11" spans="1:40" ht="13.5" customHeight="1">
      <c r="A11" s="230"/>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c r="AK11" s="231"/>
      <c r="AL11" s="231"/>
      <c r="AM11" s="231"/>
      <c r="AN11" s="232"/>
    </row>
    <row r="12" spans="1:40" ht="13.5" customHeight="1">
      <c r="A12" s="230"/>
      <c r="B12" s="231"/>
      <c r="C12" s="231"/>
      <c r="D12" s="231"/>
      <c r="E12" s="2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1"/>
      <c r="AN12" s="232"/>
    </row>
    <row r="13" spans="1:40" ht="13.5" customHeight="1">
      <c r="A13" s="230"/>
      <c r="B13" s="231"/>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1"/>
      <c r="AF13" s="231"/>
      <c r="AG13" s="231"/>
      <c r="AH13" s="231"/>
      <c r="AI13" s="231"/>
      <c r="AJ13" s="231"/>
      <c r="AK13" s="231"/>
      <c r="AL13" s="231"/>
      <c r="AM13" s="231"/>
      <c r="AN13" s="232"/>
    </row>
    <row r="14" spans="1:40" ht="13.5" customHeight="1">
      <c r="A14" s="230"/>
      <c r="B14" s="231"/>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c r="AK14" s="231"/>
      <c r="AL14" s="231"/>
      <c r="AM14" s="231"/>
      <c r="AN14" s="232"/>
    </row>
    <row r="15" spans="1:40" ht="13.5" customHeight="1">
      <c r="A15" s="230"/>
      <c r="B15" s="231"/>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1"/>
      <c r="AN15" s="232"/>
    </row>
    <row r="16" spans="1:40" ht="13.5" customHeight="1">
      <c r="A16" s="230"/>
      <c r="B16" s="231"/>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1"/>
      <c r="AM16" s="231"/>
      <c r="AN16" s="232"/>
    </row>
    <row r="17" spans="1:40" ht="13.5" customHeight="1">
      <c r="A17" s="230"/>
      <c r="B17" s="231"/>
      <c r="C17" s="231"/>
      <c r="D17" s="231"/>
      <c r="E17" s="231"/>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c r="AD17" s="231"/>
      <c r="AE17" s="231"/>
      <c r="AF17" s="231"/>
      <c r="AG17" s="231"/>
      <c r="AH17" s="231"/>
      <c r="AI17" s="231"/>
      <c r="AJ17" s="231"/>
      <c r="AK17" s="231"/>
      <c r="AL17" s="231"/>
      <c r="AM17" s="231"/>
      <c r="AN17" s="232"/>
    </row>
    <row r="18" spans="1:40" ht="13.5" customHeight="1">
      <c r="A18" s="230"/>
      <c r="B18" s="231"/>
      <c r="C18" s="231"/>
      <c r="D18" s="231"/>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c r="AK18" s="231"/>
      <c r="AL18" s="231"/>
      <c r="AM18" s="231"/>
      <c r="AN18" s="232"/>
    </row>
    <row r="19" spans="1:40" ht="13.5" customHeight="1">
      <c r="A19" s="230"/>
      <c r="B19" s="231"/>
      <c r="C19" s="231"/>
      <c r="D19" s="231"/>
      <c r="E19" s="231"/>
      <c r="F19" s="231"/>
      <c r="G19" s="231"/>
      <c r="H19" s="231"/>
      <c r="I19" s="231"/>
      <c r="J19" s="231"/>
      <c r="K19" s="231"/>
      <c r="L19" s="231"/>
      <c r="M19" s="231"/>
      <c r="N19" s="231"/>
      <c r="O19" s="231"/>
      <c r="P19" s="231"/>
      <c r="Q19" s="231"/>
      <c r="R19" s="231"/>
      <c r="S19" s="231"/>
      <c r="T19" s="231"/>
      <c r="U19" s="231"/>
      <c r="V19" s="231"/>
      <c r="W19" s="231"/>
      <c r="X19" s="231"/>
      <c r="Y19" s="231"/>
      <c r="Z19" s="231"/>
      <c r="AA19" s="231"/>
      <c r="AB19" s="231"/>
      <c r="AC19" s="231"/>
      <c r="AD19" s="231"/>
      <c r="AE19" s="231"/>
      <c r="AF19" s="231"/>
      <c r="AG19" s="231"/>
      <c r="AH19" s="231"/>
      <c r="AI19" s="231"/>
      <c r="AJ19" s="231"/>
      <c r="AK19" s="231"/>
      <c r="AL19" s="231"/>
      <c r="AM19" s="231"/>
      <c r="AN19" s="232"/>
    </row>
    <row r="20" spans="1:40" ht="13.5" customHeight="1">
      <c r="A20" s="230"/>
      <c r="B20" s="231"/>
      <c r="C20" s="231"/>
      <c r="D20" s="231"/>
      <c r="E20" s="231"/>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2"/>
    </row>
    <row r="21" spans="1:40" ht="13.5" customHeight="1">
      <c r="A21" s="230"/>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231"/>
      <c r="AM21" s="231"/>
      <c r="AN21" s="232"/>
    </row>
    <row r="22" spans="1:40" ht="13.5" customHeight="1">
      <c r="A22" s="230"/>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2"/>
    </row>
    <row r="23" spans="1:40" ht="13.5" customHeight="1">
      <c r="A23" s="230"/>
      <c r="B23" s="231"/>
      <c r="C23" s="231"/>
      <c r="D23" s="231"/>
      <c r="E23" s="231"/>
      <c r="F23" s="231"/>
      <c r="G23" s="231"/>
      <c r="H23" s="231"/>
      <c r="I23" s="231"/>
      <c r="J23" s="231"/>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c r="AH23" s="231"/>
      <c r="AI23" s="231"/>
      <c r="AJ23" s="231"/>
      <c r="AK23" s="231"/>
      <c r="AL23" s="231"/>
      <c r="AM23" s="231"/>
      <c r="AN23" s="232"/>
    </row>
    <row r="24" spans="1:40" ht="13.5" customHeight="1">
      <c r="A24" s="230"/>
      <c r="B24" s="231"/>
      <c r="C24" s="231"/>
      <c r="D24" s="231"/>
      <c r="E24" s="231"/>
      <c r="F24" s="231"/>
      <c r="G24" s="231"/>
      <c r="H24" s="231"/>
      <c r="I24" s="231"/>
      <c r="J24" s="231"/>
      <c r="K24" s="231"/>
      <c r="L24" s="231"/>
      <c r="M24" s="231"/>
      <c r="N24" s="231"/>
      <c r="O24" s="231"/>
      <c r="P24" s="231"/>
      <c r="Q24" s="231"/>
      <c r="R24" s="231"/>
      <c r="S24" s="231"/>
      <c r="T24" s="231"/>
      <c r="U24" s="231"/>
      <c r="V24" s="231"/>
      <c r="W24" s="231"/>
      <c r="X24" s="231"/>
      <c r="Y24" s="231"/>
      <c r="Z24" s="231"/>
      <c r="AA24" s="231"/>
      <c r="AB24" s="231"/>
      <c r="AC24" s="231"/>
      <c r="AD24" s="231"/>
      <c r="AE24" s="231"/>
      <c r="AF24" s="231"/>
      <c r="AG24" s="231"/>
      <c r="AH24" s="231"/>
      <c r="AI24" s="231"/>
      <c r="AJ24" s="231"/>
      <c r="AK24" s="231"/>
      <c r="AL24" s="231"/>
      <c r="AM24" s="231"/>
      <c r="AN24" s="232"/>
    </row>
    <row r="25" spans="1:40" ht="13.5" customHeight="1">
      <c r="A25" s="230"/>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c r="AH25" s="231"/>
      <c r="AI25" s="231"/>
      <c r="AJ25" s="231"/>
      <c r="AK25" s="231"/>
      <c r="AL25" s="231"/>
      <c r="AM25" s="231"/>
      <c r="AN25" s="232"/>
    </row>
    <row r="26" spans="1:40" ht="13.5" customHeight="1">
      <c r="A26" s="230"/>
      <c r="B26" s="231"/>
      <c r="C26" s="231"/>
      <c r="D26" s="231"/>
      <c r="E26" s="231"/>
      <c r="F26" s="231"/>
      <c r="G26" s="231"/>
      <c r="H26" s="231"/>
      <c r="I26" s="231"/>
      <c r="J26" s="231"/>
      <c r="K26" s="231"/>
      <c r="L26" s="231"/>
      <c r="M26" s="231"/>
      <c r="N26" s="231"/>
      <c r="O26" s="231"/>
      <c r="P26" s="231"/>
      <c r="Q26" s="231"/>
      <c r="R26" s="231"/>
      <c r="S26" s="231"/>
      <c r="T26" s="231"/>
      <c r="U26" s="231"/>
      <c r="V26" s="231"/>
      <c r="W26" s="231"/>
      <c r="X26" s="231"/>
      <c r="Y26" s="233" t="s">
        <v>264</v>
      </c>
      <c r="Z26" s="231"/>
      <c r="AA26" s="231"/>
      <c r="AB26" s="231"/>
      <c r="AC26" s="231"/>
      <c r="AD26" s="231"/>
      <c r="AE26" s="231"/>
      <c r="AF26" s="231"/>
      <c r="AG26" s="231"/>
      <c r="AH26" s="231"/>
      <c r="AI26" s="231"/>
      <c r="AJ26" s="231"/>
      <c r="AK26" s="231"/>
      <c r="AL26" s="231"/>
      <c r="AM26" s="231"/>
      <c r="AN26" s="232"/>
    </row>
    <row r="27" spans="1:40" ht="13.5" customHeight="1">
      <c r="A27" s="230"/>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60" t="s">
        <v>265</v>
      </c>
      <c r="Z27" s="261"/>
      <c r="AA27" s="261"/>
      <c r="AB27" s="261"/>
      <c r="AC27" s="262"/>
      <c r="AD27" s="260" t="s">
        <v>266</v>
      </c>
      <c r="AE27" s="261"/>
      <c r="AF27" s="261"/>
      <c r="AG27" s="261"/>
      <c r="AH27" s="262"/>
      <c r="AI27" s="266" t="s">
        <v>267</v>
      </c>
      <c r="AJ27" s="261"/>
      <c r="AK27" s="261"/>
      <c r="AL27" s="261"/>
      <c r="AM27" s="262"/>
      <c r="AN27" s="232"/>
    </row>
    <row r="28" spans="1:40" ht="13.5" customHeight="1">
      <c r="A28" s="230"/>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26"/>
      <c r="Z28" s="227"/>
      <c r="AA28" s="227"/>
      <c r="AB28" s="227"/>
      <c r="AC28" s="228"/>
      <c r="AD28" s="226"/>
      <c r="AE28" s="227"/>
      <c r="AF28" s="227"/>
      <c r="AG28" s="227"/>
      <c r="AH28" s="227"/>
      <c r="AI28" s="234"/>
      <c r="AJ28" s="227"/>
      <c r="AK28" s="227"/>
      <c r="AL28" s="227"/>
      <c r="AM28" s="228"/>
      <c r="AN28" s="232"/>
    </row>
    <row r="29" spans="1:40" ht="13.5" customHeight="1">
      <c r="A29" s="230"/>
      <c r="B29" s="231"/>
      <c r="C29" s="231"/>
      <c r="D29" s="231"/>
      <c r="E29" s="231"/>
      <c r="F29" s="231"/>
      <c r="G29" s="231"/>
      <c r="H29" s="231"/>
      <c r="I29" s="231"/>
      <c r="J29" s="231"/>
      <c r="K29" s="231"/>
      <c r="L29" s="231"/>
      <c r="M29" s="231"/>
      <c r="N29" s="231"/>
      <c r="O29" s="231"/>
      <c r="P29" s="231"/>
      <c r="Q29" s="231"/>
      <c r="R29" s="231"/>
      <c r="S29" s="231"/>
      <c r="T29" s="231"/>
      <c r="U29" s="231"/>
      <c r="V29" s="231"/>
      <c r="W29" s="231"/>
      <c r="X29" s="231"/>
      <c r="Y29" s="230"/>
      <c r="Z29" s="231"/>
      <c r="AA29" s="231"/>
      <c r="AB29" s="231"/>
      <c r="AC29" s="232"/>
      <c r="AD29" s="230"/>
      <c r="AE29" s="231"/>
      <c r="AF29" s="231"/>
      <c r="AG29" s="231"/>
      <c r="AH29" s="232"/>
      <c r="AI29" s="230"/>
      <c r="AJ29" s="235"/>
      <c r="AK29" s="231"/>
      <c r="AL29" s="231"/>
      <c r="AM29" s="232"/>
      <c r="AN29" s="232"/>
    </row>
    <row r="30" spans="1:40" ht="13.5" customHeight="1">
      <c r="A30" s="230"/>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0"/>
      <c r="Z30" s="231"/>
      <c r="AA30" s="236" t="s">
        <v>268</v>
      </c>
      <c r="AB30" s="231"/>
      <c r="AC30" s="232"/>
      <c r="AD30" s="230"/>
      <c r="AE30" s="231"/>
      <c r="AF30" s="236" t="s">
        <v>269</v>
      </c>
      <c r="AG30" s="231"/>
      <c r="AH30" s="232"/>
      <c r="AI30" s="230"/>
      <c r="AJ30" s="231"/>
      <c r="AK30" s="235"/>
      <c r="AL30" s="231"/>
      <c r="AM30" s="232"/>
      <c r="AN30" s="232"/>
    </row>
    <row r="31" spans="1:40" ht="13.5" customHeight="1">
      <c r="A31" s="230"/>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0"/>
      <c r="Z31" s="231"/>
      <c r="AA31" s="231"/>
      <c r="AB31" s="231"/>
      <c r="AC31" s="232"/>
      <c r="AD31" s="230"/>
      <c r="AE31" s="231"/>
      <c r="AF31" s="231"/>
      <c r="AG31" s="231"/>
      <c r="AH31" s="232"/>
      <c r="AI31" s="230"/>
      <c r="AJ31" s="231"/>
      <c r="AK31" s="231"/>
      <c r="AL31" s="235"/>
      <c r="AM31" s="232"/>
      <c r="AN31" s="232"/>
    </row>
    <row r="32" spans="1:40" ht="13.5" customHeight="1">
      <c r="A32" s="230"/>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7"/>
      <c r="Z32" s="238"/>
      <c r="AA32" s="238"/>
      <c r="AB32" s="238"/>
      <c r="AC32" s="239"/>
      <c r="AD32" s="237"/>
      <c r="AE32" s="238"/>
      <c r="AF32" s="238"/>
      <c r="AG32" s="238"/>
      <c r="AH32" s="239"/>
      <c r="AI32" s="237"/>
      <c r="AJ32" s="238"/>
      <c r="AK32" s="238"/>
      <c r="AL32" s="238"/>
      <c r="AM32" s="240"/>
      <c r="AN32" s="232"/>
    </row>
    <row r="33" spans="1:40" ht="13.5" customHeight="1">
      <c r="A33" s="230"/>
      <c r="B33" s="231"/>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1"/>
      <c r="AN33" s="232"/>
    </row>
    <row r="34" spans="1:40" ht="13.5" customHeight="1">
      <c r="A34" s="230"/>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3" t="s">
        <v>283</v>
      </c>
      <c r="Z34" s="231"/>
      <c r="AA34" s="231"/>
      <c r="AB34" s="231"/>
      <c r="AC34" s="231"/>
      <c r="AD34" s="231"/>
      <c r="AE34" s="231"/>
      <c r="AF34" s="231"/>
      <c r="AG34" s="231"/>
      <c r="AH34" s="231"/>
      <c r="AI34" s="231"/>
      <c r="AJ34" s="231"/>
      <c r="AK34" s="231"/>
      <c r="AL34" s="231"/>
      <c r="AM34" s="231"/>
      <c r="AN34" s="232"/>
    </row>
    <row r="35" spans="1:40" ht="13.5" customHeight="1">
      <c r="A35" s="230"/>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60" t="s">
        <v>265</v>
      </c>
      <c r="Z35" s="261"/>
      <c r="AA35" s="261"/>
      <c r="AB35" s="261"/>
      <c r="AC35" s="262"/>
      <c r="AD35" s="260" t="s">
        <v>266</v>
      </c>
      <c r="AE35" s="261"/>
      <c r="AF35" s="261"/>
      <c r="AG35" s="261"/>
      <c r="AH35" s="262"/>
      <c r="AI35" s="266" t="s">
        <v>267</v>
      </c>
      <c r="AJ35" s="261"/>
      <c r="AK35" s="261"/>
      <c r="AL35" s="261"/>
      <c r="AM35" s="262"/>
      <c r="AN35" s="232"/>
    </row>
    <row r="36" spans="1:40" ht="13.5" customHeight="1">
      <c r="A36" s="230"/>
      <c r="B36" s="231"/>
      <c r="C36" s="231"/>
      <c r="D36" s="231"/>
      <c r="E36" s="231"/>
      <c r="F36" s="231"/>
      <c r="G36" s="231"/>
      <c r="H36" s="231"/>
      <c r="I36" s="231"/>
      <c r="J36" s="231"/>
      <c r="K36" s="231"/>
      <c r="L36" s="231"/>
      <c r="M36" s="231"/>
      <c r="N36" s="231"/>
      <c r="O36" s="231"/>
      <c r="P36" s="231"/>
      <c r="Q36" s="231"/>
      <c r="R36" s="231"/>
      <c r="S36" s="231"/>
      <c r="T36" s="231"/>
      <c r="U36" s="231"/>
      <c r="V36" s="231"/>
      <c r="W36" s="231"/>
      <c r="X36" s="231"/>
      <c r="Y36" s="226"/>
      <c r="Z36" s="227"/>
      <c r="AA36" s="227"/>
      <c r="AB36" s="227"/>
      <c r="AC36" s="228"/>
      <c r="AD36" s="226"/>
      <c r="AE36" s="227"/>
      <c r="AF36" s="227"/>
      <c r="AG36" s="227"/>
      <c r="AH36" s="227"/>
      <c r="AI36" s="226"/>
      <c r="AJ36" s="227"/>
      <c r="AK36" s="227"/>
      <c r="AL36" s="227"/>
      <c r="AM36" s="228"/>
      <c r="AN36" s="232"/>
    </row>
    <row r="37" spans="1:40" ht="13.5" customHeight="1">
      <c r="A37" s="230"/>
      <c r="B37" s="231"/>
      <c r="C37" s="231"/>
      <c r="D37" s="231"/>
      <c r="E37" s="231"/>
      <c r="F37" s="231"/>
      <c r="G37" s="231"/>
      <c r="H37" s="231"/>
      <c r="I37" s="231"/>
      <c r="J37" s="231"/>
      <c r="K37" s="231"/>
      <c r="L37" s="231"/>
      <c r="M37" s="231"/>
      <c r="N37" s="231"/>
      <c r="O37" s="231"/>
      <c r="P37" s="231"/>
      <c r="Q37" s="231"/>
      <c r="R37" s="231"/>
      <c r="S37" s="231"/>
      <c r="T37" s="231"/>
      <c r="U37" s="231"/>
      <c r="V37" s="231"/>
      <c r="W37" s="231"/>
      <c r="X37" s="231"/>
      <c r="Y37" s="230"/>
      <c r="Z37" s="231"/>
      <c r="AA37" s="231"/>
      <c r="AB37" s="231"/>
      <c r="AC37" s="232"/>
      <c r="AD37" s="230"/>
      <c r="AE37" s="231"/>
      <c r="AF37" s="231"/>
      <c r="AG37" s="231"/>
      <c r="AH37" s="232"/>
      <c r="AI37" s="230"/>
      <c r="AJ37" s="231"/>
      <c r="AK37" s="231"/>
      <c r="AL37" s="231"/>
      <c r="AM37" s="232"/>
      <c r="AN37" s="232"/>
    </row>
    <row r="38" spans="1:40" ht="13.5" customHeight="1">
      <c r="A38" s="230"/>
      <c r="B38" s="231"/>
      <c r="C38" s="231"/>
      <c r="D38" s="231"/>
      <c r="E38" s="231"/>
      <c r="F38" s="231"/>
      <c r="G38" s="231"/>
      <c r="H38" s="231"/>
      <c r="I38" s="231"/>
      <c r="J38" s="231"/>
      <c r="K38" s="231"/>
      <c r="L38" s="231"/>
      <c r="M38" s="231"/>
      <c r="N38" s="231"/>
      <c r="O38" s="231"/>
      <c r="P38" s="231"/>
      <c r="Q38" s="231"/>
      <c r="R38" s="231"/>
      <c r="S38" s="231"/>
      <c r="T38" s="231"/>
      <c r="U38" s="231"/>
      <c r="V38" s="231"/>
      <c r="W38" s="231"/>
      <c r="X38" s="231"/>
      <c r="Y38" s="230"/>
      <c r="Z38" s="231"/>
      <c r="AA38" s="236" t="s">
        <v>270</v>
      </c>
      <c r="AB38" s="231"/>
      <c r="AC38" s="232"/>
      <c r="AD38" s="230"/>
      <c r="AE38" s="231"/>
      <c r="AF38" s="236" t="s">
        <v>271</v>
      </c>
      <c r="AG38" s="231"/>
      <c r="AH38" s="232"/>
      <c r="AI38" s="230"/>
      <c r="AJ38" s="231"/>
      <c r="AK38" s="236" t="s">
        <v>271</v>
      </c>
      <c r="AL38" s="231"/>
      <c r="AM38" s="232"/>
      <c r="AN38" s="232"/>
    </row>
    <row r="39" spans="1:40" ht="13.5" customHeight="1">
      <c r="A39" s="230"/>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0"/>
      <c r="Z39" s="231"/>
      <c r="AA39" s="231"/>
      <c r="AB39" s="231"/>
      <c r="AC39" s="232"/>
      <c r="AD39" s="230"/>
      <c r="AE39" s="231"/>
      <c r="AF39" s="231"/>
      <c r="AG39" s="231"/>
      <c r="AH39" s="232"/>
      <c r="AI39" s="230"/>
      <c r="AJ39" s="231"/>
      <c r="AK39" s="231"/>
      <c r="AL39" s="231"/>
      <c r="AM39" s="232"/>
      <c r="AN39" s="232"/>
    </row>
    <row r="40" spans="1:40" ht="13.5" customHeight="1">
      <c r="A40" s="230"/>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7"/>
      <c r="Z40" s="238"/>
      <c r="AA40" s="238"/>
      <c r="AB40" s="238"/>
      <c r="AC40" s="239"/>
      <c r="AD40" s="237"/>
      <c r="AE40" s="238"/>
      <c r="AF40" s="238"/>
      <c r="AG40" s="238"/>
      <c r="AH40" s="239"/>
      <c r="AI40" s="237"/>
      <c r="AJ40" s="238"/>
      <c r="AK40" s="238"/>
      <c r="AL40" s="238"/>
      <c r="AM40" s="239"/>
      <c r="AN40" s="232"/>
    </row>
    <row r="41" spans="1:40" ht="13.5" customHeight="1">
      <c r="A41" s="230"/>
      <c r="B41" s="231"/>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1"/>
      <c r="AJ41" s="231"/>
      <c r="AK41" s="231"/>
      <c r="AL41" s="231"/>
      <c r="AM41" s="231"/>
      <c r="AN41" s="232"/>
    </row>
    <row r="42" spans="1:40" ht="13.5" customHeight="1">
      <c r="A42" s="230"/>
      <c r="B42" s="231"/>
      <c r="C42" s="231"/>
      <c r="D42" s="231"/>
      <c r="E42" s="231"/>
      <c r="F42" s="231"/>
      <c r="G42" s="231"/>
      <c r="H42" s="231"/>
      <c r="I42" s="231"/>
      <c r="J42" s="231"/>
      <c r="K42" s="231"/>
      <c r="L42" s="231"/>
      <c r="M42" s="231"/>
      <c r="N42" s="231"/>
      <c r="O42" s="231"/>
      <c r="P42" s="231"/>
      <c r="Q42" s="231"/>
      <c r="R42" s="231"/>
      <c r="S42" s="231"/>
      <c r="T42" s="231"/>
      <c r="U42" s="231"/>
      <c r="V42" s="231"/>
      <c r="W42" s="231"/>
      <c r="X42" s="231"/>
      <c r="Y42" s="233" t="s">
        <v>284</v>
      </c>
      <c r="Z42" s="231"/>
      <c r="AA42" s="231"/>
      <c r="AB42" s="231"/>
      <c r="AC42" s="231"/>
      <c r="AD42" s="231"/>
      <c r="AE42" s="231"/>
      <c r="AF42" s="231"/>
      <c r="AG42" s="231"/>
      <c r="AH42" s="231"/>
      <c r="AI42" s="231"/>
      <c r="AJ42" s="231"/>
      <c r="AK42" s="231"/>
      <c r="AL42" s="231"/>
      <c r="AM42" s="231"/>
      <c r="AN42" s="232"/>
    </row>
    <row r="43" spans="1:40" ht="13.5" customHeight="1">
      <c r="A43" s="230"/>
      <c r="B43" s="231"/>
      <c r="C43" s="231"/>
      <c r="D43" s="231"/>
      <c r="E43" s="231"/>
      <c r="F43" s="231"/>
      <c r="G43" s="231"/>
      <c r="H43" s="231"/>
      <c r="I43" s="231"/>
      <c r="J43" s="231"/>
      <c r="K43" s="231"/>
      <c r="L43" s="231"/>
      <c r="M43" s="231"/>
      <c r="N43" s="231"/>
      <c r="O43" s="231"/>
      <c r="P43" s="231"/>
      <c r="Q43" s="231"/>
      <c r="R43" s="231"/>
      <c r="S43" s="231"/>
      <c r="T43" s="231"/>
      <c r="U43" s="231"/>
      <c r="V43" s="231"/>
      <c r="W43" s="231"/>
      <c r="X43" s="231"/>
      <c r="Y43" s="260" t="s">
        <v>265</v>
      </c>
      <c r="Z43" s="261"/>
      <c r="AA43" s="261"/>
      <c r="AB43" s="261"/>
      <c r="AC43" s="262"/>
      <c r="AD43" s="260" t="s">
        <v>266</v>
      </c>
      <c r="AE43" s="261"/>
      <c r="AF43" s="261"/>
      <c r="AG43" s="261"/>
      <c r="AH43" s="262"/>
      <c r="AI43" s="260" t="s">
        <v>267</v>
      </c>
      <c r="AJ43" s="261"/>
      <c r="AK43" s="261"/>
      <c r="AL43" s="261"/>
      <c r="AM43" s="262"/>
      <c r="AN43" s="232"/>
    </row>
    <row r="44" spans="1:40" ht="13.5" customHeight="1">
      <c r="A44" s="230"/>
      <c r="B44" s="231"/>
      <c r="C44" s="231"/>
      <c r="D44" s="231"/>
      <c r="E44" s="231"/>
      <c r="F44" s="231"/>
      <c r="G44" s="231"/>
      <c r="H44" s="231"/>
      <c r="I44" s="231"/>
      <c r="J44" s="231"/>
      <c r="K44" s="231"/>
      <c r="L44" s="231"/>
      <c r="M44" s="231"/>
      <c r="N44" s="231"/>
      <c r="O44" s="231"/>
      <c r="P44" s="231"/>
      <c r="Q44" s="231"/>
      <c r="R44" s="231"/>
      <c r="S44" s="231"/>
      <c r="T44" s="231"/>
      <c r="U44" s="231"/>
      <c r="V44" s="231"/>
      <c r="W44" s="231"/>
      <c r="X44" s="231"/>
      <c r="Y44" s="234"/>
      <c r="Z44" s="227"/>
      <c r="AA44" s="227"/>
      <c r="AB44" s="227"/>
      <c r="AC44" s="228"/>
      <c r="AD44" s="234"/>
      <c r="AE44" s="227"/>
      <c r="AF44" s="227"/>
      <c r="AG44" s="227"/>
      <c r="AH44" s="228"/>
      <c r="AI44" s="230"/>
      <c r="AJ44" s="250"/>
      <c r="AK44" s="250"/>
      <c r="AL44" s="250"/>
      <c r="AM44" s="232"/>
      <c r="AN44" s="232"/>
    </row>
    <row r="45" spans="1:40" ht="13.5" customHeight="1">
      <c r="A45" s="230"/>
      <c r="B45" s="231"/>
      <c r="C45" s="231"/>
      <c r="D45" s="231"/>
      <c r="E45" s="231"/>
      <c r="F45" s="231"/>
      <c r="G45" s="231"/>
      <c r="H45" s="231"/>
      <c r="I45" s="231"/>
      <c r="J45" s="231"/>
      <c r="K45" s="231"/>
      <c r="L45" s="231"/>
      <c r="M45" s="231"/>
      <c r="N45" s="231"/>
      <c r="O45" s="231"/>
      <c r="P45" s="231"/>
      <c r="Q45" s="231"/>
      <c r="R45" s="231"/>
      <c r="S45" s="231"/>
      <c r="T45" s="231"/>
      <c r="U45" s="231"/>
      <c r="V45" s="231"/>
      <c r="W45" s="231"/>
      <c r="X45" s="231"/>
      <c r="Y45" s="230"/>
      <c r="Z45" s="235"/>
      <c r="AA45" s="231"/>
      <c r="AB45" s="231"/>
      <c r="AC45" s="232"/>
      <c r="AD45" s="230"/>
      <c r="AE45" s="235"/>
      <c r="AF45" s="231"/>
      <c r="AG45" s="231"/>
      <c r="AH45" s="232"/>
      <c r="AI45" s="230"/>
      <c r="AJ45" s="250"/>
      <c r="AK45" s="250"/>
      <c r="AL45" s="250"/>
      <c r="AM45" s="232"/>
      <c r="AN45" s="232"/>
    </row>
    <row r="46" spans="1:40" ht="13.5" customHeight="1">
      <c r="A46" s="230"/>
      <c r="B46" s="231"/>
      <c r="C46" s="231"/>
      <c r="D46" s="231"/>
      <c r="E46" s="231"/>
      <c r="F46" s="231"/>
      <c r="G46" s="231"/>
      <c r="H46" s="231"/>
      <c r="I46" s="231"/>
      <c r="J46" s="231"/>
      <c r="K46" s="231"/>
      <c r="L46" s="231"/>
      <c r="M46" s="231"/>
      <c r="N46" s="231"/>
      <c r="O46" s="231"/>
      <c r="P46" s="231"/>
      <c r="Q46" s="231"/>
      <c r="R46" s="231"/>
      <c r="S46" s="231"/>
      <c r="T46" s="231"/>
      <c r="U46" s="231"/>
      <c r="V46" s="231"/>
      <c r="W46" s="231"/>
      <c r="X46" s="231"/>
      <c r="Y46" s="230"/>
      <c r="Z46" s="231"/>
      <c r="AA46" s="235"/>
      <c r="AB46" s="231"/>
      <c r="AC46" s="232"/>
      <c r="AD46" s="230"/>
      <c r="AE46" s="231"/>
      <c r="AF46" s="235"/>
      <c r="AG46" s="231"/>
      <c r="AH46" s="232"/>
      <c r="AI46" s="230"/>
      <c r="AJ46" s="250"/>
      <c r="AK46" s="250"/>
      <c r="AL46" s="250"/>
      <c r="AM46" s="232"/>
      <c r="AN46" s="232"/>
    </row>
    <row r="47" spans="1:40" ht="13.5" customHeight="1">
      <c r="A47" s="230"/>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0"/>
      <c r="Z47" s="231"/>
      <c r="AA47" s="231"/>
      <c r="AB47" s="235"/>
      <c r="AC47" s="232"/>
      <c r="AD47" s="230"/>
      <c r="AE47" s="231"/>
      <c r="AF47" s="231"/>
      <c r="AG47" s="235"/>
      <c r="AH47" s="232"/>
      <c r="AI47" s="230"/>
      <c r="AJ47" s="250"/>
      <c r="AK47" s="250"/>
      <c r="AL47" s="250"/>
      <c r="AM47" s="232"/>
      <c r="AN47" s="232"/>
    </row>
    <row r="48" spans="1:40" ht="13.5" customHeight="1">
      <c r="A48" s="230"/>
      <c r="B48" s="231"/>
      <c r="C48" s="231"/>
      <c r="D48" s="231"/>
      <c r="E48" s="231"/>
      <c r="F48" s="231"/>
      <c r="G48" s="231"/>
      <c r="H48" s="231"/>
      <c r="I48" s="231"/>
      <c r="J48" s="231"/>
      <c r="K48" s="231"/>
      <c r="L48" s="231"/>
      <c r="M48" s="231"/>
      <c r="N48" s="231"/>
      <c r="O48" s="231"/>
      <c r="P48" s="231"/>
      <c r="Q48" s="231"/>
      <c r="R48" s="231"/>
      <c r="S48" s="231"/>
      <c r="T48" s="231"/>
      <c r="U48" s="231"/>
      <c r="V48" s="231"/>
      <c r="W48" s="231"/>
      <c r="X48" s="231"/>
      <c r="Y48" s="237"/>
      <c r="Z48" s="238"/>
      <c r="AA48" s="238"/>
      <c r="AB48" s="238"/>
      <c r="AC48" s="240"/>
      <c r="AD48" s="237"/>
      <c r="AE48" s="238"/>
      <c r="AF48" s="238"/>
      <c r="AG48" s="238"/>
      <c r="AH48" s="240"/>
      <c r="AI48" s="237"/>
      <c r="AJ48" s="238"/>
      <c r="AK48" s="238"/>
      <c r="AL48" s="238"/>
      <c r="AM48" s="239"/>
      <c r="AN48" s="232"/>
    </row>
    <row r="49" spans="1:40" ht="13.5" customHeight="1">
      <c r="A49" s="237"/>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c r="Z49" s="238"/>
      <c r="AA49" s="238"/>
      <c r="AB49" s="238"/>
      <c r="AC49" s="238"/>
      <c r="AD49" s="238"/>
      <c r="AE49" s="238"/>
      <c r="AF49" s="238"/>
      <c r="AG49" s="238"/>
      <c r="AH49" s="238"/>
      <c r="AI49" s="238"/>
      <c r="AJ49" s="238"/>
      <c r="AK49" s="238"/>
      <c r="AL49" s="238"/>
      <c r="AM49" s="238"/>
      <c r="AN49" s="239"/>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33795" r:id="rId4">
          <objectPr defaultSize="0" autoPict="0" r:id="rId5">
            <anchor>
              <from>
                <xdr:col>35</xdr:col>
                <xdr:colOff>114300</xdr:colOff>
                <xdr:row>45</xdr:row>
                <xdr:rowOff>38100</xdr:rowOff>
              </from>
              <to>
                <xdr:col>39</xdr:col>
                <xdr:colOff>0</xdr:colOff>
                <xdr:row>48</xdr:row>
                <xdr:rowOff>15240</xdr:rowOff>
              </to>
            </anchor>
          </objectPr>
        </oleObject>
      </mc:Choice>
      <mc:Fallback>
        <oleObject progId="Dstmp.StampObject.7" shapeId="3379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6"/>
      <c r="D2" s="6"/>
      <c r="E2" s="6"/>
      <c r="F2" s="6"/>
      <c r="H2" s="7" t="s">
        <v>13</v>
      </c>
      <c r="I2" s="267" t="s">
        <v>14</v>
      </c>
      <c r="J2" s="267"/>
      <c r="K2" s="267"/>
      <c r="L2" s="267"/>
      <c r="M2" s="267"/>
      <c r="N2" s="267"/>
      <c r="O2" s="267"/>
      <c r="P2" s="267"/>
      <c r="Q2" s="267"/>
      <c r="R2" s="267"/>
    </row>
    <row r="3" spans="2:24" ht="25.5" customHeight="1">
      <c r="C3" s="6"/>
      <c r="D3" s="10" t="str">
        <f ca="1">REPLACE(LEFT(CELL("filename",$B$1),FIND(".xls",CELL("filename",$B$1))-1),1,FIND("[",CELL("filename",$B$1)),)</f>
        <v>alert_S_ADBZR_LTA-CSTD-0-06-A-C0</v>
      </c>
      <c r="E3" s="6"/>
      <c r="F3" s="6"/>
      <c r="H3" s="8" t="s">
        <v>182</v>
      </c>
      <c r="I3" s="268" t="s">
        <v>181</v>
      </c>
      <c r="J3" s="269"/>
      <c r="K3" s="269"/>
      <c r="L3" s="269"/>
      <c r="M3" s="269"/>
      <c r="N3" s="269"/>
      <c r="O3" s="269"/>
      <c r="P3" s="269"/>
      <c r="Q3" s="269"/>
      <c r="R3" s="269"/>
    </row>
    <row r="4" spans="2:24" ht="25.5" customHeight="1">
      <c r="C4" s="6"/>
      <c r="D4" s="6"/>
      <c r="E4" s="21" t="str">
        <f>DGET(B8:C15,"Ver.",H4:H5)</f>
        <v>1.1.1</v>
      </c>
      <c r="F4" s="6"/>
      <c r="H4" s="9" t="s">
        <v>16</v>
      </c>
    </row>
    <row r="5" spans="2:24" ht="25.5" customHeight="1">
      <c r="C5" s="6"/>
      <c r="D5" s="6"/>
      <c r="E5" s="6"/>
      <c r="F5" s="6"/>
      <c r="H5" s="11">
        <f>MAX(B9:B15)</f>
        <v>3</v>
      </c>
    </row>
    <row r="6" spans="2:24" ht="13.8" thickBot="1"/>
    <row r="7" spans="2:24">
      <c r="C7" s="273" t="s">
        <v>0</v>
      </c>
      <c r="D7" s="274"/>
      <c r="E7" s="275" t="s">
        <v>2</v>
      </c>
      <c r="F7" s="275"/>
      <c r="G7" s="276" t="s">
        <v>5</v>
      </c>
      <c r="H7" s="276"/>
      <c r="I7" s="276"/>
      <c r="J7" s="276"/>
      <c r="K7" s="276"/>
      <c r="L7" s="276"/>
      <c r="M7" s="277" t="s">
        <v>12</v>
      </c>
      <c r="N7" s="277"/>
      <c r="O7" s="277"/>
      <c r="P7" s="277"/>
      <c r="Q7" s="277"/>
      <c r="R7" s="277"/>
      <c r="S7" s="270" t="s">
        <v>272</v>
      </c>
      <c r="T7" s="271"/>
      <c r="U7" s="271"/>
      <c r="V7" s="271"/>
      <c r="W7" s="271"/>
      <c r="X7" s="272"/>
    </row>
    <row r="8" spans="2:24" ht="27"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41" t="s">
        <v>273</v>
      </c>
      <c r="T8" s="16" t="s">
        <v>7</v>
      </c>
      <c r="U8" s="16" t="s">
        <v>8</v>
      </c>
      <c r="V8" s="16" t="s">
        <v>9</v>
      </c>
      <c r="W8" s="16" t="s">
        <v>10</v>
      </c>
      <c r="X8" s="242" t="s">
        <v>11</v>
      </c>
    </row>
    <row r="9" spans="2:24" ht="299.39999999999998" customHeight="1" thickTop="1">
      <c r="B9" s="9">
        <f>IF(C9=0,0,ROW()-ROW($B$8))</f>
        <v>1</v>
      </c>
      <c r="C9" s="12" t="s">
        <v>15</v>
      </c>
      <c r="D9" s="243" t="s">
        <v>275</v>
      </c>
      <c r="E9" s="13" t="s">
        <v>132</v>
      </c>
      <c r="F9" s="13" t="s">
        <v>235</v>
      </c>
      <c r="G9" s="13" t="s">
        <v>132</v>
      </c>
      <c r="H9" s="13" t="s">
        <v>132</v>
      </c>
      <c r="I9" s="13" t="s">
        <v>132</v>
      </c>
      <c r="J9" s="13" t="s">
        <v>132</v>
      </c>
      <c r="K9" s="13" t="s">
        <v>132</v>
      </c>
      <c r="L9" s="13" t="s">
        <v>132</v>
      </c>
      <c r="M9" s="13" t="s">
        <v>132</v>
      </c>
      <c r="N9" s="13" t="s">
        <v>132</v>
      </c>
      <c r="O9" s="13" t="s">
        <v>132</v>
      </c>
      <c r="P9" s="13" t="s">
        <v>132</v>
      </c>
      <c r="Q9" s="13" t="s">
        <v>132</v>
      </c>
      <c r="R9" s="13" t="s">
        <v>132</v>
      </c>
      <c r="S9" s="244" t="s">
        <v>31</v>
      </c>
      <c r="T9" s="13" t="s">
        <v>31</v>
      </c>
      <c r="U9" s="13" t="s">
        <v>31</v>
      </c>
      <c r="V9" s="13" t="s">
        <v>31</v>
      </c>
      <c r="W9" s="13" t="s">
        <v>274</v>
      </c>
      <c r="X9" s="214">
        <v>45236</v>
      </c>
    </row>
    <row r="10" spans="2:24" ht="211.2">
      <c r="B10" s="9">
        <f t="shared" ref="B10" si="0">IF(C10=0,0,ROW()-ROW($B$8))</f>
        <v>2</v>
      </c>
      <c r="C10" s="12" t="s">
        <v>276</v>
      </c>
      <c r="D10" s="249" t="s">
        <v>279</v>
      </c>
      <c r="E10" s="13" t="s">
        <v>31</v>
      </c>
      <c r="F10" s="13" t="s">
        <v>277</v>
      </c>
      <c r="G10" s="13"/>
      <c r="H10" s="13"/>
      <c r="I10" s="13"/>
      <c r="J10" s="13"/>
      <c r="K10" s="13" t="s">
        <v>278</v>
      </c>
      <c r="L10" s="245">
        <v>45839</v>
      </c>
      <c r="M10" s="13" t="s">
        <v>31</v>
      </c>
      <c r="N10" s="245" t="s">
        <v>31</v>
      </c>
      <c r="O10" s="13" t="s">
        <v>31</v>
      </c>
      <c r="P10" s="245" t="s">
        <v>31</v>
      </c>
      <c r="Q10" s="13" t="s">
        <v>31</v>
      </c>
      <c r="R10" s="245" t="s">
        <v>31</v>
      </c>
      <c r="S10" s="244" t="s">
        <v>31</v>
      </c>
      <c r="T10" s="245" t="s">
        <v>31</v>
      </c>
      <c r="U10" s="13" t="s">
        <v>31</v>
      </c>
      <c r="V10" s="245" t="s">
        <v>31</v>
      </c>
      <c r="W10" s="13" t="s">
        <v>31</v>
      </c>
      <c r="X10" s="150" t="s">
        <v>31</v>
      </c>
    </row>
    <row r="11" spans="2:24" ht="118.8">
      <c r="B11" s="9">
        <f t="shared" ref="B11:B14" si="1">IF(C11=0,0,ROW()-ROW($B$8))</f>
        <v>3</v>
      </c>
      <c r="C11" s="251" t="s">
        <v>280</v>
      </c>
      <c r="D11" s="254" t="s">
        <v>310</v>
      </c>
      <c r="E11" s="255" t="s">
        <v>132</v>
      </c>
      <c r="F11" s="256" t="s">
        <v>281</v>
      </c>
      <c r="G11" s="13"/>
      <c r="H11" s="13"/>
      <c r="I11" s="13"/>
      <c r="J11" s="13"/>
      <c r="K11" s="13"/>
      <c r="L11" s="13"/>
      <c r="M11" s="1"/>
      <c r="N11" s="1"/>
      <c r="O11" s="1"/>
      <c r="P11" s="1"/>
      <c r="Q11" s="1"/>
      <c r="R11" s="248"/>
      <c r="S11" s="257" t="s">
        <v>132</v>
      </c>
      <c r="T11" s="252" t="s">
        <v>132</v>
      </c>
      <c r="U11" s="252" t="s">
        <v>132</v>
      </c>
      <c r="V11" s="252" t="s">
        <v>132</v>
      </c>
      <c r="W11" s="252" t="s">
        <v>282</v>
      </c>
      <c r="X11" s="253">
        <v>46007</v>
      </c>
    </row>
    <row r="12" spans="2:24">
      <c r="B12" s="9">
        <f t="shared" si="1"/>
        <v>0</v>
      </c>
      <c r="C12" s="2"/>
      <c r="D12" s="213"/>
      <c r="E12" s="13"/>
      <c r="F12" s="13"/>
      <c r="G12" s="13"/>
      <c r="H12" s="13"/>
      <c r="I12" s="13"/>
      <c r="J12" s="13"/>
      <c r="K12" s="13"/>
      <c r="L12" s="13"/>
      <c r="M12" s="1"/>
      <c r="N12" s="1"/>
      <c r="O12" s="1"/>
      <c r="P12" s="1"/>
      <c r="Q12" s="1"/>
      <c r="R12" s="248"/>
      <c r="S12" s="246"/>
      <c r="T12" s="1"/>
      <c r="U12" s="1"/>
      <c r="V12" s="1"/>
      <c r="W12" s="1"/>
      <c r="X12" s="214"/>
    </row>
    <row r="13" spans="2:24">
      <c r="B13" s="9">
        <f t="shared" si="1"/>
        <v>0</v>
      </c>
      <c r="C13" s="2"/>
      <c r="D13" s="213"/>
      <c r="E13" s="13"/>
      <c r="F13" s="13"/>
      <c r="G13" s="13"/>
      <c r="H13" s="13"/>
      <c r="I13" s="13"/>
      <c r="J13" s="13"/>
      <c r="K13" s="13"/>
      <c r="L13" s="13"/>
      <c r="M13" s="1"/>
      <c r="N13" s="1"/>
      <c r="O13" s="1"/>
      <c r="P13" s="1"/>
      <c r="Q13" s="1"/>
      <c r="R13" s="248"/>
      <c r="S13" s="246"/>
      <c r="T13" s="1"/>
      <c r="U13" s="1"/>
      <c r="V13" s="1"/>
      <c r="W13" s="1"/>
      <c r="X13" s="214"/>
    </row>
    <row r="14" spans="2:24" ht="13.8" thickBot="1">
      <c r="B14" s="9">
        <f t="shared" si="1"/>
        <v>0</v>
      </c>
      <c r="C14" s="3"/>
      <c r="D14" s="4"/>
      <c r="E14" s="4"/>
      <c r="F14" s="4"/>
      <c r="G14" s="4"/>
      <c r="H14" s="4"/>
      <c r="I14" s="4"/>
      <c r="J14" s="4"/>
      <c r="K14" s="4"/>
      <c r="L14" s="4"/>
      <c r="M14" s="4"/>
      <c r="N14" s="4"/>
      <c r="O14" s="4"/>
      <c r="P14" s="4"/>
      <c r="Q14" s="4"/>
      <c r="R14" s="4"/>
      <c r="S14" s="247"/>
      <c r="T14" s="4"/>
      <c r="U14" s="4"/>
      <c r="V14" s="4"/>
      <c r="W14" s="4"/>
      <c r="X14" s="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18" t="s">
        <v>134</v>
      </c>
    </row>
    <row r="3" spans="2:5">
      <c r="C3" t="s">
        <v>144</v>
      </c>
    </row>
    <row r="6" spans="2:5" ht="13.8" thickBot="1">
      <c r="B6" s="118" t="s">
        <v>135</v>
      </c>
      <c r="C6" s="118"/>
    </row>
    <row r="7" spans="2:5" ht="13.8" thickBot="1">
      <c r="C7" s="50" t="s">
        <v>137</v>
      </c>
      <c r="D7" s="58"/>
      <c r="E7" s="51" t="s">
        <v>145</v>
      </c>
    </row>
    <row r="8" spans="2:5" ht="20.25" customHeight="1" thickTop="1">
      <c r="C8" s="122">
        <v>0</v>
      </c>
      <c r="D8" s="59" t="s">
        <v>146</v>
      </c>
      <c r="E8" s="121" t="s">
        <v>252</v>
      </c>
    </row>
    <row r="9" spans="2:5">
      <c r="C9" s="128"/>
      <c r="D9" s="130"/>
      <c r="E9" s="129"/>
    </row>
    <row r="10" spans="2:5" ht="13.8" thickBot="1">
      <c r="C10" s="126"/>
      <c r="D10" s="217"/>
      <c r="E10" s="5"/>
    </row>
    <row r="11" spans="2:5">
      <c r="C11" s="124"/>
    </row>
    <row r="12" spans="2:5" ht="13.8" thickBot="1">
      <c r="B12" s="119" t="s">
        <v>136</v>
      </c>
      <c r="C12" s="57"/>
      <c r="D12" s="57"/>
    </row>
    <row r="13" spans="2:5" ht="13.8" thickBot="1">
      <c r="B13" s="120"/>
      <c r="C13" s="125" t="s">
        <v>137</v>
      </c>
      <c r="D13" s="58" t="s">
        <v>138</v>
      </c>
      <c r="E13" s="51" t="s">
        <v>139</v>
      </c>
    </row>
    <row r="14" spans="2:5" ht="13.8" thickTop="1">
      <c r="C14" s="122">
        <v>0</v>
      </c>
      <c r="D14" s="59" t="s">
        <v>151</v>
      </c>
      <c r="E14" s="127" t="s">
        <v>152</v>
      </c>
    </row>
    <row r="15" spans="2:5">
      <c r="C15" s="123">
        <v>1</v>
      </c>
      <c r="D15" s="60" t="s">
        <v>24</v>
      </c>
      <c r="E15" s="49" t="s">
        <v>140</v>
      </c>
    </row>
    <row r="16" spans="2:5">
      <c r="C16" s="123">
        <v>2</v>
      </c>
      <c r="D16" s="60" t="s">
        <v>25</v>
      </c>
      <c r="E16" s="49" t="s">
        <v>141</v>
      </c>
    </row>
    <row r="17" spans="2:5">
      <c r="C17" s="123">
        <v>3</v>
      </c>
      <c r="D17" s="60" t="s">
        <v>26</v>
      </c>
      <c r="E17" s="49" t="s">
        <v>142</v>
      </c>
    </row>
    <row r="18" spans="2:5">
      <c r="C18" s="123">
        <v>4</v>
      </c>
      <c r="D18" s="60" t="s">
        <v>27</v>
      </c>
      <c r="E18" s="49" t="s">
        <v>143</v>
      </c>
    </row>
    <row r="19" spans="2:5">
      <c r="C19" s="123">
        <v>5</v>
      </c>
      <c r="D19" s="60" t="s">
        <v>153</v>
      </c>
      <c r="E19" s="49" t="s">
        <v>155</v>
      </c>
    </row>
    <row r="20" spans="2:5">
      <c r="C20" s="123">
        <v>6</v>
      </c>
      <c r="D20" s="60" t="s">
        <v>159</v>
      </c>
      <c r="E20" s="49" t="s">
        <v>176</v>
      </c>
    </row>
    <row r="21" spans="2:5" ht="13.8" thickBot="1">
      <c r="C21" s="126"/>
      <c r="D21" s="61"/>
      <c r="E21" s="5"/>
    </row>
    <row r="24" spans="2:5" ht="13.8" thickBot="1">
      <c r="B24" s="118" t="s">
        <v>147</v>
      </c>
    </row>
    <row r="25" spans="2:5" ht="13.8" thickBot="1">
      <c r="C25" s="125" t="s">
        <v>137</v>
      </c>
      <c r="D25" s="58" t="s">
        <v>138</v>
      </c>
      <c r="E25" s="51" t="s">
        <v>139</v>
      </c>
    </row>
    <row r="26" spans="2:5" ht="30.75" customHeight="1" thickTop="1">
      <c r="C26" s="122">
        <v>0</v>
      </c>
      <c r="D26" s="59" t="s">
        <v>148</v>
      </c>
      <c r="E26" s="127" t="s">
        <v>156</v>
      </c>
    </row>
    <row r="27" spans="2:5" ht="120" customHeight="1">
      <c r="C27" s="123">
        <v>1</v>
      </c>
      <c r="D27" s="60" t="s">
        <v>178</v>
      </c>
      <c r="E27" s="62" t="s">
        <v>180</v>
      </c>
    </row>
    <row r="28" spans="2:5" ht="81" customHeight="1">
      <c r="C28" s="123">
        <v>2</v>
      </c>
      <c r="D28" s="60" t="s">
        <v>175</v>
      </c>
      <c r="E28" s="62" t="s">
        <v>186</v>
      </c>
    </row>
    <row r="29" spans="2:5" ht="45" customHeight="1">
      <c r="C29" s="123">
        <v>3</v>
      </c>
      <c r="D29" s="60" t="s">
        <v>154</v>
      </c>
      <c r="E29" s="62" t="s">
        <v>157</v>
      </c>
    </row>
    <row r="30" spans="2:5" ht="16.5" customHeight="1">
      <c r="C30" s="123">
        <v>4</v>
      </c>
      <c r="D30" s="60" t="s">
        <v>149</v>
      </c>
      <c r="E30" s="49" t="s">
        <v>161</v>
      </c>
    </row>
    <row r="31" spans="2:5" ht="16.5" customHeight="1">
      <c r="C31" s="123">
        <v>5</v>
      </c>
      <c r="D31" s="60" t="s">
        <v>150</v>
      </c>
      <c r="E31" s="49" t="s">
        <v>158</v>
      </c>
    </row>
    <row r="32" spans="2:5">
      <c r="C32" s="123"/>
      <c r="D32" s="60"/>
      <c r="E32" s="49"/>
    </row>
    <row r="33" spans="2:5">
      <c r="C33" s="123"/>
      <c r="D33" s="60"/>
      <c r="E33" s="49"/>
    </row>
    <row r="34" spans="2:5" ht="13.8" thickBot="1">
      <c r="C34" s="126"/>
      <c r="D34" s="61"/>
      <c r="E34" s="5"/>
    </row>
    <row r="37" spans="2:5" ht="13.8" thickBot="1">
      <c r="B37" s="118" t="s">
        <v>172</v>
      </c>
    </row>
    <row r="38" spans="2:5">
      <c r="C38" s="278"/>
      <c r="D38" s="279"/>
      <c r="E38" s="84" t="s">
        <v>123</v>
      </c>
    </row>
    <row r="39" spans="2:5" ht="13.8" thickBot="1">
      <c r="C39" s="280"/>
      <c r="D39" s="281"/>
      <c r="E39" s="5" t="s">
        <v>124</v>
      </c>
    </row>
  </sheetData>
  <mergeCells count="2">
    <mergeCell ref="C38:D38"/>
    <mergeCell ref="C39:D39"/>
  </mergeCells>
  <phoneticPr fontId="2"/>
  <hyperlinks>
    <hyperlink ref="E8" r:id="rId1" xr:uid="{930C6729-D9FE-4C98-BF55-C047103A7EB5}"/>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5"/>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94" t="s">
        <v>19</v>
      </c>
      <c r="C2" s="295"/>
      <c r="D2" s="282" t="s">
        <v>285</v>
      </c>
      <c r="E2" s="283"/>
      <c r="F2" s="283"/>
      <c r="G2" s="283"/>
      <c r="H2" s="284"/>
    </row>
    <row r="3" spans="2:14">
      <c r="B3" s="296" t="s">
        <v>120</v>
      </c>
      <c r="C3" s="297"/>
      <c r="D3" s="300" t="s">
        <v>286</v>
      </c>
      <c r="E3" s="301"/>
      <c r="F3" s="301"/>
      <c r="G3" s="301"/>
      <c r="H3" s="302"/>
    </row>
    <row r="4" spans="2:14" ht="13.8" thickBot="1">
      <c r="B4" s="298" t="s">
        <v>18</v>
      </c>
      <c r="C4" s="299"/>
      <c r="D4" s="285" t="str">
        <f ca="1">表紙!D3&amp;".c"</f>
        <v>alert_S_ADBZR_LTA-CSTD-0-06-A-C0.c</v>
      </c>
      <c r="E4" s="286"/>
      <c r="F4" s="286"/>
      <c r="G4" s="286"/>
      <c r="H4" s="287"/>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94" t="s">
        <v>36</v>
      </c>
      <c r="C6" s="295"/>
      <c r="D6" s="288" t="str">
        <f ca="1">MID(D4, LEN("alert_") + 1, FIND("-",D4,1) - LEN("alert_") - 1)</f>
        <v>S_ADBZR_LTA</v>
      </c>
      <c r="E6" s="289"/>
      <c r="F6" s="289"/>
      <c r="G6" s="289"/>
      <c r="H6" s="290"/>
    </row>
    <row r="7" spans="2:14">
      <c r="B7" s="296" t="s">
        <v>37</v>
      </c>
      <c r="C7" s="297"/>
      <c r="D7" s="291">
        <f>COUNTA($D$13:$D$35)</f>
        <v>2</v>
      </c>
      <c r="E7" s="292"/>
      <c r="F7" s="292"/>
      <c r="G7" s="292"/>
      <c r="H7" s="293"/>
    </row>
    <row r="8" spans="2:14">
      <c r="B8" s="296" t="s">
        <v>96</v>
      </c>
      <c r="C8" s="297"/>
      <c r="D8" s="291" t="str">
        <f ca="1">"st_gp_ALERT_"&amp;UPPER(D6)&amp;"_MTRX"</f>
        <v>st_gp_ALERT_S_ADBZR_LTA_MTRX</v>
      </c>
      <c r="E8" s="292"/>
      <c r="F8" s="292"/>
      <c r="G8" s="292"/>
      <c r="H8" s="293"/>
    </row>
    <row r="9" spans="2:14">
      <c r="B9" s="296" t="s">
        <v>38</v>
      </c>
      <c r="C9" s="297"/>
      <c r="D9" s="303" t="s">
        <v>210</v>
      </c>
      <c r="E9" s="304"/>
      <c r="F9" s="304"/>
      <c r="G9" s="304"/>
      <c r="H9" s="305"/>
    </row>
    <row r="10" spans="2:14" ht="13.8" thickBot="1">
      <c r="B10" s="298" t="s">
        <v>44</v>
      </c>
      <c r="C10" s="299"/>
      <c r="D10" s="306"/>
      <c r="E10" s="307"/>
      <c r="F10" s="307"/>
      <c r="G10" s="307"/>
      <c r="H10" s="308"/>
    </row>
    <row r="11" spans="2:14" ht="13.8" thickBot="1"/>
    <row r="12" spans="2:14" ht="13.8" thickBot="1">
      <c r="B12" s="109" t="s">
        <v>34</v>
      </c>
      <c r="C12" s="75" t="s">
        <v>43</v>
      </c>
      <c r="D12" s="76" t="s">
        <v>35</v>
      </c>
      <c r="E12" s="76" t="s">
        <v>39</v>
      </c>
      <c r="F12" s="76" t="s">
        <v>40</v>
      </c>
      <c r="G12" s="76" t="s">
        <v>41</v>
      </c>
      <c r="H12" s="77" t="s">
        <v>42</v>
      </c>
      <c r="I12" s="114" t="s">
        <v>51</v>
      </c>
      <c r="K12" s="25" t="s">
        <v>45</v>
      </c>
      <c r="L12" s="25" t="s">
        <v>38</v>
      </c>
      <c r="M12" t="s">
        <v>87</v>
      </c>
    </row>
    <row r="13" spans="2:14" ht="13.8" thickTop="1">
      <c r="B13" s="78">
        <v>1</v>
      </c>
      <c r="C13" s="82" t="s">
        <v>291</v>
      </c>
      <c r="D13" s="113" t="s">
        <v>48</v>
      </c>
      <c r="E13" s="83" t="s">
        <v>212</v>
      </c>
      <c r="F13" s="31" t="str">
        <f t="shared" ref="F13:F35" ca="1" si="0">IF($D13&lt;&gt;"","u4_s_Alert"&amp;UPPER(LEFT($D$6,1))&amp;LOWER(MID($D$6,2,100))&amp;IF($D$7=1,"",N13)&amp;"Srcchk","")</f>
        <v>u4_s_AlertS_adbzr_ltaBlkaSrcchk</v>
      </c>
      <c r="G13" s="31" t="str">
        <f t="shared" ref="G13:G35" si="1">IF($D13&lt;&gt;"",IF($E13="○","vd_s_Alert"&amp;UPPER(LEFT($D$6,1))&amp;LOWER(MID($D$6,2,100))&amp;IF($D$7=1,"",N13)&amp;"RwTx","NULL"),"")</f>
        <v>NULL</v>
      </c>
      <c r="H13" s="81" t="str">
        <f ca="1">IF($D13&lt;&gt;"","ALERT_CH_"&amp;UPPER($D$6)&amp;IF($D$7=1,"","_"&amp;UPPER($C13)),"")</f>
        <v>ALERT_CH_S_ADBZR_LTA_BLKA</v>
      </c>
      <c r="I13" s="115" t="str">
        <f ca="1">IF($D13&lt;&gt;"","ALERT_REQ_"&amp;UPPER($D$6)&amp;IF($D$7=1,"","_"&amp;UPPER($C13)),"")</f>
        <v>ALERT_REQ_S_ADBZR_LTA_BLKA</v>
      </c>
      <c r="K13" t="s">
        <v>46</v>
      </c>
      <c r="L13" t="s">
        <v>50</v>
      </c>
      <c r="M13" t="e">
        <f t="shared" ref="M13:M35" si="2">FIND("_",C13,1)</f>
        <v>#VALUE!</v>
      </c>
      <c r="N13" t="str">
        <f t="shared" ref="N13:N35" si="3">IF(IFERROR(M13,0),UPPER(LEFT(C13,1))&amp;LOWER(MID(C13,2,M13-2))&amp;UPPER(MID(C13,M13+1,1))&amp;LOWER(MID(C13,M13+2,100)),UPPER(LEFT(C13,1))&amp;LOWER(MID(C13,2,100)))</f>
        <v>Blka</v>
      </c>
    </row>
    <row r="14" spans="2:14">
      <c r="B14" s="68">
        <v>2</v>
      </c>
      <c r="C14" s="112" t="s">
        <v>292</v>
      </c>
      <c r="D14" s="113" t="s">
        <v>48</v>
      </c>
      <c r="E14" s="83" t="s">
        <v>212</v>
      </c>
      <c r="F14" s="26" t="str">
        <f t="shared" ca="1" si="0"/>
        <v>u4_s_AlertS_adbzr_ltaBltaSrcchk</v>
      </c>
      <c r="G14" s="26" t="str">
        <f t="shared" si="1"/>
        <v>NULL</v>
      </c>
      <c r="H14" s="47" t="str">
        <f t="shared" ref="H14:H35" ca="1" si="4">IF($D14&lt;&gt;"","ALERT_CH_"&amp;UPPER($D$6)&amp;IF($D$7=1,"","_"&amp;UPPER($C14)),"")</f>
        <v>ALERT_CH_S_ADBZR_LTA_BLTA</v>
      </c>
      <c r="I14" s="116" t="str">
        <f t="shared" ref="I14:I35" ca="1" si="5">IF($D14&lt;&gt;"","ALERT_REQ_"&amp;UPPER($D$6)&amp;IF($D$7=1,"","_"&amp;UPPER($C14)),"")</f>
        <v>ALERT_REQ_S_ADBZR_LTA_BLTA</v>
      </c>
      <c r="K14" t="s">
        <v>47</v>
      </c>
      <c r="L14" t="str">
        <f ca="1">"vd_g_Alert"&amp;UPPER(LEFT(D6,1))&amp;LOWER(MID(D6,2,100))&amp;"Init"</f>
        <v>vd_g_AlertS_adbzr_ltaInit</v>
      </c>
      <c r="M14" t="e">
        <f t="shared" si="2"/>
        <v>#VALUE!</v>
      </c>
      <c r="N14" t="str">
        <f t="shared" si="3"/>
        <v>Blta</v>
      </c>
    </row>
    <row r="15" spans="2:14">
      <c r="B15" s="68">
        <v>3</v>
      </c>
      <c r="C15" s="112"/>
      <c r="D15" s="113"/>
      <c r="E15" s="83"/>
      <c r="F15" s="26" t="str">
        <f t="shared" si="0"/>
        <v/>
      </c>
      <c r="G15" s="26" t="str">
        <f t="shared" si="1"/>
        <v/>
      </c>
      <c r="H15" s="47" t="str">
        <f t="shared" si="4"/>
        <v/>
      </c>
      <c r="I15" s="116" t="str">
        <f t="shared" si="5"/>
        <v/>
      </c>
      <c r="K15" t="s">
        <v>125</v>
      </c>
      <c r="M15" t="e">
        <f t="shared" si="2"/>
        <v>#VALUE!</v>
      </c>
      <c r="N15" t="str">
        <f t="shared" si="3"/>
        <v/>
      </c>
    </row>
    <row r="16" spans="2:14">
      <c r="B16" s="68">
        <v>4</v>
      </c>
      <c r="C16" s="112"/>
      <c r="D16" s="113"/>
      <c r="E16" s="83"/>
      <c r="F16" s="26" t="str">
        <f t="shared" si="0"/>
        <v/>
      </c>
      <c r="G16" s="26" t="str">
        <f t="shared" si="1"/>
        <v/>
      </c>
      <c r="H16" s="47" t="str">
        <f t="shared" si="4"/>
        <v/>
      </c>
      <c r="I16" s="116" t="str">
        <f t="shared" si="5"/>
        <v/>
      </c>
      <c r="K16" t="s">
        <v>126</v>
      </c>
      <c r="M16" t="e">
        <f t="shared" si="2"/>
        <v>#VALUE!</v>
      </c>
      <c r="N16" t="str">
        <f t="shared" si="3"/>
        <v/>
      </c>
    </row>
    <row r="17" spans="2:14">
      <c r="B17" s="68">
        <v>5</v>
      </c>
      <c r="C17" s="147"/>
      <c r="D17" s="146"/>
      <c r="E17" s="153"/>
      <c r="F17" s="26" t="str">
        <f t="shared" si="0"/>
        <v/>
      </c>
      <c r="G17" s="26" t="str">
        <f t="shared" si="1"/>
        <v/>
      </c>
      <c r="H17" s="47" t="str">
        <f t="shared" si="4"/>
        <v/>
      </c>
      <c r="I17" s="116" t="str">
        <f t="shared" si="5"/>
        <v/>
      </c>
      <c r="K17" t="s">
        <v>48</v>
      </c>
      <c r="M17" t="e">
        <f t="shared" si="2"/>
        <v>#VALUE!</v>
      </c>
      <c r="N17" t="str">
        <f t="shared" si="3"/>
        <v/>
      </c>
    </row>
    <row r="18" spans="2:14">
      <c r="B18" s="68">
        <v>6</v>
      </c>
      <c r="C18" s="147"/>
      <c r="D18" s="146"/>
      <c r="E18" s="153"/>
      <c r="F18" s="26" t="str">
        <f t="shared" si="0"/>
        <v/>
      </c>
      <c r="G18" s="26" t="str">
        <f t="shared" si="1"/>
        <v/>
      </c>
      <c r="H18" s="47" t="str">
        <f t="shared" si="4"/>
        <v/>
      </c>
      <c r="I18" s="116" t="str">
        <f t="shared" si="5"/>
        <v/>
      </c>
      <c r="K18" t="s">
        <v>49</v>
      </c>
      <c r="M18" t="e">
        <f t="shared" si="2"/>
        <v>#VALUE!</v>
      </c>
      <c r="N18" t="str">
        <f t="shared" si="3"/>
        <v/>
      </c>
    </row>
    <row r="19" spans="2:14">
      <c r="B19" s="68">
        <v>7</v>
      </c>
      <c r="C19" s="147"/>
      <c r="D19" s="146"/>
      <c r="E19" s="153"/>
      <c r="F19" s="26" t="str">
        <f t="shared" si="0"/>
        <v/>
      </c>
      <c r="G19" s="26" t="str">
        <f t="shared" si="1"/>
        <v/>
      </c>
      <c r="H19" s="47" t="str">
        <f t="shared" si="4"/>
        <v/>
      </c>
      <c r="I19" s="116" t="str">
        <f t="shared" si="5"/>
        <v/>
      </c>
      <c r="K19" t="s">
        <v>49</v>
      </c>
      <c r="M19" t="e">
        <f t="shared" si="2"/>
        <v>#VALUE!</v>
      </c>
      <c r="N19" t="str">
        <f t="shared" si="3"/>
        <v/>
      </c>
    </row>
    <row r="20" spans="2:14">
      <c r="B20" s="68">
        <v>8</v>
      </c>
      <c r="C20" s="147"/>
      <c r="D20" s="146"/>
      <c r="E20" s="153"/>
      <c r="F20" s="26" t="str">
        <f t="shared" si="0"/>
        <v/>
      </c>
      <c r="G20" s="26" t="str">
        <f t="shared" si="1"/>
        <v/>
      </c>
      <c r="H20" s="47" t="str">
        <f t="shared" si="4"/>
        <v/>
      </c>
      <c r="I20" s="116" t="str">
        <f t="shared" si="5"/>
        <v/>
      </c>
      <c r="K20" t="s">
        <v>49</v>
      </c>
      <c r="M20" t="e">
        <f t="shared" si="2"/>
        <v>#VALUE!</v>
      </c>
      <c r="N20" t="str">
        <f t="shared" si="3"/>
        <v/>
      </c>
    </row>
    <row r="21" spans="2:14">
      <c r="B21" s="68">
        <v>9</v>
      </c>
      <c r="C21" s="147"/>
      <c r="D21" s="146"/>
      <c r="E21" s="153"/>
      <c r="F21" s="26" t="str">
        <f t="shared" si="0"/>
        <v/>
      </c>
      <c r="G21" s="26" t="str">
        <f t="shared" si="1"/>
        <v/>
      </c>
      <c r="H21" s="47" t="str">
        <f t="shared" si="4"/>
        <v/>
      </c>
      <c r="I21" s="116" t="str">
        <f t="shared" si="5"/>
        <v/>
      </c>
      <c r="K21" t="s">
        <v>49</v>
      </c>
      <c r="M21" t="e">
        <f t="shared" si="2"/>
        <v>#VALUE!</v>
      </c>
      <c r="N21" t="str">
        <f t="shared" si="3"/>
        <v/>
      </c>
    </row>
    <row r="22" spans="2:14">
      <c r="B22" s="68">
        <v>10</v>
      </c>
      <c r="C22" s="112"/>
      <c r="D22" s="113"/>
      <c r="E22" s="113"/>
      <c r="F22" s="26" t="str">
        <f t="shared" si="0"/>
        <v/>
      </c>
      <c r="G22" s="26" t="str">
        <f t="shared" si="1"/>
        <v/>
      </c>
      <c r="H22" s="47" t="str">
        <f t="shared" si="4"/>
        <v/>
      </c>
      <c r="I22" s="116" t="str">
        <f t="shared" si="5"/>
        <v/>
      </c>
      <c r="K22" t="s">
        <v>49</v>
      </c>
      <c r="M22" t="e">
        <f t="shared" si="2"/>
        <v>#VALUE!</v>
      </c>
      <c r="N22" t="str">
        <f t="shared" si="3"/>
        <v/>
      </c>
    </row>
    <row r="23" spans="2:14">
      <c r="B23" s="68">
        <v>11</v>
      </c>
      <c r="C23" s="112"/>
      <c r="D23" s="113"/>
      <c r="E23" s="113"/>
      <c r="F23" s="26" t="str">
        <f t="shared" si="0"/>
        <v/>
      </c>
      <c r="G23" s="26" t="str">
        <f t="shared" si="1"/>
        <v/>
      </c>
      <c r="H23" s="47" t="str">
        <f t="shared" si="4"/>
        <v/>
      </c>
      <c r="I23" s="116" t="str">
        <f t="shared" si="5"/>
        <v/>
      </c>
      <c r="K23" t="s">
        <v>49</v>
      </c>
      <c r="M23" t="e">
        <f t="shared" si="2"/>
        <v>#VALUE!</v>
      </c>
      <c r="N23" t="str">
        <f t="shared" si="3"/>
        <v/>
      </c>
    </row>
    <row r="24" spans="2:14">
      <c r="B24" s="68">
        <v>12</v>
      </c>
      <c r="C24" s="112"/>
      <c r="D24" s="113"/>
      <c r="E24" s="113"/>
      <c r="F24" s="26" t="str">
        <f t="shared" si="0"/>
        <v/>
      </c>
      <c r="G24" s="26" t="str">
        <f t="shared" si="1"/>
        <v/>
      </c>
      <c r="H24" s="47" t="str">
        <f t="shared" si="4"/>
        <v/>
      </c>
      <c r="I24" s="116" t="str">
        <f t="shared" si="5"/>
        <v/>
      </c>
      <c r="K24" t="s">
        <v>49</v>
      </c>
      <c r="M24" t="e">
        <f t="shared" si="2"/>
        <v>#VALUE!</v>
      </c>
      <c r="N24" t="str">
        <f t="shared" si="3"/>
        <v/>
      </c>
    </row>
    <row r="25" spans="2:14">
      <c r="B25" s="68">
        <v>13</v>
      </c>
      <c r="C25" s="112"/>
      <c r="D25" s="113"/>
      <c r="E25" s="113"/>
      <c r="F25" s="26" t="str">
        <f t="shared" si="0"/>
        <v/>
      </c>
      <c r="G25" s="26" t="str">
        <f t="shared" si="1"/>
        <v/>
      </c>
      <c r="H25" s="47" t="str">
        <f t="shared" si="4"/>
        <v/>
      </c>
      <c r="I25" s="116" t="str">
        <f t="shared" si="5"/>
        <v/>
      </c>
      <c r="K25" t="s">
        <v>49</v>
      </c>
      <c r="M25" t="e">
        <f t="shared" si="2"/>
        <v>#VALUE!</v>
      </c>
      <c r="N25" t="str">
        <f t="shared" si="3"/>
        <v/>
      </c>
    </row>
    <row r="26" spans="2:14">
      <c r="B26" s="68">
        <v>14</v>
      </c>
      <c r="C26" s="112"/>
      <c r="D26" s="113"/>
      <c r="E26" s="113"/>
      <c r="F26" s="26" t="str">
        <f t="shared" si="0"/>
        <v/>
      </c>
      <c r="G26" s="26" t="str">
        <f t="shared" si="1"/>
        <v/>
      </c>
      <c r="H26" s="47" t="str">
        <f t="shared" si="4"/>
        <v/>
      </c>
      <c r="I26" s="116" t="str">
        <f t="shared" si="5"/>
        <v/>
      </c>
      <c r="K26" t="s">
        <v>49</v>
      </c>
      <c r="M26" t="e">
        <f t="shared" si="2"/>
        <v>#VALUE!</v>
      </c>
      <c r="N26" t="str">
        <f t="shared" si="3"/>
        <v/>
      </c>
    </row>
    <row r="27" spans="2:14">
      <c r="B27" s="68">
        <v>15</v>
      </c>
      <c r="C27" s="112"/>
      <c r="D27" s="113"/>
      <c r="E27" s="113"/>
      <c r="F27" s="26" t="str">
        <f t="shared" si="0"/>
        <v/>
      </c>
      <c r="G27" s="26" t="str">
        <f t="shared" si="1"/>
        <v/>
      </c>
      <c r="H27" s="47" t="str">
        <f t="shared" si="4"/>
        <v/>
      </c>
      <c r="I27" s="116" t="str">
        <f t="shared" si="5"/>
        <v/>
      </c>
      <c r="K27" t="s">
        <v>49</v>
      </c>
      <c r="M27" t="e">
        <f t="shared" si="2"/>
        <v>#VALUE!</v>
      </c>
      <c r="N27" t="str">
        <f t="shared" si="3"/>
        <v/>
      </c>
    </row>
    <row r="28" spans="2:14">
      <c r="B28" s="68">
        <v>16</v>
      </c>
      <c r="C28" s="112"/>
      <c r="D28" s="113"/>
      <c r="E28" s="113"/>
      <c r="F28" s="26" t="str">
        <f t="shared" si="0"/>
        <v/>
      </c>
      <c r="G28" s="26" t="str">
        <f t="shared" si="1"/>
        <v/>
      </c>
      <c r="H28" s="47" t="str">
        <f t="shared" si="4"/>
        <v/>
      </c>
      <c r="I28" s="116" t="str">
        <f t="shared" si="5"/>
        <v/>
      </c>
      <c r="K28" t="s">
        <v>49</v>
      </c>
      <c r="M28" t="e">
        <f t="shared" si="2"/>
        <v>#VALUE!</v>
      </c>
      <c r="N28" t="str">
        <f t="shared" si="3"/>
        <v/>
      </c>
    </row>
    <row r="29" spans="2:14">
      <c r="B29" s="68">
        <v>17</v>
      </c>
      <c r="C29" s="112"/>
      <c r="D29" s="113"/>
      <c r="E29" s="113"/>
      <c r="F29" s="26" t="str">
        <f t="shared" si="0"/>
        <v/>
      </c>
      <c r="G29" s="26" t="str">
        <f t="shared" si="1"/>
        <v/>
      </c>
      <c r="H29" s="47" t="str">
        <f t="shared" si="4"/>
        <v/>
      </c>
      <c r="I29" s="116" t="str">
        <f t="shared" si="5"/>
        <v/>
      </c>
      <c r="K29" t="s">
        <v>49</v>
      </c>
      <c r="M29" t="e">
        <f t="shared" si="2"/>
        <v>#VALUE!</v>
      </c>
      <c r="N29" t="str">
        <f t="shared" si="3"/>
        <v/>
      </c>
    </row>
    <row r="30" spans="2:14">
      <c r="B30" s="68">
        <v>18</v>
      </c>
      <c r="C30" s="112"/>
      <c r="D30" s="113"/>
      <c r="E30" s="113"/>
      <c r="F30" s="26" t="str">
        <f t="shared" si="0"/>
        <v/>
      </c>
      <c r="G30" s="26" t="str">
        <f t="shared" si="1"/>
        <v/>
      </c>
      <c r="H30" s="47" t="str">
        <f t="shared" si="4"/>
        <v/>
      </c>
      <c r="I30" s="116" t="str">
        <f t="shared" si="5"/>
        <v/>
      </c>
      <c r="K30" t="s">
        <v>49</v>
      </c>
      <c r="M30" t="e">
        <f t="shared" si="2"/>
        <v>#VALUE!</v>
      </c>
      <c r="N30" t="str">
        <f t="shared" si="3"/>
        <v/>
      </c>
    </row>
    <row r="31" spans="2:14">
      <c r="B31" s="68">
        <v>19</v>
      </c>
      <c r="C31" s="112"/>
      <c r="D31" s="113"/>
      <c r="E31" s="113"/>
      <c r="F31" s="26" t="str">
        <f t="shared" si="0"/>
        <v/>
      </c>
      <c r="G31" s="26" t="str">
        <f t="shared" si="1"/>
        <v/>
      </c>
      <c r="H31" s="47" t="str">
        <f t="shared" si="4"/>
        <v/>
      </c>
      <c r="I31" s="116" t="str">
        <f t="shared" si="5"/>
        <v/>
      </c>
      <c r="K31" t="s">
        <v>49</v>
      </c>
      <c r="M31" t="e">
        <f t="shared" si="2"/>
        <v>#VALUE!</v>
      </c>
      <c r="N31" t="str">
        <f t="shared" si="3"/>
        <v/>
      </c>
    </row>
    <row r="32" spans="2:14">
      <c r="B32" s="68">
        <v>20</v>
      </c>
      <c r="C32" s="112"/>
      <c r="D32" s="113"/>
      <c r="E32" s="113"/>
      <c r="F32" s="26" t="str">
        <f t="shared" si="0"/>
        <v/>
      </c>
      <c r="G32" s="26" t="str">
        <f t="shared" si="1"/>
        <v/>
      </c>
      <c r="H32" s="47" t="str">
        <f t="shared" si="4"/>
        <v/>
      </c>
      <c r="I32" s="116" t="str">
        <f t="shared" si="5"/>
        <v/>
      </c>
      <c r="K32" t="s">
        <v>49</v>
      </c>
      <c r="M32" t="e">
        <f t="shared" si="2"/>
        <v>#VALUE!</v>
      </c>
      <c r="N32" t="str">
        <f t="shared" si="3"/>
        <v/>
      </c>
    </row>
    <row r="33" spans="2:14">
      <c r="B33" s="68">
        <v>21</v>
      </c>
      <c r="C33" s="112"/>
      <c r="D33" s="113"/>
      <c r="E33" s="113"/>
      <c r="F33" s="26" t="str">
        <f t="shared" si="0"/>
        <v/>
      </c>
      <c r="G33" s="26" t="str">
        <f t="shared" si="1"/>
        <v/>
      </c>
      <c r="H33" s="47" t="str">
        <f t="shared" si="4"/>
        <v/>
      </c>
      <c r="I33" s="116" t="str">
        <f t="shared" si="5"/>
        <v/>
      </c>
      <c r="K33" t="s">
        <v>49</v>
      </c>
      <c r="M33" t="e">
        <f t="shared" si="2"/>
        <v>#VALUE!</v>
      </c>
      <c r="N33" t="str">
        <f t="shared" si="3"/>
        <v/>
      </c>
    </row>
    <row r="34" spans="2:14">
      <c r="B34" s="68">
        <v>22</v>
      </c>
      <c r="C34" s="112"/>
      <c r="D34" s="113"/>
      <c r="E34" s="113"/>
      <c r="F34" s="26" t="str">
        <f t="shared" si="0"/>
        <v/>
      </c>
      <c r="G34" s="26" t="str">
        <f t="shared" si="1"/>
        <v/>
      </c>
      <c r="H34" s="47" t="str">
        <f t="shared" si="4"/>
        <v/>
      </c>
      <c r="I34" s="116" t="str">
        <f t="shared" si="5"/>
        <v/>
      </c>
      <c r="K34" t="s">
        <v>49</v>
      </c>
      <c r="M34" t="e">
        <f t="shared" si="2"/>
        <v>#VALUE!</v>
      </c>
      <c r="N34" t="str">
        <f t="shared" si="3"/>
        <v/>
      </c>
    </row>
    <row r="35" spans="2:14" ht="13.8" thickBot="1">
      <c r="B35" s="69">
        <v>23</v>
      </c>
      <c r="C35" s="110"/>
      <c r="D35" s="111"/>
      <c r="E35" s="111"/>
      <c r="F35" s="34" t="str">
        <f t="shared" si="0"/>
        <v/>
      </c>
      <c r="G35" s="34" t="str">
        <f t="shared" si="1"/>
        <v/>
      </c>
      <c r="H35" s="48" t="str">
        <f t="shared" si="4"/>
        <v/>
      </c>
      <c r="I35" s="117" t="str">
        <f t="shared" si="5"/>
        <v/>
      </c>
      <c r="K35" t="s">
        <v>49</v>
      </c>
      <c r="M35" t="e">
        <f t="shared" si="2"/>
        <v>#VALUE!</v>
      </c>
      <c r="N35" t="str">
        <f t="shared" si="3"/>
        <v/>
      </c>
    </row>
  </sheetData>
  <sheetProtection sheet="1" objects="1" scenarios="1"/>
  <protectedRanges>
    <protectedRange sqref="D9:H10 C17:E35 D6" name="編集許可"/>
    <protectedRange sqref="D2:H3" name="編集許可_1"/>
    <protectedRange sqref="C13:E16" name="編集許可_2"/>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5">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E13:E35" xr:uid="{00000000-0002-0000-0200-000001000000}">
      <formula1>"○,－"</formula1>
    </dataValidation>
    <dataValidation type="list" allowBlank="1" showInputMessage="1" showErrorMessage="1" sqref="D13:D35" xr:uid="{00000000-0002-0000-0200-000002000000}">
      <formula1>$K$13:$K$35</formula1>
    </dataValidation>
  </dataValidations>
  <hyperlinks>
    <hyperlink ref="D3" r:id="rId1" location="1/tags/00.Product/v1.19/制御仕様/" xr:uid="{F322B529-B2EC-4641-BD52-0FE0F8123E0F}"/>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199</v>
      </c>
      <c r="O2" t="s">
        <v>201</v>
      </c>
    </row>
    <row r="3" spans="2:18" ht="13.8" thickBot="1">
      <c r="B3" s="109" t="s">
        <v>34</v>
      </c>
      <c r="C3" s="76" t="s">
        <v>188</v>
      </c>
      <c r="D3" s="76" t="s">
        <v>194</v>
      </c>
      <c r="E3" s="77" t="s">
        <v>195</v>
      </c>
      <c r="F3" s="143" t="s">
        <v>190</v>
      </c>
      <c r="G3" s="140" t="s">
        <v>204</v>
      </c>
      <c r="H3" s="25"/>
      <c r="I3" s="25"/>
      <c r="J3" s="25"/>
      <c r="K3" s="25"/>
      <c r="L3" s="25"/>
      <c r="M3" s="25"/>
      <c r="O3" s="109" t="s">
        <v>34</v>
      </c>
      <c r="P3" s="139" t="s">
        <v>184</v>
      </c>
      <c r="Q3" s="139" t="s">
        <v>198</v>
      </c>
      <c r="R3" s="140" t="s">
        <v>190</v>
      </c>
    </row>
    <row r="4" spans="2:18" ht="13.8" hidden="1" thickTop="1">
      <c r="B4" s="131">
        <v>0</v>
      </c>
      <c r="C4" s="132" t="s">
        <v>173</v>
      </c>
      <c r="D4" s="132"/>
      <c r="E4" s="133"/>
      <c r="F4" s="144"/>
      <c r="G4" s="145"/>
      <c r="H4" s="25"/>
      <c r="I4" s="25"/>
      <c r="J4" s="25"/>
      <c r="K4" s="25"/>
      <c r="L4" s="25"/>
      <c r="M4" s="25"/>
      <c r="O4" s="141">
        <v>0</v>
      </c>
      <c r="P4" s="138" t="s">
        <v>173</v>
      </c>
      <c r="Q4" s="138" t="s">
        <v>173</v>
      </c>
      <c r="R4" s="108"/>
    </row>
    <row r="5" spans="2:18" ht="13.8" thickTop="1">
      <c r="B5" s="134">
        <v>1</v>
      </c>
      <c r="C5" s="113"/>
      <c r="D5" s="22"/>
      <c r="E5" s="47" t="str">
        <f>IF($C5&lt;&gt;"","ALERT_" &amp; D5 &amp; "_ID_"&amp;UPPER(Matrix!$D$6) &amp; "_" &amp; $C5,"")</f>
        <v/>
      </c>
      <c r="F5" s="86"/>
      <c r="G5" s="47" t="str">
        <f>IF(E5&lt;&gt;"",LEN(E5),"")</f>
        <v/>
      </c>
      <c r="O5" s="134">
        <v>1</v>
      </c>
      <c r="P5" s="113"/>
      <c r="Q5" s="113"/>
      <c r="R5" s="87"/>
    </row>
    <row r="6" spans="2:18">
      <c r="B6" s="134">
        <v>2</v>
      </c>
      <c r="C6" s="113"/>
      <c r="D6" s="22"/>
      <c r="E6" s="47" t="str">
        <f>IF($C6&lt;&gt;"","ALERT_" &amp; D6 &amp; "_ID_"&amp;UPPER(Matrix!$D$6) &amp; "_" &amp; $C6,"")</f>
        <v/>
      </c>
      <c r="F6" s="86"/>
      <c r="G6" s="47" t="str">
        <f t="shared" ref="G6:G29" si="0">IF(E6&lt;&gt;"",LEN(E6),"")</f>
        <v/>
      </c>
      <c r="O6" s="134">
        <v>2</v>
      </c>
      <c r="P6" s="113"/>
      <c r="Q6" s="113"/>
      <c r="R6" s="87"/>
    </row>
    <row r="7" spans="2:18">
      <c r="B7" s="134">
        <v>3</v>
      </c>
      <c r="C7" s="113"/>
      <c r="D7" s="22"/>
      <c r="E7" s="47" t="str">
        <f>IF($C7&lt;&gt;"","ALERT_" &amp; D7 &amp; "_ID_"&amp;UPPER(Matrix!$D$6) &amp; "_" &amp; $C7,"")</f>
        <v/>
      </c>
      <c r="F7" s="86"/>
      <c r="G7" s="47" t="str">
        <f t="shared" si="0"/>
        <v/>
      </c>
      <c r="O7" s="134">
        <v>3</v>
      </c>
      <c r="P7" s="113"/>
      <c r="Q7" s="113"/>
      <c r="R7" s="87"/>
    </row>
    <row r="8" spans="2:18">
      <c r="B8" s="134">
        <v>4</v>
      </c>
      <c r="C8" s="113"/>
      <c r="D8" s="22"/>
      <c r="E8" s="47" t="str">
        <f>IF($C8&lt;&gt;"","ALERT_" &amp; D8 &amp; "_ID_"&amp;UPPER(Matrix!$D$6) &amp; "_" &amp; $C8,"")</f>
        <v/>
      </c>
      <c r="F8" s="86"/>
      <c r="G8" s="47" t="str">
        <f t="shared" si="0"/>
        <v/>
      </c>
      <c r="O8" s="134">
        <v>4</v>
      </c>
      <c r="P8" s="113"/>
      <c r="Q8" s="113"/>
      <c r="R8" s="87"/>
    </row>
    <row r="9" spans="2:18">
      <c r="B9" s="134">
        <v>5</v>
      </c>
      <c r="C9" s="113"/>
      <c r="D9" s="22"/>
      <c r="E9" s="47" t="str">
        <f>IF($C9&lt;&gt;"","ALERT_" &amp; D9 &amp; "_ID_"&amp;UPPER(Matrix!$D$6) &amp; "_" &amp; $C9,"")</f>
        <v/>
      </c>
      <c r="F9" s="86"/>
      <c r="G9" s="47" t="str">
        <f t="shared" si="0"/>
        <v/>
      </c>
      <c r="O9" s="134">
        <v>5</v>
      </c>
      <c r="P9" s="113"/>
      <c r="Q9" s="113"/>
      <c r="R9" s="87"/>
    </row>
    <row r="10" spans="2:18">
      <c r="B10" s="134">
        <v>6</v>
      </c>
      <c r="C10" s="113"/>
      <c r="D10" s="22"/>
      <c r="E10" s="47" t="str">
        <f>IF($C10&lt;&gt;"","ALERT_" &amp; D10 &amp; "_ID_"&amp;UPPER(Matrix!$D$6) &amp; "_" &amp; $C10,"")</f>
        <v/>
      </c>
      <c r="F10" s="86"/>
      <c r="G10" s="47" t="str">
        <f t="shared" si="0"/>
        <v/>
      </c>
      <c r="O10" s="134">
        <v>6</v>
      </c>
      <c r="P10" s="113"/>
      <c r="Q10" s="113"/>
      <c r="R10" s="87"/>
    </row>
    <row r="11" spans="2:18">
      <c r="B11" s="134">
        <v>7</v>
      </c>
      <c r="C11" s="113"/>
      <c r="D11" s="22"/>
      <c r="E11" s="47" t="str">
        <f>IF($C11&lt;&gt;"","ALERT_" &amp; D11 &amp; "_ID_"&amp;UPPER(Matrix!$D$6) &amp; "_" &amp; $C11,"")</f>
        <v/>
      </c>
      <c r="F11" s="86"/>
      <c r="G11" s="47" t="str">
        <f t="shared" si="0"/>
        <v/>
      </c>
      <c r="O11" s="134">
        <v>7</v>
      </c>
      <c r="P11" s="113"/>
      <c r="Q11" s="113"/>
      <c r="R11" s="87"/>
    </row>
    <row r="12" spans="2:18">
      <c r="B12" s="134">
        <v>8</v>
      </c>
      <c r="C12" s="113"/>
      <c r="D12" s="22"/>
      <c r="E12" s="47" t="str">
        <f>IF($C12&lt;&gt;"","ALERT_" &amp; D12 &amp; "_ID_"&amp;UPPER(Matrix!$D$6) &amp; "_" &amp; $C12,"")</f>
        <v/>
      </c>
      <c r="F12" s="86"/>
      <c r="G12" s="47" t="str">
        <f t="shared" si="0"/>
        <v/>
      </c>
      <c r="O12" s="134">
        <v>8</v>
      </c>
      <c r="P12" s="113"/>
      <c r="Q12" s="113"/>
      <c r="R12" s="87"/>
    </row>
    <row r="13" spans="2:18">
      <c r="B13" s="134">
        <v>9</v>
      </c>
      <c r="C13" s="113"/>
      <c r="D13" s="22"/>
      <c r="E13" s="47" t="str">
        <f>IF($C13&lt;&gt;"","ALERT_" &amp; D13 &amp; "_ID_"&amp;UPPER(Matrix!$D$6) &amp; "_" &amp; $C13,"")</f>
        <v/>
      </c>
      <c r="F13" s="86"/>
      <c r="G13" s="47" t="str">
        <f t="shared" si="0"/>
        <v/>
      </c>
      <c r="O13" s="134">
        <v>9</v>
      </c>
      <c r="P13" s="113"/>
      <c r="Q13" s="113"/>
      <c r="R13" s="87"/>
    </row>
    <row r="14" spans="2:18">
      <c r="B14" s="134">
        <v>10</v>
      </c>
      <c r="C14" s="113"/>
      <c r="D14" s="22"/>
      <c r="E14" s="47" t="str">
        <f>IF($C14&lt;&gt;"","ALERT_" &amp; D14 &amp; "_ID_"&amp;UPPER(Matrix!$D$6) &amp; "_" &amp; $C14,"")</f>
        <v/>
      </c>
      <c r="F14" s="86"/>
      <c r="G14" s="47" t="str">
        <f t="shared" si="0"/>
        <v/>
      </c>
      <c r="O14" s="134">
        <v>10</v>
      </c>
      <c r="P14" s="113"/>
      <c r="Q14" s="113"/>
      <c r="R14" s="87"/>
    </row>
    <row r="15" spans="2:18">
      <c r="B15" s="134">
        <v>11</v>
      </c>
      <c r="C15" s="113"/>
      <c r="D15" s="22"/>
      <c r="E15" s="47" t="str">
        <f>IF($C15&lt;&gt;"","ALERT_" &amp; D15 &amp; "_ID_"&amp;UPPER(Matrix!$D$6) &amp; "_" &amp; $C15,"")</f>
        <v/>
      </c>
      <c r="F15" s="86"/>
      <c r="G15" s="47" t="str">
        <f t="shared" si="0"/>
        <v/>
      </c>
      <c r="O15" s="134">
        <v>11</v>
      </c>
      <c r="P15" s="113"/>
      <c r="Q15" s="113"/>
      <c r="R15" s="87"/>
    </row>
    <row r="16" spans="2:18">
      <c r="B16" s="134">
        <v>12</v>
      </c>
      <c r="C16" s="113"/>
      <c r="D16" s="22"/>
      <c r="E16" s="47" t="str">
        <f>IF($C16&lt;&gt;"","ALERT_" &amp; D16 &amp; "_ID_"&amp;UPPER(Matrix!$D$6) &amp; "_" &amp; $C16,"")</f>
        <v/>
      </c>
      <c r="F16" s="86"/>
      <c r="G16" s="47" t="str">
        <f t="shared" si="0"/>
        <v/>
      </c>
      <c r="O16" s="134">
        <v>12</v>
      </c>
      <c r="P16" s="113"/>
      <c r="Q16" s="113"/>
      <c r="R16" s="87"/>
    </row>
    <row r="17" spans="2:18">
      <c r="B17" s="134">
        <v>13</v>
      </c>
      <c r="C17" s="113"/>
      <c r="D17" s="22"/>
      <c r="E17" s="47" t="str">
        <f>IF($C17&lt;&gt;"","ALERT_" &amp; D17 &amp; "_ID_"&amp;UPPER(Matrix!$D$6) &amp; "_" &amp; $C17,"")</f>
        <v/>
      </c>
      <c r="F17" s="86"/>
      <c r="G17" s="47" t="str">
        <f t="shared" si="0"/>
        <v/>
      </c>
      <c r="O17" s="134">
        <v>13</v>
      </c>
      <c r="P17" s="113"/>
      <c r="Q17" s="113"/>
      <c r="R17" s="87"/>
    </row>
    <row r="18" spans="2:18">
      <c r="B18" s="134">
        <v>14</v>
      </c>
      <c r="C18" s="113"/>
      <c r="D18" s="22"/>
      <c r="E18" s="47" t="str">
        <f>IF($C18&lt;&gt;"","ALERT_" &amp; D18 &amp; "_ID_"&amp;UPPER(Matrix!$D$6) &amp; "_" &amp; $C18,"")</f>
        <v/>
      </c>
      <c r="F18" s="86"/>
      <c r="G18" s="47" t="str">
        <f t="shared" si="0"/>
        <v/>
      </c>
      <c r="O18" s="134">
        <v>14</v>
      </c>
      <c r="P18" s="113"/>
      <c r="Q18" s="113"/>
      <c r="R18" s="87"/>
    </row>
    <row r="19" spans="2:18">
      <c r="B19" s="134">
        <v>15</v>
      </c>
      <c r="C19" s="113"/>
      <c r="D19" s="22"/>
      <c r="E19" s="47" t="str">
        <f>IF($C19&lt;&gt;"","ALERT_" &amp; D19 &amp; "_ID_"&amp;UPPER(Matrix!$D$6) &amp; "_" &amp; $C19,"")</f>
        <v/>
      </c>
      <c r="F19" s="86"/>
      <c r="G19" s="47" t="str">
        <f t="shared" si="0"/>
        <v/>
      </c>
      <c r="O19" s="134">
        <v>15</v>
      </c>
      <c r="P19" s="113"/>
      <c r="Q19" s="113"/>
      <c r="R19" s="87"/>
    </row>
    <row r="20" spans="2:18">
      <c r="B20" s="134">
        <v>16</v>
      </c>
      <c r="C20" s="113"/>
      <c r="D20" s="22"/>
      <c r="E20" s="47" t="str">
        <f>IF($C20&lt;&gt;"","ALERT_" &amp; D20 &amp; "_ID_"&amp;UPPER(Matrix!$D$6) &amp; "_" &amp; $C20,"")</f>
        <v/>
      </c>
      <c r="F20" s="86"/>
      <c r="G20" s="47" t="str">
        <f t="shared" si="0"/>
        <v/>
      </c>
      <c r="O20" s="134">
        <v>16</v>
      </c>
      <c r="P20" s="113"/>
      <c r="Q20" s="113"/>
      <c r="R20" s="87"/>
    </row>
    <row r="21" spans="2:18">
      <c r="B21" s="134">
        <v>17</v>
      </c>
      <c r="C21" s="113"/>
      <c r="D21" s="22"/>
      <c r="E21" s="47" t="str">
        <f>IF($C21&lt;&gt;"","ALERT_" &amp; D21 &amp; "_ID_"&amp;UPPER(Matrix!$D$6) &amp; "_" &amp; $C21,"")</f>
        <v/>
      </c>
      <c r="F21" s="86"/>
      <c r="G21" s="47" t="str">
        <f t="shared" si="0"/>
        <v/>
      </c>
      <c r="O21" s="134">
        <v>17</v>
      </c>
      <c r="P21" s="113"/>
      <c r="Q21" s="113"/>
      <c r="R21" s="87"/>
    </row>
    <row r="22" spans="2:18">
      <c r="B22" s="134">
        <v>18</v>
      </c>
      <c r="C22" s="113"/>
      <c r="D22" s="22"/>
      <c r="E22" s="47" t="str">
        <f>IF($C22&lt;&gt;"","ALERT_" &amp; D22 &amp; "_ID_"&amp;UPPER(Matrix!$D$6) &amp; "_" &amp; $C22,"")</f>
        <v/>
      </c>
      <c r="F22" s="86"/>
      <c r="G22" s="47" t="str">
        <f t="shared" si="0"/>
        <v/>
      </c>
      <c r="O22" s="134">
        <v>18</v>
      </c>
      <c r="P22" s="113"/>
      <c r="Q22" s="113"/>
      <c r="R22" s="87"/>
    </row>
    <row r="23" spans="2:18">
      <c r="B23" s="134">
        <v>19</v>
      </c>
      <c r="C23" s="113"/>
      <c r="D23" s="22"/>
      <c r="E23" s="47" t="str">
        <f>IF($C23&lt;&gt;"","ALERT_" &amp; D23 &amp; "_ID_"&amp;UPPER(Matrix!$D$6) &amp; "_" &amp; $C23,"")</f>
        <v/>
      </c>
      <c r="F23" s="86"/>
      <c r="G23" s="47" t="str">
        <f t="shared" si="0"/>
        <v/>
      </c>
      <c r="O23" s="134">
        <v>19</v>
      </c>
      <c r="P23" s="113"/>
      <c r="Q23" s="113"/>
      <c r="R23" s="87"/>
    </row>
    <row r="24" spans="2:18">
      <c r="B24" s="134">
        <v>20</v>
      </c>
      <c r="C24" s="113"/>
      <c r="D24" s="22"/>
      <c r="E24" s="47" t="str">
        <f>IF($C24&lt;&gt;"","ALERT_" &amp; D24 &amp; "_ID_"&amp;UPPER(Matrix!$D$6) &amp; "_" &amp; $C24,"")</f>
        <v/>
      </c>
      <c r="F24" s="86"/>
      <c r="G24" s="47" t="str">
        <f t="shared" si="0"/>
        <v/>
      </c>
      <c r="O24" s="134">
        <v>20</v>
      </c>
      <c r="P24" s="113"/>
      <c r="Q24" s="113"/>
      <c r="R24" s="87"/>
    </row>
    <row r="25" spans="2:18">
      <c r="B25" s="134">
        <v>21</v>
      </c>
      <c r="C25" s="113"/>
      <c r="D25" s="22"/>
      <c r="E25" s="47" t="str">
        <f>IF($C25&lt;&gt;"","ALERT_" &amp; D25 &amp; "_ID_"&amp;UPPER(Matrix!$D$6) &amp; "_" &amp; $C25,"")</f>
        <v/>
      </c>
      <c r="F25" s="86"/>
      <c r="G25" s="47" t="str">
        <f t="shared" si="0"/>
        <v/>
      </c>
      <c r="O25" s="134">
        <v>21</v>
      </c>
      <c r="P25" s="113"/>
      <c r="Q25" s="113"/>
      <c r="R25" s="87"/>
    </row>
    <row r="26" spans="2:18">
      <c r="B26" s="134">
        <v>22</v>
      </c>
      <c r="C26" s="113"/>
      <c r="D26" s="22"/>
      <c r="E26" s="47" t="str">
        <f>IF($C26&lt;&gt;"","ALERT_" &amp; D26 &amp; "_ID_"&amp;UPPER(Matrix!$D$6) &amp; "_" &amp; $C26,"")</f>
        <v/>
      </c>
      <c r="F26" s="86"/>
      <c r="G26" s="47" t="str">
        <f t="shared" si="0"/>
        <v/>
      </c>
      <c r="O26" s="134">
        <v>22</v>
      </c>
      <c r="P26" s="113"/>
      <c r="Q26" s="113"/>
      <c r="R26" s="87"/>
    </row>
    <row r="27" spans="2:18">
      <c r="B27" s="134">
        <v>23</v>
      </c>
      <c r="C27" s="113"/>
      <c r="D27" s="22"/>
      <c r="E27" s="47" t="str">
        <f>IF($C27&lt;&gt;"","ALERT_" &amp; D27 &amp; "_ID_"&amp;UPPER(Matrix!$D$6) &amp; "_" &amp; $C27,"")</f>
        <v/>
      </c>
      <c r="F27" s="86"/>
      <c r="G27" s="47" t="str">
        <f t="shared" si="0"/>
        <v/>
      </c>
      <c r="O27" s="134">
        <v>23</v>
      </c>
      <c r="P27" s="113"/>
      <c r="Q27" s="113"/>
      <c r="R27" s="87"/>
    </row>
    <row r="28" spans="2:18">
      <c r="B28" s="134">
        <v>24</v>
      </c>
      <c r="C28" s="113"/>
      <c r="D28" s="22"/>
      <c r="E28" s="47" t="str">
        <f>IF($C28&lt;&gt;"","ALERT_" &amp; D28 &amp; "_ID_"&amp;UPPER(Matrix!$D$6) &amp; "_" &amp; $C28,"")</f>
        <v/>
      </c>
      <c r="F28" s="86"/>
      <c r="G28" s="47" t="str">
        <f t="shared" si="0"/>
        <v/>
      </c>
      <c r="O28" s="134">
        <v>24</v>
      </c>
      <c r="P28" s="113"/>
      <c r="Q28" s="113"/>
      <c r="R28" s="87"/>
    </row>
    <row r="29" spans="2:18" ht="13.8" thickBot="1">
      <c r="B29" s="135">
        <v>25</v>
      </c>
      <c r="C29" s="111"/>
      <c r="D29" s="33"/>
      <c r="E29" s="48" t="str">
        <f>IF($C29&lt;&gt;"","ALERT_" &amp; D29 &amp; "_ID_"&amp;UPPER(Matrix!$D$6) &amp; "_" &amp; $C29,"")</f>
        <v/>
      </c>
      <c r="F29" s="88"/>
      <c r="G29" s="48" t="str">
        <f t="shared" si="0"/>
        <v/>
      </c>
      <c r="O29" s="135">
        <v>25</v>
      </c>
      <c r="P29" s="111"/>
      <c r="Q29" s="111"/>
      <c r="R29" s="89"/>
    </row>
    <row r="32" spans="2:18" ht="13.8" thickBot="1">
      <c r="B32" t="s">
        <v>200</v>
      </c>
      <c r="O32" t="s">
        <v>197</v>
      </c>
    </row>
    <row r="33" spans="2:18" ht="13.8" thickBot="1">
      <c r="B33" s="109" t="s">
        <v>34</v>
      </c>
      <c r="C33" s="76" t="s">
        <v>188</v>
      </c>
      <c r="D33" s="76" t="s">
        <v>193</v>
      </c>
      <c r="E33" s="77" t="s">
        <v>191</v>
      </c>
      <c r="F33" s="140" t="s">
        <v>192</v>
      </c>
      <c r="G33" s="140" t="s">
        <v>204</v>
      </c>
      <c r="O33" s="109" t="s">
        <v>34</v>
      </c>
      <c r="P33" s="139" t="s">
        <v>185</v>
      </c>
      <c r="Q33" s="139" t="s">
        <v>202</v>
      </c>
      <c r="R33" s="140" t="s">
        <v>189</v>
      </c>
    </row>
    <row r="34" spans="2:18" ht="13.8" hidden="1" thickTop="1">
      <c r="B34" s="131">
        <v>0</v>
      </c>
      <c r="C34" s="132" t="s">
        <v>173</v>
      </c>
      <c r="D34" s="132"/>
      <c r="E34" s="133"/>
      <c r="F34" s="142" t="s">
        <v>173</v>
      </c>
      <c r="G34" s="145"/>
      <c r="O34" s="141">
        <v>0</v>
      </c>
      <c r="P34" s="138" t="s">
        <v>173</v>
      </c>
      <c r="Q34" s="138" t="s">
        <v>173</v>
      </c>
      <c r="R34" s="142" t="s">
        <v>173</v>
      </c>
    </row>
    <row r="35" spans="2:18" ht="13.8" thickTop="1">
      <c r="B35" s="134">
        <v>1</v>
      </c>
      <c r="C35" s="113"/>
      <c r="D35" s="22"/>
      <c r="E35" s="47" t="str">
        <f>IF($C35&lt;&gt;"","ALERT_" &amp; UPPER(Matrix!$D$6) &amp; "_" &amp; $C35,"")</f>
        <v/>
      </c>
      <c r="F35" s="136"/>
      <c r="G35" s="47" t="str">
        <f>IF(E35&lt;&gt;"",LEN(E35),"")</f>
        <v/>
      </c>
      <c r="O35" s="134">
        <v>1</v>
      </c>
      <c r="P35" s="113"/>
      <c r="Q35" s="113"/>
      <c r="R35" s="136"/>
    </row>
    <row r="36" spans="2:18">
      <c r="B36" s="134">
        <v>2</v>
      </c>
      <c r="C36" s="113"/>
      <c r="D36" s="22"/>
      <c r="E36" s="47" t="str">
        <f>IF($C36&lt;&gt;"","ALERT_" &amp; UPPER(Matrix!$D$6) &amp; "_" &amp; $C36,"")</f>
        <v/>
      </c>
      <c r="F36" s="136"/>
      <c r="G36" s="47" t="str">
        <f>IF(E36&lt;&gt;"",LEN(E36),"")</f>
        <v/>
      </c>
      <c r="O36" s="134">
        <v>2</v>
      </c>
      <c r="P36" s="113"/>
      <c r="Q36" s="113"/>
      <c r="R36" s="136"/>
    </row>
    <row r="37" spans="2:18">
      <c r="B37" s="134">
        <v>3</v>
      </c>
      <c r="C37" s="113"/>
      <c r="D37" s="22"/>
      <c r="E37" s="47" t="str">
        <f>IF($C37&lt;&gt;"","ALERT_" &amp; UPPER(Matrix!$D$6) &amp; "_" &amp; $C37,"")</f>
        <v/>
      </c>
      <c r="F37" s="136"/>
      <c r="G37" s="47" t="str">
        <f>IF(E37&lt;&gt;"",LEN(E37),"")</f>
        <v/>
      </c>
      <c r="O37" s="134">
        <v>3</v>
      </c>
      <c r="P37" s="113"/>
      <c r="Q37" s="113"/>
      <c r="R37" s="136"/>
    </row>
    <row r="38" spans="2:18">
      <c r="B38" s="134">
        <v>4</v>
      </c>
      <c r="C38" s="113"/>
      <c r="D38" s="22"/>
      <c r="E38" s="47" t="str">
        <f>IF($C38&lt;&gt;"","ALERT_" &amp; UPPER(Matrix!$D$6) &amp; "_" &amp; $C38,"")</f>
        <v/>
      </c>
      <c r="F38" s="136"/>
      <c r="G38" s="47" t="str">
        <f t="shared" ref="G38:G59" si="1">IF(E38&lt;&gt;"",LEN(E38),"")</f>
        <v/>
      </c>
      <c r="O38" s="134">
        <v>4</v>
      </c>
      <c r="P38" s="113"/>
      <c r="Q38" s="113"/>
      <c r="R38" s="136"/>
    </row>
    <row r="39" spans="2:18">
      <c r="B39" s="134">
        <v>5</v>
      </c>
      <c r="C39" s="113"/>
      <c r="D39" s="22"/>
      <c r="E39" s="47" t="str">
        <f>IF($C39&lt;&gt;"","ALERT_" &amp; UPPER(Matrix!$D$6) &amp; "_" &amp; $C39,"")</f>
        <v/>
      </c>
      <c r="F39" s="136"/>
      <c r="G39" s="47" t="str">
        <f t="shared" si="1"/>
        <v/>
      </c>
      <c r="O39" s="134">
        <v>5</v>
      </c>
      <c r="P39" s="113"/>
      <c r="Q39" s="113"/>
      <c r="R39" s="136"/>
    </row>
    <row r="40" spans="2:18">
      <c r="B40" s="134">
        <v>6</v>
      </c>
      <c r="C40" s="113"/>
      <c r="D40" s="22"/>
      <c r="E40" s="47" t="str">
        <f>IF($C40&lt;&gt;"","ALERT_" &amp; UPPER(Matrix!$D$6) &amp; "_" &amp; $C40,"")</f>
        <v/>
      </c>
      <c r="F40" s="136"/>
      <c r="G40" s="47" t="str">
        <f t="shared" si="1"/>
        <v/>
      </c>
      <c r="O40" s="134">
        <v>6</v>
      </c>
      <c r="P40" s="113"/>
      <c r="Q40" s="113"/>
      <c r="R40" s="136"/>
    </row>
    <row r="41" spans="2:18">
      <c r="B41" s="134">
        <v>7</v>
      </c>
      <c r="C41" s="113"/>
      <c r="D41" s="22"/>
      <c r="E41" s="47" t="str">
        <f>IF($C41&lt;&gt;"","ALERT_" &amp; UPPER(Matrix!$D$6) &amp; "_" &amp; $C41,"")</f>
        <v/>
      </c>
      <c r="F41" s="136"/>
      <c r="G41" s="47" t="str">
        <f t="shared" si="1"/>
        <v/>
      </c>
      <c r="O41" s="134">
        <v>7</v>
      </c>
      <c r="P41" s="113"/>
      <c r="Q41" s="113"/>
      <c r="R41" s="136"/>
    </row>
    <row r="42" spans="2:18">
      <c r="B42" s="134">
        <v>8</v>
      </c>
      <c r="C42" s="113"/>
      <c r="D42" s="22"/>
      <c r="E42" s="47" t="str">
        <f>IF($C42&lt;&gt;"","ALERT_" &amp; UPPER(Matrix!$D$6) &amp; "_" &amp; $C42,"")</f>
        <v/>
      </c>
      <c r="F42" s="136"/>
      <c r="G42" s="47" t="str">
        <f t="shared" si="1"/>
        <v/>
      </c>
      <c r="O42" s="134">
        <v>8</v>
      </c>
      <c r="P42" s="113"/>
      <c r="Q42" s="113"/>
      <c r="R42" s="136"/>
    </row>
    <row r="43" spans="2:18">
      <c r="B43" s="134">
        <v>9</v>
      </c>
      <c r="C43" s="113"/>
      <c r="D43" s="22"/>
      <c r="E43" s="47" t="str">
        <f>IF($C43&lt;&gt;"","ALERT_" &amp; UPPER(Matrix!$D$6) &amp; "_" &amp; $C43,"")</f>
        <v/>
      </c>
      <c r="F43" s="136"/>
      <c r="G43" s="47" t="str">
        <f t="shared" si="1"/>
        <v/>
      </c>
      <c r="O43" s="134">
        <v>9</v>
      </c>
      <c r="P43" s="113"/>
      <c r="Q43" s="113"/>
      <c r="R43" s="136"/>
    </row>
    <row r="44" spans="2:18">
      <c r="B44" s="134">
        <v>10</v>
      </c>
      <c r="C44" s="113"/>
      <c r="D44" s="22"/>
      <c r="E44" s="47" t="str">
        <f>IF($C44&lt;&gt;"","ALERT_" &amp; UPPER(Matrix!$D$6) &amp; "_" &amp; $C44,"")</f>
        <v/>
      </c>
      <c r="F44" s="136"/>
      <c r="G44" s="47" t="str">
        <f t="shared" si="1"/>
        <v/>
      </c>
      <c r="O44" s="134">
        <v>10</v>
      </c>
      <c r="P44" s="113"/>
      <c r="Q44" s="113"/>
      <c r="R44" s="136"/>
    </row>
    <row r="45" spans="2:18">
      <c r="B45" s="134">
        <v>11</v>
      </c>
      <c r="C45" s="113"/>
      <c r="D45" s="22"/>
      <c r="E45" s="47" t="str">
        <f>IF($C45&lt;&gt;"","ALERT_" &amp; UPPER(Matrix!$D$6) &amp; "_" &amp; $C45,"")</f>
        <v/>
      </c>
      <c r="F45" s="136"/>
      <c r="G45" s="47" t="str">
        <f t="shared" si="1"/>
        <v/>
      </c>
      <c r="O45" s="134">
        <v>11</v>
      </c>
      <c r="P45" s="113"/>
      <c r="Q45" s="113"/>
      <c r="R45" s="136"/>
    </row>
    <row r="46" spans="2:18">
      <c r="B46" s="134">
        <v>12</v>
      </c>
      <c r="C46" s="113"/>
      <c r="D46" s="22"/>
      <c r="E46" s="47" t="str">
        <f>IF($C46&lt;&gt;"","ALERT_" &amp; UPPER(Matrix!$D$6) &amp; "_" &amp; $C46,"")</f>
        <v/>
      </c>
      <c r="F46" s="136"/>
      <c r="G46" s="47" t="str">
        <f t="shared" si="1"/>
        <v/>
      </c>
      <c r="O46" s="134">
        <v>12</v>
      </c>
      <c r="P46" s="113"/>
      <c r="Q46" s="113"/>
      <c r="R46" s="136"/>
    </row>
    <row r="47" spans="2:18">
      <c r="B47" s="134">
        <v>13</v>
      </c>
      <c r="C47" s="113"/>
      <c r="D47" s="22"/>
      <c r="E47" s="47" t="str">
        <f>IF($C47&lt;&gt;"","ALERT_" &amp; UPPER(Matrix!$D$6) &amp; "_" &amp; $C47,"")</f>
        <v/>
      </c>
      <c r="F47" s="136"/>
      <c r="G47" s="47" t="str">
        <f t="shared" si="1"/>
        <v/>
      </c>
      <c r="O47" s="134">
        <v>13</v>
      </c>
      <c r="P47" s="113"/>
      <c r="Q47" s="113"/>
      <c r="R47" s="136"/>
    </row>
    <row r="48" spans="2:18">
      <c r="B48" s="134">
        <v>14</v>
      </c>
      <c r="C48" s="113"/>
      <c r="D48" s="22"/>
      <c r="E48" s="47" t="str">
        <f>IF($C48&lt;&gt;"","ALERT_" &amp; UPPER(Matrix!$D$6) &amp; "_" &amp; $C48,"")</f>
        <v/>
      </c>
      <c r="F48" s="136"/>
      <c r="G48" s="47" t="str">
        <f t="shared" si="1"/>
        <v/>
      </c>
      <c r="O48" s="134">
        <v>14</v>
      </c>
      <c r="P48" s="113"/>
      <c r="Q48" s="113"/>
      <c r="R48" s="136"/>
    </row>
    <row r="49" spans="2:18">
      <c r="B49" s="134">
        <v>15</v>
      </c>
      <c r="C49" s="113"/>
      <c r="D49" s="22"/>
      <c r="E49" s="47" t="str">
        <f>IF($C49&lt;&gt;"","ALERT_" &amp; UPPER(Matrix!$D$6) &amp; "_" &amp; $C49,"")</f>
        <v/>
      </c>
      <c r="F49" s="136"/>
      <c r="G49" s="47" t="str">
        <f t="shared" si="1"/>
        <v/>
      </c>
      <c r="O49" s="134">
        <v>15</v>
      </c>
      <c r="P49" s="113"/>
      <c r="Q49" s="113"/>
      <c r="R49" s="136"/>
    </row>
    <row r="50" spans="2:18">
      <c r="B50" s="134">
        <v>16</v>
      </c>
      <c r="C50" s="113"/>
      <c r="D50" s="22"/>
      <c r="E50" s="47" t="str">
        <f>IF($C50&lt;&gt;"","ALERT_" &amp; UPPER(Matrix!$D$6) &amp; "_" &amp; $C50,"")</f>
        <v/>
      </c>
      <c r="F50" s="136"/>
      <c r="G50" s="47" t="str">
        <f t="shared" si="1"/>
        <v/>
      </c>
      <c r="O50" s="134">
        <v>16</v>
      </c>
      <c r="P50" s="113"/>
      <c r="Q50" s="113"/>
      <c r="R50" s="136"/>
    </row>
    <row r="51" spans="2:18">
      <c r="B51" s="134">
        <v>17</v>
      </c>
      <c r="C51" s="113"/>
      <c r="D51" s="22"/>
      <c r="E51" s="47" t="str">
        <f>IF($C51&lt;&gt;"","ALERT_" &amp; UPPER(Matrix!$D$6) &amp; "_" &amp; $C51,"")</f>
        <v/>
      </c>
      <c r="F51" s="136"/>
      <c r="G51" s="47" t="str">
        <f t="shared" si="1"/>
        <v/>
      </c>
      <c r="O51" s="134">
        <v>17</v>
      </c>
      <c r="P51" s="113"/>
      <c r="Q51" s="113"/>
      <c r="R51" s="136"/>
    </row>
    <row r="52" spans="2:18">
      <c r="B52" s="134">
        <v>18</v>
      </c>
      <c r="C52" s="113"/>
      <c r="D52" s="22"/>
      <c r="E52" s="47" t="str">
        <f>IF($C52&lt;&gt;"","ALERT_" &amp; UPPER(Matrix!$D$6) &amp; "_" &amp; $C52,"")</f>
        <v/>
      </c>
      <c r="F52" s="136"/>
      <c r="G52" s="47" t="str">
        <f t="shared" si="1"/>
        <v/>
      </c>
      <c r="O52" s="134">
        <v>18</v>
      </c>
      <c r="P52" s="113"/>
      <c r="Q52" s="113"/>
      <c r="R52" s="136"/>
    </row>
    <row r="53" spans="2:18">
      <c r="B53" s="134">
        <v>19</v>
      </c>
      <c r="C53" s="113"/>
      <c r="D53" s="22"/>
      <c r="E53" s="47" t="str">
        <f>IF($C53&lt;&gt;"","ALERT_" &amp; UPPER(Matrix!$D$6) &amp; "_" &amp; $C53,"")</f>
        <v/>
      </c>
      <c r="F53" s="136"/>
      <c r="G53" s="47" t="str">
        <f t="shared" si="1"/>
        <v/>
      </c>
      <c r="O53" s="134">
        <v>19</v>
      </c>
      <c r="P53" s="113"/>
      <c r="Q53" s="113"/>
      <c r="R53" s="136"/>
    </row>
    <row r="54" spans="2:18">
      <c r="B54" s="134">
        <v>20</v>
      </c>
      <c r="C54" s="113"/>
      <c r="D54" s="22"/>
      <c r="E54" s="47" t="str">
        <f>IF($C54&lt;&gt;"","ALERT_" &amp; UPPER(Matrix!$D$6) &amp; "_" &amp; $C54,"")</f>
        <v/>
      </c>
      <c r="F54" s="136"/>
      <c r="G54" s="47" t="str">
        <f t="shared" si="1"/>
        <v/>
      </c>
      <c r="O54" s="134">
        <v>20</v>
      </c>
      <c r="P54" s="113"/>
      <c r="Q54" s="113"/>
      <c r="R54" s="136"/>
    </row>
    <row r="55" spans="2:18">
      <c r="B55" s="134">
        <v>21</v>
      </c>
      <c r="C55" s="113"/>
      <c r="D55" s="22"/>
      <c r="E55" s="47" t="str">
        <f>IF($C55&lt;&gt;"","ALERT_" &amp; UPPER(Matrix!$D$6) &amp; "_" &amp; $C55,"")</f>
        <v/>
      </c>
      <c r="F55" s="136"/>
      <c r="G55" s="47" t="str">
        <f t="shared" si="1"/>
        <v/>
      </c>
      <c r="O55" s="134">
        <v>21</v>
      </c>
      <c r="P55" s="113"/>
      <c r="Q55" s="113"/>
      <c r="R55" s="136"/>
    </row>
    <row r="56" spans="2:18">
      <c r="B56" s="134">
        <v>22</v>
      </c>
      <c r="C56" s="113"/>
      <c r="D56" s="22"/>
      <c r="E56" s="47" t="str">
        <f>IF($C56&lt;&gt;"","ALERT_" &amp; UPPER(Matrix!$D$6) &amp; "_" &amp; $C56,"")</f>
        <v/>
      </c>
      <c r="F56" s="136"/>
      <c r="G56" s="47" t="str">
        <f t="shared" si="1"/>
        <v/>
      </c>
      <c r="O56" s="134">
        <v>22</v>
      </c>
      <c r="P56" s="113"/>
      <c r="Q56" s="113"/>
      <c r="R56" s="136"/>
    </row>
    <row r="57" spans="2:18">
      <c r="B57" s="134">
        <v>23</v>
      </c>
      <c r="C57" s="113"/>
      <c r="D57" s="22"/>
      <c r="E57" s="47" t="str">
        <f>IF($C57&lt;&gt;"","ALERT_" &amp; UPPER(Matrix!$D$6) &amp; "_" &amp; $C57,"")</f>
        <v/>
      </c>
      <c r="F57" s="136"/>
      <c r="G57" s="47" t="str">
        <f t="shared" si="1"/>
        <v/>
      </c>
      <c r="O57" s="134">
        <v>23</v>
      </c>
      <c r="P57" s="113"/>
      <c r="Q57" s="113"/>
      <c r="R57" s="136"/>
    </row>
    <row r="58" spans="2:18">
      <c r="B58" s="134">
        <v>24</v>
      </c>
      <c r="C58" s="113"/>
      <c r="D58" s="22"/>
      <c r="E58" s="47" t="str">
        <f>IF($C58&lt;&gt;"","ALERT_" &amp; UPPER(Matrix!$D$6) &amp; "_" &amp; $C58,"")</f>
        <v/>
      </c>
      <c r="F58" s="136"/>
      <c r="G58" s="47" t="str">
        <f t="shared" si="1"/>
        <v/>
      </c>
      <c r="O58" s="134">
        <v>24</v>
      </c>
      <c r="P58" s="113"/>
      <c r="Q58" s="113"/>
      <c r="R58" s="136"/>
    </row>
    <row r="59" spans="2:18" ht="13.8" thickBot="1">
      <c r="B59" s="135">
        <v>25</v>
      </c>
      <c r="C59" s="111"/>
      <c r="D59" s="33"/>
      <c r="E59" s="48" t="str">
        <f>IF($C59&lt;&gt;"","ALERT_" &amp; UPPER(Matrix!$D$6) &amp; "_" &amp; $C59,"")</f>
        <v/>
      </c>
      <c r="F59" s="137"/>
      <c r="G59" s="48" t="str">
        <f t="shared" si="1"/>
        <v/>
      </c>
      <c r="O59" s="135">
        <v>25</v>
      </c>
      <c r="P59" s="111"/>
      <c r="Q59" s="111"/>
      <c r="R59" s="13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89"/>
  <sheetViews>
    <sheetView zoomScale="115" zoomScaleNormal="115"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29.109375" customWidth="1"/>
    <col min="7" max="7" width="12.33203125" customWidth="1"/>
    <col min="8" max="8" width="29" bestFit="1" customWidth="1"/>
    <col min="9" max="9" width="12.33203125" customWidth="1"/>
    <col min="10" max="10" width="41.6640625" customWidth="1"/>
    <col min="11" max="11" width="12.33203125" customWidth="1"/>
    <col min="12" max="12" width="16.109375" customWidth="1"/>
    <col min="14" max="14" width="43.77734375" customWidth="1"/>
    <col min="15" max="15" width="57.109375" hidden="1" customWidth="1"/>
    <col min="21" max="21" width="13" hidden="1" customWidth="1"/>
  </cols>
  <sheetData>
    <row r="1" spans="2:21" ht="13.8" thickBot="1">
      <c r="C1" s="63" t="s">
        <v>105</v>
      </c>
    </row>
    <row r="2" spans="2:21" ht="13.8" thickBot="1">
      <c r="B2" s="70" t="s">
        <v>58</v>
      </c>
      <c r="C2" s="71" t="s">
        <v>127</v>
      </c>
      <c r="D2" s="72" t="s">
        <v>52</v>
      </c>
      <c r="E2" s="73" t="s">
        <v>53</v>
      </c>
      <c r="F2" s="74" t="s">
        <v>24</v>
      </c>
      <c r="G2" s="73" t="s">
        <v>54</v>
      </c>
      <c r="H2" s="74" t="s">
        <v>26</v>
      </c>
      <c r="I2" s="73" t="s">
        <v>55</v>
      </c>
      <c r="J2" s="74" t="s">
        <v>171</v>
      </c>
      <c r="K2" s="73" t="s">
        <v>56</v>
      </c>
      <c r="L2" s="74" t="s">
        <v>27</v>
      </c>
      <c r="M2" s="71" t="s">
        <v>57</v>
      </c>
      <c r="N2" s="74" t="s">
        <v>122</v>
      </c>
      <c r="O2" s="92" t="s">
        <v>82</v>
      </c>
    </row>
    <row r="3" spans="2:21" ht="14.4" hidden="1" thickTop="1" thickBot="1">
      <c r="B3" s="23"/>
      <c r="C3" s="30" t="s">
        <v>109</v>
      </c>
      <c r="D3" s="85"/>
      <c r="E3" s="12"/>
      <c r="F3" s="14"/>
      <c r="G3" s="12"/>
      <c r="H3" s="14"/>
      <c r="I3" s="12"/>
      <c r="J3" s="14"/>
      <c r="K3" s="12"/>
      <c r="L3" s="14"/>
      <c r="M3" s="31"/>
      <c r="N3" s="81"/>
      <c r="O3" s="93"/>
      <c r="U3" s="67" t="s">
        <v>99</v>
      </c>
    </row>
    <row r="4" spans="2:21" ht="13.8" thickTop="1">
      <c r="B4" s="80" t="s">
        <v>296</v>
      </c>
      <c r="C4" s="79" t="s">
        <v>295</v>
      </c>
      <c r="D4" s="90">
        <v>0</v>
      </c>
      <c r="E4" s="80" t="s">
        <v>131</v>
      </c>
      <c r="F4" s="149" t="s">
        <v>31</v>
      </c>
      <c r="G4" s="80" t="s">
        <v>131</v>
      </c>
      <c r="H4" s="148" t="s">
        <v>287</v>
      </c>
      <c r="I4" s="80" t="s">
        <v>131</v>
      </c>
      <c r="J4" s="148" t="s">
        <v>31</v>
      </c>
      <c r="K4" s="80" t="s">
        <v>131</v>
      </c>
      <c r="L4" s="148" t="s">
        <v>31</v>
      </c>
      <c r="M4" s="31">
        <f ca="1">LEN(N4)</f>
        <v>30</v>
      </c>
      <c r="N4" s="81" t="str">
        <f ca="1">VLOOKUP($B4,Matrix!$H$13:$I$35,2,FALSE)&amp;"_"&amp;C4</f>
        <v>ALERT_REQ_S_ADBZR_LTA_BLKA_DBL</v>
      </c>
      <c r="O4" s="93" t="str">
        <f t="shared" ref="O4:O36" ca="1" si="0">"#define "&amp;N4&amp;REPT(" ",48-M4)&amp;"("&amp;D4&amp;"U)"</f>
        <v>#define ALERT_REQ_S_ADBZR_LTA_BLKA_DBL                  (0U)</v>
      </c>
      <c r="U4" s="67" t="s">
        <v>99</v>
      </c>
    </row>
    <row r="5" spans="2:21">
      <c r="B5" s="80" t="s">
        <v>293</v>
      </c>
      <c r="C5" s="79" t="s">
        <v>236</v>
      </c>
      <c r="D5" s="91">
        <v>0</v>
      </c>
      <c r="E5" s="80" t="s">
        <v>131</v>
      </c>
      <c r="F5" s="149" t="s">
        <v>31</v>
      </c>
      <c r="G5" s="80" t="s">
        <v>131</v>
      </c>
      <c r="H5" s="148" t="s">
        <v>288</v>
      </c>
      <c r="I5" s="80" t="s">
        <v>131</v>
      </c>
      <c r="J5" s="148" t="s">
        <v>31</v>
      </c>
      <c r="K5" s="80" t="s">
        <v>131</v>
      </c>
      <c r="L5" s="148" t="s">
        <v>31</v>
      </c>
      <c r="M5" s="26">
        <f t="shared" ref="M5:M54" ca="1" si="1">LEN(N5)</f>
        <v>31</v>
      </c>
      <c r="N5" s="81" t="str">
        <f ca="1">VLOOKUP($B5,Matrix!$H$13:$I$35,2,FALSE)&amp;"_"&amp;C5</f>
        <v>ALERT_REQ_S_ADBZR_LTA_BLTA_PTN1</v>
      </c>
      <c r="O5" s="94" t="str">
        <f t="shared" ca="1" si="0"/>
        <v>#define ALERT_REQ_S_ADBZR_LTA_BLTA_PTN1                 (0U)</v>
      </c>
      <c r="U5" s="65" t="s">
        <v>100</v>
      </c>
    </row>
    <row r="6" spans="2:21">
      <c r="B6" s="80" t="s">
        <v>293</v>
      </c>
      <c r="C6" s="79" t="s">
        <v>238</v>
      </c>
      <c r="D6" s="91">
        <v>1</v>
      </c>
      <c r="E6" s="80" t="s">
        <v>131</v>
      </c>
      <c r="F6" s="149" t="s">
        <v>31</v>
      </c>
      <c r="G6" s="80" t="s">
        <v>131</v>
      </c>
      <c r="H6" s="148" t="s">
        <v>289</v>
      </c>
      <c r="I6" s="80" t="s">
        <v>131</v>
      </c>
      <c r="J6" s="148" t="s">
        <v>31</v>
      </c>
      <c r="K6" s="80" t="s">
        <v>131</v>
      </c>
      <c r="L6" s="148" t="s">
        <v>31</v>
      </c>
      <c r="M6" s="26">
        <f t="shared" ca="1" si="1"/>
        <v>31</v>
      </c>
      <c r="N6" s="81" t="str">
        <f ca="1">VLOOKUP($B6,Matrix!$H$13:$I$35,2,FALSE)&amp;"_"&amp;C6</f>
        <v>ALERT_REQ_S_ADBZR_LTA_BLTA_PTN2</v>
      </c>
      <c r="O6" s="94" t="str">
        <f t="shared" ca="1" si="0"/>
        <v>#define ALERT_REQ_S_ADBZR_LTA_BLTA_PTN2                 (1U)</v>
      </c>
      <c r="U6" s="24" t="s">
        <v>101</v>
      </c>
    </row>
    <row r="7" spans="2:21">
      <c r="B7" s="80" t="s">
        <v>293</v>
      </c>
      <c r="C7" s="79" t="s">
        <v>240</v>
      </c>
      <c r="D7" s="91">
        <v>2</v>
      </c>
      <c r="E7" s="80" t="s">
        <v>131</v>
      </c>
      <c r="F7" s="149" t="s">
        <v>31</v>
      </c>
      <c r="G7" s="80" t="s">
        <v>131</v>
      </c>
      <c r="H7" s="148" t="s">
        <v>290</v>
      </c>
      <c r="I7" s="80" t="s">
        <v>131</v>
      </c>
      <c r="J7" s="148" t="s">
        <v>31</v>
      </c>
      <c r="K7" s="80" t="s">
        <v>131</v>
      </c>
      <c r="L7" s="148" t="s">
        <v>31</v>
      </c>
      <c r="M7" s="26">
        <f t="shared" ca="1" si="1"/>
        <v>31</v>
      </c>
      <c r="N7" s="81" t="str">
        <f ca="1">VLOOKUP($B7,Matrix!$H$13:$I$35,2,FALSE)&amp;"_"&amp;C7</f>
        <v>ALERT_REQ_S_ADBZR_LTA_BLTA_PTN3</v>
      </c>
      <c r="O7" s="94" t="str">
        <f t="shared" ca="1" si="0"/>
        <v>#define ALERT_REQ_S_ADBZR_LTA_BLTA_PTN3                 (2U)</v>
      </c>
      <c r="U7" s="24" t="s">
        <v>102</v>
      </c>
    </row>
    <row r="8" spans="2:21">
      <c r="B8" s="80"/>
      <c r="C8" s="79"/>
      <c r="D8" s="91"/>
      <c r="E8" s="80"/>
      <c r="F8" s="148"/>
      <c r="G8" s="80"/>
      <c r="H8" s="148"/>
      <c r="I8" s="80"/>
      <c r="J8" s="148"/>
      <c r="K8" s="80"/>
      <c r="L8" s="148"/>
      <c r="M8" s="26" t="e">
        <f t="shared" ca="1" si="1"/>
        <v>#N/A</v>
      </c>
      <c r="N8" s="81" t="e">
        <f ca="1">VLOOKUP($B8,Matrix!$H$13:$I$35,2,FALSE)&amp;"_"&amp;C8</f>
        <v>#N/A</v>
      </c>
      <c r="O8" s="94" t="e">
        <f t="shared" ca="1" si="0"/>
        <v>#N/A</v>
      </c>
      <c r="U8" s="24" t="s">
        <v>103</v>
      </c>
    </row>
    <row r="9" spans="2:21">
      <c r="B9" s="80"/>
      <c r="C9" s="79"/>
      <c r="D9" s="91"/>
      <c r="E9" s="80"/>
      <c r="F9" s="148"/>
      <c r="G9" s="80"/>
      <c r="H9" s="148"/>
      <c r="I9" s="80"/>
      <c r="J9" s="148"/>
      <c r="K9" s="80"/>
      <c r="L9" s="148"/>
      <c r="M9" s="26" t="e">
        <f t="shared" ca="1" si="1"/>
        <v>#N/A</v>
      </c>
      <c r="N9" s="81" t="e">
        <f ca="1">VLOOKUP($B9,Matrix!$H$13:$I$35,2,FALSE)&amp;"_"&amp;C9</f>
        <v>#N/A</v>
      </c>
      <c r="O9" s="94" t="e">
        <f t="shared" ca="1" si="0"/>
        <v>#N/A</v>
      </c>
      <c r="U9" s="24" t="s">
        <v>104</v>
      </c>
    </row>
    <row r="10" spans="2:21">
      <c r="B10" s="80"/>
      <c r="C10" s="79"/>
      <c r="D10" s="91"/>
      <c r="E10" s="80"/>
      <c r="F10" s="148"/>
      <c r="G10" s="80"/>
      <c r="H10" s="148"/>
      <c r="I10" s="80"/>
      <c r="J10" s="148"/>
      <c r="K10" s="80"/>
      <c r="L10" s="148"/>
      <c r="M10" s="26" t="e">
        <f t="shared" ca="1" si="1"/>
        <v>#N/A</v>
      </c>
      <c r="N10" s="81" t="e">
        <f ca="1">VLOOKUP($B10,Matrix!$H$13:$I$35,2,FALSE)&amp;"_"&amp;C10</f>
        <v>#N/A</v>
      </c>
      <c r="O10" s="94" t="e">
        <f t="shared" ca="1" si="0"/>
        <v>#N/A</v>
      </c>
      <c r="U10" s="24"/>
    </row>
    <row r="11" spans="2:21">
      <c r="B11" s="80"/>
      <c r="C11" s="79"/>
      <c r="D11" s="91"/>
      <c r="E11" s="80"/>
      <c r="F11" s="148"/>
      <c r="G11" s="80"/>
      <c r="H11" s="148"/>
      <c r="I11" s="80"/>
      <c r="J11" s="148"/>
      <c r="K11" s="80"/>
      <c r="L11" s="148"/>
      <c r="M11" s="26" t="e">
        <f t="shared" ca="1" si="1"/>
        <v>#N/A</v>
      </c>
      <c r="N11" s="81" t="e">
        <f ca="1">VLOOKUP($B11,Matrix!$H$13:$I$35,2,FALSE)&amp;"_"&amp;C11</f>
        <v>#N/A</v>
      </c>
      <c r="O11" s="94" t="e">
        <f t="shared" ca="1" si="0"/>
        <v>#N/A</v>
      </c>
      <c r="U11" s="24"/>
    </row>
    <row r="12" spans="2:21">
      <c r="B12" s="80"/>
      <c r="C12" s="79"/>
      <c r="D12" s="91"/>
      <c r="E12" s="80"/>
      <c r="F12" s="148"/>
      <c r="G12" s="80"/>
      <c r="H12" s="148"/>
      <c r="I12" s="80"/>
      <c r="J12" s="148"/>
      <c r="K12" s="80"/>
      <c r="L12" s="148"/>
      <c r="M12" s="26" t="e">
        <f t="shared" ca="1" si="1"/>
        <v>#N/A</v>
      </c>
      <c r="N12" s="81" t="e">
        <f ca="1">VLOOKUP($B12,Matrix!$H$13:$I$35,2,FALSE)&amp;"_"&amp;C12</f>
        <v>#N/A</v>
      </c>
      <c r="O12" s="94" t="e">
        <f t="shared" ca="1" si="0"/>
        <v>#N/A</v>
      </c>
      <c r="U12" s="24"/>
    </row>
    <row r="13" spans="2:21" ht="13.8" thickBot="1">
      <c r="B13" s="80"/>
      <c r="C13" s="79"/>
      <c r="D13" s="91"/>
      <c r="E13" s="80"/>
      <c r="F13" s="148"/>
      <c r="G13" s="80"/>
      <c r="H13" s="148"/>
      <c r="I13" s="80"/>
      <c r="J13" s="148"/>
      <c r="K13" s="80"/>
      <c r="L13" s="148"/>
      <c r="M13" s="26" t="e">
        <f t="shared" ca="1" si="1"/>
        <v>#N/A</v>
      </c>
      <c r="N13" s="81" t="e">
        <f ca="1">VLOOKUP($B13,Matrix!$H$13:$I$35,2,FALSE)&amp;"_"&amp;C13</f>
        <v>#N/A</v>
      </c>
      <c r="O13" s="94" t="e">
        <f t="shared" ca="1" si="0"/>
        <v>#N/A</v>
      </c>
      <c r="U13" s="66"/>
    </row>
    <row r="14" spans="2:21">
      <c r="B14" s="80"/>
      <c r="C14" s="79"/>
      <c r="D14" s="91"/>
      <c r="E14" s="80"/>
      <c r="F14" s="148"/>
      <c r="G14" s="80"/>
      <c r="H14" s="148"/>
      <c r="I14" s="80"/>
      <c r="J14" s="148"/>
      <c r="K14" s="80"/>
      <c r="L14" s="148"/>
      <c r="M14" s="26" t="e">
        <f t="shared" ca="1" si="1"/>
        <v>#N/A</v>
      </c>
      <c r="N14" s="81" t="e">
        <f ca="1">VLOOKUP($B14,Matrix!$H$13:$I$35,2,FALSE)&amp;"_"&amp;C14</f>
        <v>#N/A</v>
      </c>
      <c r="O14" s="94" t="e">
        <f t="shared" ca="1" si="0"/>
        <v>#N/A</v>
      </c>
    </row>
    <row r="15" spans="2:21">
      <c r="B15" s="80"/>
      <c r="C15" s="79"/>
      <c r="D15" s="91"/>
      <c r="E15" s="80"/>
      <c r="F15" s="148"/>
      <c r="G15" s="80"/>
      <c r="H15" s="148"/>
      <c r="I15" s="80"/>
      <c r="J15" s="148"/>
      <c r="K15" s="80"/>
      <c r="L15" s="148"/>
      <c r="M15" s="26" t="e">
        <f t="shared" ca="1" si="1"/>
        <v>#N/A</v>
      </c>
      <c r="N15" s="81" t="e">
        <f ca="1">VLOOKUP($B15,Matrix!$H$13:$I$35,2,FALSE)&amp;"_"&amp;C15</f>
        <v>#N/A</v>
      </c>
      <c r="O15" s="94" t="e">
        <f t="shared" ca="1" si="0"/>
        <v>#N/A</v>
      </c>
    </row>
    <row r="16" spans="2:21">
      <c r="B16" s="80"/>
      <c r="C16" s="79"/>
      <c r="D16" s="91"/>
      <c r="E16" s="80"/>
      <c r="F16" s="148"/>
      <c r="G16" s="80"/>
      <c r="H16" s="148"/>
      <c r="I16" s="80"/>
      <c r="J16" s="148"/>
      <c r="K16" s="80"/>
      <c r="L16" s="148"/>
      <c r="M16" s="26" t="e">
        <f t="shared" ca="1" si="1"/>
        <v>#N/A</v>
      </c>
      <c r="N16" s="81" t="e">
        <f ca="1">VLOOKUP($B16,Matrix!$H$13:$I$35,2,FALSE)&amp;"_"&amp;C16</f>
        <v>#N/A</v>
      </c>
      <c r="O16" s="94" t="e">
        <f t="shared" ca="1" si="0"/>
        <v>#N/A</v>
      </c>
    </row>
    <row r="17" spans="2:15">
      <c r="B17" s="80"/>
      <c r="C17" s="79"/>
      <c r="D17" s="91"/>
      <c r="E17" s="80"/>
      <c r="F17" s="148"/>
      <c r="G17" s="80"/>
      <c r="H17" s="148"/>
      <c r="I17" s="80"/>
      <c r="J17" s="148"/>
      <c r="K17" s="80"/>
      <c r="L17" s="148"/>
      <c r="M17" s="26" t="e">
        <f t="shared" ca="1" si="1"/>
        <v>#N/A</v>
      </c>
      <c r="N17" s="81" t="e">
        <f ca="1">VLOOKUP($B17,Matrix!$H$13:$I$35,2,FALSE)&amp;"_"&amp;C17</f>
        <v>#N/A</v>
      </c>
      <c r="O17" s="94" t="e">
        <f t="shared" ca="1" si="0"/>
        <v>#N/A</v>
      </c>
    </row>
    <row r="18" spans="2:15">
      <c r="B18" s="80"/>
      <c r="C18" s="79"/>
      <c r="D18" s="90"/>
      <c r="E18" s="80"/>
      <c r="F18" s="148"/>
      <c r="G18" s="80"/>
      <c r="H18" s="148"/>
      <c r="I18" s="80"/>
      <c r="J18" s="148"/>
      <c r="K18" s="80"/>
      <c r="L18" s="148"/>
      <c r="M18" s="26" t="e">
        <f t="shared" ca="1" si="1"/>
        <v>#N/A</v>
      </c>
      <c r="N18" s="81" t="e">
        <f ca="1">VLOOKUP($B18,Matrix!$H$13:$I$35,2,FALSE)&amp;"_"&amp;C18</f>
        <v>#N/A</v>
      </c>
      <c r="O18" s="94" t="e">
        <f t="shared" ca="1" si="0"/>
        <v>#N/A</v>
      </c>
    </row>
    <row r="19" spans="2:15">
      <c r="B19" s="80"/>
      <c r="C19" s="79"/>
      <c r="D19" s="90"/>
      <c r="E19" s="80"/>
      <c r="F19" s="148"/>
      <c r="G19" s="80"/>
      <c r="H19" s="148"/>
      <c r="I19" s="80"/>
      <c r="J19" s="148"/>
      <c r="K19" s="80"/>
      <c r="L19" s="148"/>
      <c r="M19" s="26" t="e">
        <f t="shared" ca="1" si="1"/>
        <v>#N/A</v>
      </c>
      <c r="N19" s="81" t="e">
        <f ca="1">VLOOKUP($B19,Matrix!$H$13:$I$35,2,FALSE)&amp;"_"&amp;C19</f>
        <v>#N/A</v>
      </c>
      <c r="O19" s="94" t="e">
        <f t="shared" ca="1" si="0"/>
        <v>#N/A</v>
      </c>
    </row>
    <row r="20" spans="2:15">
      <c r="B20" s="80"/>
      <c r="C20" s="79"/>
      <c r="D20" s="90"/>
      <c r="E20" s="80"/>
      <c r="F20" s="148"/>
      <c r="G20" s="80"/>
      <c r="H20" s="148"/>
      <c r="I20" s="80"/>
      <c r="J20" s="148"/>
      <c r="K20" s="80"/>
      <c r="L20" s="148"/>
      <c r="M20" s="26" t="e">
        <f t="shared" ca="1" si="1"/>
        <v>#N/A</v>
      </c>
      <c r="N20" s="81" t="e">
        <f ca="1">VLOOKUP($B20,Matrix!$H$13:$I$35,2,FALSE)&amp;"_"&amp;C20</f>
        <v>#N/A</v>
      </c>
      <c r="O20" s="94" t="e">
        <f t="shared" ca="1" si="0"/>
        <v>#N/A</v>
      </c>
    </row>
    <row r="21" spans="2:15">
      <c r="B21" s="80"/>
      <c r="C21" s="79"/>
      <c r="D21" s="90"/>
      <c r="E21" s="80"/>
      <c r="F21" s="148"/>
      <c r="G21" s="80"/>
      <c r="H21" s="148"/>
      <c r="I21" s="80"/>
      <c r="J21" s="148"/>
      <c r="K21" s="80"/>
      <c r="L21" s="148"/>
      <c r="M21" s="26" t="e">
        <f t="shared" ca="1" si="1"/>
        <v>#N/A</v>
      </c>
      <c r="N21" s="81" t="e">
        <f ca="1">VLOOKUP($B21,Matrix!$H$13:$I$35,2,FALSE)&amp;"_"&amp;C21</f>
        <v>#N/A</v>
      </c>
      <c r="O21" s="94" t="e">
        <f t="shared" ca="1" si="0"/>
        <v>#N/A</v>
      </c>
    </row>
    <row r="22" spans="2:15">
      <c r="B22" s="80"/>
      <c r="C22" s="79"/>
      <c r="D22" s="90"/>
      <c r="E22" s="80"/>
      <c r="F22" s="148"/>
      <c r="G22" s="80"/>
      <c r="H22" s="148"/>
      <c r="I22" s="80"/>
      <c r="J22" s="148"/>
      <c r="K22" s="80"/>
      <c r="L22" s="148"/>
      <c r="M22" s="26" t="e">
        <f t="shared" ca="1" si="1"/>
        <v>#N/A</v>
      </c>
      <c r="N22" s="81" t="e">
        <f ca="1">VLOOKUP($B22,Matrix!$H$13:$I$35,2,FALSE)&amp;"_"&amp;C22</f>
        <v>#N/A</v>
      </c>
      <c r="O22" s="94" t="e">
        <f t="shared" ca="1" si="0"/>
        <v>#N/A</v>
      </c>
    </row>
    <row r="23" spans="2:15">
      <c r="B23" s="80"/>
      <c r="C23" s="79"/>
      <c r="D23" s="90"/>
      <c r="E23" s="80"/>
      <c r="F23" s="148"/>
      <c r="G23" s="80"/>
      <c r="H23" s="148"/>
      <c r="I23" s="80"/>
      <c r="J23" s="148"/>
      <c r="K23" s="80"/>
      <c r="L23" s="148"/>
      <c r="M23" s="26" t="e">
        <f t="shared" ca="1" si="1"/>
        <v>#N/A</v>
      </c>
      <c r="N23" s="81" t="e">
        <f ca="1">VLOOKUP($B23,Matrix!$H$13:$I$35,2,FALSE)&amp;"_"&amp;C23</f>
        <v>#N/A</v>
      </c>
      <c r="O23" s="94" t="e">
        <f t="shared" ca="1" si="0"/>
        <v>#N/A</v>
      </c>
    </row>
    <row r="24" spans="2:15">
      <c r="B24" s="80"/>
      <c r="C24" s="79"/>
      <c r="D24" s="86"/>
      <c r="E24" s="80"/>
      <c r="F24" s="148"/>
      <c r="G24" s="80"/>
      <c r="H24" s="148"/>
      <c r="I24" s="80"/>
      <c r="J24" s="216"/>
      <c r="K24" s="80"/>
      <c r="L24" s="148"/>
      <c r="M24" s="26" t="e">
        <f t="shared" ca="1" si="1"/>
        <v>#N/A</v>
      </c>
      <c r="N24" s="81" t="e">
        <f ca="1">VLOOKUP($B24,Matrix!$H$13:$I$35,2,FALSE)&amp;"_"&amp;C24</f>
        <v>#N/A</v>
      </c>
      <c r="O24" s="94" t="e">
        <f t="shared" ca="1" si="0"/>
        <v>#N/A</v>
      </c>
    </row>
    <row r="25" spans="2:15">
      <c r="B25" s="80"/>
      <c r="C25" s="79"/>
      <c r="D25" s="86"/>
      <c r="E25" s="80"/>
      <c r="F25" s="148"/>
      <c r="G25" s="80"/>
      <c r="H25" s="148"/>
      <c r="I25" s="80"/>
      <c r="J25" s="216"/>
      <c r="K25" s="80"/>
      <c r="L25" s="148"/>
      <c r="M25" s="26" t="e">
        <f t="shared" ref="M25" ca="1" si="2">LEN(N25)</f>
        <v>#N/A</v>
      </c>
      <c r="N25" s="81" t="e">
        <f ca="1">VLOOKUP($B25,Matrix!$H$13:$I$35,2,FALSE)&amp;"_"&amp;C25</f>
        <v>#N/A</v>
      </c>
      <c r="O25" s="94" t="e">
        <f t="shared" ref="O25" ca="1" si="3">"#define "&amp;N25&amp;REPT(" ",48-M25)&amp;"("&amp;D25&amp;"U)"</f>
        <v>#N/A</v>
      </c>
    </row>
    <row r="26" spans="2:15">
      <c r="B26" s="80"/>
      <c r="C26" s="79"/>
      <c r="D26" s="86"/>
      <c r="E26" s="80"/>
      <c r="F26" s="148"/>
      <c r="G26" s="80"/>
      <c r="H26" s="148"/>
      <c r="I26" s="80"/>
      <c r="J26" s="148"/>
      <c r="K26" s="80"/>
      <c r="L26" s="148"/>
      <c r="M26" s="26" t="e">
        <f t="shared" ca="1" si="1"/>
        <v>#N/A</v>
      </c>
      <c r="N26" s="81" t="e">
        <f ca="1">VLOOKUP($B26,Matrix!$H$13:$I$35,2,FALSE)&amp;"_"&amp;C26</f>
        <v>#N/A</v>
      </c>
      <c r="O26" s="94" t="e">
        <f t="shared" ca="1" si="0"/>
        <v>#N/A</v>
      </c>
    </row>
    <row r="27" spans="2:15">
      <c r="B27" s="80"/>
      <c r="C27" s="79"/>
      <c r="D27" s="86"/>
      <c r="E27" s="80"/>
      <c r="F27" s="148"/>
      <c r="G27" s="80"/>
      <c r="H27" s="148"/>
      <c r="I27" s="80"/>
      <c r="J27" s="148"/>
      <c r="K27" s="80"/>
      <c r="L27" s="148"/>
      <c r="M27" s="26" t="e">
        <f t="shared" ca="1" si="1"/>
        <v>#N/A</v>
      </c>
      <c r="N27" s="81" t="e">
        <f ca="1">VLOOKUP($B27,Matrix!$H$13:$I$35,2,FALSE)&amp;"_"&amp;C27</f>
        <v>#N/A</v>
      </c>
      <c r="O27" s="94" t="e">
        <f t="shared" ca="1" si="0"/>
        <v>#N/A</v>
      </c>
    </row>
    <row r="28" spans="2:15">
      <c r="B28" s="80"/>
      <c r="C28" s="79"/>
      <c r="D28" s="86"/>
      <c r="E28" s="80"/>
      <c r="F28" s="148"/>
      <c r="G28" s="80"/>
      <c r="H28" s="148"/>
      <c r="I28" s="80"/>
      <c r="J28" s="148"/>
      <c r="K28" s="80"/>
      <c r="L28" s="148"/>
      <c r="M28" s="26" t="e">
        <f t="shared" ca="1" si="1"/>
        <v>#N/A</v>
      </c>
      <c r="N28" s="81" t="e">
        <f ca="1">VLOOKUP($B28,Matrix!$H$13:$I$35,2,FALSE)&amp;"_"&amp;C28</f>
        <v>#N/A</v>
      </c>
      <c r="O28" s="94" t="e">
        <f t="shared" ca="1" si="0"/>
        <v>#N/A</v>
      </c>
    </row>
    <row r="29" spans="2:15">
      <c r="B29" s="80"/>
      <c r="C29" s="79"/>
      <c r="D29" s="86"/>
      <c r="E29" s="80"/>
      <c r="F29" s="148"/>
      <c r="G29" s="80"/>
      <c r="H29" s="148"/>
      <c r="I29" s="80"/>
      <c r="J29" s="148"/>
      <c r="K29" s="80"/>
      <c r="L29" s="148"/>
      <c r="M29" s="26" t="e">
        <f t="shared" ca="1" si="1"/>
        <v>#N/A</v>
      </c>
      <c r="N29" s="81" t="e">
        <f ca="1">VLOOKUP($B29,Matrix!$H$13:$I$35,2,FALSE)&amp;"_"&amp;C29</f>
        <v>#N/A</v>
      </c>
      <c r="O29" s="94" t="e">
        <f t="shared" ca="1" si="0"/>
        <v>#N/A</v>
      </c>
    </row>
    <row r="30" spans="2:15">
      <c r="B30" s="80"/>
      <c r="C30" s="79"/>
      <c r="D30" s="86"/>
      <c r="E30" s="80"/>
      <c r="F30" s="148"/>
      <c r="G30" s="80"/>
      <c r="H30" s="148"/>
      <c r="I30" s="80"/>
      <c r="J30" s="148"/>
      <c r="K30" s="80"/>
      <c r="L30" s="148"/>
      <c r="M30" s="26" t="e">
        <f t="shared" ca="1" si="1"/>
        <v>#N/A</v>
      </c>
      <c r="N30" s="81" t="e">
        <f ca="1">VLOOKUP($B30,Matrix!$H$13:$I$35,2,FALSE)&amp;"_"&amp;C30</f>
        <v>#N/A</v>
      </c>
      <c r="O30" s="94" t="e">
        <f t="shared" ca="1" si="0"/>
        <v>#N/A</v>
      </c>
    </row>
    <row r="31" spans="2:15">
      <c r="B31" s="80"/>
      <c r="C31" s="79"/>
      <c r="D31" s="86"/>
      <c r="E31" s="80"/>
      <c r="F31" s="148"/>
      <c r="G31" s="80"/>
      <c r="H31" s="148"/>
      <c r="I31" s="80"/>
      <c r="J31" s="148"/>
      <c r="K31" s="80"/>
      <c r="L31" s="148"/>
      <c r="M31" s="26" t="e">
        <f t="shared" ca="1" si="1"/>
        <v>#N/A</v>
      </c>
      <c r="N31" s="81" t="e">
        <f ca="1">VLOOKUP($B31,Matrix!$H$13:$I$35,2,FALSE)&amp;"_"&amp;C31</f>
        <v>#N/A</v>
      </c>
      <c r="O31" s="94" t="e">
        <f t="shared" ca="1" si="0"/>
        <v>#N/A</v>
      </c>
    </row>
    <row r="32" spans="2:15">
      <c r="B32" s="80"/>
      <c r="C32" s="79"/>
      <c r="D32" s="86"/>
      <c r="E32" s="80"/>
      <c r="F32" s="148"/>
      <c r="G32" s="80"/>
      <c r="H32" s="148"/>
      <c r="I32" s="80"/>
      <c r="J32" s="148"/>
      <c r="K32" s="80"/>
      <c r="L32" s="148"/>
      <c r="M32" s="26" t="e">
        <f t="shared" ca="1" si="1"/>
        <v>#N/A</v>
      </c>
      <c r="N32" s="81" t="e">
        <f ca="1">VLOOKUP($B32,Matrix!$H$13:$I$35,2,FALSE)&amp;"_"&amp;C32</f>
        <v>#N/A</v>
      </c>
      <c r="O32" s="94" t="e">
        <f t="shared" ca="1" si="0"/>
        <v>#N/A</v>
      </c>
    </row>
    <row r="33" spans="2:15">
      <c r="B33" s="80"/>
      <c r="C33" s="79"/>
      <c r="D33" s="86"/>
      <c r="E33" s="80"/>
      <c r="F33" s="148"/>
      <c r="G33" s="80"/>
      <c r="H33" s="148"/>
      <c r="I33" s="80"/>
      <c r="J33" s="148"/>
      <c r="K33" s="80"/>
      <c r="L33" s="148"/>
      <c r="M33" s="26" t="e">
        <f t="shared" ca="1" si="1"/>
        <v>#N/A</v>
      </c>
      <c r="N33" s="81" t="e">
        <f ca="1">VLOOKUP($B33,Matrix!$H$13:$I$35,2,FALSE)&amp;"_"&amp;C33</f>
        <v>#N/A</v>
      </c>
      <c r="O33" s="94" t="e">
        <f t="shared" ca="1" si="0"/>
        <v>#N/A</v>
      </c>
    </row>
    <row r="34" spans="2:15">
      <c r="B34" s="80"/>
      <c r="C34" s="79"/>
      <c r="D34" s="86"/>
      <c r="E34" s="80"/>
      <c r="F34" s="148"/>
      <c r="G34" s="80"/>
      <c r="H34" s="148"/>
      <c r="I34" s="80"/>
      <c r="J34" s="148"/>
      <c r="K34" s="80"/>
      <c r="L34" s="148"/>
      <c r="M34" s="26" t="e">
        <f t="shared" ca="1" si="1"/>
        <v>#N/A</v>
      </c>
      <c r="N34" s="81" t="e">
        <f ca="1">VLOOKUP($B34,Matrix!$H$13:$I$35,2,FALSE)&amp;"_"&amp;C34</f>
        <v>#N/A</v>
      </c>
      <c r="O34" s="94" t="e">
        <f t="shared" ca="1" si="0"/>
        <v>#N/A</v>
      </c>
    </row>
    <row r="35" spans="2:15">
      <c r="B35" s="80"/>
      <c r="C35" s="79"/>
      <c r="D35" s="86"/>
      <c r="E35" s="80"/>
      <c r="F35" s="148"/>
      <c r="G35" s="80"/>
      <c r="H35" s="148"/>
      <c r="I35" s="80"/>
      <c r="J35" s="148"/>
      <c r="K35" s="80"/>
      <c r="L35" s="148"/>
      <c r="M35" s="26" t="e">
        <f t="shared" ca="1" si="1"/>
        <v>#N/A</v>
      </c>
      <c r="N35" s="81" t="e">
        <f ca="1">VLOOKUP($B35,Matrix!$H$13:$I$35,2,FALSE)&amp;"_"&amp;C35</f>
        <v>#N/A</v>
      </c>
      <c r="O35" s="94" t="e">
        <f t="shared" ca="1" si="0"/>
        <v>#N/A</v>
      </c>
    </row>
    <row r="36" spans="2:15">
      <c r="B36" s="80"/>
      <c r="C36" s="79"/>
      <c r="D36" s="86"/>
      <c r="E36" s="80"/>
      <c r="F36" s="148"/>
      <c r="G36" s="80"/>
      <c r="H36" s="148"/>
      <c r="I36" s="80"/>
      <c r="J36" s="148"/>
      <c r="K36" s="80"/>
      <c r="L36" s="148"/>
      <c r="M36" s="26" t="e">
        <f t="shared" ca="1" si="1"/>
        <v>#N/A</v>
      </c>
      <c r="N36" s="81" t="e">
        <f ca="1">VLOOKUP($B36,Matrix!$H$13:$I$35,2,FALSE)&amp;"_"&amp;C36</f>
        <v>#N/A</v>
      </c>
      <c r="O36" s="94" t="e">
        <f t="shared" ca="1" si="0"/>
        <v>#N/A</v>
      </c>
    </row>
    <row r="37" spans="2:15">
      <c r="B37" s="80"/>
      <c r="C37" s="79"/>
      <c r="D37" s="86"/>
      <c r="E37" s="80"/>
      <c r="F37" s="148"/>
      <c r="G37" s="80"/>
      <c r="H37" s="148"/>
      <c r="I37" s="80"/>
      <c r="J37" s="148"/>
      <c r="K37" s="80"/>
      <c r="L37" s="148"/>
      <c r="M37" s="26" t="e">
        <f t="shared" ca="1" si="1"/>
        <v>#N/A</v>
      </c>
      <c r="N37" s="81" t="e">
        <f ca="1">VLOOKUP($B37,Matrix!$H$13:$I$35,2,FALSE)&amp;"_"&amp;C37</f>
        <v>#N/A</v>
      </c>
      <c r="O37" s="94" t="e">
        <f t="shared" ref="O37:O53" ca="1" si="4">"#define "&amp;N37&amp;REPT(" ",48-M37)&amp;"("&amp;D37&amp;"U)"</f>
        <v>#N/A</v>
      </c>
    </row>
    <row r="38" spans="2:15">
      <c r="B38" s="80"/>
      <c r="C38" s="79"/>
      <c r="D38" s="86"/>
      <c r="E38" s="80"/>
      <c r="F38" s="148"/>
      <c r="G38" s="80"/>
      <c r="H38" s="148"/>
      <c r="I38" s="80"/>
      <c r="J38" s="148"/>
      <c r="K38" s="80"/>
      <c r="L38" s="148"/>
      <c r="M38" s="26" t="e">
        <f t="shared" ca="1" si="1"/>
        <v>#N/A</v>
      </c>
      <c r="N38" s="81" t="e">
        <f ca="1">VLOOKUP($B38,Matrix!$H$13:$I$35,2,FALSE)&amp;"_"&amp;C38</f>
        <v>#N/A</v>
      </c>
      <c r="O38" s="94" t="e">
        <f t="shared" ca="1" si="4"/>
        <v>#N/A</v>
      </c>
    </row>
    <row r="39" spans="2:15">
      <c r="B39" s="80"/>
      <c r="C39" s="79"/>
      <c r="D39" s="86"/>
      <c r="E39" s="80"/>
      <c r="F39" s="148"/>
      <c r="G39" s="80"/>
      <c r="H39" s="148"/>
      <c r="I39" s="80"/>
      <c r="J39" s="148"/>
      <c r="K39" s="80"/>
      <c r="L39" s="148"/>
      <c r="M39" s="26" t="e">
        <f t="shared" ca="1" si="1"/>
        <v>#N/A</v>
      </c>
      <c r="N39" s="81" t="e">
        <f ca="1">VLOOKUP($B39,Matrix!$H$13:$I$35,2,FALSE)&amp;"_"&amp;C39</f>
        <v>#N/A</v>
      </c>
      <c r="O39" s="94" t="e">
        <f t="shared" ca="1" si="4"/>
        <v>#N/A</v>
      </c>
    </row>
    <row r="40" spans="2:15">
      <c r="B40" s="80"/>
      <c r="C40" s="79"/>
      <c r="D40" s="90"/>
      <c r="E40" s="80"/>
      <c r="F40" s="148"/>
      <c r="G40" s="80"/>
      <c r="H40" s="148"/>
      <c r="I40" s="80"/>
      <c r="J40" s="148"/>
      <c r="K40" s="80"/>
      <c r="L40" s="148"/>
      <c r="M40" s="26" t="e">
        <f t="shared" ca="1" si="1"/>
        <v>#N/A</v>
      </c>
      <c r="N40" s="81" t="e">
        <f ca="1">VLOOKUP($B40,Matrix!$H$13:$I$35,2,FALSE)&amp;"_"&amp;C40</f>
        <v>#N/A</v>
      </c>
      <c r="O40" s="94" t="e">
        <f t="shared" ca="1" si="4"/>
        <v>#N/A</v>
      </c>
    </row>
    <row r="41" spans="2:15">
      <c r="B41" s="80"/>
      <c r="C41" s="79"/>
      <c r="D41" s="90"/>
      <c r="E41" s="80"/>
      <c r="F41" s="148"/>
      <c r="G41" s="80"/>
      <c r="H41" s="148"/>
      <c r="I41" s="80"/>
      <c r="J41" s="148"/>
      <c r="K41" s="80"/>
      <c r="L41" s="148"/>
      <c r="M41" s="26" t="e">
        <f t="shared" ca="1" si="1"/>
        <v>#N/A</v>
      </c>
      <c r="N41" s="81" t="e">
        <f ca="1">VLOOKUP($B41,Matrix!$H$13:$I$35,2,FALSE)&amp;"_"&amp;C41</f>
        <v>#N/A</v>
      </c>
      <c r="O41" s="94" t="e">
        <f t="shared" ca="1" si="4"/>
        <v>#N/A</v>
      </c>
    </row>
    <row r="42" spans="2:15">
      <c r="B42" s="80"/>
      <c r="C42" s="79"/>
      <c r="D42" s="91"/>
      <c r="E42" s="80"/>
      <c r="F42" s="148"/>
      <c r="G42" s="80"/>
      <c r="H42" s="148"/>
      <c r="I42" s="80"/>
      <c r="J42" s="148"/>
      <c r="K42" s="80"/>
      <c r="L42" s="148"/>
      <c r="M42" s="26" t="e">
        <f t="shared" ca="1" si="1"/>
        <v>#N/A</v>
      </c>
      <c r="N42" s="81" t="e">
        <f ca="1">VLOOKUP($B42,Matrix!$H$13:$I$35,2,FALSE)&amp;"_"&amp;C42</f>
        <v>#N/A</v>
      </c>
      <c r="O42" s="94" t="e">
        <f t="shared" ca="1" si="4"/>
        <v>#N/A</v>
      </c>
    </row>
    <row r="43" spans="2:15">
      <c r="B43" s="80"/>
      <c r="C43" s="79"/>
      <c r="D43" s="91"/>
      <c r="E43" s="80"/>
      <c r="F43" s="148"/>
      <c r="G43" s="80"/>
      <c r="H43" s="148"/>
      <c r="I43" s="80"/>
      <c r="J43" s="148"/>
      <c r="K43" s="80"/>
      <c r="L43" s="148"/>
      <c r="M43" s="26" t="e">
        <f t="shared" ca="1" si="1"/>
        <v>#N/A</v>
      </c>
      <c r="N43" s="81" t="e">
        <f ca="1">VLOOKUP($B43,Matrix!$H$13:$I$35,2,FALSE)&amp;"_"&amp;C43</f>
        <v>#N/A</v>
      </c>
      <c r="O43" s="94" t="e">
        <f t="shared" ca="1" si="4"/>
        <v>#N/A</v>
      </c>
    </row>
    <row r="44" spans="2:15">
      <c r="B44" s="80"/>
      <c r="C44" s="79"/>
      <c r="D44" s="91"/>
      <c r="E44" s="80"/>
      <c r="F44" s="148"/>
      <c r="G44" s="80"/>
      <c r="H44" s="148"/>
      <c r="I44" s="80"/>
      <c r="J44" s="215"/>
      <c r="K44" s="80"/>
      <c r="L44" s="148"/>
      <c r="M44" s="26" t="e">
        <f t="shared" ca="1" si="1"/>
        <v>#N/A</v>
      </c>
      <c r="N44" s="81" t="e">
        <f ca="1">VLOOKUP($B44,Matrix!$H$13:$I$35,2,FALSE)&amp;"_"&amp;C44</f>
        <v>#N/A</v>
      </c>
      <c r="O44" s="94" t="e">
        <f ca="1">"#define "&amp;N44&amp;REPT(" ",48-M44)&amp;"("&amp;D44&amp;"U)"</f>
        <v>#N/A</v>
      </c>
    </row>
    <row r="45" spans="2:15">
      <c r="B45" s="80"/>
      <c r="C45" s="79"/>
      <c r="D45" s="91"/>
      <c r="E45" s="80"/>
      <c r="F45" s="148"/>
      <c r="G45" s="80"/>
      <c r="H45" s="148"/>
      <c r="I45" s="80"/>
      <c r="J45" s="215"/>
      <c r="K45" s="80"/>
      <c r="L45" s="148"/>
      <c r="M45" s="26" t="e">
        <f t="shared" ref="M45" ca="1" si="5">LEN(N45)</f>
        <v>#N/A</v>
      </c>
      <c r="N45" s="81" t="e">
        <f ca="1">VLOOKUP($B45,Matrix!$H$13:$I$35,2,FALSE)&amp;"_"&amp;C45</f>
        <v>#N/A</v>
      </c>
      <c r="O45" s="94" t="e">
        <f ca="1">"#define "&amp;N45&amp;REPT(" ",48-M45)&amp;"("&amp;D45&amp;"U)"</f>
        <v>#N/A</v>
      </c>
    </row>
    <row r="46" spans="2:15">
      <c r="B46" s="80"/>
      <c r="C46" s="79"/>
      <c r="D46" s="91"/>
      <c r="E46" s="80"/>
      <c r="F46" s="148"/>
      <c r="G46" s="80"/>
      <c r="H46" s="148"/>
      <c r="I46" s="80"/>
      <c r="J46" s="216"/>
      <c r="K46" s="80"/>
      <c r="L46" s="148"/>
      <c r="M46" s="26" t="e">
        <f t="shared" ca="1" si="1"/>
        <v>#N/A</v>
      </c>
      <c r="N46" s="81" t="e">
        <f ca="1">VLOOKUP($B46,Matrix!$H$13:$I$35,2,FALSE)&amp;"_"&amp;C46</f>
        <v>#N/A</v>
      </c>
      <c r="O46" s="94" t="e">
        <f t="shared" ca="1" si="4"/>
        <v>#N/A</v>
      </c>
    </row>
    <row r="47" spans="2:15">
      <c r="B47" s="80"/>
      <c r="C47" s="79"/>
      <c r="D47" s="91"/>
      <c r="E47" s="80"/>
      <c r="F47" s="148"/>
      <c r="G47" s="80"/>
      <c r="H47" s="148"/>
      <c r="I47" s="80"/>
      <c r="J47" s="216"/>
      <c r="K47" s="80"/>
      <c r="L47" s="148"/>
      <c r="M47" s="26" t="e">
        <f t="shared" ref="M47" ca="1" si="6">LEN(N47)</f>
        <v>#N/A</v>
      </c>
      <c r="N47" s="81" t="e">
        <f ca="1">VLOOKUP($B47,Matrix!$H$13:$I$35,2,FALSE)&amp;"_"&amp;C47</f>
        <v>#N/A</v>
      </c>
      <c r="O47" s="94" t="e">
        <f t="shared" ref="O47" ca="1" si="7">"#define "&amp;N47&amp;REPT(" ",48-M47)&amp;"("&amp;D47&amp;"U)"</f>
        <v>#N/A</v>
      </c>
    </row>
    <row r="48" spans="2:15">
      <c r="B48" s="80"/>
      <c r="C48" s="79"/>
      <c r="D48" s="91"/>
      <c r="E48" s="80"/>
      <c r="F48" s="148"/>
      <c r="G48" s="80"/>
      <c r="H48" s="148"/>
      <c r="I48" s="80"/>
      <c r="J48" s="148"/>
      <c r="K48" s="80"/>
      <c r="L48" s="148"/>
      <c r="M48" s="26" t="e">
        <f t="shared" ca="1" si="1"/>
        <v>#N/A</v>
      </c>
      <c r="N48" s="81" t="e">
        <f ca="1">VLOOKUP($B48,Matrix!$H$13:$I$35,2,FALSE)&amp;"_"&amp;C48</f>
        <v>#N/A</v>
      </c>
      <c r="O48" s="94" t="e">
        <f t="shared" ca="1" si="4"/>
        <v>#N/A</v>
      </c>
    </row>
    <row r="49" spans="2:15">
      <c r="B49" s="80"/>
      <c r="C49" s="79"/>
      <c r="D49" s="91"/>
      <c r="E49" s="80"/>
      <c r="F49" s="148"/>
      <c r="G49" s="80"/>
      <c r="H49" s="148"/>
      <c r="I49" s="80"/>
      <c r="J49" s="148"/>
      <c r="K49" s="80"/>
      <c r="L49" s="148"/>
      <c r="M49" s="26" t="e">
        <f t="shared" ca="1" si="1"/>
        <v>#N/A</v>
      </c>
      <c r="N49" s="81" t="e">
        <f ca="1">VLOOKUP($B49,Matrix!$H$13:$I$35,2,FALSE)&amp;"_"&amp;C49</f>
        <v>#N/A</v>
      </c>
      <c r="O49" s="94" t="e">
        <f t="shared" ca="1" si="4"/>
        <v>#N/A</v>
      </c>
    </row>
    <row r="50" spans="2:15">
      <c r="B50" s="23"/>
      <c r="C50" s="22"/>
      <c r="D50" s="86"/>
      <c r="E50" s="80"/>
      <c r="F50" s="148"/>
      <c r="G50" s="80"/>
      <c r="H50" s="148"/>
      <c r="I50" s="80"/>
      <c r="J50" s="87"/>
      <c r="K50" s="23"/>
      <c r="L50" s="148"/>
      <c r="M50" s="26" t="e">
        <f t="shared" ca="1" si="1"/>
        <v>#N/A</v>
      </c>
      <c r="N50" s="81" t="e">
        <f ca="1">VLOOKUP($B50,Matrix!$H$13:$I$35,2,FALSE)&amp;"_"&amp;C50</f>
        <v>#N/A</v>
      </c>
      <c r="O50" s="94" t="e">
        <f t="shared" ca="1" si="4"/>
        <v>#N/A</v>
      </c>
    </row>
    <row r="51" spans="2:15">
      <c r="B51" s="23"/>
      <c r="C51" s="22"/>
      <c r="D51" s="86"/>
      <c r="E51" s="23"/>
      <c r="F51" s="87"/>
      <c r="G51" s="23"/>
      <c r="H51" s="87"/>
      <c r="I51" s="23"/>
      <c r="J51" s="87"/>
      <c r="K51" s="23"/>
      <c r="L51" s="87"/>
      <c r="M51" s="26" t="e">
        <f t="shared" ca="1" si="1"/>
        <v>#N/A</v>
      </c>
      <c r="N51" s="81" t="e">
        <f ca="1">VLOOKUP($B51,Matrix!$H$13:$I$35,2,FALSE)&amp;"_"&amp;C51</f>
        <v>#N/A</v>
      </c>
      <c r="O51" s="94" t="e">
        <f t="shared" ca="1" si="4"/>
        <v>#N/A</v>
      </c>
    </row>
    <row r="52" spans="2:15">
      <c r="B52" s="23"/>
      <c r="C52" s="22"/>
      <c r="D52" s="86"/>
      <c r="E52" s="23"/>
      <c r="F52" s="87"/>
      <c r="G52" s="23"/>
      <c r="H52" s="87"/>
      <c r="I52" s="23"/>
      <c r="J52" s="87"/>
      <c r="K52" s="23"/>
      <c r="L52" s="87"/>
      <c r="M52" s="26" t="e">
        <f t="shared" ca="1" si="1"/>
        <v>#N/A</v>
      </c>
      <c r="N52" s="81" t="e">
        <f ca="1">VLOOKUP($B52,Matrix!$H$13:$I$35,2,FALSE)&amp;"_"&amp;C52</f>
        <v>#N/A</v>
      </c>
      <c r="O52" s="94" t="e">
        <f t="shared" ca="1" si="4"/>
        <v>#N/A</v>
      </c>
    </row>
    <row r="53" spans="2:15">
      <c r="B53" s="23"/>
      <c r="C53" s="22"/>
      <c r="D53" s="86"/>
      <c r="E53" s="23"/>
      <c r="F53" s="87"/>
      <c r="G53" s="23"/>
      <c r="H53" s="87"/>
      <c r="I53" s="23"/>
      <c r="J53" s="87"/>
      <c r="K53" s="23"/>
      <c r="L53" s="87"/>
      <c r="M53" s="26" t="e">
        <f t="shared" ca="1" si="1"/>
        <v>#N/A</v>
      </c>
      <c r="N53" s="81" t="e">
        <f ca="1">VLOOKUP($B53,Matrix!$H$13:$I$35,2,FALSE)&amp;"_"&amp;C53</f>
        <v>#N/A</v>
      </c>
      <c r="O53" s="94" t="e">
        <f t="shared" ca="1" si="4"/>
        <v>#N/A</v>
      </c>
    </row>
    <row r="54" spans="2:15">
      <c r="B54" s="23"/>
      <c r="C54" s="22"/>
      <c r="D54" s="86"/>
      <c r="E54" s="23"/>
      <c r="F54" s="87"/>
      <c r="G54" s="23"/>
      <c r="H54" s="87"/>
      <c r="I54" s="23"/>
      <c r="J54" s="87"/>
      <c r="K54" s="23"/>
      <c r="L54" s="87"/>
      <c r="M54" s="26" t="e">
        <f t="shared" ca="1" si="1"/>
        <v>#N/A</v>
      </c>
      <c r="N54" s="81" t="e">
        <f ca="1">VLOOKUP($B54,Matrix!$H$13:$I$35,2,FALSE)&amp;"_"&amp;C54</f>
        <v>#N/A</v>
      </c>
      <c r="O54" s="94" t="e">
        <f t="shared" ref="O54:O85" ca="1" si="8">"#define "&amp;N54&amp;REPT(" ",48-M54)&amp;"("&amp;D54&amp;"U)"</f>
        <v>#N/A</v>
      </c>
    </row>
    <row r="55" spans="2:15">
      <c r="B55" s="23"/>
      <c r="C55" s="22"/>
      <c r="D55" s="86"/>
      <c r="E55" s="23"/>
      <c r="F55" s="87"/>
      <c r="G55" s="23"/>
      <c r="H55" s="87"/>
      <c r="I55" s="23"/>
      <c r="J55" s="87"/>
      <c r="K55" s="23"/>
      <c r="L55" s="87"/>
      <c r="M55" s="26" t="e">
        <f t="shared" ref="M55:M89" ca="1" si="9">LEN(N55)</f>
        <v>#N/A</v>
      </c>
      <c r="N55" s="81" t="e">
        <f ca="1">VLOOKUP($B55,Matrix!$H$13:$I$35,2,FALSE)&amp;"_"&amp;C55</f>
        <v>#N/A</v>
      </c>
      <c r="O55" s="94" t="e">
        <f t="shared" ca="1" si="8"/>
        <v>#N/A</v>
      </c>
    </row>
    <row r="56" spans="2:15">
      <c r="B56" s="23"/>
      <c r="C56" s="22"/>
      <c r="D56" s="86"/>
      <c r="E56" s="23"/>
      <c r="F56" s="87"/>
      <c r="G56" s="23"/>
      <c r="H56" s="87"/>
      <c r="I56" s="23"/>
      <c r="J56" s="87"/>
      <c r="K56" s="23"/>
      <c r="L56" s="87"/>
      <c r="M56" s="26" t="e">
        <f t="shared" ca="1" si="9"/>
        <v>#N/A</v>
      </c>
      <c r="N56" s="81" t="e">
        <f ca="1">VLOOKUP($B56,Matrix!$H$13:$I$35,2,FALSE)&amp;"_"&amp;C56</f>
        <v>#N/A</v>
      </c>
      <c r="O56" s="94" t="e">
        <f t="shared" ca="1" si="8"/>
        <v>#N/A</v>
      </c>
    </row>
    <row r="57" spans="2:15">
      <c r="B57" s="23"/>
      <c r="C57" s="22"/>
      <c r="D57" s="86"/>
      <c r="E57" s="23"/>
      <c r="F57" s="87"/>
      <c r="G57" s="23"/>
      <c r="H57" s="87"/>
      <c r="I57" s="23"/>
      <c r="J57" s="87"/>
      <c r="K57" s="23"/>
      <c r="L57" s="87"/>
      <c r="M57" s="26" t="e">
        <f t="shared" ca="1" si="9"/>
        <v>#N/A</v>
      </c>
      <c r="N57" s="81" t="e">
        <f ca="1">VLOOKUP($B57,Matrix!$H$13:$I$35,2,FALSE)&amp;"_"&amp;C57</f>
        <v>#N/A</v>
      </c>
      <c r="O57" s="94" t="e">
        <f t="shared" ca="1" si="8"/>
        <v>#N/A</v>
      </c>
    </row>
    <row r="58" spans="2:15">
      <c r="B58" s="23"/>
      <c r="C58" s="22"/>
      <c r="D58" s="86"/>
      <c r="E58" s="23"/>
      <c r="F58" s="87"/>
      <c r="G58" s="23"/>
      <c r="H58" s="87"/>
      <c r="I58" s="23"/>
      <c r="J58" s="87"/>
      <c r="K58" s="23"/>
      <c r="L58" s="87"/>
      <c r="M58" s="26" t="e">
        <f t="shared" ca="1" si="9"/>
        <v>#N/A</v>
      </c>
      <c r="N58" s="81" t="e">
        <f ca="1">VLOOKUP($B58,Matrix!$H$13:$I$35,2,FALSE)&amp;"_"&amp;C58</f>
        <v>#N/A</v>
      </c>
      <c r="O58" s="94" t="e">
        <f t="shared" ca="1" si="8"/>
        <v>#N/A</v>
      </c>
    </row>
    <row r="59" spans="2:15">
      <c r="B59" s="23"/>
      <c r="C59" s="22"/>
      <c r="D59" s="86"/>
      <c r="E59" s="23"/>
      <c r="F59" s="87"/>
      <c r="G59" s="23"/>
      <c r="H59" s="87"/>
      <c r="I59" s="23"/>
      <c r="J59" s="87"/>
      <c r="K59" s="23"/>
      <c r="L59" s="87"/>
      <c r="M59" s="26" t="e">
        <f t="shared" ca="1" si="9"/>
        <v>#N/A</v>
      </c>
      <c r="N59" s="81" t="e">
        <f ca="1">VLOOKUP($B59,Matrix!$H$13:$I$35,2,FALSE)&amp;"_"&amp;C59</f>
        <v>#N/A</v>
      </c>
      <c r="O59" s="94" t="e">
        <f t="shared" ca="1" si="8"/>
        <v>#N/A</v>
      </c>
    </row>
    <row r="60" spans="2:15">
      <c r="B60" s="23"/>
      <c r="C60" s="22"/>
      <c r="D60" s="86"/>
      <c r="E60" s="23"/>
      <c r="F60" s="87"/>
      <c r="G60" s="23"/>
      <c r="H60" s="87"/>
      <c r="I60" s="23"/>
      <c r="J60" s="87"/>
      <c r="K60" s="23"/>
      <c r="L60" s="87"/>
      <c r="M60" s="26" t="e">
        <f t="shared" ca="1" si="9"/>
        <v>#N/A</v>
      </c>
      <c r="N60" s="81" t="e">
        <f ca="1">VLOOKUP($B60,Matrix!$H$13:$I$35,2,FALSE)&amp;"_"&amp;C60</f>
        <v>#N/A</v>
      </c>
      <c r="O60" s="94" t="e">
        <f t="shared" ca="1" si="8"/>
        <v>#N/A</v>
      </c>
    </row>
    <row r="61" spans="2:15">
      <c r="B61" s="23"/>
      <c r="C61" s="22"/>
      <c r="D61" s="86"/>
      <c r="E61" s="23"/>
      <c r="F61" s="87"/>
      <c r="G61" s="23"/>
      <c r="H61" s="87"/>
      <c r="I61" s="23"/>
      <c r="J61" s="87"/>
      <c r="K61" s="23"/>
      <c r="L61" s="87"/>
      <c r="M61" s="26" t="e">
        <f t="shared" ca="1" si="9"/>
        <v>#N/A</v>
      </c>
      <c r="N61" s="81" t="e">
        <f ca="1">VLOOKUP($B61,Matrix!$H$13:$I$35,2,FALSE)&amp;"_"&amp;C61</f>
        <v>#N/A</v>
      </c>
      <c r="O61" s="94" t="e">
        <f t="shared" ca="1" si="8"/>
        <v>#N/A</v>
      </c>
    </row>
    <row r="62" spans="2:15">
      <c r="B62" s="23"/>
      <c r="C62" s="22"/>
      <c r="D62" s="86"/>
      <c r="E62" s="23"/>
      <c r="F62" s="87"/>
      <c r="G62" s="23"/>
      <c r="H62" s="87"/>
      <c r="I62" s="23"/>
      <c r="J62" s="87"/>
      <c r="K62" s="23"/>
      <c r="L62" s="87"/>
      <c r="M62" s="26" t="e">
        <f t="shared" ca="1" si="9"/>
        <v>#N/A</v>
      </c>
      <c r="N62" s="81" t="e">
        <f ca="1">VLOOKUP($B62,Matrix!$H$13:$I$35,2,FALSE)&amp;"_"&amp;C62</f>
        <v>#N/A</v>
      </c>
      <c r="O62" s="94" t="e">
        <f t="shared" ca="1" si="8"/>
        <v>#N/A</v>
      </c>
    </row>
    <row r="63" spans="2:15">
      <c r="B63" s="23"/>
      <c r="C63" s="22"/>
      <c r="D63" s="86"/>
      <c r="E63" s="23"/>
      <c r="F63" s="87"/>
      <c r="G63" s="23"/>
      <c r="H63" s="87"/>
      <c r="I63" s="23"/>
      <c r="J63" s="87"/>
      <c r="K63" s="23"/>
      <c r="L63" s="87"/>
      <c r="M63" s="26" t="e">
        <f t="shared" ca="1" si="9"/>
        <v>#N/A</v>
      </c>
      <c r="N63" s="81" t="e">
        <f ca="1">VLOOKUP($B63,Matrix!$H$13:$I$35,2,FALSE)&amp;"_"&amp;C63</f>
        <v>#N/A</v>
      </c>
      <c r="O63" s="94" t="e">
        <f t="shared" ca="1" si="8"/>
        <v>#N/A</v>
      </c>
    </row>
    <row r="64" spans="2:15">
      <c r="B64" s="23"/>
      <c r="C64" s="22"/>
      <c r="D64" s="86"/>
      <c r="E64" s="23"/>
      <c r="F64" s="87"/>
      <c r="G64" s="23"/>
      <c r="H64" s="87"/>
      <c r="I64" s="23"/>
      <c r="J64" s="87"/>
      <c r="K64" s="23"/>
      <c r="L64" s="87"/>
      <c r="M64" s="26" t="e">
        <f t="shared" ca="1" si="9"/>
        <v>#N/A</v>
      </c>
      <c r="N64" s="81" t="e">
        <f ca="1">VLOOKUP($B64,Matrix!$H$13:$I$35,2,FALSE)&amp;"_"&amp;C64</f>
        <v>#N/A</v>
      </c>
      <c r="O64" s="94" t="e">
        <f t="shared" ca="1" si="8"/>
        <v>#N/A</v>
      </c>
    </row>
    <row r="65" spans="2:15">
      <c r="B65" s="23"/>
      <c r="C65" s="22"/>
      <c r="D65" s="86"/>
      <c r="E65" s="23"/>
      <c r="F65" s="87"/>
      <c r="G65" s="23"/>
      <c r="H65" s="87"/>
      <c r="I65" s="23"/>
      <c r="J65" s="87"/>
      <c r="K65" s="23"/>
      <c r="L65" s="87"/>
      <c r="M65" s="26" t="e">
        <f t="shared" ca="1" si="9"/>
        <v>#N/A</v>
      </c>
      <c r="N65" s="81" t="e">
        <f ca="1">VLOOKUP($B65,Matrix!$H$13:$I$35,2,FALSE)&amp;"_"&amp;C65</f>
        <v>#N/A</v>
      </c>
      <c r="O65" s="94" t="e">
        <f t="shared" ca="1" si="8"/>
        <v>#N/A</v>
      </c>
    </row>
    <row r="66" spans="2:15">
      <c r="B66" s="23"/>
      <c r="C66" s="22"/>
      <c r="D66" s="86"/>
      <c r="E66" s="23"/>
      <c r="F66" s="87"/>
      <c r="G66" s="23"/>
      <c r="H66" s="87"/>
      <c r="I66" s="23"/>
      <c r="J66" s="87"/>
      <c r="K66" s="23"/>
      <c r="L66" s="87"/>
      <c r="M66" s="26" t="e">
        <f t="shared" ca="1" si="9"/>
        <v>#N/A</v>
      </c>
      <c r="N66" s="81" t="e">
        <f ca="1">VLOOKUP($B66,Matrix!$H$13:$I$35,2,FALSE)&amp;"_"&amp;C66</f>
        <v>#N/A</v>
      </c>
      <c r="O66" s="94" t="e">
        <f t="shared" ca="1" si="8"/>
        <v>#N/A</v>
      </c>
    </row>
    <row r="67" spans="2:15">
      <c r="B67" s="23"/>
      <c r="C67" s="22"/>
      <c r="D67" s="86"/>
      <c r="E67" s="23"/>
      <c r="F67" s="87"/>
      <c r="G67" s="23"/>
      <c r="H67" s="87"/>
      <c r="I67" s="23"/>
      <c r="J67" s="87"/>
      <c r="K67" s="23"/>
      <c r="L67" s="87"/>
      <c r="M67" s="26" t="e">
        <f t="shared" ca="1" si="9"/>
        <v>#N/A</v>
      </c>
      <c r="N67" s="81" t="e">
        <f ca="1">VLOOKUP($B67,Matrix!$H$13:$I$35,2,FALSE)&amp;"_"&amp;C67</f>
        <v>#N/A</v>
      </c>
      <c r="O67" s="94" t="e">
        <f t="shared" ca="1" si="8"/>
        <v>#N/A</v>
      </c>
    </row>
    <row r="68" spans="2:15">
      <c r="B68" s="23"/>
      <c r="C68" s="22"/>
      <c r="D68" s="86"/>
      <c r="E68" s="23"/>
      <c r="F68" s="87"/>
      <c r="G68" s="23"/>
      <c r="H68" s="87"/>
      <c r="I68" s="23"/>
      <c r="J68" s="87"/>
      <c r="K68" s="23"/>
      <c r="L68" s="87"/>
      <c r="M68" s="26" t="e">
        <f t="shared" ca="1" si="9"/>
        <v>#N/A</v>
      </c>
      <c r="N68" s="81" t="e">
        <f ca="1">VLOOKUP($B68,Matrix!$H$13:$I$35,2,FALSE)&amp;"_"&amp;C68</f>
        <v>#N/A</v>
      </c>
      <c r="O68" s="94" t="e">
        <f t="shared" ca="1" si="8"/>
        <v>#N/A</v>
      </c>
    </row>
    <row r="69" spans="2:15">
      <c r="B69" s="23"/>
      <c r="C69" s="22"/>
      <c r="D69" s="86"/>
      <c r="E69" s="23"/>
      <c r="F69" s="87"/>
      <c r="G69" s="23"/>
      <c r="H69" s="87"/>
      <c r="I69" s="23"/>
      <c r="J69" s="87"/>
      <c r="K69" s="23"/>
      <c r="L69" s="87"/>
      <c r="M69" s="26" t="e">
        <f t="shared" ca="1" si="9"/>
        <v>#N/A</v>
      </c>
      <c r="N69" s="81" t="e">
        <f ca="1">VLOOKUP($B69,Matrix!$H$13:$I$35,2,FALSE)&amp;"_"&amp;C69</f>
        <v>#N/A</v>
      </c>
      <c r="O69" s="94" t="e">
        <f t="shared" ca="1" si="8"/>
        <v>#N/A</v>
      </c>
    </row>
    <row r="70" spans="2:15">
      <c r="B70" s="23"/>
      <c r="C70" s="22"/>
      <c r="D70" s="86"/>
      <c r="E70" s="23"/>
      <c r="F70" s="87"/>
      <c r="G70" s="23"/>
      <c r="H70" s="87"/>
      <c r="I70" s="23"/>
      <c r="J70" s="87"/>
      <c r="K70" s="23"/>
      <c r="L70" s="87"/>
      <c r="M70" s="26" t="e">
        <f t="shared" ca="1" si="9"/>
        <v>#N/A</v>
      </c>
      <c r="N70" s="81" t="e">
        <f ca="1">VLOOKUP($B70,Matrix!$H$13:$I$35,2,FALSE)&amp;"_"&amp;C70</f>
        <v>#N/A</v>
      </c>
      <c r="O70" s="94" t="e">
        <f t="shared" ca="1" si="8"/>
        <v>#N/A</v>
      </c>
    </row>
    <row r="71" spans="2:15">
      <c r="B71" s="23"/>
      <c r="C71" s="22"/>
      <c r="D71" s="86"/>
      <c r="E71" s="23"/>
      <c r="F71" s="87"/>
      <c r="G71" s="23"/>
      <c r="H71" s="87"/>
      <c r="I71" s="23"/>
      <c r="J71" s="87"/>
      <c r="K71" s="23"/>
      <c r="L71" s="87"/>
      <c r="M71" s="26" t="e">
        <f t="shared" ca="1" si="9"/>
        <v>#N/A</v>
      </c>
      <c r="N71" s="81" t="e">
        <f ca="1">VLOOKUP($B71,Matrix!$H$13:$I$35,2,FALSE)&amp;"_"&amp;C71</f>
        <v>#N/A</v>
      </c>
      <c r="O71" s="94" t="e">
        <f t="shared" ca="1" si="8"/>
        <v>#N/A</v>
      </c>
    </row>
    <row r="72" spans="2:15">
      <c r="B72" s="23"/>
      <c r="C72" s="22"/>
      <c r="D72" s="86"/>
      <c r="E72" s="23"/>
      <c r="F72" s="87"/>
      <c r="G72" s="23"/>
      <c r="H72" s="87"/>
      <c r="I72" s="23"/>
      <c r="J72" s="87"/>
      <c r="K72" s="23"/>
      <c r="L72" s="87"/>
      <c r="M72" s="26" t="e">
        <f t="shared" ca="1" si="9"/>
        <v>#N/A</v>
      </c>
      <c r="N72" s="81" t="e">
        <f ca="1">VLOOKUP($B72,Matrix!$H$13:$I$35,2,FALSE)&amp;"_"&amp;C72</f>
        <v>#N/A</v>
      </c>
      <c r="O72" s="94" t="e">
        <f t="shared" ca="1" si="8"/>
        <v>#N/A</v>
      </c>
    </row>
    <row r="73" spans="2:15">
      <c r="B73" s="23"/>
      <c r="C73" s="22"/>
      <c r="D73" s="86"/>
      <c r="E73" s="23"/>
      <c r="F73" s="87"/>
      <c r="G73" s="23"/>
      <c r="H73" s="87"/>
      <c r="I73" s="23"/>
      <c r="J73" s="87"/>
      <c r="K73" s="23"/>
      <c r="L73" s="87"/>
      <c r="M73" s="26" t="e">
        <f t="shared" ca="1" si="9"/>
        <v>#N/A</v>
      </c>
      <c r="N73" s="47" t="e">
        <f ca="1">VLOOKUP($B73,Matrix!$H$13:$I$35,2,FALSE)&amp;"_"&amp;C73</f>
        <v>#N/A</v>
      </c>
      <c r="O73" s="94" t="e">
        <f t="shared" ca="1" si="8"/>
        <v>#N/A</v>
      </c>
    </row>
    <row r="74" spans="2:15">
      <c r="B74" s="23"/>
      <c r="C74" s="22"/>
      <c r="D74" s="86"/>
      <c r="E74" s="23"/>
      <c r="F74" s="87"/>
      <c r="G74" s="23"/>
      <c r="H74" s="87"/>
      <c r="I74" s="23"/>
      <c r="J74" s="87"/>
      <c r="K74" s="23"/>
      <c r="L74" s="87"/>
      <c r="M74" s="26" t="e">
        <f t="shared" ca="1" si="9"/>
        <v>#N/A</v>
      </c>
      <c r="N74" s="47" t="e">
        <f ca="1">VLOOKUP($B74,Matrix!$H$13:$I$35,2,FALSE)&amp;"_"&amp;C74</f>
        <v>#N/A</v>
      </c>
      <c r="O74" s="94" t="e">
        <f t="shared" ca="1" si="8"/>
        <v>#N/A</v>
      </c>
    </row>
    <row r="75" spans="2:15">
      <c r="B75" s="23"/>
      <c r="C75" s="22"/>
      <c r="D75" s="86"/>
      <c r="E75" s="23"/>
      <c r="F75" s="87"/>
      <c r="G75" s="23"/>
      <c r="H75" s="87"/>
      <c r="I75" s="23"/>
      <c r="J75" s="87"/>
      <c r="K75" s="23"/>
      <c r="L75" s="87"/>
      <c r="M75" s="26" t="e">
        <f t="shared" ca="1" si="9"/>
        <v>#N/A</v>
      </c>
      <c r="N75" s="47" t="e">
        <f ca="1">VLOOKUP($B75,Matrix!$H$13:$I$35,2,FALSE)&amp;"_"&amp;C75</f>
        <v>#N/A</v>
      </c>
      <c r="O75" s="94" t="e">
        <f t="shared" ca="1" si="8"/>
        <v>#N/A</v>
      </c>
    </row>
    <row r="76" spans="2:15">
      <c r="B76" s="23"/>
      <c r="C76" s="22"/>
      <c r="D76" s="86"/>
      <c r="E76" s="23"/>
      <c r="F76" s="87"/>
      <c r="G76" s="23"/>
      <c r="H76" s="87"/>
      <c r="I76" s="23"/>
      <c r="J76" s="87"/>
      <c r="K76" s="23"/>
      <c r="L76" s="87"/>
      <c r="M76" s="26" t="e">
        <f t="shared" ca="1" si="9"/>
        <v>#N/A</v>
      </c>
      <c r="N76" s="47" t="e">
        <f ca="1">VLOOKUP($B76,Matrix!$H$13:$I$35,2,FALSE)&amp;"_"&amp;C76</f>
        <v>#N/A</v>
      </c>
      <c r="O76" s="94" t="e">
        <f t="shared" ca="1" si="8"/>
        <v>#N/A</v>
      </c>
    </row>
    <row r="77" spans="2:15">
      <c r="B77" s="23"/>
      <c r="C77" s="22"/>
      <c r="D77" s="86"/>
      <c r="E77" s="23"/>
      <c r="F77" s="87"/>
      <c r="G77" s="23"/>
      <c r="H77" s="87"/>
      <c r="I77" s="23"/>
      <c r="J77" s="87"/>
      <c r="K77" s="23"/>
      <c r="L77" s="87"/>
      <c r="M77" s="26" t="e">
        <f t="shared" ca="1" si="9"/>
        <v>#N/A</v>
      </c>
      <c r="N77" s="47" t="e">
        <f ca="1">VLOOKUP($B77,Matrix!$H$13:$I$35,2,FALSE)&amp;"_"&amp;C77</f>
        <v>#N/A</v>
      </c>
      <c r="O77" s="94" t="e">
        <f t="shared" ca="1" si="8"/>
        <v>#N/A</v>
      </c>
    </row>
    <row r="78" spans="2:15">
      <c r="B78" s="23"/>
      <c r="C78" s="22"/>
      <c r="D78" s="86"/>
      <c r="E78" s="23"/>
      <c r="F78" s="87"/>
      <c r="G78" s="23"/>
      <c r="H78" s="87"/>
      <c r="I78" s="23"/>
      <c r="J78" s="87"/>
      <c r="K78" s="23"/>
      <c r="L78" s="87"/>
      <c r="M78" s="26" t="e">
        <f t="shared" ca="1" si="9"/>
        <v>#N/A</v>
      </c>
      <c r="N78" s="47" t="e">
        <f ca="1">VLOOKUP($B78,Matrix!$H$13:$I$35,2,FALSE)&amp;"_"&amp;C78</f>
        <v>#N/A</v>
      </c>
      <c r="O78" s="94" t="e">
        <f t="shared" ca="1" si="8"/>
        <v>#N/A</v>
      </c>
    </row>
    <row r="79" spans="2:15">
      <c r="B79" s="23"/>
      <c r="C79" s="22"/>
      <c r="D79" s="86"/>
      <c r="E79" s="23"/>
      <c r="F79" s="87"/>
      <c r="G79" s="23"/>
      <c r="H79" s="87"/>
      <c r="I79" s="23"/>
      <c r="J79" s="87"/>
      <c r="K79" s="23"/>
      <c r="L79" s="87"/>
      <c r="M79" s="26" t="e">
        <f t="shared" ca="1" si="9"/>
        <v>#N/A</v>
      </c>
      <c r="N79" s="47" t="e">
        <f ca="1">VLOOKUP($B79,Matrix!$H$13:$I$35,2,FALSE)&amp;"_"&amp;C79</f>
        <v>#N/A</v>
      </c>
      <c r="O79" s="94" t="e">
        <f t="shared" ca="1" si="8"/>
        <v>#N/A</v>
      </c>
    </row>
    <row r="80" spans="2:15">
      <c r="B80" s="23"/>
      <c r="C80" s="22"/>
      <c r="D80" s="86"/>
      <c r="E80" s="23"/>
      <c r="F80" s="87"/>
      <c r="G80" s="23"/>
      <c r="H80" s="87"/>
      <c r="I80" s="23"/>
      <c r="J80" s="87"/>
      <c r="K80" s="23"/>
      <c r="L80" s="87"/>
      <c r="M80" s="26" t="e">
        <f t="shared" ca="1" si="9"/>
        <v>#N/A</v>
      </c>
      <c r="N80" s="47" t="e">
        <f ca="1">VLOOKUP($B80,Matrix!$H$13:$I$35,2,FALSE)&amp;"_"&amp;C80</f>
        <v>#N/A</v>
      </c>
      <c r="O80" s="94" t="e">
        <f t="shared" ca="1" si="8"/>
        <v>#N/A</v>
      </c>
    </row>
    <row r="81" spans="2:15">
      <c r="B81" s="23"/>
      <c r="C81" s="22"/>
      <c r="D81" s="86"/>
      <c r="E81" s="23"/>
      <c r="F81" s="87"/>
      <c r="G81" s="23"/>
      <c r="H81" s="87"/>
      <c r="I81" s="23"/>
      <c r="J81" s="87"/>
      <c r="K81" s="23"/>
      <c r="L81" s="87"/>
      <c r="M81" s="26" t="e">
        <f t="shared" ca="1" si="9"/>
        <v>#N/A</v>
      </c>
      <c r="N81" s="47" t="e">
        <f ca="1">VLOOKUP($B81,Matrix!$H$13:$I$35,2,FALSE)&amp;"_"&amp;C81</f>
        <v>#N/A</v>
      </c>
      <c r="O81" s="94" t="e">
        <f t="shared" ca="1" si="8"/>
        <v>#N/A</v>
      </c>
    </row>
    <row r="82" spans="2:15">
      <c r="B82" s="23"/>
      <c r="C82" s="22"/>
      <c r="D82" s="86"/>
      <c r="E82" s="23"/>
      <c r="F82" s="87"/>
      <c r="G82" s="23"/>
      <c r="H82" s="87"/>
      <c r="I82" s="23"/>
      <c r="J82" s="87"/>
      <c r="K82" s="23"/>
      <c r="L82" s="87"/>
      <c r="M82" s="26" t="e">
        <f t="shared" ca="1" si="9"/>
        <v>#N/A</v>
      </c>
      <c r="N82" s="47" t="e">
        <f ca="1">VLOOKUP($B82,Matrix!$H$13:$I$35,2,FALSE)&amp;"_"&amp;C82</f>
        <v>#N/A</v>
      </c>
      <c r="O82" s="94" t="e">
        <f t="shared" ca="1" si="8"/>
        <v>#N/A</v>
      </c>
    </row>
    <row r="83" spans="2:15">
      <c r="B83" s="23"/>
      <c r="C83" s="22"/>
      <c r="D83" s="86"/>
      <c r="E83" s="23"/>
      <c r="F83" s="87"/>
      <c r="G83" s="23"/>
      <c r="H83" s="87"/>
      <c r="I83" s="23"/>
      <c r="J83" s="87"/>
      <c r="K83" s="23"/>
      <c r="L83" s="87"/>
      <c r="M83" s="26" t="e">
        <f t="shared" ca="1" si="9"/>
        <v>#N/A</v>
      </c>
      <c r="N83" s="47" t="e">
        <f ca="1">VLOOKUP($B83,Matrix!$H$13:$I$35,2,FALSE)&amp;"_"&amp;C83</f>
        <v>#N/A</v>
      </c>
      <c r="O83" s="94" t="e">
        <f t="shared" ca="1" si="8"/>
        <v>#N/A</v>
      </c>
    </row>
    <row r="84" spans="2:15">
      <c r="B84" s="23"/>
      <c r="C84" s="22"/>
      <c r="D84" s="86"/>
      <c r="E84" s="23"/>
      <c r="F84" s="87"/>
      <c r="G84" s="23"/>
      <c r="H84" s="87"/>
      <c r="I84" s="23"/>
      <c r="J84" s="87"/>
      <c r="K84" s="23"/>
      <c r="L84" s="87"/>
      <c r="M84" s="26" t="e">
        <f t="shared" ca="1" si="9"/>
        <v>#N/A</v>
      </c>
      <c r="N84" s="47" t="e">
        <f ca="1">VLOOKUP($B84,Matrix!$H$13:$I$35,2,FALSE)&amp;"_"&amp;C84</f>
        <v>#N/A</v>
      </c>
      <c r="O84" s="94" t="e">
        <f t="shared" ca="1" si="8"/>
        <v>#N/A</v>
      </c>
    </row>
    <row r="85" spans="2:15">
      <c r="B85" s="23"/>
      <c r="C85" s="22"/>
      <c r="D85" s="86"/>
      <c r="E85" s="23"/>
      <c r="F85" s="87"/>
      <c r="G85" s="23"/>
      <c r="H85" s="87"/>
      <c r="I85" s="23"/>
      <c r="J85" s="87"/>
      <c r="K85" s="23"/>
      <c r="L85" s="87"/>
      <c r="M85" s="26" t="e">
        <f t="shared" ca="1" si="9"/>
        <v>#N/A</v>
      </c>
      <c r="N85" s="47" t="e">
        <f ca="1">VLOOKUP($B85,Matrix!$H$13:$I$35,2,FALSE)&amp;"_"&amp;C85</f>
        <v>#N/A</v>
      </c>
      <c r="O85" s="94" t="e">
        <f t="shared" ca="1" si="8"/>
        <v>#N/A</v>
      </c>
    </row>
    <row r="86" spans="2:15">
      <c r="B86" s="23"/>
      <c r="C86" s="22"/>
      <c r="D86" s="86"/>
      <c r="E86" s="23"/>
      <c r="F86" s="87"/>
      <c r="G86" s="23"/>
      <c r="H86" s="87"/>
      <c r="I86" s="23"/>
      <c r="J86" s="87"/>
      <c r="K86" s="23"/>
      <c r="L86" s="87"/>
      <c r="M86" s="26" t="e">
        <f t="shared" ca="1" si="9"/>
        <v>#N/A</v>
      </c>
      <c r="N86" s="47" t="e">
        <f ca="1">VLOOKUP($B86,Matrix!$H$13:$I$35,2,FALSE)&amp;"_"&amp;C86</f>
        <v>#N/A</v>
      </c>
      <c r="O86" s="94" t="e">
        <f t="shared" ref="O86:O89" ca="1" si="10">"#define "&amp;N86&amp;REPT(" ",48-M86)&amp;"("&amp;D86&amp;"U)"</f>
        <v>#N/A</v>
      </c>
    </row>
    <row r="87" spans="2:15">
      <c r="B87" s="23"/>
      <c r="C87" s="22"/>
      <c r="D87" s="86"/>
      <c r="E87" s="23"/>
      <c r="F87" s="87"/>
      <c r="G87" s="23"/>
      <c r="H87" s="87"/>
      <c r="I87" s="23"/>
      <c r="J87" s="87"/>
      <c r="K87" s="23"/>
      <c r="L87" s="87"/>
      <c r="M87" s="26" t="e">
        <f t="shared" ca="1" si="9"/>
        <v>#N/A</v>
      </c>
      <c r="N87" s="47" t="e">
        <f ca="1">VLOOKUP($B87,Matrix!$H$13:$I$35,2,FALSE)&amp;"_"&amp;C87</f>
        <v>#N/A</v>
      </c>
      <c r="O87" s="94" t="e">
        <f t="shared" ca="1" si="10"/>
        <v>#N/A</v>
      </c>
    </row>
    <row r="88" spans="2:15">
      <c r="B88" s="23"/>
      <c r="C88" s="22"/>
      <c r="D88" s="86"/>
      <c r="E88" s="23"/>
      <c r="F88" s="87"/>
      <c r="G88" s="23"/>
      <c r="H88" s="87"/>
      <c r="I88" s="23"/>
      <c r="J88" s="87"/>
      <c r="K88" s="23"/>
      <c r="L88" s="87"/>
      <c r="M88" s="26" t="e">
        <f t="shared" ca="1" si="9"/>
        <v>#N/A</v>
      </c>
      <c r="N88" s="47" t="e">
        <f ca="1">VLOOKUP($B88,Matrix!$H$13:$I$35,2,FALSE)&amp;"_"&amp;C88</f>
        <v>#N/A</v>
      </c>
      <c r="O88" s="94" t="e">
        <f t="shared" ca="1" si="10"/>
        <v>#N/A</v>
      </c>
    </row>
    <row r="89" spans="2:15" ht="13.8" thickBot="1">
      <c r="B89" s="32"/>
      <c r="C89" s="33"/>
      <c r="D89" s="88"/>
      <c r="E89" s="32"/>
      <c r="F89" s="89"/>
      <c r="G89" s="32"/>
      <c r="H89" s="89"/>
      <c r="I89" s="32"/>
      <c r="J89" s="89"/>
      <c r="K89" s="32"/>
      <c r="L89" s="89"/>
      <c r="M89" s="34" t="e">
        <f t="shared" ca="1" si="9"/>
        <v>#N/A</v>
      </c>
      <c r="N89" s="48" t="e">
        <f ca="1">VLOOKUP($B89,Matrix!$H$13:$I$35,2,FALSE)&amp;"_"&amp;C89</f>
        <v>#N/A</v>
      </c>
      <c r="O89" s="95" t="e">
        <f t="shared" ca="1" si="10"/>
        <v>#N/A</v>
      </c>
    </row>
  </sheetData>
  <sheetProtection sheet="1" objects="1" scenarios="1"/>
  <protectedRanges>
    <protectedRange sqref="B4:L89" name="範囲1"/>
  </protectedRanges>
  <phoneticPr fontId="2"/>
  <conditionalFormatting sqref="M3:M89">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Config_IF!$C$4:$C$29</xm:f>
          </x14:formula1>
          <xm:sqref>K4:K89</xm:sqref>
        </x14:dataValidation>
        <x14:dataValidation type="list" allowBlank="1" showInputMessage="1" showErrorMessage="1" xr:uid="{00000000-0002-0000-0400-000002000000}">
          <x14:formula1>
            <xm:f>Matrix!$H$13:$H$35</xm:f>
          </x14:formula1>
          <xm:sqref>B3:B89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96" t="s">
        <v>128</v>
      </c>
      <c r="C2" s="309"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11" t="s">
        <v>51</v>
      </c>
    </row>
    <row r="3" spans="1:49" ht="213" customHeight="1" thickBot="1">
      <c r="B3" s="210" t="str">
        <f>IF(OR(IF(COUNTIF(D6:AC69,"0")&lt;&gt;0,TRUE,FALSE),IF(COUNTIF(D6:AC69,"1")&lt;&gt;0,TRUE,FALSE)),"Search Table","Index Table")</f>
        <v>Index Table</v>
      </c>
      <c r="C3" s="310"/>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62</v>
      </c>
      <c r="AE3" s="99" t="s">
        <v>62</v>
      </c>
      <c r="AF3" s="99" t="s">
        <v>62</v>
      </c>
      <c r="AG3" s="99" t="s">
        <v>62</v>
      </c>
      <c r="AH3" s="154" t="s">
        <v>246</v>
      </c>
      <c r="AI3" s="155" t="s">
        <v>247</v>
      </c>
      <c r="AJ3" s="312"/>
      <c r="AR3" s="64" t="s">
        <v>97</v>
      </c>
    </row>
    <row r="4" spans="1:49" ht="13.8" thickBot="1">
      <c r="A4" s="313" t="s">
        <v>63</v>
      </c>
      <c r="B4" s="314"/>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01"/>
      <c r="AR4" s="52" t="s">
        <v>81</v>
      </c>
      <c r="AS4" s="53"/>
      <c r="AT4" s="53"/>
      <c r="AU4" s="53"/>
      <c r="AV4" s="53"/>
      <c r="AW4" s="54"/>
    </row>
    <row r="5" spans="1:49" ht="13.8" thickBot="1">
      <c r="A5" s="315"/>
      <c r="B5" s="316"/>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02"/>
      <c r="AR5" s="55" t="str">
        <f ca="1">"static const U4  "&amp;AW8&amp;"["&amp;AW10&amp;"]"&amp;" = {"</f>
        <v>static const U4  u4_sp_ALERT_S_ADBZR_LTA_BLKA_CRIT[ALERT_S_ADBZR_LTA_BLKA_NUM_DST] = {</v>
      </c>
      <c r="AS5" s="55" t="str">
        <f ca="1">"static const U4  "&amp;$AW$9&amp;"["&amp;$AW$10&amp;"] = {"</f>
        <v>static const U4  u4_sp_ALERT_S_ADBZR_LTA_BLKA_MASK[ALERT_S_ADBZR_LTA_BLKA_NUM_DST] = {</v>
      </c>
      <c r="AT5" s="55" t="str">
        <f ca="1">"static const U1  "&amp;$AW$11&amp;"["&amp;$AW$10&amp;"] = {"</f>
        <v>static const U1  u1_sp_ALERT_S_ADBZR_LTA_BLKA_DST[ALERT_S_ADBZR_LTA_BLKA_NUM_DST] = {</v>
      </c>
      <c r="AU5" s="55" t="str">
        <f ca="1">"const ST_ALERT_MTRX "&amp;$AW$12&amp;" = {"</f>
        <v>const ST_ALERT_MTRX st_gp_ALERT_S_ADBZR_LTA_MTRX[2] = {</v>
      </c>
      <c r="AV5" s="44" t="str">
        <f ca="1">"#define "&amp;AW10&amp;REPT(" ",41-LEN(AW10))&amp;"("&amp;AW13&amp;"U)"</f>
        <v>#define ALERT_S_ADBZR_LTA_BLKA_NUM_DST           (4U)</v>
      </c>
      <c r="AW5" s="45"/>
    </row>
    <row r="6" spans="1:49">
      <c r="B6" s="105" t="str">
        <f ca="1">"Table "&amp;$AW$6</f>
        <v>Table BLKA</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100" t="s">
        <v>67</v>
      </c>
      <c r="AF6" s="100" t="s">
        <v>67</v>
      </c>
      <c r="AG6" s="100" t="s">
        <v>67</v>
      </c>
      <c r="AH6" s="103">
        <v>0</v>
      </c>
      <c r="AI6" s="103">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251</v>
      </c>
      <c r="AV6" s="27" t="s">
        <v>69</v>
      </c>
      <c r="AW6" s="46" t="str">
        <f ca="1">UPPER(RIGHT(CELL("filename",A1),LEN(CELL("filename",A1))-FIND("]",CELL("filename",A1))))</f>
        <v>BLKA</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40" t="s">
        <v>67</v>
      </c>
      <c r="AF7" s="40" t="s">
        <v>67</v>
      </c>
      <c r="AG7" s="40" t="s">
        <v>67</v>
      </c>
      <c r="AH7" s="103">
        <v>0</v>
      </c>
      <c r="AI7" s="103">
        <v>1</v>
      </c>
      <c r="AJ7" s="30" t="s">
        <v>294</v>
      </c>
      <c r="AL7" t="str">
        <f t="shared" ca="1" si="0"/>
        <v xml:space="preserve">    (U1)ALERT_REQ_S_ADBZR_LTA_BLKA_DBL</v>
      </c>
      <c r="AR7" s="42" t="str">
        <f t="shared" ref="AR7:AR70" si="3">IF(AQ72&lt;&gt;"",AQ72,IF(AQ71&lt;&gt;"","};",""))</f>
        <v xml:space="preserve">    (U4)0x00000001U,                                                           /* 01 DBL                                             */</v>
      </c>
      <c r="AS7" s="42" t="str">
        <f t="shared" ref="AS7:AS70" si="4">IF(AQ137&lt;&gt;"",AQ137,IF(AQ136&lt;&gt;"","};",""))</f>
        <v xml:space="preserve">    (U4)0x00000003U,                                                           /* 01 DBL                                             */</v>
      </c>
      <c r="AT7" s="42" t="str">
        <f t="shared" ca="1" si="1"/>
        <v xml:space="preserve">    (U1)ALERT_REQ_S_ADBZR_LTA_BLKA_DBL,                                        /* 01 DBL                                             */</v>
      </c>
      <c r="AU7" s="42" t="str">
        <f ca="1">"        &amp;"&amp;$AW$14&amp;","&amp;REPT(" ",69-LEN($AW$14))&amp;"/* fp_u4_SRC_CHK                                      */"</f>
        <v xml:space="preserve">        &amp;u4_s_AlertS_adbzr_ltaBlkaSrcchk,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40" t="s">
        <v>67</v>
      </c>
      <c r="AF8" s="40" t="s">
        <v>67</v>
      </c>
      <c r="AG8" s="40" t="s">
        <v>67</v>
      </c>
      <c r="AH8" s="103">
        <v>1</v>
      </c>
      <c r="AI8" s="103">
        <v>0</v>
      </c>
      <c r="AJ8" s="30" t="s">
        <v>32</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8" t="s">
        <v>71</v>
      </c>
      <c r="AW8" s="47" t="str">
        <f ca="1">"u4_sp_ALERT_"&amp;IF(AW6&lt;&gt;AW17,$AW$17&amp;"_"&amp;$AW$6,AW17)&amp;"_CRIT"</f>
        <v>u4_sp_ALERT_S_ADBZR_LTA_BLKA_CRIT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40" t="s">
        <v>67</v>
      </c>
      <c r="AF9" s="40" t="s">
        <v>67</v>
      </c>
      <c r="AG9" s="40" t="s">
        <v>67</v>
      </c>
      <c r="AH9" s="103">
        <v>1</v>
      </c>
      <c r="AI9" s="103">
        <v>1</v>
      </c>
      <c r="AJ9" s="30" t="s">
        <v>32</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8" t="s">
        <v>72</v>
      </c>
      <c r="AW9" s="47" t="str">
        <f ca="1">"u4_sp_ALERT_"&amp;IF(AW6&lt;&gt;AW17,$AW$17&amp;"_"&amp;$AW$6,AW17)&amp;"_MASK"</f>
        <v>u4_sp_ALERT_S_ADBZR_LTA_BLKA_MASK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40" t="s">
        <v>67</v>
      </c>
      <c r="AF10" s="40" t="s">
        <v>67</v>
      </c>
      <c r="AG10" s="40" t="s">
        <v>67</v>
      </c>
      <c r="AH10" s="40" t="s">
        <v>67</v>
      </c>
      <c r="AI10" s="40" t="s">
        <v>67</v>
      </c>
      <c r="AJ10" s="30"/>
      <c r="AL10" t="str">
        <f t="shared" ca="1" si="0"/>
        <v xml:space="preserve">    (U1)ALERT_REQ_S_ADBZR_LTA_BLKA_</v>
      </c>
      <c r="AR10" s="42" t="str">
        <f t="shared" si="3"/>
        <v>};</v>
      </c>
      <c r="AS10" s="42" t="str">
        <f t="shared" si="4"/>
        <v>};</v>
      </c>
      <c r="AT10" s="42" t="str">
        <f t="shared" si="1"/>
        <v>};</v>
      </c>
      <c r="AU10" s="42" t="str">
        <f>IF($AW$7=1,"        &amp;"&amp;$AW$9&amp;"[0],"&amp;REPT(" ",66-LEN($AW$9))&amp;"/* u4p_MASK                                           */","        (const U4 *)vdp_PTR_NA,                                                /* u4p_MASK                                           */")</f>
        <v xml:space="preserve">        (const U4 *)vdp_PTR_NA,                                                /* u4p_MASK                                           */</v>
      </c>
      <c r="AV10" s="28" t="s">
        <v>73</v>
      </c>
      <c r="AW10" s="47" t="str">
        <f ca="1">"ALERT_"&amp;IF(AW6&lt;&gt;AW17,$AW$17&amp;"_"&amp;$AW$6,AW17)&amp;"_NUM_DST"</f>
        <v>ALERT_S_ADBZR_LTA_BLKA_NUM_DST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40" t="s">
        <v>67</v>
      </c>
      <c r="AF11" s="40" t="s">
        <v>67</v>
      </c>
      <c r="AG11" s="40" t="s">
        <v>67</v>
      </c>
      <c r="AH11" s="40" t="s">
        <v>67</v>
      </c>
      <c r="AI11" s="40" t="s">
        <v>67</v>
      </c>
      <c r="AJ11" s="30"/>
      <c r="AL11" t="str">
        <f t="shared" ca="1" si="0"/>
        <v xml:space="preserve">    (U1)ALERT_REQ_S_ADBZR_LTA_BLKA_</v>
      </c>
      <c r="AR11" s="42" t="str">
        <f t="shared" si="3"/>
        <v/>
      </c>
      <c r="AS11" s="42" t="str">
        <f t="shared" si="4"/>
        <v/>
      </c>
      <c r="AT11" s="42" t="str">
        <f t="shared" si="1"/>
        <v/>
      </c>
      <c r="AU11" s="42" t="str">
        <f>IF($AW$7=1,"        &amp;"&amp;$AW$8&amp;"[0],"&amp;REPT(" ",66-LEN($AW$8))&amp;"/* u4p_CRIT                                           */","        (const U4 *)vdp_PTR_NA,                                                /* u4p_CRIT                                           */")</f>
        <v xml:space="preserve">        (const U4 *)vdp_PTR_NA,                                                /* u4p_CRIT                                           */</v>
      </c>
      <c r="AV11" s="28" t="s">
        <v>74</v>
      </c>
      <c r="AW11" s="47" t="str">
        <f ca="1">"u1_sp_ALERT_"&amp;IF(AW6&lt;&gt;AW17,$AW$17&amp;"_"&amp;$AW$6,AW17)&amp;"_DST"</f>
        <v>u1_sp_ALERT_S_ADBZR_LTA_BLKA_DST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40" t="s">
        <v>67</v>
      </c>
      <c r="AF12" s="40" t="s">
        <v>67</v>
      </c>
      <c r="AG12" s="40" t="s">
        <v>67</v>
      </c>
      <c r="AH12" s="40" t="s">
        <v>67</v>
      </c>
      <c r="AI12" s="40" t="s">
        <v>67</v>
      </c>
      <c r="AJ12" s="30"/>
      <c r="AL12" t="str">
        <f t="shared" ca="1" si="0"/>
        <v xml:space="preserve">    (U1)ALERT_REQ_S_ADBZR_LTA_BLKA_</v>
      </c>
      <c r="AR12" s="42" t="str">
        <f t="shared" si="3"/>
        <v/>
      </c>
      <c r="AS12" s="42" t="str">
        <f t="shared" si="4"/>
        <v/>
      </c>
      <c r="AT12" s="42" t="str">
        <f t="shared" si="1"/>
        <v/>
      </c>
      <c r="AU12" s="42"/>
      <c r="AV12" s="28" t="s">
        <v>88</v>
      </c>
      <c r="AW12" s="47" t="str">
        <f ca="1">Matrix!D8&amp;"["&amp;Matrix!D7&amp;"]"</f>
        <v>st_gp_ALERT_S_ADBZR_LTA_MTRX[2]</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40" t="s">
        <v>67</v>
      </c>
      <c r="AF13" s="40" t="s">
        <v>67</v>
      </c>
      <c r="AG13" s="40" t="s">
        <v>67</v>
      </c>
      <c r="AH13" s="40" t="s">
        <v>67</v>
      </c>
      <c r="AI13" s="40" t="s">
        <v>67</v>
      </c>
      <c r="AJ13" s="30"/>
      <c r="AL13" t="str">
        <f t="shared" ca="1" si="0"/>
        <v xml:space="preserve">    (U1)ALERT_REQ_S_ADBZR_LTA_BLKA_</v>
      </c>
      <c r="AR13" s="42" t="str">
        <f t="shared" si="3"/>
        <v/>
      </c>
      <c r="AS13" s="42" t="str">
        <f t="shared" si="4"/>
        <v/>
      </c>
      <c r="AT13" s="42" t="str">
        <f t="shared" si="1"/>
        <v/>
      </c>
      <c r="AU13" s="42" t="str">
        <f ca="1">"        &amp;"&amp;$AW$11&amp;"[0],"&amp;REPT(" ",66-LEN($AW$11))&amp;"/* u1p_DST                                            */"</f>
        <v xml:space="preserve">        &amp;u1_sp_ALERT_S_ADBZR_LTA_BLKA_DST[0],                                  /* u1p_DST                                            */</v>
      </c>
      <c r="AV13" s="28" t="s">
        <v>75</v>
      </c>
      <c r="AW13" s="104">
        <f>COUNTA($AJ$6:$AJ$69)</f>
        <v>4</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40" t="s">
        <v>67</v>
      </c>
      <c r="AF14" s="40" t="s">
        <v>67</v>
      </c>
      <c r="AG14" s="40" t="s">
        <v>67</v>
      </c>
      <c r="AH14" s="40" t="s">
        <v>67</v>
      </c>
      <c r="AI14" s="40" t="s">
        <v>67</v>
      </c>
      <c r="AJ14" s="30"/>
      <c r="AL14" t="str">
        <f t="shared" ca="1" si="0"/>
        <v xml:space="preserve">    (U1)ALERT_REQ_S_ADBZR_LTA_BLKA_</v>
      </c>
      <c r="AR14" s="42" t="str">
        <f t="shared" si="3"/>
        <v/>
      </c>
      <c r="AS14" s="42" t="str">
        <f t="shared" si="4"/>
        <v/>
      </c>
      <c r="AT14" s="42" t="str">
        <f t="shared" si="1"/>
        <v/>
      </c>
      <c r="AU14" s="42" t="str">
        <f ca="1">"        (U2)"&amp;$AW$10&amp;","&amp;REPT(" ",66-LEN($AW$10))&amp;"/* u2_num_srch                                        */"</f>
        <v xml:space="preserve">        (U2)ALERT_S_ADBZR_LTA_BLKA_NUM_DST,                                    /* u2_num_srch                                        */</v>
      </c>
      <c r="AV14" s="28" t="s">
        <v>76</v>
      </c>
      <c r="AW14" s="47" t="str">
        <f ca="1">IF(AW6&lt;&gt;AW17,VLOOKUP(AW6,Matrix!$C$13:$G$35,4,FALSE),Matrix!F13)</f>
        <v>u4_s_AlertS_adbzr_ltaBlkaSrcchk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40" t="s">
        <v>67</v>
      </c>
      <c r="AF15" s="40" t="s">
        <v>67</v>
      </c>
      <c r="AG15" s="40" t="s">
        <v>67</v>
      </c>
      <c r="AH15" s="40" t="s">
        <v>67</v>
      </c>
      <c r="AI15" s="40" t="s">
        <v>67</v>
      </c>
      <c r="AJ15" s="30"/>
      <c r="AL15" t="str">
        <f t="shared" ca="1" si="0"/>
        <v xml:space="preserve">    (U1)ALERT_REQ_S_ADBZR_LTA_BLKA_</v>
      </c>
      <c r="AR15" s="42" t="str">
        <f t="shared" si="3"/>
        <v/>
      </c>
      <c r="AS15" s="42" t="str">
        <f t="shared" si="4"/>
        <v/>
      </c>
      <c r="AT15" s="42" t="str">
        <f t="shared" si="1"/>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40" t="s">
        <v>67</v>
      </c>
      <c r="AF16" s="40" t="s">
        <v>67</v>
      </c>
      <c r="AG16" s="40" t="s">
        <v>67</v>
      </c>
      <c r="AH16" s="40" t="s">
        <v>67</v>
      </c>
      <c r="AI16" s="40" t="s">
        <v>67</v>
      </c>
      <c r="AJ16" s="30"/>
      <c r="AL16" t="str">
        <f t="shared" ca="1" si="0"/>
        <v xml:space="preserve">    (U1)ALERT_REQ_S_ADBZR_LTA_BLKA_</v>
      </c>
      <c r="AR16" s="42" t="str">
        <f t="shared" si="3"/>
        <v/>
      </c>
      <c r="AS16" s="42" t="str">
        <f t="shared" si="4"/>
        <v/>
      </c>
      <c r="AT16" s="42" t="str">
        <f t="shared" si="1"/>
        <v/>
      </c>
      <c r="AU16" s="42" t="s">
        <v>68</v>
      </c>
      <c r="AV16" s="28" t="s">
        <v>77</v>
      </c>
      <c r="AW16" s="47" t="str">
        <f ca="1">IF(AW6&lt;&gt;AW17,VLOOKUP(AW6,Matrix!$C$13:$G$35,2,FALSE),Matrix!D13)</f>
        <v>ALERT_VOM_IGN_ON</v>
      </c>
    </row>
    <row r="17" spans="2:49" ht="13.8"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40" t="s">
        <v>67</v>
      </c>
      <c r="AF17" s="40" t="s">
        <v>67</v>
      </c>
      <c r="AG17" s="40" t="s">
        <v>67</v>
      </c>
      <c r="AH17" s="40" t="s">
        <v>67</v>
      </c>
      <c r="AI17" s="40" t="s">
        <v>67</v>
      </c>
      <c r="AJ17" s="30"/>
      <c r="AL17" t="str">
        <f t="shared" ca="1" si="0"/>
        <v xml:space="preserve">    (U1)ALERT_REQ_S_ADBZR_LTA_BLKA_</v>
      </c>
      <c r="AR17" s="42" t="str">
        <f t="shared" si="3"/>
        <v/>
      </c>
      <c r="AS17" s="42" t="str">
        <f t="shared" si="4"/>
        <v/>
      </c>
      <c r="AT17" s="42" t="str">
        <f t="shared" si="1"/>
        <v/>
      </c>
      <c r="AU17" s="43" t="s">
        <v>80</v>
      </c>
      <c r="AV17" s="29" t="s">
        <v>78</v>
      </c>
      <c r="AW17" s="48" t="str">
        <f ca="1">UPPER(Matrix!$D$6)</f>
        <v>S_ADBZR_LTA</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40" t="s">
        <v>67</v>
      </c>
      <c r="AF18" s="40" t="s">
        <v>67</v>
      </c>
      <c r="AG18" s="40" t="s">
        <v>67</v>
      </c>
      <c r="AH18" s="40" t="s">
        <v>67</v>
      </c>
      <c r="AI18" s="40" t="s">
        <v>67</v>
      </c>
      <c r="AJ18" s="30"/>
      <c r="AL18" t="str">
        <f t="shared" ca="1" si="0"/>
        <v xml:space="preserve">    (U1)ALERT_REQ_S_ADBZR_LTA_BLKA_</v>
      </c>
      <c r="AR18" s="42" t="str">
        <f t="shared" si="3"/>
        <v/>
      </c>
      <c r="AS18" s="42" t="str">
        <f t="shared" si="4"/>
        <v/>
      </c>
      <c r="AT18" s="42" t="str">
        <f t="shared" si="1"/>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40" t="s">
        <v>67</v>
      </c>
      <c r="AF19" s="40" t="s">
        <v>67</v>
      </c>
      <c r="AG19" s="40" t="s">
        <v>67</v>
      </c>
      <c r="AH19" s="40" t="s">
        <v>67</v>
      </c>
      <c r="AI19" s="40" t="s">
        <v>67</v>
      </c>
      <c r="AJ19" s="30"/>
      <c r="AL19" t="str">
        <f t="shared" ca="1" si="0"/>
        <v xml:space="preserve">    (U1)ALERT_REQ_S_ADBZR_LTA_BLKA_</v>
      </c>
      <c r="AR19" s="42" t="str">
        <f t="shared" si="3"/>
        <v/>
      </c>
      <c r="AS19" s="42" t="str">
        <f t="shared" si="4"/>
        <v/>
      </c>
      <c r="AT19" s="42" t="str">
        <f t="shared" si="1"/>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40" t="s">
        <v>67</v>
      </c>
      <c r="AF20" s="40" t="s">
        <v>67</v>
      </c>
      <c r="AG20" s="40" t="s">
        <v>67</v>
      </c>
      <c r="AH20" s="40" t="s">
        <v>67</v>
      </c>
      <c r="AI20" s="40" t="s">
        <v>67</v>
      </c>
      <c r="AJ20" s="30"/>
      <c r="AL20" t="str">
        <f t="shared" ca="1" si="0"/>
        <v xml:space="preserve">    (U1)ALERT_REQ_S_ADBZR_LTA_BLKA_</v>
      </c>
      <c r="AR20" s="42" t="str">
        <f t="shared" si="3"/>
        <v/>
      </c>
      <c r="AS20" s="42" t="str">
        <f t="shared" si="4"/>
        <v/>
      </c>
      <c r="AT20" s="42" t="str">
        <f t="shared" si="1"/>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40" t="s">
        <v>67</v>
      </c>
      <c r="AF21" s="40" t="s">
        <v>67</v>
      </c>
      <c r="AG21" s="40" t="s">
        <v>67</v>
      </c>
      <c r="AH21" s="40" t="s">
        <v>67</v>
      </c>
      <c r="AI21" s="40" t="s">
        <v>67</v>
      </c>
      <c r="AJ21" s="30"/>
      <c r="AL21" t="str">
        <f t="shared" ca="1" si="0"/>
        <v xml:space="preserve">    (U1)ALERT_REQ_S_ADBZR_LTA_BLKA_</v>
      </c>
      <c r="AR21" s="42" t="str">
        <f t="shared" si="3"/>
        <v/>
      </c>
      <c r="AS21" s="42" t="str">
        <f t="shared" si="4"/>
        <v/>
      </c>
      <c r="AT21" s="42" t="str">
        <f t="shared" si="1"/>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40" t="s">
        <v>67</v>
      </c>
      <c r="AF22" s="40" t="s">
        <v>67</v>
      </c>
      <c r="AG22" s="40" t="s">
        <v>67</v>
      </c>
      <c r="AH22" s="40" t="s">
        <v>67</v>
      </c>
      <c r="AI22" s="40" t="s">
        <v>67</v>
      </c>
      <c r="AJ22" s="30"/>
      <c r="AL22" t="str">
        <f t="shared" ca="1" si="0"/>
        <v xml:space="preserve">    (U1)ALERT_REQ_S_ADBZR_LTA_BLKA_</v>
      </c>
      <c r="AR22" s="42" t="str">
        <f t="shared" si="3"/>
        <v/>
      </c>
      <c r="AS22" s="42" t="str">
        <f t="shared" si="4"/>
        <v/>
      </c>
      <c r="AT22" s="42" t="str">
        <f t="shared" si="1"/>
        <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40" t="s">
        <v>67</v>
      </c>
      <c r="AF23" s="40" t="s">
        <v>67</v>
      </c>
      <c r="AG23" s="40" t="s">
        <v>67</v>
      </c>
      <c r="AH23" s="40" t="s">
        <v>67</v>
      </c>
      <c r="AI23" s="40" t="s">
        <v>67</v>
      </c>
      <c r="AJ23" s="30"/>
      <c r="AL23" t="str">
        <f t="shared" ca="1" si="0"/>
        <v xml:space="preserve">    (U1)ALERT_REQ_S_ADBZR_LTA_BLKA_</v>
      </c>
      <c r="AR23" s="42" t="str">
        <f t="shared" si="3"/>
        <v/>
      </c>
      <c r="AS23" s="42" t="str">
        <f t="shared" si="4"/>
        <v/>
      </c>
      <c r="AT23" s="42" t="str">
        <f t="shared" si="1"/>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40" t="s">
        <v>67</v>
      </c>
      <c r="AF24" s="40" t="s">
        <v>67</v>
      </c>
      <c r="AG24" s="40" t="s">
        <v>67</v>
      </c>
      <c r="AH24" s="40" t="s">
        <v>67</v>
      </c>
      <c r="AI24" s="40" t="s">
        <v>67</v>
      </c>
      <c r="AJ24" s="30"/>
      <c r="AL24" t="str">
        <f t="shared" ca="1" si="0"/>
        <v xml:space="preserve">    (U1)ALERT_REQ_S_ADBZR_LTA_BLKA_</v>
      </c>
      <c r="AR24" s="42" t="str">
        <f t="shared" si="3"/>
        <v/>
      </c>
      <c r="AS24" s="42" t="str">
        <f t="shared" si="4"/>
        <v/>
      </c>
      <c r="AT24" s="42" t="str">
        <f t="shared" si="1"/>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40" t="s">
        <v>67</v>
      </c>
      <c r="AF25" s="40" t="s">
        <v>67</v>
      </c>
      <c r="AG25" s="40" t="s">
        <v>67</v>
      </c>
      <c r="AH25" s="40" t="s">
        <v>67</v>
      </c>
      <c r="AI25" s="40" t="s">
        <v>67</v>
      </c>
      <c r="AJ25" s="30"/>
      <c r="AL25" t="str">
        <f t="shared" ca="1" si="0"/>
        <v xml:space="preserve">    (U1)ALERT_REQ_S_ADBZR_LTA_BLKA_</v>
      </c>
      <c r="AR25" s="42" t="str">
        <f t="shared" si="3"/>
        <v/>
      </c>
      <c r="AS25" s="42" t="str">
        <f t="shared" si="4"/>
        <v/>
      </c>
      <c r="AT25" s="42" t="str">
        <f t="shared" si="1"/>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40" t="s">
        <v>67</v>
      </c>
      <c r="AF26" s="40" t="s">
        <v>67</v>
      </c>
      <c r="AG26" s="40" t="s">
        <v>67</v>
      </c>
      <c r="AH26" s="40" t="s">
        <v>67</v>
      </c>
      <c r="AI26" s="40" t="s">
        <v>67</v>
      </c>
      <c r="AJ26" s="30"/>
      <c r="AL26" t="str">
        <f t="shared" ca="1" si="0"/>
        <v xml:space="preserve">    (U1)ALERT_REQ_S_ADBZR_LTA_BLKA_</v>
      </c>
      <c r="AR26" s="42" t="str">
        <f t="shared" si="3"/>
        <v/>
      </c>
      <c r="AS26" s="42" t="str">
        <f t="shared" si="4"/>
        <v/>
      </c>
      <c r="AT26" s="42" t="str">
        <f t="shared" si="1"/>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40" t="s">
        <v>67</v>
      </c>
      <c r="AF27" s="40" t="s">
        <v>67</v>
      </c>
      <c r="AG27" s="40" t="s">
        <v>67</v>
      </c>
      <c r="AH27" s="40" t="s">
        <v>67</v>
      </c>
      <c r="AI27" s="40" t="s">
        <v>67</v>
      </c>
      <c r="AJ27" s="30"/>
      <c r="AL27" t="str">
        <f t="shared" ca="1" si="0"/>
        <v xml:space="preserve">    (U1)ALERT_REQ_S_ADBZR_LTA_BLKA_</v>
      </c>
      <c r="AR27" s="42" t="str">
        <f t="shared" si="3"/>
        <v/>
      </c>
      <c r="AS27" s="42" t="str">
        <f t="shared" si="4"/>
        <v/>
      </c>
      <c r="AT27" s="42" t="str">
        <f t="shared" si="1"/>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40" t="s">
        <v>67</v>
      </c>
      <c r="AF28" s="40" t="s">
        <v>67</v>
      </c>
      <c r="AG28" s="40" t="s">
        <v>67</v>
      </c>
      <c r="AH28" s="40" t="s">
        <v>67</v>
      </c>
      <c r="AI28" s="40" t="s">
        <v>67</v>
      </c>
      <c r="AJ28" s="30"/>
      <c r="AL28" t="str">
        <f t="shared" ca="1" si="0"/>
        <v xml:space="preserve">    (U1)ALERT_REQ_S_ADBZR_LTA_BLKA_</v>
      </c>
      <c r="AR28" s="42" t="str">
        <f t="shared" si="3"/>
        <v/>
      </c>
      <c r="AS28" s="42" t="str">
        <f t="shared" si="4"/>
        <v/>
      </c>
      <c r="AT28" s="42" t="str">
        <f t="shared" si="1"/>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40" t="s">
        <v>67</v>
      </c>
      <c r="AF29" s="40" t="s">
        <v>67</v>
      </c>
      <c r="AG29" s="40" t="s">
        <v>67</v>
      </c>
      <c r="AH29" s="40" t="s">
        <v>67</v>
      </c>
      <c r="AI29" s="40" t="s">
        <v>67</v>
      </c>
      <c r="AJ29" s="30"/>
      <c r="AL29" t="str">
        <f t="shared" ca="1" si="0"/>
        <v xml:space="preserve">    (U1)ALERT_REQ_S_ADBZR_LTA_BLKA_</v>
      </c>
      <c r="AR29" s="42" t="str">
        <f t="shared" si="3"/>
        <v/>
      </c>
      <c r="AS29" s="42" t="str">
        <f t="shared" si="4"/>
        <v/>
      </c>
      <c r="AT29" s="42" t="str">
        <f t="shared" si="1"/>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40" t="s">
        <v>67</v>
      </c>
      <c r="AF30" s="40" t="s">
        <v>67</v>
      </c>
      <c r="AG30" s="40" t="s">
        <v>67</v>
      </c>
      <c r="AH30" s="40" t="s">
        <v>67</v>
      </c>
      <c r="AI30" s="40" t="s">
        <v>67</v>
      </c>
      <c r="AJ30" s="30"/>
      <c r="AL30" t="str">
        <f t="shared" ca="1" si="0"/>
        <v xml:space="preserve">    (U1)ALERT_REQ_S_ADBZR_LTA_BLKA_</v>
      </c>
      <c r="AR30" s="42" t="str">
        <f t="shared" si="3"/>
        <v/>
      </c>
      <c r="AS30" s="42" t="str">
        <f t="shared" si="4"/>
        <v/>
      </c>
      <c r="AT30" s="42" t="str">
        <f t="shared" si="1"/>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40" t="s">
        <v>67</v>
      </c>
      <c r="AF31" s="40" t="s">
        <v>67</v>
      </c>
      <c r="AG31" s="40" t="s">
        <v>67</v>
      </c>
      <c r="AH31" s="40" t="s">
        <v>67</v>
      </c>
      <c r="AI31" s="40" t="s">
        <v>67</v>
      </c>
      <c r="AJ31" s="30"/>
      <c r="AL31" t="str">
        <f t="shared" ca="1" si="0"/>
        <v xml:space="preserve">    (U1)ALERT_REQ_S_ADBZR_LTA_BLKA_</v>
      </c>
      <c r="AR31" s="42" t="str">
        <f t="shared" si="3"/>
        <v/>
      </c>
      <c r="AS31" s="42" t="str">
        <f t="shared" si="4"/>
        <v/>
      </c>
      <c r="AT31" s="42" t="str">
        <f t="shared" si="1"/>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40" t="s">
        <v>67</v>
      </c>
      <c r="AF32" s="40" t="s">
        <v>67</v>
      </c>
      <c r="AG32" s="40" t="s">
        <v>67</v>
      </c>
      <c r="AH32" s="40" t="s">
        <v>67</v>
      </c>
      <c r="AI32" s="40" t="s">
        <v>67</v>
      </c>
      <c r="AJ32" s="30"/>
      <c r="AL32" t="str">
        <f t="shared" ca="1" si="0"/>
        <v xml:space="preserve">    (U1)ALERT_REQ_S_ADBZR_LTA_BLKA_</v>
      </c>
      <c r="AR32" s="42" t="str">
        <f t="shared" si="3"/>
        <v/>
      </c>
      <c r="AS32" s="42" t="str">
        <f t="shared" si="4"/>
        <v/>
      </c>
      <c r="AT32" s="42" t="str">
        <f t="shared" si="1"/>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40" t="s">
        <v>67</v>
      </c>
      <c r="AF33" s="40" t="s">
        <v>67</v>
      </c>
      <c r="AG33" s="40" t="s">
        <v>67</v>
      </c>
      <c r="AH33" s="40" t="s">
        <v>67</v>
      </c>
      <c r="AI33" s="40" t="s">
        <v>67</v>
      </c>
      <c r="AJ33" s="30"/>
      <c r="AL33" t="str">
        <f t="shared" ca="1" si="0"/>
        <v xml:space="preserve">    (U1)ALERT_REQ_S_ADBZR_LTA_BLKA_</v>
      </c>
      <c r="AR33" s="42" t="str">
        <f t="shared" si="3"/>
        <v/>
      </c>
      <c r="AS33" s="42" t="str">
        <f t="shared" si="4"/>
        <v/>
      </c>
      <c r="AT33" s="42" t="str">
        <f t="shared" si="1"/>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40" t="s">
        <v>67</v>
      </c>
      <c r="AF34" s="40" t="s">
        <v>67</v>
      </c>
      <c r="AG34" s="40" t="s">
        <v>67</v>
      </c>
      <c r="AH34" s="40" t="s">
        <v>67</v>
      </c>
      <c r="AI34" s="40" t="s">
        <v>67</v>
      </c>
      <c r="AJ34" s="30"/>
      <c r="AL34" t="str">
        <f t="shared" ca="1" si="0"/>
        <v xml:space="preserve">    (U1)ALERT_REQ_S_ADBZR_LTA_BLKA_</v>
      </c>
      <c r="AR34" s="42" t="str">
        <f t="shared" si="3"/>
        <v/>
      </c>
      <c r="AS34" s="42" t="str">
        <f t="shared" si="4"/>
        <v/>
      </c>
      <c r="AT34" s="42" t="str">
        <f t="shared" si="1"/>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40" t="s">
        <v>67</v>
      </c>
      <c r="AF35" s="40" t="s">
        <v>67</v>
      </c>
      <c r="AG35" s="40" t="s">
        <v>67</v>
      </c>
      <c r="AH35" s="40" t="s">
        <v>67</v>
      </c>
      <c r="AI35" s="40" t="s">
        <v>67</v>
      </c>
      <c r="AJ35" s="30"/>
      <c r="AL35" t="str">
        <f t="shared" ca="1" si="0"/>
        <v xml:space="preserve">    (U1)ALERT_REQ_S_ADBZR_LTA_BLKA_</v>
      </c>
      <c r="AR35" s="42" t="str">
        <f t="shared" si="3"/>
        <v/>
      </c>
      <c r="AS35" s="42" t="str">
        <f t="shared" si="4"/>
        <v/>
      </c>
      <c r="AT35" s="42" t="str">
        <f t="shared" si="1"/>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40" t="s">
        <v>67</v>
      </c>
      <c r="AF36" s="40" t="s">
        <v>67</v>
      </c>
      <c r="AG36" s="40" t="s">
        <v>67</v>
      </c>
      <c r="AH36" s="40" t="s">
        <v>67</v>
      </c>
      <c r="AI36" s="40" t="s">
        <v>67</v>
      </c>
      <c r="AJ36" s="30"/>
      <c r="AL36" t="str">
        <f t="shared" ca="1" si="0"/>
        <v xml:space="preserve">    (U1)ALERT_REQ_S_ADBZR_LTA_BLKA_</v>
      </c>
      <c r="AR36" s="42" t="str">
        <f t="shared" si="3"/>
        <v/>
      </c>
      <c r="AS36" s="42" t="str">
        <f t="shared" si="4"/>
        <v/>
      </c>
      <c r="AT36" s="42" t="str">
        <f t="shared" si="1"/>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40" t="s">
        <v>67</v>
      </c>
      <c r="AF37" s="40" t="s">
        <v>67</v>
      </c>
      <c r="AG37" s="40" t="s">
        <v>67</v>
      </c>
      <c r="AH37" s="40" t="s">
        <v>67</v>
      </c>
      <c r="AI37" s="40" t="s">
        <v>67</v>
      </c>
      <c r="AJ37" s="30"/>
      <c r="AL37" t="str">
        <f t="shared" ca="1" si="0"/>
        <v xml:space="preserve">    (U1)ALERT_REQ_S_ADBZR_LTA_BLKA_</v>
      </c>
      <c r="AR37" s="42" t="str">
        <f t="shared" si="3"/>
        <v/>
      </c>
      <c r="AS37" s="42" t="str">
        <f t="shared" si="4"/>
        <v/>
      </c>
      <c r="AT37" s="42" t="str">
        <f t="shared" si="1"/>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30"/>
      <c r="AL38" t="str">
        <f t="shared" ca="1" si="0"/>
        <v xml:space="preserve">    (U1)ALERT_REQ_S_ADBZR_LTA_BLKA_</v>
      </c>
      <c r="AR38" s="42" t="str">
        <f t="shared" si="3"/>
        <v/>
      </c>
      <c r="AS38" s="42" t="str">
        <f t="shared" si="4"/>
        <v/>
      </c>
      <c r="AT38" s="42" t="str">
        <f t="shared" si="1"/>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30"/>
      <c r="AL39" t="str">
        <f t="shared" ca="1" si="0"/>
        <v xml:space="preserve">    (U1)ALERT_REQ_S_ADBZR_LTA_BLKA_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30"/>
      <c r="AL40" t="str">
        <f t="shared" ca="1" si="0"/>
        <v xml:space="preserve">    (U1)ALERT_REQ_S_ADBZR_LTA_BLKA_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30"/>
      <c r="AL41" t="str">
        <f t="shared" ca="1" si="0"/>
        <v xml:space="preserve">    (U1)ALERT_REQ_S_ADBZR_LTA_BLKA_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30"/>
      <c r="AL42" t="str">
        <f t="shared" ca="1" si="0"/>
        <v xml:space="preserve">    (U1)ALERT_REQ_S_ADBZR_LTA_BLKA_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30"/>
      <c r="AL43" t="str">
        <f t="shared" ca="1" si="0"/>
        <v xml:space="preserve">    (U1)ALERT_REQ_S_ADBZR_LTA_BLKA_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30"/>
      <c r="AL44" t="str">
        <f t="shared" ca="1" si="0"/>
        <v xml:space="preserve">    (U1)ALERT_REQ_S_ADBZR_LTA_BLKA_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30"/>
      <c r="AL45" t="str">
        <f t="shared" ca="1" si="0"/>
        <v xml:space="preserve">    (U1)ALERT_REQ_S_ADBZR_LTA_BLKA_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30"/>
      <c r="AL46" t="str">
        <f t="shared" ca="1" si="0"/>
        <v xml:space="preserve">    (U1)ALERT_REQ_S_ADBZR_LTA_BLKA_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30"/>
      <c r="AL47" t="str">
        <f t="shared" ca="1" si="0"/>
        <v xml:space="preserve">    (U1)ALERT_REQ_S_ADBZR_LTA_BLKA_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30"/>
      <c r="AL48" t="str">
        <f t="shared" ca="1" si="0"/>
        <v xml:space="preserve">    (U1)ALERT_REQ_S_ADBZR_LTA_BLKA_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30"/>
      <c r="AL49" t="str">
        <f t="shared" ca="1" si="0"/>
        <v xml:space="preserve">    (U1)ALERT_REQ_S_ADBZR_LTA_BLKA_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30"/>
      <c r="AL50" t="str">
        <f t="shared" ca="1" si="0"/>
        <v xml:space="preserve">    (U1)ALERT_REQ_S_ADBZR_LTA_BLKA_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30"/>
      <c r="AL51" t="str">
        <f t="shared" ca="1" si="0"/>
        <v xml:space="preserve">    (U1)ALERT_REQ_S_ADBZR_LTA_BLKA_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30"/>
      <c r="AL52" t="str">
        <f t="shared" ca="1" si="0"/>
        <v xml:space="preserve">    (U1)ALERT_REQ_S_ADBZR_LTA_BLKA_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30"/>
      <c r="AL53" t="str">
        <f t="shared" ca="1" si="0"/>
        <v xml:space="preserve">    (U1)ALERT_REQ_S_ADBZR_LTA_BLKA_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30"/>
      <c r="AL54" t="str">
        <f t="shared" ca="1" si="0"/>
        <v xml:space="preserve">    (U1)ALERT_REQ_S_ADBZR_LTA_BLKA_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30"/>
      <c r="AL55" t="str">
        <f t="shared" ca="1" si="0"/>
        <v xml:space="preserve">    (U1)ALERT_REQ_S_ADBZR_LTA_BLKA_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30"/>
      <c r="AL56" t="str">
        <f t="shared" ca="1" si="0"/>
        <v xml:space="preserve">    (U1)ALERT_REQ_S_ADBZR_LTA_BLKA_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30"/>
      <c r="AL57" t="str">
        <f t="shared" ca="1" si="0"/>
        <v xml:space="preserve">    (U1)ALERT_REQ_S_ADBZR_LTA_BLKA_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30"/>
      <c r="AL58" t="str">
        <f t="shared" ca="1" si="0"/>
        <v xml:space="preserve">    (U1)ALERT_REQ_S_ADBZR_LTA_BLKA_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30"/>
      <c r="AL59" t="str">
        <f t="shared" ca="1" si="0"/>
        <v xml:space="preserve">    (U1)ALERT_REQ_S_ADBZR_LTA_BLKA_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30"/>
      <c r="AL60" t="str">
        <f t="shared" ca="1" si="0"/>
        <v xml:space="preserve">    (U1)ALERT_REQ_S_ADBZR_LTA_BLKA_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30"/>
      <c r="AL61" t="str">
        <f t="shared" ca="1" si="0"/>
        <v xml:space="preserve">    (U1)ALERT_REQ_S_ADBZR_LTA_BLKA_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30"/>
      <c r="AL62" t="str">
        <f t="shared" ca="1" si="0"/>
        <v xml:space="preserve">    (U1)ALERT_REQ_S_ADBZR_LTA_BLKA_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30"/>
      <c r="AL63" t="str">
        <f t="shared" ca="1" si="0"/>
        <v xml:space="preserve">    (U1)ALERT_REQ_S_ADBZR_LTA_BLKA_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30"/>
      <c r="AL64" t="str">
        <f t="shared" ca="1" si="0"/>
        <v xml:space="preserve">    (U1)ALERT_REQ_S_ADBZR_LTA_BLKA_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30"/>
      <c r="AL65" t="str">
        <f t="shared" ca="1" si="0"/>
        <v xml:space="preserve">    (U1)ALERT_REQ_S_ADBZR_LTA_BLKA_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30"/>
      <c r="AL66" t="str">
        <f t="shared" ca="1" si="0"/>
        <v xml:space="preserve">    (U1)ALERT_REQ_S_ADBZR_LTA_BLKA_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30"/>
      <c r="AL67" t="str">
        <f t="shared" ca="1" si="0"/>
        <v xml:space="preserve">    (U1)ALERT_REQ_S_ADBZR_LTA_BLKA_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30"/>
      <c r="AL68" t="str">
        <f t="shared" ca="1" si="0"/>
        <v xml:space="preserve">    (U1)ALERT_REQ_S_ADBZR_LTA_BLKA_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30"/>
      <c r="AL69" t="str">
        <f t="shared" ca="1" si="0"/>
        <v xml:space="preserve">    (U1)ALERT_REQ_S_ADBZR_LTA_BLKA_</v>
      </c>
      <c r="AR69" s="42" t="str">
        <f t="shared" si="3"/>
        <v/>
      </c>
      <c r="AS69" s="42" t="str">
        <f t="shared" si="4"/>
        <v/>
      </c>
      <c r="AT69" s="42" t="str">
        <f t="shared" si="1"/>
        <v/>
      </c>
    </row>
    <row r="70" spans="1:46" ht="13.8"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BLKA</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DBL</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DBL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UNKNOWN</v>
      </c>
      <c r="AK73" s="39"/>
      <c r="AL73" s="39" t="str">
        <f t="shared" si="10"/>
        <v>02</v>
      </c>
      <c r="AM73" s="41" t="str">
        <f t="shared" si="11"/>
        <v>00</v>
      </c>
      <c r="AN73" s="41" t="str">
        <f t="shared" si="12"/>
        <v>00</v>
      </c>
      <c r="AO73" s="41" t="str">
        <f t="shared" si="13"/>
        <v>00</v>
      </c>
      <c r="AQ73" t="str">
        <f t="shared" si="8"/>
        <v xml:space="preserve">    (U4)0x00000002U,                                                           /* 02 UNKNOWN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UNKNOWN</v>
      </c>
      <c r="AK74" s="39"/>
      <c r="AL74" s="39" t="str">
        <f t="shared" si="10"/>
        <v>03</v>
      </c>
      <c r="AM74" s="41" t="str">
        <f t="shared" si="11"/>
        <v>00</v>
      </c>
      <c r="AN74" s="41" t="str">
        <f t="shared" si="12"/>
        <v>00</v>
      </c>
      <c r="AO74" s="41" t="str">
        <f t="shared" si="13"/>
        <v>00</v>
      </c>
      <c r="AQ74" t="str">
        <f t="shared" si="8"/>
        <v xml:space="preserve">    (U4)0x00000003U                                                            /* 03 UNKNOWN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0</v>
      </c>
      <c r="AH75" s="97">
        <f t="shared" si="6"/>
        <v>0</v>
      </c>
      <c r="AI75" s="97">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0</v>
      </c>
      <c r="AH76" s="97">
        <f t="shared" si="6"/>
        <v>0</v>
      </c>
      <c r="AI76" s="97">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0</v>
      </c>
      <c r="AH77" s="97">
        <f t="shared" si="6"/>
        <v>0</v>
      </c>
      <c r="AI77" s="97">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0</v>
      </c>
      <c r="AH78" s="97">
        <f t="shared" si="6"/>
        <v>0</v>
      </c>
      <c r="AI78" s="97">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0</v>
      </c>
      <c r="AG79" s="97">
        <f t="shared" si="15"/>
        <v>0</v>
      </c>
      <c r="AH79" s="97">
        <f t="shared" si="15"/>
        <v>0</v>
      </c>
      <c r="AI79" s="97">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0</v>
      </c>
      <c r="AG80" s="97">
        <f t="shared" si="15"/>
        <v>0</v>
      </c>
      <c r="AH80" s="97">
        <f t="shared" si="15"/>
        <v>0</v>
      </c>
      <c r="AI80" s="97">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0</v>
      </c>
      <c r="AG81" s="97">
        <f t="shared" si="15"/>
        <v>0</v>
      </c>
      <c r="AH81" s="97">
        <f t="shared" si="15"/>
        <v>0</v>
      </c>
      <c r="AI81" s="97">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0</v>
      </c>
      <c r="AG82" s="97">
        <f t="shared" si="15"/>
        <v>0</v>
      </c>
      <c r="AH82" s="97">
        <f t="shared" si="15"/>
        <v>0</v>
      </c>
      <c r="AI82" s="97">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0</v>
      </c>
      <c r="AG83" s="97">
        <f t="shared" si="15"/>
        <v>0</v>
      </c>
      <c r="AH83" s="97">
        <f t="shared" si="15"/>
        <v>0</v>
      </c>
      <c r="AI83" s="97">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0</v>
      </c>
      <c r="AG84" s="97">
        <f t="shared" si="15"/>
        <v>0</v>
      </c>
      <c r="AH84" s="97">
        <f t="shared" si="15"/>
        <v>0</v>
      </c>
      <c r="AI84" s="97">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0</v>
      </c>
      <c r="AG85" s="97">
        <f t="shared" si="15"/>
        <v>0</v>
      </c>
      <c r="AH85" s="97">
        <f t="shared" si="15"/>
        <v>0</v>
      </c>
      <c r="AI85" s="97">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0</v>
      </c>
      <c r="AG86" s="97">
        <f t="shared" si="15"/>
        <v>0</v>
      </c>
      <c r="AH86" s="97">
        <f t="shared" si="15"/>
        <v>0</v>
      </c>
      <c r="AI86" s="97">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BLKA</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0</v>
      </c>
      <c r="AG136" s="97">
        <f t="shared" si="29"/>
        <v>0</v>
      </c>
      <c r="AH136" s="97">
        <f t="shared" si="29"/>
        <v>1</v>
      </c>
      <c r="AI136" s="97">
        <f t="shared" si="29"/>
        <v>1</v>
      </c>
      <c r="AJ136" s="26" t="str">
        <f t="shared" ref="AJ136:AJ199" si="30">IF(AJ6&lt;&gt;"",AJ6,"")</f>
        <v>UNKNOWN</v>
      </c>
      <c r="AK136" s="39"/>
      <c r="AL136" s="39" t="str">
        <f>BIN2HEX(AB136&amp;AC136&amp;AD136&amp;AE136&amp;AF136&amp;AG136&amp;AH136&amp;AI136,2)</f>
        <v>03</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0</v>
      </c>
      <c r="AG137" s="97">
        <f t="shared" si="29"/>
        <v>0</v>
      </c>
      <c r="AH137" s="97">
        <f t="shared" si="29"/>
        <v>1</v>
      </c>
      <c r="AI137" s="97">
        <f t="shared" si="29"/>
        <v>1</v>
      </c>
      <c r="AJ137" s="26" t="str">
        <f t="shared" si="30"/>
        <v>DBL</v>
      </c>
      <c r="AK137" s="39"/>
      <c r="AL137" s="39" t="str">
        <f t="shared" ref="AL137:AL199" si="33">BIN2HEX(AB137&amp;AC137&amp;AD137&amp;AE137&amp;AF137&amp;AG137&amp;AH137&amp;AI137,2)</f>
        <v>03</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(U4)0x00000003U,                                                           /* 01 DBL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0</v>
      </c>
      <c r="AG138" s="97">
        <f t="shared" si="29"/>
        <v>0</v>
      </c>
      <c r="AH138" s="97">
        <f t="shared" si="29"/>
        <v>1</v>
      </c>
      <c r="AI138" s="97">
        <f t="shared" si="29"/>
        <v>1</v>
      </c>
      <c r="AJ138" s="26" t="str">
        <f t="shared" si="30"/>
        <v>UNKNOWN</v>
      </c>
      <c r="AK138" s="39"/>
      <c r="AL138" s="39" t="str">
        <f t="shared" si="33"/>
        <v>03</v>
      </c>
      <c r="AM138" s="41" t="str">
        <f t="shared" si="34"/>
        <v>00</v>
      </c>
      <c r="AN138" s="41" t="str">
        <f t="shared" si="35"/>
        <v>00</v>
      </c>
      <c r="AO138" s="41" t="str">
        <f t="shared" si="36"/>
        <v>00</v>
      </c>
      <c r="AQ138" t="str">
        <f t="shared" si="31"/>
        <v xml:space="preserve">    (U4)0x00000003U,                                                           /* 02 UNKNOWN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0</v>
      </c>
      <c r="AG139" s="97">
        <f t="shared" si="29"/>
        <v>0</v>
      </c>
      <c r="AH139" s="97">
        <f t="shared" si="29"/>
        <v>1</v>
      </c>
      <c r="AI139" s="97">
        <f t="shared" si="29"/>
        <v>1</v>
      </c>
      <c r="AJ139" s="26" t="str">
        <f t="shared" si="30"/>
        <v>UNKNOWN</v>
      </c>
      <c r="AK139" s="39"/>
      <c r="AL139" s="39" t="str">
        <f t="shared" si="33"/>
        <v>03</v>
      </c>
      <c r="AM139" s="41" t="str">
        <f t="shared" si="34"/>
        <v>00</v>
      </c>
      <c r="AN139" s="41" t="str">
        <f t="shared" si="35"/>
        <v>00</v>
      </c>
      <c r="AO139" s="41" t="str">
        <f t="shared" si="36"/>
        <v>00</v>
      </c>
      <c r="AQ139" t="str">
        <f t="shared" si="31"/>
        <v xml:space="preserve">    (U4)0x00000003U                                                            /* 03 UNKNOWN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0</v>
      </c>
      <c r="AG140" s="97">
        <f t="shared" si="29"/>
        <v>0</v>
      </c>
      <c r="AH140" s="97">
        <f t="shared" si="29"/>
        <v>0</v>
      </c>
      <c r="AI140" s="97">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0</v>
      </c>
      <c r="AG141" s="97">
        <f t="shared" si="29"/>
        <v>0</v>
      </c>
      <c r="AH141" s="97">
        <f t="shared" si="29"/>
        <v>0</v>
      </c>
      <c r="AI141" s="97">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0</v>
      </c>
      <c r="AG142" s="97">
        <f t="shared" si="29"/>
        <v>0</v>
      </c>
      <c r="AH142" s="97">
        <f t="shared" si="29"/>
        <v>0</v>
      </c>
      <c r="AI142" s="97">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0</v>
      </c>
      <c r="AG143" s="97">
        <f t="shared" si="29"/>
        <v>0</v>
      </c>
      <c r="AH143" s="97">
        <f t="shared" si="29"/>
        <v>0</v>
      </c>
      <c r="AI143" s="97">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0</v>
      </c>
      <c r="AG144" s="97">
        <f t="shared" si="38"/>
        <v>0</v>
      </c>
      <c r="AH144" s="97">
        <f t="shared" si="38"/>
        <v>0</v>
      </c>
      <c r="AI144" s="97">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0</v>
      </c>
      <c r="AG145" s="97">
        <f t="shared" si="38"/>
        <v>0</v>
      </c>
      <c r="AH145" s="97">
        <f t="shared" si="38"/>
        <v>0</v>
      </c>
      <c r="AI145" s="97">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0</v>
      </c>
      <c r="AG146" s="97">
        <f t="shared" si="38"/>
        <v>0</v>
      </c>
      <c r="AH146" s="97">
        <f t="shared" si="38"/>
        <v>0</v>
      </c>
      <c r="AI146" s="97">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0</v>
      </c>
      <c r="AG147" s="97">
        <f t="shared" si="38"/>
        <v>0</v>
      </c>
      <c r="AH147" s="97">
        <f t="shared" si="38"/>
        <v>0</v>
      </c>
      <c r="AI147" s="97">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0</v>
      </c>
      <c r="AG148" s="97">
        <f t="shared" si="38"/>
        <v>0</v>
      </c>
      <c r="AH148" s="97">
        <f t="shared" si="38"/>
        <v>0</v>
      </c>
      <c r="AI148" s="97">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0</v>
      </c>
      <c r="AG149" s="97">
        <f t="shared" si="38"/>
        <v>0</v>
      </c>
      <c r="AH149" s="97">
        <f t="shared" si="38"/>
        <v>0</v>
      </c>
      <c r="AI149" s="97">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0</v>
      </c>
      <c r="AG150" s="97">
        <f t="shared" si="38"/>
        <v>0</v>
      </c>
      <c r="AH150" s="97">
        <f t="shared" si="38"/>
        <v>0</v>
      </c>
      <c r="AI150" s="97">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0</v>
      </c>
      <c r="AG151" s="97">
        <f t="shared" si="38"/>
        <v>0</v>
      </c>
      <c r="AH151" s="97">
        <f t="shared" si="38"/>
        <v>0</v>
      </c>
      <c r="AI151" s="97">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AI3 L3:AG3 D6:AJ69" name="Table作成編集範囲"/>
    <protectedRange sqref="B3" name="Table作成編集範囲_2"/>
  </protectedRanges>
  <mergeCells count="3">
    <mergeCell ref="C2:C3"/>
    <mergeCell ref="AJ2:AJ3"/>
    <mergeCell ref="A4:B5"/>
  </mergeCells>
  <phoneticPr fontId="2"/>
  <conditionalFormatting sqref="D6:AI69">
    <cfRule type="cellIs" dxfId="5" priority="56" operator="equal">
      <formula>1</formula>
    </cfRule>
    <cfRule type="cellIs" dxfId="4" priority="57" operator="equal">
      <formula>"×"</formula>
    </cfRule>
  </conditionalFormatting>
  <conditionalFormatting sqref="AR5:AS70">
    <cfRule type="expression" dxfId="3" priority="5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CH_Design!$C$3:$C$89</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96" t="s">
        <v>128</v>
      </c>
      <c r="C2" s="309"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11" t="s">
        <v>51</v>
      </c>
    </row>
    <row r="3" spans="1:49" ht="213" customHeight="1" thickBot="1">
      <c r="B3" s="210" t="str">
        <f>IF(OR(IF(COUNTIF(D6:AC69,"0")&lt;&gt;0,TRUE,FALSE),IF(COUNTIF(D6:AC69,"1")&lt;&gt;0,TRUE,FALSE)),"Search Table","Index Table")</f>
        <v>Index Table</v>
      </c>
      <c r="C3" s="310"/>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62</v>
      </c>
      <c r="AE3" s="99" t="s">
        <v>62</v>
      </c>
      <c r="AF3" s="317" t="s">
        <v>246</v>
      </c>
      <c r="AG3" s="318"/>
      <c r="AH3" s="317" t="s">
        <v>253</v>
      </c>
      <c r="AI3" s="319"/>
      <c r="AJ3" s="312"/>
      <c r="AR3" s="64" t="s">
        <v>97</v>
      </c>
    </row>
    <row r="4" spans="1:49" ht="13.8" thickBot="1">
      <c r="A4" s="313" t="s">
        <v>63</v>
      </c>
      <c r="B4" s="314"/>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01"/>
      <c r="AR4" s="52" t="s">
        <v>81</v>
      </c>
      <c r="AS4" s="53"/>
      <c r="AT4" s="53"/>
      <c r="AU4" s="53"/>
      <c r="AV4" s="53"/>
      <c r="AW4" s="54"/>
    </row>
    <row r="5" spans="1:49" ht="13.8" thickBot="1">
      <c r="A5" s="315"/>
      <c r="B5" s="316"/>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02"/>
      <c r="AR5" s="55" t="str">
        <f ca="1">"static const U4  "&amp;AW8&amp;"["&amp;AW10&amp;"]"&amp;" = {"</f>
        <v>static const U4  u4_sp_ALERT_S_ADBZR_LTA_BLTA_CRIT[ALERT_S_ADBZR_LTA_BLTA_NUM_DST] = {</v>
      </c>
      <c r="AS5" s="55" t="str">
        <f ca="1">"static const U4  "&amp;$AW$9&amp;"["&amp;$AW$10&amp;"] = {"</f>
        <v>static const U4  u4_sp_ALERT_S_ADBZR_LTA_BLTA_MASK[ALERT_S_ADBZR_LTA_BLTA_NUM_DST] = {</v>
      </c>
      <c r="AT5" s="55" t="str">
        <f ca="1">"static const U1  "&amp;$AW$11&amp;"["&amp;$AW$10&amp;"] = {"</f>
        <v>static const U1  u1_sp_ALERT_S_ADBZR_LTA_BLTA_DST[ALERT_S_ADBZR_LTA_BLTA_NUM_DST] = {</v>
      </c>
      <c r="AU5" s="55" t="str">
        <f ca="1">"const ST_ALERT_MTRX "&amp;$AW$12&amp;" = {"</f>
        <v>const ST_ALERT_MTRX st_gp_ALERT_S_ADBZR_LTA_MTRX[2] = {</v>
      </c>
      <c r="AV5" s="44" t="str">
        <f ca="1">"#define "&amp;AW10&amp;REPT(" ",41-LEN(AW10))&amp;"("&amp;AW13&amp;"U)"</f>
        <v>#define ALERT_S_ADBZR_LTA_BLTA_NUM_DST           (16U)</v>
      </c>
      <c r="AW5" s="45"/>
    </row>
    <row r="6" spans="1:49">
      <c r="B6" s="105" t="str">
        <f ca="1">"Table "&amp;$AW$6</f>
        <v>Table BLTA</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219" t="s">
        <v>67</v>
      </c>
      <c r="AF6" s="219">
        <v>0</v>
      </c>
      <c r="AG6" s="219">
        <v>0</v>
      </c>
      <c r="AH6" s="218">
        <v>0</v>
      </c>
      <c r="AI6" s="218">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(U4)0x0000000FU,                                                           /* 00 UNKNOWN                                         */</v>
      </c>
      <c r="AT6" s="42" t="str">
        <f t="shared" ref="AT6:AT69" si="1">IF(AJ6&lt;&gt;"",AL6&amp;IF(AJ7&lt;&gt;"",","," ")&amp;REPT(" ",78-LEN(AL6))&amp;"/* "&amp;IF(C6&lt;10,"0"&amp;C6,C6)&amp;" "&amp;AJ6&amp;REPT(" ",48-LEN(AJ6))&amp;"*/",IF(AJ5&lt;&gt;"","};",""))</f>
        <v xml:space="preserve">    (U1)ALERT_REQ_UNKNOWN,                                                     /* 00 UNKNOWN                                         */</v>
      </c>
      <c r="AU6" s="42" t="s">
        <v>251</v>
      </c>
      <c r="AV6" s="27" t="s">
        <v>69</v>
      </c>
      <c r="AW6" s="46" t="str">
        <f ca="1">UPPER(RIGHT(CELL("filename",A1),LEN(CELL("filename",A1))-FIND("]",CELL("filename",A1))))</f>
        <v>BLTA</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219" t="s">
        <v>67</v>
      </c>
      <c r="AF7" s="219">
        <v>0</v>
      </c>
      <c r="AG7" s="219">
        <v>0</v>
      </c>
      <c r="AH7" s="218">
        <v>0</v>
      </c>
      <c r="AI7" s="218">
        <v>1</v>
      </c>
      <c r="AJ7" s="30" t="s">
        <v>236</v>
      </c>
      <c r="AL7" t="str">
        <f t="shared" ca="1" si="0"/>
        <v xml:space="preserve">    (U1)ALERT_REQ_S_ADBZR_LTA_BLTA_PTN1</v>
      </c>
      <c r="AR7" s="42" t="str">
        <f t="shared" ref="AR7:AR70" si="3">IF(AQ72&lt;&gt;"",AQ72,IF(AQ71&lt;&gt;"","};",""))</f>
        <v xml:space="preserve">    (U4)0x00000001U,                                                           /* 01 PTN1                                            */</v>
      </c>
      <c r="AS7" s="42" t="str">
        <f t="shared" ref="AS7:AS70" si="4">IF(AQ137&lt;&gt;"",AQ137,IF(AQ136&lt;&gt;"","};",""))</f>
        <v xml:space="preserve">    (U4)0x0000000FU,                                                           /* 01 PTN1                                            */</v>
      </c>
      <c r="AT7" s="42" t="str">
        <f t="shared" ca="1" si="1"/>
        <v xml:space="preserve">    (U1)ALERT_REQ_S_ADBZR_LTA_BLTA_PTN1,                                       /* 01 PTN1                                            */</v>
      </c>
      <c r="AU7" s="42" t="str">
        <f ca="1">"        &amp;"&amp;$AW$14&amp;","&amp;REPT(" ",69-LEN($AW$14))&amp;"/* fp_u4_SRC_CHK                                      */"</f>
        <v xml:space="preserve">        &amp;u4_s_AlertS_adbzr_ltaBltaSrcchk,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219" t="s">
        <v>67</v>
      </c>
      <c r="AF8" s="219">
        <v>0</v>
      </c>
      <c r="AG8" s="219">
        <v>0</v>
      </c>
      <c r="AH8" s="218">
        <v>1</v>
      </c>
      <c r="AI8" s="218">
        <v>0</v>
      </c>
      <c r="AJ8" s="30" t="s">
        <v>238</v>
      </c>
      <c r="AL8" t="str">
        <f t="shared" ca="1" si="0"/>
        <v xml:space="preserve">    (U1)ALERT_REQ_S_ADBZR_LTA_BLTA_PTN2</v>
      </c>
      <c r="AR8" s="42" t="str">
        <f t="shared" si="3"/>
        <v xml:space="preserve">    (U4)0x00000002U,                                                           /* 02 PTN2                                            */</v>
      </c>
      <c r="AS8" s="42" t="str">
        <f t="shared" si="4"/>
        <v xml:space="preserve">    (U4)0x0000000FU,                                                           /* 02 PTN2                                            */</v>
      </c>
      <c r="AT8" s="42" t="str">
        <f ca="1">IF(AJ8&lt;&gt;"",AL8&amp;IF(AJ9&lt;&gt;"",","," ")&amp;REPT(" ",78-LEN(AL8))&amp;"/* "&amp;IF(C8&lt;10,"0"&amp;C8,C8)&amp;" "&amp;AJ8&amp;REPT(" ",48-LEN(AJ8))&amp;"*/",IF(AJ7&lt;&gt;"","};",""))</f>
        <v xml:space="preserve">    (U1)ALERT_REQ_S_ADBZR_LTA_BLTA_PTN2,                                       /* 02 PTN2                                            */</v>
      </c>
      <c r="AU8" s="42" t="str">
        <f ca="1">IF($AW$15&lt;&gt;"NULL","        &amp;"&amp;$AW$15&amp;","&amp;REPT(" ",69-LEN($AW$15))&amp;"/* fp_vd_XDST                                         */","        vdp_PTR_NA,                                                            /* fp_vd_XDST                                         */")</f>
        <v xml:space="preserve">        vdp_PTR_NA,                                                            /* fp_vd_XDST                                         */</v>
      </c>
      <c r="AV8" s="28" t="s">
        <v>71</v>
      </c>
      <c r="AW8" s="47" t="str">
        <f ca="1">"u4_sp_ALERT_"&amp;IF(AW6&lt;&gt;AW17,$AW$17&amp;"_"&amp;$AW$6,AW17)&amp;"_CRIT"</f>
        <v>u4_sp_ALERT_S_ADBZR_LTA_BLTA_CRIT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219" t="s">
        <v>67</v>
      </c>
      <c r="AF9" s="219">
        <v>0</v>
      </c>
      <c r="AG9" s="219">
        <v>0</v>
      </c>
      <c r="AH9" s="218">
        <v>1</v>
      </c>
      <c r="AI9" s="218">
        <v>1</v>
      </c>
      <c r="AJ9" s="30" t="s">
        <v>240</v>
      </c>
      <c r="AL9" t="str">
        <f t="shared" ca="1" si="0"/>
        <v xml:space="preserve">    (U1)ALERT_REQ_S_ADBZR_LTA_BLTA_PTN3</v>
      </c>
      <c r="AR9" s="42" t="str">
        <f t="shared" si="3"/>
        <v xml:space="preserve">    (U4)0x00000003U,                                                           /* 03 PTN3                                            */</v>
      </c>
      <c r="AS9" s="42" t="str">
        <f t="shared" si="4"/>
        <v xml:space="preserve">    (U4)0x0000000FU,                                                           /* 03 PTN3                                            */</v>
      </c>
      <c r="AT9" s="42" t="str">
        <f t="shared" ca="1" si="1"/>
        <v xml:space="preserve">    (U1)ALERT_REQ_S_ADBZR_LTA_BLTA_PTN3,                                       /* 03 PTN3                                            */</v>
      </c>
      <c r="AU9" s="42"/>
      <c r="AV9" s="28" t="s">
        <v>72</v>
      </c>
      <c r="AW9" s="47" t="str">
        <f ca="1">"u4_sp_ALERT_"&amp;IF(AW6&lt;&gt;AW17,$AW$17&amp;"_"&amp;$AW$6,AW17)&amp;"_MASK"</f>
        <v>u4_sp_ALERT_S_ADBZR_LTA_BLTA_MASK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219" t="s">
        <v>67</v>
      </c>
      <c r="AF10" s="219">
        <v>0</v>
      </c>
      <c r="AG10" s="219">
        <v>1</v>
      </c>
      <c r="AH10" s="218">
        <v>0</v>
      </c>
      <c r="AI10" s="218">
        <v>0</v>
      </c>
      <c r="AJ10" s="30" t="s">
        <v>32</v>
      </c>
      <c r="AL10" t="str">
        <f t="shared" si="0"/>
        <v xml:space="preserve">    (U1)ALERT_REQ_UNKNOWN</v>
      </c>
      <c r="AR10" s="42" t="str">
        <f t="shared" si="3"/>
        <v xml:space="preserve">    (U4)0x00000004U,                                                           /* 04 UNKNOWN                                         */</v>
      </c>
      <c r="AS10" s="42" t="str">
        <f t="shared" si="4"/>
        <v xml:space="preserve">    (U4)0x0000000FU,                                                           /* 04 UNKNOWN                                         */</v>
      </c>
      <c r="AT10" s="42" t="str">
        <f t="shared" si="1"/>
        <v xml:space="preserve">    (U1)ALERT_REQ_UNKNOWN,                                                     /* 04 UNKNOWN                                         */</v>
      </c>
      <c r="AU10" s="42" t="str">
        <f>IF($AW$7=1,"        &amp;"&amp;$AW$9&amp;"[0],"&amp;REPT(" ",66-LEN($AW$9))&amp;"/* u4p_MASK                                           */","        (const U4 *)vdp_PTR_NA,                                                /* u4p_MASK                                           */")</f>
        <v xml:space="preserve">        (const U4 *)vdp_PTR_NA,                                                /* u4p_MASK                                           */</v>
      </c>
      <c r="AV10" s="28" t="s">
        <v>73</v>
      </c>
      <c r="AW10" s="47" t="str">
        <f ca="1">"ALERT_"&amp;IF(AW6&lt;&gt;AW17,$AW$17&amp;"_"&amp;$AW$6,AW17)&amp;"_NUM_DST"</f>
        <v>ALERT_S_ADBZR_LTA_BLTA_NUM_DST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219" t="s">
        <v>67</v>
      </c>
      <c r="AF11" s="219">
        <v>0</v>
      </c>
      <c r="AG11" s="219">
        <v>1</v>
      </c>
      <c r="AH11" s="218">
        <v>0</v>
      </c>
      <c r="AI11" s="218">
        <v>1</v>
      </c>
      <c r="AJ11" s="30" t="s">
        <v>32</v>
      </c>
      <c r="AL11" t="str">
        <f t="shared" si="0"/>
        <v xml:space="preserve">    (U1)ALERT_REQ_UNKNOWN</v>
      </c>
      <c r="AR11" s="42" t="str">
        <f t="shared" si="3"/>
        <v xml:space="preserve">    (U4)0x00000005U,                                                           /* 05 UNKNOWN                                         */</v>
      </c>
      <c r="AS11" s="42" t="str">
        <f t="shared" si="4"/>
        <v xml:space="preserve">    (U4)0x0000000FU,                                                           /* 05 UNKNOWN                                         */</v>
      </c>
      <c r="AT11" s="42" t="str">
        <f t="shared" si="1"/>
        <v xml:space="preserve">    (U1)ALERT_REQ_UNKNOWN,                                                     /* 05 UNKNOWN                                         */</v>
      </c>
      <c r="AU11" s="42" t="str">
        <f>IF($AW$7=1,"        &amp;"&amp;$AW$8&amp;"[0],"&amp;REPT(" ",66-LEN($AW$8))&amp;"/* u4p_CRIT                                           */","        (const U4 *)vdp_PTR_NA,                                                /* u4p_CRIT                                           */")</f>
        <v xml:space="preserve">        (const U4 *)vdp_PTR_NA,                                                /* u4p_CRIT                                           */</v>
      </c>
      <c r="AV11" s="28" t="s">
        <v>74</v>
      </c>
      <c r="AW11" s="47" t="str">
        <f ca="1">"u1_sp_ALERT_"&amp;IF(AW6&lt;&gt;AW17,$AW$17&amp;"_"&amp;$AW$6,AW17)&amp;"_DST"</f>
        <v>u1_sp_ALERT_S_ADBZR_LTA_BLTA_DST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219" t="s">
        <v>67</v>
      </c>
      <c r="AF12" s="219">
        <v>0</v>
      </c>
      <c r="AG12" s="219">
        <v>1</v>
      </c>
      <c r="AH12" s="218">
        <v>1</v>
      </c>
      <c r="AI12" s="218">
        <v>0</v>
      </c>
      <c r="AJ12" s="30" t="s">
        <v>32</v>
      </c>
      <c r="AL12" t="str">
        <f t="shared" si="0"/>
        <v xml:space="preserve">    (U1)ALERT_REQ_UNKNOWN</v>
      </c>
      <c r="AR12" s="42" t="str">
        <f t="shared" si="3"/>
        <v xml:space="preserve">    (U4)0x00000006U,                                                           /* 06 UNKNOWN                                         */</v>
      </c>
      <c r="AS12" s="42" t="str">
        <f t="shared" si="4"/>
        <v xml:space="preserve">    (U4)0x0000000FU,                                                           /* 06 UNKNOWN                                         */</v>
      </c>
      <c r="AT12" s="42" t="str">
        <f t="shared" si="1"/>
        <v xml:space="preserve">    (U1)ALERT_REQ_UNKNOWN,                                                     /* 06 UNKNOWN                                         */</v>
      </c>
      <c r="AU12" s="42"/>
      <c r="AV12" s="28" t="s">
        <v>88</v>
      </c>
      <c r="AW12" s="47" t="str">
        <f ca="1">Matrix!D8&amp;"["&amp;Matrix!D7&amp;"]"</f>
        <v>st_gp_ALERT_S_ADBZR_LTA_MTRX[2]</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219" t="s">
        <v>67</v>
      </c>
      <c r="AF13" s="219">
        <v>0</v>
      </c>
      <c r="AG13" s="219">
        <v>1</v>
      </c>
      <c r="AH13" s="218">
        <v>1</v>
      </c>
      <c r="AI13" s="218">
        <v>1</v>
      </c>
      <c r="AJ13" s="30" t="s">
        <v>32</v>
      </c>
      <c r="AL13" t="str">
        <f t="shared" si="0"/>
        <v xml:space="preserve">    (U1)ALERT_REQ_UNKNOWN</v>
      </c>
      <c r="AR13" s="42" t="str">
        <f t="shared" si="3"/>
        <v xml:space="preserve">    (U4)0x00000007U,                                                           /* 07 UNKNOWN                                         */</v>
      </c>
      <c r="AS13" s="42" t="str">
        <f t="shared" si="4"/>
        <v xml:space="preserve">    (U4)0x0000000FU,                                                           /* 07 UNKNOWN                                         */</v>
      </c>
      <c r="AT13" s="42" t="str">
        <f t="shared" si="1"/>
        <v xml:space="preserve">    (U1)ALERT_REQ_UNKNOWN,                                                     /* 07 UNKNOWN                                         */</v>
      </c>
      <c r="AU13" s="42" t="str">
        <f ca="1">"        &amp;"&amp;$AW$11&amp;"[0],"&amp;REPT(" ",66-LEN($AW$11))&amp;"/* u1p_DST                                            */"</f>
        <v xml:space="preserve">        &amp;u1_sp_ALERT_S_ADBZR_LTA_BLTA_DST[0],                                  /* u1p_DST                                            */</v>
      </c>
      <c r="AV13" s="28" t="s">
        <v>75</v>
      </c>
      <c r="AW13" s="104">
        <f>COUNTA($AJ$6:$AJ$69)</f>
        <v>16</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219" t="s">
        <v>67</v>
      </c>
      <c r="AF14" s="218">
        <v>1</v>
      </c>
      <c r="AG14" s="218">
        <v>0</v>
      </c>
      <c r="AH14" s="218">
        <v>0</v>
      </c>
      <c r="AI14" s="218">
        <v>0</v>
      </c>
      <c r="AJ14" s="30" t="s">
        <v>32</v>
      </c>
      <c r="AL14" t="str">
        <f t="shared" si="0"/>
        <v xml:space="preserve">    (U1)ALERT_REQ_UNKNOWN</v>
      </c>
      <c r="AR14" s="42" t="str">
        <f t="shared" si="3"/>
        <v xml:space="preserve">    (U4)0x00000008U,                                                           /* 08 UNKNOWN                                         */</v>
      </c>
      <c r="AS14" s="42" t="str">
        <f t="shared" si="4"/>
        <v xml:space="preserve">    (U4)0x0000000FU,                                                           /* 08 UNKNOWN                                         */</v>
      </c>
      <c r="AT14" s="42" t="str">
        <f t="shared" si="1"/>
        <v xml:space="preserve">    (U1)ALERT_REQ_UNKNOWN,                                                     /* 08 UNKNOWN                                         */</v>
      </c>
      <c r="AU14" s="42" t="str">
        <f ca="1">"        (U2)"&amp;$AW$10&amp;","&amp;REPT(" ",66-LEN($AW$10))&amp;"/* u2_num_srch                                        */"</f>
        <v xml:space="preserve">        (U2)ALERT_S_ADBZR_LTA_BLTA_NUM_DST,                                    /* u2_num_srch                                        */</v>
      </c>
      <c r="AV14" s="28" t="s">
        <v>76</v>
      </c>
      <c r="AW14" s="47" t="str">
        <f ca="1">IF(AW6&lt;&gt;AW17,VLOOKUP(AW6,Matrix!$C$13:$G$35,4,FALSE),Matrix!F13)</f>
        <v>u4_s_AlertS_adbzr_ltaBltaSrcchk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219" t="s">
        <v>67</v>
      </c>
      <c r="AF15" s="218">
        <v>1</v>
      </c>
      <c r="AG15" s="218">
        <v>0</v>
      </c>
      <c r="AH15" s="218">
        <v>0</v>
      </c>
      <c r="AI15" s="218">
        <v>1</v>
      </c>
      <c r="AJ15" s="30" t="s">
        <v>32</v>
      </c>
      <c r="AL15" t="str">
        <f t="shared" si="0"/>
        <v xml:space="preserve">    (U1)ALERT_REQ_UNKNOWN</v>
      </c>
      <c r="AR15" s="42" t="str">
        <f t="shared" si="3"/>
        <v xml:space="preserve">    (U4)0x00000009U,                                                           /* 09 UNKNOWN                                         */</v>
      </c>
      <c r="AS15" s="42" t="str">
        <f t="shared" si="4"/>
        <v xml:space="preserve">    (U4)0x0000000FU,                                                           /* 09 UNKNOWN                                         */</v>
      </c>
      <c r="AT15" s="42" t="str">
        <f t="shared" si="1"/>
        <v xml:space="preserve">    (U1)ALERT_REQ_UNKNOWN,                                                     /* 09 UNKNOWN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219" t="s">
        <v>67</v>
      </c>
      <c r="AF16" s="218">
        <v>1</v>
      </c>
      <c r="AG16" s="218">
        <v>0</v>
      </c>
      <c r="AH16" s="218">
        <v>1</v>
      </c>
      <c r="AI16" s="218">
        <v>0</v>
      </c>
      <c r="AJ16" s="30" t="s">
        <v>32</v>
      </c>
      <c r="AL16" t="str">
        <f t="shared" si="0"/>
        <v xml:space="preserve">    (U1)ALERT_REQ_UNKNOWN</v>
      </c>
      <c r="AR16" s="42" t="str">
        <f t="shared" si="3"/>
        <v xml:space="preserve">    (U4)0x0000000AU,                                                           /* 10 UNKNOWN                                         */</v>
      </c>
      <c r="AS16" s="42" t="str">
        <f t="shared" si="4"/>
        <v xml:space="preserve">    (U4)0x0000000FU,                                                           /* 10 UNKNOWN                                         */</v>
      </c>
      <c r="AT16" s="42" t="str">
        <f t="shared" si="1"/>
        <v xml:space="preserve">    (U1)ALERT_REQ_UNKNOWN,                                                     /* 10 UNKNOWN                                         */</v>
      </c>
      <c r="AU16" s="42" t="s">
        <v>68</v>
      </c>
      <c r="AV16" s="28" t="s">
        <v>77</v>
      </c>
      <c r="AW16" s="47" t="str">
        <f ca="1">IF(AW6&lt;&gt;AW17,VLOOKUP(AW6,Matrix!$C$13:$G$35,2,FALSE),Matrix!D13)</f>
        <v>ALERT_VOM_IGN_ON</v>
      </c>
    </row>
    <row r="17" spans="2:49" ht="13.8"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219" t="s">
        <v>67</v>
      </c>
      <c r="AF17" s="218">
        <v>1</v>
      </c>
      <c r="AG17" s="218">
        <v>0</v>
      </c>
      <c r="AH17" s="218">
        <v>1</v>
      </c>
      <c r="AI17" s="218">
        <v>1</v>
      </c>
      <c r="AJ17" s="30" t="s">
        <v>32</v>
      </c>
      <c r="AL17" t="str">
        <f t="shared" si="0"/>
        <v xml:space="preserve">    (U1)ALERT_REQ_UNKNOWN</v>
      </c>
      <c r="AR17" s="42" t="str">
        <f t="shared" si="3"/>
        <v xml:space="preserve">    (U4)0x0000000BU,                                                           /* 11 UNKNOWN                                         */</v>
      </c>
      <c r="AS17" s="42" t="str">
        <f t="shared" si="4"/>
        <v xml:space="preserve">    (U4)0x0000000FU,                                                           /* 11 UNKNOWN                                         */</v>
      </c>
      <c r="AT17" s="42" t="str">
        <f t="shared" si="1"/>
        <v xml:space="preserve">    (U1)ALERT_REQ_UNKNOWN,                                                     /* 11 UNKNOWN                                         */</v>
      </c>
      <c r="AU17" s="43" t="s">
        <v>80</v>
      </c>
      <c r="AV17" s="29" t="s">
        <v>78</v>
      </c>
      <c r="AW17" s="48" t="str">
        <f ca="1">UPPER(Matrix!$D$6)</f>
        <v>S_ADBZR_LTA</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219" t="s">
        <v>67</v>
      </c>
      <c r="AF18" s="218">
        <v>1</v>
      </c>
      <c r="AG18" s="218">
        <v>1</v>
      </c>
      <c r="AH18" s="218">
        <v>0</v>
      </c>
      <c r="AI18" s="218">
        <v>0</v>
      </c>
      <c r="AJ18" s="30" t="s">
        <v>32</v>
      </c>
      <c r="AL18" t="str">
        <f t="shared" si="0"/>
        <v xml:space="preserve">    (U1)ALERT_REQ_UNKNOWN</v>
      </c>
      <c r="AR18" s="42" t="str">
        <f t="shared" si="3"/>
        <v xml:space="preserve">    (U4)0x0000000CU,                                                           /* 12 UNKNOWN                                         */</v>
      </c>
      <c r="AS18" s="42" t="str">
        <f t="shared" si="4"/>
        <v xml:space="preserve">    (U4)0x0000000FU,                                                           /* 12 UNKNOWN                                         */</v>
      </c>
      <c r="AT18" s="42" t="str">
        <f t="shared" si="1"/>
        <v xml:space="preserve">    (U1)ALERT_REQ_UNKNOWN,                                                     /* 12 UNKNOWN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219" t="s">
        <v>67</v>
      </c>
      <c r="AF19" s="218">
        <v>1</v>
      </c>
      <c r="AG19" s="218">
        <v>1</v>
      </c>
      <c r="AH19" s="218">
        <v>0</v>
      </c>
      <c r="AI19" s="218">
        <v>1</v>
      </c>
      <c r="AJ19" s="30" t="s">
        <v>32</v>
      </c>
      <c r="AL19" t="str">
        <f t="shared" si="0"/>
        <v xml:space="preserve">    (U1)ALERT_REQ_UNKNOWN</v>
      </c>
      <c r="AR19" s="42" t="str">
        <f t="shared" si="3"/>
        <v xml:space="preserve">    (U4)0x0000000DU,                                                           /* 13 UNKNOWN                                         */</v>
      </c>
      <c r="AS19" s="42" t="str">
        <f t="shared" si="4"/>
        <v xml:space="preserve">    (U4)0x0000000FU,                                                           /* 13 UNKNOWN                                         */</v>
      </c>
      <c r="AT19" s="42" t="str">
        <f t="shared" si="1"/>
        <v xml:space="preserve">    (U1)ALERT_REQ_UNKNOWN,                                                     /* 13 UNKNOWN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219" t="s">
        <v>67</v>
      </c>
      <c r="AF20" s="218">
        <v>1</v>
      </c>
      <c r="AG20" s="218">
        <v>1</v>
      </c>
      <c r="AH20" s="218">
        <v>1</v>
      </c>
      <c r="AI20" s="218">
        <v>0</v>
      </c>
      <c r="AJ20" s="30" t="s">
        <v>32</v>
      </c>
      <c r="AL20" t="str">
        <f t="shared" si="0"/>
        <v xml:space="preserve">    (U1)ALERT_REQ_UNKNOWN</v>
      </c>
      <c r="AR20" s="42" t="str">
        <f t="shared" si="3"/>
        <v xml:space="preserve">    (U4)0x0000000EU,                                                           /* 14 UNKNOWN                                         */</v>
      </c>
      <c r="AS20" s="42" t="str">
        <f t="shared" si="4"/>
        <v xml:space="preserve">    (U4)0x0000000FU,                                                           /* 14 UNKNOWN                                         */</v>
      </c>
      <c r="AT20" s="42" t="str">
        <f t="shared" si="1"/>
        <v xml:space="preserve">    (U1)ALERT_REQ_UNKNOWN,                                                     /* 14 UNKNOWN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219" t="s">
        <v>67</v>
      </c>
      <c r="AF21" s="218">
        <v>1</v>
      </c>
      <c r="AG21" s="218">
        <v>1</v>
      </c>
      <c r="AH21" s="218">
        <v>1</v>
      </c>
      <c r="AI21" s="218">
        <v>1</v>
      </c>
      <c r="AJ21" s="30" t="s">
        <v>32</v>
      </c>
      <c r="AL21" t="str">
        <f t="shared" si="0"/>
        <v xml:space="preserve">    (U1)ALERT_REQ_UNKNOWN</v>
      </c>
      <c r="AR21" s="42" t="str">
        <f t="shared" si="3"/>
        <v xml:space="preserve">    (U4)0x0000000FU                                                            /* 15 UNKNOWN                                         */</v>
      </c>
      <c r="AS21" s="42" t="str">
        <f t="shared" si="4"/>
        <v xml:space="preserve">    (U4)0x0000000FU                                                            /* 15 UNKNOWN                                         */</v>
      </c>
      <c r="AT21" s="42" t="str">
        <f t="shared" si="1"/>
        <v xml:space="preserve">    (U1)ALERT_REQ_UNKNOWN                                                      /* 15 UNKNOWN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219" t="s">
        <v>67</v>
      </c>
      <c r="AF22" s="219" t="s">
        <v>67</v>
      </c>
      <c r="AG22" s="219" t="s">
        <v>67</v>
      </c>
      <c r="AH22" s="219" t="s">
        <v>67</v>
      </c>
      <c r="AI22" s="219" t="s">
        <v>67</v>
      </c>
      <c r="AJ22" s="30"/>
      <c r="AL22" t="str">
        <f t="shared" ca="1" si="0"/>
        <v xml:space="preserve">    (U1)ALERT_REQ_S_ADBZR_LTA_BLTA_</v>
      </c>
      <c r="AR22" s="42" t="str">
        <f t="shared" si="3"/>
        <v>};</v>
      </c>
      <c r="AS22" s="42" t="str">
        <f t="shared" si="4"/>
        <v>};</v>
      </c>
      <c r="AT22" s="42" t="str">
        <f t="shared" si="1"/>
        <v>};</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219" t="s">
        <v>67</v>
      </c>
      <c r="AF23" s="219" t="s">
        <v>67</v>
      </c>
      <c r="AG23" s="219" t="s">
        <v>67</v>
      </c>
      <c r="AH23" s="219" t="s">
        <v>67</v>
      </c>
      <c r="AI23" s="219" t="s">
        <v>67</v>
      </c>
      <c r="AJ23" s="30"/>
      <c r="AL23" t="str">
        <f t="shared" ca="1" si="0"/>
        <v xml:space="preserve">    (U1)ALERT_REQ_S_ADBZR_LTA_BLTA_</v>
      </c>
      <c r="AR23" s="42" t="str">
        <f t="shared" si="3"/>
        <v/>
      </c>
      <c r="AS23" s="42" t="str">
        <f t="shared" si="4"/>
        <v/>
      </c>
      <c r="AT23" s="42" t="str">
        <f t="shared" si="1"/>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219" t="s">
        <v>67</v>
      </c>
      <c r="AF24" s="219" t="s">
        <v>67</v>
      </c>
      <c r="AG24" s="219" t="s">
        <v>67</v>
      </c>
      <c r="AH24" s="219" t="s">
        <v>67</v>
      </c>
      <c r="AI24" s="219" t="s">
        <v>67</v>
      </c>
      <c r="AJ24" s="30"/>
      <c r="AL24" t="str">
        <f t="shared" ca="1" si="0"/>
        <v xml:space="preserve">    (U1)ALERT_REQ_S_ADBZR_LTA_BLTA_</v>
      </c>
      <c r="AR24" s="42" t="str">
        <f t="shared" si="3"/>
        <v/>
      </c>
      <c r="AS24" s="42" t="str">
        <f t="shared" si="4"/>
        <v/>
      </c>
      <c r="AT24" s="42" t="str">
        <f t="shared" si="1"/>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219" t="s">
        <v>67</v>
      </c>
      <c r="AF25" s="219" t="s">
        <v>67</v>
      </c>
      <c r="AG25" s="219" t="s">
        <v>67</v>
      </c>
      <c r="AH25" s="219" t="s">
        <v>67</v>
      </c>
      <c r="AI25" s="219" t="s">
        <v>67</v>
      </c>
      <c r="AJ25" s="30"/>
      <c r="AL25" t="str">
        <f t="shared" ca="1" si="0"/>
        <v xml:space="preserve">    (U1)ALERT_REQ_S_ADBZR_LTA_BLTA_</v>
      </c>
      <c r="AR25" s="42" t="str">
        <f t="shared" si="3"/>
        <v/>
      </c>
      <c r="AS25" s="42" t="str">
        <f t="shared" si="4"/>
        <v/>
      </c>
      <c r="AT25" s="42" t="str">
        <f t="shared" si="1"/>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219" t="s">
        <v>67</v>
      </c>
      <c r="AF26" s="219" t="s">
        <v>67</v>
      </c>
      <c r="AG26" s="219" t="s">
        <v>67</v>
      </c>
      <c r="AH26" s="219" t="s">
        <v>67</v>
      </c>
      <c r="AI26" s="219" t="s">
        <v>67</v>
      </c>
      <c r="AJ26" s="30"/>
      <c r="AL26" t="str">
        <f t="shared" ca="1" si="0"/>
        <v xml:space="preserve">    (U1)ALERT_REQ_S_ADBZR_LTA_BLTA_</v>
      </c>
      <c r="AR26" s="42" t="str">
        <f t="shared" si="3"/>
        <v/>
      </c>
      <c r="AS26" s="42" t="str">
        <f t="shared" si="4"/>
        <v/>
      </c>
      <c r="AT26" s="42" t="str">
        <f t="shared" si="1"/>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219" t="s">
        <v>67</v>
      </c>
      <c r="AF27" s="219" t="s">
        <v>67</v>
      </c>
      <c r="AG27" s="219" t="s">
        <v>67</v>
      </c>
      <c r="AH27" s="219" t="s">
        <v>67</v>
      </c>
      <c r="AI27" s="219" t="s">
        <v>67</v>
      </c>
      <c r="AJ27" s="30"/>
      <c r="AL27" t="str">
        <f t="shared" ca="1" si="0"/>
        <v xml:space="preserve">    (U1)ALERT_REQ_S_ADBZR_LTA_BLTA_</v>
      </c>
      <c r="AR27" s="42" t="str">
        <f t="shared" si="3"/>
        <v/>
      </c>
      <c r="AS27" s="42" t="str">
        <f t="shared" si="4"/>
        <v/>
      </c>
      <c r="AT27" s="42" t="str">
        <f t="shared" si="1"/>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219" t="s">
        <v>67</v>
      </c>
      <c r="AF28" s="219" t="s">
        <v>67</v>
      </c>
      <c r="AG28" s="219" t="s">
        <v>67</v>
      </c>
      <c r="AH28" s="219" t="s">
        <v>67</v>
      </c>
      <c r="AI28" s="219" t="s">
        <v>67</v>
      </c>
      <c r="AJ28" s="30"/>
      <c r="AL28" t="str">
        <f t="shared" ca="1" si="0"/>
        <v xml:space="preserve">    (U1)ALERT_REQ_S_ADBZR_LTA_BLTA_</v>
      </c>
      <c r="AR28" s="42" t="str">
        <f t="shared" si="3"/>
        <v/>
      </c>
      <c r="AS28" s="42" t="str">
        <f t="shared" si="4"/>
        <v/>
      </c>
      <c r="AT28" s="42" t="str">
        <f t="shared" si="1"/>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219" t="s">
        <v>67</v>
      </c>
      <c r="AF29" s="219" t="s">
        <v>67</v>
      </c>
      <c r="AG29" s="219" t="s">
        <v>67</v>
      </c>
      <c r="AH29" s="219" t="s">
        <v>67</v>
      </c>
      <c r="AI29" s="219" t="s">
        <v>67</v>
      </c>
      <c r="AJ29" s="30"/>
      <c r="AL29" t="str">
        <f t="shared" ca="1" si="0"/>
        <v xml:space="preserve">    (U1)ALERT_REQ_S_ADBZR_LTA_BLTA_</v>
      </c>
      <c r="AR29" s="42" t="str">
        <f t="shared" si="3"/>
        <v/>
      </c>
      <c r="AS29" s="42" t="str">
        <f t="shared" si="4"/>
        <v/>
      </c>
      <c r="AT29" s="42" t="str">
        <f t="shared" si="1"/>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219" t="s">
        <v>67</v>
      </c>
      <c r="AF30" s="219" t="s">
        <v>67</v>
      </c>
      <c r="AG30" s="219" t="s">
        <v>67</v>
      </c>
      <c r="AH30" s="219" t="s">
        <v>67</v>
      </c>
      <c r="AI30" s="219" t="s">
        <v>67</v>
      </c>
      <c r="AJ30" s="30"/>
      <c r="AL30" t="str">
        <f t="shared" ca="1" si="0"/>
        <v xml:space="preserve">    (U1)ALERT_REQ_S_ADBZR_LTA_BLTA_</v>
      </c>
      <c r="AR30" s="42" t="str">
        <f t="shared" si="3"/>
        <v/>
      </c>
      <c r="AS30" s="42" t="str">
        <f t="shared" si="4"/>
        <v/>
      </c>
      <c r="AT30" s="42" t="str">
        <f t="shared" si="1"/>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219" t="s">
        <v>67</v>
      </c>
      <c r="AF31" s="219" t="s">
        <v>67</v>
      </c>
      <c r="AG31" s="219" t="s">
        <v>67</v>
      </c>
      <c r="AH31" s="219" t="s">
        <v>67</v>
      </c>
      <c r="AI31" s="219" t="s">
        <v>67</v>
      </c>
      <c r="AJ31" s="30"/>
      <c r="AL31" t="str">
        <f t="shared" ca="1" si="0"/>
        <v xml:space="preserve">    (U1)ALERT_REQ_S_ADBZR_LTA_BLTA_</v>
      </c>
      <c r="AR31" s="42" t="str">
        <f t="shared" si="3"/>
        <v/>
      </c>
      <c r="AS31" s="42" t="str">
        <f t="shared" si="4"/>
        <v/>
      </c>
      <c r="AT31" s="42" t="str">
        <f t="shared" si="1"/>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219" t="s">
        <v>67</v>
      </c>
      <c r="AF32" s="219" t="s">
        <v>67</v>
      </c>
      <c r="AG32" s="219" t="s">
        <v>67</v>
      </c>
      <c r="AH32" s="219" t="s">
        <v>67</v>
      </c>
      <c r="AI32" s="219" t="s">
        <v>67</v>
      </c>
      <c r="AJ32" s="30"/>
      <c r="AL32" t="str">
        <f t="shared" ca="1" si="0"/>
        <v xml:space="preserve">    (U1)ALERT_REQ_S_ADBZR_LTA_BLTA_</v>
      </c>
      <c r="AR32" s="42" t="str">
        <f t="shared" si="3"/>
        <v/>
      </c>
      <c r="AS32" s="42" t="str">
        <f t="shared" si="4"/>
        <v/>
      </c>
      <c r="AT32" s="42" t="str">
        <f t="shared" si="1"/>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219" t="s">
        <v>67</v>
      </c>
      <c r="AF33" s="219" t="s">
        <v>67</v>
      </c>
      <c r="AG33" s="219" t="s">
        <v>67</v>
      </c>
      <c r="AH33" s="219" t="s">
        <v>67</v>
      </c>
      <c r="AI33" s="219" t="s">
        <v>67</v>
      </c>
      <c r="AJ33" s="30"/>
      <c r="AL33" t="str">
        <f t="shared" ca="1" si="0"/>
        <v xml:space="preserve">    (U1)ALERT_REQ_S_ADBZR_LTA_BLTA_</v>
      </c>
      <c r="AR33" s="42" t="str">
        <f t="shared" si="3"/>
        <v/>
      </c>
      <c r="AS33" s="42" t="str">
        <f t="shared" si="4"/>
        <v/>
      </c>
      <c r="AT33" s="42" t="str">
        <f t="shared" si="1"/>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219" t="s">
        <v>67</v>
      </c>
      <c r="AF34" s="219" t="s">
        <v>67</v>
      </c>
      <c r="AG34" s="219" t="s">
        <v>67</v>
      </c>
      <c r="AH34" s="219" t="s">
        <v>67</v>
      </c>
      <c r="AI34" s="219" t="s">
        <v>67</v>
      </c>
      <c r="AJ34" s="30"/>
      <c r="AL34" t="str">
        <f t="shared" ca="1" si="0"/>
        <v xml:space="preserve">    (U1)ALERT_REQ_S_ADBZR_LTA_BLTA_</v>
      </c>
      <c r="AR34" s="42" t="str">
        <f t="shared" si="3"/>
        <v/>
      </c>
      <c r="AS34" s="42" t="str">
        <f t="shared" si="4"/>
        <v/>
      </c>
      <c r="AT34" s="42" t="str">
        <f t="shared" si="1"/>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219" t="s">
        <v>67</v>
      </c>
      <c r="AF35" s="219" t="s">
        <v>67</v>
      </c>
      <c r="AG35" s="219" t="s">
        <v>67</v>
      </c>
      <c r="AH35" s="219" t="s">
        <v>67</v>
      </c>
      <c r="AI35" s="219" t="s">
        <v>67</v>
      </c>
      <c r="AJ35" s="30"/>
      <c r="AL35" t="str">
        <f t="shared" ca="1" si="0"/>
        <v xml:space="preserve">    (U1)ALERT_REQ_S_ADBZR_LTA_BLTA_</v>
      </c>
      <c r="AR35" s="42" t="str">
        <f t="shared" si="3"/>
        <v/>
      </c>
      <c r="AS35" s="42" t="str">
        <f t="shared" si="4"/>
        <v/>
      </c>
      <c r="AT35" s="42" t="str">
        <f t="shared" si="1"/>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219" t="s">
        <v>67</v>
      </c>
      <c r="AF36" s="219" t="s">
        <v>67</v>
      </c>
      <c r="AG36" s="219" t="s">
        <v>67</v>
      </c>
      <c r="AH36" s="219" t="s">
        <v>67</v>
      </c>
      <c r="AI36" s="219" t="s">
        <v>67</v>
      </c>
      <c r="AJ36" s="30"/>
      <c r="AL36" t="str">
        <f t="shared" ca="1" si="0"/>
        <v xml:space="preserve">    (U1)ALERT_REQ_S_ADBZR_LTA_BLTA_</v>
      </c>
      <c r="AR36" s="42" t="str">
        <f t="shared" si="3"/>
        <v/>
      </c>
      <c r="AS36" s="42" t="str">
        <f t="shared" si="4"/>
        <v/>
      </c>
      <c r="AT36" s="42" t="str">
        <f t="shared" si="1"/>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219" t="s">
        <v>67</v>
      </c>
      <c r="AF37" s="219" t="s">
        <v>67</v>
      </c>
      <c r="AG37" s="219" t="s">
        <v>67</v>
      </c>
      <c r="AH37" s="219" t="s">
        <v>67</v>
      </c>
      <c r="AI37" s="219" t="s">
        <v>67</v>
      </c>
      <c r="AJ37" s="30"/>
      <c r="AL37" t="str">
        <f t="shared" ca="1" si="0"/>
        <v xml:space="preserve">    (U1)ALERT_REQ_S_ADBZR_LTA_BLTA_</v>
      </c>
      <c r="AR37" s="42" t="str">
        <f t="shared" si="3"/>
        <v/>
      </c>
      <c r="AS37" s="42" t="str">
        <f t="shared" si="4"/>
        <v/>
      </c>
      <c r="AT37" s="42" t="str">
        <f t="shared" si="1"/>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219" t="s">
        <v>67</v>
      </c>
      <c r="AF38" s="218" t="s">
        <v>67</v>
      </c>
      <c r="AG38" s="218" t="s">
        <v>67</v>
      </c>
      <c r="AH38" s="218" t="s">
        <v>67</v>
      </c>
      <c r="AI38" s="218" t="s">
        <v>67</v>
      </c>
      <c r="AJ38" s="30"/>
      <c r="AL38" t="str">
        <f t="shared" ca="1" si="0"/>
        <v xml:space="preserve">    (U1)ALERT_REQ_S_ADBZR_LTA_BLTA_</v>
      </c>
      <c r="AR38" s="42" t="str">
        <f t="shared" si="3"/>
        <v/>
      </c>
      <c r="AS38" s="42" t="str">
        <f t="shared" si="4"/>
        <v/>
      </c>
      <c r="AT38" s="42" t="str">
        <f t="shared" si="1"/>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218" t="s">
        <v>67</v>
      </c>
      <c r="AF39" s="218" t="s">
        <v>67</v>
      </c>
      <c r="AG39" s="218" t="s">
        <v>67</v>
      </c>
      <c r="AH39" s="218" t="s">
        <v>67</v>
      </c>
      <c r="AI39" s="218" t="s">
        <v>67</v>
      </c>
      <c r="AJ39" s="30"/>
      <c r="AL39" t="str">
        <f t="shared" ca="1" si="0"/>
        <v xml:space="preserve">    (U1)ALERT_REQ_S_ADBZR_LTA_BLTA_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218" t="s">
        <v>67</v>
      </c>
      <c r="AF40" s="218" t="s">
        <v>67</v>
      </c>
      <c r="AG40" s="218" t="s">
        <v>67</v>
      </c>
      <c r="AH40" s="218" t="s">
        <v>67</v>
      </c>
      <c r="AI40" s="218" t="s">
        <v>67</v>
      </c>
      <c r="AJ40" s="30"/>
      <c r="AL40" t="str">
        <f t="shared" ca="1" si="0"/>
        <v xml:space="preserve">    (U1)ALERT_REQ_S_ADBZR_LTA_BLTA_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218" t="s">
        <v>67</v>
      </c>
      <c r="AF41" s="218" t="s">
        <v>67</v>
      </c>
      <c r="AG41" s="218" t="s">
        <v>67</v>
      </c>
      <c r="AH41" s="218" t="s">
        <v>67</v>
      </c>
      <c r="AI41" s="218" t="s">
        <v>67</v>
      </c>
      <c r="AJ41" s="30"/>
      <c r="AL41" t="str">
        <f t="shared" ca="1" si="0"/>
        <v xml:space="preserve">    (U1)ALERT_REQ_S_ADBZR_LTA_BLTA_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218" t="s">
        <v>67</v>
      </c>
      <c r="AF42" s="218" t="s">
        <v>67</v>
      </c>
      <c r="AG42" s="218" t="s">
        <v>67</v>
      </c>
      <c r="AH42" s="218" t="s">
        <v>67</v>
      </c>
      <c r="AI42" s="218" t="s">
        <v>67</v>
      </c>
      <c r="AJ42" s="30"/>
      <c r="AL42" t="str">
        <f t="shared" ca="1" si="0"/>
        <v xml:space="preserve">    (U1)ALERT_REQ_S_ADBZR_LTA_BLTA_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218" t="s">
        <v>67</v>
      </c>
      <c r="AF43" s="218" t="s">
        <v>67</v>
      </c>
      <c r="AG43" s="218" t="s">
        <v>67</v>
      </c>
      <c r="AH43" s="218" t="s">
        <v>67</v>
      </c>
      <c r="AI43" s="218" t="s">
        <v>67</v>
      </c>
      <c r="AJ43" s="30"/>
      <c r="AL43" t="str">
        <f t="shared" ca="1" si="0"/>
        <v xml:space="preserve">    (U1)ALERT_REQ_S_ADBZR_LTA_BLTA_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218" t="s">
        <v>67</v>
      </c>
      <c r="AF44" s="218" t="s">
        <v>67</v>
      </c>
      <c r="AG44" s="218" t="s">
        <v>67</v>
      </c>
      <c r="AH44" s="218" t="s">
        <v>67</v>
      </c>
      <c r="AI44" s="218" t="s">
        <v>67</v>
      </c>
      <c r="AJ44" s="30"/>
      <c r="AL44" t="str">
        <f t="shared" ca="1" si="0"/>
        <v xml:space="preserve">    (U1)ALERT_REQ_S_ADBZR_LTA_BLTA_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218" t="s">
        <v>67</v>
      </c>
      <c r="AF45" s="218" t="s">
        <v>67</v>
      </c>
      <c r="AG45" s="218" t="s">
        <v>67</v>
      </c>
      <c r="AH45" s="218" t="s">
        <v>67</v>
      </c>
      <c r="AI45" s="218" t="s">
        <v>67</v>
      </c>
      <c r="AJ45" s="30"/>
      <c r="AL45" t="str">
        <f t="shared" ca="1" si="0"/>
        <v xml:space="preserve">    (U1)ALERT_REQ_S_ADBZR_LTA_BLTA_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218" t="s">
        <v>67</v>
      </c>
      <c r="AF46" s="218" t="s">
        <v>67</v>
      </c>
      <c r="AG46" s="218" t="s">
        <v>67</v>
      </c>
      <c r="AH46" s="218" t="s">
        <v>67</v>
      </c>
      <c r="AI46" s="218" t="s">
        <v>67</v>
      </c>
      <c r="AJ46" s="30"/>
      <c r="AL46" t="str">
        <f t="shared" ca="1" si="0"/>
        <v xml:space="preserve">    (U1)ALERT_REQ_S_ADBZR_LTA_BLTA_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218" t="s">
        <v>67</v>
      </c>
      <c r="AF47" s="218" t="s">
        <v>67</v>
      </c>
      <c r="AG47" s="218" t="s">
        <v>67</v>
      </c>
      <c r="AH47" s="218" t="s">
        <v>67</v>
      </c>
      <c r="AI47" s="218" t="s">
        <v>67</v>
      </c>
      <c r="AJ47" s="30"/>
      <c r="AL47" t="str">
        <f t="shared" ca="1" si="0"/>
        <v xml:space="preserve">    (U1)ALERT_REQ_S_ADBZR_LTA_BLTA_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218" t="s">
        <v>67</v>
      </c>
      <c r="AF48" s="218" t="s">
        <v>67</v>
      </c>
      <c r="AG48" s="218" t="s">
        <v>67</v>
      </c>
      <c r="AH48" s="218" t="s">
        <v>67</v>
      </c>
      <c r="AI48" s="218" t="s">
        <v>67</v>
      </c>
      <c r="AJ48" s="30"/>
      <c r="AL48" t="str">
        <f t="shared" ca="1" si="0"/>
        <v xml:space="preserve">    (U1)ALERT_REQ_S_ADBZR_LTA_BLTA_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218" t="s">
        <v>67</v>
      </c>
      <c r="AF49" s="218" t="s">
        <v>67</v>
      </c>
      <c r="AG49" s="218" t="s">
        <v>67</v>
      </c>
      <c r="AH49" s="218" t="s">
        <v>67</v>
      </c>
      <c r="AI49" s="218" t="s">
        <v>67</v>
      </c>
      <c r="AJ49" s="30"/>
      <c r="AL49" t="str">
        <f t="shared" ca="1" si="0"/>
        <v xml:space="preserve">    (U1)ALERT_REQ_S_ADBZR_LTA_BLTA_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218" t="s">
        <v>67</v>
      </c>
      <c r="AF50" s="218" t="s">
        <v>67</v>
      </c>
      <c r="AG50" s="218" t="s">
        <v>67</v>
      </c>
      <c r="AH50" s="218" t="s">
        <v>67</v>
      </c>
      <c r="AI50" s="218" t="s">
        <v>67</v>
      </c>
      <c r="AJ50" s="30"/>
      <c r="AL50" t="str">
        <f t="shared" ca="1" si="0"/>
        <v xml:space="preserve">    (U1)ALERT_REQ_S_ADBZR_LTA_BLTA_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218" t="s">
        <v>67</v>
      </c>
      <c r="AF51" s="218" t="s">
        <v>67</v>
      </c>
      <c r="AG51" s="218" t="s">
        <v>67</v>
      </c>
      <c r="AH51" s="218" t="s">
        <v>67</v>
      </c>
      <c r="AI51" s="218" t="s">
        <v>67</v>
      </c>
      <c r="AJ51" s="30"/>
      <c r="AL51" t="str">
        <f t="shared" ca="1" si="0"/>
        <v xml:space="preserve">    (U1)ALERT_REQ_S_ADBZR_LTA_BLTA_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218" t="s">
        <v>67</v>
      </c>
      <c r="AF52" s="218" t="s">
        <v>67</v>
      </c>
      <c r="AG52" s="218" t="s">
        <v>67</v>
      </c>
      <c r="AH52" s="218" t="s">
        <v>67</v>
      </c>
      <c r="AI52" s="218" t="s">
        <v>67</v>
      </c>
      <c r="AJ52" s="30"/>
      <c r="AL52" t="str">
        <f t="shared" ca="1" si="0"/>
        <v xml:space="preserve">    (U1)ALERT_REQ_S_ADBZR_LTA_BLTA_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218" t="s">
        <v>67</v>
      </c>
      <c r="AF53" s="218" t="s">
        <v>67</v>
      </c>
      <c r="AG53" s="218" t="s">
        <v>67</v>
      </c>
      <c r="AH53" s="218" t="s">
        <v>67</v>
      </c>
      <c r="AI53" s="218" t="s">
        <v>67</v>
      </c>
      <c r="AJ53" s="30"/>
      <c r="AL53" t="str">
        <f t="shared" ca="1" si="0"/>
        <v xml:space="preserve">    (U1)ALERT_REQ_S_ADBZR_LTA_BLTA_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218" t="s">
        <v>67</v>
      </c>
      <c r="AF54" s="218" t="s">
        <v>67</v>
      </c>
      <c r="AG54" s="218" t="s">
        <v>67</v>
      </c>
      <c r="AH54" s="218" t="s">
        <v>67</v>
      </c>
      <c r="AI54" s="218" t="s">
        <v>67</v>
      </c>
      <c r="AJ54" s="30"/>
      <c r="AL54" t="str">
        <f t="shared" ca="1" si="0"/>
        <v xml:space="preserve">    (U1)ALERT_REQ_S_ADBZR_LTA_BLTA_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218" t="s">
        <v>67</v>
      </c>
      <c r="AF55" s="218" t="s">
        <v>67</v>
      </c>
      <c r="AG55" s="218" t="s">
        <v>67</v>
      </c>
      <c r="AH55" s="218" t="s">
        <v>67</v>
      </c>
      <c r="AI55" s="218" t="s">
        <v>67</v>
      </c>
      <c r="AJ55" s="30"/>
      <c r="AL55" t="str">
        <f t="shared" ca="1" si="0"/>
        <v xml:space="preserve">    (U1)ALERT_REQ_S_ADBZR_LTA_BLTA_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218" t="s">
        <v>67</v>
      </c>
      <c r="AF56" s="218" t="s">
        <v>67</v>
      </c>
      <c r="AG56" s="218" t="s">
        <v>67</v>
      </c>
      <c r="AH56" s="218" t="s">
        <v>67</v>
      </c>
      <c r="AI56" s="218" t="s">
        <v>67</v>
      </c>
      <c r="AJ56" s="30"/>
      <c r="AL56" t="str">
        <f t="shared" ca="1" si="0"/>
        <v xml:space="preserve">    (U1)ALERT_REQ_S_ADBZR_LTA_BLTA_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218" t="s">
        <v>67</v>
      </c>
      <c r="AF57" s="218" t="s">
        <v>67</v>
      </c>
      <c r="AG57" s="218" t="s">
        <v>67</v>
      </c>
      <c r="AH57" s="218" t="s">
        <v>67</v>
      </c>
      <c r="AI57" s="218" t="s">
        <v>67</v>
      </c>
      <c r="AJ57" s="30"/>
      <c r="AL57" t="str">
        <f t="shared" ca="1" si="0"/>
        <v xml:space="preserve">    (U1)ALERT_REQ_S_ADBZR_LTA_BLTA_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218" t="s">
        <v>67</v>
      </c>
      <c r="AF58" s="218" t="s">
        <v>67</v>
      </c>
      <c r="AG58" s="218" t="s">
        <v>67</v>
      </c>
      <c r="AH58" s="218" t="s">
        <v>67</v>
      </c>
      <c r="AI58" s="218" t="s">
        <v>67</v>
      </c>
      <c r="AJ58" s="30"/>
      <c r="AL58" t="str">
        <f t="shared" ca="1" si="0"/>
        <v xml:space="preserve">    (U1)ALERT_REQ_S_ADBZR_LTA_BLTA_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218" t="s">
        <v>67</v>
      </c>
      <c r="AF59" s="218" t="s">
        <v>67</v>
      </c>
      <c r="AG59" s="218" t="s">
        <v>67</v>
      </c>
      <c r="AH59" s="218" t="s">
        <v>67</v>
      </c>
      <c r="AI59" s="218" t="s">
        <v>67</v>
      </c>
      <c r="AJ59" s="30"/>
      <c r="AL59" t="str">
        <f t="shared" ca="1" si="0"/>
        <v xml:space="preserve">    (U1)ALERT_REQ_S_ADBZR_LTA_BLTA_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218" t="s">
        <v>67</v>
      </c>
      <c r="AF60" s="218" t="s">
        <v>67</v>
      </c>
      <c r="AG60" s="218" t="s">
        <v>67</v>
      </c>
      <c r="AH60" s="218" t="s">
        <v>67</v>
      </c>
      <c r="AI60" s="218" t="s">
        <v>67</v>
      </c>
      <c r="AJ60" s="30"/>
      <c r="AL60" t="str">
        <f t="shared" ca="1" si="0"/>
        <v xml:space="preserve">    (U1)ALERT_REQ_S_ADBZR_LTA_BLTA_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218" t="s">
        <v>67</v>
      </c>
      <c r="AF61" s="218" t="s">
        <v>67</v>
      </c>
      <c r="AG61" s="218" t="s">
        <v>67</v>
      </c>
      <c r="AH61" s="218" t="s">
        <v>67</v>
      </c>
      <c r="AI61" s="218" t="s">
        <v>67</v>
      </c>
      <c r="AJ61" s="30"/>
      <c r="AL61" t="str">
        <f t="shared" ca="1" si="0"/>
        <v xml:space="preserve">    (U1)ALERT_REQ_S_ADBZR_LTA_BLTA_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218" t="s">
        <v>67</v>
      </c>
      <c r="AF62" s="218" t="s">
        <v>67</v>
      </c>
      <c r="AG62" s="218" t="s">
        <v>67</v>
      </c>
      <c r="AH62" s="218" t="s">
        <v>67</v>
      </c>
      <c r="AI62" s="218" t="s">
        <v>67</v>
      </c>
      <c r="AJ62" s="30"/>
      <c r="AL62" t="str">
        <f t="shared" ca="1" si="0"/>
        <v xml:space="preserve">    (U1)ALERT_REQ_S_ADBZR_LTA_BLTA_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218" t="s">
        <v>67</v>
      </c>
      <c r="AF63" s="218" t="s">
        <v>67</v>
      </c>
      <c r="AG63" s="218" t="s">
        <v>67</v>
      </c>
      <c r="AH63" s="218" t="s">
        <v>67</v>
      </c>
      <c r="AI63" s="218" t="s">
        <v>67</v>
      </c>
      <c r="AJ63" s="30"/>
      <c r="AL63" t="str">
        <f t="shared" ca="1" si="0"/>
        <v xml:space="preserve">    (U1)ALERT_REQ_S_ADBZR_LTA_BLTA_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218" t="s">
        <v>67</v>
      </c>
      <c r="AF64" s="218" t="s">
        <v>67</v>
      </c>
      <c r="AG64" s="218" t="s">
        <v>67</v>
      </c>
      <c r="AH64" s="218" t="s">
        <v>67</v>
      </c>
      <c r="AI64" s="218" t="s">
        <v>67</v>
      </c>
      <c r="AJ64" s="30"/>
      <c r="AL64" t="str">
        <f t="shared" ca="1" si="0"/>
        <v xml:space="preserve">    (U1)ALERT_REQ_S_ADBZR_LTA_BLTA_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218" t="s">
        <v>67</v>
      </c>
      <c r="AF65" s="218" t="s">
        <v>67</v>
      </c>
      <c r="AG65" s="218" t="s">
        <v>67</v>
      </c>
      <c r="AH65" s="218" t="s">
        <v>67</v>
      </c>
      <c r="AI65" s="218" t="s">
        <v>67</v>
      </c>
      <c r="AJ65" s="30"/>
      <c r="AL65" t="str">
        <f t="shared" ca="1" si="0"/>
        <v xml:space="preserve">    (U1)ALERT_REQ_S_ADBZR_LTA_BLTA_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218" t="s">
        <v>67</v>
      </c>
      <c r="AF66" s="218" t="s">
        <v>67</v>
      </c>
      <c r="AG66" s="218" t="s">
        <v>67</v>
      </c>
      <c r="AH66" s="218" t="s">
        <v>67</v>
      </c>
      <c r="AI66" s="218" t="s">
        <v>67</v>
      </c>
      <c r="AJ66" s="30"/>
      <c r="AL66" t="str">
        <f t="shared" ca="1" si="0"/>
        <v xml:space="preserve">    (U1)ALERT_REQ_S_ADBZR_LTA_BLTA_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218" t="s">
        <v>67</v>
      </c>
      <c r="AF67" s="218" t="s">
        <v>67</v>
      </c>
      <c r="AG67" s="218" t="s">
        <v>67</v>
      </c>
      <c r="AH67" s="218" t="s">
        <v>67</v>
      </c>
      <c r="AI67" s="218" t="s">
        <v>67</v>
      </c>
      <c r="AJ67" s="30"/>
      <c r="AL67" t="str">
        <f t="shared" ca="1" si="0"/>
        <v xml:space="preserve">    (U1)ALERT_REQ_S_ADBZR_LTA_BLTA_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218" t="s">
        <v>67</v>
      </c>
      <c r="AF68" s="218" t="s">
        <v>67</v>
      </c>
      <c r="AG68" s="218" t="s">
        <v>67</v>
      </c>
      <c r="AH68" s="218" t="s">
        <v>67</v>
      </c>
      <c r="AI68" s="218" t="s">
        <v>67</v>
      </c>
      <c r="AJ68" s="30"/>
      <c r="AL68" t="str">
        <f t="shared" ca="1" si="0"/>
        <v xml:space="preserve">    (U1)ALERT_REQ_S_ADBZR_LTA_BLTA_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218" t="s">
        <v>67</v>
      </c>
      <c r="AF69" s="218" t="s">
        <v>67</v>
      </c>
      <c r="AG69" s="218" t="s">
        <v>67</v>
      </c>
      <c r="AH69" s="218" t="s">
        <v>67</v>
      </c>
      <c r="AI69" s="218" t="s">
        <v>67</v>
      </c>
      <c r="AJ69" s="30"/>
      <c r="AL69" t="str">
        <f t="shared" ca="1" si="0"/>
        <v xml:space="preserve">    (U1)ALERT_REQ_S_ADBZR_LTA_BLTA_</v>
      </c>
      <c r="AR69" s="42" t="str">
        <f t="shared" si="3"/>
        <v/>
      </c>
      <c r="AS69" s="42" t="str">
        <f t="shared" si="4"/>
        <v/>
      </c>
      <c r="AT69" s="42" t="str">
        <f t="shared" si="1"/>
        <v/>
      </c>
    </row>
    <row r="70" spans="1:46" ht="13.8"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BLTA</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PTN1</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PTN1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PTN2</v>
      </c>
      <c r="AK73" s="39"/>
      <c r="AL73" s="39" t="str">
        <f t="shared" si="10"/>
        <v>02</v>
      </c>
      <c r="AM73" s="41" t="str">
        <f t="shared" si="11"/>
        <v>00</v>
      </c>
      <c r="AN73" s="41" t="str">
        <f t="shared" si="12"/>
        <v>00</v>
      </c>
      <c r="AO73" s="41" t="str">
        <f t="shared" si="13"/>
        <v>00</v>
      </c>
      <c r="AQ73" t="str">
        <f t="shared" si="8"/>
        <v xml:space="preserve">    (U4)0x00000002U,                                                           /* 02 PTN2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PTN3</v>
      </c>
      <c r="AK74" s="39"/>
      <c r="AL74" s="39" t="str">
        <f t="shared" si="10"/>
        <v>03</v>
      </c>
      <c r="AM74" s="41" t="str">
        <f t="shared" si="11"/>
        <v>00</v>
      </c>
      <c r="AN74" s="41" t="str">
        <f t="shared" si="12"/>
        <v>00</v>
      </c>
      <c r="AO74" s="41" t="str">
        <f t="shared" si="13"/>
        <v>00</v>
      </c>
      <c r="AQ74" t="str">
        <f t="shared" si="8"/>
        <v xml:space="preserve">    (U4)0x00000003U,                                                           /* 03 PTN3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1</v>
      </c>
      <c r="AH75" s="97">
        <f t="shared" si="6"/>
        <v>0</v>
      </c>
      <c r="AI75" s="97">
        <f t="shared" si="6"/>
        <v>0</v>
      </c>
      <c r="AJ75" s="26" t="str">
        <f t="shared" si="7"/>
        <v>UNKNOWN</v>
      </c>
      <c r="AK75" s="39"/>
      <c r="AL75" s="39" t="str">
        <f t="shared" si="10"/>
        <v>04</v>
      </c>
      <c r="AM75" s="41" t="str">
        <f t="shared" si="11"/>
        <v>00</v>
      </c>
      <c r="AN75" s="41" t="str">
        <f t="shared" si="12"/>
        <v>00</v>
      </c>
      <c r="AO75" s="41" t="str">
        <f t="shared" si="13"/>
        <v>00</v>
      </c>
      <c r="AQ75" t="str">
        <f t="shared" si="8"/>
        <v xml:space="preserve">    (U4)0x00000004U,                                                           /* 04 UNKNOWN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1</v>
      </c>
      <c r="AH76" s="97">
        <f t="shared" si="6"/>
        <v>0</v>
      </c>
      <c r="AI76" s="97">
        <f t="shared" si="6"/>
        <v>1</v>
      </c>
      <c r="AJ76" s="26" t="str">
        <f t="shared" si="7"/>
        <v>UNKNOWN</v>
      </c>
      <c r="AK76" s="39"/>
      <c r="AL76" s="39" t="str">
        <f t="shared" si="10"/>
        <v>05</v>
      </c>
      <c r="AM76" s="41" t="str">
        <f t="shared" si="11"/>
        <v>00</v>
      </c>
      <c r="AN76" s="41" t="str">
        <f t="shared" si="12"/>
        <v>00</v>
      </c>
      <c r="AO76" s="41" t="str">
        <f t="shared" si="13"/>
        <v>00</v>
      </c>
      <c r="AQ76" t="str">
        <f t="shared" si="8"/>
        <v xml:space="preserve">    (U4)0x00000005U,                                                           /* 05 UNKNOWN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1</v>
      </c>
      <c r="AH77" s="97">
        <f t="shared" si="6"/>
        <v>1</v>
      </c>
      <c r="AI77" s="97">
        <f t="shared" si="6"/>
        <v>0</v>
      </c>
      <c r="AJ77" s="26" t="str">
        <f t="shared" si="7"/>
        <v>UNKNOWN</v>
      </c>
      <c r="AK77" s="39"/>
      <c r="AL77" s="39" t="str">
        <f t="shared" si="10"/>
        <v>06</v>
      </c>
      <c r="AM77" s="41" t="str">
        <f t="shared" si="11"/>
        <v>00</v>
      </c>
      <c r="AN77" s="41" t="str">
        <f t="shared" si="12"/>
        <v>00</v>
      </c>
      <c r="AO77" s="41" t="str">
        <f t="shared" si="13"/>
        <v>00</v>
      </c>
      <c r="AQ77" t="str">
        <f t="shared" si="8"/>
        <v xml:space="preserve">    (U4)0x00000006U,                                                           /* 06 UNKNOWN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1</v>
      </c>
      <c r="AH78" s="97">
        <f t="shared" si="6"/>
        <v>1</v>
      </c>
      <c r="AI78" s="97">
        <f t="shared" ref="AI78" si="14">IF(AI13=1,1,0)</f>
        <v>1</v>
      </c>
      <c r="AJ78" s="26" t="str">
        <f t="shared" si="7"/>
        <v>UNKNOWN</v>
      </c>
      <c r="AK78" s="39"/>
      <c r="AL78" s="39" t="str">
        <f t="shared" si="10"/>
        <v>07</v>
      </c>
      <c r="AM78" s="41" t="str">
        <f t="shared" si="11"/>
        <v>00</v>
      </c>
      <c r="AN78" s="41" t="str">
        <f t="shared" si="12"/>
        <v>00</v>
      </c>
      <c r="AO78" s="41" t="str">
        <f t="shared" si="13"/>
        <v>00</v>
      </c>
      <c r="AQ78" t="str">
        <f t="shared" si="8"/>
        <v xml:space="preserve">    (U4)0x00000007U,                                                           /* 07 UNKNOWN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1</v>
      </c>
      <c r="AG79" s="97">
        <f t="shared" si="15"/>
        <v>0</v>
      </c>
      <c r="AH79" s="97">
        <f t="shared" si="15"/>
        <v>0</v>
      </c>
      <c r="AI79" s="97">
        <f t="shared" si="15"/>
        <v>0</v>
      </c>
      <c r="AJ79" s="26" t="str">
        <f t="shared" si="7"/>
        <v>UNKNOWN</v>
      </c>
      <c r="AK79" s="39"/>
      <c r="AL79" s="39" t="str">
        <f t="shared" si="10"/>
        <v>08</v>
      </c>
      <c r="AM79" s="41" t="str">
        <f t="shared" si="11"/>
        <v>00</v>
      </c>
      <c r="AN79" s="41" t="str">
        <f t="shared" si="12"/>
        <v>00</v>
      </c>
      <c r="AO79" s="41" t="str">
        <f t="shared" si="13"/>
        <v>00</v>
      </c>
      <c r="AQ79" t="str">
        <f t="shared" si="8"/>
        <v xml:space="preserve">    (U4)0x00000008U,                                                           /* 08 UNKNOWN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1</v>
      </c>
      <c r="AG80" s="97">
        <f t="shared" si="15"/>
        <v>0</v>
      </c>
      <c r="AH80" s="97">
        <f t="shared" si="15"/>
        <v>0</v>
      </c>
      <c r="AI80" s="97">
        <f t="shared" si="15"/>
        <v>1</v>
      </c>
      <c r="AJ80" s="26" t="str">
        <f t="shared" si="7"/>
        <v>UNKNOWN</v>
      </c>
      <c r="AK80" s="39"/>
      <c r="AL80" s="39" t="str">
        <f t="shared" si="10"/>
        <v>09</v>
      </c>
      <c r="AM80" s="41" t="str">
        <f t="shared" si="11"/>
        <v>00</v>
      </c>
      <c r="AN80" s="41" t="str">
        <f t="shared" si="12"/>
        <v>00</v>
      </c>
      <c r="AO80" s="41" t="str">
        <f t="shared" si="13"/>
        <v>00</v>
      </c>
      <c r="AQ80" t="str">
        <f t="shared" si="8"/>
        <v xml:space="preserve">    (U4)0x00000009U,                                                           /* 09 UNKNOWN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1</v>
      </c>
      <c r="AG81" s="97">
        <f t="shared" si="15"/>
        <v>0</v>
      </c>
      <c r="AH81" s="97">
        <f t="shared" si="15"/>
        <v>1</v>
      </c>
      <c r="AI81" s="97">
        <f t="shared" si="15"/>
        <v>0</v>
      </c>
      <c r="AJ81" s="26" t="str">
        <f t="shared" si="7"/>
        <v>UNKNOWN</v>
      </c>
      <c r="AK81" s="39"/>
      <c r="AL81" s="39" t="str">
        <f t="shared" si="10"/>
        <v>0A</v>
      </c>
      <c r="AM81" s="41" t="str">
        <f t="shared" si="11"/>
        <v>00</v>
      </c>
      <c r="AN81" s="41" t="str">
        <f t="shared" si="12"/>
        <v>00</v>
      </c>
      <c r="AO81" s="41" t="str">
        <f t="shared" si="13"/>
        <v>00</v>
      </c>
      <c r="AQ81" t="str">
        <f t="shared" si="8"/>
        <v xml:space="preserve">    (U4)0x0000000AU,                                                           /* 10 UNKNOWN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1</v>
      </c>
      <c r="AG82" s="97">
        <f t="shared" si="15"/>
        <v>0</v>
      </c>
      <c r="AH82" s="97">
        <f t="shared" si="15"/>
        <v>1</v>
      </c>
      <c r="AI82" s="97">
        <f t="shared" si="15"/>
        <v>1</v>
      </c>
      <c r="AJ82" s="26" t="str">
        <f t="shared" si="7"/>
        <v>UNKNOWN</v>
      </c>
      <c r="AK82" s="39"/>
      <c r="AL82" s="39" t="str">
        <f t="shared" si="10"/>
        <v>0B</v>
      </c>
      <c r="AM82" s="41" t="str">
        <f t="shared" si="11"/>
        <v>00</v>
      </c>
      <c r="AN82" s="41" t="str">
        <f t="shared" si="12"/>
        <v>00</v>
      </c>
      <c r="AO82" s="41" t="str">
        <f t="shared" si="13"/>
        <v>00</v>
      </c>
      <c r="AQ82" t="str">
        <f t="shared" si="8"/>
        <v xml:space="preserve">    (U4)0x0000000BU,                                                           /* 11 UNKNOWN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1</v>
      </c>
      <c r="AG83" s="97">
        <f t="shared" si="15"/>
        <v>1</v>
      </c>
      <c r="AH83" s="97">
        <f t="shared" si="15"/>
        <v>0</v>
      </c>
      <c r="AI83" s="97">
        <f t="shared" si="15"/>
        <v>0</v>
      </c>
      <c r="AJ83" s="26" t="str">
        <f t="shared" si="7"/>
        <v>UNKNOWN</v>
      </c>
      <c r="AK83" s="39"/>
      <c r="AL83" s="39" t="str">
        <f t="shared" si="10"/>
        <v>0C</v>
      </c>
      <c r="AM83" s="41" t="str">
        <f t="shared" si="11"/>
        <v>00</v>
      </c>
      <c r="AN83" s="41" t="str">
        <f t="shared" si="12"/>
        <v>00</v>
      </c>
      <c r="AO83" s="41" t="str">
        <f t="shared" si="13"/>
        <v>00</v>
      </c>
      <c r="AQ83" t="str">
        <f t="shared" si="8"/>
        <v xml:space="preserve">    (U4)0x0000000CU,                                                           /* 12 UNKNOWN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1</v>
      </c>
      <c r="AG84" s="97">
        <f t="shared" si="15"/>
        <v>1</v>
      </c>
      <c r="AH84" s="97">
        <f t="shared" si="15"/>
        <v>0</v>
      </c>
      <c r="AI84" s="97">
        <f t="shared" si="15"/>
        <v>1</v>
      </c>
      <c r="AJ84" s="26" t="str">
        <f t="shared" si="7"/>
        <v>UNKNOWN</v>
      </c>
      <c r="AK84" s="39"/>
      <c r="AL84" s="39" t="str">
        <f t="shared" si="10"/>
        <v>0D</v>
      </c>
      <c r="AM84" s="41" t="str">
        <f t="shared" si="11"/>
        <v>00</v>
      </c>
      <c r="AN84" s="41" t="str">
        <f t="shared" si="12"/>
        <v>00</v>
      </c>
      <c r="AO84" s="41" t="str">
        <f t="shared" si="13"/>
        <v>00</v>
      </c>
      <c r="AQ84" t="str">
        <f t="shared" si="8"/>
        <v xml:space="preserve">    (U4)0x0000000DU,                                                           /* 13 UNKNOWN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1</v>
      </c>
      <c r="AG85" s="97">
        <f t="shared" si="15"/>
        <v>1</v>
      </c>
      <c r="AH85" s="97">
        <f t="shared" si="15"/>
        <v>1</v>
      </c>
      <c r="AI85" s="97">
        <f t="shared" si="15"/>
        <v>0</v>
      </c>
      <c r="AJ85" s="26" t="str">
        <f t="shared" si="7"/>
        <v>UNKNOWN</v>
      </c>
      <c r="AK85" s="39"/>
      <c r="AL85" s="39" t="str">
        <f t="shared" si="10"/>
        <v>0E</v>
      </c>
      <c r="AM85" s="41" t="str">
        <f t="shared" si="11"/>
        <v>00</v>
      </c>
      <c r="AN85" s="41" t="str">
        <f t="shared" si="12"/>
        <v>00</v>
      </c>
      <c r="AO85" s="41" t="str">
        <f t="shared" si="13"/>
        <v>00</v>
      </c>
      <c r="AQ85" t="str">
        <f t="shared" si="8"/>
        <v xml:space="preserve">    (U4)0x0000000EU,                                                           /* 14 UNKNOWN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1</v>
      </c>
      <c r="AG86" s="97">
        <f t="shared" si="15"/>
        <v>1</v>
      </c>
      <c r="AH86" s="97">
        <f t="shared" si="15"/>
        <v>1</v>
      </c>
      <c r="AI86" s="97">
        <f t="shared" ref="AI86" si="16">IF(AI21=1,1,0)</f>
        <v>1</v>
      </c>
      <c r="AJ86" s="26" t="str">
        <f t="shared" si="7"/>
        <v>UNKNOWN</v>
      </c>
      <c r="AK86" s="39"/>
      <c r="AL86" s="39" t="str">
        <f t="shared" si="10"/>
        <v>0F</v>
      </c>
      <c r="AM86" s="41" t="str">
        <f t="shared" si="11"/>
        <v>00</v>
      </c>
      <c r="AN86" s="41" t="str">
        <f t="shared" si="12"/>
        <v>00</v>
      </c>
      <c r="AO86" s="41" t="str">
        <f t="shared" si="13"/>
        <v>00</v>
      </c>
      <c r="AQ86" t="str">
        <f t="shared" si="8"/>
        <v xml:space="preserve">    (U4)0x0000000FU                                                            /* 15 UNKNOWN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BLTA</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1</v>
      </c>
      <c r="AG136" s="97">
        <f t="shared" si="29"/>
        <v>1</v>
      </c>
      <c r="AH136" s="97">
        <f t="shared" si="29"/>
        <v>1</v>
      </c>
      <c r="AI136" s="97">
        <f t="shared" si="29"/>
        <v>1</v>
      </c>
      <c r="AJ136" s="26" t="str">
        <f t="shared" ref="AJ136:AJ199" si="30">IF(AJ6&lt;&gt;"",AJ6,"")</f>
        <v>UNKNOWN</v>
      </c>
      <c r="AK136" s="39"/>
      <c r="AL136" s="39" t="str">
        <f>BIN2HEX(AB136&amp;AC136&amp;AD136&amp;AE136&amp;AF136&amp;AG136&amp;AH136&amp;AI136,2)</f>
        <v>0F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1</v>
      </c>
      <c r="AG137" s="97">
        <f t="shared" si="29"/>
        <v>1</v>
      </c>
      <c r="AH137" s="97">
        <f t="shared" si="29"/>
        <v>1</v>
      </c>
      <c r="AI137" s="97">
        <f t="shared" si="29"/>
        <v>1</v>
      </c>
      <c r="AJ137" s="26" t="str">
        <f t="shared" si="30"/>
        <v>PTN1</v>
      </c>
      <c r="AK137" s="39"/>
      <c r="AL137" s="39" t="str">
        <f t="shared" ref="AL137:AL199" si="33">BIN2HEX(AB137&amp;AC137&amp;AD137&amp;AE137&amp;AF137&amp;AG137&amp;AH137&amp;AI137,2)</f>
        <v>0F</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(U4)0x0000000FU,                                                           /* 01 PTN1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1</v>
      </c>
      <c r="AG138" s="97">
        <f t="shared" si="29"/>
        <v>1</v>
      </c>
      <c r="AH138" s="97">
        <f t="shared" si="29"/>
        <v>1</v>
      </c>
      <c r="AI138" s="97">
        <f t="shared" si="29"/>
        <v>1</v>
      </c>
      <c r="AJ138" s="26" t="str">
        <f t="shared" si="30"/>
        <v>PTN2</v>
      </c>
      <c r="AK138" s="39"/>
      <c r="AL138" s="39" t="str">
        <f t="shared" si="33"/>
        <v>0F</v>
      </c>
      <c r="AM138" s="41" t="str">
        <f t="shared" si="34"/>
        <v>00</v>
      </c>
      <c r="AN138" s="41" t="str">
        <f t="shared" si="35"/>
        <v>00</v>
      </c>
      <c r="AO138" s="41" t="str">
        <f t="shared" si="36"/>
        <v>00</v>
      </c>
      <c r="AQ138" t="str">
        <f t="shared" si="31"/>
        <v xml:space="preserve">    (U4)0x0000000FU,                                                           /* 02 PTN2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1</v>
      </c>
      <c r="AG139" s="97">
        <f t="shared" si="29"/>
        <v>1</v>
      </c>
      <c r="AH139" s="97">
        <f t="shared" si="29"/>
        <v>1</v>
      </c>
      <c r="AI139" s="97">
        <f t="shared" si="29"/>
        <v>1</v>
      </c>
      <c r="AJ139" s="26" t="str">
        <f t="shared" si="30"/>
        <v>PTN3</v>
      </c>
      <c r="AK139" s="39"/>
      <c r="AL139" s="39" t="str">
        <f t="shared" si="33"/>
        <v>0F</v>
      </c>
      <c r="AM139" s="41" t="str">
        <f t="shared" si="34"/>
        <v>00</v>
      </c>
      <c r="AN139" s="41" t="str">
        <f t="shared" si="35"/>
        <v>00</v>
      </c>
      <c r="AO139" s="41" t="str">
        <f t="shared" si="36"/>
        <v>00</v>
      </c>
      <c r="AQ139" t="str">
        <f t="shared" si="31"/>
        <v xml:space="preserve">    (U4)0x0000000FU,                                                           /* 03 PTN3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1</v>
      </c>
      <c r="AG140" s="97">
        <f t="shared" si="29"/>
        <v>1</v>
      </c>
      <c r="AH140" s="97">
        <f t="shared" si="29"/>
        <v>1</v>
      </c>
      <c r="AI140" s="97">
        <f t="shared" si="29"/>
        <v>1</v>
      </c>
      <c r="AJ140" s="26" t="str">
        <f t="shared" si="30"/>
        <v>UNKNOWN</v>
      </c>
      <c r="AK140" s="39"/>
      <c r="AL140" s="39" t="str">
        <f t="shared" si="33"/>
        <v>0F</v>
      </c>
      <c r="AM140" s="41" t="str">
        <f t="shared" si="34"/>
        <v>00</v>
      </c>
      <c r="AN140" s="41" t="str">
        <f t="shared" si="35"/>
        <v>00</v>
      </c>
      <c r="AO140" s="41" t="str">
        <f t="shared" si="36"/>
        <v>00</v>
      </c>
      <c r="AQ140" t="str">
        <f t="shared" si="31"/>
        <v xml:space="preserve">    (U4)0x0000000FU,                                                           /* 04 UNKNOWN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1</v>
      </c>
      <c r="AG141" s="97">
        <f t="shared" si="29"/>
        <v>1</v>
      </c>
      <c r="AH141" s="97">
        <f t="shared" si="29"/>
        <v>1</v>
      </c>
      <c r="AI141" s="97">
        <f t="shared" si="29"/>
        <v>1</v>
      </c>
      <c r="AJ141" s="26" t="str">
        <f t="shared" si="30"/>
        <v>UNKNOWN</v>
      </c>
      <c r="AK141" s="39"/>
      <c r="AL141" s="39" t="str">
        <f t="shared" si="33"/>
        <v>0F</v>
      </c>
      <c r="AM141" s="41" t="str">
        <f t="shared" si="34"/>
        <v>00</v>
      </c>
      <c r="AN141" s="41" t="str">
        <f t="shared" si="35"/>
        <v>00</v>
      </c>
      <c r="AO141" s="41" t="str">
        <f t="shared" si="36"/>
        <v>00</v>
      </c>
      <c r="AQ141" t="str">
        <f t="shared" si="31"/>
        <v xml:space="preserve">    (U4)0x0000000FU,                                                           /* 05 UNKNOWN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1</v>
      </c>
      <c r="AG142" s="97">
        <f t="shared" si="29"/>
        <v>1</v>
      </c>
      <c r="AH142" s="97">
        <f t="shared" si="29"/>
        <v>1</v>
      </c>
      <c r="AI142" s="97">
        <f t="shared" si="29"/>
        <v>1</v>
      </c>
      <c r="AJ142" s="26" t="str">
        <f t="shared" si="30"/>
        <v>UNKNOWN</v>
      </c>
      <c r="AK142" s="39"/>
      <c r="AL142" s="39" t="str">
        <f t="shared" si="33"/>
        <v>0F</v>
      </c>
      <c r="AM142" s="41" t="str">
        <f t="shared" si="34"/>
        <v>00</v>
      </c>
      <c r="AN142" s="41" t="str">
        <f t="shared" si="35"/>
        <v>00</v>
      </c>
      <c r="AO142" s="41" t="str">
        <f t="shared" si="36"/>
        <v>00</v>
      </c>
      <c r="AQ142" t="str">
        <f t="shared" si="31"/>
        <v xml:space="preserve">    (U4)0x0000000FU,                                                           /* 06 UNKNOWN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1</v>
      </c>
      <c r="AG143" s="97">
        <f t="shared" si="29"/>
        <v>1</v>
      </c>
      <c r="AH143" s="97">
        <f t="shared" si="29"/>
        <v>1</v>
      </c>
      <c r="AI143" s="97">
        <f t="shared" ref="AI143" si="37">IF(OR(AI13=0,AI13=1),1,0)</f>
        <v>1</v>
      </c>
      <c r="AJ143" s="26" t="str">
        <f t="shared" si="30"/>
        <v>UNKNOWN</v>
      </c>
      <c r="AK143" s="39"/>
      <c r="AL143" s="39" t="str">
        <f t="shared" si="33"/>
        <v>0F</v>
      </c>
      <c r="AM143" s="41" t="str">
        <f t="shared" si="34"/>
        <v>00</v>
      </c>
      <c r="AN143" s="41" t="str">
        <f t="shared" si="35"/>
        <v>00</v>
      </c>
      <c r="AO143" s="41" t="str">
        <f t="shared" si="36"/>
        <v>00</v>
      </c>
      <c r="AQ143" t="str">
        <f t="shared" si="31"/>
        <v xml:space="preserve">    (U4)0x0000000FU,                                                           /* 07 UNKNOWN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1</v>
      </c>
      <c r="AG144" s="97">
        <f t="shared" si="38"/>
        <v>1</v>
      </c>
      <c r="AH144" s="97">
        <f t="shared" si="38"/>
        <v>1</v>
      </c>
      <c r="AI144" s="97">
        <f t="shared" si="38"/>
        <v>1</v>
      </c>
      <c r="AJ144" s="26" t="str">
        <f t="shared" si="30"/>
        <v>UNKNOWN</v>
      </c>
      <c r="AK144" s="39"/>
      <c r="AL144" s="39" t="str">
        <f t="shared" si="33"/>
        <v>0F</v>
      </c>
      <c r="AM144" s="41" t="str">
        <f t="shared" si="34"/>
        <v>00</v>
      </c>
      <c r="AN144" s="41" t="str">
        <f t="shared" si="35"/>
        <v>00</v>
      </c>
      <c r="AO144" s="41" t="str">
        <f t="shared" si="36"/>
        <v>00</v>
      </c>
      <c r="AQ144" t="str">
        <f t="shared" si="31"/>
        <v xml:space="preserve">    (U4)0x0000000FU,                                                           /* 08 UNKNOWN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1</v>
      </c>
      <c r="AG145" s="97">
        <f t="shared" si="38"/>
        <v>1</v>
      </c>
      <c r="AH145" s="97">
        <f t="shared" si="38"/>
        <v>1</v>
      </c>
      <c r="AI145" s="97">
        <f t="shared" si="38"/>
        <v>1</v>
      </c>
      <c r="AJ145" s="26" t="str">
        <f t="shared" si="30"/>
        <v>UNKNOWN</v>
      </c>
      <c r="AK145" s="39"/>
      <c r="AL145" s="39" t="str">
        <f t="shared" si="33"/>
        <v>0F</v>
      </c>
      <c r="AM145" s="41" t="str">
        <f t="shared" si="34"/>
        <v>00</v>
      </c>
      <c r="AN145" s="41" t="str">
        <f t="shared" si="35"/>
        <v>00</v>
      </c>
      <c r="AO145" s="41" t="str">
        <f t="shared" si="36"/>
        <v>00</v>
      </c>
      <c r="AQ145" t="str">
        <f t="shared" si="31"/>
        <v xml:space="preserve">    (U4)0x0000000FU,                                                           /* 09 UNKNOWN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1</v>
      </c>
      <c r="AG146" s="97">
        <f t="shared" si="38"/>
        <v>1</v>
      </c>
      <c r="AH146" s="97">
        <f t="shared" si="38"/>
        <v>1</v>
      </c>
      <c r="AI146" s="97">
        <f t="shared" si="38"/>
        <v>1</v>
      </c>
      <c r="AJ146" s="26" t="str">
        <f t="shared" si="30"/>
        <v>UNKNOWN</v>
      </c>
      <c r="AK146" s="39"/>
      <c r="AL146" s="39" t="str">
        <f t="shared" si="33"/>
        <v>0F</v>
      </c>
      <c r="AM146" s="41" t="str">
        <f t="shared" si="34"/>
        <v>00</v>
      </c>
      <c r="AN146" s="41" t="str">
        <f t="shared" si="35"/>
        <v>00</v>
      </c>
      <c r="AO146" s="41" t="str">
        <f t="shared" si="36"/>
        <v>00</v>
      </c>
      <c r="AQ146" t="str">
        <f t="shared" si="31"/>
        <v xml:space="preserve">    (U4)0x0000000FU,                                                           /* 10 UNKNOWN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1</v>
      </c>
      <c r="AG147" s="97">
        <f t="shared" si="38"/>
        <v>1</v>
      </c>
      <c r="AH147" s="97">
        <f t="shared" si="38"/>
        <v>1</v>
      </c>
      <c r="AI147" s="97">
        <f t="shared" si="38"/>
        <v>1</v>
      </c>
      <c r="AJ147" s="26" t="str">
        <f t="shared" si="30"/>
        <v>UNKNOWN</v>
      </c>
      <c r="AK147" s="39"/>
      <c r="AL147" s="39" t="str">
        <f t="shared" si="33"/>
        <v>0F</v>
      </c>
      <c r="AM147" s="41" t="str">
        <f t="shared" si="34"/>
        <v>00</v>
      </c>
      <c r="AN147" s="41" t="str">
        <f t="shared" si="35"/>
        <v>00</v>
      </c>
      <c r="AO147" s="41" t="str">
        <f t="shared" si="36"/>
        <v>00</v>
      </c>
      <c r="AQ147" t="str">
        <f t="shared" si="31"/>
        <v xml:space="preserve">    (U4)0x0000000FU,                                                           /* 11 UNKNOWN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1</v>
      </c>
      <c r="AG148" s="97">
        <f t="shared" si="38"/>
        <v>1</v>
      </c>
      <c r="AH148" s="97">
        <f t="shared" si="38"/>
        <v>1</v>
      </c>
      <c r="AI148" s="97">
        <f t="shared" si="38"/>
        <v>1</v>
      </c>
      <c r="AJ148" s="26" t="str">
        <f t="shared" si="30"/>
        <v>UNKNOWN</v>
      </c>
      <c r="AK148" s="39"/>
      <c r="AL148" s="39" t="str">
        <f t="shared" si="33"/>
        <v>0F</v>
      </c>
      <c r="AM148" s="41" t="str">
        <f t="shared" si="34"/>
        <v>00</v>
      </c>
      <c r="AN148" s="41" t="str">
        <f t="shared" si="35"/>
        <v>00</v>
      </c>
      <c r="AO148" s="41" t="str">
        <f t="shared" si="36"/>
        <v>00</v>
      </c>
      <c r="AQ148" t="str">
        <f t="shared" si="31"/>
        <v xml:space="preserve">    (U4)0x0000000FU,                                                           /* 12 UNKNOWN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1</v>
      </c>
      <c r="AG149" s="97">
        <f t="shared" si="38"/>
        <v>1</v>
      </c>
      <c r="AH149" s="97">
        <f t="shared" si="38"/>
        <v>1</v>
      </c>
      <c r="AI149" s="97">
        <f t="shared" si="38"/>
        <v>1</v>
      </c>
      <c r="AJ149" s="26" t="str">
        <f t="shared" si="30"/>
        <v>UNKNOWN</v>
      </c>
      <c r="AK149" s="39"/>
      <c r="AL149" s="39" t="str">
        <f t="shared" si="33"/>
        <v>0F</v>
      </c>
      <c r="AM149" s="41" t="str">
        <f t="shared" si="34"/>
        <v>00</v>
      </c>
      <c r="AN149" s="41" t="str">
        <f t="shared" si="35"/>
        <v>00</v>
      </c>
      <c r="AO149" s="41" t="str">
        <f t="shared" si="36"/>
        <v>00</v>
      </c>
      <c r="AQ149" t="str">
        <f t="shared" si="31"/>
        <v xml:space="preserve">    (U4)0x0000000FU,                                                           /* 13 UNKNOWN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1</v>
      </c>
      <c r="AG150" s="97">
        <f t="shared" si="38"/>
        <v>1</v>
      </c>
      <c r="AH150" s="97">
        <f t="shared" si="38"/>
        <v>1</v>
      </c>
      <c r="AI150" s="97">
        <f t="shared" si="38"/>
        <v>1</v>
      </c>
      <c r="AJ150" s="26" t="str">
        <f t="shared" si="30"/>
        <v>UNKNOWN</v>
      </c>
      <c r="AK150" s="39"/>
      <c r="AL150" s="39" t="str">
        <f t="shared" si="33"/>
        <v>0F</v>
      </c>
      <c r="AM150" s="41" t="str">
        <f t="shared" si="34"/>
        <v>00</v>
      </c>
      <c r="AN150" s="41" t="str">
        <f t="shared" si="35"/>
        <v>00</v>
      </c>
      <c r="AO150" s="41" t="str">
        <f t="shared" si="36"/>
        <v>00</v>
      </c>
      <c r="AQ150" t="str">
        <f t="shared" si="31"/>
        <v xml:space="preserve">    (U4)0x0000000FU,                                                           /* 14 UNKNOWN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1</v>
      </c>
      <c r="AG151" s="97">
        <f t="shared" si="38"/>
        <v>1</v>
      </c>
      <c r="AH151" s="97">
        <f t="shared" si="38"/>
        <v>1</v>
      </c>
      <c r="AI151" s="97">
        <f t="shared" ref="AI151" si="39">IF(OR(AI21=0,AI21=1),1,0)</f>
        <v>1</v>
      </c>
      <c r="AJ151" s="26" t="str">
        <f t="shared" si="30"/>
        <v>UNKNOWN</v>
      </c>
      <c r="AK151" s="39"/>
      <c r="AL151" s="39" t="str">
        <f t="shared" si="33"/>
        <v>0F</v>
      </c>
      <c r="AM151" s="41" t="str">
        <f t="shared" si="34"/>
        <v>00</v>
      </c>
      <c r="AN151" s="41" t="str">
        <f t="shared" si="35"/>
        <v>00</v>
      </c>
      <c r="AO151" s="41" t="str">
        <f t="shared" si="36"/>
        <v>00</v>
      </c>
      <c r="AQ151" t="str">
        <f t="shared" si="31"/>
        <v xml:space="preserve">    (U4)0x0000000FU                                                            /* 15 UNKNOWN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L3:AC3 D6:AD69" name="Table作成編集範囲"/>
    <protectedRange sqref="B3" name="Table作成編集範囲_2"/>
    <protectedRange sqref="AD3" name="Table作成編集範囲_1"/>
    <protectedRange sqref="AG3:AH3 AE3" name="Table作成編集範囲_3"/>
    <protectedRange sqref="AE6:AJ69" name="Table作成編集範囲_4"/>
  </protectedRanges>
  <mergeCells count="5">
    <mergeCell ref="C2:C3"/>
    <mergeCell ref="AJ2:AJ3"/>
    <mergeCell ref="A4:B5"/>
    <mergeCell ref="AF3:AG3"/>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headerFooter>
    <oddHeader>&amp;C&amp;"Calibri"&amp;10&amp;KFF0000 CONFIDENTIAL&amp;1#_x000D_</oddHead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6902-79C4-4E3B-BE36-D46BF98B5E94}">
  <dimension ref="B37:BH132"/>
  <sheetViews>
    <sheetView zoomScale="85" zoomScaleNormal="85" zoomScaleSheetLayoutView="80" workbookViewId="0"/>
  </sheetViews>
  <sheetFormatPr defaultColWidth="8.88671875" defaultRowHeight="13.2"/>
  <cols>
    <col min="1" max="1" width="8.88671875" style="159"/>
    <col min="2" max="2" width="68.21875" style="159" customWidth="1"/>
    <col min="3" max="3" width="5.21875" style="159" bestFit="1" customWidth="1"/>
    <col min="4" max="4" width="3.33203125" style="159" customWidth="1"/>
    <col min="5" max="10" width="3.44140625" style="159" bestFit="1" customWidth="1"/>
    <col min="11" max="11" width="19.21875" style="159" bestFit="1" customWidth="1"/>
    <col min="12" max="12" width="40.88671875" style="159" customWidth="1"/>
    <col min="13" max="13" width="27.6640625" style="159" bestFit="1" customWidth="1"/>
    <col min="14" max="14" width="14.109375" style="159" customWidth="1"/>
    <col min="15" max="15" width="16.33203125" style="159" customWidth="1"/>
    <col min="16" max="16" width="7.21875" style="159" bestFit="1" customWidth="1"/>
    <col min="17" max="17" width="10.88671875" style="159" customWidth="1"/>
    <col min="18" max="80" width="8.88671875" style="159"/>
    <col min="81" max="89" width="8.88671875" style="159" customWidth="1"/>
    <col min="90" max="16384" width="8.88671875" style="159"/>
  </cols>
  <sheetData>
    <row r="37" spans="2:17" ht="15" thickBot="1">
      <c r="B37" s="211" t="s">
        <v>254</v>
      </c>
    </row>
    <row r="38" spans="2:17" ht="15" thickBot="1">
      <c r="B38" s="160" t="s">
        <v>128</v>
      </c>
      <c r="C38" s="323" t="s">
        <v>209</v>
      </c>
      <c r="D38" s="324"/>
      <c r="E38" s="324"/>
      <c r="F38" s="324"/>
      <c r="G38" s="324"/>
      <c r="H38" s="324"/>
      <c r="I38" s="324"/>
      <c r="J38" s="325"/>
      <c r="K38" s="161"/>
      <c r="L38" s="161"/>
      <c r="M38" s="162"/>
      <c r="N38" s="163"/>
      <c r="O38" s="163"/>
      <c r="P38" s="163"/>
      <c r="Q38" s="164"/>
    </row>
    <row r="39" spans="2:17">
      <c r="B39" s="165"/>
      <c r="C39" s="220" t="s">
        <v>162</v>
      </c>
      <c r="D39" s="220"/>
      <c r="E39" s="220"/>
      <c r="F39" s="220"/>
      <c r="G39" s="220"/>
      <c r="H39" s="220"/>
      <c r="I39" s="220"/>
      <c r="J39" s="220"/>
      <c r="K39" s="220"/>
      <c r="L39" s="221"/>
      <c r="M39" s="166" t="s">
        <v>51</v>
      </c>
      <c r="N39" s="222" t="s">
        <v>21</v>
      </c>
      <c r="O39" s="223"/>
      <c r="P39" s="223"/>
      <c r="Q39" s="224"/>
    </row>
    <row r="40" spans="2:17">
      <c r="B40" s="167" t="s">
        <v>22</v>
      </c>
      <c r="C40" s="326" t="s">
        <v>176</v>
      </c>
      <c r="D40" s="321"/>
      <c r="E40" s="321"/>
      <c r="F40" s="321"/>
      <c r="G40" s="321"/>
      <c r="H40" s="321"/>
      <c r="I40" s="321"/>
      <c r="J40" s="322"/>
      <c r="K40" s="177" t="s">
        <v>23</v>
      </c>
      <c r="L40" s="225"/>
      <c r="M40" s="258" t="s">
        <v>296</v>
      </c>
      <c r="N40" s="138" t="s">
        <v>211</v>
      </c>
      <c r="O40" s="138" t="s">
        <v>171</v>
      </c>
      <c r="P40" s="169" t="s">
        <v>221</v>
      </c>
      <c r="Q40" s="142"/>
    </row>
    <row r="41" spans="2:17">
      <c r="B41" s="167" t="s">
        <v>33</v>
      </c>
      <c r="C41" s="170" t="s">
        <v>132</v>
      </c>
      <c r="D41" s="170" t="s">
        <v>132</v>
      </c>
      <c r="E41" s="170" t="s">
        <v>132</v>
      </c>
      <c r="F41" s="170" t="s">
        <v>132</v>
      </c>
      <c r="G41" s="170" t="s">
        <v>132</v>
      </c>
      <c r="H41" s="170" t="s">
        <v>132</v>
      </c>
      <c r="I41" s="170" t="s">
        <v>132</v>
      </c>
      <c r="J41" s="170" t="s">
        <v>132</v>
      </c>
      <c r="K41" s="171" t="s">
        <v>101</v>
      </c>
      <c r="L41" s="171" t="s">
        <v>101</v>
      </c>
      <c r="M41" s="168" t="s">
        <v>48</v>
      </c>
      <c r="N41" s="172"/>
      <c r="O41" s="172"/>
      <c r="P41" s="173"/>
      <c r="Q41" s="174"/>
    </row>
    <row r="42" spans="2:17" ht="26.4">
      <c r="B42" s="175" t="s">
        <v>28</v>
      </c>
      <c r="C42" s="320" t="s">
        <v>35</v>
      </c>
      <c r="D42" s="321"/>
      <c r="E42" s="321"/>
      <c r="F42" s="321"/>
      <c r="G42" s="321"/>
      <c r="H42" s="321"/>
      <c r="I42" s="321"/>
      <c r="J42" s="322"/>
      <c r="K42" s="176" t="s">
        <v>223</v>
      </c>
      <c r="L42" s="177" t="s">
        <v>223</v>
      </c>
      <c r="M42" s="178"/>
      <c r="N42" s="172"/>
      <c r="O42" s="172"/>
      <c r="P42" s="173"/>
      <c r="Q42" s="142"/>
    </row>
    <row r="43" spans="2:17" ht="133.19999999999999">
      <c r="B43" s="167" t="s">
        <v>29</v>
      </c>
      <c r="C43" s="179" t="s">
        <v>163</v>
      </c>
      <c r="D43" s="179" t="s">
        <v>62</v>
      </c>
      <c r="E43" s="179" t="s">
        <v>164</v>
      </c>
      <c r="F43" s="179" t="s">
        <v>165</v>
      </c>
      <c r="G43" s="179" t="s">
        <v>166</v>
      </c>
      <c r="H43" s="179" t="s">
        <v>167</v>
      </c>
      <c r="I43" s="179" t="s">
        <v>213</v>
      </c>
      <c r="J43" s="179" t="s">
        <v>168</v>
      </c>
      <c r="K43" s="176" t="s">
        <v>246</v>
      </c>
      <c r="L43" s="177" t="s">
        <v>247</v>
      </c>
      <c r="M43" s="168" t="s">
        <v>205</v>
      </c>
      <c r="N43" s="172"/>
      <c r="O43" s="172"/>
      <c r="P43" s="173"/>
      <c r="Q43" s="174"/>
    </row>
    <row r="44" spans="2:17" ht="40.200000000000003" thickBot="1">
      <c r="B44" s="180" t="s">
        <v>30</v>
      </c>
      <c r="C44" s="181" t="s">
        <v>170</v>
      </c>
      <c r="D44" s="181" t="s">
        <v>132</v>
      </c>
      <c r="E44" s="181" t="s">
        <v>170</v>
      </c>
      <c r="F44" s="181" t="s">
        <v>170</v>
      </c>
      <c r="G44" s="181" t="s">
        <v>170</v>
      </c>
      <c r="H44" s="181" t="s">
        <v>170</v>
      </c>
      <c r="I44" s="181" t="s">
        <v>170</v>
      </c>
      <c r="J44" s="181" t="s">
        <v>170</v>
      </c>
      <c r="K44" s="182" t="s">
        <v>224</v>
      </c>
      <c r="L44" s="182" t="s">
        <v>229</v>
      </c>
      <c r="M44" s="183" t="s">
        <v>315</v>
      </c>
      <c r="N44" s="184"/>
      <c r="O44" s="184"/>
      <c r="P44" s="185" t="s">
        <v>230</v>
      </c>
      <c r="Q44" s="186"/>
    </row>
    <row r="45" spans="2:17" ht="13.8" thickTop="1">
      <c r="B45" s="187" t="s">
        <v>231</v>
      </c>
      <c r="C45" s="188" t="s">
        <v>169</v>
      </c>
      <c r="D45" s="188" t="s">
        <v>169</v>
      </c>
      <c r="E45" s="188" t="s">
        <v>169</v>
      </c>
      <c r="F45" s="188" t="s">
        <v>169</v>
      </c>
      <c r="G45" s="188" t="s">
        <v>169</v>
      </c>
      <c r="H45" s="188" t="s">
        <v>169</v>
      </c>
      <c r="I45" s="188" t="s">
        <v>169</v>
      </c>
      <c r="J45" s="188" t="s">
        <v>169</v>
      </c>
      <c r="K45" s="189" t="s">
        <v>225</v>
      </c>
      <c r="L45" s="190" t="s">
        <v>225</v>
      </c>
      <c r="M45" s="191" t="s">
        <v>109</v>
      </c>
      <c r="N45" s="192"/>
      <c r="O45" s="192"/>
      <c r="P45" s="193" t="s">
        <v>31</v>
      </c>
      <c r="Q45" s="194"/>
    </row>
    <row r="46" spans="2:17">
      <c r="B46" s="195" t="s">
        <v>232</v>
      </c>
      <c r="C46" s="196" t="s">
        <v>169</v>
      </c>
      <c r="D46" s="196" t="s">
        <v>169</v>
      </c>
      <c r="E46" s="196" t="s">
        <v>169</v>
      </c>
      <c r="F46" s="196" t="s">
        <v>169</v>
      </c>
      <c r="G46" s="196" t="s">
        <v>169</v>
      </c>
      <c r="H46" s="196" t="s">
        <v>169</v>
      </c>
      <c r="I46" s="196" t="s">
        <v>169</v>
      </c>
      <c r="J46" s="196" t="s">
        <v>169</v>
      </c>
      <c r="K46" s="189" t="s">
        <v>225</v>
      </c>
      <c r="L46" s="197" t="s">
        <v>226</v>
      </c>
      <c r="M46" s="259" t="s">
        <v>295</v>
      </c>
      <c r="N46" s="199"/>
      <c r="O46" s="199"/>
      <c r="P46" s="193" t="s">
        <v>233</v>
      </c>
      <c r="Q46" s="200"/>
    </row>
    <row r="47" spans="2:17">
      <c r="B47" s="195" t="s">
        <v>220</v>
      </c>
      <c r="C47" s="196" t="s">
        <v>169</v>
      </c>
      <c r="D47" s="196" t="s">
        <v>169</v>
      </c>
      <c r="E47" s="196" t="s">
        <v>169</v>
      </c>
      <c r="F47" s="196" t="s">
        <v>169</v>
      </c>
      <c r="G47" s="196" t="s">
        <v>169</v>
      </c>
      <c r="H47" s="196" t="s">
        <v>169</v>
      </c>
      <c r="I47" s="196" t="s">
        <v>169</v>
      </c>
      <c r="J47" s="196" t="s">
        <v>169</v>
      </c>
      <c r="K47" s="201" t="s">
        <v>226</v>
      </c>
      <c r="L47" s="197" t="s">
        <v>228</v>
      </c>
      <c r="M47" s="198" t="s">
        <v>32</v>
      </c>
      <c r="N47" s="199"/>
      <c r="O47" s="199"/>
      <c r="P47" s="193" t="s">
        <v>31</v>
      </c>
      <c r="Q47" s="200"/>
    </row>
    <row r="48" spans="2:17" ht="13.8" thickBot="1">
      <c r="B48" s="203" t="s">
        <v>206</v>
      </c>
      <c r="C48" s="204" t="s">
        <v>169</v>
      </c>
      <c r="D48" s="204" t="s">
        <v>169</v>
      </c>
      <c r="E48" s="204" t="s">
        <v>169</v>
      </c>
      <c r="F48" s="204" t="s">
        <v>169</v>
      </c>
      <c r="G48" s="204" t="s">
        <v>169</v>
      </c>
      <c r="H48" s="204" t="s">
        <v>169</v>
      </c>
      <c r="I48" s="204" t="s">
        <v>169</v>
      </c>
      <c r="J48" s="204" t="s">
        <v>169</v>
      </c>
      <c r="K48" s="212" t="s">
        <v>228</v>
      </c>
      <c r="L48" s="205" t="s">
        <v>227</v>
      </c>
      <c r="M48" s="206" t="s">
        <v>32</v>
      </c>
      <c r="N48" s="207"/>
      <c r="O48" s="208"/>
      <c r="P48" s="205" t="s">
        <v>31</v>
      </c>
      <c r="Q48" s="209"/>
    </row>
    <row r="58" spans="2:17" ht="15" thickBot="1">
      <c r="B58" s="158" t="s">
        <v>255</v>
      </c>
    </row>
    <row r="59" spans="2:17" ht="15" thickBot="1">
      <c r="B59" s="160" t="s">
        <v>128</v>
      </c>
      <c r="C59" s="323" t="s">
        <v>209</v>
      </c>
      <c r="D59" s="324"/>
      <c r="E59" s="324"/>
      <c r="F59" s="324"/>
      <c r="G59" s="324"/>
      <c r="H59" s="324"/>
      <c r="I59" s="324"/>
      <c r="J59" s="325"/>
      <c r="K59" s="161"/>
      <c r="L59" s="161"/>
      <c r="M59" s="162"/>
      <c r="N59" s="163"/>
      <c r="O59" s="163"/>
      <c r="P59" s="163"/>
      <c r="Q59" s="164"/>
    </row>
    <row r="60" spans="2:17">
      <c r="B60" s="165"/>
      <c r="C60" s="220" t="s">
        <v>162</v>
      </c>
      <c r="D60" s="220"/>
      <c r="E60" s="220"/>
      <c r="F60" s="220"/>
      <c r="G60" s="220"/>
      <c r="H60" s="220"/>
      <c r="I60" s="220"/>
      <c r="J60" s="220"/>
      <c r="K60" s="220"/>
      <c r="L60" s="221"/>
      <c r="M60" s="166" t="s">
        <v>51</v>
      </c>
      <c r="N60" s="222" t="s">
        <v>21</v>
      </c>
      <c r="O60" s="223"/>
      <c r="P60" s="223"/>
      <c r="Q60" s="224"/>
    </row>
    <row r="61" spans="2:17">
      <c r="B61" s="167" t="s">
        <v>22</v>
      </c>
      <c r="C61" s="326" t="s">
        <v>176</v>
      </c>
      <c r="D61" s="321"/>
      <c r="E61" s="321"/>
      <c r="F61" s="321"/>
      <c r="G61" s="321"/>
      <c r="H61" s="321"/>
      <c r="I61" s="321"/>
      <c r="J61" s="322"/>
      <c r="K61" s="177" t="s">
        <v>23</v>
      </c>
      <c r="L61" s="225"/>
      <c r="M61" s="258" t="s">
        <v>293</v>
      </c>
      <c r="N61" s="138" t="s">
        <v>211</v>
      </c>
      <c r="O61" s="138" t="s">
        <v>171</v>
      </c>
      <c r="P61" s="169" t="s">
        <v>221</v>
      </c>
      <c r="Q61" s="142"/>
    </row>
    <row r="62" spans="2:17">
      <c r="B62" s="167" t="s">
        <v>33</v>
      </c>
      <c r="C62" s="170" t="s">
        <v>132</v>
      </c>
      <c r="D62" s="170" t="s">
        <v>132</v>
      </c>
      <c r="E62" s="170" t="s">
        <v>132</v>
      </c>
      <c r="F62" s="170" t="s">
        <v>132</v>
      </c>
      <c r="G62" s="170" t="s">
        <v>132</v>
      </c>
      <c r="H62" s="170" t="s">
        <v>132</v>
      </c>
      <c r="I62" s="170" t="s">
        <v>132</v>
      </c>
      <c r="J62" s="170" t="s">
        <v>132</v>
      </c>
      <c r="K62" s="171" t="s">
        <v>101</v>
      </c>
      <c r="L62" s="171" t="s">
        <v>101</v>
      </c>
      <c r="M62" s="168" t="s">
        <v>48</v>
      </c>
      <c r="N62" s="172"/>
      <c r="O62" s="172"/>
      <c r="P62" s="173"/>
      <c r="Q62" s="174"/>
    </row>
    <row r="63" spans="2:17" ht="26.4">
      <c r="B63" s="175" t="s">
        <v>28</v>
      </c>
      <c r="C63" s="320" t="s">
        <v>35</v>
      </c>
      <c r="D63" s="321"/>
      <c r="E63" s="321"/>
      <c r="F63" s="321"/>
      <c r="G63" s="321"/>
      <c r="H63" s="321"/>
      <c r="I63" s="321"/>
      <c r="J63" s="322"/>
      <c r="K63" s="176" t="s">
        <v>222</v>
      </c>
      <c r="L63" s="177" t="s">
        <v>222</v>
      </c>
      <c r="M63" s="178"/>
      <c r="N63" s="172"/>
      <c r="O63" s="172"/>
      <c r="P63" s="173"/>
      <c r="Q63" s="142"/>
    </row>
    <row r="64" spans="2:17" ht="133.19999999999999">
      <c r="B64" s="167" t="s">
        <v>29</v>
      </c>
      <c r="C64" s="179" t="s">
        <v>163</v>
      </c>
      <c r="D64" s="179" t="s">
        <v>62</v>
      </c>
      <c r="E64" s="179" t="s">
        <v>164</v>
      </c>
      <c r="F64" s="179" t="s">
        <v>165</v>
      </c>
      <c r="G64" s="179" t="s">
        <v>166</v>
      </c>
      <c r="H64" s="179" t="s">
        <v>167</v>
      </c>
      <c r="I64" s="179" t="s">
        <v>213</v>
      </c>
      <c r="J64" s="179" t="s">
        <v>168</v>
      </c>
      <c r="K64" s="176" t="s">
        <v>222</v>
      </c>
      <c r="L64" s="177" t="s">
        <v>256</v>
      </c>
      <c r="M64" s="168" t="s">
        <v>205</v>
      </c>
      <c r="N64" s="172"/>
      <c r="O64" s="172"/>
      <c r="P64" s="173"/>
      <c r="Q64" s="174"/>
    </row>
    <row r="65" spans="2:17" ht="53.4" thickBot="1">
      <c r="B65" s="180" t="s">
        <v>30</v>
      </c>
      <c r="C65" s="181" t="s">
        <v>170</v>
      </c>
      <c r="D65" s="181" t="s">
        <v>132</v>
      </c>
      <c r="E65" s="181" t="s">
        <v>170</v>
      </c>
      <c r="F65" s="181" t="s">
        <v>170</v>
      </c>
      <c r="G65" s="181" t="s">
        <v>170</v>
      </c>
      <c r="H65" s="181" t="s">
        <v>170</v>
      </c>
      <c r="I65" s="181" t="s">
        <v>170</v>
      </c>
      <c r="J65" s="181" t="s">
        <v>170</v>
      </c>
      <c r="K65" s="182" t="s">
        <v>219</v>
      </c>
      <c r="L65" s="182" t="s">
        <v>257</v>
      </c>
      <c r="M65" s="183" t="s">
        <v>242</v>
      </c>
      <c r="N65" s="184"/>
      <c r="O65" s="184"/>
      <c r="P65" s="185" t="s">
        <v>258</v>
      </c>
      <c r="Q65" s="186"/>
    </row>
    <row r="66" spans="2:17" ht="13.8" thickTop="1">
      <c r="B66" s="187" t="s">
        <v>231</v>
      </c>
      <c r="C66" s="188" t="s">
        <v>169</v>
      </c>
      <c r="D66" s="188" t="s">
        <v>169</v>
      </c>
      <c r="E66" s="188" t="s">
        <v>169</v>
      </c>
      <c r="F66" s="188" t="s">
        <v>169</v>
      </c>
      <c r="G66" s="188" t="s">
        <v>169</v>
      </c>
      <c r="H66" s="188" t="s">
        <v>169</v>
      </c>
      <c r="I66" s="188" t="s">
        <v>169</v>
      </c>
      <c r="J66" s="188" t="s">
        <v>169</v>
      </c>
      <c r="K66" s="189" t="s">
        <v>214</v>
      </c>
      <c r="L66" s="190" t="s">
        <v>214</v>
      </c>
      <c r="M66" s="191" t="s">
        <v>109</v>
      </c>
      <c r="N66" s="192"/>
      <c r="O66" s="192"/>
      <c r="P66" s="193" t="s">
        <v>31</v>
      </c>
      <c r="Q66" s="194"/>
    </row>
    <row r="67" spans="2:17">
      <c r="B67" s="195" t="s">
        <v>259</v>
      </c>
      <c r="C67" s="196" t="s">
        <v>169</v>
      </c>
      <c r="D67" s="196" t="s">
        <v>169</v>
      </c>
      <c r="E67" s="196" t="s">
        <v>169</v>
      </c>
      <c r="F67" s="196" t="s">
        <v>169</v>
      </c>
      <c r="G67" s="196" t="s">
        <v>169</v>
      </c>
      <c r="H67" s="196" t="s">
        <v>169</v>
      </c>
      <c r="I67" s="196" t="s">
        <v>169</v>
      </c>
      <c r="J67" s="196" t="s">
        <v>169</v>
      </c>
      <c r="K67" s="189" t="s">
        <v>214</v>
      </c>
      <c r="L67" s="197" t="s">
        <v>215</v>
      </c>
      <c r="M67" s="198" t="s">
        <v>237</v>
      </c>
      <c r="N67" s="199"/>
      <c r="O67" s="199"/>
      <c r="P67" s="193" t="s">
        <v>260</v>
      </c>
      <c r="Q67" s="200"/>
    </row>
    <row r="68" spans="2:17">
      <c r="B68" s="195" t="s">
        <v>261</v>
      </c>
      <c r="C68" s="196" t="s">
        <v>169</v>
      </c>
      <c r="D68" s="196" t="s">
        <v>169</v>
      </c>
      <c r="E68" s="196" t="s">
        <v>169</v>
      </c>
      <c r="F68" s="196" t="s">
        <v>169</v>
      </c>
      <c r="G68" s="196" t="s">
        <v>169</v>
      </c>
      <c r="H68" s="196" t="s">
        <v>169</v>
      </c>
      <c r="I68" s="196" t="s">
        <v>169</v>
      </c>
      <c r="J68" s="196" t="s">
        <v>169</v>
      </c>
      <c r="K68" s="189" t="s">
        <v>214</v>
      </c>
      <c r="L68" s="197" t="s">
        <v>216</v>
      </c>
      <c r="M68" s="198" t="s">
        <v>239</v>
      </c>
      <c r="N68" s="199"/>
      <c r="O68" s="199"/>
      <c r="P68" s="193" t="s">
        <v>260</v>
      </c>
      <c r="Q68" s="200"/>
    </row>
    <row r="69" spans="2:17">
      <c r="B69" s="195" t="s">
        <v>262</v>
      </c>
      <c r="C69" s="196" t="s">
        <v>169</v>
      </c>
      <c r="D69" s="196" t="s">
        <v>169</v>
      </c>
      <c r="E69" s="196" t="s">
        <v>169</v>
      </c>
      <c r="F69" s="196" t="s">
        <v>169</v>
      </c>
      <c r="G69" s="196" t="s">
        <v>169</v>
      </c>
      <c r="H69" s="196" t="s">
        <v>169</v>
      </c>
      <c r="I69" s="196" t="s">
        <v>169</v>
      </c>
      <c r="J69" s="196" t="s">
        <v>169</v>
      </c>
      <c r="K69" s="189" t="s">
        <v>214</v>
      </c>
      <c r="L69" s="197" t="s">
        <v>217</v>
      </c>
      <c r="M69" s="198" t="s">
        <v>241</v>
      </c>
      <c r="N69" s="199"/>
      <c r="O69" s="199"/>
      <c r="P69" s="193" t="s">
        <v>263</v>
      </c>
      <c r="Q69" s="200"/>
    </row>
    <row r="70" spans="2:17">
      <c r="B70" s="195" t="s">
        <v>220</v>
      </c>
      <c r="C70" s="196" t="s">
        <v>169</v>
      </c>
      <c r="D70" s="196" t="s">
        <v>169</v>
      </c>
      <c r="E70" s="196" t="s">
        <v>169</v>
      </c>
      <c r="F70" s="196" t="s">
        <v>169</v>
      </c>
      <c r="G70" s="196" t="s">
        <v>169</v>
      </c>
      <c r="H70" s="196" t="s">
        <v>169</v>
      </c>
      <c r="I70" s="196" t="s">
        <v>169</v>
      </c>
      <c r="J70" s="196" t="s">
        <v>169</v>
      </c>
      <c r="K70" s="201" t="s">
        <v>215</v>
      </c>
      <c r="L70" s="197" t="s">
        <v>218</v>
      </c>
      <c r="M70" s="198" t="s">
        <v>32</v>
      </c>
      <c r="N70" s="199"/>
      <c r="O70" s="199"/>
      <c r="P70" s="193" t="s">
        <v>31</v>
      </c>
      <c r="Q70" s="200"/>
    </row>
    <row r="71" spans="2:17">
      <c r="B71" s="195" t="s">
        <v>208</v>
      </c>
      <c r="C71" s="196" t="s">
        <v>169</v>
      </c>
      <c r="D71" s="196" t="s">
        <v>169</v>
      </c>
      <c r="E71" s="196" t="s">
        <v>169</v>
      </c>
      <c r="F71" s="196" t="s">
        <v>169</v>
      </c>
      <c r="G71" s="196" t="s">
        <v>169</v>
      </c>
      <c r="H71" s="196" t="s">
        <v>169</v>
      </c>
      <c r="I71" s="196" t="s">
        <v>169</v>
      </c>
      <c r="J71" s="196" t="s">
        <v>169</v>
      </c>
      <c r="K71" s="201" t="s">
        <v>216</v>
      </c>
      <c r="L71" s="197" t="s">
        <v>248</v>
      </c>
      <c r="M71" s="198" t="s">
        <v>32</v>
      </c>
      <c r="N71" s="199"/>
      <c r="O71" s="199"/>
      <c r="P71" s="193" t="s">
        <v>31</v>
      </c>
      <c r="Q71" s="202"/>
    </row>
    <row r="72" spans="2:17">
      <c r="B72" s="195" t="s">
        <v>207</v>
      </c>
      <c r="C72" s="196" t="s">
        <v>169</v>
      </c>
      <c r="D72" s="196" t="s">
        <v>169</v>
      </c>
      <c r="E72" s="196" t="s">
        <v>169</v>
      </c>
      <c r="F72" s="196" t="s">
        <v>169</v>
      </c>
      <c r="G72" s="196" t="s">
        <v>169</v>
      </c>
      <c r="H72" s="196" t="s">
        <v>169</v>
      </c>
      <c r="I72" s="196" t="s">
        <v>169</v>
      </c>
      <c r="J72" s="196" t="s">
        <v>169</v>
      </c>
      <c r="K72" s="201" t="s">
        <v>217</v>
      </c>
      <c r="L72" s="197" t="s">
        <v>248</v>
      </c>
      <c r="M72" s="198" t="s">
        <v>32</v>
      </c>
      <c r="N72" s="199"/>
      <c r="O72" s="199"/>
      <c r="P72" s="193" t="s">
        <v>31</v>
      </c>
      <c r="Q72" s="202"/>
    </row>
    <row r="73" spans="2:17" ht="13.8" thickBot="1">
      <c r="B73" s="203" t="s">
        <v>206</v>
      </c>
      <c r="C73" s="204" t="s">
        <v>169</v>
      </c>
      <c r="D73" s="204" t="s">
        <v>169</v>
      </c>
      <c r="E73" s="204" t="s">
        <v>169</v>
      </c>
      <c r="F73" s="204" t="s">
        <v>169</v>
      </c>
      <c r="G73" s="204" t="s">
        <v>169</v>
      </c>
      <c r="H73" s="204" t="s">
        <v>169</v>
      </c>
      <c r="I73" s="204" t="s">
        <v>169</v>
      </c>
      <c r="J73" s="204" t="s">
        <v>169</v>
      </c>
      <c r="K73" s="205" t="s">
        <v>218</v>
      </c>
      <c r="L73" s="205" t="s">
        <v>248</v>
      </c>
      <c r="M73" s="206" t="s">
        <v>32</v>
      </c>
      <c r="N73" s="207"/>
      <c r="O73" s="208"/>
      <c r="P73" s="205" t="s">
        <v>31</v>
      </c>
      <c r="Q73" s="209"/>
    </row>
    <row r="132" spans="60:60">
      <c r="BH132" s="159" t="s">
        <v>234</v>
      </c>
    </row>
  </sheetData>
  <mergeCells count="6">
    <mergeCell ref="C63:J63"/>
    <mergeCell ref="C38:J38"/>
    <mergeCell ref="C40:J40"/>
    <mergeCell ref="C42:J42"/>
    <mergeCell ref="C59:J59"/>
    <mergeCell ref="C61:J61"/>
  </mergeCells>
  <phoneticPr fontId="2"/>
  <dataValidations count="1">
    <dataValidation type="list" allowBlank="1" showInputMessage="1" showErrorMessage="1" sqref="C59 C38" xr:uid="{FE7C5C66-2CB2-483F-AB4A-4A9E7B4DADD6}">
      <formula1>"Index,Matrix Search"</formula1>
    </dataValidation>
  </dataValidations>
  <pageMargins left="0.7" right="0.7" top="0.75" bottom="0.75" header="0.3" footer="0.3"/>
  <pageSetup paperSize="9" orientation="portrait" horizontalDpi="1200" verticalDpi="1200" r:id="rId1"/>
  <headerFooter>
    <oddHeader>&amp;C&amp;"Calibri"&amp;10&amp;KFF0000 CONFIDENTIAL&amp;1#_x000D_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56" t="s">
        <v>86</v>
      </c>
      <c r="C2" s="57">
        <f>MAX(B4:B28)</f>
        <v>20</v>
      </c>
      <c r="D2" s="57"/>
    </row>
    <row r="3" spans="2:4" ht="13.8" thickBot="1">
      <c r="B3" s="50" t="s">
        <v>84</v>
      </c>
      <c r="C3" s="58" t="s">
        <v>89</v>
      </c>
      <c r="D3" s="51" t="s">
        <v>85</v>
      </c>
    </row>
    <row r="4" spans="2:4" ht="13.8" thickTop="1">
      <c r="B4" s="12">
        <v>0</v>
      </c>
      <c r="C4" s="59" t="s">
        <v>90</v>
      </c>
      <c r="D4" s="14" t="s">
        <v>20</v>
      </c>
    </row>
    <row r="5" spans="2:4" ht="39.6">
      <c r="B5" s="2">
        <v>1</v>
      </c>
      <c r="C5" s="60" t="s">
        <v>90</v>
      </c>
      <c r="D5" s="62" t="s">
        <v>91</v>
      </c>
    </row>
    <row r="6" spans="2:4" ht="26.4">
      <c r="B6" s="2">
        <v>2</v>
      </c>
      <c r="C6" s="60" t="s">
        <v>93</v>
      </c>
      <c r="D6" s="62" t="s">
        <v>94</v>
      </c>
    </row>
    <row r="7" spans="2:4" ht="52.8">
      <c r="B7" s="2">
        <v>3</v>
      </c>
      <c r="C7" s="60" t="s">
        <v>95</v>
      </c>
      <c r="D7" s="62" t="s">
        <v>98</v>
      </c>
    </row>
    <row r="8" spans="2:4" ht="79.2">
      <c r="B8" s="2">
        <v>4</v>
      </c>
      <c r="C8" s="60" t="s">
        <v>106</v>
      </c>
      <c r="D8" s="62" t="s">
        <v>114</v>
      </c>
    </row>
    <row r="9" spans="2:4" ht="41.25" customHeight="1">
      <c r="B9" s="2">
        <v>5</v>
      </c>
      <c r="C9" s="60" t="s">
        <v>107</v>
      </c>
      <c r="D9" s="62" t="s">
        <v>108</v>
      </c>
    </row>
    <row r="10" spans="2:4" ht="26.4">
      <c r="B10" s="2">
        <v>6</v>
      </c>
      <c r="C10" s="60" t="s">
        <v>90</v>
      </c>
      <c r="D10" s="62" t="s">
        <v>113</v>
      </c>
    </row>
    <row r="11" spans="2:4" ht="26.4">
      <c r="B11" s="2">
        <v>7</v>
      </c>
      <c r="C11" s="60" t="s">
        <v>110</v>
      </c>
      <c r="D11" s="62" t="s">
        <v>111</v>
      </c>
    </row>
    <row r="12" spans="2:4" ht="26.4">
      <c r="B12" s="2">
        <v>8</v>
      </c>
      <c r="C12" s="60" t="s">
        <v>112</v>
      </c>
      <c r="D12" s="62" t="s">
        <v>115</v>
      </c>
    </row>
    <row r="13" spans="2:4" ht="26.4">
      <c r="B13" s="2">
        <v>9</v>
      </c>
      <c r="C13" s="60" t="s">
        <v>116</v>
      </c>
      <c r="D13" s="62" t="s">
        <v>117</v>
      </c>
    </row>
    <row r="14" spans="2:4" ht="26.4">
      <c r="B14" s="2">
        <v>10</v>
      </c>
      <c r="C14" s="60" t="s">
        <v>118</v>
      </c>
      <c r="D14" s="62" t="s">
        <v>119</v>
      </c>
    </row>
    <row r="15" spans="2:4" ht="132">
      <c r="B15" s="2">
        <v>11</v>
      </c>
      <c r="C15" s="60" t="s">
        <v>121</v>
      </c>
      <c r="D15" s="62" t="s">
        <v>133</v>
      </c>
    </row>
    <row r="16" spans="2:4" ht="191.25" customHeight="1">
      <c r="B16" s="2">
        <v>12</v>
      </c>
      <c r="C16" s="60" t="s">
        <v>160</v>
      </c>
      <c r="D16" s="62" t="s">
        <v>174</v>
      </c>
    </row>
    <row r="17" spans="2:4" ht="26.4">
      <c r="B17" s="2">
        <v>13</v>
      </c>
      <c r="C17" s="60" t="s">
        <v>93</v>
      </c>
      <c r="D17" s="62" t="s">
        <v>177</v>
      </c>
    </row>
    <row r="18" spans="2:4" ht="92.4">
      <c r="B18" s="2">
        <v>14</v>
      </c>
      <c r="C18" s="60" t="s">
        <v>93</v>
      </c>
      <c r="D18" s="62" t="s">
        <v>179</v>
      </c>
    </row>
    <row r="19" spans="2:4" ht="39.6">
      <c r="B19" s="2">
        <v>15</v>
      </c>
      <c r="C19" s="60" t="s">
        <v>107</v>
      </c>
      <c r="D19" s="62" t="s">
        <v>183</v>
      </c>
    </row>
    <row r="20" spans="2:4" ht="64.5" customHeight="1">
      <c r="B20" s="2">
        <v>16</v>
      </c>
      <c r="C20" s="60" t="s">
        <v>107</v>
      </c>
      <c r="D20" s="62" t="s">
        <v>187</v>
      </c>
    </row>
    <row r="21" spans="2:4" ht="66.75" customHeight="1">
      <c r="B21" s="2">
        <v>17</v>
      </c>
      <c r="C21" s="60" t="s">
        <v>196</v>
      </c>
      <c r="D21" s="62" t="s">
        <v>203</v>
      </c>
    </row>
    <row r="22" spans="2:4" ht="26.4">
      <c r="B22" s="2">
        <v>18</v>
      </c>
      <c r="C22" s="60" t="s">
        <v>243</v>
      </c>
      <c r="D22" s="62" t="s">
        <v>244</v>
      </c>
    </row>
    <row r="23" spans="2:4" ht="26.4">
      <c r="B23" s="2">
        <v>19</v>
      </c>
      <c r="C23" s="60" t="s">
        <v>243</v>
      </c>
      <c r="D23" s="62" t="s">
        <v>245</v>
      </c>
    </row>
    <row r="24" spans="2:4" ht="92.4">
      <c r="B24" s="2">
        <v>20</v>
      </c>
      <c r="C24" s="60" t="s">
        <v>249</v>
      </c>
      <c r="D24" s="62" t="s">
        <v>250</v>
      </c>
    </row>
    <row r="25" spans="2:4">
      <c r="B25" s="2"/>
      <c r="C25" s="60"/>
      <c r="D25" s="49"/>
    </row>
    <row r="26" spans="2:4">
      <c r="B26" s="2"/>
      <c r="C26" s="60"/>
      <c r="D26" s="49"/>
    </row>
    <row r="27" spans="2:4" ht="13.8" thickBot="1">
      <c r="B27" s="3"/>
      <c r="C27" s="61"/>
      <c r="D27" s="5"/>
    </row>
  </sheetData>
  <phoneticPr fontId="2"/>
  <pageMargins left="0.7" right="0.7" top="0.75" bottom="0.75" header="0.3" footer="0.3"/>
  <pageSetup paperSize="9" orientation="portrait" r:id="rId1"/>
  <headerFooter>
    <oddHeader>&amp;C&amp;"Calibri"&amp;10&amp;KFF0000 CONFIDENTIAL&amp;1#_x000D_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0655-10E6-4ACC-B8DD-03565E855A85}">
  <dimension ref="B2:C56"/>
  <sheetViews>
    <sheetView topLeftCell="A46" workbookViewId="0">
      <selection activeCell="K15" sqref="K15"/>
    </sheetView>
  </sheetViews>
  <sheetFormatPr defaultRowHeight="13.2"/>
  <cols>
    <col min="2" max="2" width="36.88671875" bestFit="1" customWidth="1"/>
  </cols>
  <sheetData>
    <row r="2" spans="2:3">
      <c r="B2" t="s">
        <v>298</v>
      </c>
      <c r="C2" t="s">
        <v>299</v>
      </c>
    </row>
    <row r="4" spans="2:3">
      <c r="B4" t="s">
        <v>300</v>
      </c>
      <c r="C4">
        <f>LEN(B4)</f>
        <v>31</v>
      </c>
    </row>
    <row r="5" spans="2:3">
      <c r="B5" t="s">
        <v>301</v>
      </c>
      <c r="C5">
        <f>LEN(B5)</f>
        <v>31</v>
      </c>
    </row>
    <row r="15" spans="2:3">
      <c r="B15" t="s">
        <v>296</v>
      </c>
      <c r="C15">
        <f t="shared" ref="C15:C16" si="0">LEN(B15)</f>
        <v>25</v>
      </c>
    </row>
    <row r="16" spans="2:3">
      <c r="B16" t="s">
        <v>293</v>
      </c>
      <c r="C16">
        <f t="shared" si="0"/>
        <v>25</v>
      </c>
    </row>
    <row r="18" spans="2:3">
      <c r="B18" t="s">
        <v>302</v>
      </c>
      <c r="C18">
        <f t="shared" ref="C18:C27" si="1">LEN(B18)</f>
        <v>30</v>
      </c>
    </row>
    <row r="19" spans="2:3">
      <c r="B19" t="s">
        <v>303</v>
      </c>
      <c r="C19">
        <f t="shared" si="1"/>
        <v>31</v>
      </c>
    </row>
    <row r="20" spans="2:3">
      <c r="B20" t="s">
        <v>304</v>
      </c>
      <c r="C20">
        <f t="shared" si="1"/>
        <v>31</v>
      </c>
    </row>
    <row r="21" spans="2:3">
      <c r="B21" t="s">
        <v>305</v>
      </c>
      <c r="C21">
        <f t="shared" si="1"/>
        <v>31</v>
      </c>
    </row>
    <row r="23" spans="2:3">
      <c r="B23" t="s">
        <v>306</v>
      </c>
      <c r="C23">
        <f t="shared" si="1"/>
        <v>33</v>
      </c>
    </row>
    <row r="24" spans="2:3">
      <c r="B24" t="s">
        <v>307</v>
      </c>
      <c r="C24">
        <f t="shared" si="1"/>
        <v>33</v>
      </c>
    </row>
    <row r="25" spans="2:3">
      <c r="B25" t="s">
        <v>308</v>
      </c>
      <c r="C25">
        <f t="shared" si="1"/>
        <v>30</v>
      </c>
    </row>
    <row r="26" spans="2:3">
      <c r="B26" t="s">
        <v>309</v>
      </c>
      <c r="C26">
        <f t="shared" si="1"/>
        <v>32</v>
      </c>
    </row>
    <row r="27" spans="2:3">
      <c r="B27" t="s">
        <v>297</v>
      </c>
      <c r="C27">
        <f t="shared" si="1"/>
        <v>28</v>
      </c>
    </row>
    <row r="52" spans="2:3">
      <c r="B52" t="s">
        <v>311</v>
      </c>
      <c r="C52">
        <f t="shared" ref="C52:C56" si="2">LEN(B52)</f>
        <v>33</v>
      </c>
    </row>
    <row r="53" spans="2:3">
      <c r="B53" t="s">
        <v>312</v>
      </c>
      <c r="C53">
        <f t="shared" si="2"/>
        <v>33</v>
      </c>
    </row>
    <row r="54" spans="2:3">
      <c r="B54" t="s">
        <v>313</v>
      </c>
      <c r="C54">
        <f t="shared" si="2"/>
        <v>30</v>
      </c>
    </row>
    <row r="55" spans="2:3">
      <c r="B55" t="s">
        <v>314</v>
      </c>
      <c r="C55">
        <f t="shared" si="2"/>
        <v>32</v>
      </c>
    </row>
    <row r="56" spans="2:3">
      <c r="B56" t="s">
        <v>297</v>
      </c>
      <c r="C56">
        <f t="shared" si="2"/>
        <v>28</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vt:lpstr>
      <vt:lpstr>表紙</vt:lpstr>
      <vt:lpstr>はじめに</vt:lpstr>
      <vt:lpstr>Matrix</vt:lpstr>
      <vt:lpstr>Config_IF</vt:lpstr>
      <vt:lpstr>CH_Design</vt:lpstr>
      <vt:lpstr>BLKA</vt:lpstr>
      <vt:lpstr>BLTA</vt:lpstr>
      <vt:lpstr>Reference</vt:lpstr>
      <vt:lpstr>History</vt:lpstr>
      <vt:lpstr>Reference_文字数確認</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Dyan Reyes (DTPH)</cp:lastModifiedBy>
  <dcterms:created xsi:type="dcterms:W3CDTF">2019-02-05T04:25:17Z</dcterms:created>
  <dcterms:modified xsi:type="dcterms:W3CDTF">2025-12-17T14:05:31Z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2025-07-01T08:01:07Z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93582f32-9351-4ac0-a28c-c5e7dbd2b9ce</vt:lpwstr>
  </property>
  <property fmtid="{D5CDD505-2E9C-101B-9397-08002B2CF9AE}" pid="8" name="MSIP_Label_7ed1414a-99f2-46f9-bbe5-740af8d1b502_ContentBits">
    <vt:lpwstr>1</vt:lpwstr>
  </property>
</Properties>
</file>