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CSTD-1-03-A-C0\scc_indiv\"/>
    </mc:Choice>
  </mc:AlternateContent>
  <xr:revisionPtr revIDLastSave="0" documentId="13_ncr:1_{FFD68E9A-FAB4-4E62-A5C3-3BF895F3A919}" xr6:coauthVersionLast="47" xr6:coauthVersionMax="47" xr10:uidLastSave="{00000000-0000-0000-0000-000000000000}"/>
  <bookViews>
    <workbookView xWindow="-120" yWindow="-120" windowWidth="29040" windowHeight="15840" tabRatio="855" xr2:uid="{00000000-000D-0000-FFFF-FFFF00000000}"/>
  </bookViews>
  <sheets>
    <sheet name="表紙" sheetId="1" r:id="rId1"/>
    <sheet name="はじめに" sheetId="10" r:id="rId2"/>
    <sheet name="Matrix" sheetId="4" r:id="rId3"/>
    <sheet name="Config_IF" sheetId="11" r:id="rId4"/>
    <sheet name="CH_Design" sheetId="5" r:id="rId5"/>
    <sheet name="B_TDOOR" sheetId="17" r:id="rId6"/>
    <sheet name="Reference" sheetId="32" r:id="rId7"/>
    <sheet name="Reference2" sheetId="31" r:id="rId8"/>
    <sheet name="Reference3" sheetId="33" r:id="rId9"/>
    <sheet name="Reference4" sheetId="34" r:id="rId10"/>
    <sheet name="Reference5" sheetId="35" r:id="rId11"/>
    <sheet name="Reference6" sheetId="36" r:id="rId12"/>
    <sheet name="History" sheetId="7" r:id="rId13"/>
  </sheets>
  <definedNames>
    <definedName name="_xlnm._FilterDatabase" localSheetId="5" hidden="1">B_TDOOR!$A$3:$AW$199</definedName>
    <definedName name="_xlnm._FilterDatabase" localSheetId="6" hidden="1">Reference!$B$11:$U$44</definedName>
    <definedName name="_xlnm._FilterDatabase" localSheetId="7" hidden="1">Reference2!$A$86:$S$154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1" l="1"/>
  <c r="E43" i="11" l="1"/>
  <c r="E44" i="11"/>
  <c r="E45" i="11"/>
  <c r="E46" i="11"/>
  <c r="E47" i="11"/>
  <c r="E48" i="11"/>
  <c r="E49" i="11"/>
  <c r="E50" i="11"/>
  <c r="E51" i="11"/>
  <c r="E52" i="11"/>
  <c r="E53" i="11"/>
  <c r="E54" i="11"/>
  <c r="E55" i="11"/>
  <c r="E56" i="11"/>
  <c r="E57" i="11"/>
  <c r="E58" i="11"/>
  <c r="E59" i="11"/>
  <c r="C2" i="7" l="1"/>
  <c r="B3" i="17"/>
  <c r="AJ199" i="17" l="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J194" i="17"/>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J179" i="17"/>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I124" i="17"/>
  <c r="AH124" i="17"/>
  <c r="AG124" i="17"/>
  <c r="AF124" i="17"/>
  <c r="AE124" i="17"/>
  <c r="AD124" i="17"/>
  <c r="AC124" i="17"/>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J76"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C69" i="17"/>
  <c r="C199" i="17" s="1"/>
  <c r="C68" i="17"/>
  <c r="C198" i="17" s="1"/>
  <c r="C67" i="17"/>
  <c r="C66" i="17"/>
  <c r="C131" i="17" s="1"/>
  <c r="C65" i="17"/>
  <c r="C195" i="17" s="1"/>
  <c r="C64" i="17"/>
  <c r="C194" i="17" s="1"/>
  <c r="C63" i="17"/>
  <c r="C193" i="17" s="1"/>
  <c r="C62" i="17"/>
  <c r="C127" i="17" s="1"/>
  <c r="C61" i="17"/>
  <c r="C191" i="17" s="1"/>
  <c r="C60" i="17"/>
  <c r="C190" i="17" s="1"/>
  <c r="C59" i="17"/>
  <c r="C58" i="17"/>
  <c r="C123" i="17" s="1"/>
  <c r="C57" i="17"/>
  <c r="C187" i="17" s="1"/>
  <c r="C56" i="17"/>
  <c r="C186" i="17" s="1"/>
  <c r="C55" i="17"/>
  <c r="C185" i="17" s="1"/>
  <c r="C54" i="17"/>
  <c r="C119" i="17" s="1"/>
  <c r="C53" i="17"/>
  <c r="C52" i="17"/>
  <c r="C182" i="17" s="1"/>
  <c r="C51" i="17"/>
  <c r="C181" i="17" s="1"/>
  <c r="C50" i="17"/>
  <c r="C115" i="17" s="1"/>
  <c r="C49" i="17"/>
  <c r="C179" i="17" s="1"/>
  <c r="C48" i="17"/>
  <c r="C178" i="17" s="1"/>
  <c r="C47" i="17"/>
  <c r="C46" i="17"/>
  <c r="C111" i="17" s="1"/>
  <c r="C45" i="17"/>
  <c r="C175" i="17" s="1"/>
  <c r="C44" i="17"/>
  <c r="C174" i="17" s="1"/>
  <c r="C43" i="17"/>
  <c r="C173" i="17" s="1"/>
  <c r="C42" i="17"/>
  <c r="C107" i="17" s="1"/>
  <c r="C41" i="17"/>
  <c r="C40" i="17"/>
  <c r="C170" i="17" s="1"/>
  <c r="C39" i="17"/>
  <c r="C169" i="17" s="1"/>
  <c r="C38" i="17"/>
  <c r="C103" i="17" s="1"/>
  <c r="C37" i="17"/>
  <c r="C167" i="17" s="1"/>
  <c r="C36" i="17"/>
  <c r="C166" i="17" s="1"/>
  <c r="C35" i="17"/>
  <c r="C34" i="17"/>
  <c r="C99" i="17" s="1"/>
  <c r="C33" i="17"/>
  <c r="C163" i="17" s="1"/>
  <c r="C32" i="17"/>
  <c r="C162" i="17" s="1"/>
  <c r="C31" i="17"/>
  <c r="C161" i="17" s="1"/>
  <c r="C30" i="17"/>
  <c r="C95" i="17" s="1"/>
  <c r="C29" i="17"/>
  <c r="C28" i="17"/>
  <c r="C158" i="17" s="1"/>
  <c r="C27" i="17"/>
  <c r="C157" i="17" s="1"/>
  <c r="C26" i="17"/>
  <c r="C91" i="17" s="1"/>
  <c r="C25" i="17"/>
  <c r="C155" i="17" s="1"/>
  <c r="C24" i="17"/>
  <c r="C154" i="17" s="1"/>
  <c r="C23" i="17"/>
  <c r="C22" i="17"/>
  <c r="C87" i="17" s="1"/>
  <c r="C21" i="17"/>
  <c r="C151" i="17" s="1"/>
  <c r="C20" i="17"/>
  <c r="C150" i="17" s="1"/>
  <c r="C19" i="17"/>
  <c r="C149" i="17" s="1"/>
  <c r="C18" i="17"/>
  <c r="C83" i="17" s="1"/>
  <c r="C17" i="17"/>
  <c r="C147" i="17" s="1"/>
  <c r="C16" i="17"/>
  <c r="C146" i="17" s="1"/>
  <c r="C15" i="17"/>
  <c r="C145" i="17" s="1"/>
  <c r="C14" i="17"/>
  <c r="C79" i="17" s="1"/>
  <c r="AW13" i="17"/>
  <c r="C13" i="17"/>
  <c r="C143" i="17" s="1"/>
  <c r="C12" i="17"/>
  <c r="C142" i="17" s="1"/>
  <c r="C11" i="17"/>
  <c r="C141" i="17" s="1"/>
  <c r="C10" i="17"/>
  <c r="C75" i="17" s="1"/>
  <c r="C9" i="17"/>
  <c r="C8" i="17"/>
  <c r="C138" i="17" s="1"/>
  <c r="AW7" i="17"/>
  <c r="C7" i="17"/>
  <c r="C137" i="17" s="1"/>
  <c r="AW6" i="17"/>
  <c r="C6" i="17"/>
  <c r="C71" i="17" s="1"/>
  <c r="AO115" i="17" l="1"/>
  <c r="AO119" i="17"/>
  <c r="AO172" i="17"/>
  <c r="AO134" i="17"/>
  <c r="AL134" i="17"/>
  <c r="AO163" i="17"/>
  <c r="AO199" i="17"/>
  <c r="AO131" i="17"/>
  <c r="AM131" i="17"/>
  <c r="AL128" i="17"/>
  <c r="AM197" i="17"/>
  <c r="AN124" i="17"/>
  <c r="AM160" i="17"/>
  <c r="AL196" i="17"/>
  <c r="AO112" i="17"/>
  <c r="AM118" i="17"/>
  <c r="AN157" i="17"/>
  <c r="AM192" i="17"/>
  <c r="AM196" i="17"/>
  <c r="AM109" i="17"/>
  <c r="AO116" i="17"/>
  <c r="AN123" i="17"/>
  <c r="AN189" i="17"/>
  <c r="AN193" i="17"/>
  <c r="AO186" i="17"/>
  <c r="AO190" i="17"/>
  <c r="AN162" i="17"/>
  <c r="AO83" i="17"/>
  <c r="AO87" i="17"/>
  <c r="AO95" i="17"/>
  <c r="AO99" i="17"/>
  <c r="AL100" i="17"/>
  <c r="AN102" i="17"/>
  <c r="AO103" i="17"/>
  <c r="AL103" i="17"/>
  <c r="AO107" i="17"/>
  <c r="AN136" i="17"/>
  <c r="AN160" i="17"/>
  <c r="AN168" i="17"/>
  <c r="AM183" i="17"/>
  <c r="AM187" i="17"/>
  <c r="AN144" i="17"/>
  <c r="AN148" i="17"/>
  <c r="AO149" i="17"/>
  <c r="AN156" i="17"/>
  <c r="AM159" i="17"/>
  <c r="AN180" i="17"/>
  <c r="AN196" i="17"/>
  <c r="AN93" i="17"/>
  <c r="AN97" i="17"/>
  <c r="AO111" i="17"/>
  <c r="AO123" i="17"/>
  <c r="AN172" i="17"/>
  <c r="AO177" i="17"/>
  <c r="AO79" i="17"/>
  <c r="AO86" i="17"/>
  <c r="AO90" i="17"/>
  <c r="AO94" i="17"/>
  <c r="AO127" i="17"/>
  <c r="AO140" i="17"/>
  <c r="C144" i="17"/>
  <c r="AM178" i="17"/>
  <c r="AN72" i="17"/>
  <c r="AN89" i="17"/>
  <c r="AM83" i="17"/>
  <c r="AM87" i="17"/>
  <c r="AM137" i="17"/>
  <c r="AM141" i="17"/>
  <c r="AO144" i="17"/>
  <c r="C172" i="17"/>
  <c r="AM71" i="17"/>
  <c r="AN81" i="17"/>
  <c r="AO91" i="17"/>
  <c r="AO104" i="17"/>
  <c r="AN111" i="17"/>
  <c r="AM114" i="17"/>
  <c r="AN116" i="17"/>
  <c r="AO117" i="17"/>
  <c r="AM127" i="17"/>
  <c r="AN129" i="17"/>
  <c r="AO136" i="17"/>
  <c r="AN153" i="17"/>
  <c r="AM156" i="17"/>
  <c r="AN158" i="17"/>
  <c r="AM161" i="17"/>
  <c r="AO164" i="17"/>
  <c r="C168" i="17"/>
  <c r="AM179" i="17"/>
  <c r="AN181" i="17"/>
  <c r="AM184" i="17"/>
  <c r="AN190" i="17"/>
  <c r="AO191" i="17"/>
  <c r="AM193" i="17"/>
  <c r="AN195" i="17"/>
  <c r="AM75" i="17"/>
  <c r="AM79" i="17"/>
  <c r="AO82" i="17"/>
  <c r="AN85" i="17"/>
  <c r="AN86" i="17"/>
  <c r="AN98" i="17"/>
  <c r="AM105" i="17"/>
  <c r="AO108" i="17"/>
  <c r="AN120" i="17"/>
  <c r="AO130" i="17"/>
  <c r="AN133" i="17"/>
  <c r="C140" i="17"/>
  <c r="AN140" i="17"/>
  <c r="AO145" i="17"/>
  <c r="AM147" i="17"/>
  <c r="AN163" i="17"/>
  <c r="AM165" i="17"/>
  <c r="AO168" i="17"/>
  <c r="AO173" i="17"/>
  <c r="AN185" i="17"/>
  <c r="AM188" i="17"/>
  <c r="AN194" i="17"/>
  <c r="AO195" i="17"/>
  <c r="AM151" i="17"/>
  <c r="AN166" i="17"/>
  <c r="AN198" i="17"/>
  <c r="AN76" i="17"/>
  <c r="AM74" i="17"/>
  <c r="AN75" i="17"/>
  <c r="AN80" i="17"/>
  <c r="AM91" i="17"/>
  <c r="AM95" i="17"/>
  <c r="AO98" i="17"/>
  <c r="AN101" i="17"/>
  <c r="AL108" i="17"/>
  <c r="AM117" i="17"/>
  <c r="AO120" i="17"/>
  <c r="AM126" i="17"/>
  <c r="AN138" i="17"/>
  <c r="AO139" i="17"/>
  <c r="C148" i="17"/>
  <c r="AO153" i="17"/>
  <c r="AM155" i="17"/>
  <c r="AN161" i="17"/>
  <c r="AN171" i="17"/>
  <c r="C176" i="17"/>
  <c r="AN176" i="17"/>
  <c r="AO181" i="17"/>
  <c r="AM191" i="17"/>
  <c r="AO194" i="17"/>
  <c r="AO72" i="17"/>
  <c r="C76" i="17"/>
  <c r="AM78" i="17"/>
  <c r="AN84" i="17"/>
  <c r="AO85" i="17"/>
  <c r="AM99" i="17"/>
  <c r="AN105" i="17"/>
  <c r="AM121" i="17"/>
  <c r="AO124" i="17"/>
  <c r="AN132" i="17"/>
  <c r="AN142" i="17"/>
  <c r="AM145" i="17"/>
  <c r="AO148" i="17"/>
  <c r="AN165" i="17"/>
  <c r="AM168" i="17"/>
  <c r="AN170" i="17"/>
  <c r="AO171" i="17"/>
  <c r="AL171" i="17"/>
  <c r="AO176" i="17"/>
  <c r="C180" i="17"/>
  <c r="AM182" i="17"/>
  <c r="AO185" i="17"/>
  <c r="AL185" i="17"/>
  <c r="AL186" i="17"/>
  <c r="AL190" i="17"/>
  <c r="AM195" i="17"/>
  <c r="AN197" i="17"/>
  <c r="AL112" i="17"/>
  <c r="AM122" i="17"/>
  <c r="AO76" i="17"/>
  <c r="AM82" i="17"/>
  <c r="AM86" i="17"/>
  <c r="AN88" i="17"/>
  <c r="AO89" i="17"/>
  <c r="AN92" i="17"/>
  <c r="AO93" i="17"/>
  <c r="AL93" i="17"/>
  <c r="AM103" i="17"/>
  <c r="AO106" i="17"/>
  <c r="AN109" i="17"/>
  <c r="AO128" i="17"/>
  <c r="AM130" i="17"/>
  <c r="AN137" i="17"/>
  <c r="AN147" i="17"/>
  <c r="C152" i="17"/>
  <c r="AN152" i="17"/>
  <c r="AO157" i="17"/>
  <c r="AO180" i="17"/>
  <c r="AM186" i="17"/>
  <c r="AO189" i="17"/>
  <c r="AO198" i="17"/>
  <c r="AO80" i="17"/>
  <c r="AN87" i="17"/>
  <c r="AM90" i="17"/>
  <c r="AM94" i="17"/>
  <c r="AN96" i="17"/>
  <c r="AM107" i="17"/>
  <c r="AO110" i="17"/>
  <c r="AN113" i="17"/>
  <c r="AN122" i="17"/>
  <c r="AM134" i="17"/>
  <c r="AM140" i="17"/>
  <c r="AN141" i="17"/>
  <c r="AN146" i="17"/>
  <c r="AO147" i="17"/>
  <c r="AO152" i="17"/>
  <c r="C156" i="17"/>
  <c r="AN169" i="17"/>
  <c r="AM172" i="17"/>
  <c r="AN174" i="17"/>
  <c r="C184" i="17"/>
  <c r="AN184" i="17"/>
  <c r="AM190" i="17"/>
  <c r="AO193" i="17"/>
  <c r="AM199" i="17"/>
  <c r="AO71" i="17"/>
  <c r="AO75" i="17"/>
  <c r="AM81" i="17"/>
  <c r="AO84" i="17"/>
  <c r="AN100" i="17"/>
  <c r="AM111" i="17"/>
  <c r="AO114" i="17"/>
  <c r="AN117" i="17"/>
  <c r="AN126" i="17"/>
  <c r="AM129" i="17"/>
  <c r="AO132" i="17"/>
  <c r="AO156" i="17"/>
  <c r="AO161" i="17"/>
  <c r="AL161" i="17"/>
  <c r="AM163" i="17"/>
  <c r="AN178" i="17"/>
  <c r="AO179" i="17"/>
  <c r="AM181" i="17"/>
  <c r="AO184" i="17"/>
  <c r="C188" i="17"/>
  <c r="AN188" i="17"/>
  <c r="AM194" i="17"/>
  <c r="AN128" i="17"/>
  <c r="AM72" i="17"/>
  <c r="AM85" i="17"/>
  <c r="AO88" i="17"/>
  <c r="AO92" i="17"/>
  <c r="AM98" i="17"/>
  <c r="AN99" i="17"/>
  <c r="AM102" i="17"/>
  <c r="AN104" i="17"/>
  <c r="AM115" i="17"/>
  <c r="AO118" i="17"/>
  <c r="AN121" i="17"/>
  <c r="AM133" i="17"/>
  <c r="AN145" i="17"/>
  <c r="AM148" i="17"/>
  <c r="AN150" i="17"/>
  <c r="C160" i="17"/>
  <c r="AO165" i="17"/>
  <c r="AM167" i="17"/>
  <c r="AM171" i="17"/>
  <c r="AN173" i="17"/>
  <c r="AM176" i="17"/>
  <c r="AM185" i="17"/>
  <c r="AO188" i="17"/>
  <c r="C192" i="17"/>
  <c r="AN192" i="17"/>
  <c r="AO197" i="17"/>
  <c r="AN73" i="17"/>
  <c r="AN74" i="17"/>
  <c r="AL80" i="17"/>
  <c r="AL84" i="17"/>
  <c r="AM93" i="17"/>
  <c r="AO96" i="17"/>
  <c r="AM106" i="17"/>
  <c r="AN108" i="17"/>
  <c r="AO109" i="17"/>
  <c r="AM119" i="17"/>
  <c r="AO122" i="17"/>
  <c r="AN125" i="17"/>
  <c r="AN130" i="17"/>
  <c r="AL132" i="17"/>
  <c r="AO137" i="17"/>
  <c r="AM139" i="17"/>
  <c r="AL152" i="17"/>
  <c r="AN154" i="17"/>
  <c r="AO155" i="17"/>
  <c r="AM157" i="17"/>
  <c r="AO160" i="17"/>
  <c r="AO174" i="17"/>
  <c r="AN177" i="17"/>
  <c r="AM180" i="17"/>
  <c r="AN182" i="17"/>
  <c r="AN187" i="17"/>
  <c r="AO192" i="17"/>
  <c r="C196" i="17"/>
  <c r="AM198" i="17"/>
  <c r="AO74" i="17"/>
  <c r="AN77" i="17"/>
  <c r="AM97" i="17"/>
  <c r="AO100" i="17"/>
  <c r="AM110" i="17"/>
  <c r="AN112" i="17"/>
  <c r="AO113" i="17"/>
  <c r="AM123" i="17"/>
  <c r="AO126" i="17"/>
  <c r="AN134" i="17"/>
  <c r="C136" i="17"/>
  <c r="AO141" i="17"/>
  <c r="AL141" i="17"/>
  <c r="AL142" i="17"/>
  <c r="AM143" i="17"/>
  <c r="AN149" i="17"/>
  <c r="AM152" i="17"/>
  <c r="AL156" i="17"/>
  <c r="C164" i="17"/>
  <c r="AN164" i="17"/>
  <c r="AO169" i="17"/>
  <c r="AM175" i="17"/>
  <c r="AN186" i="17"/>
  <c r="AO187" i="17"/>
  <c r="AM189" i="17"/>
  <c r="AN191" i="17"/>
  <c r="AO196" i="17"/>
  <c r="AN199" i="17"/>
  <c r="AL113" i="17"/>
  <c r="AL169" i="17"/>
  <c r="AL184" i="17"/>
  <c r="AL187" i="17"/>
  <c r="AL104" i="17"/>
  <c r="AL177" i="17"/>
  <c r="AL111" i="17"/>
  <c r="AL116" i="17"/>
  <c r="AL120" i="17"/>
  <c r="AL124" i="17"/>
  <c r="AL114" i="17"/>
  <c r="AL127" i="17"/>
  <c r="AL176" i="17"/>
  <c r="AL179" i="17"/>
  <c r="AL85" i="17"/>
  <c r="AL126" i="17"/>
  <c r="AL137" i="17"/>
  <c r="AL155" i="17"/>
  <c r="AL71" i="17"/>
  <c r="AL72" i="17"/>
  <c r="AL75" i="17"/>
  <c r="AL106" i="17"/>
  <c r="AL130" i="17"/>
  <c r="AL188" i="17"/>
  <c r="AL191" i="17"/>
  <c r="AL76" i="17"/>
  <c r="AL115" i="17"/>
  <c r="AL173" i="17"/>
  <c r="AL192" i="17"/>
  <c r="AL195" i="17"/>
  <c r="AL110" i="17"/>
  <c r="AL74" i="17"/>
  <c r="AL119" i="17"/>
  <c r="AL174" i="17"/>
  <c r="AL199" i="17"/>
  <c r="AL168" i="17"/>
  <c r="AL181" i="17"/>
  <c r="AL182" i="17"/>
  <c r="AL88" i="17"/>
  <c r="AL92" i="17"/>
  <c r="AL109" i="17"/>
  <c r="AL123" i="17"/>
  <c r="AL96" i="17"/>
  <c r="AL118" i="17"/>
  <c r="AL172" i="17"/>
  <c r="AL189" i="17"/>
  <c r="AL194" i="17"/>
  <c r="AL193" i="17"/>
  <c r="AL94" i="17"/>
  <c r="AL122" i="17"/>
  <c r="AL107" i="17"/>
  <c r="AL117" i="17"/>
  <c r="AL131" i="17"/>
  <c r="AL165" i="17"/>
  <c r="AL166" i="17"/>
  <c r="AL180" i="17"/>
  <c r="AL197" i="17"/>
  <c r="AL198" i="17"/>
  <c r="AL83" i="17"/>
  <c r="AL87" i="17"/>
  <c r="AL82" i="17"/>
  <c r="AL145" i="17"/>
  <c r="AL160" i="17"/>
  <c r="AL91" i="17"/>
  <c r="AL163" i="17"/>
  <c r="AL86" i="17"/>
  <c r="AL95" i="17"/>
  <c r="AL136" i="17"/>
  <c r="AL149" i="17"/>
  <c r="AL150" i="17"/>
  <c r="AL164" i="17"/>
  <c r="AL139" i="17"/>
  <c r="AL153" i="17"/>
  <c r="AL90" i="17"/>
  <c r="AL99" i="17"/>
  <c r="AL140" i="17"/>
  <c r="AL144" i="17"/>
  <c r="AL157" i="17"/>
  <c r="AL158" i="17"/>
  <c r="AL147" i="17"/>
  <c r="AL79" i="17"/>
  <c r="AL89" i="17"/>
  <c r="AL98" i="17"/>
  <c r="AL148" i="17"/>
  <c r="C177" i="17"/>
  <c r="C112" i="17"/>
  <c r="AM77" i="17"/>
  <c r="AN83" i="17"/>
  <c r="AN94" i="17"/>
  <c r="AM96" i="17"/>
  <c r="AM101" i="17"/>
  <c r="AN107" i="17"/>
  <c r="AM120" i="17"/>
  <c r="AM125" i="17"/>
  <c r="AN131" i="17"/>
  <c r="AO133" i="17"/>
  <c r="AL133" i="17"/>
  <c r="AM136" i="17"/>
  <c r="AN143" i="17"/>
  <c r="AM150" i="17"/>
  <c r="AO158" i="17"/>
  <c r="AN167" i="17"/>
  <c r="AM174" i="17"/>
  <c r="AO182" i="17"/>
  <c r="AO143" i="17"/>
  <c r="AL143" i="17"/>
  <c r="AL154" i="17"/>
  <c r="AM164" i="17"/>
  <c r="AO167" i="17"/>
  <c r="AL167" i="17"/>
  <c r="AM169" i="17"/>
  <c r="AL178" i="17"/>
  <c r="C153" i="17"/>
  <c r="C88" i="17"/>
  <c r="AM76" i="17"/>
  <c r="AM100" i="17"/>
  <c r="AM124" i="17"/>
  <c r="AO138" i="17"/>
  <c r="AM154" i="17"/>
  <c r="AO162" i="17"/>
  <c r="AM149" i="17"/>
  <c r="AM173" i="17"/>
  <c r="AN78" i="17"/>
  <c r="AM80" i="17"/>
  <c r="AN91" i="17"/>
  <c r="AM104" i="17"/>
  <c r="AN115" i="17"/>
  <c r="AM128" i="17"/>
  <c r="AO142" i="17"/>
  <c r="AM144" i="17"/>
  <c r="AN151" i="17"/>
  <c r="AM158" i="17"/>
  <c r="AO166" i="17"/>
  <c r="AN175" i="17"/>
  <c r="C189" i="17"/>
  <c r="C124" i="17"/>
  <c r="AN71" i="17"/>
  <c r="AO73" i="17"/>
  <c r="AL73" i="17"/>
  <c r="AO78" i="17"/>
  <c r="AL78" i="17"/>
  <c r="AO102" i="17"/>
  <c r="AL102" i="17"/>
  <c r="AL138" i="17"/>
  <c r="AO151" i="17"/>
  <c r="AL151" i="17"/>
  <c r="AM153" i="17"/>
  <c r="AL162" i="17"/>
  <c r="AO175" i="17"/>
  <c r="AL175" i="17"/>
  <c r="C139" i="17"/>
  <c r="C74" i="17"/>
  <c r="AN82" i="17"/>
  <c r="AM84" i="17"/>
  <c r="AM89" i="17"/>
  <c r="AN95" i="17"/>
  <c r="AO97" i="17"/>
  <c r="AL97" i="17"/>
  <c r="AN106" i="17"/>
  <c r="AM108" i="17"/>
  <c r="AN110" i="17"/>
  <c r="AM113" i="17"/>
  <c r="AN119" i="17"/>
  <c r="AO121" i="17"/>
  <c r="AL121" i="17"/>
  <c r="AM132" i="17"/>
  <c r="AM138" i="17"/>
  <c r="AO146" i="17"/>
  <c r="AN155" i="17"/>
  <c r="AM162" i="17"/>
  <c r="AO170" i="17"/>
  <c r="AM177" i="17"/>
  <c r="AN179" i="17"/>
  <c r="AO77" i="17"/>
  <c r="AL77" i="17"/>
  <c r="AM88" i="17"/>
  <c r="AO101" i="17"/>
  <c r="AL101" i="17"/>
  <c r="AM112" i="17"/>
  <c r="AN114" i="17"/>
  <c r="AO125" i="17"/>
  <c r="AL125" i="17"/>
  <c r="AM142" i="17"/>
  <c r="AO150" i="17"/>
  <c r="AN159" i="17"/>
  <c r="AM166" i="17"/>
  <c r="AN183" i="17"/>
  <c r="C165" i="17"/>
  <c r="C100" i="17"/>
  <c r="AM73" i="17"/>
  <c r="AL146" i="17"/>
  <c r="AO159" i="17"/>
  <c r="AL159" i="17"/>
  <c r="AL170" i="17"/>
  <c r="AO183" i="17"/>
  <c r="AL183" i="17"/>
  <c r="AN79" i="17"/>
  <c r="AO81" i="17"/>
  <c r="AL81" i="17"/>
  <c r="AN90" i="17"/>
  <c r="AM92" i="17"/>
  <c r="AN103" i="17"/>
  <c r="AO105" i="17"/>
  <c r="AL105" i="17"/>
  <c r="AM116" i="17"/>
  <c r="AN118" i="17"/>
  <c r="AN127" i="17"/>
  <c r="AO129" i="17"/>
  <c r="AL129" i="17"/>
  <c r="AN139" i="17"/>
  <c r="AM146" i="17"/>
  <c r="AO154" i="17"/>
  <c r="AM170" i="17"/>
  <c r="AO178" i="17"/>
  <c r="AQ199" i="17"/>
  <c r="C72" i="17"/>
  <c r="C80" i="17"/>
  <c r="C84" i="17"/>
  <c r="C92" i="17"/>
  <c r="C96" i="17"/>
  <c r="C104" i="17"/>
  <c r="C108" i="17"/>
  <c r="C116" i="17"/>
  <c r="C120" i="17"/>
  <c r="C128" i="17"/>
  <c r="C132" i="17"/>
  <c r="AQ132" i="17" s="1"/>
  <c r="B6" i="17"/>
  <c r="C197" i="17"/>
  <c r="C73" i="17"/>
  <c r="C77" i="17"/>
  <c r="C81" i="17"/>
  <c r="C85" i="17"/>
  <c r="C89" i="17"/>
  <c r="C93" i="17"/>
  <c r="C97" i="17"/>
  <c r="C101" i="17"/>
  <c r="C105" i="17"/>
  <c r="C109" i="17"/>
  <c r="C113" i="17"/>
  <c r="C117" i="17"/>
  <c r="C121" i="17"/>
  <c r="C125" i="17"/>
  <c r="C129" i="17"/>
  <c r="C133" i="17"/>
  <c r="C78" i="17"/>
  <c r="C82" i="17"/>
  <c r="C86" i="17"/>
  <c r="C90" i="17"/>
  <c r="C94" i="17"/>
  <c r="C98" i="17"/>
  <c r="C102" i="17"/>
  <c r="C106" i="17"/>
  <c r="C110" i="17"/>
  <c r="C114" i="17"/>
  <c r="C118" i="17"/>
  <c r="C122" i="17"/>
  <c r="C126" i="17"/>
  <c r="C130" i="17"/>
  <c r="C134" i="17"/>
  <c r="C159" i="17"/>
  <c r="C171" i="17"/>
  <c r="C183" i="17"/>
  <c r="AQ147" i="17" l="1"/>
  <c r="AQ186" i="17"/>
  <c r="AQ185" i="17"/>
  <c r="AQ126" i="17"/>
  <c r="AQ112" i="17"/>
  <c r="AQ117" i="17"/>
  <c r="AQ173" i="17"/>
  <c r="AQ194" i="17"/>
  <c r="AQ123" i="17"/>
  <c r="AQ191" i="17"/>
  <c r="AQ134" i="17"/>
  <c r="AR69" i="17" s="1"/>
  <c r="AQ130" i="17"/>
  <c r="AQ177" i="17"/>
  <c r="AQ192" i="17"/>
  <c r="AQ190" i="17"/>
  <c r="AQ169" i="17"/>
  <c r="AQ184" i="17"/>
  <c r="AQ103" i="17"/>
  <c r="AQ189" i="17"/>
  <c r="AQ174" i="17"/>
  <c r="AQ187" i="17"/>
  <c r="AQ198" i="17"/>
  <c r="AQ181" i="17"/>
  <c r="AQ111" i="17"/>
  <c r="AQ172" i="17"/>
  <c r="AQ124" i="17"/>
  <c r="AQ176" i="17"/>
  <c r="AQ195" i="17"/>
  <c r="AQ100" i="17"/>
  <c r="AQ119" i="17"/>
  <c r="AQ131" i="17"/>
  <c r="AQ188" i="17"/>
  <c r="AS58" i="17" s="1"/>
  <c r="AQ106" i="17"/>
  <c r="AQ196" i="17"/>
  <c r="AS66" i="17" s="1"/>
  <c r="AQ108" i="17"/>
  <c r="AQ115" i="17"/>
  <c r="AQ180" i="17"/>
  <c r="AQ133" i="17"/>
  <c r="AR68" i="17" s="1"/>
  <c r="AQ128" i="17"/>
  <c r="AQ105" i="17"/>
  <c r="AQ110" i="17"/>
  <c r="AQ95" i="17"/>
  <c r="AQ114" i="17"/>
  <c r="AQ197" i="17"/>
  <c r="AQ118" i="17"/>
  <c r="AQ104" i="17"/>
  <c r="AQ109" i="17"/>
  <c r="AQ122" i="17"/>
  <c r="AQ116" i="17"/>
  <c r="AQ171" i="17"/>
  <c r="AQ120" i="17"/>
  <c r="AQ193" i="17"/>
  <c r="AQ168" i="17"/>
  <c r="AQ179" i="17"/>
  <c r="AQ113" i="17"/>
  <c r="AQ107" i="17"/>
  <c r="AQ85" i="17"/>
  <c r="AQ96" i="17"/>
  <c r="AQ149" i="17"/>
  <c r="AQ156" i="17"/>
  <c r="AQ75" i="17"/>
  <c r="AQ83" i="17"/>
  <c r="AQ157" i="17"/>
  <c r="AQ99" i="17"/>
  <c r="AQ163" i="17"/>
  <c r="AQ94" i="17"/>
  <c r="AQ86" i="17"/>
  <c r="AQ93" i="17"/>
  <c r="AQ145" i="17"/>
  <c r="AQ143" i="17"/>
  <c r="AQ161" i="17"/>
  <c r="AQ92" i="17"/>
  <c r="AQ165" i="17"/>
  <c r="AQ72" i="17"/>
  <c r="AQ82" i="17"/>
  <c r="AQ91" i="17"/>
  <c r="AQ137" i="17"/>
  <c r="AQ98" i="17"/>
  <c r="AR67" i="17"/>
  <c r="AQ160" i="17"/>
  <c r="AQ88" i="17"/>
  <c r="AQ148" i="17"/>
  <c r="AS18" i="17" s="1"/>
  <c r="AQ71" i="17"/>
  <c r="AR6" i="17" s="1"/>
  <c r="AQ77" i="17"/>
  <c r="AQ79" i="17"/>
  <c r="AQ155" i="17"/>
  <c r="AQ136" i="17"/>
  <c r="AS6" i="17" s="1"/>
  <c r="AQ141" i="17"/>
  <c r="AQ152" i="17"/>
  <c r="AQ89" i="17"/>
  <c r="AQ140" i="17"/>
  <c r="AQ90" i="17"/>
  <c r="AQ150" i="17"/>
  <c r="AQ153" i="17"/>
  <c r="AQ81" i="17"/>
  <c r="AQ84" i="17"/>
  <c r="AR19" i="17" s="1"/>
  <c r="AQ74" i="17"/>
  <c r="AQ167" i="17"/>
  <c r="AQ76" i="17"/>
  <c r="AQ87" i="17"/>
  <c r="AQ80" i="17"/>
  <c r="AQ164" i="17"/>
  <c r="AQ166" i="17"/>
  <c r="AQ101" i="17"/>
  <c r="AQ127" i="17"/>
  <c r="AR62" i="17" s="1"/>
  <c r="AQ121" i="17"/>
  <c r="AQ178" i="17"/>
  <c r="AQ170" i="17"/>
  <c r="AQ159" i="17"/>
  <c r="AQ125" i="17"/>
  <c r="AQ183" i="17"/>
  <c r="AQ182" i="17"/>
  <c r="AQ139" i="17"/>
  <c r="AQ129" i="17"/>
  <c r="AQ175" i="17"/>
  <c r="AQ146" i="17"/>
  <c r="AS17" i="17" s="1"/>
  <c r="AQ97" i="17"/>
  <c r="AQ162" i="17"/>
  <c r="AQ144" i="17"/>
  <c r="AQ73" i="17"/>
  <c r="AQ151" i="17"/>
  <c r="AR70" i="17"/>
  <c r="AQ78" i="17"/>
  <c r="AQ158" i="17"/>
  <c r="AS70" i="17"/>
  <c r="AS69" i="17"/>
  <c r="AQ142" i="17"/>
  <c r="AQ154" i="17"/>
  <c r="B136" i="17"/>
  <c r="B71" i="17"/>
  <c r="AQ102" i="17"/>
  <c r="AQ138" i="17"/>
  <c r="AS68" i="17" l="1"/>
  <c r="AR36" i="17"/>
  <c r="AR66" i="17"/>
  <c r="AR48" i="17"/>
  <c r="AR40" i="17"/>
  <c r="AR16" i="17"/>
  <c r="AS39" i="17"/>
  <c r="AS33" i="17"/>
  <c r="AR34" i="17"/>
  <c r="AS57" i="17"/>
  <c r="AR47" i="17"/>
  <c r="AS45" i="17"/>
  <c r="AS56" i="17"/>
  <c r="AS48" i="17"/>
  <c r="AS52" i="17"/>
  <c r="AR45" i="17"/>
  <c r="AS43" i="17"/>
  <c r="AS64" i="17"/>
  <c r="AR53" i="17"/>
  <c r="AR64" i="17"/>
  <c r="AR55" i="17"/>
  <c r="AR59" i="17"/>
  <c r="AS61" i="17"/>
  <c r="AS55" i="17"/>
  <c r="AR51" i="17"/>
  <c r="AS51" i="17"/>
  <c r="AS47" i="17"/>
  <c r="AR44" i="17"/>
  <c r="AS44" i="17"/>
  <c r="AR31" i="17"/>
  <c r="AR27" i="17"/>
  <c r="AS27" i="17"/>
  <c r="AR14" i="17"/>
  <c r="AR25" i="17"/>
  <c r="AS24" i="17"/>
  <c r="AS21" i="17"/>
  <c r="AS9" i="17"/>
  <c r="AR56" i="17"/>
  <c r="AR30" i="17"/>
  <c r="AS12" i="17"/>
  <c r="AR42" i="17"/>
  <c r="AR22" i="17"/>
  <c r="AS31" i="17"/>
  <c r="AS37" i="17"/>
  <c r="AS7" i="17"/>
  <c r="AR24" i="17"/>
  <c r="AS26" i="17"/>
  <c r="AR50" i="17"/>
  <c r="AS35" i="17"/>
  <c r="AR20" i="17"/>
  <c r="AR8" i="17"/>
  <c r="AR58" i="17"/>
  <c r="AS20" i="17"/>
  <c r="AS60" i="17"/>
  <c r="AR11" i="17"/>
  <c r="AR33" i="17"/>
  <c r="AR18" i="17"/>
  <c r="AR54" i="17"/>
  <c r="AR52" i="17"/>
  <c r="AS22" i="17"/>
  <c r="AR60" i="17"/>
  <c r="AR43" i="17"/>
  <c r="AS36" i="17"/>
  <c r="AS11" i="17"/>
  <c r="AR26" i="17"/>
  <c r="AR10" i="17"/>
  <c r="AS50" i="17"/>
  <c r="AR35" i="17"/>
  <c r="AS8" i="17"/>
  <c r="AS28" i="17"/>
  <c r="AR32" i="17"/>
  <c r="AS29" i="17"/>
  <c r="AS34" i="17"/>
  <c r="AR23" i="17"/>
  <c r="AR17" i="17"/>
  <c r="AR21" i="17"/>
  <c r="AS63" i="17"/>
  <c r="AS67" i="17"/>
  <c r="AS65" i="17"/>
  <c r="AR37" i="17"/>
  <c r="AR13" i="17"/>
  <c r="AS16" i="17"/>
  <c r="AS40" i="17"/>
  <c r="AR15" i="17"/>
  <c r="AS23" i="17"/>
  <c r="AS25" i="17"/>
  <c r="AS30" i="17"/>
  <c r="AR7" i="17"/>
  <c r="AR29" i="17"/>
  <c r="AS19" i="17"/>
  <c r="AR49" i="17"/>
  <c r="AS59" i="17"/>
  <c r="AS42" i="17"/>
  <c r="AR46" i="17"/>
  <c r="AS10" i="17"/>
  <c r="AS13" i="17"/>
  <c r="AR9" i="17"/>
  <c r="AS14" i="17"/>
  <c r="AS15" i="17"/>
  <c r="AR39" i="17"/>
  <c r="AS62" i="17"/>
  <c r="AR12" i="17"/>
  <c r="AR41" i="17"/>
  <c r="AS32" i="17"/>
  <c r="AR28" i="17"/>
  <c r="AR65" i="17"/>
  <c r="AS38" i="17"/>
  <c r="AS46" i="17"/>
  <c r="AS53" i="17"/>
  <c r="AR38" i="17"/>
  <c r="AR61" i="17"/>
  <c r="AS49" i="17"/>
  <c r="AR63" i="17"/>
  <c r="AS54" i="17"/>
  <c r="AR57" i="17"/>
  <c r="AS41" i="17"/>
  <c r="G59" i="11" l="1"/>
  <c r="G58" i="11"/>
  <c r="G57" i="11"/>
  <c r="G56" i="11"/>
  <c r="G55" i="11"/>
  <c r="G54" i="11"/>
  <c r="G53" i="11"/>
  <c r="G52" i="11"/>
  <c r="G51" i="11"/>
  <c r="G50" i="11"/>
  <c r="G49" i="11"/>
  <c r="G48" i="11"/>
  <c r="G47" i="11"/>
  <c r="G46" i="11"/>
  <c r="G45" i="11"/>
  <c r="G44" i="11"/>
  <c r="G43" i="1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E36" i="11" l="1"/>
  <c r="G36" i="11" s="1"/>
  <c r="E37" i="11"/>
  <c r="G37" i="11" s="1"/>
  <c r="E38" i="11"/>
  <c r="G38" i="11" s="1"/>
  <c r="E39" i="11"/>
  <c r="G39" i="11" s="1"/>
  <c r="E41" i="11"/>
  <c r="G41" i="11" s="1"/>
  <c r="E42" i="11"/>
  <c r="G42" i="11" s="1"/>
  <c r="E40" i="11"/>
  <c r="G40" i="11" s="1"/>
  <c r="E35" i="11"/>
  <c r="G35" i="11" s="1"/>
  <c r="AW17" i="17"/>
  <c r="AL7" i="17" s="1"/>
  <c r="AT7" i="17"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8" i="17" l="1"/>
  <c r="AT8" i="17" s="1"/>
  <c r="AL9" i="17"/>
  <c r="AT9" i="17" s="1"/>
  <c r="AL22" i="17"/>
  <c r="AT22" i="17" s="1"/>
  <c r="AL24" i="17"/>
  <c r="AT24" i="17" s="1"/>
  <c r="AL6" i="17"/>
  <c r="AT6" i="17" s="1"/>
  <c r="AL25" i="17"/>
  <c r="AT25" i="17" s="1"/>
  <c r="AL36" i="17"/>
  <c r="AT36" i="17" s="1"/>
  <c r="AL35" i="17"/>
  <c r="AT35" i="17" s="1"/>
  <c r="AL34" i="17"/>
  <c r="AT34" i="17" s="1"/>
  <c r="AL37" i="17"/>
  <c r="AT37" i="17" s="1"/>
  <c r="AL32" i="17"/>
  <c r="AT32" i="17" s="1"/>
  <c r="AL33" i="17"/>
  <c r="AT33" i="17" s="1"/>
  <c r="AL19" i="17"/>
  <c r="AT19" i="17" s="1"/>
  <c r="AL30" i="17"/>
  <c r="AT30" i="17" s="1"/>
  <c r="AL13" i="17"/>
  <c r="AT13" i="17" s="1"/>
  <c r="AL21" i="17"/>
  <c r="AT21" i="17" s="1"/>
  <c r="AL18" i="17"/>
  <c r="AT18" i="17" s="1"/>
  <c r="AL14" i="17"/>
  <c r="AT14" i="17" s="1"/>
  <c r="AL17" i="17"/>
  <c r="AT17" i="17" s="1"/>
  <c r="AL12" i="17"/>
  <c r="AT12" i="17" s="1"/>
  <c r="AL16" i="17"/>
  <c r="AT16" i="17" s="1"/>
  <c r="AL15" i="17"/>
  <c r="AT15" i="17" s="1"/>
  <c r="AL38" i="17"/>
  <c r="AT38" i="17" s="1"/>
  <c r="AL10" i="17"/>
  <c r="AT10" i="17" s="1"/>
  <c r="AL60" i="17"/>
  <c r="AT60" i="17" s="1"/>
  <c r="AL55" i="17"/>
  <c r="AT55" i="17" s="1"/>
  <c r="AL44" i="17"/>
  <c r="AT44" i="17" s="1"/>
  <c r="AL39" i="17"/>
  <c r="AT39" i="17" s="1"/>
  <c r="AL65" i="17"/>
  <c r="AT65" i="17" s="1"/>
  <c r="AL49" i="17"/>
  <c r="AT49" i="17" s="1"/>
  <c r="AL59" i="17"/>
  <c r="AT59" i="17" s="1"/>
  <c r="AL54" i="17"/>
  <c r="AT54" i="17" s="1"/>
  <c r="AL64" i="17"/>
  <c r="AT64" i="17" s="1"/>
  <c r="AL48" i="17"/>
  <c r="AT48" i="17" s="1"/>
  <c r="AL43" i="17"/>
  <c r="AT43" i="17" s="1"/>
  <c r="AL45" i="17"/>
  <c r="AT45" i="17" s="1"/>
  <c r="AL69" i="17"/>
  <c r="AT69" i="17" s="1"/>
  <c r="AL58" i="17"/>
  <c r="AT58" i="17" s="1"/>
  <c r="AL53" i="17"/>
  <c r="AT53" i="17" s="1"/>
  <c r="AL47" i="17"/>
  <c r="AT47" i="17" s="1"/>
  <c r="AL42" i="17"/>
  <c r="AT42" i="17" s="1"/>
  <c r="AL68" i="17"/>
  <c r="AT68" i="17" s="1"/>
  <c r="AL63" i="17"/>
  <c r="AT63" i="17" s="1"/>
  <c r="AL52" i="17"/>
  <c r="AT52" i="17" s="1"/>
  <c r="AL57" i="17"/>
  <c r="AT57" i="17" s="1"/>
  <c r="AL46" i="17"/>
  <c r="AT46" i="17" s="1"/>
  <c r="AL41" i="17"/>
  <c r="AT41" i="17" s="1"/>
  <c r="AL61" i="17"/>
  <c r="AT61" i="17" s="1"/>
  <c r="AL67" i="17"/>
  <c r="AT67" i="17" s="1"/>
  <c r="AL62" i="17"/>
  <c r="AT62" i="17" s="1"/>
  <c r="AL56" i="17"/>
  <c r="AT56" i="17" s="1"/>
  <c r="AL51" i="17"/>
  <c r="AT51" i="17" s="1"/>
  <c r="AL40" i="17"/>
  <c r="AT40" i="17" s="1"/>
  <c r="AL66" i="17"/>
  <c r="AT66" i="17" s="1"/>
  <c r="AL50" i="17"/>
  <c r="AT50" i="17" s="1"/>
  <c r="AL11" i="17"/>
  <c r="AT11" i="17" s="1"/>
  <c r="AL29" i="17"/>
  <c r="AT29" i="17" s="1"/>
  <c r="AL23" i="17"/>
  <c r="AT23" i="17" s="1"/>
  <c r="AL28" i="17"/>
  <c r="AT28" i="17" s="1"/>
  <c r="AL27" i="17"/>
  <c r="AT27" i="17" s="1"/>
  <c r="AL26" i="17"/>
  <c r="AT26" i="17" s="1"/>
  <c r="AL31" i="17"/>
  <c r="AT31" i="17" s="1"/>
  <c r="AW9" i="17"/>
  <c r="AU10" i="17" s="1"/>
  <c r="AW16" i="17"/>
  <c r="AU15" i="17" s="1"/>
  <c r="AW8" i="17"/>
  <c r="AU11" i="17" s="1"/>
  <c r="AW10" i="17"/>
  <c r="AU14" i="17" s="1"/>
  <c r="AL20" i="17"/>
  <c r="AT20" i="17" s="1"/>
  <c r="AW11" i="17"/>
  <c r="AU13" i="17" s="1"/>
  <c r="AW12" i="17"/>
  <c r="AU5" i="17" s="1"/>
  <c r="L14" i="4"/>
  <c r="AS5" i="17" l="1"/>
  <c r="AV5" i="17"/>
  <c r="AR5" i="17"/>
  <c r="AT5" i="17"/>
  <c r="B14" i="1"/>
  <c r="B13" i="1"/>
  <c r="B11" i="1"/>
  <c r="B10" i="1"/>
  <c r="B9" i="1"/>
  <c r="G14" i="4" l="1"/>
  <c r="H14" i="4"/>
  <c r="I14" i="4"/>
  <c r="H15" i="4"/>
  <c r="I15" i="4"/>
  <c r="H16" i="4"/>
  <c r="I16" i="4"/>
  <c r="G17" i="4"/>
  <c r="H17" i="4"/>
  <c r="G18" i="4"/>
  <c r="H18" i="4"/>
  <c r="F19" i="4"/>
  <c r="G19" i="4"/>
  <c r="H19" i="4"/>
  <c r="H20" i="4"/>
  <c r="H21" i="4"/>
  <c r="H22" i="4"/>
  <c r="G23" i="4"/>
  <c r="H23" i="4"/>
  <c r="G24" i="4"/>
  <c r="H24" i="4"/>
  <c r="G25" i="4"/>
  <c r="H25" i="4"/>
  <c r="G26" i="4"/>
  <c r="H26" i="4"/>
  <c r="G27" i="4"/>
  <c r="H27"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F20" i="4" s="1"/>
  <c r="M21" i="4"/>
  <c r="N21" i="4" s="1"/>
  <c r="F21" i="4" s="1"/>
  <c r="M22" i="4"/>
  <c r="N22" i="4" s="1"/>
  <c r="F22" i="4" s="1"/>
  <c r="M23" i="4"/>
  <c r="N23" i="4" s="1"/>
  <c r="F23" i="4" s="1"/>
  <c r="M24" i="4"/>
  <c r="N24" i="4" s="1"/>
  <c r="F24" i="4" s="1"/>
  <c r="M25" i="4"/>
  <c r="N25" i="4" s="1"/>
  <c r="F25" i="4" s="1"/>
  <c r="M26" i="4"/>
  <c r="N26" i="4" s="1"/>
  <c r="F26" i="4" s="1"/>
  <c r="M27" i="4"/>
  <c r="N27" i="4" s="1"/>
  <c r="F27" i="4" s="1"/>
  <c r="M28" i="4"/>
  <c r="N28" i="4" s="1"/>
  <c r="F28" i="4" s="1"/>
  <c r="M29" i="4"/>
  <c r="N29" i="4" s="1"/>
  <c r="M30" i="4"/>
  <c r="N30" i="4" s="1"/>
  <c r="M31" i="4"/>
  <c r="N31" i="4" s="1"/>
  <c r="M32" i="4"/>
  <c r="N32" i="4" s="1"/>
  <c r="M33" i="4"/>
  <c r="N33" i="4" s="1"/>
  <c r="M34" i="4"/>
  <c r="N34" i="4" s="1"/>
  <c r="M35" i="4"/>
  <c r="N35" i="4" s="1"/>
  <c r="M36" i="4"/>
  <c r="N36" i="4" s="1"/>
  <c r="M37" i="4"/>
  <c r="N37" i="4" s="1"/>
  <c r="G22" i="4" l="1"/>
  <c r="G21" i="4"/>
  <c r="G20" i="4"/>
  <c r="F16" i="4"/>
  <c r="G15" i="4"/>
  <c r="G13" i="4" l="1"/>
  <c r="AW15" i="17" s="1"/>
  <c r="AU8" i="17" s="1"/>
  <c r="F13" i="4"/>
  <c r="AW14" i="17" s="1"/>
  <c r="AU7" i="17"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AH3" authorId="0" shapeId="0" xr:uid="{00000000-0006-0000-0500-000001000000}">
      <text>
        <r>
          <rPr>
            <b/>
            <sz val="9"/>
            <color indexed="81"/>
            <rFont val="MS P ゴシック"/>
            <family val="3"/>
            <charset val="128"/>
          </rPr>
          <t>フラグ = 1：
・車速状態 = 通常 and 5km/h &lt;= 車速 (ヒス1km/h)
フラグ = 0：
上記以外</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8"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P10" authorId="1" shapeId="0" xr:uid="{00000000-0006-0000-0600-000002000000}">
      <text>
        <r>
          <rPr>
            <sz val="10"/>
            <color indexed="81"/>
            <rFont val="Meiryo UI"/>
            <family val="3"/>
            <charset val="128"/>
          </rPr>
          <t>＜タイマ設計＞
初期値：カウンタ＝0
カウントクリア(カウンタ=0)：IG-ON or 全ドア/スロープ閉
カウントリセット(カウンタ=1)：IG-OFF中にいずれかのドア/スロープ開→閉　or 閉→開
20分経過するまでインクリメント</t>
        </r>
      </text>
    </comment>
    <comment ref="C11" authorId="1" shapeId="0" xr:uid="{00000000-0006-0000-0600-000003000000}">
      <text>
        <r>
          <rPr>
            <b/>
            <sz val="9"/>
            <color indexed="81"/>
            <rFont val="MS P ゴシック"/>
            <family val="3"/>
            <charset val="128"/>
          </rPr>
          <t xml:space="preserve">リモート送信条件成立：IG ON 且つ PTS ONが15[s]以上
</t>
        </r>
      </text>
    </comment>
    <comment ref="E11" authorId="1" shapeId="0" xr:uid="{00000000-0006-0000-0600-000004000000}">
      <text>
        <r>
          <rPr>
            <b/>
            <sz val="9"/>
            <color indexed="81"/>
            <rFont val="MS P ゴシック"/>
            <family val="3"/>
            <charset val="128"/>
          </rPr>
          <t xml:space="preserve">IG ON 且つ ST OFF
</t>
        </r>
      </text>
    </comment>
    <comment ref="F11" authorId="1" shapeId="0" xr:uid="{00000000-0006-0000-0600-000005000000}">
      <text>
        <r>
          <rPr>
            <b/>
            <sz val="9"/>
            <color indexed="81"/>
            <rFont val="MS P ゴシック"/>
            <family val="3"/>
            <charset val="128"/>
          </rPr>
          <t>IG ON</t>
        </r>
      </text>
    </comment>
    <comment ref="G11" authorId="1" shapeId="0" xr:uid="{00000000-0006-0000-0600-000006000000}">
      <text>
        <r>
          <rPr>
            <b/>
            <sz val="9"/>
            <color indexed="81"/>
            <rFont val="MS P ゴシック"/>
            <family val="3"/>
            <charset val="128"/>
          </rPr>
          <t xml:space="preserve">IG OFF 且つ IG OFF後25[m]未満
</t>
        </r>
      </text>
    </comment>
    <comment ref="H11" authorId="1" shapeId="0" xr:uid="{00000000-0006-0000-0600-000007000000}">
      <text>
        <r>
          <rPr>
            <b/>
            <sz val="9"/>
            <color indexed="81"/>
            <rFont val="MS P ゴシック"/>
            <family val="3"/>
            <charset val="128"/>
          </rPr>
          <t xml:space="preserve">IG OFF
</t>
        </r>
      </text>
    </comment>
    <comment ref="I11" authorId="1" shapeId="0" xr:uid="{00000000-0006-0000-0600-000008000000}">
      <text>
        <r>
          <rPr>
            <b/>
            <sz val="9"/>
            <color indexed="81"/>
            <rFont val="MS P ゴシック"/>
            <family val="3"/>
            <charset val="128"/>
          </rPr>
          <t xml:space="preserve">IG ON 又は IG OFF後25[m]未満
</t>
        </r>
      </text>
    </comment>
    <comment ref="J11" authorId="1" shapeId="0" xr:uid="{00000000-0006-0000-0600-000009000000}">
      <text>
        <r>
          <rPr>
            <b/>
            <sz val="9"/>
            <color indexed="81"/>
            <rFont val="MS P ゴシック"/>
            <family val="3"/>
            <charset val="128"/>
          </rPr>
          <t>+B ON 又は ACC 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44"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7" authorId="1" shapeId="0" xr:uid="{00000000-0006-0000-0700-00000A000000}">
      <text>
        <r>
          <rPr>
            <b/>
            <sz val="9"/>
            <color indexed="81"/>
            <rFont val="MS P ゴシック"/>
            <family val="3"/>
            <charset val="128"/>
          </rPr>
          <t xml:space="preserve">リモート送信条件成立：IG ON 且つ PTS ONが15[s]以上
</t>
        </r>
      </text>
    </comment>
    <comment ref="E47" authorId="1" shapeId="0" xr:uid="{00000000-0006-0000-0700-00000B000000}">
      <text>
        <r>
          <rPr>
            <b/>
            <sz val="9"/>
            <color indexed="81"/>
            <rFont val="MS P ゴシック"/>
            <family val="3"/>
            <charset val="128"/>
          </rPr>
          <t xml:space="preserve">IG ON 且つ ST OFF
</t>
        </r>
      </text>
    </comment>
    <comment ref="F47" authorId="1" shapeId="0" xr:uid="{00000000-0006-0000-0700-00000C000000}">
      <text>
        <r>
          <rPr>
            <b/>
            <sz val="9"/>
            <color indexed="81"/>
            <rFont val="MS P ゴシック"/>
            <family val="3"/>
            <charset val="128"/>
          </rPr>
          <t>IG ON</t>
        </r>
      </text>
    </comment>
    <comment ref="G47" authorId="1" shapeId="0" xr:uid="{00000000-0006-0000-0700-00000D000000}">
      <text>
        <r>
          <rPr>
            <b/>
            <sz val="9"/>
            <color indexed="81"/>
            <rFont val="MS P ゴシック"/>
            <family val="3"/>
            <charset val="128"/>
          </rPr>
          <t xml:space="preserve">IG OFF 且つ IG OFF後25[m]未満
</t>
        </r>
      </text>
    </comment>
    <comment ref="H47" authorId="1" shapeId="0" xr:uid="{00000000-0006-0000-0700-00000E000000}">
      <text>
        <r>
          <rPr>
            <b/>
            <sz val="9"/>
            <color indexed="81"/>
            <rFont val="MS P ゴシック"/>
            <family val="3"/>
            <charset val="128"/>
          </rPr>
          <t xml:space="preserve">IG OFF
</t>
        </r>
      </text>
    </comment>
    <comment ref="I47" authorId="1" shapeId="0" xr:uid="{00000000-0006-0000-0700-00000F000000}">
      <text>
        <r>
          <rPr>
            <b/>
            <sz val="9"/>
            <color indexed="81"/>
            <rFont val="MS P ゴシック"/>
            <family val="3"/>
            <charset val="128"/>
          </rPr>
          <t xml:space="preserve">IG ON 又は IG OFF後25[m]未満
</t>
        </r>
      </text>
    </comment>
    <comment ref="J47" authorId="1" shapeId="0" xr:uid="{00000000-0006-0000-0700-000010000000}">
      <text>
        <r>
          <rPr>
            <b/>
            <sz val="9"/>
            <color indexed="81"/>
            <rFont val="MS P ゴシック"/>
            <family val="3"/>
            <charset val="128"/>
          </rPr>
          <t>+B ON 又は ACC ON</t>
        </r>
      </text>
    </comment>
    <comment ref="B83" authorId="0" shapeId="0" xr:uid="{00000000-0006-0000-07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6" authorId="1" shapeId="0" xr:uid="{00000000-0006-0000-0700-000012000000}">
      <text>
        <r>
          <rPr>
            <b/>
            <sz val="9"/>
            <color indexed="81"/>
            <rFont val="MS P ゴシック"/>
            <family val="3"/>
            <charset val="128"/>
          </rPr>
          <t xml:space="preserve">リモート送信条件成立：IG ON 且つ PTS ONが15[s]以上
</t>
        </r>
      </text>
    </comment>
    <comment ref="E86" authorId="1" shapeId="0" xr:uid="{00000000-0006-0000-0700-000013000000}">
      <text>
        <r>
          <rPr>
            <b/>
            <sz val="9"/>
            <color indexed="81"/>
            <rFont val="MS P ゴシック"/>
            <family val="3"/>
            <charset val="128"/>
          </rPr>
          <t xml:space="preserve">IG ON 且つ ST OFF
</t>
        </r>
      </text>
    </comment>
    <comment ref="F86" authorId="1" shapeId="0" xr:uid="{00000000-0006-0000-0700-000014000000}">
      <text>
        <r>
          <rPr>
            <b/>
            <sz val="9"/>
            <color indexed="81"/>
            <rFont val="MS P ゴシック"/>
            <family val="3"/>
            <charset val="128"/>
          </rPr>
          <t>IG ON</t>
        </r>
      </text>
    </comment>
    <comment ref="G86" authorId="1" shapeId="0" xr:uid="{00000000-0006-0000-0700-000015000000}">
      <text>
        <r>
          <rPr>
            <b/>
            <sz val="9"/>
            <color indexed="81"/>
            <rFont val="MS P ゴシック"/>
            <family val="3"/>
            <charset val="128"/>
          </rPr>
          <t xml:space="preserve">IG OFF 且つ IG OFF後25[m]未満
</t>
        </r>
      </text>
    </comment>
    <comment ref="H86" authorId="1" shapeId="0" xr:uid="{00000000-0006-0000-0700-000016000000}">
      <text>
        <r>
          <rPr>
            <b/>
            <sz val="9"/>
            <color indexed="81"/>
            <rFont val="MS P ゴシック"/>
            <family val="3"/>
            <charset val="128"/>
          </rPr>
          <t xml:space="preserve">IG OFF
</t>
        </r>
      </text>
    </comment>
    <comment ref="I86" authorId="1" shapeId="0" xr:uid="{00000000-0006-0000-0700-000017000000}">
      <text>
        <r>
          <rPr>
            <b/>
            <sz val="9"/>
            <color indexed="81"/>
            <rFont val="MS P ゴシック"/>
            <family val="3"/>
            <charset val="128"/>
          </rPr>
          <t xml:space="preserve">IG ON 又は IG OFF後25[m]未満
</t>
        </r>
      </text>
    </comment>
    <comment ref="J86" authorId="1" shapeId="0" xr:uid="{00000000-0006-0000-0700-000018000000}">
      <text>
        <r>
          <rPr>
            <b/>
            <sz val="9"/>
            <color indexed="81"/>
            <rFont val="MS P ゴシック"/>
            <family val="3"/>
            <charset val="128"/>
          </rPr>
          <t>+B ON 又は ACC ON</t>
        </r>
      </text>
    </comment>
    <comment ref="B200" authorId="0" shapeId="0" xr:uid="{00000000-0006-0000-07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202" authorId="0" shapeId="0" xr:uid="{00000000-0006-0000-0700-00001A000000}">
      <text>
        <r>
          <rPr>
            <sz val="10"/>
            <color indexed="81"/>
            <rFont val="Meiryo UI"/>
            <family val="3"/>
            <charset val="128"/>
          </rPr>
          <t>u1_g_VehspdKmphInst()の戻り値
#define VEHSPD_STSBIT_VALID      (0x00U)
#define VEHSPD_STSBIT_UNKNOWN    (0x01U)
#define VEHSPD_STSBIT_INVALID    (0x02U)
#define VEHSPD_STSBIT_EMSTOP     (0x04U)</t>
        </r>
      </text>
    </comment>
    <comment ref="L202" authorId="0" shapeId="0" xr:uid="{00000000-0006-0000-0700-00001B000000}">
      <text>
        <r>
          <rPr>
            <sz val="10"/>
            <color indexed="81"/>
            <rFont val="Meiryo UI"/>
            <family val="3"/>
            <charset val="128"/>
          </rPr>
          <t>u1_g_VehspdKmphInst()にて取得</t>
        </r>
      </text>
    </comment>
    <comment ref="C203" authorId="1" shapeId="0" xr:uid="{00000000-0006-0000-0700-00001C000000}">
      <text>
        <r>
          <rPr>
            <b/>
            <sz val="9"/>
            <color indexed="81"/>
            <rFont val="MS P ゴシック"/>
            <family val="3"/>
            <charset val="128"/>
          </rPr>
          <t xml:space="preserve">リモート送信条件成立：IG ON 且つ PTS ONが15[s]以上
</t>
        </r>
      </text>
    </comment>
    <comment ref="E203" authorId="1" shapeId="0" xr:uid="{00000000-0006-0000-0700-00001D000000}">
      <text>
        <r>
          <rPr>
            <b/>
            <sz val="9"/>
            <color indexed="81"/>
            <rFont val="MS P ゴシック"/>
            <family val="3"/>
            <charset val="128"/>
          </rPr>
          <t xml:space="preserve">IG ON 且つ ST OFF
</t>
        </r>
      </text>
    </comment>
    <comment ref="F203" authorId="1" shapeId="0" xr:uid="{00000000-0006-0000-0700-00001E000000}">
      <text>
        <r>
          <rPr>
            <b/>
            <sz val="9"/>
            <color indexed="81"/>
            <rFont val="MS P ゴシック"/>
            <family val="3"/>
            <charset val="128"/>
          </rPr>
          <t>IG ON</t>
        </r>
      </text>
    </comment>
    <comment ref="G203" authorId="1" shapeId="0" xr:uid="{00000000-0006-0000-0700-00001F000000}">
      <text>
        <r>
          <rPr>
            <b/>
            <sz val="9"/>
            <color indexed="81"/>
            <rFont val="MS P ゴシック"/>
            <family val="3"/>
            <charset val="128"/>
          </rPr>
          <t xml:space="preserve">IG OFF 且つ IG OFF後25[m]未満
</t>
        </r>
      </text>
    </comment>
    <comment ref="H203" authorId="1" shapeId="0" xr:uid="{00000000-0006-0000-0700-000020000000}">
      <text>
        <r>
          <rPr>
            <b/>
            <sz val="9"/>
            <color indexed="81"/>
            <rFont val="MS P ゴシック"/>
            <family val="3"/>
            <charset val="128"/>
          </rPr>
          <t xml:space="preserve">IG OFF
</t>
        </r>
      </text>
    </comment>
    <comment ref="I203" authorId="1" shapeId="0" xr:uid="{00000000-0006-0000-0700-000021000000}">
      <text>
        <r>
          <rPr>
            <b/>
            <sz val="9"/>
            <color indexed="81"/>
            <rFont val="MS P ゴシック"/>
            <family val="3"/>
            <charset val="128"/>
          </rPr>
          <t xml:space="preserve">IG ON 又は IG OFF後25[m]未満
</t>
        </r>
      </text>
    </comment>
    <comment ref="J203" authorId="1" shapeId="0" xr:uid="{00000000-0006-0000-0700-000022000000}">
      <text>
        <r>
          <rPr>
            <b/>
            <sz val="9"/>
            <color indexed="81"/>
            <rFont val="MS P ゴシック"/>
            <family val="3"/>
            <charset val="128"/>
          </rPr>
          <t>+B ON 又は ACC ON</t>
        </r>
      </text>
    </comment>
    <comment ref="L203" authorId="0" shapeId="0" xr:uid="{00000000-0006-0000-0700-000023000000}">
      <text>
        <r>
          <rPr>
            <sz val="10"/>
            <color indexed="81"/>
            <rFont val="Meiryo UI"/>
            <family val="3"/>
            <charset val="128"/>
          </rPr>
          <t>5km/h以上で走行中判定。
そこから4km/h以下になるまでは、
走行中継続（ヒス：1km/h）</t>
        </r>
      </text>
    </comment>
    <comment ref="B231" authorId="0" shapeId="0" xr:uid="{00000000-0006-0000-0700-000024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34" authorId="1" shapeId="0" xr:uid="{00000000-0006-0000-0700-000025000000}">
      <text>
        <r>
          <rPr>
            <b/>
            <sz val="9"/>
            <color indexed="81"/>
            <rFont val="MS P ゴシック"/>
            <family val="3"/>
            <charset val="128"/>
          </rPr>
          <t xml:space="preserve">リモート送信条件成立：IG ON 且つ PTS ONが15[s]以上
</t>
        </r>
      </text>
    </comment>
    <comment ref="E234" authorId="1" shapeId="0" xr:uid="{00000000-0006-0000-0700-000026000000}">
      <text>
        <r>
          <rPr>
            <b/>
            <sz val="9"/>
            <color indexed="81"/>
            <rFont val="MS P ゴシック"/>
            <family val="3"/>
            <charset val="128"/>
          </rPr>
          <t xml:space="preserve">IG ON 且つ ST OFF
</t>
        </r>
      </text>
    </comment>
    <comment ref="F234" authorId="1" shapeId="0" xr:uid="{00000000-0006-0000-0700-000027000000}">
      <text>
        <r>
          <rPr>
            <b/>
            <sz val="9"/>
            <color indexed="81"/>
            <rFont val="MS P ゴシック"/>
            <family val="3"/>
            <charset val="128"/>
          </rPr>
          <t>IG ON</t>
        </r>
      </text>
    </comment>
    <comment ref="G234" authorId="1" shapeId="0" xr:uid="{00000000-0006-0000-0700-000028000000}">
      <text>
        <r>
          <rPr>
            <b/>
            <sz val="9"/>
            <color indexed="81"/>
            <rFont val="MS P ゴシック"/>
            <family val="3"/>
            <charset val="128"/>
          </rPr>
          <t xml:space="preserve">IG OFF 且つ IG OFF後25[m]未満
</t>
        </r>
      </text>
    </comment>
    <comment ref="H234" authorId="1" shapeId="0" xr:uid="{00000000-0006-0000-0700-000029000000}">
      <text>
        <r>
          <rPr>
            <b/>
            <sz val="9"/>
            <color indexed="81"/>
            <rFont val="MS P ゴシック"/>
            <family val="3"/>
            <charset val="128"/>
          </rPr>
          <t xml:space="preserve">IG OFF
</t>
        </r>
      </text>
    </comment>
    <comment ref="I234" authorId="1" shapeId="0" xr:uid="{00000000-0006-0000-0700-00002A000000}">
      <text>
        <r>
          <rPr>
            <b/>
            <sz val="9"/>
            <color indexed="81"/>
            <rFont val="MS P ゴシック"/>
            <family val="3"/>
            <charset val="128"/>
          </rPr>
          <t xml:space="preserve">IG ON 又は IG OFF後25[m]未満
</t>
        </r>
      </text>
    </comment>
    <comment ref="J234" authorId="1" shapeId="0" xr:uid="{00000000-0006-0000-0700-00002B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<sst xmlns="http://schemas.openxmlformats.org/spreadsheetml/2006/main" count="9607" uniqueCount="2104">
  <si>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</si>
  <si>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</si>
  <si>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</si>
  <si>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</si>
  <si>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</si>
  <si>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</si>
  <si>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</si>
  <si>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</si>
  <si>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</si>
  <si>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</si>
  <si>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</si>
  <si>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</si>
  <si>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</si>
  <si>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</si>
  <si>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</si>
  <si>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</si>
  <si>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</si>
  <si>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</si>
  <si>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</si>
  <si>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</si>
  <si>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</si>
  <si>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</si>
  <si>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</si>
  <si>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</si>
  <si>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</si>
  <si>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</si>
  <si>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</si>
  <si>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</si>
  <si>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</si>
  <si>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</si>
  <si>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</si>
  <si>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</si>
  <si>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</si>
  <si>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</si>
  <si>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</si>
  <si>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</si>
  <si>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</si>
  <si>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</si>
  <si>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</si>
  <si>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</si>
  <si>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</si>
  <si>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</si>
  <si>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</si>
  <si>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</si>
  <si>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</si>
  <si>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</si>
  <si>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</si>
  <si>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</si>
  <si>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</si>
  <si>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</si>
  <si>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</si>
  <si>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</si>
  <si>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</si>
  <si>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</si>
  <si>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</si>
  <si>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</si>
  <si>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</si>
  <si>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</si>
  <si>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</si>
  <si>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</si>
  <si>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</si>
  <si>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</si>
  <si>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</si>
  <si>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</si>
  <si>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</si>
  <si>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</si>
  <si>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</si>
  <si>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</si>
  <si>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</si>
  <si>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</si>
  <si>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</si>
  <si>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</si>
  <si>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</si>
  <si>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</si>
  <si>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</si>
  <si>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</si>
  <si>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</si>
  <si>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</si>
  <si>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</si>
  <si>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</si>
  <si>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</si>
  <si>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</si>
  <si>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</si>
  <si>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</si>
  <si>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</si>
  <si>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</si>
  <si>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</si>
  <si>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</si>
  <si>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</si>
  <si>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</si>
  <si>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</si>
  <si>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</si>
  <si>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</si>
  <si>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</si>
  <si>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</si>
  <si>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</si>
  <si>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</si>
  <si>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</si>
  <si>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</si>
  <si>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</si>
  <si>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</si>
  <si>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</si>
  <si>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</si>
  <si>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</si>
  <si>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</si>
  <si>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</si>
  <si>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</si>
  <si>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</si>
  <si>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</si>
  <si>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</si>
  <si>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</si>
  <si>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</si>
  <si>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</si>
  <si>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</si>
  <si>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</si>
  <si>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</si>
  <si>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</si>
  <si>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</si>
  <si>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</si>
  <si>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</si>
  <si>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</si>
  <si>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</si>
  <si>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</si>
  <si>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</si>
  <si>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</si>
  <si>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</si>
  <si>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</si>
  <si>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</si>
  <si>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</si>
  <si>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</si>
  <si>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</si>
  <si>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</si>
  <si>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</si>
  <si>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</si>
  <si>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</si>
  <si>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</si>
  <si>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</si>
  <si>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</si>
  <si>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</si>
  <si>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</si>
  <si>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</si>
  <si>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</si>
  <si>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</si>
  <si>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</si>
  <si>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</si>
  <si>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</si>
  <si>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</si>
  <si>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</si>
  <si>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</si>
  <si>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</si>
  <si>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</si>
  <si>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</si>
  <si>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</si>
  <si>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</si>
  <si>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</si>
  <si>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</si>
  <si>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</si>
  <si>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</si>
  <si>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</si>
  <si>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</si>
  <si>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</si>
  <si>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</si>
  <si>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</si>
  <si>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</si>
  <si>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</si>
  <si>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</si>
  <si>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</si>
  <si>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</si>
  <si>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</si>
  <si>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</si>
  <si>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</si>
  <si>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</si>
  <si>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</si>
  <si>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</si>
  <si>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</si>
  <si>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</si>
  <si>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</si>
  <si>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</si>
  <si>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</si>
  <si>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</si>
  <si>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</si>
  <si>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</si>
  <si>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</si>
  <si>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</si>
  <si>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</si>
  <si>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</si>
  <si>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</si>
  <si>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</si>
  <si>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</si>
  <si>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</si>
  <si>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</si>
  <si>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</si>
  <si>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</si>
  <si>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5.5.0</t>
    <phoneticPr fontId="2"/>
  </si>
  <si>
    <t>ALERT_VOM_BAT_WT</t>
    <phoneticPr fontId="2"/>
  </si>
  <si>
    <t>+B</t>
  </si>
  <si>
    <t>IGN_OFF</t>
    <phoneticPr fontId="2"/>
  </si>
  <si>
    <t>0b</t>
  </si>
  <si>
    <t>1b</t>
  </si>
  <si>
    <t>*b</t>
  </si>
  <si>
    <t>0b/
1b</t>
    <phoneticPr fontId="2"/>
  </si>
  <si>
    <t>1b</t>
    <phoneticPr fontId="2"/>
  </si>
  <si>
    <t>vd_g_AlertB_tdoorInit</t>
  </si>
  <si>
    <t>-</t>
    <phoneticPr fontId="2"/>
  </si>
  <si>
    <t>ALERT_CH_B_TDOOR</t>
  </si>
  <si>
    <t>RUN</t>
  </si>
  <si>
    <t>STOP</t>
  </si>
  <si>
    <t>IG_OFF</t>
  </si>
  <si>
    <t>-</t>
    <phoneticPr fontId="2"/>
  </si>
  <si>
    <t>-</t>
    <phoneticPr fontId="2"/>
  </si>
  <si>
    <t>半ドア警告判定</t>
    <rPh sb="5" eb="7">
      <t>ハンテイ</t>
    </rPh>
    <phoneticPr fontId="2"/>
  </si>
  <si>
    <t>入力</t>
    <phoneticPr fontId="2"/>
  </si>
  <si>
    <t>Vehicle Operation Mode</t>
    <phoneticPr fontId="2"/>
  </si>
  <si>
    <t>外部ドメイン情報</t>
    <rPh sb="0" eb="2">
      <t>ガイブ</t>
    </rPh>
    <rPh sb="6" eb="8">
      <t>ジョウホウ</t>
    </rPh>
    <phoneticPr fontId="2"/>
  </si>
  <si>
    <t>BDB1F01</t>
    <phoneticPr fontId="2"/>
  </si>
  <si>
    <t>BDB1S01</t>
  </si>
  <si>
    <t>RWT_EN</t>
    <phoneticPr fontId="2"/>
  </si>
  <si>
    <t>VCS_ON</t>
    <phoneticPr fontId="2"/>
  </si>
  <si>
    <t>IGN_ON</t>
    <phoneticPr fontId="2"/>
  </si>
  <si>
    <t>IGN_OFF_WT</t>
    <phoneticPr fontId="2"/>
  </si>
  <si>
    <t>BAT_WT</t>
    <phoneticPr fontId="2"/>
  </si>
  <si>
    <t>BAT_AO</t>
    <phoneticPr fontId="2"/>
  </si>
  <si>
    <t>BDB1F01_STS</t>
    <phoneticPr fontId="2"/>
  </si>
  <si>
    <t>BDB1S01_STS</t>
    <phoneticPr fontId="2"/>
  </si>
  <si>
    <t>車速状態</t>
    <rPh sb="0" eb="2">
      <t>シャソク</t>
    </rPh>
    <rPh sb="2" eb="4">
      <t>ジョウタイ</t>
    </rPh>
    <phoneticPr fontId="2"/>
  </si>
  <si>
    <t>車速</t>
    <rPh sb="0" eb="2">
      <t>シャソク</t>
    </rPh>
    <phoneticPr fontId="2"/>
  </si>
  <si>
    <t>IG OFF表示20分カウント</t>
    <rPh sb="6" eb="8">
      <t>ヒョウジ</t>
    </rPh>
    <rPh sb="10" eb="11">
      <t>フン</t>
    </rPh>
    <phoneticPr fontId="2"/>
  </si>
  <si>
    <t>通常(00b)/
未受信(01b)/
通信途絶(10b)/
未受信通信途絶(11b)</t>
    <rPh sb="0" eb="2">
      <t>ツウジョウ</t>
    </rPh>
    <rPh sb="33" eb="35">
      <t>ツウシン</t>
    </rPh>
    <rPh sb="35" eb="37">
      <t>トゼツ</t>
    </rPh>
    <phoneticPr fontId="2"/>
  </si>
  <si>
    <t>ドア閉(0b)/
ドア開(1b)</t>
    <rPh sb="2" eb="3">
      <t>ヘイ</t>
    </rPh>
    <rPh sb="11" eb="12">
      <t>カイ</t>
    </rPh>
    <phoneticPr fontId="2"/>
  </si>
  <si>
    <t>全ドア閉(0b)/
いずれかドア開(1b)</t>
    <rPh sb="0" eb="1">
      <t>ゼン</t>
    </rPh>
    <rPh sb="3" eb="4">
      <t>ヘイ</t>
    </rPh>
    <rPh sb="16" eb="17">
      <t>カイ</t>
    </rPh>
    <phoneticPr fontId="2"/>
  </si>
  <si>
    <t>通常(0b)/
上記以外(1b)</t>
    <rPh sb="0" eb="2">
      <t>ツウジョウ</t>
    </rPh>
    <rPh sb="8" eb="10">
      <t>ジョウキ</t>
    </rPh>
    <rPh sb="10" eb="12">
      <t>イガイ</t>
    </rPh>
    <phoneticPr fontId="2"/>
  </si>
  <si>
    <t>停車中(0b)/
走行中(1b)</t>
    <rPh sb="0" eb="3">
      <t>テイシャチュウ</t>
    </rPh>
    <rPh sb="9" eb="12">
      <t>ソウコウチュウ</t>
    </rPh>
    <phoneticPr fontId="2"/>
  </si>
  <si>
    <t>20分未満(0b)/
20分以上(1b)</t>
    <rPh sb="2" eb="3">
      <t>フン</t>
    </rPh>
    <rPh sb="3" eb="5">
      <t>ミマン</t>
    </rPh>
    <rPh sb="13" eb="14">
      <t>フン</t>
    </rPh>
    <rPh sb="14" eb="16">
      <t>イジョウ</t>
    </rPh>
    <phoneticPr fontId="2"/>
  </si>
  <si>
    <t>0b</t>
    <phoneticPr fontId="2"/>
  </si>
  <si>
    <t>10b</t>
    <phoneticPr fontId="2"/>
  </si>
  <si>
    <t>ALERT_CH_B_TDOOR</t>
    <phoneticPr fontId="2"/>
  </si>
  <si>
    <t>点灯/-</t>
    <rPh sb="0" eb="2">
      <t>テントウ</t>
    </rPh>
    <phoneticPr fontId="2"/>
  </si>
  <si>
    <t>点灯</t>
    <rPh sb="0" eb="2">
      <t>テントウ</t>
    </rPh>
    <phoneticPr fontId="2"/>
  </si>
  <si>
    <t>STOP_ON</t>
    <phoneticPr fontId="2"/>
  </si>
  <si>
    <t>IG_OFF_ON</t>
    <phoneticPr fontId="2"/>
  </si>
  <si>
    <t>ON</t>
    <phoneticPr fontId="2"/>
  </si>
  <si>
    <t>ON</t>
    <phoneticPr fontId="2"/>
  </si>
  <si>
    <t>RUN_ON</t>
    <phoneticPr fontId="2"/>
  </si>
  <si>
    <t>STOP_ON</t>
    <phoneticPr fontId="2"/>
  </si>
  <si>
    <t>IG_OFF_ON</t>
    <phoneticPr fontId="2"/>
  </si>
  <si>
    <t>ON</t>
    <phoneticPr fontId="2"/>
  </si>
  <si>
    <t>走行中フラグ</t>
    <rPh sb="0" eb="3">
      <t>ソウコウチュウ</t>
    </rPh>
    <phoneticPr fontId="2"/>
  </si>
  <si>
    <t>IG OFF表示20分カウント</t>
    <phoneticPr fontId="2"/>
  </si>
  <si>
    <t>ON</t>
  </si>
  <si>
    <t>IG_OFF_ON</t>
  </si>
  <si>
    <t>RUN_ON</t>
  </si>
  <si>
    <t>STOP_ON</t>
  </si>
  <si>
    <t>REQ</t>
    <phoneticPr fontId="2"/>
  </si>
  <si>
    <t>IG OFF(BUS Sleepから25分経過)</t>
    <rPh sb="20" eb="21">
      <t>フン</t>
    </rPh>
    <rPh sb="21" eb="23">
      <t>ケイカ</t>
    </rPh>
    <phoneticPr fontId="2"/>
  </si>
  <si>
    <t>*b</t>
    <phoneticPr fontId="2"/>
  </si>
  <si>
    <t>-</t>
    <phoneticPr fontId="2"/>
  </si>
  <si>
    <t>入力</t>
    <phoneticPr fontId="2"/>
  </si>
  <si>
    <t>内部データ</t>
    <rPh sb="0" eb="2">
      <t>ナイブ</t>
    </rPh>
    <phoneticPr fontId="2"/>
  </si>
  <si>
    <t>Vehicle Operation Mode</t>
    <phoneticPr fontId="2"/>
  </si>
  <si>
    <t>-</t>
    <phoneticPr fontId="2"/>
  </si>
  <si>
    <t>-</t>
    <phoneticPr fontId="2"/>
  </si>
  <si>
    <t>-</t>
    <phoneticPr fontId="2"/>
  </si>
  <si>
    <t>-</t>
    <phoneticPr fontId="2"/>
  </si>
  <si>
    <t>VOM</t>
    <phoneticPr fontId="2"/>
  </si>
  <si>
    <t>RWT_EN</t>
    <phoneticPr fontId="2"/>
  </si>
  <si>
    <t>VCS_ON</t>
    <phoneticPr fontId="2"/>
  </si>
  <si>
    <t>IGN_ON</t>
    <phoneticPr fontId="2"/>
  </si>
  <si>
    <t>IGN_OFF</t>
    <phoneticPr fontId="2"/>
  </si>
  <si>
    <t>BAT_WT</t>
    <phoneticPr fontId="2"/>
  </si>
  <si>
    <t>0b/
1b</t>
    <phoneticPr fontId="2"/>
  </si>
  <si>
    <t>-</t>
    <phoneticPr fontId="2"/>
  </si>
  <si>
    <t>0b/
1b</t>
    <phoneticPr fontId="2"/>
  </si>
  <si>
    <t>0b/
1b</t>
    <phoneticPr fontId="2"/>
  </si>
  <si>
    <t>*</t>
    <phoneticPr fontId="2"/>
  </si>
  <si>
    <t>*</t>
    <phoneticPr fontId="2"/>
  </si>
  <si>
    <t>*</t>
    <phoneticPr fontId="2"/>
  </si>
  <si>
    <t>*</t>
    <phoneticPr fontId="2"/>
  </si>
  <si>
    <t>*</t>
    <phoneticPr fontId="2"/>
  </si>
  <si>
    <t>*</t>
    <phoneticPr fontId="2"/>
  </si>
  <si>
    <t>Table Type</t>
    <phoneticPr fontId="2"/>
  </si>
  <si>
    <t>入力</t>
    <phoneticPr fontId="2"/>
  </si>
  <si>
    <t>Vehicle Operation Mode</t>
    <phoneticPr fontId="2"/>
  </si>
  <si>
    <t>VOM</t>
    <phoneticPr fontId="2"/>
  </si>
  <si>
    <t>IGN_OFF_WT</t>
    <phoneticPr fontId="2"/>
  </si>
  <si>
    <t>BAT_WT</t>
    <phoneticPr fontId="2"/>
  </si>
  <si>
    <t>BAT_AO</t>
    <phoneticPr fontId="2"/>
  </si>
  <si>
    <t>00b</t>
    <phoneticPr fontId="2"/>
  </si>
  <si>
    <t>00b</t>
    <phoneticPr fontId="2"/>
  </si>
  <si>
    <t>01b</t>
    <phoneticPr fontId="2"/>
  </si>
  <si>
    <t>11b</t>
    <phoneticPr fontId="2"/>
  </si>
  <si>
    <t>11b</t>
    <phoneticPr fontId="2"/>
  </si>
  <si>
    <t>0b</t>
    <phoneticPr fontId="2"/>
  </si>
  <si>
    <t>1b</t>
    <phoneticPr fontId="2"/>
  </si>
  <si>
    <t>OFF(0b)/
OPEN(1b)</t>
  </si>
  <si>
    <t>OFF(0b)/
OPEN(1b)</t>
    <phoneticPr fontId="2"/>
  </si>
  <si>
    <t>OFF</t>
  </si>
  <si>
    <t>OFF</t>
    <phoneticPr fontId="2"/>
  </si>
  <si>
    <t>OPEN</t>
  </si>
  <si>
    <t>OPEN</t>
    <phoneticPr fontId="2"/>
  </si>
  <si>
    <t>OFF</t>
    <phoneticPr fontId="2"/>
  </si>
  <si>
    <t>OFF</t>
    <phoneticPr fontId="2"/>
  </si>
  <si>
    <t>01b</t>
    <phoneticPr fontId="2"/>
  </si>
  <si>
    <t>OFF</t>
    <phoneticPr fontId="2"/>
  </si>
  <si>
    <t>走行中フラグ判定</t>
    <rPh sb="0" eb="3">
      <t>ソウコウチュウ</t>
    </rPh>
    <rPh sb="6" eb="8">
      <t>ハンテイ</t>
    </rPh>
    <phoneticPr fontId="2"/>
  </si>
  <si>
    <t>OFF(0b)/
ON(1b)</t>
  </si>
  <si>
    <t>0b</t>
    <phoneticPr fontId="2"/>
  </si>
  <si>
    <t>1b</t>
    <phoneticPr fontId="2"/>
  </si>
  <si>
    <t>0b</t>
    <phoneticPr fontId="2"/>
  </si>
  <si>
    <t>1b</t>
    <phoneticPr fontId="2"/>
  </si>
  <si>
    <t>OFF</t>
    <phoneticPr fontId="2"/>
  </si>
  <si>
    <t>ON</t>
    <phoneticPr fontId="2"/>
  </si>
  <si>
    <t>-</t>
    <phoneticPr fontId="2"/>
  </si>
  <si>
    <t>-</t>
    <phoneticPr fontId="2"/>
  </si>
  <si>
    <t>-</t>
    <phoneticPr fontId="2"/>
  </si>
  <si>
    <t>OFF(0b)/
ON(1b)</t>
    <phoneticPr fontId="2"/>
  </si>
  <si>
    <t>STOP</t>
    <phoneticPr fontId="2"/>
  </si>
  <si>
    <t>RUN</t>
    <phoneticPr fontId="2"/>
  </si>
  <si>
    <t>IG_OFF</t>
    <phoneticPr fontId="2"/>
  </si>
  <si>
    <t>UNKNOWN/
STOP/
RUN/
IG_OFF/
STOP_ON/
RUN_ON/
IG_OFF_ON/
ON</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</si>
  <si>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</si>
  <si>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</si>
  <si>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</si>
  <si>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HDCY_BDB_SIG</t>
    <phoneticPr fontId="2"/>
  </si>
  <si>
    <t>B_TDOOR-CSTD-0-01</t>
  </si>
  <si>
    <t>B_TDOOR-CSTD-0-02</t>
  </si>
  <si>
    <t>B_TDOOR-CSTD-0-03</t>
  </si>
  <si>
    <t>B_TDOOR-CSTD-0-01/
B_TDOOR-CSTD-0-02/
B_TDOOR-CSTD-0-03
-</t>
    <phoneticPr fontId="2"/>
  </si>
  <si>
    <t>ｶｰﾃｼSW信号判定</t>
    <rPh sb="6" eb="8">
      <t>シンゴウ</t>
    </rPh>
    <phoneticPr fontId="2"/>
  </si>
  <si>
    <t>ｶｰﾃｼSW信号判定</t>
    <rPh sb="6" eb="8">
      <t>シンゴウ</t>
    </rPh>
    <rPh sb="8" eb="10">
      <t>ハンテイ</t>
    </rPh>
    <phoneticPr fontId="2"/>
  </si>
  <si>
    <t>ﾌｰﾄﾞｶｰﾃｼSW信号判定</t>
    <rPh sb="9" eb="11">
      <t>シンゴウ</t>
    </rPh>
    <rPh sb="11" eb="13">
      <t>ハンテイ</t>
    </rPh>
    <rPh sb="12" eb="14">
      <t>ハンテイ</t>
    </rPh>
    <phoneticPr fontId="2"/>
  </si>
  <si>
    <t>ﾌｰﾄﾞｶｰﾃｼSW信号判定</t>
    <rPh sb="10" eb="12">
      <t>シンゴウ</t>
    </rPh>
    <rPh sb="12" eb="14">
      <t>ハンテイ</t>
    </rPh>
    <phoneticPr fontId="2"/>
  </si>
  <si>
    <t>ﾌｰﾄﾞｶｰﾃｼSW信号判定</t>
    <phoneticPr fontId="2"/>
  </si>
  <si>
    <t>ｶｰﾃｼSW信号判定</t>
    <phoneticPr fontId="2"/>
  </si>
  <si>
    <t>PSD警報要求判定</t>
    <rPh sb="3" eb="5">
      <t>ケイホウ</t>
    </rPh>
    <rPh sb="5" eb="7">
      <t>ヨウキュウ</t>
    </rPh>
    <rPh sb="7" eb="9">
      <t>ハンテイ</t>
    </rPh>
    <phoneticPr fontId="2"/>
  </si>
  <si>
    <t>LPSDWARN_SIG</t>
    <phoneticPr fontId="2"/>
  </si>
  <si>
    <t>RPSDWARN_SIG</t>
    <phoneticPr fontId="2"/>
  </si>
  <si>
    <t>右PSD警報要求なし(0b)/
右PSD警報要求あり(1b)</t>
    <phoneticPr fontId="2"/>
  </si>
  <si>
    <t>左PSD警報要求なし(0b)/
左PSD警報要求あり(1b)</t>
    <rPh sb="0" eb="1">
      <t>ヒダリ</t>
    </rPh>
    <rPh sb="4" eb="6">
      <t>ケイホウ</t>
    </rPh>
    <rPh sb="6" eb="8">
      <t>ヨウキュウ</t>
    </rPh>
    <rPh sb="16" eb="17">
      <t>ヒダリ</t>
    </rPh>
    <rPh sb="20" eb="22">
      <t>ケイホウ</t>
    </rPh>
    <rPh sb="22" eb="24">
      <t>ヨウキュウ</t>
    </rPh>
    <phoneticPr fontId="2"/>
  </si>
  <si>
    <t>0b</t>
    <phoneticPr fontId="2"/>
  </si>
  <si>
    <t>00b</t>
  </si>
  <si>
    <t>1b</t>
    <phoneticPr fontId="2"/>
  </si>
  <si>
    <t>01b</t>
  </si>
  <si>
    <t>01b</t>
    <phoneticPr fontId="2"/>
  </si>
  <si>
    <t>10b</t>
  </si>
  <si>
    <t>10b</t>
    <phoneticPr fontId="2"/>
  </si>
  <si>
    <t>11b</t>
  </si>
  <si>
    <t>11b</t>
    <phoneticPr fontId="2"/>
  </si>
  <si>
    <t>OFF</t>
    <phoneticPr fontId="2"/>
  </si>
  <si>
    <t>ON</t>
    <phoneticPr fontId="2"/>
  </si>
  <si>
    <t>DRR1S03</t>
    <phoneticPr fontId="2"/>
  </si>
  <si>
    <t>DRR1S03_STS</t>
    <phoneticPr fontId="2"/>
  </si>
  <si>
    <t>DRL1S03</t>
    <phoneticPr fontId="2"/>
  </si>
  <si>
    <t>DRL1S03_STS</t>
    <phoneticPr fontId="2"/>
  </si>
  <si>
    <t>00b</t>
    <phoneticPr fontId="2"/>
  </si>
  <si>
    <t>*b</t>
    <phoneticPr fontId="2"/>
  </si>
  <si>
    <t>*b</t>
    <phoneticPr fontId="2"/>
  </si>
  <si>
    <t>0b</t>
    <phoneticPr fontId="2"/>
  </si>
  <si>
    <t>1b</t>
    <phoneticPr fontId="2"/>
  </si>
  <si>
    <t>-</t>
    <phoneticPr fontId="2"/>
  </si>
  <si>
    <t>Matrix Search</t>
  </si>
  <si>
    <t>PSD警報要求判定</t>
    <phoneticPr fontId="2"/>
  </si>
  <si>
    <t>×</t>
  </si>
  <si>
    <t>**b</t>
    <phoneticPr fontId="2"/>
  </si>
  <si>
    <t>IG OFF(BUS Sleepから25分経過)</t>
    <phoneticPr fontId="2"/>
  </si>
  <si>
    <t>IG-OFF + IGN_OFF_WT-ON + 通常 + ドア閉</t>
  </si>
  <si>
    <t>IG-OFF + IGN_OFF_WT-ON + 通常 + ドア開</t>
  </si>
  <si>
    <t>IG-OFF + IGN_OFF_WT-ON + 未受信 + ドア閉</t>
  </si>
  <si>
    <t>IG-OFF + IGN_OFF_WT-ON + 未受信 + ドア開</t>
  </si>
  <si>
    <t>IG-OFF + IGN_OFF_WT-ON + 通信途絶 + ドア閉</t>
  </si>
  <si>
    <t>IG-OFF + IGN_OFF_WT-ON + 通信途絶+ ドア開</t>
  </si>
  <si>
    <t>IG-OFF + IGN_OFF_WT-ON + 未受信通信途絶 + ドア閉</t>
  </si>
  <si>
    <t>IG-OFF + IGN_OFF_WT-ON + 未受信通信途絶 + ドア開</t>
  </si>
  <si>
    <t>IG-ON + IGN_OFF_WT-OFF + 通常 + ドア閉</t>
  </si>
  <si>
    <t>IG-ON + IGN_OFF_WT-OFF + 通常 + ドア開</t>
  </si>
  <si>
    <t>IG-ON + IGN_OFF_WT-OFF + 未受信 + ドア閉</t>
  </si>
  <si>
    <t>IG-ON + IGN_OFF_WT-OFF + 未受信 + ドア開</t>
  </si>
  <si>
    <t>IG-ON + IGN_OFF_WT-OFF + 通信途絶 + ドア閉</t>
  </si>
  <si>
    <t>IG-ON + IGN_OFF_WT-OFF + 通信途絶+ ドア開</t>
  </si>
  <si>
    <t>IG-ON + IGN_OFF_WT-OFF + 未受信通信途絶 + ドア閉</t>
  </si>
  <si>
    <t>IG-ON + IGN_OFF_WT-OFF + 未受信通信途絶 + ドア開</t>
  </si>
  <si>
    <t>IG-ON + IGN_OFF_WT-ON + 通常 + ドア閉</t>
  </si>
  <si>
    <t>IG-ON + IGN_OFF_WT-ON + 通常 + ドア開</t>
  </si>
  <si>
    <t>IG-ON + IGN_OFF_WT-ON + 未受信 + ドア閉</t>
  </si>
  <si>
    <t>IG-ON + IGN_OFF_WT-ON + 未受信 + ドア開</t>
  </si>
  <si>
    <t>IG-ON + IGN_OFF_WT-ON + 通信途絶 + ドア閉</t>
  </si>
  <si>
    <t>IG-ON + IGN_OFF_WT-ON + 通信途絶+ ドア開</t>
  </si>
  <si>
    <t>IG-ON + IGN_OFF_WT-ON + 未受信通信途絶 + ドア閉</t>
  </si>
  <si>
    <t>IG-ON + IGN_OFF_WT-ON + 未受信通信途絶 + ドア開</t>
  </si>
  <si>
    <t>IG-OFF + IGN_OFF_WT-ON + 通常 + 全ドア閉</t>
  </si>
  <si>
    <t>IG-OFF + IGN_OFF_WT-ON + 未受信 + 全ドア閉</t>
  </si>
  <si>
    <t>IG-OFF + IGN_OFF_WT-ON + 通信途絶 + 全ドア閉</t>
  </si>
  <si>
    <t>IG-OFF + IGN_OFF_WT-ON + 未受信通信途絶 + 全ドア閉</t>
  </si>
  <si>
    <t>IG-ON + IGN_OFF_WT-OFF + 通常 + 全ドア閉</t>
  </si>
  <si>
    <t>IG-ON + IGN_OFF_WT-OFF + 未受信 + 全ドア閉</t>
  </si>
  <si>
    <t>IG-ON + IGN_OFF_WT-OFF + 通信途絶 + 全ドア閉</t>
  </si>
  <si>
    <t>IG-ON + IGN_OFF_WT-OFF + 未受信通信途絶 + 全ドア閉</t>
  </si>
  <si>
    <t>IG-ON + IGN_OFF_WT-ON + 通常 + 全ドア閉</t>
  </si>
  <si>
    <t>IG-ON + IGN_OFF_WT-ON + 未受信 + 全ドア閉</t>
  </si>
  <si>
    <t>IG-ON + IGN_OFF_WT-ON + 通信途絶 + 全ドア閉</t>
  </si>
  <si>
    <t>IG-ON + IGN_OFF_WT-ON + 未受信通信途絶 + 全ドア閉</t>
  </si>
  <si>
    <t>IG-OFF + IGN_OFF_WT-ON + 通常 + 通常 + 右PSD警報要求なし + 左PSD警報要求なし</t>
  </si>
  <si>
    <t>IG-OFF + IGN_OFF_WT-ON + 通常 + 通常 + 右PSD警報要求なし + 左PSD警報要求あり</t>
  </si>
  <si>
    <t>IG-OFF + IGN_OFF_WT-ON + 通常 + 通常 + 右PSD警報要求あり + 左PSD警報要求なし</t>
  </si>
  <si>
    <t>IG-OFF + IGN_OFF_WT-ON + 通常 + 通常 + 右PSD警報要求あり + 左PSD警報要求あり</t>
  </si>
  <si>
    <t>IG-OFF + IGN_OFF_WT-ON + 通常 + 未受信 + 右PSD警報要求なし + *</t>
  </si>
  <si>
    <t>IG-OFF + IGN_OFF_WT-ON + 通常 + 未受信 + 右PSD警報要求あり + *</t>
  </si>
  <si>
    <t>IG-OFF + IGN_OFF_WT-ON + 通常 + 通信途絶 + 右PSD警報要求なし + 左PSD警報要求なし</t>
  </si>
  <si>
    <t>IG-OFF + IGN_OFF_WT-ON + 通常 + 通信途絶 + 右PSD警報要求なし + 左PSD警報要求あり</t>
  </si>
  <si>
    <t>IG-OFF + IGN_OFF_WT-ON + 通常 + 通信途絶 + 右PSD警報要求あり + 左PSD警報要求なし</t>
  </si>
  <si>
    <t>IG-OFF + IGN_OFF_WT-ON + 通常 + 通信途絶 + 右PSD警報要求あり + 左PSD警報要求あり</t>
  </si>
  <si>
    <t>IG-OFF + IGN_OFF_WT-ON + 通常 + 未受信通信途絶 + 右PSD警報要求なし + 左PSD警報要求なし</t>
  </si>
  <si>
    <t>IG-OFF + IGN_OFF_WT-ON + 通常 + 未受信通信途絶 + 右PSD警報要求なし + 左PSD警報要求あり</t>
  </si>
  <si>
    <t>IG-OFF + IGN_OFF_WT-ON + 通常 + 未受信通信途絶 + 右PSD警報要求あり + 左PSD警報要求なし</t>
  </si>
  <si>
    <t>IG-OFF + IGN_OFF_WT-ON + 通常 + 未受信通信途絶 + 右PSD警報要求あり + 左PSD警報要求あり</t>
  </si>
  <si>
    <t>IG-OFF + IGN_OFF_WT-ON + 未受信 + 通常 + * + 左PSD警報要求なし</t>
  </si>
  <si>
    <t>IG-OFF + IGN_OFF_WT-ON + 未受信 + 通常 + * + 左PSD警報要求あり</t>
  </si>
  <si>
    <t>IG-OFF + IGN_OFF_WT-ON + 未受信 + 未受信 + * + *</t>
  </si>
  <si>
    <t>IG-OFF + IGN_OFF_WT-ON + 未受信 + 通信途絶 + * + *</t>
  </si>
  <si>
    <t>IG-OFF + IGN_OFF_WT-ON + 未受信 + 未受信通信途絶 + * + *</t>
  </si>
  <si>
    <t>IG-OFF + IGN_OFF_WT-ON + 通信途絶 + 通常 + 右PSD警報要求なし + 左PSD警報要求なし</t>
  </si>
  <si>
    <t>IG-OFF + IGN_OFF_WT-ON + 通信途絶 + 通常 + 右PSD警報要求なし + 左PSD警報要求あり</t>
  </si>
  <si>
    <t>IG-OFF + IGN_OFF_WT-ON + 通信途絶 + 通常 + 右PSD警報要求あり + 左PSD警報要求なし</t>
  </si>
  <si>
    <t>IG-OFF + IGN_OFF_WT-ON + 通信途絶 + 通常 + 右PSD警報要求あり + 左PSD警報要求あり</t>
  </si>
  <si>
    <t>IG-OFF + IGN_OFF_WT-ON + 通信途絶 + 未受信 + * + *</t>
  </si>
  <si>
    <t>IG-OFF + IGN_OFF_WT-ON + 通信途絶 + 通信途絶 + * + *</t>
  </si>
  <si>
    <t>IG-OFF + IGN_OFF_WT-ON + 通信途絶 + 未受信通信途絶 + * + *</t>
  </si>
  <si>
    <t>IG-OFF + IGN_OFF_WT-ON + 未受信通信途絶 + 通常 + * + 左PSD警報要求なし</t>
  </si>
  <si>
    <t>IG-OFF + IGN_OFF_WT-ON + 未受信通信途絶 + 通常 + * + 左PSD警報要求あり</t>
  </si>
  <si>
    <t>IG-OFF + IGN_OFF_WT-ON + 未受信通信途絶 + 未受信 + * + *</t>
  </si>
  <si>
    <t>IG-OFF + IGN_OFF_WT-ON + 未受信通信途絶 + 通信途絶 + * + *</t>
  </si>
  <si>
    <t>IG-OFF + IGN_OFF_WT-ON + 未受信通信途絶 + 未受信通信途絶 + * + *</t>
  </si>
  <si>
    <t>IG-ON + IGN_OFF_WT-OFF + 通常 + 通常 + 右PSD警報要求なし + 左PSD警報要求なし</t>
  </si>
  <si>
    <t>IG-ON + IGN_OFF_WT-OFF + 通常 + 通常 + 右PSD警報要求なし + 左PSD警報要求あり</t>
  </si>
  <si>
    <t>IG-ON + IGN_OFF_WT-OFF + 通常 + 通常 + 右PSD警報要求あり + 左PSD警報要求なし</t>
  </si>
  <si>
    <t>IG-ON + IGN_OFF_WT-OFF + 通常 + 通常 + 右PSD警報要求あり + 左PSD警報要求あり</t>
  </si>
  <si>
    <t>IG-ON + IGN_OFF_WT-OFF + 通常 + 未受信 + 右PSD警報要求なし + *</t>
  </si>
  <si>
    <t>IG-ON + IGN_OFF_WT-OFF + 通常 + 未受信 + 右PSD警報要求あり + *</t>
  </si>
  <si>
    <t>IG-ON + IGN_OFF_WT-OFF + 通常 + 通信途絶 + 右PSD警報要求なし + 左PSD警報要求なし</t>
  </si>
  <si>
    <t>IG-ON + IGN_OFF_WT-OFF + 通常 + 通信途絶 + 右PSD警報要求なし + 左PSD警報要求あり</t>
  </si>
  <si>
    <t>IG-ON + IGN_OFF_WT-OFF + 通常 + 通信途絶 + 右PSD警報要求あり + 左PSD警報要求なし</t>
  </si>
  <si>
    <t>IG-ON + IGN_OFF_WT-OFF + 通常 + 通信途絶 + 右PSD警報要求あり + 左PSD警報要求あり</t>
  </si>
  <si>
    <t>IG-ON + IGN_OFF_WT-OFF + 通常 + 未受信通信途絶 + 右PSD警報要求なし + *</t>
  </si>
  <si>
    <t>IG-ON + IGN_OFF_WT-OFF + 通常 + 未受信通信途絶 + 右PSD警報要求あり + *</t>
  </si>
  <si>
    <t>IG-ON + IGN_OFF_WT-OFF + 未受信 + 通常 + * + 左PSD警報要求なし</t>
  </si>
  <si>
    <t>IG-ON + IGN_OFF_WT-OFF + 未受信 + 通常 + * + 左PSD警報要求あり</t>
  </si>
  <si>
    <t>IG-ON + IGN_OFF_WT-OFF + 未受信 + 未受信 + * + *</t>
  </si>
  <si>
    <t>IG-ON + IGN_OFF_WT-OFF + 未受信 + 通信途絶 + * + 左PSD警報要求なし</t>
  </si>
  <si>
    <t>IG-ON + IGN_OFF_WT-OFF + 未受信 + 通信途絶 + * + 左PSD警報要求あり</t>
  </si>
  <si>
    <t>IG-ON + IGN_OFF_WT-OFF + 未受信 + 未受信通信途絶 + * + *</t>
  </si>
  <si>
    <t>IG-ON + IGN_OFF_WT-OFF + 通信途絶 + 通常 + 右PSD警報要求なし + 左PSD警報要求なし</t>
  </si>
  <si>
    <t>IG-ON + IGN_OFF_WT-OFF + 通信途絶 + 通常 + 右PSD警報要求なし + 左PSD警報要求あり</t>
  </si>
  <si>
    <t>IG-ON + IGN_OFF_WT-OFF + 通信途絶 + 通常 + 右PSD警報要求あり + 左PSD警報要求なし</t>
  </si>
  <si>
    <t>IG-ON + IGN_OFF_WT-OFF + 通信途絶 + 通常 + 右PSD警報要求あり + 左PSD警報要求あり</t>
  </si>
  <si>
    <t>IG-ON + IGN_OFF_WT-OFF + 通信途絶 + 未受信 + 右PSD警報要求なし + *</t>
  </si>
  <si>
    <t>IG-ON + IGN_OFF_WT-OFF + 通信途絶 + 未受信 + 右PSD警報要求あり + *</t>
  </si>
  <si>
    <t>IG-ON + IGN_OFF_WT-OFF + 通信途絶 + 通信途絶 + 右PSD警報要求なし + 左PSD警報要求なし</t>
  </si>
  <si>
    <t>IG-ON + IGN_OFF_WT-OFF + 通信途絶 + 通信途絶 + 右PSD警報要求なし + 左PSD警報要求あり</t>
  </si>
  <si>
    <t>IG-ON + IGN_OFF_WT-OFF + 通信途絶 + 通信途絶 + 右PSD警報要求あり + 左PSD警報要求なし</t>
  </si>
  <si>
    <t>IG-ON + IGN_OFF_WT-OFF + 通信途絶 + 通信途絶 + 右PSD警報要求あり + 左PSD警報要求あり</t>
  </si>
  <si>
    <t>IG-ON + IGN_OFF_WT-OFF + 通信途絶 + 未受信通信途絶 + 右PSD警報要求なし + *</t>
  </si>
  <si>
    <t>IG-ON + IGN_OFF_WT-OFF + 通信途絶 + 未受信通信途絶 + 右PSD警報要求あり + *</t>
  </si>
  <si>
    <t>IG-ON + IGN_OFF_WT-OFF + 未受信通信途絶 + 通常 + * + 左PSD警報要求なし</t>
  </si>
  <si>
    <t>IG-ON + IGN_OFF_WT-OFF + 未受信通信途絶 + 通常 + * + 左PSD警報要求あり</t>
  </si>
  <si>
    <t>IG-ON + IGN_OFF_WT-OFF + 未受信通信途絶 + 未受信 + * + *</t>
  </si>
  <si>
    <t>IG-ON + IGN_OFF_WT-OFF + 未受信通信途絶 + 通信途絶 + * + 左PSD警報要求なし</t>
  </si>
  <si>
    <t>IG-ON + IGN_OFF_WT-OFF + 未受信通信途絶 + 通信途絶 + * + 左PSD警報要求あり</t>
  </si>
  <si>
    <t>IG-ON + IGN_OFF_WT-OFF + 未受信通信途絶 + 未受信通信途絶 + * + *</t>
  </si>
  <si>
    <t>IG-ON + IGN_OFF_WT-ON + 通常 + 通常 + 右PSD警報要求なし + 左PSD警報要求なし</t>
  </si>
  <si>
    <t>IG-ON + IGN_OFF_WT-ON + 通常 + 通常 + 右PSD警報要求なし + 左PSD警報要求あり</t>
  </si>
  <si>
    <t>IG-ON + IGN_OFF_WT-ON + 通常 + 通常 + 右PSD警報要求あり + 左PSD警報要求なし</t>
  </si>
  <si>
    <t>IG-ON + IGN_OFF_WT-ON + 通常 + 通常 + 右PSD警報要求あり + 左PSD警報要求あり</t>
  </si>
  <si>
    <t>IG-ON + IGN_OFF_WT-ON + 通常 + 未受信 + 右PSD警報要求なし + *</t>
  </si>
  <si>
    <t>IG-ON + IGN_OFF_WT-ON + 通常 + 未受信 + 右PSD警報要求あり + *</t>
  </si>
  <si>
    <t>IG-ON + IGN_OFF_WT-ON + 通常 + 通信途絶 + 右PSD警報要求なし + 左PSD警報要求なし</t>
  </si>
  <si>
    <t>IG-ON + IGN_OFF_WT-ON + 通常 + 通信途絶 + 右PSD警報要求なし + 左PSD警報要求あり</t>
  </si>
  <si>
    <t>IG-ON + IGN_OFF_WT-ON + 通常 + 通信途絶 + 右PSD警報要求あり + 左PSD警報要求なし</t>
  </si>
  <si>
    <t>IG-ON + IGN_OFF_WT-ON + 通常 + 通信途絶 + 右PSD警報要求あり + 左PSD警報要求あり</t>
  </si>
  <si>
    <t>IG-ON + IGN_OFF_WT-ON + 通常 + 未受信通信途絶 + 右PSD警報要求なし + *</t>
  </si>
  <si>
    <t>IG-ON + IGN_OFF_WT-ON + 通常 + 未受信通信途絶 + 右PSD警報要求あり + *</t>
  </si>
  <si>
    <t>IG-ON + IGN_OFF_WT-ON + 未受信 + 通常 + * + 左PSD警報要求なし</t>
  </si>
  <si>
    <t>IG-ON + IGN_OFF_WT-ON + 未受信 + 通常 + * + 左PSD警報要求あり</t>
  </si>
  <si>
    <t>IG-ON + IGN_OFF_WT-ON + 未受信 + 未受信 + * + *</t>
  </si>
  <si>
    <t>IG-ON + IGN_OFF_WT-ON + 未受信 + 通信途絶 + * + 左PSD警報要求なし</t>
  </si>
  <si>
    <t>IG-ON + IGN_OFF_WT-ON + 未受信 + 通信途絶 + * + 左PSD警報要求あり</t>
  </si>
  <si>
    <t>IG-ON + IGN_OFF_WT-ON + 未受信 + 未受信通信途絶 + * + *</t>
  </si>
  <si>
    <t>IG-ON + IGN_OFF_WT-ON + 通信途絶 + 通常 + 右PSD警報要求なし + 左PSD警報要求なし</t>
  </si>
  <si>
    <t>IG-ON + IGN_OFF_WT-ON + 通信途絶 + 通常 + 右PSD警報要求なし + 左PSD警報要求あり</t>
  </si>
  <si>
    <t>IG-ON + IGN_OFF_WT-ON + 通信途絶 + 通常 + 右PSD警報要求あり + 左PSD警報要求なし</t>
  </si>
  <si>
    <t>IG-ON + IGN_OFF_WT-ON + 通信途絶 + 通常 + 右PSD警報要求あり + 左PSD警報要求あり</t>
  </si>
  <si>
    <t>IG-ON + IGN_OFF_WT-ON + 通信途絶 + 未受信 + 右PSD警報要求なし + *</t>
  </si>
  <si>
    <t>IG-ON + IGN_OFF_WT-ON + 通信途絶 + 未受信 + 右PSD警報要求あり + *</t>
  </si>
  <si>
    <t>IG-ON + IGN_OFF_WT-ON + 通信途絶 + 通信途絶 + 右PSD警報要求なし + 左PSD警報要求なし</t>
  </si>
  <si>
    <t>IG-ON + IGN_OFF_WT-ON + 通信途絶 + 通信途絶 + 右PSD警報要求なし + 左PSD警報要求あり</t>
  </si>
  <si>
    <t>IG-ON + IGN_OFF_WT-ON + 通信途絶 + 通信途絶 + 右PSD警報要求あり + 左PSD警報要求なし</t>
  </si>
  <si>
    <t>IG-ON + IGN_OFF_WT-ON + 通信途絶 + 通信途絶 + 右PSD警報要求あり + 左PSD警報要求あり</t>
  </si>
  <si>
    <t>IG-ON + IGN_OFF_WT-ON + 通信途絶 + 未受信通信途絶 + 右PSD警報要求なし + *</t>
  </si>
  <si>
    <t>IG-ON + IGN_OFF_WT-ON + 通信途絶 + 未受信通信途絶 + 右PSD警報要求あり + *</t>
  </si>
  <si>
    <t>IG-ON + IGN_OFF_WT-ON + 未受信通信途絶 + 通常 + * + 左PSD警報要求なし</t>
  </si>
  <si>
    <t>IG-ON + IGN_OFF_WT-ON + 未受信通信途絶 + 通常 + * + 左PSD警報要求あり</t>
  </si>
  <si>
    <t>IG-ON + IGN_OFF_WT-ON + 未受信通信途絶 + 未受信 + * + *</t>
  </si>
  <si>
    <t>IG-ON + IGN_OFF_WT-ON + 未受信通信途絶 + 通信途絶 + * + 左PSD警報要求なし</t>
  </si>
  <si>
    <t>IG-ON + IGN_OFF_WT-ON + 未受信通信途絶 + 通信途絶 + * + 左PSD警報要求あり</t>
  </si>
  <si>
    <t>IG-ON + IGN_OFF_WT-ON + 未受信通信途絶 + 未受信通信途絶 + * + *</t>
  </si>
  <si>
    <t>*b</t>
    <phoneticPr fontId="2"/>
  </si>
  <si>
    <t>IG-OFF + IGN_OFF_WT-ON + 通常 + 停車中</t>
    <rPh sb="30" eb="32">
      <t>テイシャ</t>
    </rPh>
    <rPh sb="32" eb="33">
      <t>チュウ</t>
    </rPh>
    <phoneticPr fontId="2"/>
  </si>
  <si>
    <t>IG-OFF + IGN_OFF_WT-ON + 通常 + 走行中</t>
    <rPh sb="30" eb="33">
      <t>ソウコウチュウ</t>
    </rPh>
    <phoneticPr fontId="2"/>
  </si>
  <si>
    <t>IG-OFF + IGN_OFF_WT-ON + 通常以外 + 停車中</t>
    <rPh sb="27" eb="29">
      <t>イガイ</t>
    </rPh>
    <rPh sb="32" eb="35">
      <t>テイシャチュウ</t>
    </rPh>
    <phoneticPr fontId="2"/>
  </si>
  <si>
    <t>IG-OFF + IGN_OFF_WT-ON + 通常以外 + 走行中</t>
    <rPh sb="32" eb="35">
      <t>ソウコウチュウ</t>
    </rPh>
    <phoneticPr fontId="2"/>
  </si>
  <si>
    <t>IG-ON + IGN_OFF_WT-OFF + 通常 + 停車中</t>
  </si>
  <si>
    <t>IG-ON + IGN_OFF_WT-OFF + 通常 + 走行中</t>
  </si>
  <si>
    <t>IG-ON + IGN_OFF_WT-OFF + 通常以外 + 停車中</t>
  </si>
  <si>
    <t>IG-ON + IGN_OFF_WT-OFF + 通常以外 + 走行中</t>
  </si>
  <si>
    <t>IG-ON + IGN_OFF_WT-ON + 通常 + 停車中</t>
  </si>
  <si>
    <t>IG-ON + IGN_OFF_WT-ON + 通常 + 走行中</t>
  </si>
  <si>
    <t>IG-ON + IGN_OFF_WT-ON + 通常以外 + 停車中</t>
  </si>
  <si>
    <t>IG-ON + IGN_OFF_WT-ON + 通常以外 + 走行中</t>
  </si>
  <si>
    <t>DCTY_SIG/
PCTY_SIG/
RRCY_SIG/
RLCY_SIG/
BCTY_SIG/
LGCY_SIG</t>
    <phoneticPr fontId="2"/>
  </si>
  <si>
    <t>SLP1S01</t>
  </si>
  <si>
    <t>SLP1S01_STS</t>
  </si>
  <si>
    <t>SLP_POS_SIG</t>
    <phoneticPr fontId="2"/>
  </si>
  <si>
    <t>格納位置(000b)/
ドア開作動開始位置(001b)/
重心位置(010b)/
一般部(011b)/
チルトダウン位置(100b)/
展開位置(101b)/
未確定(110b)/
未定義(111b)</t>
    <rPh sb="91" eb="92">
      <t>ミ</t>
    </rPh>
    <rPh sb="92" eb="94">
      <t>テイギ</t>
    </rPh>
    <phoneticPr fontId="2"/>
  </si>
  <si>
    <t>***b</t>
    <phoneticPr fontId="2"/>
  </si>
  <si>
    <t>***b</t>
  </si>
  <si>
    <t>スロープ位置情報信号判定</t>
    <rPh sb="4" eb="6">
      <t>イチ</t>
    </rPh>
    <rPh sb="6" eb="8">
      <t>ジョウホウ</t>
    </rPh>
    <rPh sb="8" eb="10">
      <t>シンゴウ</t>
    </rPh>
    <rPh sb="10" eb="12">
      <t>ハンテイ</t>
    </rPh>
    <phoneticPr fontId="2"/>
  </si>
  <si>
    <t>000b</t>
  </si>
  <si>
    <t>001b</t>
  </si>
  <si>
    <t>001b</t>
    <phoneticPr fontId="2"/>
  </si>
  <si>
    <t>010b</t>
  </si>
  <si>
    <t>010b</t>
    <phoneticPr fontId="2"/>
  </si>
  <si>
    <t>011b</t>
  </si>
  <si>
    <t>011b</t>
    <phoneticPr fontId="2"/>
  </si>
  <si>
    <t>100b</t>
  </si>
  <si>
    <t>100b</t>
    <phoneticPr fontId="2"/>
  </si>
  <si>
    <t>101b</t>
  </si>
  <si>
    <t>101b</t>
    <phoneticPr fontId="2"/>
  </si>
  <si>
    <t>110b</t>
  </si>
  <si>
    <t>110b</t>
    <phoneticPr fontId="2"/>
  </si>
  <si>
    <t>111b</t>
  </si>
  <si>
    <t>111b</t>
    <phoneticPr fontId="2"/>
  </si>
  <si>
    <t>IG OFF(BUS Sleepから25分経過)</t>
  </si>
  <si>
    <t>IG-OFF + IGN_OFF_WT-ON + 通常 + 格納位置</t>
  </si>
  <si>
    <t>IG-OFF + IGN_OFF_WT-ON + 通常 + ドア開作動開始位置</t>
  </si>
  <si>
    <t>IG-OFF + IGN_OFF_WT-ON + 通常 + 重心位置</t>
  </si>
  <si>
    <t>IG-OFF + IGN_OFF_WT-ON + 通常 + 一般部</t>
  </si>
  <si>
    <t>IG-OFF + IGN_OFF_WT-ON + 通常 + チルトダウン位置</t>
  </si>
  <si>
    <t>IG-OFF + IGN_OFF_WT-ON + 通常 + 展開位置</t>
  </si>
  <si>
    <t>IG-OFF + IGN_OFF_WT-ON + 通常 + 未確定</t>
  </si>
  <si>
    <t>IG-OFF + IGN_OFF_WT-ON + 通常 + 未定義</t>
  </si>
  <si>
    <t>IG-OFF + IGN_OFF_WT-ON + 未受信 + *</t>
  </si>
  <si>
    <t>IG-OFF + IGN_OFF_WT-ON + 通信途絶 + *</t>
  </si>
  <si>
    <t>IG-OFF + IGN_OFF_WT-ON + 未受信通信途絶 + *</t>
  </si>
  <si>
    <t>IG-ON + IGN_OFF_WT-OFF + 通常 + 格納位置</t>
  </si>
  <si>
    <t>IG-ON + IGN_OFF_WT-OFF + 通常 + ドア開作動開始位置</t>
  </si>
  <si>
    <t>IG-ON + IGN_OFF_WT-OFF + 通常 + 重心位置</t>
  </si>
  <si>
    <t>IG-ON + IGN_OFF_WT-OFF + 通常 + 一般部</t>
  </si>
  <si>
    <t>IG-ON + IGN_OFF_WT-OFF + 通常 + チルトダウン位置</t>
  </si>
  <si>
    <t>IG-ON + IGN_OFF_WT-OFF + 通常 + 展開位置</t>
  </si>
  <si>
    <t>IG-ON + IGN_OFF_WT-OFF + 通常 + 未確定</t>
  </si>
  <si>
    <t>IG-ON + IGN_OFF_WT-OFF + 通常 + 未定義</t>
  </si>
  <si>
    <t>IG-ON + IGN_OFF_WT-OFF + 未受信 + * + 通常 + *</t>
  </si>
  <si>
    <t>IG-ON + IGN_OFF_WT-OFF + 通信途絶 + 格納位置</t>
  </si>
  <si>
    <t>IG-ON + IGN_OFF_WT-OFF + 通信途絶 + ドア開作動開始位置</t>
  </si>
  <si>
    <t>IG-ON + IGN_OFF_WT-OFF + 通信途絶 + 重心位置</t>
  </si>
  <si>
    <t>IG-ON + IGN_OFF_WT-OFF + 通信途絶 + 一般部</t>
  </si>
  <si>
    <t>IG-ON + IGN_OFF_WT-OFF + 通信途絶 + チルトダウン位置</t>
  </si>
  <si>
    <t>IG-ON + IGN_OFF_WT-OFF + 通信途絶 + 展開位置</t>
  </si>
  <si>
    <t>IG-ON + IGN_OFF_WT-OFF + 通信途絶 + 未確定</t>
  </si>
  <si>
    <t>IG-ON + IGN_OFF_WT-OFF + 通信途絶 + 未定義</t>
  </si>
  <si>
    <t>IG-ON + IGN_OFF_WT-OFF + 未受信通信途絶 + *</t>
  </si>
  <si>
    <t>IG-ON + IGN_OFF_WT-ON + 通常 + 格納位置</t>
  </si>
  <si>
    <t>IG-ON + IGN_OFF_WT-ON + 通常 + ドア開作動開始位置</t>
  </si>
  <si>
    <t>IG-ON + IGN_OFF_WT-ON + 通常 + 重心位置</t>
  </si>
  <si>
    <t>IG-ON + IGN_OFF_WT-ON + 通常 + 一般部</t>
  </si>
  <si>
    <t>IG-ON + IGN_OFF_WT-ON + 通常 + チルトダウン位置</t>
  </si>
  <si>
    <t>IG-ON + IGN_OFF_WT-ON + 通常 + 展開位置</t>
  </si>
  <si>
    <t>IG-ON + IGN_OFF_WT-ON + 通常 + 未確定</t>
  </si>
  <si>
    <t>IG-ON + IGN_OFF_WT-ON + 通常 + 未定義</t>
  </si>
  <si>
    <t>IG-ON + IGN_OFF_WT-ON + 未受信 + * + 通常 + *</t>
  </si>
  <si>
    <t>IG-ON + IGN_OFF_WT-ON + 通信途絶 + 格納位置</t>
  </si>
  <si>
    <t>IG-ON + IGN_OFF_WT-ON + 通信途絶 + ドア開作動開始位置</t>
  </si>
  <si>
    <t>IG-ON + IGN_OFF_WT-ON + 通信途絶 + 重心位置</t>
  </si>
  <si>
    <t>IG-ON + IGN_OFF_WT-ON + 通信途絶 + 一般部</t>
  </si>
  <si>
    <t>IG-ON + IGN_OFF_WT-ON + 通信途絶 + チルトダウン位置</t>
  </si>
  <si>
    <t>IG-ON + IGN_OFF_WT-ON + 通信途絶 + 展開位置</t>
  </si>
  <si>
    <t>IG-ON + IGN_OFF_WT-ON + 通信途絶 + 未確定</t>
  </si>
  <si>
    <t>IG-ON + IGN_OFF_WT-ON + 通信途絶 + 未定義</t>
  </si>
  <si>
    <t>IG-ON + IGN_OFF_WT-ON + 未受信通信途絶 + *</t>
  </si>
  <si>
    <t>SLP_POSJDG</t>
    <phoneticPr fontId="2"/>
  </si>
  <si>
    <t>スロープ位置情報信号判定</t>
    <phoneticPr fontId="2"/>
  </si>
  <si>
    <t>スロープ位置情報信号判定
※Reference2参照</t>
    <rPh sb="24" eb="26">
      <t>サンショウ</t>
    </rPh>
    <phoneticPr fontId="2"/>
  </si>
  <si>
    <t>ﾌｰﾄﾞｶｰﾃｼSW信号判定
※Reference2参照</t>
    <phoneticPr fontId="2"/>
  </si>
  <si>
    <t>ｶｰﾃｼSW信号判定
※Reference2参照</t>
    <phoneticPr fontId="2"/>
  </si>
  <si>
    <t>PSD警報要求判定
※Reference2参照</t>
    <rPh sb="3" eb="5">
      <t>ケイホウ</t>
    </rPh>
    <rPh sb="5" eb="7">
      <t>ヨウキュウ</t>
    </rPh>
    <rPh sb="7" eb="9">
      <t>ハンテイ</t>
    </rPh>
    <phoneticPr fontId="2"/>
  </si>
  <si>
    <t>走行中フラグ
※Reference2参照</t>
    <rPh sb="0" eb="3">
      <t>ソウコウチュウ</t>
    </rPh>
    <phoneticPr fontId="2"/>
  </si>
  <si>
    <t>IG-OFF + IGN_OFF_WT-ON + OFF + OFF + OFF + OFF + * + 20分未満</t>
  </si>
  <si>
    <t>IG-OFF + IGN_OFF_WT-ON + OFF + OFF + OFF + OFF + * + 20分以上</t>
  </si>
  <si>
    <t>IG-OFF + IGN_OFF_WT-ON + OFF + OFF + OFF + ON + * + 20分未満</t>
  </si>
  <si>
    <t>IG-OFF + IGN_OFF_WT-ON + OFF + OFF + OFF + ON + * + 20分以上</t>
  </si>
  <si>
    <t>IG-OFF + IGN_OFF_WT-ON + OFF + OFF + OPEN + OFF + * + 20分未満</t>
  </si>
  <si>
    <t>IG-OFF + IGN_OFF_WT-ON + OFF + OFF + OPEN + OFF + * + 20分以上</t>
  </si>
  <si>
    <t>IG-OFF + IGN_OFF_WT-ON + OFF + OFF + OPEN + ON + * + 20分未満</t>
  </si>
  <si>
    <t>IG-OFF + IGN_OFF_WT-ON + OFF + OFF + OPEN + ON + * + 20分以上</t>
  </si>
  <si>
    <t>IG-OFF + IGN_OFF_WT-ON + OFF + OPEN + OFF + OFF + * + 20分未満</t>
  </si>
  <si>
    <t>IG-OFF + IGN_OFF_WT-ON + OFF + OPEN + OFF + OFF + * + 20分以上</t>
  </si>
  <si>
    <t>IG-OFF + IGN_OFF_WT-ON + OFF + OPEN + OFF + ON + * + 20分未満</t>
  </si>
  <si>
    <t>IG-OFF + IGN_OFF_WT-ON + OFF + OPEN + OFF + ON + * + 20分以上</t>
  </si>
  <si>
    <t>IG-OFF + IGN_OFF_WT-ON + OFF + OPEN + OPEN + OFF + * + 20分未満</t>
  </si>
  <si>
    <t>IG-OFF + IGN_OFF_WT-ON + OFF + OPEN + OPEN + OFF + * + 20分以上</t>
  </si>
  <si>
    <t>IG-OFF + IGN_OFF_WT-ON + OFF + OPEN + OPEN + ON + * + 20分未満</t>
  </si>
  <si>
    <t>IG-OFF + IGN_OFF_WT-ON + OFF + OPEN + OPEN + ON + * + 20分以上</t>
  </si>
  <si>
    <t>IG-OFF + IGN_OFF_WT-ON + OPEN + OFF + OFF + OFF + * + 20分未満</t>
  </si>
  <si>
    <t>IG-OFF + IGN_OFF_WT-ON + OPEN + OFF + OFF + OFF + * + 20分以上</t>
  </si>
  <si>
    <t>IG-OFF + IGN_OFF_WT-ON + OPEN + OFF + OFF + ON + * + 20分未満</t>
  </si>
  <si>
    <t>IG-OFF + IGN_OFF_WT-ON + OPEN + OFF + OFF + ON + * + 20分以上</t>
  </si>
  <si>
    <t>IG-OFF + IGN_OFF_WT-ON + OPEN + OFF + OPEN + OFF + * + 20分未満</t>
  </si>
  <si>
    <t>IG-OFF + IGN_OFF_WT-ON + OPEN + OFF + OPEN + OFF + * + 20分以上</t>
  </si>
  <si>
    <t>IG-OFF + IGN_OFF_WT-ON + OPEN + OFF + OPEN + ON + * + 20分未満</t>
  </si>
  <si>
    <t>IG-OFF + IGN_OFF_WT-ON + OPEN + OFF + OPEN + ON + * + 20分以上</t>
  </si>
  <si>
    <t>IG-OFF + IGN_OFF_WT-ON + OPEN + OPEN + OFF + OFF + * + 20分未満</t>
  </si>
  <si>
    <t>IG-OFF + IGN_OFF_WT-ON + OPEN + OPEN + OFF + OFF + * + 20分以上</t>
  </si>
  <si>
    <t>IG-OFF + IGN_OFF_WT-ON + OPEN + OPEN + OFF + ON + * + 20分未満</t>
  </si>
  <si>
    <t>IG-OFF + IGN_OFF_WT-ON + OPEN + OPEN + OFF + ON + * + 20分以上</t>
  </si>
  <si>
    <t>IG-OFF + IGN_OFF_WT-ON + OPEN + OPEN + OPEN + OFF + * + 20分未満</t>
  </si>
  <si>
    <t>IG-OFF + IGN_OFF_WT-ON + OPEN + OPEN + OPEN + OFF + * + 20分以上</t>
  </si>
  <si>
    <t>IG-OFF + IGN_OFF_WT-ON + OPEN + OPEN + OPEN + ON + * + 20分未満</t>
  </si>
  <si>
    <t>IG-OFF + IGN_OFF_WT-ON + OPEN + OPEN + OPEN + ON + * + 20分以上</t>
  </si>
  <si>
    <t>IG-ON + IGN_OFF_WT-OFF + OFF + OFF + OFF + OFF + * + 20分未満</t>
  </si>
  <si>
    <t>IG-ON + IGN_OFF_WT-OFF + OFF + OFF + OFF + OFF + * + 20分以上</t>
  </si>
  <si>
    <t>IG-ON + IGN_OFF_WT-OFF + OFF + OFF + OFF + ON + * + 20分未満</t>
  </si>
  <si>
    <t>IG-ON + IGN_OFF_WT-OFF + OFF + OFF + OFF + ON + * + 20分以上</t>
  </si>
  <si>
    <t>IG-ON + IGN_OFF_WT-OFF + OFF + OFF + OPEN + OFF + * + 20分未満</t>
  </si>
  <si>
    <t>IG-ON + IGN_OFF_WT-OFF + OFF + OFF + OPEN + OFF + * + 20分以上</t>
  </si>
  <si>
    <t>IG-ON + IGN_OFF_WT-OFF + OFF + OFF + OPEN + ON + * + 20分未満</t>
  </si>
  <si>
    <t>IG-ON + IGN_OFF_WT-OFF + OFF + OFF + OPEN + ON + * + 20分以上</t>
  </si>
  <si>
    <t>IG-ON + IGN_OFF_WT-OFF + OFF + OPEN + OFF + OFF + * + 20分未満</t>
  </si>
  <si>
    <t>IG-ON + IGN_OFF_WT-OFF + OFF + OPEN + OFF + OFF + * + 20分以上</t>
  </si>
  <si>
    <t>IG-ON + IGN_OFF_WT-OFF + OFF + OPEN + OFF + ON + * + 20分未満</t>
  </si>
  <si>
    <t>IG-ON + IGN_OFF_WT-OFF + OFF + OPEN + OFF + ON + * + 20分以上</t>
  </si>
  <si>
    <t>IG-ON + IGN_OFF_WT-OFF + OFF + OPEN + OPEN + OFF + * + 20分未満</t>
  </si>
  <si>
    <t>IG-ON + IGN_OFF_WT-OFF + OFF + OPEN + OPEN + OFF + * + 20分以上</t>
  </si>
  <si>
    <t>IG-ON + IGN_OFF_WT-OFF + OFF + OPEN + OPEN + ON + * + 20分未満</t>
  </si>
  <si>
    <t>IG-ON + IGN_OFF_WT-OFF + OFF + OPEN + OPEN + ON + * + 20分以上</t>
  </si>
  <si>
    <t>IG-ON + IGN_OFF_WT-OFF + OPEN + OFF + OFF + OFF + * + 20分未満</t>
  </si>
  <si>
    <t>IG-ON + IGN_OFF_WT-OFF + OPEN + OFF + OFF + OFF + * + 20分以上</t>
  </si>
  <si>
    <t>IG-ON + IGN_OFF_WT-OFF + OPEN + OFF + OFF + ON + * + 20分未満</t>
  </si>
  <si>
    <t>IG-ON + IGN_OFF_WT-OFF + OPEN + OFF + OFF + ON + * + 20分以上</t>
  </si>
  <si>
    <t>IG-ON + IGN_OFF_WT-OFF + OPEN + OFF + OPEN + OFF + * + 20分未満</t>
  </si>
  <si>
    <t>IG-ON + IGN_OFF_WT-OFF + OPEN + OFF + OPEN + OFF + * + 20分以上</t>
  </si>
  <si>
    <t>IG-ON + IGN_OFF_WT-OFF + OPEN + OFF + OPEN + ON + * + 20分未満</t>
  </si>
  <si>
    <t>IG-ON + IGN_OFF_WT-OFF + OPEN + OFF + OPEN + ON + * + 20分以上</t>
  </si>
  <si>
    <t>IG-ON + IGN_OFF_WT-OFF + OPEN + OPEN + OFF + OFF + * + 20分未満</t>
  </si>
  <si>
    <t>IG-ON + IGN_OFF_WT-OFF + OPEN + OPEN + OFF + OFF + * + 20分以上</t>
  </si>
  <si>
    <t>IG-ON + IGN_OFF_WT-OFF + OPEN + OPEN + OFF + ON + * + 20分未満</t>
  </si>
  <si>
    <t>IG-ON + IGN_OFF_WT-OFF + OPEN + OPEN + OFF + ON + * + 20分以上</t>
  </si>
  <si>
    <t>IG-ON + IGN_OFF_WT-OFF + OPEN + OPEN + OPEN + OFF + * + 20分未満</t>
  </si>
  <si>
    <t>IG-ON + IGN_OFF_WT-OFF + OPEN + OPEN + OPEN + OFF + * + 20分以上</t>
  </si>
  <si>
    <t>IG-ON + IGN_OFF_WT-OFF + OPEN + OPEN + OPEN + ON + * + 20分未満</t>
  </si>
  <si>
    <t>IG-ON + IGN_OFF_WT-OFF + OPEN + OPEN + OPEN + ON + * + 20分以上</t>
  </si>
  <si>
    <t>IG-ON + IGN_OFF_WT-ON + OFF + OFF + OFF + OFF + * + 20分未満</t>
  </si>
  <si>
    <t>IG-ON + IGN_OFF_WT-ON + OFF + OFF + OFF + OFF + * + 20分以上</t>
  </si>
  <si>
    <t>IG-ON + IGN_OFF_WT-ON + OFF + OFF + OFF + ON + * + 20分未満</t>
  </si>
  <si>
    <t>IG-ON + IGN_OFF_WT-ON + OFF + OFF + OFF + ON + * + 20分以上</t>
  </si>
  <si>
    <t>IG-ON + IGN_OFF_WT-ON + OFF + OFF + OPEN + OFF + * + 20分未満</t>
  </si>
  <si>
    <t>IG-ON + IGN_OFF_WT-ON + OFF + OFF + OPEN + OFF + * + 20分以上</t>
  </si>
  <si>
    <t>IG-ON + IGN_OFF_WT-ON + OFF + OFF + OPEN + ON + * + 20分未満</t>
  </si>
  <si>
    <t>IG-ON + IGN_OFF_WT-ON + OFF + OFF + OPEN + ON + * + 20分以上</t>
  </si>
  <si>
    <t>IG-ON + IGN_OFF_WT-ON + OFF + OPEN + OFF + OFF + * + 20分未満</t>
  </si>
  <si>
    <t>IG-ON + IGN_OFF_WT-ON + OFF + OPEN + OFF + OFF + * + 20分以上</t>
  </si>
  <si>
    <t>IG-ON + IGN_OFF_WT-ON + OFF + OPEN + OFF + ON + * + 20分未満</t>
  </si>
  <si>
    <t>IG-ON + IGN_OFF_WT-ON + OFF + OPEN + OFF + ON + * + 20分以上</t>
  </si>
  <si>
    <t>IG-ON + IGN_OFF_WT-ON + OFF + OPEN + OPEN + OFF + * + 20分未満</t>
  </si>
  <si>
    <t>IG-ON + IGN_OFF_WT-ON + OFF + OPEN + OPEN + OFF + * + 20分以上</t>
  </si>
  <si>
    <t>IG-ON + IGN_OFF_WT-ON + OFF + OPEN + OPEN + ON + * + 20分未満</t>
  </si>
  <si>
    <t>IG-ON + IGN_OFF_WT-ON + OFF + OPEN + OPEN + ON + * + 20分以上</t>
  </si>
  <si>
    <t>IG-ON + IGN_OFF_WT-ON + OPEN + OFF + OFF + OFF + * + 20分未満</t>
  </si>
  <si>
    <t>IG-ON + IGN_OFF_WT-ON + OPEN + OFF + OFF + OFF + * + 20分以上</t>
  </si>
  <si>
    <t>IG-ON + IGN_OFF_WT-ON + OPEN + OFF + OFF + ON + * + 20分未満</t>
  </si>
  <si>
    <t>IG-ON + IGN_OFF_WT-ON + OPEN + OFF + OFF + ON + * + 20分以上</t>
  </si>
  <si>
    <t>IG-ON + IGN_OFF_WT-ON + OPEN + OFF + OPEN + OFF + * + 20分未満</t>
  </si>
  <si>
    <t>IG-ON + IGN_OFF_WT-ON + OPEN + OFF + OPEN + OFF + * + 20分以上</t>
  </si>
  <si>
    <t>IG-ON + IGN_OFF_WT-ON + OPEN + OFF + OPEN + ON + * + 20分未満</t>
  </si>
  <si>
    <t>IG-ON + IGN_OFF_WT-ON + OPEN + OFF + OPEN + ON + * + 20分以上</t>
  </si>
  <si>
    <t>IG-ON + IGN_OFF_WT-ON + OPEN + OPEN + OFF + OFF + * + 20分未満</t>
  </si>
  <si>
    <t>IG-ON + IGN_OFF_WT-ON + OPEN + OPEN + OFF + OFF + * + 20分以上</t>
  </si>
  <si>
    <t>IG-ON + IGN_OFF_WT-ON + OPEN + OPEN + OFF + ON + * + 20分未満</t>
  </si>
  <si>
    <t>IG-ON + IGN_OFF_WT-ON + OPEN + OPEN + OFF + ON + * + 20分以上</t>
  </si>
  <si>
    <t>IG-ON + IGN_OFF_WT-ON + OPEN + OPEN + OPEN + OFF + * + 20分未満</t>
  </si>
  <si>
    <t>IG-ON + IGN_OFF_WT-ON + OPEN + OPEN + OPEN + OFF + * + 20分以上</t>
  </si>
  <si>
    <t>IG-ON + IGN_OFF_WT-ON + OPEN + OPEN + OPEN + ON + * + 20分未満</t>
  </si>
  <si>
    <t>IG-ON + IGN_OFF_WT-ON + OPEN + OPEN + OPEN + ON + * + 20分以上</t>
  </si>
  <si>
    <t>MET-B_TDOOR-CSTD-0-03-C-C5.doc</t>
    <phoneticPr fontId="2"/>
  </si>
  <si>
    <t>新規作成(流用元：alert_B_TDOOR-CSTD-0-03-B-C5.xlsx ※032D)
面企画#2 CV対応
[Matrix]シート
・対象仕様書変更
・ロケーション変更
[Reference]シート
・キャプチャを差し替え
・定数仕様変更について、コメントを変更</t>
    <rPh sb="0" eb="2">
      <t>シンキ</t>
    </rPh>
    <rPh sb="2" eb="4">
      <t>サクセイ</t>
    </rPh>
    <rPh sb="5" eb="7">
      <t>リュウヨウ</t>
    </rPh>
    <rPh sb="7" eb="8">
      <t>モト</t>
    </rPh>
    <rPh sb="75" eb="77">
      <t>タイショウ</t>
    </rPh>
    <rPh sb="77" eb="80">
      <t>シヨウショ</t>
    </rPh>
    <rPh sb="80" eb="82">
      <t>ヘンコウ</t>
    </rPh>
    <rPh sb="121" eb="123">
      <t>ジョウスウ</t>
    </rPh>
    <rPh sb="123" eb="125">
      <t>シヨウ</t>
    </rPh>
    <rPh sb="125" eb="127">
      <t>ヘンコウ</t>
    </rPh>
    <rPh sb="137" eb="139">
      <t>ヘンコウ</t>
    </rPh>
    <phoneticPr fontId="2"/>
  </si>
  <si>
    <t>高橋</t>
    <rPh sb="0" eb="2">
      <t>タカハシ</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</si>
  <si>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</si>
  <si>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</si>
  <si>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</si>
  <si>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5.5.0</t>
  </si>
  <si>
    <t>吉澤</t>
    <rPh sb="0" eb="2">
      <t>ヨシザワ</t>
    </rPh>
    <phoneticPr fontId="2"/>
  </si>
  <si>
    <t>1.1.0</t>
    <phoneticPr fontId="2"/>
  </si>
  <si>
    <t>面企画#2.5 920B 1A（流用元：alert_B_TDOOR-CSTD-0-03-C-C5.xlsx）
[Matrix]
・ロケーションを更新
[Config_IF]
・信号適用/非適用のConfig化に伴い、以下のConfigのdefineを追加
ALERT_CFG_B_TDOOR_RRCY
ALERT_CFG_B_TDOOR_RLCY
ALERT_CFG_B_TDOOR_BCTY
ALERT_CFG_B_TDOOR_LGCY
ALERT_CFG_B_TDOOR_HDCY_BDB
ALERT_CFG_B_TDOOR_RPSDWARN
ALERT_CFG_B_TDOOR_LPSDWARN
ALERT_CFG_B_TDOOR_SLP_POS
[Reference]
・定数仕様に信号適用/非適用のConfig化の説明を追加</t>
    <rPh sb="0" eb="1">
      <t>メン</t>
    </rPh>
    <rPh sb="1" eb="3">
      <t>キカク</t>
    </rPh>
    <rPh sb="72" eb="74">
      <t>コウシン</t>
    </rPh>
    <rPh sb="360" eb="361">
      <t>カ</t>
    </rPh>
    <rPh sb="365" eb="367">
      <t>ツイカ</t>
    </rPh>
    <phoneticPr fontId="2"/>
  </si>
  <si>
    <t>1.2.0</t>
    <phoneticPr fontId="2"/>
  </si>
  <si>
    <t>承認欄 [DENSO TECHNO]</t>
    <phoneticPr fontId="2"/>
  </si>
  <si>
    <t>DT前川翔汰</t>
    <rPh sb="2" eb="6">
      <t>マエガワショウタ</t>
    </rPh>
    <phoneticPr fontId="2"/>
  </si>
  <si>
    <t>https://aip01.dndev.net/svn/met/toyota/std/rd/spec/19PFver3/tags/00.Product/v0.3.d/制御仕様/</t>
    <phoneticPr fontId="2"/>
  </si>
  <si>
    <t>Const</t>
  </si>
  <si>
    <t>RRCYの適用/非適用を設定する。MCU定数一覧を参照。
0=無、1=有り。(リア右側ドア対応車両は”1”)</t>
    <rPh sb="25" eb="27">
      <t>サンショウ</t>
    </rPh>
    <phoneticPr fontId="2"/>
  </si>
  <si>
    <t>RLCYの適用/非適用を設定する。MCU定数一覧を参照。
0=無、1=有り。(リア左側ドア対応車両は”1”)</t>
    <rPh sb="25" eb="27">
      <t>サンショウ</t>
    </rPh>
    <rPh sb="41" eb="42">
      <t>ヒダリ</t>
    </rPh>
    <phoneticPr fontId="2"/>
  </si>
  <si>
    <t>BCTYの適用/非適用を設定するMCU定数一覧を参照。
0=無、1=有り。(バックドア対応またはテールゲート対応車両は”1”)</t>
    <rPh sb="24" eb="26">
      <t>サンショウ</t>
    </rPh>
    <phoneticPr fontId="2"/>
  </si>
  <si>
    <t>LGCYの適用/非適用を設定するMCU定数一覧を参照。
0=無、1=有り。(ラゲージドア対応車両は”1”)</t>
    <rPh sb="24" eb="26">
      <t>サンショウ</t>
    </rPh>
    <phoneticPr fontId="2"/>
  </si>
  <si>
    <t>HDCY_BDBの適用/非適用を設定するMCU定数一覧を参照。
0=無、1=有り。(フード対応車両は”1”)</t>
    <rPh sb="28" eb="30">
      <t>サンショウ</t>
    </rPh>
    <phoneticPr fontId="2"/>
  </si>
  <si>
    <t>RPSDWARNの適用/非適用を設定するMCU定数一覧を参照。
0=無、1=有り。(右側パワースライドドア対応車両は”1”)</t>
    <rPh sb="28" eb="30">
      <t>サンショウ</t>
    </rPh>
    <phoneticPr fontId="2"/>
  </si>
  <si>
    <t>LPSDWARNの適用/非適用を設定するMCU定数一覧を参照。
0=無、1=有り。(左側パワースライドドア対応車両は”1”)</t>
    <rPh sb="28" eb="30">
      <t>サンショウ</t>
    </rPh>
    <phoneticPr fontId="2"/>
  </si>
  <si>
    <t>SLP_POSの適用/非適用を設定するMCU定数一覧を参照。
0=無、1=有り。(スロープ対応(車両からスロープが展開)する車両は”1”)</t>
    <rPh sb="27" eb="29">
      <t>サンショウ</t>
    </rPh>
    <phoneticPr fontId="2"/>
  </si>
  <si>
    <t>u1_ALERT_CFG_B_TDOOR_RRCY</t>
  </si>
  <si>
    <t>u1_ALERT_CFG_B_TDOOR_RLCY</t>
  </si>
  <si>
    <t>u1_ALERT_CFG_B_TDOOR_BCTY</t>
  </si>
  <si>
    <t>u1_ALERT_CFG_B_TDOOR_LGCY</t>
  </si>
  <si>
    <t>u1_ALERT_CFG_B_TDOOR_HDCY_BDB</t>
  </si>
  <si>
    <t>u1_ALERT_CFG_B_TDOOR_RPSDWARN</t>
  </si>
  <si>
    <t>u1_ALERT_CFG_B_TDOOR_LPSDWARN</t>
  </si>
  <si>
    <t>u1_ALERT_CFG_B_TDOOR_SLP_POS</t>
  </si>
  <si>
    <t>テルテール点消灯処理の扱いについて説明を追加</t>
    <phoneticPr fontId="2"/>
  </si>
  <si>
    <t>■</t>
    <phoneticPr fontId="2"/>
  </si>
  <si>
    <t>外部参照の定数</t>
    <phoneticPr fontId="2"/>
  </si>
  <si>
    <t>テルテール点消灯処理とマルチディスプレイ表示処理で使用する信号は記号が異なるが同じ信号である。</t>
    <rPh sb="25" eb="27">
      <t>シヨウ</t>
    </rPh>
    <rPh sb="29" eb="31">
      <t>シンゴウ</t>
    </rPh>
    <rPh sb="32" eb="34">
      <t>キゴウ</t>
    </rPh>
    <rPh sb="35" eb="36">
      <t>コト</t>
    </rPh>
    <rPh sb="39" eb="40">
      <t>オナ</t>
    </rPh>
    <rPh sb="41" eb="43">
      <t>シンゴウ</t>
    </rPh>
    <phoneticPr fontId="2"/>
  </si>
  <si>
    <t>しかし、今回の仕様変更で</t>
    <rPh sb="4" eb="6">
      <t>コンカイ</t>
    </rPh>
    <rPh sb="7" eb="11">
      <t>シヨウヘンコウ</t>
    </rPh>
    <phoneticPr fontId="2"/>
  </si>
  <si>
    <t>となってしまった。</t>
    <phoneticPr fontId="2"/>
  </si>
  <si>
    <t>・テルテール点消灯処理に使用する信号：固定「○」</t>
    <phoneticPr fontId="2"/>
  </si>
  <si>
    <t>・マルチディスプレイ表示処理に使用する信号：定数管理(MCUCONST)</t>
    <phoneticPr fontId="2"/>
  </si>
  <si>
    <t>Ver1.1.0のソフトはテルテール点消灯とマルチディスプレイ表示処理で入力信号を分けて処理していない。</t>
    <rPh sb="33" eb="35">
      <t>ショリ</t>
    </rPh>
    <rPh sb="36" eb="38">
      <t>ニュウリョク</t>
    </rPh>
    <rPh sb="38" eb="40">
      <t>シンゴウ</t>
    </rPh>
    <rPh sb="41" eb="42">
      <t>ワ</t>
    </rPh>
    <rPh sb="44" eb="46">
      <t>ショリ</t>
    </rPh>
    <phoneticPr fontId="2"/>
  </si>
  <si>
    <t>そのため、、この通り実装するとなるとalert_B_TDOOR-CSTD-0-03-C-C5.cモジュールの再設計となり工数がかかる。</t>
    <rPh sb="60" eb="62">
      <t>コウスウ</t>
    </rPh>
    <phoneticPr fontId="2"/>
  </si>
  <si>
    <t>しかし、テルテールはここ最近適用がある車両がなく今後もない見込み。</t>
    <phoneticPr fontId="2"/>
  </si>
  <si>
    <t>ソフト変更の工数削減のため、仕様変更を依頼しその内容でソフト実装する。</t>
    <phoneticPr fontId="2"/>
  </si>
  <si>
    <t>仕様変更後、</t>
    <rPh sb="0" eb="4">
      <t>シヨウヘンコウ</t>
    </rPh>
    <rPh sb="4" eb="5">
      <t>ゴ</t>
    </rPh>
    <phoneticPr fontId="2"/>
  </si>
  <si>
    <t>となる見込み。</t>
    <rPh sb="3" eb="5">
      <t>ミコ</t>
    </rPh>
    <phoneticPr fontId="2"/>
  </si>
  <si>
    <t>・テルテール点消灯処理に使用する信号：固定「-」</t>
    <phoneticPr fontId="2"/>
  </si>
  <si>
    <t>RRCY</t>
  </si>
  <si>
    <t>CFG</t>
  </si>
  <si>
    <t>RLCY</t>
  </si>
  <si>
    <t>BCTY</t>
  </si>
  <si>
    <t>LGCY</t>
  </si>
  <si>
    <t>HDCY_BDB</t>
  </si>
  <si>
    <t>RRCYの適用/非適用を設定する。MCUCONSTを参照。
定数定義はcalibrationモジュールを参照。
0：非適用／1：適用。</t>
    <rPh sb="30" eb="32">
      <t>テイスウ</t>
    </rPh>
    <rPh sb="32" eb="34">
      <t>テイギ</t>
    </rPh>
    <rPh sb="34" eb="36">
      <t>テイギ</t>
    </rPh>
    <phoneticPr fontId="2"/>
  </si>
  <si>
    <t>RLCYの適用/非適用を設定する。MCUCONSTを参照。
定数定義はcalibrationモジュールを参照。
0：非適用／1：適用。</t>
    <rPh sb="30" eb="32">
      <t>テイスウ</t>
    </rPh>
    <rPh sb="52" eb="54">
      <t>サンショウ</t>
    </rPh>
    <phoneticPr fontId="2"/>
  </si>
  <si>
    <t>BCTYの適用/非適用を設定する。MCUCONSTを参照。
定数定義はcalibrationモジュールを参照。
0：非適用／1：適用。</t>
    <rPh sb="30" eb="32">
      <t>テイスウ</t>
    </rPh>
    <rPh sb="52" eb="54">
      <t>サンショウ</t>
    </rPh>
    <phoneticPr fontId="2"/>
  </si>
  <si>
    <t>LGCYの適用/非適用を設定する。MCUCONSTを参照。
定数定義はcalibrationモジュールを参照。
0：非適用／1：適用。</t>
    <rPh sb="30" eb="32">
      <t>テイスウ</t>
    </rPh>
    <rPh sb="52" eb="54">
      <t>サンショウ</t>
    </rPh>
    <phoneticPr fontId="2"/>
  </si>
  <si>
    <t>HDCY_BDBの適用/非適用を設定する。MCUCONSTを参照。
定数定義はcalibrationモジュールを参照。
0：非適用／1：適用。</t>
    <rPh sb="34" eb="36">
      <t>テイスウ</t>
    </rPh>
    <rPh sb="56" eb="58">
      <t>サンショウ</t>
    </rPh>
    <phoneticPr fontId="2"/>
  </si>
  <si>
    <t>RPSDWARN</t>
    <phoneticPr fontId="2"/>
  </si>
  <si>
    <t>RPSDWARNの適用/非適用を設定する。MCUCONSTを参照。
定数定義はcalibrationモジュールを参照。
0：非適用／1：適用。</t>
    <rPh sb="34" eb="36">
      <t>テイスウ</t>
    </rPh>
    <rPh sb="56" eb="58">
      <t>サンショウ</t>
    </rPh>
    <phoneticPr fontId="2"/>
  </si>
  <si>
    <t>LPSDWARN</t>
    <phoneticPr fontId="2"/>
  </si>
  <si>
    <t>LPSDWARNの適用/非適用を設定する。MCUCONSTを参照。
定数定義はcalibrationモジュールを参照。
0：非適用／1：適用。</t>
    <rPh sb="34" eb="36">
      <t>テイスウ</t>
    </rPh>
    <rPh sb="56" eb="58">
      <t>サンショウ</t>
    </rPh>
    <phoneticPr fontId="2"/>
  </si>
  <si>
    <t>SLP_POS</t>
    <phoneticPr fontId="2"/>
  </si>
  <si>
    <t>SLP_POSの適用/非適用を設定する。MCUCONSTを参照。
定数定義はcalibrationモジュールを参照。
0：非適用／1：適用。</t>
    <rPh sb="33" eb="35">
      <t>テイスウ</t>
    </rPh>
    <rPh sb="55" eb="57">
      <t>サンショウ</t>
    </rPh>
    <phoneticPr fontId="2"/>
  </si>
  <si>
    <t>/* 5.2.0 */</t>
  </si>
  <si>
    <t>/*===================================================================================================================================*/</t>
  </si>
  <si>
    <t>/*  Copyright DENSO Corporation                                                                                                      */</t>
  </si>
  <si>
    <t>/*  Alert B_TDOOR-CSTD-0-03-C-C5                                                                                                     */</t>
  </si>
  <si>
    <t>/*                                                                                                                                   */</t>
  </si>
  <si>
    <t>/*-----------------------------------------------------------------------------------------------------------------------------------*/</t>
  </si>
  <si>
    <t>/*  Version                                                                                                                          */</t>
  </si>
  <si>
    <t>#define ALERT_B_TDOOR_C_MAJOR                    (5)</t>
  </si>
  <si>
    <t>#define ALERT_B_TDOOR_C_MINOR                    (2)</t>
  </si>
  <si>
    <t>#define ALERT_B_TDOOR_C_PATCH                    (0)</t>
  </si>
  <si>
    <t>/*  Include Files                                                                                                                    */</t>
  </si>
  <si>
    <t>#include "alert_cfg_private.h"</t>
  </si>
  <si>
    <t>#include "alert_mtrx_cfg_private.h"</t>
  </si>
  <si>
    <t>#include "alert_brx.h"</t>
  </si>
  <si>
    <t>#include "tycan.h"</t>
  </si>
  <si>
    <t>/*  Version Check                                                                                                                    */</t>
  </si>
  <si>
    <t>#if (ALERT_B_TDOOR_C_MAJOR != ALERT_CFG_H_MAJOR)</t>
  </si>
  <si>
    <t>#error "alert_B_TDOOR-CSTD-0-03-C-C5.c and alert_cfg_private.h : source and header files are inconsistent!"</t>
  </si>
  <si>
    <t>#endif</t>
  </si>
  <si>
    <t>/*  Configuration Check                                                                                                              */</t>
  </si>
  <si>
    <t>#if !defined(ALERT_CFG_B_TDOOR_RRCY)</t>
  </si>
  <si>
    <t>#error "alert_cfg_private.h : ALERT_CFG_B_TDOOR_RRCY is undefined!"</t>
  </si>
  <si>
    <t>#if !defined(ALERT_CFG_B_TDOOR_RLCY)</t>
  </si>
  <si>
    <t>#error "alert_cfg_private.h : ALERT_CFG_B_TDOOR_RLCY is undefined!"</t>
  </si>
  <si>
    <t>#if !defined(ALERT_CFG_B_TDOOR_BCTY)</t>
  </si>
  <si>
    <t>#error "alert_cfg_private.h : ALERT_CFG_B_TDOOR_BCTY is undefined!"</t>
  </si>
  <si>
    <t>#if !defined(ALERT_CFG_B_TDOOR_LGCY)</t>
  </si>
  <si>
    <t>#error "alert_cfg_private.h : ALERT_CFG_B_TDOOR_LGCY is undefined!"</t>
  </si>
  <si>
    <t>#if !defined(ALERT_CFG_B_TDOOR_HDCY_BDB)</t>
  </si>
  <si>
    <t>#error "alert_cfg_private.h : ALERT_CFG_B_TDOOR_HDCY_BDB is undefined!"</t>
  </si>
  <si>
    <t>#if !defined(ALERT_CFG_B_TDOOR_RPSDWARN)</t>
  </si>
  <si>
    <t>#error "alert_cfg_private.h : ALERT_CFG_B_TDOOR_RPSDWARN is undefined!"</t>
  </si>
  <si>
    <t>#if !defined(ALERT_CFG_B_TDOOR_LPSDWARN)</t>
  </si>
  <si>
    <t>#error "alert_cfg_private.h : ALERT_CFG_B_TDOOR_LPSDWARN is undefined!"</t>
  </si>
  <si>
    <t>#if !defined(ALERT_CFG_B_TDOOR_SLP_POS)</t>
  </si>
  <si>
    <t>#error "alert_cfg_private.h : ALERT_CFG_B_TDOOR_SLP_POS is undefined!"</t>
  </si>
  <si>
    <t>/*  Literal Definitions                                                                                                              */</t>
  </si>
  <si>
    <t>#define ALERT_B_TDOOR_NUM_DST                    (15U)</t>
  </si>
  <si>
    <t>#define ALERT_B_TDOOR_STS_STOP                   (0x00U)</t>
  </si>
  <si>
    <t>#define ALERT_B_TDOOR_STS_RUN                    (0x02U)</t>
  </si>
  <si>
    <t>#define ALERT_B_TDOOR_SLP_TBL_NUM                (8U)</t>
  </si>
  <si>
    <t>/*  Macro Definitions                                                                                                                */</t>
  </si>
  <si>
    <t>/*  Type Definitions                                                                                                                 */</t>
  </si>
  <si>
    <t>/*  Variable Definitions                                                                                                             */</t>
  </si>
  <si>
    <t>static U4      u4_s_alert_b_tdoor_igoff_dspcnt;</t>
  </si>
  <si>
    <t>static U2      u2_s_alert_b_tdoor_laststs;</t>
  </si>
  <si>
    <t>static U1      u1_s_alert_b_tdoor_bdb1s01_sts;</t>
  </si>
  <si>
    <t>static U1      u1_s_alert_b_tdoor_bdb1f01_sts;</t>
  </si>
  <si>
    <t>#if (ALERT_CFG_B_TDOOR_LPSDWARN == TRUE)</t>
  </si>
  <si>
    <t>static U1      u1_s_alert_b_tdoor_drl1s03_sts;</t>
  </si>
  <si>
    <t>#endif /* (ALERT_CFG_B_TDOOR_LPSDWARN == TRUE) */</t>
  </si>
  <si>
    <t>#if (ALERT_CFG_B_TDOOR_RPSDWARN == TRUE)</t>
  </si>
  <si>
    <t>static U1      u1_s_alert_b_tdoor_drr1s03_sts;</t>
  </si>
  <si>
    <t>#endif /* (ALERT_CFG_B_TDOOR_RPSDWARN == TRUE) */</t>
  </si>
  <si>
    <t>static U1      u1_s_alert_b_tdoor_runsts;</t>
  </si>
  <si>
    <t>#if (ALERT_CFG_B_TDOOR_SLP_POS == TRUE)</t>
  </si>
  <si>
    <t>static U1      u1_s_alert_b_tdoor_slp1s01_sts;</t>
  </si>
  <si>
    <t>#endif /* (ALERT_CFG_B_TDOOR_SLP_POS == TRUE) */</t>
  </si>
  <si>
    <t>/*  Static Function Prototypes                                                                                                       */</t>
  </si>
  <si>
    <t>static U4      u4_s_AlertB_tdoorSrcchk  (const U1 u1_a_VOM, const U4 u4_a_IGN_TM, const U1 u1_a_LAS);</t>
  </si>
  <si>
    <t>static U1      u1_s_AlertB_tdoorSgnl    (const U1 u1_a_FACT);</t>
  </si>
  <si>
    <t>static U1      u1_s_AlertB_tdoorPsdSgnl (const U1 u1_a_FACT);</t>
  </si>
  <si>
    <t>static U1      u1_s_AlertB_tdoorSlpSgnl (const U1 u1_a_FACT);</t>
  </si>
  <si>
    <t>static U4      u4_s_AlertB_tdoorIgOffDsp(const U1 u1_a_VOM, const U2 u2_a_DOOR_STS);</t>
  </si>
  <si>
    <t>static U1      u1_s_AlertB_tdoorRunSts  (void);</t>
  </si>
  <si>
    <t>/*  Constant Definitions                                                                                                             */</t>
  </si>
  <si>
    <t>static const U4  u4_sp_ALERT_B_TDOOR_CRIT[ALERT_B_TDOOR_NUM_DST] = {</t>
  </si>
  <si>
    <t>    (U4)0x08000004U,                                                           /* 00 IG_OFF                                          */</t>
  </si>
  <si>
    <t>    (U4)0x08000010U,                                                           /* 01 IG_OFF                                          */</t>
  </si>
  <si>
    <t>    (U4)0x08000008U,                                                           /* 02 IG_OFF_ON                                       */</t>
  </si>
  <si>
    <t>    (U4)0x08000009U,                                                           /* 03 ON                                              */</t>
  </si>
  <si>
    <t>    (U4)0x08000020U,                                                           /* 04 IG_OFF                                          */</t>
  </si>
  <si>
    <t>    (U4)0x08000028U,                                                           /* 05 IG_OFF_ON                                       */</t>
  </si>
  <si>
    <t>    (U4)0x08000029U,                                                           /* 06 ON                                              */</t>
  </si>
  <si>
    <t>    (U4)0x10000004U,                                                           /* 07 STOP                                            */</t>
  </si>
  <si>
    <t>    (U4)0x10000006U,                                                           /* 08 RUN                                             */</t>
  </si>
  <si>
    <t>    (U4)0x10000010U,                                                           /* 09 STOP                                            */</t>
  </si>
  <si>
    <t>    (U4)0x10000012U,                                                           /* 10 RUN                                             */</t>
  </si>
  <si>
    <t>    (U4)0x10000020U,                                                           /* 11 STOP                                            */</t>
  </si>
  <si>
    <t>    (U4)0x10000022U,                                                           /* 12 RUN                                             */</t>
  </si>
  <si>
    <t>    (U4)0x10000008U,                                                           /* 13 STOP_ON                                         */</t>
  </si>
  <si>
    <t>    (U4)0x1000000AU                                                            /* 14 RUN_ON                                          */</t>
  </si>
  <si>
    <t>};</t>
  </si>
  <si>
    <t>static const U4  u4_sp_ALERT_B_TDOOR_MASK[ALERT_B_TDOOR_NUM_DST] = {</t>
  </si>
  <si>
    <t>    (U4)0x1800003DU,                                                           /* 00 IG_OFF                                          */</t>
  </si>
  <si>
    <t>    (U4)0x18000039U,                                                           /* 01 IG_OFF                                          */</t>
  </si>
  <si>
    <t>    (U4)0x18000029U,                                                           /* 02 IG_OFF_ON                                       */</t>
  </si>
  <si>
    <t>    (U4)0x18000029U,                                                           /* 03 ON                                              */</t>
  </si>
  <si>
    <t>    (U4)0x18000029U,                                                           /* 04 IG_OFF                                          */</t>
  </si>
  <si>
    <t>    (U4)0x18000029U,                                                           /* 05 IG_OFF_ON                                       */</t>
  </si>
  <si>
    <t>    (U4)0x18000029U,                                                           /* 06 ON                                              */</t>
  </si>
  <si>
    <t>    (U4)0x1000003EU,                                                           /* 07 STOP                                            */</t>
  </si>
  <si>
    <t>    (U4)0x1000003EU,                                                           /* 08 RUN                                             */</t>
  </si>
  <si>
    <t>    (U4)0x1000003AU,                                                           /* 09 STOP                                            */</t>
  </si>
  <si>
    <t>    (U4)0x1000003AU,                                                           /* 10 RUN                                             */</t>
  </si>
  <si>
    <t>    (U4)0x1000002AU,                                                           /* 11 STOP                                            */</t>
  </si>
  <si>
    <t>    (U4)0x1000002AU,                                                           /* 12 RUN                                             */</t>
  </si>
  <si>
    <t>    (U4)0x1000000AU,                                                           /* 13 STOP_ON                                         */</t>
  </si>
  <si>
    <t>static const U1  u1_sp_ALERT_B_TDOOR_DST[ALERT_B_TDOOR_NUM_DST] = {</t>
  </si>
  <si>
    <t>    (U1)ALERT_REQ_B_TDOOR_IG_OFF,                                              /* 00 IG_OFF                                          */</t>
  </si>
  <si>
    <t>    (U1)ALERT_REQ_B_TDOOR_IG_OFF,                                              /* 01 IG_OFF                                          */</t>
  </si>
  <si>
    <t>    (U1)ALERT_REQ_B_TDOOR_IG_OFF_ON,                                           /* 02 IG_OFF_ON                                       */</t>
  </si>
  <si>
    <t>    (U1)ALERT_REQ_B_TDOOR_ON,                                                  /* 03 ON                                              */</t>
  </si>
  <si>
    <t>    (U1)ALERT_REQ_B_TDOOR_IG_OFF,                                              /* 04 IG_OFF                                          */</t>
  </si>
  <si>
    <t>    (U1)ALERT_REQ_B_TDOOR_IG_OFF_ON,                                           /* 05 IG_OFF_ON                                       */</t>
  </si>
  <si>
    <t>    (U1)ALERT_REQ_B_TDOOR_ON,                                                  /* 06 ON                                              */</t>
  </si>
  <si>
    <t>    (U1)ALERT_REQ_B_TDOOR_STOP,                                                /* 07 STOP                                            */</t>
  </si>
  <si>
    <t>    (U1)ALERT_REQ_B_TDOOR_RUN,                                                 /* 08 RUN                                             */</t>
  </si>
  <si>
    <t>    (U1)ALERT_REQ_B_TDOOR_STOP,                                                /* 09 STOP                                            */</t>
  </si>
  <si>
    <t>    (U1)ALERT_REQ_B_TDOOR_RUN,                                                 /* 10 RUN                                             */</t>
  </si>
  <si>
    <t>    (U1)ALERT_REQ_B_TDOOR_STOP,                                                /* 11 STOP                                            */</t>
  </si>
  <si>
    <t>    (U1)ALERT_REQ_B_TDOOR_RUN,                                                 /* 12 RUN                                             */</t>
  </si>
  <si>
    <t>    (U1)ALERT_REQ_B_TDOOR_STOP_ON,                                             /* 13 STOP_ON                                         */</t>
  </si>
  <si>
    <t>    (U1)ALERT_REQ_B_TDOOR_RUN_ON                                               /* 14 RUN_ON                                          */</t>
  </si>
  <si>
    <t>const ST_ALERT_MTRX st_gp_ALERT_B_TDOOR_MTRX[1] = {</t>
  </si>
  <si>
    <t>    {</t>
  </si>
  <si>
    <t>        &amp;u4_s_AlertB_tdoorSrcchk,                                              /* fp_u4_SRC_CHK                                      */</t>
  </si>
  <si>
    <t>        vdp_PTR_NA,                                                            /* fp_vd_XDST                                         */</t>
  </si>
  <si>
    <t>        &amp;u4_sp_ALERT_B_TDOOR_MASK[0],                                          /* u4p_MASK                                           */</t>
  </si>
  <si>
    <t>        &amp;u4_sp_ALERT_B_TDOOR_CRIT[0],                                          /* u4p_CRIT                                           */</t>
  </si>
  <si>
    <t>        &amp;u1_sp_ALERT_B_TDOOR_DST[0],                                           /* u1p_DST                                            */</t>
  </si>
  <si>
    <t>        (U2)ALERT_B_TDOOR_NUM_DST,                                             /* u2_num_srch                                        */</t>
  </si>
  <si>
    <t>        (U1)ALERT_VOM_BAT_WT                                                   /* u1_vom_act                                         */</t>
  </si>
  <si>
    <t>    }</t>
  </si>
  <si>
    <t>/*  Function Definitions                                                                                                             */</t>
  </si>
  <si>
    <t>/*  void    vd_g_AlertB_tdoorInit(void)                                                                                              */</t>
  </si>
  <si>
    <t>/* --------------------------------------------------------------------------------------------------------------------------------- */</t>
  </si>
  <si>
    <t>/*  Arguments:      -                                                                                                                */</t>
  </si>
  <si>
    <t>/*  Return:         -                                                                                                                */</t>
  </si>
  <si>
    <t>void    vd_g_AlertB_tdoorInit(void)</t>
  </si>
  <si>
    <t>{</t>
  </si>
  <si>
    <t>    u2_s_alert_b_tdoor_laststs      = (U2)0U;</t>
  </si>
  <si>
    <t>    u4_s_alert_b_tdoor_igoff_dspcnt = (U4)0U;</t>
  </si>
  <si>
    <t>    u1_s_alert_b_tdoor_runsts       = (U1)ALERT_B_TDOOR_STS_STOP;</t>
  </si>
  <si>
    <t>    u1_s_alert_b_tdoor_bdb1s01_sts  = (U1)COM_NO_RX;</t>
  </si>
  <si>
    <t>    u1_s_alert_b_tdoor_bdb1f01_sts  = (U1)COM_NO_RX;</t>
  </si>
  <si>
    <t>    u1_s_alert_b_tdoor_drl1s03_sts  = (U1)COM_NO_RX;</t>
  </si>
  <si>
    <t>    u1_s_alert_b_tdoor_drr1s03_sts  = (U1)COM_NO_RX;</t>
  </si>
  <si>
    <t>    u1_s_alert_b_tdoor_slp1s01_sts  = (U1)COM_NO_RX;</t>
  </si>
  <si>
    <t>}</t>
  </si>
  <si>
    <t>/*  static U4      u4_s_AlertB_tdoorSrcchk(const U1 u1_a_VOM, const U4 u4_a_IGN_TM, const U1 u1_a_LAS)                               */</t>
  </si>
  <si>
    <t>static U4      u4_s_AlertB_tdoorSrcchk(const U1 u1_a_VOM, const U4 u4_a_IGN_TM, const U1 u1_a_LAS)</t>
  </si>
  <si>
    <t>    static const U4 u4_s_ALERT_B_TDOOR_BIT_SLP_OPN  = (U4)0x00000020U;</t>
  </si>
  <si>
    <t>    static const U4 u4_s_ALERT_B_TDOOR_BIT_HDCY_OPN = (U4)0x00000010U;</t>
  </si>
  <si>
    <t>    static const U4 u4_s_ALERT_B_TDOOR_BIT_DOOR_OPN = (U4)0x00000008U;</t>
  </si>
  <si>
    <t>    static const U4 u4_s_ALERT_B_TDOOR_BIT_PSD_WRN  = (U4)0x00000004U;</t>
  </si>
  <si>
    <t>    static const U1 u1_s_ALERT_B_TDOOR_MSK_HDCY_OPN = (U1)0x40U;</t>
  </si>
  <si>
    <t>    static const U1 u1_s_ALERT_B_TDOOR_MSK_DOOR_OPN = (U1)0x3FU;</t>
  </si>
  <si>
    <t>    static const U1 u1_s_ALERT_B_TDOOR_MSK_PSD_WRN  = (U1)0x03U;</t>
  </si>
  <si>
    <t>    static const U1 u1_s_ALERT_B_TDOOR_LSB_SLP_STS  = (U1)9U;</t>
  </si>
  <si>
    <t>    static const U1 u1_s_ALERT_B_TDOOR_LSB_PSD_STS  = (U1)7U;</t>
  </si>
  <si>
    <t>    static const U1 u1_s_ALERT_B_TDOOR_STS_SLP_OPN  = (U1)TRUE;</t>
  </si>
  <si>
    <t>    U4              u4_t_src_chk;</t>
  </si>
  <si>
    <t>    U2              u2_t_alldoor_sts;</t>
  </si>
  <si>
    <t>    U1              u1_t_door_sts;</t>
  </si>
  <si>
    <t>    U1              u1_t_psd_sts;</t>
  </si>
  <si>
    <t>    U1              u1_t_slp_sts;</t>
  </si>
  <si>
    <t>    U1              u1_t_fact;</t>
  </si>
  <si>
    <t>    u1_t_fact         = (U1)0U;</t>
  </si>
  <si>
    <t>    if((u1_a_VOM &amp; (U1)ALERT_VOM_IGN_OFF_WT) != (U1)0U){</t>
  </si>
  <si>
    <t>        u1_t_fact = (U1)ALERT_BRX_FACT_NO_RX;</t>
  </si>
  <si>
    <t>    u1_t_door_sts     = u1_s_AlertB_tdoorSgnl(u1_t_fact);</t>
  </si>
  <si>
    <t>    u1_t_psd_sts      = u1_s_AlertB_tdoorPsdSgnl(u1_t_fact);</t>
  </si>
  <si>
    <t>    u1_t_slp_sts      = u1_s_AlertB_tdoorSlpSgnl(u1_t_fact);</t>
  </si>
  <si>
    <t>    u2_t_alldoor_sts  = (U2)u1_t_door_sts | (U2)((U2)u1_t_psd_sts &lt;&lt; u1_s_ALERT_B_TDOOR_LSB_PSD_STS);</t>
  </si>
  <si>
    <t>    u2_t_alldoor_sts |= (U2)((U2)u1_t_slp_sts &lt;&lt; u1_s_ALERT_B_TDOOR_LSB_SLP_STS);</t>
  </si>
  <si>
    <t>    u4_t_src_chk      = u4_s_AlertB_tdoorIgOffDsp(u1_a_VOM, u2_t_alldoor_sts);</t>
  </si>
  <si>
    <t>    u4_t_src_chk     |= (U4)u1_s_AlertB_tdoorRunSts();</t>
  </si>
  <si>
    <t>    if((u1_t_door_sts &amp; u1_s_ALERT_B_TDOOR_MSK_HDCY_OPN) != (U1)0U){</t>
  </si>
  <si>
    <t>        u4_t_src_chk |= u4_s_ALERT_B_TDOOR_BIT_HDCY_OPN;</t>
  </si>
  <si>
    <t>    if((u1_t_door_sts &amp; u1_s_ALERT_B_TDOOR_MSK_DOOR_OPN) != (U1)0U){</t>
  </si>
  <si>
    <t>        u4_t_src_chk |= u4_s_ALERT_B_TDOOR_BIT_DOOR_OPN;</t>
  </si>
  <si>
    <t>    if((u1_t_psd_sts  &amp; u1_s_ALERT_B_TDOOR_MSK_PSD_WRN) != (U1)0U){</t>
  </si>
  <si>
    <t>        u4_t_src_chk |= u4_s_ALERT_B_TDOOR_BIT_PSD_WRN;</t>
  </si>
  <si>
    <t>    if(u1_t_slp_sts  == u1_s_ALERT_B_TDOOR_STS_SLP_OPN){</t>
  </si>
  <si>
    <t>        u4_t_src_chk |= u4_s_ALERT_B_TDOOR_BIT_SLP_OPN;</t>
  </si>
  <si>
    <t>    return(u4_t_src_chk);</t>
  </si>
  <si>
    <t>/*  static U1      u1_s_AlertB_tdoorSgnl(const U1 u1_a_FACT)                                                                         */</t>
  </si>
  <si>
    <t>static U1      u1_s_AlertB_tdoorSgnl(const U1 u1_a_FACT)</t>
  </si>
  <si>
    <t>    static const U2 u2_s_ALERT_B_TDOOR_TO_BDB1S01    = ((U2)3600U / (U2)TYCAN_MAIN_TICK);</t>
  </si>
  <si>
    <t>    static const U2 u2_s_ALERT_B_TDOOR_TO_BDB1F01    = ((U2)5000U / (U2)TYCAN_MAIN_TICK);</t>
  </si>
  <si>
    <t>    static const U1 u1_s_ALERT_B_TDOOR_SGNL_LSB_PCTY = (U1)1U;</t>
  </si>
  <si>
    <t>#if (ALERT_CFG_B_TDOOR_RRCY == TRUE)</t>
  </si>
  <si>
    <t>    static const U1 u1_s_ALERT_B_TDOOR_SGNL_LSB_RRCY = (U1)2U;</t>
  </si>
  <si>
    <t>#endif /* (ALERT_CFG_B_TDOOR_RRCY == TRUE) */</t>
  </si>
  <si>
    <t>#if (ALERT_CFG_B_TDOOR_RLCY == TRUE)</t>
  </si>
  <si>
    <t>    static const U1 u1_s_ALERT_B_TDOOR_SGNL_LSB_RLCY = (U1)3U;</t>
  </si>
  <si>
    <t>#endif /* (ALERT_CFG_B_TDOOR_RLCY == TRUE) */</t>
  </si>
  <si>
    <t>#if (ALERT_CFG_B_TDOOR_BCTY == TRUE)</t>
  </si>
  <si>
    <t>    static const U1 u1_s_ALERT_B_TDOOR_SGNL_LSB_BCTY = (U1)4U;</t>
  </si>
  <si>
    <t>#endif /* (ALERT_CFG_B_TDOOR_BCTY == TRUE) */</t>
  </si>
  <si>
    <t>#if (ALERT_CFG_B_TDOOR_LGCY == TRUE)</t>
  </si>
  <si>
    <t>    static const U1 u1_s_ALERT_B_TDOOR_SGNL_LSB_LGCY = (U1)5U;</t>
  </si>
  <si>
    <t>#endif /* (ALERT_CFG_B_TDOOR_LGCY == TRUE) */</t>
  </si>
  <si>
    <t>#if (ALERT_CFG_B_TDOOR_HDCY_BDB == TRUE)</t>
  </si>
  <si>
    <t>    static const U1 u1_s_ALERT_B_TDOOR_SGNL_LSB_HDCY = (U1)6U;</t>
  </si>
  <si>
    <t>#endif /* (ALERT_CFG_B_TDOOR_HDCY_BDB == TRUE) */</t>
  </si>
  <si>
    <t>    U1              u1_t_sgnl;</t>
  </si>
  <si>
    <t>    U1              u1_t_retval;</t>
  </si>
  <si>
    <t>    U1              u1_t_fact_bdb1s01;</t>
  </si>
  <si>
    <t>    U1              u1_t_fact_bdb1f01;</t>
  </si>
  <si>
    <t>    u1_t_fact_bdb1s01  = u1_g_TyCANComrxRxStat((U2)TYCAN_PDU_RX_CAN_BDB1S01,</t>
  </si>
  <si>
    <t>                                               (U2)TYCAN_COMRX_SYS_NRX_BAT | (U2)TYCAN_COMRX_SYS_TOE_BAT,</t>
  </si>
  <si>
    <t>                                               u2_s_ALERT_B_TDOOR_TO_BDB1S01) &amp; ((U1)COM_TIMEOUT | (U1)COM_NO_RX);</t>
  </si>
  <si>
    <t>    u1_t_fact_bdb1f01  = u1_g_TyCANComrxRxStat((U2)TYCAN_PDU_RX_CAN_BDB1F01,</t>
  </si>
  <si>
    <t>                                               u2_s_ALERT_B_TDOOR_TO_BDB1F01) &amp; ((U1)COM_TIMEOUT | (U1)COM_NO_RX);</t>
  </si>
  <si>
    <t>    u1_t_fact_bdb1s01 |= u1_a_FACT;</t>
  </si>
  <si>
    <t>    u1_t_fact_bdb1f01 |= u1_a_FACT;</t>
  </si>
  <si>
    <t>    vd_g_AlertBRxTrnsSts(&amp;u1_s_alert_b_tdoor_bdb1s01_sts, u1_t_fact_bdb1s01);</t>
  </si>
  <si>
    <t>    vd_g_AlertBRxTrnsSts(&amp;u1_s_alert_b_tdoor_bdb1f01_sts, u1_t_fact_bdb1f01);</t>
  </si>
  <si>
    <t>    u1_t_retval        = (U1)0U;</t>
  </si>
  <si>
    <t>    if((u1_s_alert_b_tdoor_bdb1s01_sts &amp; (U1)COM_NO_RX) == (U1)0U){</t>
  </si>
  <si>
    <t>        (void)Com_ReceiveSignal(ComConf_ComSignal_DCTY, &amp;u1_t_retval);</t>
  </si>
  <si>
    <t>        u1_t_sgnl    = (U1)0U;</t>
  </si>
  <si>
    <t>        (void)Com_ReceiveSignal(ComConf_ComSignal_PCTY, &amp;u1_t_sgnl);</t>
  </si>
  <si>
    <t>        u1_t_retval |= (U1)(u1_t_sgnl &lt;&lt; u1_s_ALERT_B_TDOOR_SGNL_LSB_PCTY);</t>
  </si>
  <si>
    <t>        (void)Com_ReceiveSignal(ComConf_ComSignal_RRCY, &amp;u1_t_sgnl);</t>
  </si>
  <si>
    <t>        u1_t_retval |= (U1)(u1_t_sgnl &lt;&lt; u1_s_ALERT_B_TDOOR_SGNL_LSB_RRCY);</t>
  </si>
  <si>
    <t>        (void)Com_ReceiveSignal(ComConf_ComSignal_RLCY, &amp;u1_t_sgnl);</t>
  </si>
  <si>
    <t>        u1_t_retval |= (U1)(u1_t_sgnl &lt;&lt; u1_s_ALERT_B_TDOOR_SGNL_LSB_RLCY);</t>
  </si>
  <si>
    <t>        (void)Com_ReceiveSignal(ComConf_ComSignal_BCTY, &amp;u1_t_sgnl);</t>
  </si>
  <si>
    <t>        u1_t_retval |= (U1)(u1_t_sgnl &lt;&lt; u1_s_ALERT_B_TDOOR_SGNL_LSB_BCTY);</t>
  </si>
  <si>
    <t>        (void)Com_ReceiveSignal(ComConf_ComSignal_LGCY, &amp;u1_t_sgnl);</t>
  </si>
  <si>
    <t>        u1_t_retval |= (U1)(u1_t_sgnl &lt;&lt; u1_s_ALERT_B_TDOOR_SGNL_LSB_LGCY);</t>
  </si>
  <si>
    <t>    if((u1_s_alert_b_tdoor_bdb1f01_sts &amp; (U1)COM_NO_RX) == (U1)0U){</t>
  </si>
  <si>
    <t>        (void)Com_ReceiveSignal(ComConf_ComSignal_HDCY_BDB, &amp;u1_t_sgnl);</t>
  </si>
  <si>
    <t>        u1_t_retval |= (U1)(u1_t_sgnl &lt;&lt; u1_s_ALERT_B_TDOOR_SGNL_LSB_HDCY);</t>
  </si>
  <si>
    <t>    return(u1_t_retval);</t>
  </si>
  <si>
    <t>/*  static U1      u1_s_AlertB_tdoorPsdSgnl(const U1 u1_a_FACT)                                                                      */</t>
  </si>
  <si>
    <t>static U1      u1_s_AlertB_tdoorPsdSgnl(const U1 u1_a_FACT)</t>
  </si>
  <si>
    <t>    static const U2 u2_s_ALERT_B_TDOOR_TO_DRL1S03    = ((U2)5000U / (U2)TYCAN_MAIN_TICK);</t>
  </si>
  <si>
    <t>    U1              u1_t_fact_drl1s03;</t>
  </si>
  <si>
    <t>    static const U2 u2_s_ALERT_B_TDOOR_TO_DRR1S03    = ((U2)5000U / (U2)TYCAN_MAIN_TICK);</t>
  </si>
  <si>
    <t>    static const U1 u1_s_ALERT_B_TDOOR_SGNL_LSB_RPSD = (U1)1U;</t>
  </si>
  <si>
    <t>    U1              u1_t_fact_drr1s03;</t>
  </si>
  <si>
    <t>#if ((ALERT_CFG_B_TDOOR_LPSDWARN == TRUE) || (ALERT_CFG_B_TDOOR_RPSDWARN == TRUE))</t>
  </si>
  <si>
    <t>#endif /* ((ALERT_CFG_B_TDOOR_LPSDWARN == TRUE) || (ALERT_CFG_B_TDOOR_RPSDWARN == TRUE)) */</t>
  </si>
  <si>
    <t>                                               u2_s_ALERT_B_TDOOR_TO_DRL1S03) &amp; ((U1)COM_TIMEOUT | (U1)COM_NO_RX);</t>
  </si>
  <si>
    <t>    u1_t_fact_drl1s03 |= u1_a_FACT;</t>
  </si>
  <si>
    <t>    u1_t_fact_drr1s03  = u1_g_TyCANComrxRxStat((U2)TYCAN_PDU_RX_CAN_DRR1S03,</t>
  </si>
  <si>
    <t>                                               u2_s_ALERT_B_TDOOR_TO_DRR1S03) &amp; ((U1)COM_TIMEOUT | (U1)COM_NO_RX);</t>
  </si>
  <si>
    <t>    u1_t_fact_drr1s03 |= u1_a_FACT;</t>
  </si>
  <si>
    <t>    vd_g_AlertBRxTrnsSts(&amp;u1_s_alert_b_tdoor_drr1s03_sts, u1_t_fact_drr1s03);</t>
  </si>
  <si>
    <t>    if((u1_s_alert_b_tdoor_drl1s03_sts &amp; (U1)COM_NO_RX) == (U1)0U){</t>
  </si>
  <si>
    <t>        (void)Com_ReceiveSignal(ComConf_ComSignal_LPSDWARN, &amp;u1_t_sgnl);</t>
  </si>
  <si>
    <t>        u1_t_retval |= u1_t_sgnl;</t>
  </si>
  <si>
    <t>    if((u1_s_alert_b_tdoor_drr1s03_sts &amp; (U1)COM_NO_RX) == (U1)0U){</t>
  </si>
  <si>
    <t>        (void)Com_ReceiveSignal(ComConf_ComSignal_RPSDWARN, &amp;u1_t_sgnl);</t>
  </si>
  <si>
    <t>        u1_t_retval |= (U1)(u1_t_sgnl &lt;&lt; u1_s_ALERT_B_TDOOR_SGNL_LSB_RPSD);</t>
  </si>
  <si>
    <t>/*  static U1      u1_s_AlertB_tdoorSlpSgnl(const U1 u1_a_FACT)                                                                      */</t>
  </si>
  <si>
    <t>static U1      u1_s_AlertB_tdoorSlpSgnl(const U1 u1_a_FACT)</t>
  </si>
  <si>
    <t>    static const U2 u2_s_ALERT_B_TDOOR_TO_SLP1S01 = ((U2)5000U / (U2)TYCAN_MAIN_TICK);</t>
  </si>
  <si>
    <t>    static const U1 u1_s_ALERT_B_TDOOR_SLP_MSK    = (U1)0x07U;</t>
  </si>
  <si>
    <t>    static const U1 u1_sp_ALERT_B_TDOOR_SLP_TBL[ALERT_B_TDOOR_SLP_TBL_NUM] = {</t>
  </si>
  <si>
    <t>        (U1)FALSE, (U1)TRUE, (U1)TRUE,  (U1)TRUE, (U1)TRUE,  (U1)TRUE, (U1)FALSE, (U1)FALSE</t>
  </si>
  <si>
    <t>    };</t>
  </si>
  <si>
    <t>    U1              u1_t_fact_slp1s01;</t>
  </si>
  <si>
    <t>    u1_t_fact_slp1s01  = u1_g_TyCANComrxRxStat((U2)TYCAN_PDU_RX_CAN_SLP1S01,</t>
  </si>
  <si>
    <t>                                               u2_s_ALERT_B_TDOOR_TO_SLP1S01) &amp; ((U1)COM_TIMEOUT | (U1)COM_NO_RX);</t>
  </si>
  <si>
    <t>    u1_t_fact_slp1s01 |= u1_a_FACT;</t>
  </si>
  <si>
    <t>    vd_g_AlertBRxTrnsSts(&amp;u1_s_alert_b_tdoor_slp1s01_sts, u1_t_fact_slp1s01);</t>
  </si>
  <si>
    <t>    if((u1_s_alert_b_tdoor_slp1s01_sts &amp; (U1)COM_NO_RX) == (U1)0U){</t>
  </si>
  <si>
    <t>        u1_t_sgnl   = (U1)0U;</t>
  </si>
  <si>
    <t>        (void)Com_ReceiveSignal(ComConf_ComSignal_SLP_POS, &amp;u1_t_sgnl);</t>
  </si>
  <si>
    <t>        u1_t_sgnl  &amp;= u1_s_ALERT_B_TDOOR_SLP_MSK;</t>
  </si>
  <si>
    <t>        u1_t_retval = u1_sp_ALERT_B_TDOOR_SLP_TBL[u1_t_sgnl];</t>
  </si>
  <si>
    <t>/*  static U4      u4_s_AlertB_tdoorIgOffDsp(const U1 u1_a_VOM, const U2 u2_a_DOOR_STS)                                              */</t>
  </si>
  <si>
    <t>static U4      u4_s_AlertB_tdoorIgOffDsp(const U1 u1_a_VOM, const U2 u2_a_DOOR_STS)</t>
  </si>
  <si>
    <t>    static const U4 u4_s_ALERT_TDOOR_IGOFF_DSPTM  = ((U4)1200000U / (U4)ALERT_MAIN_TICK);</t>
  </si>
  <si>
    <t>    static const U4 u4_s_ALERT_TDOOR_DSPCNT_RST   = (U4)1U;</t>
  </si>
  <si>
    <t>    static const U4 u4_s_ALERT_TDOOR_BIT_IGOFFCNT = (U4)0x00000001U;</t>
  </si>
  <si>
    <t>    U4              u4_t_retval;</t>
  </si>
  <si>
    <t>    u4_t_retval = (U4)0U;</t>
  </si>
  <si>
    <t>    if(((u1_a_VOM &amp; (U1)ALERT_VOM_IGN_ON) != (U1)0U) ||</t>
  </si>
  <si>
    <t>       (u2_a_DOOR_STS                     == (U2)0U)){</t>
  </si>
  <si>
    <t>        u4_s_alert_b_tdoor_igoff_dspcnt = (U4)0U;</t>
  </si>
  <si>
    <t>    else if(u2_a_DOOR_STS                 != u2_s_alert_b_tdoor_laststs){</t>
  </si>
  <si>
    <t>        u4_s_alert_b_tdoor_igoff_dspcnt = u4_s_ALERT_TDOOR_DSPCNT_RST;</t>
  </si>
  <si>
    <t>    else if(u4_s_ALERT_TDOOR_IGOFF_DSPTM  &lt;= u4_s_alert_b_tdoor_igoff_dspcnt){</t>
  </si>
  <si>
    <t>        u4_s_alert_b_tdoor_igoff_dspcnt = u4_s_ALERT_TDOOR_IGOFF_DSPTM;</t>
  </si>
  <si>
    <t>        u4_t_retval                     = u4_s_ALERT_TDOOR_BIT_IGOFFCNT;</t>
  </si>
  <si>
    <t>    else{</t>
  </si>
  <si>
    <t>        u4_s_alert_b_tdoor_igoff_dspcnt++;</t>
  </si>
  <si>
    <t>    u2_s_alert_b_tdoor_laststs = u2_a_DOOR_STS;</t>
  </si>
  <si>
    <t>    return(u4_t_retval);</t>
  </si>
  <si>
    <t>/*  static U1      u1_s_AlertB_tdoorRunSts(void)                                                                                     */</t>
  </si>
  <si>
    <t>static U1      u1_s_AlertB_tdoorRunSts(void)</t>
  </si>
  <si>
    <t>    static const U2 u2_s_ALERT_TDOOR_THRSH_RUN  = (U2)500U;</t>
  </si>
  <si>
    <t>    static const U2 u2_s_ALERT_TDOOR_THRSH_STOP = (U2)400U;</t>
  </si>
  <si>
    <t>    U2              u2_t_instspd;</t>
  </si>
  <si>
    <t>    U1              u1_t_vehspd_sts;</t>
  </si>
  <si>
    <t>    U1              u1_t_runsts;</t>
  </si>
  <si>
    <t>    u2_t_instspd    = (U2)0U;</t>
  </si>
  <si>
    <t>    u1_t_vehspd_sts = u1_g_AlertSpdKmphInst(&amp;u2_t_instspd, (U1)TRUE);</t>
  </si>
  <si>
    <t>    u1_t_runsts     = (U1)ALERT_B_TDOOR_STS_STOP;</t>
  </si>
  <si>
    <t>    if(u1_t_vehspd_sts == (U1)ALERT_SPD_STSBIT_VALID){</t>
  </si>
  <si>
    <t>        if(u2_s_ALERT_TDOOR_THRSH_RUN        &lt;= u2_t_instspd){</t>
  </si>
  <si>
    <t>            u1_t_runsts = (U1)ALERT_B_TDOOR_STS_RUN;</t>
  </si>
  <si>
    <t>        }</t>
  </si>
  <si>
    <t>        else if((u2_s_ALERT_TDOOR_THRSH_STOP &lt;  u2_t_instspd             ) &amp;&amp;</t>
  </si>
  <si>
    <t>                (u1_s_alert_b_tdoor_runsts   == (U1)ALERT_B_TDOOR_STS_RUN)){</t>
  </si>
  <si>
    <t>        else{</t>
  </si>
  <si>
    <t>            /* Do Nothing */</t>
  </si>
  <si>
    <t>    u1_s_alert_b_tdoor_runsts = u1_t_runsts;</t>
  </si>
  <si>
    <t>    return(u1_s_alert_b_tdoor_runsts);</t>
  </si>
  <si>
    <t>/*  Change History                                                                                                                   */</t>
  </si>
  <si>
    <t>/*  Version  Date        Author   Change Description                                                                                 */</t>
  </si>
  <si>
    <t>/* --------- ----------  -------  -------------------------------------------------------------------------------------------------- */</t>
  </si>
  <si>
    <t>/*  5.0.0     6/23/2021  RI       New.                                                                                               */</t>
  </si>
  <si>
    <t>/*  5.0.1     8/ 5/2021  RI       Fix QAC Warning.                                                                                   */</t>
  </si>
  <si>
    <t>/*  5.1.0     8/ 6/2021  MO       Change dlytimer thresh.                                                                            */</t>
  </si>
  <si>
    <t>/*  5.1.1     1/19/2022  YN       Update for 840B #2 CV(Version update).                                                             */</t>
  </si>
  <si>
    <t>/*  5.2.0     3/ 7/2023  MY       Change available signals to config.                                                                */</t>
  </si>
  <si>
    <t>/*  * RI   = Ren Ito, NTTD MSE                                                                                                       */</t>
  </si>
  <si>
    <t>/*  * MO   = Masayuki Oofuji, NTTD MSE                                                                                               */</t>
  </si>
  <si>
    <t>/*  * YN   = Yuma Nagahara, NTTD MSE                                                                                                 */</t>
  </si>
  <si>
    <t>/*  * MY   = Masaki Yoshizawa, NTTD MSE                                                                                              */</t>
  </si>
  <si>
    <t>コンパイルSWを削除</t>
    <rPh sb="8" eb="10">
      <t>サクジョ</t>
    </rPh>
    <phoneticPr fontId="2"/>
  </si>
  <si>
    <t>alert_B_TDOOR-CSTD-0-03-C-C5.c</t>
    <phoneticPr fontId="2"/>
  </si>
  <si>
    <t>ソフト変更方針</t>
    <rPh sb="3" eb="5">
      <t>ヘンコウ</t>
    </rPh>
    <rPh sb="5" eb="7">
      <t>ホウシン</t>
    </rPh>
    <phoneticPr fontId="2"/>
  </si>
  <si>
    <t>コンパイルSW→if文に変更</t>
    <rPh sb="10" eb="11">
      <t>ブン</t>
    </rPh>
    <rPh sb="12" eb="14">
      <t>ヘンコウ</t>
    </rPh>
    <phoneticPr fontId="2"/>
  </si>
  <si>
    <t>CAN定義無くビルドエラーが出る場合は、</t>
    <rPh sb="3" eb="5">
      <t>テイギ</t>
    </rPh>
    <rPh sb="5" eb="6">
      <t>ナ</t>
    </rPh>
    <rPh sb="14" eb="15">
      <t>デ</t>
    </rPh>
    <rPh sb="16" eb="18">
      <t>バアイ</t>
    </rPh>
    <phoneticPr fontId="2"/>
  </si>
  <si>
    <t>暫定処理でif文内に"#if 0"のコンパイルSWを追加</t>
    <rPh sb="0" eb="2">
      <t>ザンテイ</t>
    </rPh>
    <rPh sb="2" eb="4">
      <t>ショリ</t>
    </rPh>
    <rPh sb="26" eb="28">
      <t>ツイカ</t>
    </rPh>
    <phoneticPr fontId="2"/>
  </si>
  <si>
    <t>#if (ALERT_CFG_B_TDOOR_LPSDWARN == TRUE)</t>
    <phoneticPr fontId="2"/>
  </si>
  <si>
    <t>    u1_t_fact_drl1s03  = u1_g_TyCANComrxRxStat((U2)TYCAN_PDU_RX_CAN_DRL1S03,</t>
    <phoneticPr fontId="2"/>
  </si>
  <si>
    <t>    vd_g_AlertBRxTrnsSts(&amp;u1_s_alert_b_tdoor_drl1s03_sts, u1_t_fact_drl1s03);</t>
    <phoneticPr fontId="2"/>
  </si>
  <si>
    <t>コメントで検索用のキーワード「@@@provisional」を埋め込むこと</t>
    <rPh sb="5" eb="8">
      <t>ケンサクヨウ</t>
    </rPh>
    <rPh sb="31" eb="32">
      <t>ウ</t>
    </rPh>
    <rPh sb="33" eb="34">
      <t>コ</t>
    </rPh>
    <phoneticPr fontId="2"/>
  </si>
  <si>
    <t>マクロ名を変更した場合はそれに合わせてマクロ名を修正</t>
    <rPh sb="3" eb="4">
      <t>メイ</t>
    </rPh>
    <rPh sb="5" eb="7">
      <t>ヘンコウ</t>
    </rPh>
    <rPh sb="9" eb="11">
      <t>バアイ</t>
    </rPh>
    <rPh sb="15" eb="16">
      <t>ア</t>
    </rPh>
    <rPh sb="22" eb="23">
      <t>メイ</t>
    </rPh>
    <rPh sb="24" eb="26">
      <t>シュウセイ</t>
    </rPh>
    <phoneticPr fontId="2"/>
  </si>
  <si>
    <t>面企画#2 330D 量確（流用元：alert_B_TDOOR-CSTD-0-03-C-C5.xlsx）
[Matrix]
・ロケーションを更新
[Config_IF]
・19PFVer3の1品番化キャリブレーション対応に伴い以下のConfigのdefine値を変更
ALERT_CFG_B_TDOOR_RRCY
ALERT_CFG_B_TDOOR_RLCY
ALERT_CFG_B_TDOOR_BCTY
ALERT_CFG_B_TDOOR_LGCY
ALERT_CFG_B_TDOOR_HDCY_BDB
ALERT_CFG_B_TDOOR_RPSDWARN
ALERT_CFG_B_TDOOR_LPSDWARN
ALERT_CFG_B_TDOOR_SLP_POS
[Reference3]
・テルテール点消灯処理の扱いについて説明を追加
・外部参照の定数(MCUCONST)を追加
[Reference4]
・alert_B_TDOOR-CSTD-0-03-C-C5.cのコンパイルSWの削除方法の説明を追加
 (入力信号適用有無パラメータのMCUCONST対応)</t>
    <rPh sb="0" eb="1">
      <t>メン</t>
    </rPh>
    <rPh sb="1" eb="3">
      <t>キカク</t>
    </rPh>
    <rPh sb="11" eb="13">
      <t>リョウカク</t>
    </rPh>
    <rPh sb="70" eb="72">
      <t>コウシン</t>
    </rPh>
    <rPh sb="96" eb="99">
      <t>ヒンバンカ</t>
    </rPh>
    <rPh sb="108" eb="110">
      <t>タイオウ</t>
    </rPh>
    <rPh sb="111" eb="112">
      <t>トモナ</t>
    </rPh>
    <rPh sb="129" eb="130">
      <t>チ</t>
    </rPh>
    <rPh sb="131" eb="133">
      <t>ヘンコウ</t>
    </rPh>
    <rPh sb="358" eb="359">
      <t>アツカ</t>
    </rPh>
    <rPh sb="364" eb="366">
      <t>セツメイ</t>
    </rPh>
    <rPh sb="367" eb="369">
      <t>ツイカ</t>
    </rPh>
    <rPh sb="371" eb="373">
      <t>ガイブ</t>
    </rPh>
    <rPh sb="373" eb="375">
      <t>サンショウ</t>
    </rPh>
    <rPh sb="376" eb="378">
      <t>ジョウスウ</t>
    </rPh>
    <rPh sb="445" eb="447">
      <t>サクジョ</t>
    </rPh>
    <rPh sb="447" eb="449">
      <t>ホウホウ</t>
    </rPh>
    <rPh sb="450" eb="452">
      <t>セツメイ</t>
    </rPh>
    <rPh sb="453" eb="455">
      <t>ツイカ</t>
    </rPh>
    <rPh sb="458" eb="462">
      <t>ニュウリョクシンゴウ</t>
    </rPh>
    <rPh sb="462" eb="466">
      <t>テキヨウウム</t>
    </rPh>
    <rPh sb="480" eb="482">
      <t>タイオウ</t>
    </rPh>
    <phoneticPr fontId="2"/>
  </si>
  <si>
    <t>alert_B_TDOOR-CSTD-0-03-C-C5.xlsx</t>
  </si>
  <si>
    <t>DT久野高徳</t>
    <rPh sb="2" eb="6">
      <t>クノタカノリ</t>
    </rPh>
    <phoneticPr fontId="2"/>
  </si>
  <si>
    <t>DT立石一真</t>
    <rPh sb="2" eb="4">
      <t>タテイシ</t>
    </rPh>
    <rPh sb="4" eb="6">
      <t>カズマ</t>
    </rPh>
    <phoneticPr fontId="2"/>
  </si>
  <si>
    <t>/*  Copyright DENSO Corporation                                                                                                      */</t>
  </si>
  <si>
    <t>/*  Alert B_TDOOR-CSTD-0-03-C-C5                                                                                                     */</t>
  </si>
  <si>
    <t>/*                                                                                                                                   */</t>
  </si>
  <si>
    <t>/*  Version                                                                                                                          */</t>
  </si>
  <si>
    <t>#define ALERT_B_TDOOR_C_MAJOR                    (5)</t>
  </si>
  <si>
    <t>#define ALERT_B_TDOOR_C_MINOR                    (3)</t>
  </si>
  <si>
    <t>#define ALERT_B_TDOOR_C_PATCH                    (0)</t>
  </si>
  <si>
    <t>/*  Include Files                                                                                                                    */</t>
  </si>
  <si>
    <t>#include "oxcan.h"</t>
  </si>
  <si>
    <t>/*  Version Check                                                                                                                    */</t>
  </si>
  <si>
    <t>/*  Configuration Check                                                                                                              */</t>
  </si>
  <si>
    <t>#if !defined(u1_ALERT_CFG_B_TDOOR_RRCY)</t>
  </si>
  <si>
    <t>#error "alert_cfg_private.h : u1_ALERT_CFG_B_TDOOR_RRCY is undefined!"</t>
  </si>
  <si>
    <t>#if !defined(u1_ALERT_CFG_B_TDOOR_RLCY)</t>
  </si>
  <si>
    <t>#error "alert_cfg_private.h : u1_ALERT_CFG_B_TDOOR_RLCY is undefined!"</t>
  </si>
  <si>
    <t>#if !defined(u1_ALERT_CFG_B_TDOOR_BCTY)</t>
  </si>
  <si>
    <t>#error "alert_cfg_private.h : u1_ALERT_CFG_B_TDOOR_BCTY is undefined!"</t>
  </si>
  <si>
    <t>#if !defined(u1_ALERT_CFG_B_TDOOR_LGCY)</t>
  </si>
  <si>
    <t>#error "alert_cfg_private.h : u1_ALERT_CFG_B_TDOOR_LGCY is undefined!"</t>
  </si>
  <si>
    <t>#if !defined(u1_ALERT_CFG_B_TDOOR_HDCY_BDB)</t>
  </si>
  <si>
    <t>#error "alert_cfg_private.h : u1_ALERT_CFG_B_TDOOR_HDCY_BDB is undefined!"</t>
  </si>
  <si>
    <t>#if !defined(u1_ALERT_CFG_B_TDOOR_RPSDWARN)</t>
  </si>
  <si>
    <t>#error "alert_cfg_private.h : u1_ALERT_CFG_B_TDOOR_RPSDWARN is undefined!"</t>
  </si>
  <si>
    <t>#error "alert_cfg_private.h : u1_ALERT_CFG_B_TDOOR_LPSDWARN is undefined!"</t>
  </si>
  <si>
    <t>#if !defined(u1_ALERT_CFG_B_TDOOR_SLP_POS)</t>
  </si>
  <si>
    <t>#error "alert_cfg_private.h : u1_ALERT_CFG_B_TDOOR_SLP_POS is undefined!"</t>
  </si>
  <si>
    <t>/*  Literal Definitions                                                                                                              */</t>
  </si>
  <si>
    <t>#define ALERT_B_TDOOR_NUM_DST                    (15U)</t>
  </si>
  <si>
    <t>#define ALERT_B_TDOOR_STS_STOP                   (0x00U)</t>
  </si>
  <si>
    <t>#define ALERT_B_TDOOR_STS_RUN                    (0x02U)</t>
  </si>
  <si>
    <t>#define ALERT_B_TDOOR_SLP_TBL_NUM                (8U)</t>
  </si>
  <si>
    <t>/*  Macro Definitions                                                                                                                */</t>
  </si>
  <si>
    <t>/*  Type Definitions                                                                                                                 */</t>
  </si>
  <si>
    <t>/*  Variable Definitions                                                                                                             */</t>
  </si>
  <si>
    <t>static U4      u4_s_alert_b_tdoor_igoff_dspcnt;</t>
  </si>
  <si>
    <t>static U2      u2_s_alert_b_tdoor_laststs;</t>
  </si>
  <si>
    <t>static U1      u1_s_alert_b_tdoor_bdb1s01_sts;</t>
  </si>
  <si>
    <t>static U1      u1_s_alert_b_tdoor_bdb1f01_sts;</t>
  </si>
  <si>
    <t>static U1      u1_s_alert_b_tdoor_drl1s03_sts;</t>
  </si>
  <si>
    <t>static U1      u1_s_alert_b_tdoor_drr1s03_sts;</t>
  </si>
  <si>
    <t>static U1      u1_s_alert_b_tdoor_runsts;</t>
  </si>
  <si>
    <t>static U1      u1_s_alert_b_tdoor_slp1s01_sts;</t>
  </si>
  <si>
    <t>/*  Static Function Prototypes                                                                                                       */</t>
  </si>
  <si>
    <t>static U4      u4_s_AlertB_tdoorSrcchk  (const U1 u1_a_VOM, const U4 u4_a_IGN_TM, const U1 u1_a_LAS);</t>
  </si>
  <si>
    <t>static U1      u1_s_AlertB_tdoorSgnl    (const U1 u1_a_FACT);</t>
  </si>
  <si>
    <t>static U1      u1_s_AlertB_tdoorPsdSgnl (const U1 u1_a_FACT);</t>
  </si>
  <si>
    <t>static U1      u1_s_AlertB_tdoorSlpSgnl (const U1 u1_a_FACT);</t>
  </si>
  <si>
    <t>static U4      u4_s_AlertB_tdoorIgOffDsp(const U1 u1_a_VOM, const U2 u2_a_DOOR_STS);</t>
  </si>
  <si>
    <t>static U1      u1_s_AlertB_tdoorRunSts  (void);</t>
  </si>
  <si>
    <t>/*  Constant Definitions                                                                                                             */</t>
  </si>
  <si>
    <t>static const U4  u4_sp_ALERT_B_TDOOR_CRIT[ALERT_B_TDOOR_NUM_DST] = {</t>
  </si>
  <si>
    <t xml:space="preserve">    (U4)0x08000004U,                                                           /* 00 IG_OFF                                          */</t>
  </si>
  <si>
    <t xml:space="preserve">    (U4)0x08000010U,                                                           /* 01 IG_OFF                                          */</t>
  </si>
  <si>
    <t xml:space="preserve">    (U4)0x08000008U,                                                           /* 02 IG_OFF_ON                                       */</t>
  </si>
  <si>
    <t xml:space="preserve">    (U4)0x08000009U,                                                           /* 03 ON                                              */</t>
  </si>
  <si>
    <t xml:space="preserve">    (U4)0x08000020U,                                                           /* 04 IG_OFF                                          */</t>
  </si>
  <si>
    <t xml:space="preserve">    (U4)0x08000028U,                                                           /* 05 IG_OFF_ON                                       */</t>
  </si>
  <si>
    <t xml:space="preserve">    (U4)0x08000029U,                                                           /* 06 ON                                              */</t>
  </si>
  <si>
    <t xml:space="preserve">    (U4)0x10000004U,                                                           /* 07 STOP                                            */</t>
  </si>
  <si>
    <t xml:space="preserve">    (U4)0x10000006U,                                                           /* 08 RUN                                             */</t>
  </si>
  <si>
    <t xml:space="preserve">    (U4)0x10000010U,                                                           /* 09 STOP                                            */</t>
  </si>
  <si>
    <t xml:space="preserve">    (U4)0x10000012U,                                                           /* 10 RUN                                             */</t>
  </si>
  <si>
    <t xml:space="preserve">    (U4)0x10000020U,                                                           /* 11 STOP                                            */</t>
  </si>
  <si>
    <t xml:space="preserve">    (U4)0x10000022U,                                                           /* 12 RUN                                             */</t>
  </si>
  <si>
    <t xml:space="preserve">    (U4)0x10000008U,                                                           /* 13 STOP_ON                                         */</t>
  </si>
  <si>
    <t xml:space="preserve">    (U4)0x1000000AU                                                            /* 14 RUN_ON                                          */</t>
  </si>
  <si>
    <t>static const U4  u4_sp_ALERT_B_TDOOR_MASK[ALERT_B_TDOOR_NUM_DST] = {</t>
  </si>
  <si>
    <t xml:space="preserve">    (U4)0x1800003DU,                                                           /* 00 IG_OFF                                          */</t>
  </si>
  <si>
    <t xml:space="preserve">    (U4)0x18000039U,                                                           /* 01 IG_OFF                                          */</t>
  </si>
  <si>
    <t xml:space="preserve">    (U4)0x18000029U,                                                           /* 02 IG_OFF_ON                                       */</t>
  </si>
  <si>
    <t xml:space="preserve">    (U4)0x18000029U,                                                           /* 03 ON                                              */</t>
  </si>
  <si>
    <t xml:space="preserve">    (U4)0x18000029U,                                                           /* 04 IG_OFF                                          */</t>
  </si>
  <si>
    <t xml:space="preserve">    (U4)0x18000029U,                                                           /* 05 IG_OFF_ON                                       */</t>
  </si>
  <si>
    <t xml:space="preserve">    (U4)0x18000029U,                                                           /* 06 ON                                              */</t>
  </si>
  <si>
    <t xml:space="preserve">    (U4)0x1000003EU,                                                           /* 07 STOP                                            */</t>
  </si>
  <si>
    <t xml:space="preserve">    (U4)0x1000003EU,                                                           /* 08 RUN                                             */</t>
  </si>
  <si>
    <t xml:space="preserve">    (U4)0x1000003AU,                                                           /* 09 STOP                                            */</t>
  </si>
  <si>
    <t xml:space="preserve">    (U4)0x1000003AU,                                                           /* 10 RUN                                             */</t>
  </si>
  <si>
    <t xml:space="preserve">    (U4)0x1000002AU,                                                           /* 11 STOP                                            */</t>
  </si>
  <si>
    <t xml:space="preserve">    (U4)0x1000002AU,                                                           /* 12 RUN                                             */</t>
  </si>
  <si>
    <t xml:space="preserve">    (U4)0x1000000AU,                                                           /* 13 STOP_ON                                         */</t>
  </si>
  <si>
    <t>static const U1  u1_sp_ALERT_B_TDOOR_DST[ALERT_B_TDOOR_NUM_DST] = {</t>
  </si>
  <si>
    <t xml:space="preserve">    (U1)ALERT_REQ_B_TDOOR_IG_OFF,                                              /* 00 IG_OFF                                          */</t>
  </si>
  <si>
    <t xml:space="preserve">    (U1)ALERT_REQ_B_TDOOR_IG_OFF,                                              /* 01 IG_OFF                                          */</t>
  </si>
  <si>
    <t xml:space="preserve">    (U1)ALERT_REQ_B_TDOOR_IG_OFF_ON,                                           /* 02 IG_OFF_ON                                       */</t>
  </si>
  <si>
    <t xml:space="preserve">    (U1)ALERT_REQ_B_TDOOR_ON,                                                  /* 03 ON                                              */</t>
  </si>
  <si>
    <t xml:space="preserve">    (U1)ALERT_REQ_B_TDOOR_IG_OFF,                                              /* 04 IG_OFF                                          */</t>
  </si>
  <si>
    <t xml:space="preserve">    (U1)ALERT_REQ_B_TDOOR_IG_OFF_ON,                                           /* 05 IG_OFF_ON                                       */</t>
  </si>
  <si>
    <t xml:space="preserve">    (U1)ALERT_REQ_B_TDOOR_ON,                                                  /* 06 ON                                              */</t>
  </si>
  <si>
    <t xml:space="preserve">    (U1)ALERT_REQ_B_TDOOR_STOP,                                                /* 07 STOP                                            */</t>
  </si>
  <si>
    <t xml:space="preserve">    (U1)ALERT_REQ_B_TDOOR_RUN,                                                 /* 08 RUN                                             */</t>
  </si>
  <si>
    <t xml:space="preserve">    (U1)ALERT_REQ_B_TDOOR_STOP,                                                /* 09 STOP                                            */</t>
  </si>
  <si>
    <t xml:space="preserve">    (U1)ALERT_REQ_B_TDOOR_RUN,                                                 /* 10 RUN                                             */</t>
  </si>
  <si>
    <t xml:space="preserve">    (U1)ALERT_REQ_B_TDOOR_STOP,                                                /* 11 STOP                                            */</t>
  </si>
  <si>
    <t xml:space="preserve">    (U1)ALERT_REQ_B_TDOOR_RUN,                                                 /* 12 RUN                                             */</t>
  </si>
  <si>
    <t xml:space="preserve">    (U1)ALERT_REQ_B_TDOOR_STOP_ON,                                             /* 13 STOP_ON                                         */</t>
  </si>
  <si>
    <t xml:space="preserve">    (U1)ALERT_REQ_B_TDOOR_RUN_ON                                               /* 14 RUN_ON                                          */</t>
  </si>
  <si>
    <t xml:space="preserve">    {</t>
  </si>
  <si>
    <t xml:space="preserve">        &amp;u4_s_AlertB_tdoorSrcchk,                                              /* fp_u4_SRC_CHK                                      */</t>
  </si>
  <si>
    <t xml:space="preserve">        vdp_PTR_NA,                                                            /* fp_vd_XDST                                         */</t>
  </si>
  <si>
    <t xml:space="preserve">        &amp;u4_sp_ALERT_B_TDOOR_MASK[0],                                          /* u4p_MASK                                           */</t>
  </si>
  <si>
    <t xml:space="preserve">        &amp;u4_sp_ALERT_B_TDOOR_CRIT[0],                                          /* u4p_CRIT                                           */</t>
  </si>
  <si>
    <t xml:space="preserve">        &amp;u1_sp_ALERT_B_TDOOR_DST[0],                                           /* u1p_DST                                            */</t>
  </si>
  <si>
    <t xml:space="preserve">        (U2)ALERT_B_TDOOR_NUM_DST,                                             /* u2_num_srch                                        */</t>
  </si>
  <si>
    <t xml:space="preserve">        (U1)ALERT_VOM_BAT_WT                                                   /* u1_vom_act                                         */</t>
  </si>
  <si>
    <t xml:space="preserve">    }</t>
  </si>
  <si>
    <t>/*  Function Definitions                                                                                                             */</t>
  </si>
  <si>
    <t>/*  void    vd_g_AlertB_tdoorInit(void)                                                                                              */</t>
  </si>
  <si>
    <t>/*  Arguments:      -                                                                                                                */</t>
  </si>
  <si>
    <t>/*  Return:         -                                                                                                                */</t>
  </si>
  <si>
    <t>void    vd_g_AlertB_tdoorInit(void)</t>
  </si>
  <si>
    <t xml:space="preserve">    u2_s_alert_b_tdoor_laststs      = (U2)0U;</t>
  </si>
  <si>
    <t xml:space="preserve">    u4_s_alert_b_tdoor_igoff_dspcnt = (U4)0U;</t>
  </si>
  <si>
    <t xml:space="preserve">    u1_s_alert_b_tdoor_runsts       = (U1)ALERT_B_TDOOR_STS_STOP;</t>
  </si>
  <si>
    <t xml:space="preserve">    u1_s_alert_b_tdoor_bdb1s01_sts  = (U1)COM_NO_RX;</t>
  </si>
  <si>
    <t xml:space="preserve">    u1_s_alert_b_tdoor_bdb1f01_sts  = (U1)COM_NO_RX;</t>
  </si>
  <si>
    <t xml:space="preserve">    u1_s_alert_b_tdoor_drl1s03_sts  = (U1)COM_NO_RX;</t>
  </si>
  <si>
    <t xml:space="preserve">    u1_s_alert_b_tdoor_drr1s03_sts  = (U1)COM_NO_RX;</t>
  </si>
  <si>
    <t xml:space="preserve">    u1_s_alert_b_tdoor_slp1s01_sts  = (U1)COM_NO_RX;</t>
  </si>
  <si>
    <t>/*  static U4      u4_s_AlertB_tdoorSrcchk(const U1 u1_a_VOM, const U4 u4_a_IGN_TM, const U1 u1_a_LAS)                               */</t>
  </si>
  <si>
    <t xml:space="preserve">    static const U4 u4_s_ALERT_B_TDOOR_BIT_SLP_OPN  = (U4)0x00000020U;</t>
  </si>
  <si>
    <t xml:space="preserve">    static const U4 u4_s_ALERT_B_TDOOR_BIT_HDCY_OPN = (U4)0x00000010U;</t>
  </si>
  <si>
    <t xml:space="preserve">    static const U4 u4_s_ALERT_B_TDOOR_BIT_DOOR_OPN = (U4)0x00000008U;</t>
  </si>
  <si>
    <t xml:space="preserve">    static const U4 u4_s_ALERT_B_TDOOR_BIT_PSD_WRN  = (U4)0x00000004U;</t>
  </si>
  <si>
    <t xml:space="preserve">    static const U1 u1_s_ALERT_B_TDOOR_MSK_HDCY_OPN = (U1)0x40U;</t>
  </si>
  <si>
    <t xml:space="preserve">    static const U1 u1_s_ALERT_B_TDOOR_MSK_DOOR_OPN = (U1)0x3FU;</t>
  </si>
  <si>
    <t xml:space="preserve">    static const U1 u1_s_ALERT_B_TDOOR_MSK_PSD_WRN  = (U1)0x03U;</t>
  </si>
  <si>
    <t xml:space="preserve">    static const U1 u1_s_ALERT_B_TDOOR_LSB_SLP_STS  = (U1)9U;</t>
  </si>
  <si>
    <t xml:space="preserve">    static const U1 u1_s_ALERT_B_TDOOR_LSB_PSD_STS  = (U1)7U;</t>
  </si>
  <si>
    <t xml:space="preserve">    static const U1 u1_s_ALERT_B_TDOOR_STS_SLP_OPN  = (U1)TRUE;</t>
  </si>
  <si>
    <t xml:space="preserve">    U4              u4_t_src_chk;</t>
  </si>
  <si>
    <t xml:space="preserve">    U2              u2_t_alldoor_sts;</t>
  </si>
  <si>
    <t xml:space="preserve">    U1              u1_t_door_sts;</t>
  </si>
  <si>
    <t xml:space="preserve">    U1              u1_t_psd_sts;</t>
  </si>
  <si>
    <t xml:space="preserve">    U1              u1_t_slp_sts;</t>
  </si>
  <si>
    <t xml:space="preserve">    U1              u1_t_fact;</t>
  </si>
  <si>
    <t xml:space="preserve">    u1_t_fact         = (U1)0U;</t>
  </si>
  <si>
    <t xml:space="preserve">    if((u1_a_VOM &amp; (U1)ALERT_VOM_IGN_OFF_WT) != (U1)0U){</t>
  </si>
  <si>
    <t xml:space="preserve">        u1_t_fact = (U1)ALERT_BRX_FACT_NO_RX;</t>
  </si>
  <si>
    <t xml:space="preserve">    u1_t_door_sts     = u1_s_AlertB_tdoorSgnl(u1_t_fact);</t>
  </si>
  <si>
    <t xml:space="preserve">    u1_t_psd_sts      = u1_s_AlertB_tdoorPsdSgnl(u1_t_fact);</t>
  </si>
  <si>
    <t xml:space="preserve">    u1_t_slp_sts      = u1_s_AlertB_tdoorSlpSgnl(u1_t_fact);</t>
  </si>
  <si>
    <t xml:space="preserve">    u2_t_alldoor_sts  = (U2)u1_t_door_sts | (U2)((U2)u1_t_psd_sts &lt;&lt; u1_s_ALERT_B_TDOOR_LSB_PSD_STS);</t>
  </si>
  <si>
    <t xml:space="preserve">    u2_t_alldoor_sts |= (U2)((U2)u1_t_slp_sts &lt;&lt; u1_s_ALERT_B_TDOOR_LSB_SLP_STS);</t>
  </si>
  <si>
    <t xml:space="preserve">    u4_t_src_chk      = u4_s_AlertB_tdoorIgOffDsp(u1_a_VOM, u2_t_alldoor_sts);</t>
  </si>
  <si>
    <t xml:space="preserve">    u4_t_src_chk     |= (U4)u1_s_AlertB_tdoorRunSts();</t>
  </si>
  <si>
    <t xml:space="preserve">    if((u1_t_door_sts &amp; u1_s_ALERT_B_TDOOR_MSK_HDCY_OPN) != (U1)0U){</t>
  </si>
  <si>
    <t xml:space="preserve">        u4_t_src_chk |= u4_s_ALERT_B_TDOOR_BIT_HDCY_OPN;</t>
  </si>
  <si>
    <t xml:space="preserve">    if((u1_t_door_sts &amp; u1_s_ALERT_B_TDOOR_MSK_DOOR_OPN) != (U1)0U){</t>
  </si>
  <si>
    <t xml:space="preserve">        u4_t_src_chk |= u4_s_ALERT_B_TDOOR_BIT_DOOR_OPN;</t>
  </si>
  <si>
    <t xml:space="preserve">    if((u1_t_psd_sts  &amp; u1_s_ALERT_B_TDOOR_MSK_PSD_WRN) != (U1)0U){</t>
  </si>
  <si>
    <t xml:space="preserve">        u4_t_src_chk |= u4_s_ALERT_B_TDOOR_BIT_PSD_WRN;</t>
  </si>
  <si>
    <t xml:space="preserve">    if(u1_t_slp_sts  == u1_s_ALERT_B_TDOOR_STS_SLP_OPN){</t>
  </si>
  <si>
    <t xml:space="preserve">        u4_t_src_chk |= u4_s_ALERT_B_TDOOR_BIT_SLP_OPN;</t>
  </si>
  <si>
    <t xml:space="preserve">    return(u4_t_src_chk);</t>
  </si>
  <si>
    <t>/*  static U1      u1_s_AlertB_tdoorSgnl(const U1 u1_a_FACT)                                                                         */</t>
  </si>
  <si>
    <t>static U1      u1_s_AlertB_tdoorSgnl(const U1 u1_a_FACT)</t>
  </si>
  <si>
    <t xml:space="preserve">    static const U2 u2_s_ALERT_B_TDOOR_TO_BDB1S01    = ((U2)3600U / (U2)OXCAN_MAIN_TICK);</t>
  </si>
  <si>
    <t xml:space="preserve">    static const U2 u2_s_ALERT_B_TDOOR_TO_BDB1F01    = ((U2)5000U / (U2)OXCAN_MAIN_TICK);</t>
  </si>
  <si>
    <t xml:space="preserve">    static const U1 u1_s_ALERT_B_TDOOR_SGNL_LSB_PCTY = (U1)1U;</t>
  </si>
  <si>
    <t xml:space="preserve">    static const U1 u1_s_ALERT_B_TDOOR_SGNL_LSB_RRCY = (U1)2U;</t>
  </si>
  <si>
    <t xml:space="preserve">    static const U1 u1_s_ALERT_B_TDOOR_SGNL_LSB_RLCY = (U1)3U;</t>
  </si>
  <si>
    <t xml:space="preserve">    static const U1 u1_s_ALERT_B_TDOOR_SGNL_LSB_BCTY = (U1)4U;</t>
  </si>
  <si>
    <t xml:space="preserve">    static const U1 u1_s_ALERT_B_TDOOR_SGNL_LSB_LGCY = (U1)5U;</t>
  </si>
  <si>
    <t xml:space="preserve">    static const U1 u1_s_ALERT_B_TDOOR_SGNL_LSB_HDCY = (U1)6U;</t>
  </si>
  <si>
    <t xml:space="preserve">    U1              u1_t_sgnl;</t>
  </si>
  <si>
    <t xml:space="preserve">    U1              u1_t_retval;</t>
  </si>
  <si>
    <t xml:space="preserve">    U1              u1_t_fact_bdb1s01;</t>
  </si>
  <si>
    <t xml:space="preserve">    U1              u1_t_fact_bdb1f01;</t>
  </si>
  <si>
    <t xml:space="preserve">    u1_t_fact_bdb1s01  = u1_g_oXCANRxStat((U2)OXCAN_PDU_RX_CAN_BDB1S01,</t>
  </si>
  <si>
    <t xml:space="preserve">                                               (U2)OXCAN_RX_SYS_NRX_BAT | (U2)OXCAN_RX_SYS_TOE_BAT,</t>
  </si>
  <si>
    <t xml:space="preserve">                                               u2_s_ALERT_B_TDOOR_TO_BDB1S01) &amp; ((U1)COM_TIMEOUT | (U1)COM_NO_RX);</t>
  </si>
  <si>
    <t xml:space="preserve">    u1_t_fact_bdb1f01  = u1_g_oXCANRxStat((U2)OXCAN_PDU_RX_CAN_BDB1F01,</t>
  </si>
  <si>
    <t xml:space="preserve">                                               u2_s_ALERT_B_TDOOR_TO_BDB1F01) &amp; ((U1)COM_TIMEOUT | (U1)COM_NO_RX);</t>
  </si>
  <si>
    <t xml:space="preserve">    u1_t_fact_bdb1s01 |= u1_a_FACT;</t>
  </si>
  <si>
    <t xml:space="preserve">    u1_t_fact_bdb1f01 |= u1_a_FACT;</t>
  </si>
  <si>
    <t xml:space="preserve">    vd_g_AlertBRxTrnsSts(&amp;u1_s_alert_b_tdoor_bdb1s01_sts, u1_t_fact_bdb1s01);</t>
  </si>
  <si>
    <t xml:space="preserve">    vd_g_AlertBRxTrnsSts(&amp;u1_s_alert_b_tdoor_bdb1f01_sts, u1_t_fact_bdb1f01);</t>
  </si>
  <si>
    <t xml:space="preserve">    u1_t_retval        = (U1)0U;</t>
  </si>
  <si>
    <t xml:space="preserve">    if((u1_s_alert_b_tdoor_bdb1s01_sts &amp; (U1)COM_NO_RX) == (U1)0U){</t>
  </si>
  <si>
    <t xml:space="preserve">        (void)Com_ReceiveSignal(ComConf_ComSignal_DCTY, &amp;u1_t_retval);</t>
  </si>
  <si>
    <t xml:space="preserve">        u1_t_sgnl    = (U1)0U;</t>
  </si>
  <si>
    <t xml:space="preserve">        (void)Com_ReceiveSignal(ComConf_ComSignal_PCTY, &amp;u1_t_sgnl);</t>
  </si>
  <si>
    <t xml:space="preserve">        u1_t_retval |= (U1)(u1_t_sgnl &lt;&lt; u1_s_ALERT_B_TDOOR_SGNL_LSB_PCTY);</t>
  </si>
  <si>
    <t xml:space="preserve">        if(u1_ALERT_CFG_B_TDOOR_RRCY == (U1)TRUE){</t>
  </si>
  <si>
    <t xml:space="preserve">            u1_t_sgnl    = (U1)0U;</t>
  </si>
  <si>
    <t xml:space="preserve">            (void)Com_ReceiveSignal(ComConf_ComSignal_RRCY, &amp;u1_t_sgnl);</t>
  </si>
  <si>
    <t xml:space="preserve">            u1_t_retval |= (U1)(u1_t_sgnl &lt;&lt; u1_s_ALERT_B_TDOOR_SGNL_LSB_RRCY);</t>
  </si>
  <si>
    <t xml:space="preserve">        }</t>
  </si>
  <si>
    <t xml:space="preserve">        if(u1_ALERT_CFG_B_TDOOR_RLCY == (U1)TRUE){</t>
  </si>
  <si>
    <t xml:space="preserve">            (void)Com_ReceiveSignal(ComConf_ComSignal_RLCY, &amp;u1_t_sgnl);</t>
  </si>
  <si>
    <t xml:space="preserve">            u1_t_retval |= (U1)(u1_t_sgnl &lt;&lt; u1_s_ALERT_B_TDOOR_SGNL_LSB_RLCY);</t>
  </si>
  <si>
    <t xml:space="preserve">        if(u1_ALERT_CFG_B_TDOOR_BCTY == (U1)TRUE){</t>
  </si>
  <si>
    <t xml:space="preserve">            (void)Com_ReceiveSignal(ComConf_ComSignal_BCTY, &amp;u1_t_sgnl);</t>
  </si>
  <si>
    <t xml:space="preserve">            u1_t_retval |= (U1)(u1_t_sgnl &lt;&lt; u1_s_ALERT_B_TDOOR_SGNL_LSB_BCTY);</t>
  </si>
  <si>
    <t xml:space="preserve">        if(u1_ALERT_CFG_B_TDOOR_LGCY == (U1)TRUE){</t>
  </si>
  <si>
    <t xml:space="preserve">            (void)Com_ReceiveSignal(ComConf_ComSignal_LGCY, &amp;u1_t_sgnl);</t>
  </si>
  <si>
    <t xml:space="preserve">            u1_t_retval |= (U1)(u1_t_sgnl &lt;&lt; u1_s_ALERT_B_TDOOR_SGNL_LSB_LGCY);</t>
  </si>
  <si>
    <t xml:space="preserve">    if(u1_ALERT_CFG_B_TDOOR_HDCY_BDB == (U1)TRUE){</t>
  </si>
  <si>
    <t xml:space="preserve">        if((u1_s_alert_b_tdoor_bdb1f01_sts &amp; (U1)COM_NO_RX) == (U1)0U){</t>
  </si>
  <si>
    <t xml:space="preserve">            (void)Com_ReceiveSignal(ComConf_ComSignal_HDCY_BDB, &amp;u1_t_sgnl);</t>
  </si>
  <si>
    <t xml:space="preserve">            u1_t_retval |= (U1)(u1_t_sgnl &lt;&lt; u1_s_ALERT_B_TDOOR_SGNL_LSB_HDCY);</t>
  </si>
  <si>
    <t xml:space="preserve">    return(u1_t_retval);</t>
  </si>
  <si>
    <t>/*  static U1      u1_s_AlertB_tdoorPsdSgnl(const U1 u1_a_FACT)                                                                      */</t>
  </si>
  <si>
    <t xml:space="preserve">    static const U2 u2_s_ALERT_B_TDOOR_TO_DRL1S03    = ((U2)5000U / (U2)OXCAN_MAIN_TICK);</t>
  </si>
  <si>
    <t xml:space="preserve">    U1              u1_t_fact_drl1s03;</t>
  </si>
  <si>
    <t xml:space="preserve">    static const U2 u2_s_ALERT_B_TDOOR_TO_DRR1S03    = ((U2)5000U / (U2)OXCAN_MAIN_TICK);</t>
  </si>
  <si>
    <t xml:space="preserve">    static const U1 u1_s_ALERT_B_TDOOR_SGNL_LSB_RPSD = (U1)1U;</t>
  </si>
  <si>
    <t xml:space="preserve">    U1              u1_t_fact_drr1s03;</t>
  </si>
  <si>
    <t xml:space="preserve">    if(u1_ALERT_CFG_B_TDOOR_LPSDWARN == (U1)TRUE){</t>
  </si>
  <si>
    <t xml:space="preserve">        u1_t_fact_drl1s03  = u1_g_oXCANRxStat((U2)OXCAN_PDU_RX_CAN_DRL1S03,</t>
  </si>
  <si>
    <t xml:space="preserve">                                                (U2)OXCAN_RX_SYS_NRX_BAT | (U2)OXCAN_RX_SYS_TOE_BAT,</t>
  </si>
  <si>
    <t xml:space="preserve">                                                u2_s_ALERT_B_TDOOR_TO_DRL1S03) &amp; ((U1)COM_TIMEOUT | (U1)COM_NO_RX);</t>
  </si>
  <si>
    <t xml:space="preserve">        u1_t_fact_drl1s03 |= u1_a_FACT;</t>
  </si>
  <si>
    <t xml:space="preserve">        vd_g_AlertBRxTrnsSts(&amp;u1_s_alert_b_tdoor_drl1s03_sts, u1_t_fact_drl1s03);</t>
  </si>
  <si>
    <t xml:space="preserve">    if(u1_ALERT_CFG_B_TDOOR_RPSDWARN == (U1)TRUE){</t>
  </si>
  <si>
    <t xml:space="preserve">        u1_t_fact_drr1s03  = u1_g_oXCANRxStat((U2)OXCAN_PDU_RX_CAN_DRR1S03,</t>
  </si>
  <si>
    <t xml:space="preserve">                                                u2_s_ALERT_B_TDOOR_TO_DRR1S03) &amp; ((U1)COM_TIMEOUT | (U1)COM_NO_RX);</t>
  </si>
  <si>
    <t xml:space="preserve">        u1_t_fact_drr1s03 |= u1_a_FACT;</t>
  </si>
  <si>
    <t xml:space="preserve">        vd_g_AlertBRxTrnsSts(&amp;u1_s_alert_b_tdoor_drr1s03_sts, u1_t_fact_drr1s03);</t>
  </si>
  <si>
    <t xml:space="preserve">        if((u1_s_alert_b_tdoor_drl1s03_sts &amp; (U1)COM_NO_RX) == (U1)0U){</t>
  </si>
  <si>
    <t xml:space="preserve">            (void)Com_ReceiveSignal(ComConf_ComSignal_LPSDWARN, &amp;u1_t_sgnl);</t>
  </si>
  <si>
    <t xml:space="preserve">            u1_t_retval |= u1_t_sgnl;</t>
  </si>
  <si>
    <t xml:space="preserve">        if((u1_s_alert_b_tdoor_drr1s03_sts &amp; (U1)COM_NO_RX) == (U1)0U){</t>
  </si>
  <si>
    <t xml:space="preserve">            (void)Com_ReceiveSignal(ComConf_ComSignal_RPSDWARN, &amp;u1_t_sgnl);</t>
  </si>
  <si>
    <t xml:space="preserve">            u1_t_retval |= (U1)(u1_t_sgnl &lt;&lt; u1_s_ALERT_B_TDOOR_SGNL_LSB_RPSD);</t>
  </si>
  <si>
    <t>/*  static U1      u1_s_AlertB_tdoorSlpSgnl(const U1 u1_a_FACT)                                                                      */</t>
  </si>
  <si>
    <t>static U1      u1_s_AlertB_tdoorSlpSgnl(const U1 u1_a_FACT)</t>
  </si>
  <si>
    <t xml:space="preserve">    static const U2 u2_s_ALERT_B_TDOOR_TO_SLP1S01 = ((U2)5000U / (U2)OXCAN_MAIN_TICK);</t>
  </si>
  <si>
    <t xml:space="preserve">    static const U1 u1_s_ALERT_B_TDOOR_SLP_MSK    = (U1)0x07U;</t>
  </si>
  <si>
    <t xml:space="preserve">    static const U1 u1_sp_ALERT_B_TDOOR_SLP_TBL[ALERT_B_TDOOR_SLP_TBL_NUM] = {</t>
  </si>
  <si>
    <t xml:space="preserve">        (U1)FALSE, (U1)TRUE, (U1)TRUE,  (U1)TRUE, (U1)TRUE,  (U1)TRUE, (U1)FALSE, (U1)FALSE</t>
  </si>
  <si>
    <t xml:space="preserve">    };</t>
  </si>
  <si>
    <t xml:space="preserve">    U1              u1_t_fact_slp1s01;</t>
  </si>
  <si>
    <t xml:space="preserve">    if(u1_ALERT_CFG_B_TDOOR_SLP_POS == (U1)TRUE){</t>
  </si>
  <si>
    <t>#if 0 /*@@@ 19pvf CANFDItem  @@@*/</t>
  </si>
  <si>
    <t xml:space="preserve">        u1_t_fact_slp1s01  = u1_g_oXCANRxStat((U2)OXCAN_PDU_RX_CAN_SLP1S01,</t>
  </si>
  <si>
    <t xml:space="preserve">                                                u2_s_ALERT_B_TDOOR_TO_SLP1S01) &amp; ((U1)COM_TIMEOUT | (U1)COM_NO_RX);</t>
  </si>
  <si>
    <t xml:space="preserve">        u1_t_fact_slp1s01 |= u1_a_FACT;</t>
  </si>
  <si>
    <t xml:space="preserve">        vd_g_AlertBRxTrnsSts(&amp;u1_s_alert_b_tdoor_slp1s01_sts, u1_t_fact_slp1s01);</t>
  </si>
  <si>
    <t xml:space="preserve">        if((u1_s_alert_b_tdoor_slp1s01_sts &amp; (U1)COM_NO_RX) == (U1)0U){</t>
  </si>
  <si>
    <t xml:space="preserve">            u1_t_sgnl   = (U1)0U;</t>
  </si>
  <si>
    <t xml:space="preserve">            (void)Com_ReceiveSignal(ComConf_ComSignal_SLP_POS, &amp;u1_t_sgnl);</t>
  </si>
  <si>
    <t xml:space="preserve">            u1_t_sgnl  &amp;= u1_s_ALERT_B_TDOOR_SLP_MSK;</t>
  </si>
  <si>
    <t xml:space="preserve">            u1_t_retval = u1_sp_ALERT_B_TDOOR_SLP_TBL[u1_t_sgnl];</t>
  </si>
  <si>
    <t>/*  static U4      u4_s_AlertB_tdoorIgOffDsp(const U1 u1_a_VOM, const U2 u2_a_DOOR_STS)                                              */</t>
  </si>
  <si>
    <t>static U4      u4_s_AlertB_tdoorIgOffDsp(const U1 u1_a_VOM, const U2 u2_a_DOOR_STS)</t>
  </si>
  <si>
    <t xml:space="preserve">    static const U4 u4_s_ALERT_TDOOR_IGOFF_DSPTM  = ((U4)1200000U / (U4)ALERT_MAIN_TICK);</t>
  </si>
  <si>
    <t xml:space="preserve">    static const U4 u4_s_ALERT_TDOOR_DSPCNT_RST   = (U4)1U;</t>
  </si>
  <si>
    <t xml:space="preserve">    static const U4 u4_s_ALERT_TDOOR_BIT_IGOFFCNT = (U4)0x00000001U;</t>
  </si>
  <si>
    <t xml:space="preserve">    U4              u4_t_retval;</t>
  </si>
  <si>
    <t xml:space="preserve">    u4_t_retval = (U4)0U;</t>
  </si>
  <si>
    <t xml:space="preserve">    if(((u1_a_VOM &amp; (U1)ALERT_VOM_IGN_ON) != (U1)0U) ||</t>
  </si>
  <si>
    <t xml:space="preserve">       (u2_a_DOOR_STS                     == (U2)0U)){</t>
  </si>
  <si>
    <t xml:space="preserve">        u4_s_alert_b_tdoor_igoff_dspcnt = (U4)0U;</t>
  </si>
  <si>
    <t xml:space="preserve">    else if(u2_a_DOOR_STS                 != u2_s_alert_b_tdoor_laststs){</t>
  </si>
  <si>
    <t xml:space="preserve">        u4_s_alert_b_tdoor_igoff_dspcnt = u4_s_ALERT_TDOOR_DSPCNT_RST;</t>
  </si>
  <si>
    <t xml:space="preserve">    else if(u4_s_ALERT_TDOOR_IGOFF_DSPTM  &lt;= u4_s_alert_b_tdoor_igoff_dspcnt){</t>
  </si>
  <si>
    <t xml:space="preserve">        u4_s_alert_b_tdoor_igoff_dspcnt = u4_s_ALERT_TDOOR_IGOFF_DSPTM;</t>
  </si>
  <si>
    <t xml:space="preserve">        u4_t_retval                     = u4_s_ALERT_TDOOR_BIT_IGOFFCNT;</t>
  </si>
  <si>
    <t xml:space="preserve">    else{</t>
  </si>
  <si>
    <t xml:space="preserve">        u4_s_alert_b_tdoor_igoff_dspcnt++;</t>
  </si>
  <si>
    <t xml:space="preserve">    u2_s_alert_b_tdoor_laststs = u2_a_DOOR_STS;</t>
  </si>
  <si>
    <t xml:space="preserve">    return(u4_t_retval);</t>
  </si>
  <si>
    <t>/*  static U1      u1_s_AlertB_tdoorRunSts(void)                                                                                     */</t>
  </si>
  <si>
    <t>static U1      u1_s_AlertB_tdoorRunSts(void)</t>
  </si>
  <si>
    <t xml:space="preserve">    static const U2 u2_s_ALERT_TDOOR_THRSH_RUN  = (U2)500U;</t>
  </si>
  <si>
    <t xml:space="preserve">    static const U2 u2_s_ALERT_TDOOR_THRSH_STOP = (U2)400U;</t>
  </si>
  <si>
    <t xml:space="preserve">    U2              u2_t_instspd;</t>
  </si>
  <si>
    <t xml:space="preserve">    U1              u1_t_vehspd_sts;</t>
  </si>
  <si>
    <t xml:space="preserve">    U1              u1_t_runsts;</t>
  </si>
  <si>
    <t xml:space="preserve">    u2_t_instspd    = (U2)0U;</t>
  </si>
  <si>
    <t xml:space="preserve">    u1_t_vehspd_sts = u1_g_AlertSpdKmphInst(&amp;u2_t_instspd, (U1)TRUE);</t>
  </si>
  <si>
    <t xml:space="preserve">    u1_t_runsts     = (U1)ALERT_B_TDOOR_STS_STOP;</t>
  </si>
  <si>
    <t xml:space="preserve">    if(u1_t_vehspd_sts == (U1)ALERT_SPD_STSBIT_VALID){</t>
  </si>
  <si>
    <t xml:space="preserve">        if(u2_s_ALERT_TDOOR_THRSH_RUN        &lt;= u2_t_instspd){</t>
  </si>
  <si>
    <t xml:space="preserve">            u1_t_runsts = (U1)ALERT_B_TDOOR_STS_RUN;</t>
  </si>
  <si>
    <t xml:space="preserve">        else if((u2_s_ALERT_TDOOR_THRSH_STOP &lt;  u2_t_instspd             ) &amp;&amp;</t>
  </si>
  <si>
    <t xml:space="preserve">                (u1_s_alert_b_tdoor_runsts   == (U1)ALERT_B_TDOOR_STS_RUN)){</t>
  </si>
  <si>
    <t xml:space="preserve">        else{</t>
  </si>
  <si>
    <t xml:space="preserve">            /* Do Nothing */</t>
  </si>
  <si>
    <t xml:space="preserve">    u1_s_alert_b_tdoor_runsts = u1_t_runsts;</t>
  </si>
  <si>
    <t xml:space="preserve">    return(u1_s_alert_b_tdoor_runsts);</t>
  </si>
  <si>
    <t>/*  Change History                                                                                                                   */</t>
  </si>
  <si>
    <t>/*  Version  Date        Author   Change Description                                                                                 */</t>
  </si>
  <si>
    <t>/* --------- ----------  -------  -------------------------------------------------------------------------------------------------- */</t>
  </si>
  <si>
    <t>/*  5.0.0     6/23/2021  RI       New.                                                                                               */</t>
  </si>
  <si>
    <t>/*  5.0.1     8/ 5/2021  RI       Fix QAC Warning.                                                                                   */</t>
  </si>
  <si>
    <t>/*  5.1.0     8/ 6/2021  MO       Change dlytimer thresh.                                                                            */</t>
  </si>
  <si>
    <t>/*  5.1.1     1/19/2022  YN       Update for 840B #2 CV(Version update).                                                             */</t>
  </si>
  <si>
    <t>/*  5.2.0     3/ 7/2023  MY       Change available signals to config.                                                                */</t>
  </si>
  <si>
    <t>/*  5.3.0    10/24/2023  SH       Delete compile SW                                                                                  */</t>
  </si>
  <si>
    <t>/*  * RI   = Ren Ito, NTTD MSE                                                                                                       */</t>
  </si>
  <si>
    <t>/*  * MO   = Masayuki Oofuji, NTTD MSE                                                                                               */</t>
  </si>
  <si>
    <t>/*  * YN   = Yuma Nagahara, NTTD MSE                                                                                                 */</t>
  </si>
  <si>
    <t>/*  * MY   = Masaki Yoshizawa, NTTD MSE                                                                                              */</t>
  </si>
  <si>
    <t>/*  * SH   = Sae Hirose, Denso Techno                                                                                                */</t>
  </si>
  <si>
    <t>static U1      u1_s_AlertB_tdoorPsdSgnl(const U1 u1_a_FACT)</t>
    <phoneticPr fontId="2"/>
  </si>
  <si>
    <t>static U4      u4_s_AlertB_tdoorSrcchk(const U1 u1_a_VOM, const U4 u4_a_IGN_TM, const U1 u1_a_LAS)</t>
    <phoneticPr fontId="2"/>
  </si>
  <si>
    <t>/* 5.0.0 */</t>
  </si>
  <si>
    <t>/*  Alert Matrix                                                                                                                     */</t>
  </si>
  <si>
    <t>#ifndef ALERT_MTRX_CFG_H</t>
  </si>
  <si>
    <t>#define ALERT_MTRX_CFG_H</t>
  </si>
  <si>
    <t>/* Genarete File Version                                                                                                             */</t>
  </si>
  <si>
    <t>#define ALERT_MTRX_CFG_H_GENERATE                (515142646)</t>
  </si>
  <si>
    <t>#include "vardef.h"</t>
  </si>
  <si>
    <t>#include "vardef_esopt.h"</t>
  </si>
  <si>
    <t>#include "iohw_diflt.h"</t>
  </si>
  <si>
    <t>#include "vehspd_kmph.h"</t>
  </si>
  <si>
    <t>#include "engspd_rpm.h"</t>
  </si>
  <si>
    <t>#include "odo_km.h"</t>
  </si>
  <si>
    <t>#include "locale.h"</t>
  </si>
  <si>
    <t>#include "unitconvrt.h"</t>
  </si>
  <si>
    <t>#include "veh_opemd.h"</t>
  </si>
  <si>
    <t>#include "ptsctmp_cel.h"</t>
  </si>
  <si>
    <t>#include "flid_open.h"</t>
  </si>
  <si>
    <t>#include "calibration.h"</t>
  </si>
  <si>
    <t>#define ALERT_TASK_NUM_SLOT                      (5U)</t>
  </si>
  <si>
    <t>#define ALERT_CH_TICK                            (ALERT_MAIN_TICK * ALERT_TASK_NUM_SLOT)</t>
  </si>
  <si>
    <t>#define ALERT_HW_ID_B_BKEY_IGN__3P8V             (IOHW_DISGNL_IGN__3P8V)</t>
  </si>
  <si>
    <t>#define ALERT_HW_ID_B_WASLEV_WLVL                (IOHW_DISGNL_WLVL_IN)</t>
  </si>
  <si>
    <t>#define ALERT_HW_ID_C_PKBWAR_PKB                 (0xFFU)</t>
  </si>
  <si>
    <t>#define ALERT_HW_ID_C_TPKBON_PKB                 (0xFFU)</t>
  </si>
  <si>
    <t>#define ALERT_HW_ID_P_OILLEV_OIL_W               (IOHW_DISGNL_OILLVL)</t>
  </si>
  <si>
    <t>#define ALERT_HW_ID_P_OILPRE_OP_SW               (IOHW_DISGNL_OIL_P)</t>
  </si>
  <si>
    <t>#define ALERT_OPT_ID_B_PEDPRO_PUH_FLG            (VDF_ESO_CH_PEDPRO)</t>
  </si>
  <si>
    <t>#define ALERT_OPT_ID_C_BRKHLD_BHEXIST            (VDF_ESO_CH_BRKHLD)</t>
  </si>
  <si>
    <t>#define ALERT_OPT_ID_C_DRS_ARS1S90               (VDF_ESO_CH_DRS)</t>
  </si>
  <si>
    <t>#define ALERT_OPT_ID_C_EPB_EPB                   (VDF_ESO_CH_EPB)</t>
  </si>
  <si>
    <t>#define ALERT_OPT_ID_C_SLIP_VSCEXIST             (VDF_ESO_CH_VSC)</t>
  </si>
  <si>
    <t>#define ALERT_OPT_ID_C_TPMS_TPM_DISC             (VDF_ESO_CH_TPMSCHN)</t>
  </si>
  <si>
    <t>#define ALERT_OPT_ID_C_TPMS_TPM_VAR              (VDF_ESO_CH_TPMS)</t>
  </si>
  <si>
    <t>#define ALERT_OPT_ID_P_TMNT_ECORUN               (VDF_ESO_CH_ECOFLAG)</t>
  </si>
  <si>
    <t>#define ALERT_OPT_ID_S_ADAHIG_AZB_PRE            (VDF_ESO_CH_AHS)</t>
  </si>
  <si>
    <t>#define ALERT_OPT_ID_S_APP_APP_EXT               (VDF_ESO_CH_AUTOP)</t>
  </si>
  <si>
    <t>#define ALERT_OPT_ID_S_DSC_DSCEXIST              (VDF_ESO_CH_DSC)</t>
  </si>
  <si>
    <t>#define ALERT_OPT_ID_S_FCMDI_2_ACCEX             (VDF_ESO_CH_ACC)</t>
  </si>
  <si>
    <t>#define ALERT_OPT_ID_S_FCMDI_2_AHBEXIST          (VDF_ESO_CH_AHB)</t>
  </si>
  <si>
    <t>#define ALERT_OPT_ID_S_FCMDI_2_IDAEXIST          (VDF_ESO_CH_PDA)</t>
  </si>
  <si>
    <t>#define ALERT_OPT_ID_S_FCMDI_2_ISAEX             (VDF_ESO_CH_ISA)</t>
  </si>
  <si>
    <t>#define ALERT_OPT_ID_S_FCMDI_2_LCSEXIST          (VDF_ESO_CH_LCS)</t>
  </si>
  <si>
    <t>#define ALERT_OPT_ID_S_FCMDI_2_LDWEXIST          (VDF_ESO_CH_DS1_LDA)</t>
  </si>
  <si>
    <t>#define ALERT_OPT_ID_S_FCMDI_2_LTAEXIST          (VDF_ESO_CH_LTA)</t>
  </si>
  <si>
    <t>#define ALERT_OPT_ID_S_FCMDI_2_LVNEQPD           (VDF_ESO_CH_LVN)</t>
  </si>
  <si>
    <t>#define ALERT_OPT_ID_S_FCMDI_2_PCSEXIST          (VDF_ESO_CH_PCS)</t>
  </si>
  <si>
    <t>#define ALERT_OPT_ID_S_FCMDI_2_TMNSEQPD          (VDF_ESO_CH_TMN)</t>
  </si>
  <si>
    <t>#define ALERT_OPT_ID_S_FCMDI_2_TSREQPD           (VDF_ESO_CH_RSA)</t>
  </si>
  <si>
    <t>#define ALERT_OPT_ID_S_FHL_FHL_EQ                (VDF_ESO_CH_FHL)</t>
  </si>
  <si>
    <t>#define ALERT_OPT_ID_S_PSSDI_CMD_TTR             (VDF_ESO_CH_RCD)</t>
  </si>
  <si>
    <t>#define ALERT_OPT_ID_S_PSSDI_CSR_TTR             (VDF_ESO_CH_CSR_TTR)</t>
  </si>
  <si>
    <t>#define ALERT_OPT_ID_S_PSSDI_ICSEXIST            (VDF_ESO_CH_ICS)</t>
  </si>
  <si>
    <t>#define ALERT_OPT_ID_S_RSA_TSREQPD               (VDF_ESO_CH_RSA)</t>
  </si>
  <si>
    <t>#define ALERT_OPT_ID_S_RSRDI_ADDS_EQ             (VDF_ESO_CH_AVS)</t>
  </si>
  <si>
    <t>#define ALERT_OPT_ID_S_RSRDI_BSD_TTR             (VDF_ESO_CH_BSM)</t>
  </si>
  <si>
    <t>#define ALERT_OPT_ID_S_RSRDI_DOA_EQ              (VDF_ESO_CH_DOA)</t>
  </si>
  <si>
    <t>#define ALERT_OPT_ID_S_RSRDI_FHL_EQ              (VDF_ESO_CH_FHL)</t>
  </si>
  <si>
    <t>#define ALERT_OPT_ID_S_RSRDI_RCTA_EQ             (VDF_ESO_CH_RCTA)</t>
  </si>
  <si>
    <t>#define ALERT_OPT_ID_S_TINWNG_IC_EQP             (VDF_ESO_CH_INFRA)</t>
  </si>
  <si>
    <t>#define ALERT_OPT_ID_C_AVSWAR_AVSEXT             (VDF_ESO_CH_AVSEXT)</t>
  </si>
  <si>
    <t>#define ALERT_OPT_ID_D_SFTPOS_VARTRM1            (VDF_ESO_CH_MT)</t>
  </si>
  <si>
    <t>#define ALERT_CFG_B_BDOOR_RRCY                   (TRUE)</t>
  </si>
  <si>
    <t>#define ALERT_CFG_B_BDOOR_RLCY                   (TRUE)</t>
  </si>
  <si>
    <t>#define ALERT_CFG_B_BDOOR_BCTY                   (TRUE)</t>
  </si>
  <si>
    <t>#define ALERT_CFG_B_BDOOR_LGCY                   (FALSE)</t>
  </si>
  <si>
    <t>#define ALERT_CFG_B_BDOOR_HDCY_BDB               (TRUE)</t>
  </si>
  <si>
    <t>#define ALERT_CFG_B_BDOOR_RPSDWARN               (FALSE)</t>
  </si>
  <si>
    <t>#define ALERT_CFG_B_BDOOR_LPSDWARN               (FALSE)</t>
  </si>
  <si>
    <t>#define ALERT_CFG_B_BDOOR_SLP_POS                (FALSE)</t>
  </si>
  <si>
    <t>#define ALERT_B_AIRBAG_CH_NUM                    (1U)</t>
  </si>
  <si>
    <t>#define ALERT_B_ALOA_CH_NUM                      (1U)</t>
  </si>
  <si>
    <t>#define ALERT_B_AVAS_CH_NUM                      (1U)</t>
  </si>
  <si>
    <t>#define ALERT_B_BLGT_CH_NUM                      (1U)</t>
  </si>
  <si>
    <t>#define ALERT_B_BVOOPE_CH_NUM                    (1U)</t>
  </si>
  <si>
    <t>#define ALERT_B_DIGKEY_CH_NUM                    (1U)</t>
  </si>
  <si>
    <t>#define ALERT_B_FACEID_CH_NUM                    (2U)</t>
  </si>
  <si>
    <t>#define ALERT_B_PBD_CH_NUM                       (1U)</t>
  </si>
  <si>
    <t>#define ALERT_B_PERSET_CH_NUM                    (1U)</t>
  </si>
  <si>
    <t>#define ALERT_B_THEAD_CH_NUM                     (1U)</t>
  </si>
  <si>
    <t>#define ALERT_B_TRFOG_CH_NUM                     (1U)</t>
  </si>
  <si>
    <t>#define ALERT_B_TTAIL_CH_NUM                     (1U)</t>
  </si>
  <si>
    <t>#define ALERT_B_WASLEV_CH_NUM                    (1U)</t>
  </si>
  <si>
    <t>#define ALERT_O_POWMAN_CH_NUM                    (1U)</t>
  </si>
  <si>
    <t>#define ALERT_S_BZINF_CH_NUM                     (1U)</t>
  </si>
  <si>
    <t>#define ALERT_S_EDSS_CH_NUM                      (2U)</t>
  </si>
  <si>
    <t>#define ALERT_S_LCA_CH_NUM                       (7U)</t>
  </si>
  <si>
    <t>#define ALERT_S_PSSDI_CH_NUM                     (7U)</t>
  </si>
  <si>
    <t>#define ALERT_S_SCB_CH_NUM                       (1U)</t>
  </si>
  <si>
    <t>#define ALERT_S_TINFAPL_CH_NUM                   (2U)</t>
  </si>
  <si>
    <t>#define ALERT_S_TINSVS_CH_NUM                    (1U)</t>
  </si>
  <si>
    <t>#define ALERT_S_TINWNG_CH_NUM                    (1U)</t>
  </si>
  <si>
    <t>#define ALERT_B_BDOOR_CH_NUM                     (1U)</t>
  </si>
  <si>
    <t>#define ALERT_B_LEDHEA_CH_NUM                    (1U)</t>
  </si>
  <si>
    <t>#define ALERT_B_MLGT_CH_NUM                      (1U)</t>
  </si>
  <si>
    <t>#define ALERT_B_PROSRV_CH_NUM                    (4U)</t>
  </si>
  <si>
    <t>#define ALERT_B_RSEREM_CH_NUM                    (6U)</t>
  </si>
  <si>
    <t>#define ALERT_B_SMASTA_CH_NUM                    (14U)</t>
  </si>
  <si>
    <t>#define ALERT_B_TBEAM12_CH_NUM                   (1U)</t>
  </si>
  <si>
    <t>#define ALERT_B_TDOOR_CH_NUM                     (1U)</t>
  </si>
  <si>
    <t>#define ALERT_B_TPWSR_CH_NUM                     (1U)</t>
  </si>
  <si>
    <t>#define ALERT_B_TRWIP_CH_NUM                     (1U)</t>
  </si>
  <si>
    <t>#define ALERT_C_BRKBZ_CH_NUM                     (1U)</t>
  </si>
  <si>
    <t>#define ALERT_C_BRK_1_CH_NUM                     (1U)</t>
  </si>
  <si>
    <t>#define ALERT_C_BRLV_1_CH_NUM                    (2U)</t>
  </si>
  <si>
    <t>#define ALERT_C_ECB_CH_NUM                       (1U)</t>
  </si>
  <si>
    <t>#define ALERT_C_PKBWAR_CH_NUM                    (2U)</t>
  </si>
  <si>
    <t>#define ALERT_H_MAICER_CH_NUM                    (4U)</t>
  </si>
  <si>
    <t>#define ALERT_H_PEXI_CH_NUM                      (2U)</t>
  </si>
  <si>
    <t>#define ALERT_H_UNIOVE_CH_NUM                    (2U)</t>
  </si>
  <si>
    <t>#define ALERT_M_VCOPE_CH_NUM                     (1U)</t>
  </si>
  <si>
    <t>#define ALERT_O_EIGCON_CH_NUM                    (2U)</t>
  </si>
  <si>
    <t>#define ALERT_P_CHEENG_CH_NUM                    (2U)</t>
  </si>
  <si>
    <t>#define ALERT_P_OILPRE_CH_NUM                    (2U)</t>
  </si>
  <si>
    <t>#define ALERT_P_ROLAWA_CH_NUM                    (2U)</t>
  </si>
  <si>
    <t>#define ALERT_P_TMNT_CH_NUM                      (2U)</t>
  </si>
  <si>
    <t>#define ALERT_S_ADAHIG_CH_NUM                    (3U)</t>
  </si>
  <si>
    <t>#define ALERT_S_ADASTT_CH_NUM                    (6U)</t>
  </si>
  <si>
    <t>#define ALERT_S_AUTHIG_CH_NUM                    (2U)</t>
  </si>
  <si>
    <t>#define ALERT_S_BOS_CH_NUM                       (1U)</t>
  </si>
  <si>
    <t>#define ALERT_S_CLESON_CH_NUM                    (4U)</t>
  </si>
  <si>
    <t>#define ALERT_S_DSC_CH_NUM                       (1U)</t>
  </si>
  <si>
    <t>#define ALERT_S_PCS2_CH_NUM                      (2U)</t>
  </si>
  <si>
    <t>#define ALERT_S_PKSB_CH_NUM                      (2U)</t>
  </si>
  <si>
    <t>#define ALERT_S_PLUSSP_CH_NUM                    (1U)</t>
  </si>
  <si>
    <t>#define ALERT_S_RSRDI_CH_NUM                     (6U)</t>
  </si>
  <si>
    <t>#define ALERT_S_SEA_CH_NUM                       (2U)</t>
  </si>
  <si>
    <t>#define ALERT_B_PEDPRO_CH_NUM                    (1U)</t>
  </si>
  <si>
    <t>#define ALERT_C_ABS_CH_NUM                       (2U)</t>
  </si>
  <si>
    <t>#define ALERT_C_AVS_CH_NUM                       (1U)</t>
  </si>
  <si>
    <t>#define ALERT_C_BRKHLD_CH_NUM                    (4U)</t>
  </si>
  <si>
    <t>#define ALERT_C_DRIMOD_CH_NUM                    (1U)</t>
  </si>
  <si>
    <t>#define ALERT_C_DRS_CH_NUM                       (1U)</t>
  </si>
  <si>
    <t>#define ALERT_C_EPB_CH_NUM                       (4U)</t>
  </si>
  <si>
    <t>#define ALERT_C_MCBW_CH_NUM                      (1U)</t>
  </si>
  <si>
    <t>#define ALERT_C_SLIP_CH_NUM                      (1U)</t>
  </si>
  <si>
    <t>#define ALERT_C_TPKBON_CH_NUM                    (1U)</t>
  </si>
  <si>
    <t>#define ALERT_C_TPMS_CH_NUM                      (3U)</t>
  </si>
  <si>
    <t>#define ALERT_C_TRCOFF_CH_NUM                    (2U)</t>
  </si>
  <si>
    <t>#define ALERT_C_VSCOFF_CH_NUM                    (1U)</t>
  </si>
  <si>
    <t>#define ALERT_C_STEER_CH_NUM                     (4U)</t>
  </si>
  <si>
    <t>#define ALERT_D_4WDSYS_CH_NUM                    (3U)</t>
  </si>
  <si>
    <t>#define ALERT_D_ATFWRN_CH_NUM                    (1U)</t>
  </si>
  <si>
    <t>#define ALERT_H_ACCHOL_CH_NUM                    (1U)</t>
  </si>
  <si>
    <t>#define ALERT_H_ACONOF_CH_NUM                    (1U)</t>
  </si>
  <si>
    <t>#define ALERT_H_BATCOO_CH_NUM                    (2U)</t>
  </si>
  <si>
    <t>#define ALERT_H_BATLOW_CH_NUM                    (1U)</t>
  </si>
  <si>
    <t>#define ALERT_H_DRIPOW_CH_NUM                    (1U)</t>
  </si>
  <si>
    <t>#define ALERT_H_EVMOD_CH_NUM                     (3U)</t>
  </si>
  <si>
    <t>#define ALERT_H_ONACCN_CH_NUM                    (1U)</t>
  </si>
  <si>
    <t>#define ALERT_H_ONACCP_CH_NUM                    (1U)</t>
  </si>
  <si>
    <t>#define ALERT_H_REASYS_CH_NUM                    (2U)</t>
  </si>
  <si>
    <t>#define ALERT_H_RESADJ_CH_NUM                    (1U)</t>
  </si>
  <si>
    <t>#define ALERT_H_SOCLOW_CH_NUM                    (2U)</t>
  </si>
  <si>
    <t>#define ALERT_H_SYSMAL_CH_NUM                    (4U)</t>
  </si>
  <si>
    <t>#define ALERT_H_TOWWAR_CH_NUM                    (1U)</t>
  </si>
  <si>
    <t>#define ALERT_S_OTADISP_CH_NUM                   (1U)</t>
  </si>
  <si>
    <t>#define ALERT_B_GRISHU_CH_NUM                    (1U)</t>
  </si>
  <si>
    <t>#define ALERT_D_BRJT_CH_NUM                      (1U)</t>
  </si>
  <si>
    <t>#define ALERT_D_CVTOIL_CH_NUM                    (1U)</t>
  </si>
  <si>
    <t>#define ALERT_D_SBW_CH_NUM                       (17U)</t>
  </si>
  <si>
    <t>#define ALERT_H_TEVRN_CH_NUM                     (1U)</t>
  </si>
  <si>
    <t>#define ALERT_M_BGLFSPD_CH_NUM                   (1U)</t>
  </si>
  <si>
    <t>#define ALERT_M_T120_CH_NUM                      (1U)</t>
  </si>
  <si>
    <t>#define ALERT_O_CHAMAL_CH_NUM                    (1U)</t>
  </si>
  <si>
    <t>#define ALERT_P_COOTEM_CH_NUM                    (2U)</t>
  </si>
  <si>
    <t>#define ALERT_P_FUECAP_CH_NUM                    (2U)</t>
  </si>
  <si>
    <t>#define ALERT_P_GPF_CH_NUM                       (2U)</t>
  </si>
  <si>
    <t>#define ALERT_P_MFLID_CH_NUM                     (1U)</t>
  </si>
  <si>
    <t>#define ALERT_P_MILREQ_CH_NUM                    (1U)</t>
  </si>
  <si>
    <t>#define ALERT_P_OILLEV_CH_NUM                    (1U)</t>
  </si>
  <si>
    <t>#define ALERT_P_OILMIL_CH_NUM                    (1U)</t>
  </si>
  <si>
    <t>#define ALERT_P_PLACON_CH_NUM                    (1U)</t>
  </si>
  <si>
    <t>#define ALERT_S_ACC_CH_NUM                       (5U)</t>
  </si>
  <si>
    <t>#define ALERT_S_APP_CH_NUM                       (2U)</t>
  </si>
  <si>
    <t>#define ALERT_S_BSM_CH_NUM                       (1U)</t>
  </si>
  <si>
    <t>#define ALERT_S_CCS_CH_NUM                       (2U)</t>
  </si>
  <si>
    <t>#define ALERT_S_CVRS_CH_NUM                      (1U)</t>
  </si>
  <si>
    <t>#define ALERT_S_DMC_CH_NUM                       (3U)</t>
  </si>
  <si>
    <t>#define ALERT_S_FCMDI_2_CH_NUM                   (17U)</t>
  </si>
  <si>
    <t>#define ALERT_S_FCTA_CH_NUM                      (1U)</t>
  </si>
  <si>
    <t>#define ALERT_S_FHL_CH_NUM                       (1U)</t>
  </si>
  <si>
    <t>#define ALERT_S_HEAECU_CH_NUM                    (1U)</t>
  </si>
  <si>
    <t>#define ALERT_S_HEALEV_CH_NUM                    (2U)</t>
  </si>
  <si>
    <t>#define ALERT_S_ISA_CH_NUM                       (2U)</t>
  </si>
  <si>
    <t>#define ALERT_S_LDA_CH_NUM                       (4U)</t>
  </si>
  <si>
    <t>#define ALERT_S_LTA_2_CH_NUM                     (4U)</t>
  </si>
  <si>
    <t>#define ALERT_S_MWL_CH_NUM                       (2U)</t>
  </si>
  <si>
    <t>#define ALERT_S_PCS1_CH_NUM                      (6U)</t>
  </si>
  <si>
    <t>#define ALERT_S_OAA_CH_NUM                       (2U)</t>
  </si>
  <si>
    <t>#define ALERT_S_PDASET_CH_NUM                    (1U)</t>
  </si>
  <si>
    <t>#define ALERT_S_RCD_CH_NUM                       (1U)</t>
  </si>
  <si>
    <t>#define ALERT_S_RCTA_CH_NUM                      (1U)</t>
  </si>
  <si>
    <t>#define ALERT_S_RSA_CH_NUM                       (2U)</t>
  </si>
  <si>
    <t>#define ALERT_S_RTAN_CH_NUM                      (1U)</t>
  </si>
  <si>
    <t>#define ALERT_S_SWS_CH_NUM                       (2U)</t>
  </si>
  <si>
    <t>#define ALERT_S_TMN_CH_NUM                       (1U)</t>
  </si>
  <si>
    <t>#define ALERT_S_TSMODE_CH_NUM                    (1U)</t>
  </si>
  <si>
    <t>#define ALERT_S_URSM_CH_NUM                      (1U)</t>
  </si>
  <si>
    <t>#define ALERT_S_DA_CH_NUM                        (2U)</t>
  </si>
  <si>
    <t>#define ALERT_S_ITS_CH_NUM                       (4U)</t>
  </si>
  <si>
    <t>#define ALERT_S_ADTJA_CH_NUM                     (10U)</t>
  </si>
  <si>
    <t>#define ALERT_C_BRK_0_CH_NUM                     (1U)</t>
  </si>
  <si>
    <t>#define ALERT_S_FACTMD_CH_NUM                    (1U)</t>
  </si>
  <si>
    <t>#define ALERT_P_BSTMOD_CH_NUM                    (1U)</t>
  </si>
  <si>
    <t>#define ALERT_H_NLOCK_CH_NUM                     (1U)</t>
  </si>
  <si>
    <t>#define ALERT_S_AHSS_CH_NUM                      (1U)</t>
  </si>
  <si>
    <t>#define ALERT_C_AVSWAR_CH_NUM                    (1U)</t>
  </si>
  <si>
    <t>#define ALERT_D_SFTPOS_CH_NUM                    (3U)</t>
  </si>
  <si>
    <t>#define ALERT_P_OILLVG_CH_NUM                    (1U)</t>
  </si>
  <si>
    <t>#define ALERT_B_FMSEAT_CH_NUM                    (1U)</t>
  </si>
  <si>
    <t>#define ALERT_D_ASLR_CH_NUM                      (1U)</t>
  </si>
  <si>
    <t>#define ALERT_H_REGBRA_CH_NUM                    (1U)</t>
  </si>
  <si>
    <t>#define ALERT_H_BEVR_CH_NUM                      (1U)</t>
  </si>
  <si>
    <t>#define ALERT_S_ERM_CH_NUM                       (2U)</t>
  </si>
  <si>
    <t>#define ALERT_S_TLTA_CH_NUM                      (2U)</t>
  </si>
  <si>
    <t>#define ALERT_D_TATLSD_CH_NUM                    (1U)</t>
  </si>
  <si>
    <t>#define ALERT_H_SPDL_0_CH_NUM                    (3U)</t>
  </si>
  <si>
    <t>#define ALERT_B_SPAT_CH_NUM                      (1U)</t>
  </si>
  <si>
    <t>#define ALERT_P_HTGDMI_CH_NUM                    (1U)</t>
  </si>
  <si>
    <t>#define ALERT_H_EWMUP_CH_NUM                     (1U)</t>
  </si>
  <si>
    <t>#define ALERT_S_TCHAR_CH_NUM                     (2U)</t>
  </si>
  <si>
    <t>#define ALERT_D_ATMAL_CH_NUM                     (1U)</t>
  </si>
  <si>
    <t>#define ALERT_B_PBDKS_CH_NUM                     (1U)</t>
  </si>
  <si>
    <t>#define ALERT_C_BRKFD_CH_NUM                     (1U)</t>
  </si>
  <si>
    <t>#define ALERT_S_FRADAR_CH_NUM                    (1U)</t>
  </si>
  <si>
    <t>#define ALERT_H_FSIND_CH_NUM                     (1U)</t>
  </si>
  <si>
    <t>#define ALERT_S_PMAR_CH_NUM                      (3U)</t>
  </si>
  <si>
    <t>#define ALERT_H_BATINS_CH_NUM                    (2U)</t>
  </si>
  <si>
    <t>#define ALERT_S_FRRADA_CH_NUM                    (3U)</t>
  </si>
  <si>
    <t>#define ALERT_H_LEAUNF_CH_NUM                    (2U)</t>
  </si>
  <si>
    <t>#define ALERT_P_CHADYN_CH_NUM                    (1U)</t>
  </si>
  <si>
    <t>#define ALERT_H_THEVM_CH_NUM                     (2U)</t>
  </si>
  <si>
    <t>#define ALERT_S_MAPACC_CH_NUM                    (1U)</t>
  </si>
  <si>
    <t>#define ALERT_P_PLOCK_CH_NUM                     (1U)</t>
  </si>
  <si>
    <t>#define ALERT_B_TFFOG_CH_NUM                     (1U)</t>
  </si>
  <si>
    <t>#define ALERT_C_OFRMDL_CH_NUM                    (1U)</t>
  </si>
  <si>
    <t>#define ALERT_B_THESEN_CH_NUM                    (1U)</t>
  </si>
  <si>
    <t>#define ALERT_P_TECOLP2_CH_NUM                   (1U)</t>
  </si>
  <si>
    <t>#define ALERT_H_SBMMAL_CH_NUM                    (1U)</t>
  </si>
  <si>
    <t>#define ALERT_H_ACDCSUP_CH_NUM                   (1U)</t>
  </si>
  <si>
    <t>#define ALERT_M_MINDSPWR_CH_NUM                  (1U)</t>
  </si>
  <si>
    <t>#define ALERT_H_XMDRJT_CH_NUM                    (2U)</t>
  </si>
  <si>
    <t>#define ALERT_H_XMODE_CH_NUM                     (2U)</t>
  </si>
  <si>
    <t>#define ALERT_B_BKEY_CH_NUM                      (1U)</t>
  </si>
  <si>
    <t>#define ALERT_C_DAC_CH_NUM                       (2U)</t>
  </si>
  <si>
    <t>#define ALERT_B_ESWUOC_CH_NUM                    (4U)</t>
  </si>
  <si>
    <t>#define ALERT_H_XMGRIP_CH_NUM                    (4U)</t>
  </si>
  <si>
    <t>#define ALERT_P_STOSTA_CH_NUM                    (5U)</t>
  </si>
  <si>
    <t>#define ALERT_H_CHGCON_CH_NUM                    (1U)</t>
  </si>
  <si>
    <t>#define ALERT_H_TVPSOF_CH_NUM                    (1U)</t>
  </si>
  <si>
    <t>#define ALERT_B_ALOA2_CH_NUM                     (1U)</t>
  </si>
  <si>
    <t>#define ALERT_D_TMWRN_CH_NUM                     (1U)</t>
  </si>
  <si>
    <t>#define ALERT_H_BATREF_CH_NUM                    (1U)</t>
  </si>
  <si>
    <t>#define ALERT_B_RPWSEA_CH_NUM                    (1U)</t>
  </si>
  <si>
    <t>#define ALERT_H_TCBM_CH_NUM                      (1U)</t>
  </si>
  <si>
    <t>#define ALERT_B_PCL_CH_NUM                       (1U)</t>
  </si>
  <si>
    <t>#define ALERT_B_EXTSEA_CH_NUM                    (1U)</t>
  </si>
  <si>
    <t>#define ALERT_D_LAUNCH_CH_NUM                    (1U)</t>
  </si>
  <si>
    <t>#define ALERT_H_MYROOM_CH_NUM                    (2U)</t>
  </si>
  <si>
    <t>#define ALERT_C_VSCEXP_CH_NUM                    (2U)</t>
  </si>
  <si>
    <t>#define ALERT_P_ENGLIM_CH_NUM                    (1U)</t>
  </si>
  <si>
    <t>#define ALERT_H_PRECON_CH_NUM                    (1U)</t>
  </si>
  <si>
    <t>#define ALERT_H_MANBEV_CH_NUM                    (1U)</t>
  </si>
  <si>
    <t>#define ALERT_P_TENGW_CH_NUM                     (1U)</t>
  </si>
  <si>
    <t>#define ALERT_H_QUICHA_CH_NUM                    (4U)</t>
  </si>
  <si>
    <t>#define ALERT_SPD_STSBIT_VALID                   (VEHSPD_STSBIT_VALID)</t>
  </si>
  <si>
    <t>#define ALERT_SPD_STSBIT_UNKNOWN                 (VEHSPD_STSBIT_UNKNOWN)</t>
  </si>
  <si>
    <t>#define ALERT_SPD_STSBIT_INVALID                 (VEHSPD_STSBIT_INVALID)</t>
  </si>
  <si>
    <t>#define ALERT_SPD_FLUCT_DECR                     (VEHSPD_FLUCT_DECR)</t>
  </si>
  <si>
    <t>#define ALERT_RPM_STSBIT_UNKNOWN                 (ENGSPD_STSBIT_UNKNOWN)</t>
  </si>
  <si>
    <t>#define ALERT_RPM_STSBIT_VALID                   (ENGSPD_STSBIT_VALID)</t>
  </si>
  <si>
    <t>#define ALERT_RPM_STSBIT_INVALID                 (ENGSPD_STSBIT_INVALID)</t>
  </si>
  <si>
    <t>#define ALERT_ODO_STSBIT_VALID                   (ODO_STSBIT_VALID)</t>
  </si>
  <si>
    <t>#define ALERT_UNIT_VAL_DIST_KM                   (UNIT_VAL_DIST_KM)</t>
  </si>
  <si>
    <t>#define ALERT_UNIT_VAL_DIST_MILE                 (UNIT_VAL_DIST_MILE)</t>
  </si>
  <si>
    <t>#define ALERT_UNIT_IDX_DIST                      (UNIT_IDX_DIST)</t>
  </si>
  <si>
    <t>#define ALERT_PTS_INV_ON                         (VEH_OPEMD_PTS_INV_ON)</t>
  </si>
  <si>
    <t>#define ALERT_PTS_INV_LAS                        (VEH_OPEMD_PTS_INV_LAS)</t>
  </si>
  <si>
    <t>#define ALERT_PTSCTMP_STSBIT_VALID               (PTSCTMP_STSBIT_VALID)</t>
  </si>
  <si>
    <t>#define ALERT_PTSCTMP_STSBIT_UNKNOWN             (PTSCTMP_STSBIT_UNKNOWN)</t>
  </si>
  <si>
    <t>#define ALERT_PTSCTMP_STSBIT_INVALID             (PTSCTMP_STSBIT_INVALID)</t>
  </si>
  <si>
    <t>#define ALERT_PTSCTMP_STSBIT_WTSW_HI             (PTSCTMP_STSBIT_WTSW_HI)</t>
  </si>
  <si>
    <t>#define ALERT_PTSCTMP_STSBIT_WTSW_OP             (PTSCTMP_STSBIT_WTSW_OP)</t>
  </si>
  <si>
    <t>#define ALERT_PTSCTMP_CEL_OFFSET                 (PTSCTMP_CEL_OFFSET)</t>
  </si>
  <si>
    <t>#define ALERT_ESOPT_NUM_GR                       (VDF_ESO_NOW_AVA)</t>
  </si>
  <si>
    <t>#define ALERT_PTSYS_0F_UNK                       (VDF_PTS_RX_0F_UNK)</t>
  </si>
  <si>
    <t>#define ALERT_PTSYS_1F_NRX                       (VDF_PTS_RX_1F_NRX)</t>
  </si>
  <si>
    <t>#define ALERT_STEER_VD_PTSYS_UNDEF               (VDF_PTS_RX_00_UNK)</t>
  </si>
  <si>
    <t>#define ALERT_STEER_VD_PTSYS_HV                  (VDF_PTS_RX_03_HYB)</t>
  </si>
  <si>
    <t>#define ALERT_STEER_VD_PTSYS_PHV                 (VDF_PTS_RX_04_HYB_PLU)</t>
  </si>
  <si>
    <t>#define ALERT_STEER_VD_PTSYS_EV                  (VDF_PTS_RX_05_ELE_BAT)</t>
  </si>
  <si>
    <t>#define ALERT_STEER_VD_PTSYS_HV_MOT              (VDF_PTS_RX_06_HYB_MOT)</t>
  </si>
  <si>
    <t>#define ALERT_STEER_VD_PTSYS_FCV                 (VDF_PTS_RX_07_ELE_HYD)</t>
  </si>
  <si>
    <t>#define ALERT_ENGTYPE_CAN_IOHW_INVALID           (0x00U)</t>
  </si>
  <si>
    <t>#define ALERT_ENGTYPE_CAN_VALID                  (0x01U)</t>
  </si>
  <si>
    <t>#define ALERT_ENGTYPE_IOHW_VALID                 (0x02U)</t>
  </si>
  <si>
    <t>#define ALERT_ENGTYPE_CAN_IOHW_VALID             (0x03U)</t>
  </si>
  <si>
    <t>#define ALERT_SHIFT_BZ_REV_DEST_JPN              (VDF_BZ_REV_JPN)</t>
  </si>
  <si>
    <t>#define ALERT_SHIFT_BZ_REV_SOUNDTYPE_IN          (VDF_DS_2E_SBWC2_IN)</t>
  </si>
  <si>
    <t>#define u1_g_AlertSpdKmphBiased(u2_ap_kmph, u1_a_BC)                (u1_g_VehspdKmphBiased(u2_ap_kmph, u1_a_BC))</t>
  </si>
  <si>
    <t>#define u1_g_AlertSpdKmphInst(u2_ap_kmph, u1_a_OW_EN)               (u1_g_VehspdKmphInst(u2_ap_kmph, u1_a_OW_EN))</t>
  </si>
  <si>
    <t>#define u1_g_AlertSpdFluctStat()                                    (u1_g_VehspdFluctStat())</t>
  </si>
  <si>
    <t>#define u1_g_AlertEngspdRpmInst(u2p_a_rpm)                          (u1_g_EngspdRpmInst(u2p_a_rpm))</t>
  </si>
  <si>
    <t>#define u4_g_AlertUnitconvtrKmtoMi(x)                               (u4_g_UnitconvtrKmtoMi(x))</t>
  </si>
  <si>
    <t>#define u1_g_AlertUnit(u1_a_IDX)                                    (u1_g_Unit(u1_a_IDX))</t>
  </si>
  <si>
    <t>#define u1_g_AlertPtsOn(u1_a_INV)                                   (u1_g_VehopemdPtsOn(u1_a_INV))</t>
  </si>
  <si>
    <t>#define u1_g_AlertPtsys()                                           (u1_g_VardefPtsRx())</t>
  </si>
  <si>
    <t>#define u1_g_AlertPtsysSteer()                                      (u1_g_VardefPtsRxSteer())</t>
  </si>
  <si>
    <t>#define u1_g_AlertEsOptAvailable(u2_a_CH)                           (u1_g_VardefEsOptAvaByCh(u2_a_CH))</t>
  </si>
  <si>
    <t>#define u1_g_AlertFLidopenMsgRqst()                                 (u1_g_FLidopenMsgRqst())</t>
  </si>
  <si>
    <t>#define u1_g_AlertOillvSw()                                         (u1_g_VardefOillvSw())</t>
  </si>
  <si>
    <t>#define u1_g_AlertShiftSbwFunc()                                    (u1_g_VardefEsOptAvaByCh((U2)VDF_ESO_CH_SBW))</t>
  </si>
  <si>
    <t>#define u4_g_AlertRevBzrSoundType()                                 (u4_g_VardefDs2E_Las32((U2)VDF_DS_2E_20C2))</t>
  </si>
  <si>
    <t>#define u1_g_AlertRevBzrDest()                                      (u1_g_VardefBzRevDstByPid())</t>
  </si>
  <si>
    <t>#define u1_g_AlertCfgP_tmntOdoTripKm(u4p)                           (u1_g_OdoTripKm((U1)ODO_TRIP_CH_OM, (u4p)))</t>
  </si>
  <si>
    <t>#define u1_g_AlertCfgP_tmntOdoKm(u4p)                               (u1_g_OdoKm((u4p)))</t>
  </si>
  <si>
    <t>#define vd_g_AlertCfgS_fcmdi2VardefEsOpt(u4_ap_esopt)               (vd_g_VardefEsOptAva((u4_ap_esopt), (U1)VDF_ESO_NOW_AVA))</t>
  </si>
  <si>
    <t>#define u1_g_AlertCfgTAILIsEnable()                                 ((U1)TRUE)</t>
  </si>
  <si>
    <t>#define u1_g_AlertCfgRFOGIsEnable()                                 ((U1)TRUE)</t>
  </si>
  <si>
    <t>#define u1_g_AlertCfgHEDLIsEnable()                                 ((U1)TRUE)</t>
  </si>
  <si>
    <t>#define u1_g_AlertCfgIdlstp()                                       ((U1)FALSE)</t>
  </si>
  <si>
    <t>#define u1_g_AlertCfgEcomodeOn()                                    ((U1)FALSE)</t>
  </si>
  <si>
    <t>#define u1_g_AlertCfgTMntIsEnable()                                 (u1_g_VardefTmntOpt())</t>
  </si>
  <si>
    <t>#define u1_g_AlertCfgNCLMTIsEnable()                                ((U1)TRUE)</t>
  </si>
  <si>
    <t>#define u1_g_AlertCfgDCRCKDSPIsEnable()                             ((U1)TRUE)</t>
  </si>
  <si>
    <t>#define u1_ALERT_CFG_B_TDOOR_RRCY                                   (u1_CALIB_MCUID0209_RRCYM)</t>
  </si>
  <si>
    <t>#define u1_ALERT_CFG_B_TDOOR_RLCY                                   (u1_CALIB_MCUID0210_RLCYM)</t>
  </si>
  <si>
    <t>#define u1_ALERT_CFG_B_TDOOR_BCTY                                   (u1_CALIB_MCUID0211_BCTYM)</t>
  </si>
  <si>
    <t>#define u1_ALERT_CFG_B_TDOOR_LGCY                                   (u1_CALIB_MCUID0212_LGCYM)</t>
  </si>
  <si>
    <t>#define u1_ALERT_CFG_B_TDOOR_HDCY_BDB                               (u1_CALIB_MCUID0213_HDCY_BDBM)</t>
  </si>
  <si>
    <t>#define u1_ALERT_CFG_B_TDOOR_LPSDWARN                               (u1_CALIB_MCUID0215_LPSDWARNM)</t>
  </si>
  <si>
    <t>#define u1_ALERT_CFG_B_TDOOR_SLP_POS                                (u1_CALIB_MCUID0216_SLP_POS)</t>
  </si>
  <si>
    <t>/*  Variable Externs                                                                                                                 */</t>
  </si>
  <si>
    <t>/*  Function Prototypes                                                                                                              */</t>
  </si>
  <si>
    <t>/* Provided  */</t>
  </si>
  <si>
    <t>void    vd_g_AlertB_blgtInit(void);</t>
  </si>
  <si>
    <t>void    vd_g_AlertB_bvoopeInit(void);</t>
  </si>
  <si>
    <t>void    vd_g_AlertB_faceidInit(void);</t>
  </si>
  <si>
    <t>void    vd_g_AlertB_pbdInit(void);</t>
  </si>
  <si>
    <t>void    vd_g_AlertB_persetInit(void);</t>
  </si>
  <si>
    <t>void    vd_g_AlertB_theadInit(void);</t>
  </si>
  <si>
    <t>void    vd_g_AlertB_trfogInit(void);</t>
  </si>
  <si>
    <t>void    vd_g_AlertB_ttailInit(void);</t>
  </si>
  <si>
    <t>void    vd_g_AlertB_waslevInit(void);</t>
  </si>
  <si>
    <t>void    vd_g_AlertO_powmanInit(void);</t>
  </si>
  <si>
    <t>void    vd_g_AlertB_bdoorInit(void);</t>
  </si>
  <si>
    <t>void    vd_g_AlertB_mlgtInit(void);</t>
  </si>
  <si>
    <t>void    vd_g_AlertB_prosrvInit(void);</t>
  </si>
  <si>
    <t>void    vd_g_AlertB_rseremInit(void);</t>
  </si>
  <si>
    <t>void    vd_g_AlertB_smastaInit(void);</t>
  </si>
  <si>
    <t>void    vd_g_AlertB_tbeam12Init(void);</t>
  </si>
  <si>
    <t>void    vd_g_AlertB_tdoorInit(void);</t>
  </si>
  <si>
    <t>void    vd_g_AlertB_tpwsrInit(void);</t>
  </si>
  <si>
    <t>void    vd_g_AlertC_brkbzInit(void);</t>
  </si>
  <si>
    <t>void    vd_g_AlertC_brlv_1Init(void);</t>
  </si>
  <si>
    <t>void    vd_g_AlertC_pkbwarInit(void);</t>
  </si>
  <si>
    <t>void    vd_g_AlertO_eigconInit(void);</t>
  </si>
  <si>
    <t>void    vd_g_AlertP_oilpreInit(void);</t>
  </si>
  <si>
    <t>void    vd_g_AlertP_tmntInit(void);</t>
  </si>
  <si>
    <t>void    vd_g_AlertS_clesonInit(void);</t>
  </si>
  <si>
    <t>void    vd_g_AlertS_seaInit(void);</t>
  </si>
  <si>
    <t>void    vd_g_AlertC_epbInit(void);</t>
  </si>
  <si>
    <t>void    vd_g_AlertC_steerInit(void);</t>
  </si>
  <si>
    <t>void    vd_g_AlertD_sbwInit(void);</t>
  </si>
  <si>
    <t>void    vd_g_AlertH_tevrnInit(void);</t>
  </si>
  <si>
    <t>void    vd_g_AlertM_bglfspdInit(void);</t>
  </si>
  <si>
    <t>void    vd_g_AlertP_oillevInit(void);</t>
  </si>
  <si>
    <t>void    vd_g_AlertC_brk_0Init(void);</t>
  </si>
  <si>
    <t>void    vd_g_AlertD_sftposInit(void);</t>
  </si>
  <si>
    <t>void    vd_g_AlertB_fmseatInit(void);</t>
  </si>
  <si>
    <t>void    vd_g_AlertB_pbdksInit(void);</t>
  </si>
  <si>
    <t>void    vd_g_AlertB_tffogInit(void);</t>
  </si>
  <si>
    <t>void    vd_g_AlertB_thesenInit(void);</t>
  </si>
  <si>
    <t>void    vd_g_AlertH_acdcsupInit(void);</t>
  </si>
  <si>
    <t>void    vd_g_AlertM_mindspwrInit(void);</t>
  </si>
  <si>
    <t>void    vd_g_AlertB_bkeyInit(void);</t>
  </si>
  <si>
    <t>void    vd_g_AlertB_eswuocInit(void);</t>
  </si>
  <si>
    <t>void    vd_g_AlertH_tvpsofInit(void);</t>
  </si>
  <si>
    <t>void    vd_g_AlertB_aloa2Init(void);</t>
  </si>
  <si>
    <t>void    vd_g_AlertH_batrefInit(void);</t>
  </si>
  <si>
    <t>void    vd_g_AlertP_cootemInit(void);</t>
  </si>
  <si>
    <t>void    vd_g_AlertH_quichaInit(void);</t>
  </si>
  <si>
    <t>/* Required  */</t>
  </si>
  <si>
    <t>/* U1    u1_g_VehspdKmphBiased(U2 * u2_ap_kmph, const U1 u1_a_BC);   */</t>
  </si>
  <si>
    <t>/* U1    u1_g_VehspdKmphInst(U2 * u2_ap_kmph, const U1 u1_a_OW_EN);  */</t>
  </si>
  <si>
    <t>/* U1    u1_g_VehspdFluctStat(void);                                 */</t>
  </si>
  <si>
    <t>/* U1    u1_g_EngspdRpmInst(U2 * u2p_a_rpm);                         */</t>
  </si>
  <si>
    <t>/* U4    u4_g_UnitconvtrKmtoMi(x);                                   */</t>
  </si>
  <si>
    <t>/* U1    u1_g_Unit(const U1 u1_a_IDX);                               */</t>
  </si>
  <si>
    <t>/* U1    u1_g_VehopemdPtsOn(const U1 u1_a_INV);                      */</t>
  </si>
  <si>
    <t>/* U1    u1_g_VardefPtsRx(void);                                     */</t>
  </si>
  <si>
    <t>/* U1    u1_g_VardefEsOptAvaByCh(const U2 u2_a_CH);                  */</t>
  </si>
  <si>
    <t>/* U1    u1_g_VardefOilPressSw(void);                                */</t>
  </si>
  <si>
    <t>/* U1    u1_g_FLidopenMsgRqst(void);                                 */</t>
  </si>
  <si>
    <t>/* U1    u1_g_VardefOillvSw(void);                                   */</t>
  </si>
  <si>
    <t>/* U1    u1_g_AlertCfgP_tmntOdoTripKm(U4 * u4p_a_0p001km);           */</t>
  </si>
  <si>
    <t>/* void  vd_g_AlertCfgS_fcmdi2VardefEsOpt(U4 * u4_ap_esopt);         */</t>
  </si>
  <si>
    <t>/* U1    u1_g_AlertCfgS_TinwngIsOpt(void);                           */</t>
  </si>
  <si>
    <t>/* U1    u1_g_AlertCfgTAILIsEnable(void)                             */</t>
  </si>
  <si>
    <t>/* U1    u1_g_AlertCfgRFOGIsEnable(void)                             */</t>
  </si>
  <si>
    <t>/* U1    u1_g_AlertCfgHEDLIsEnable(void)                             */</t>
  </si>
  <si>
    <t>/* U1    u1_g_AlertCfgIdlstp(void)                                   */</t>
  </si>
  <si>
    <t>/* U1    u1_g_AlertCfgEcomodeOn(void)                                */</t>
  </si>
  <si>
    <t>U1      u1_g_AlertCfgOilrpm(U2 * u2p_a_Rpm);               /* Return : IOHW/CAN Valid/Invalid                */</t>
  </si>
  <si>
    <t>U1      u1_g_AlertCfgPtsctmpCelFltrd(U2 * u2p_a_0p01cel);  /* Return : VALID/INVALID/UNKNOWN/WTSW_HI/WTSW_OP */</t>
  </si>
  <si>
    <t>U1      u1_g_AlertCfgPtsctmpCelInst(U2 * u2p_a_0p01cel);   /* Return : VALID/INVALID/UNKNOWN                 */</t>
  </si>
  <si>
    <t>U1      u1_g_AlertCfgS_cvrsAdds(U1 * u1p_a_rprt, U1 * u1p_a_sfty);  /* Return : VALID/UNKNOWN/INVALID/UNKNOWN&amp;INVALID */</t>
  </si>
  <si>
    <t>U1      u1_g_AlertCfgC_brk_0IsTmode(void);                 /* Return : TRUE/FALSE                            */</t>
  </si>
  <si>
    <t>U2      u2_g_AlertCfgC_brk_0EngineRPMVal(void);            /* Return : Engine RPM data                       */</t>
  </si>
  <si>
    <t>U1      u1_g_AlertCfgP_mflid_FlidCalibJdg(void);           /* Return : OPEN/CLOSE/WAIT/UNKNOWN               */</t>
  </si>
  <si>
    <t>U1      u1_g_AlertCfgH_tevrnIsEnable(void);                /* Return : TRUE/FALSE                            */</t>
  </si>
  <si>
    <t>U1      u1_g_AlertCfgGetCalibU1DataNumChk(const U1 u1_a_CALIBID, const U1 u1_a_NUM, const U1 u1_a_DEF); /* Return : Calib data       */</t>
  </si>
  <si>
    <t>/*  Constant Externs                                                                                                                 */</t>
  </si>
  <si>
    <t>extern const ST_ALERT_MTRX         st_gp_ALERT_B_AIRBAG_MTRX[ALERT_B_AIRBAG_CH_NUM];</t>
  </si>
  <si>
    <t>extern const ST_ALERT_MTRX         st_gp_ALERT_B_ALOA_MTRX[ALERT_B_ALOA_CH_NUM];</t>
  </si>
  <si>
    <t>extern const ST_ALERT_MTRX         st_gp_ALERT_B_AVAS_MTRX[ALERT_B_AVAS_CH_NUM];</t>
  </si>
  <si>
    <t>extern const ST_ALERT_MTRX         st_gp_ALERT_B_BLGT_MTRX[ALERT_B_BLGT_CH_NUM];</t>
  </si>
  <si>
    <t>extern const ST_ALERT_MTRX         st_gp_ALERT_B_BVOOPE_MTRX[ALERT_B_BVOOPE_CH_NUM];</t>
  </si>
  <si>
    <t>extern const ST_ALERT_MTRX         st_gp_ALERT_B_DIGKEY_MTRX[ALERT_B_DIGKEY_CH_NUM];</t>
  </si>
  <si>
    <t>extern const ST_ALERT_MTRX         st_gp_ALERT_B_FACEID_MTRX[ALERT_B_FACEID_CH_NUM];</t>
  </si>
  <si>
    <t>extern const ST_ALERT_MTRX         st_gp_ALERT_B_PBD_MTRX[ALERT_B_PBD_CH_NUM];</t>
  </si>
  <si>
    <t>extern const ST_ALERT_MTRX         st_gp_ALERT_B_PERSET_MTRX[ALERT_B_PERSET_CH_NUM];</t>
  </si>
  <si>
    <t>extern const ST_ALERT_MTRX         st_gp_ALERT_B_THEAD_MTRX[ALERT_B_THEAD_CH_NUM];</t>
  </si>
  <si>
    <t>extern const ST_ALERT_MTRX         st_gp_ALERT_B_TRFOG_MTRX[ALERT_B_TRFOG_CH_NUM];</t>
  </si>
  <si>
    <t>extern const ST_ALERT_MTRX         st_gp_ALERT_B_TTAIL_MTRX[ALERT_B_TTAIL_CH_NUM];</t>
  </si>
  <si>
    <t>extern const ST_ALERT_MTRX         st_gp_ALERT_B_WASLEV_MTRX[ALERT_B_WASLEV_CH_NUM];</t>
  </si>
  <si>
    <t>extern const ST_ALERT_MTRX         st_gp_ALERT_O_POWMAN_MTRX[ALERT_O_POWMAN_CH_NUM];</t>
  </si>
  <si>
    <t>extern const ST_ALERT_MTRX         st_gp_ALERT_S_BZINF_MTRX[ALERT_S_BZINF_CH_NUM];</t>
  </si>
  <si>
    <t>extern const ST_ALERT_MTRX         st_gp_ALERT_S_EDSS_MTRX[ALERT_S_EDSS_CH_NUM];</t>
  </si>
  <si>
    <t>extern const ST_ALERT_MTRX         st_gp_ALERT_S_LCA_MTRX[ALERT_S_LCA_CH_NUM];</t>
  </si>
  <si>
    <t>extern const ST_ALERT_MTRX         st_gp_ALERT_S_PSSDI_MTRX[ALERT_S_PSSDI_CH_NUM];</t>
  </si>
  <si>
    <t>extern const ST_ALERT_MTRX         st_gp_ALERT_S_SCB_MTRX[ALERT_S_SCB_CH_NUM];</t>
  </si>
  <si>
    <t>extern const ST_ALERT_MTRX         st_gp_ALERT_S_TINFAPL_MTRX[ALERT_S_TINFAPL_CH_NUM];</t>
  </si>
  <si>
    <t>extern const ST_ALERT_MTRX         st_gp_ALERT_S_TINSVS_MTRX[ALERT_S_TINSVS_CH_NUM];</t>
  </si>
  <si>
    <t>extern const ST_ALERT_MTRX         st_gp_ALERT_S_TINWNG_MTRX[ALERT_S_TINWNG_CH_NUM];</t>
  </si>
  <si>
    <t>extern const ST_ALERT_MTRX         st_gp_ALERT_B_BDOOR_MTRX[ALERT_B_BDOOR_CH_NUM];</t>
  </si>
  <si>
    <t>extern const ST_ALERT_MTRX         st_gp_ALERT_B_LEDHEA_MTRX[ALERT_B_LEDHEA_CH_NUM];</t>
  </si>
  <si>
    <t>extern const ST_ALERT_MTRX         st_gp_ALERT_B_MLGT_MTRX[ALERT_B_MLGT_CH_NUM];</t>
  </si>
  <si>
    <t>extern const ST_ALERT_MTRX         st_gp_ALERT_B_PROSRV_MTRX[ALERT_B_PROSRV_CH_NUM];</t>
  </si>
  <si>
    <t>extern const ST_ALERT_MTRX         st_gp_ALERT_B_RSEREM_MTRX[ALERT_B_RSEREM_CH_NUM];</t>
  </si>
  <si>
    <t>extern const ST_ALERT_MTRX         st_gp_ALERT_B_SMASTA_MTRX[ALERT_B_SMASTA_CH_NUM];</t>
  </si>
  <si>
    <t>extern const ST_ALERT_MTRX         st_gp_ALERT_B_TBEAM12_MTRX[ALERT_B_TBEAM12_CH_NUM];</t>
  </si>
  <si>
    <t>extern const ST_ALERT_MTRX         st_gp_ALERT_B_TDOOR_MTRX[ALERT_B_TDOOR_CH_NUM];</t>
  </si>
  <si>
    <t>extern const ST_ALERT_MTRX         st_gp_ALERT_B_TPWSR_MTRX[ALERT_B_TPWSR_CH_NUM];</t>
  </si>
  <si>
    <t>extern const ST_ALERT_MTRX         st_gp_ALERT_B_TRWIP_MTRX[ALERT_B_TRWIP_CH_NUM];</t>
  </si>
  <si>
    <t>extern const ST_ALERT_MTRX         st_gp_ALERT_C_BRKBZ_MTRX[ALERT_C_BRKBZ_CH_NUM];</t>
  </si>
  <si>
    <t>extern const ST_ALERT_MTRX         st_gp_ALERT_C_BRK_1_MTRX[ALERT_C_BRK_1_CH_NUM];</t>
  </si>
  <si>
    <t>extern const ST_ALERT_MTRX         st_gp_ALERT_C_BRLV_1_MTRX[ALERT_C_BRLV_1_CH_NUM];</t>
  </si>
  <si>
    <t>extern const ST_ALERT_MTRX         st_gp_ALERT_C_ECB_MTRX[ALERT_C_ECB_CH_NUM];</t>
  </si>
  <si>
    <t>extern const ST_ALERT_MTRX         st_gp_ALERT_C_PKBWAR_MTRX[ALERT_C_PKBWAR_CH_NUM];</t>
  </si>
  <si>
    <t>extern const ST_ALERT_MTRX         st_gp_ALERT_H_MAICER_MTRX[ALERT_H_MAICER_CH_NUM];</t>
  </si>
  <si>
    <t>extern const ST_ALERT_MTRX         st_gp_ALERT_H_PEXI_MTRX[ALERT_H_PEXI_CH_NUM];</t>
  </si>
  <si>
    <t>extern const ST_ALERT_MTRX         st_gp_ALERT_H_UNIOVE_MTRX[ALERT_H_UNIOVE_CH_NUM];</t>
  </si>
  <si>
    <t>extern const ST_ALERT_MTRX         st_gp_ALERT_M_VCOPE_MTRX[ALERT_M_VCOPE_CH_NUM];</t>
  </si>
  <si>
    <t>extern const ST_ALERT_MTRX         st_gp_ALERT_O_EIGCON_MTRX[ALERT_O_EIGCON_CH_NUM];</t>
  </si>
  <si>
    <t>extern const ST_ALERT_MTRX         st_gp_ALERT_P_CHEENG_MTRX[ALERT_P_CHEENG_CH_NUM];</t>
  </si>
  <si>
    <t>extern const ST_ALERT_MTRX         st_gp_ALERT_P_OILPRE_MTRX[ALERT_P_OILPRE_CH_NUM];</t>
  </si>
  <si>
    <t>extern const ST_ALERT_MTRX         st_gp_ALERT_P_ROLAWA_MTRX[ALERT_P_ROLAWA_CH_NUM];</t>
  </si>
  <si>
    <t>extern const ST_ALERT_MTRX         st_gp_ALERT_P_TMNT_MTRX[ALERT_P_TMNT_CH_NUM];</t>
  </si>
  <si>
    <t>extern const ST_ALERT_MTRX         st_gp_ALERT_S_ADAHIG_MTRX[ALERT_S_ADAHIG_CH_NUM];</t>
  </si>
  <si>
    <t>extern const ST_ALERT_MTRX         st_gp_ALERT_S_ADASTT_MTRX[ALERT_S_ADASTT_CH_NUM];</t>
  </si>
  <si>
    <t>extern const ST_ALERT_MTRX         st_gp_ALERT_S_AUTHIG_MTRX[ALERT_S_AUTHIG_CH_NUM];</t>
  </si>
  <si>
    <t>extern const ST_ALERT_MTRX         st_gp_ALERT_S_BOS_MTRX[ALERT_S_BOS_CH_NUM];</t>
  </si>
  <si>
    <t>extern const ST_ALERT_MTRX         st_gp_ALERT_S_CLESON_MTRX[ALERT_S_CLESON_CH_NUM];</t>
  </si>
  <si>
    <t>extern const ST_ALERT_MTRX         st_gp_ALERT_S_DSC_MTRX[ALERT_S_DSC_CH_NUM];</t>
  </si>
  <si>
    <t>extern const ST_ALERT_MTRX         st_gp_ALERT_S_PCS2_MTRX[ALERT_S_PCS2_CH_NUM];</t>
  </si>
  <si>
    <t>extern const ST_ALERT_MTRX         st_gp_ALERT_S_PKSB_MTRX[ALERT_S_PKSB_CH_NUM];</t>
  </si>
  <si>
    <t>extern const ST_ALERT_MTRX         st_gp_ALERT_S_PLUSSP_MTRX[ALERT_S_PLUSSP_CH_NUM];</t>
  </si>
  <si>
    <t>extern const ST_ALERT_MTRX         st_gp_ALERT_S_RSRDI_MTRX[ALERT_S_RSRDI_CH_NUM];</t>
  </si>
  <si>
    <t>extern const ST_ALERT_MTRX         st_gp_ALERT_S_SEA_MTRX[ALERT_S_SEA_CH_NUM];</t>
  </si>
  <si>
    <t>extern const ST_ALERT_MTRX         st_gp_ALERT_B_PEDPRO_MTRX[ALERT_B_PEDPRO_CH_NUM];</t>
  </si>
  <si>
    <t>extern const ST_ALERT_MTRX         st_gp_ALERT_C_ABS_MTRX[ALERT_C_ABS_CH_NUM];</t>
  </si>
  <si>
    <t>extern const ST_ALERT_MTRX         st_gp_ALERT_C_AVS_MTRX[ALERT_C_AVS_CH_NUM];</t>
  </si>
  <si>
    <t>extern const ST_ALERT_MTRX         st_gp_ALERT_C_BRKHLD_MTRX[ALERT_C_BRKHLD_CH_NUM];</t>
  </si>
  <si>
    <t>extern const ST_ALERT_MTRX         st_gp_ALERT_C_DRIMOD_MTRX[ALERT_C_DRIMOD_CH_NUM];</t>
  </si>
  <si>
    <t>extern const ST_ALERT_MTRX         st_gp_ALERT_C_DRS_MTRX[ALERT_C_DRS_CH_NUM];</t>
  </si>
  <si>
    <t>extern const ST_ALERT_MTRX         st_gp_ALERT_C_EPB_MTRX[ALERT_C_EPB_CH_NUM];</t>
  </si>
  <si>
    <t>extern const ST_ALERT_MTRX         st_gp_ALERT_C_MCBW_MTRX[ALERT_C_MCBW_CH_NUM];</t>
  </si>
  <si>
    <t>extern const ST_ALERT_MTRX         st_gp_ALERT_C_SLIP_MTRX[ALERT_C_SLIP_CH_NUM];</t>
  </si>
  <si>
    <t>extern const ST_ALERT_MTRX         st_gp_ALERT_C_TPKBON_MTRX[ALERT_C_TPKBON_CH_NUM];</t>
  </si>
  <si>
    <t>extern const ST_ALERT_MTRX         st_gp_ALERT_C_TPMS_MTRX[ALERT_C_TPMS_CH_NUM];</t>
  </si>
  <si>
    <t>extern const ST_ALERT_MTRX         st_gp_ALERT_C_TRCOFF_MTRX[ALERT_C_TRCOFF_CH_NUM];</t>
  </si>
  <si>
    <t>extern const ST_ALERT_MTRX         st_gp_ALERT_C_VSCOFF_MTRX[ALERT_C_VSCOFF_CH_NUM];</t>
  </si>
  <si>
    <t>extern const ST_ALERT_MTRX         st_gp_ALERT_C_STEER_MTRX[ALERT_C_STEER_CH_NUM];</t>
  </si>
  <si>
    <t>extern const ST_ALERT_MTRX         st_gp_ALERT_D_4WDSYS_MTRX[ALERT_D_4WDSYS_CH_NUM];</t>
  </si>
  <si>
    <t>extern const ST_ALERT_MTRX         st_gp_ALERT_D_ATFWRN_MTRX[ALERT_D_ATFWRN_CH_NUM];</t>
  </si>
  <si>
    <t>extern const ST_ALERT_MTRX         st_gp_ALERT_H_ACCHOL_MTRX[ALERT_H_ACCHOL_CH_NUM];</t>
  </si>
  <si>
    <t>extern const ST_ALERT_MTRX         st_gp_ALERT_H_ACONOF_MTRX[ALERT_H_ACONOF_CH_NUM];</t>
  </si>
  <si>
    <t>extern const ST_ALERT_MTRX         st_gp_ALERT_H_BATCOO_MTRX[ALERT_H_BATCOO_CH_NUM];</t>
  </si>
  <si>
    <t>extern const ST_ALERT_MTRX         st_gp_ALERT_H_BATLOW_MTRX[ALERT_H_BATLOW_CH_NUM];</t>
  </si>
  <si>
    <t>extern const ST_ALERT_MTRX         st_gp_ALERT_H_DRIPOW_MTRX[ALERT_H_DRIPOW_CH_NUM];</t>
  </si>
  <si>
    <t>extern const ST_ALERT_MTRX         st_gp_ALERT_H_EVMOD_MTRX[ALERT_H_EVMOD_CH_NUM];</t>
  </si>
  <si>
    <t>extern const ST_ALERT_MTRX         st_gp_ALERT_H_ONACCN_MTRX[ALERT_H_ONACCN_CH_NUM];</t>
  </si>
  <si>
    <t>extern const ST_ALERT_MTRX         st_gp_ALERT_H_ONACCP_MTRX[ALERT_H_ONACCP_CH_NUM];</t>
  </si>
  <si>
    <t>extern const ST_ALERT_MTRX         st_gp_ALERT_H_REASYS_MTRX[ALERT_H_REASYS_CH_NUM];</t>
  </si>
  <si>
    <t>extern const ST_ALERT_MTRX         st_gp_ALERT_H_RESADJ_MTRX[ALERT_H_RESADJ_CH_NUM];</t>
  </si>
  <si>
    <t>extern const ST_ALERT_MTRX         st_gp_ALERT_H_SOCLOW_MTRX[ALERT_H_SOCLOW_CH_NUM];</t>
  </si>
  <si>
    <t>extern const ST_ALERT_MTRX         st_gp_ALERT_H_SYSMAL_MTRX[ALERT_H_SYSMAL_CH_NUM];</t>
  </si>
  <si>
    <t>extern const ST_ALERT_MTRX         st_gp_ALERT_H_TOWWAR_MTRX[ALERT_H_TOWWAR_CH_NUM];</t>
  </si>
  <si>
    <t>extern const ST_ALERT_MTRX         st_gp_ALERT_S_OTADISP_MTRX[ALERT_S_OTADISP_CH_NUM];</t>
  </si>
  <si>
    <t>extern const ST_ALERT_MTRX         st_gp_ALERT_B_GRISHU_MTRX[ALERT_B_GRISHU_CH_NUM];</t>
  </si>
  <si>
    <t>extern const ST_ALERT_MTRX         st_gp_ALERT_D_BRJT_MTRX[ALERT_D_BRJT_CH_NUM];</t>
  </si>
  <si>
    <t>extern const ST_ALERT_MTRX         st_gp_ALERT_D_CVTOIL_MTRX[ALERT_D_CVTOIL_CH_NUM];</t>
  </si>
  <si>
    <t>extern const ST_ALERT_MTRX         st_gp_ALERT_D_SBW_MTRX[ALERT_D_SBW_CH_NUM];</t>
  </si>
  <si>
    <t>extern const ST_ALERT_MTRX         st_gp_ALERT_H_TEVRN_MTRX[ALERT_H_TEVRN_CH_NUM];</t>
  </si>
  <si>
    <t>extern const ST_ALERT_MTRX         st_gp_ALERT_M_BGLFSPD_MTRX[ALERT_M_BGLFSPD_CH_NUM];</t>
  </si>
  <si>
    <t>extern const ST_ALERT_MTRX         st_gp_ALERT_M_T120_MTRX[ALERT_M_T120_CH_NUM];</t>
  </si>
  <si>
    <t>extern const ST_ALERT_MTRX         st_gp_ALERT_O_CHAMAL_MTRX[ALERT_O_CHAMAL_CH_NUM];</t>
  </si>
  <si>
    <t>extern const ST_ALERT_MTRX         st_gp_ALERT_P_COOTEM_MTRX[ALERT_P_COOTEM_CH_NUM];</t>
  </si>
  <si>
    <t>extern const ST_ALERT_MTRX         st_gp_ALERT_P_FUECAP_MTRX[ALERT_P_FUECAP_CH_NUM];</t>
  </si>
  <si>
    <t>extern const ST_ALERT_MTRX         st_gp_ALERT_P_GPF_MTRX[ALERT_P_GPF_CH_NUM];</t>
  </si>
  <si>
    <t>extern const ST_ALERT_MTRX         st_gp_ALERT_P_MFLID_MTRX[ALERT_P_MFLID_CH_NUM];</t>
  </si>
  <si>
    <t>extern const ST_ALERT_MTRX         st_gp_ALERT_P_MILREQ_MTRX[ALERT_P_MILREQ_CH_NUM];</t>
  </si>
  <si>
    <t>extern const ST_ALERT_MTRX         st_gp_ALERT_P_OILLEV_MTRX[ALERT_P_OILLEV_CH_NUM];</t>
  </si>
  <si>
    <t>extern const ST_ALERT_MTRX         st_gp_ALERT_P_OILMIL_MTRX[ALERT_P_OILMIL_CH_NUM];</t>
  </si>
  <si>
    <t>extern const ST_ALERT_MTRX         st_gp_ALERT_P_PLACON_MTRX[ALERT_P_PLACON_CH_NUM];</t>
  </si>
  <si>
    <t>extern const ST_ALERT_MTRX         st_gp_ALERT_S_ACC_MTRX[ALERT_S_ACC_CH_NUM];</t>
  </si>
  <si>
    <t>extern const ST_ALERT_MTRX         st_gp_ALERT_S_APP_MTRX[ALERT_S_APP_CH_NUM];</t>
  </si>
  <si>
    <t>extern const ST_ALERT_MTRX         st_gp_ALERT_S_BSM_MTRX[ALERT_S_BSM_CH_NUM];</t>
  </si>
  <si>
    <t>extern const ST_ALERT_MTRX         st_gp_ALERT_S_CCS_MTRX[ALERT_S_CCS_CH_NUM];</t>
  </si>
  <si>
    <t>extern const ST_ALERT_MTRX         st_gp_ALERT_S_CVRS_MTRX[ALERT_S_CVRS_CH_NUM];</t>
  </si>
  <si>
    <t>extern const ST_ALERT_MTRX         st_gp_ALERT_S_DMC_MTRX[ALERT_S_DMC_CH_NUM];</t>
  </si>
  <si>
    <t>extern const ST_ALERT_MTRX         st_gp_ALERT_S_FCMDI_2_MTRX[ALERT_S_FCMDI_2_CH_NUM];</t>
  </si>
  <si>
    <t>extern const ST_ALERT_MTRX         st_gp_ALERT_S_FCTA_MTRX[ALERT_S_FCTA_CH_NUM];</t>
  </si>
  <si>
    <t>extern const ST_ALERT_MTRX         st_gp_ALERT_S_FHL_MTRX[ALERT_S_FHL_CH_NUM];</t>
  </si>
  <si>
    <t>extern const ST_ALERT_MTRX         st_gp_ALERT_S_HEAECU_MTRX[ALERT_S_HEAECU_CH_NUM];</t>
  </si>
  <si>
    <t>extern const ST_ALERT_MTRX         st_gp_ALERT_S_HEALEV_MTRX[ALERT_S_HEALEV_CH_NUM];</t>
  </si>
  <si>
    <t>extern const ST_ALERT_MTRX         st_gp_ALERT_S_ISA_MTRX[ALERT_S_ISA_CH_NUM];</t>
  </si>
  <si>
    <t>extern const ST_ALERT_MTRX         st_gp_ALERT_S_LDA_MTRX[ALERT_S_LDA_CH_NUM];</t>
  </si>
  <si>
    <t>extern const ST_ALERT_MTRX         st_gp_ALERT_S_LTA_2_MTRX[ALERT_S_LTA_2_CH_NUM];</t>
  </si>
  <si>
    <t>extern const ST_ALERT_MTRX         st_gp_ALERT_S_MWL_MTRX[ALERT_S_MWL_CH_NUM];</t>
  </si>
  <si>
    <t>extern const ST_ALERT_MTRX         st_gp_ALERT_S_PCS1_MTRX[ALERT_S_PCS1_CH_NUM];</t>
  </si>
  <si>
    <t>extern const ST_ALERT_MTRX         st_gp_ALERT_S_OAA_MTRX[ALERT_S_OAA_CH_NUM];</t>
  </si>
  <si>
    <t>extern const ST_ALERT_MTRX         st_gp_ALERT_S_PDASET_MTRX[ALERT_S_PDASET_CH_NUM];</t>
  </si>
  <si>
    <t>extern const ST_ALERT_MTRX         st_gp_ALERT_S_RCD_MTRX[ALERT_S_RCD_CH_NUM];</t>
  </si>
  <si>
    <t>extern const ST_ALERT_MTRX         st_gp_ALERT_S_RCTA_MTRX[ALERT_S_RCTA_CH_NUM];</t>
  </si>
  <si>
    <t>extern const ST_ALERT_MTRX         st_gp_ALERT_S_RSA_MTRX[ALERT_S_RSA_CH_NUM];</t>
  </si>
  <si>
    <t>extern const ST_ALERT_MTRX         st_gp_ALERT_S_RTAN_MTRX[ALERT_S_RTAN_CH_NUM];</t>
  </si>
  <si>
    <t>extern const ST_ALERT_MTRX         st_gp_ALERT_S_SWS_MTRX[ALERT_S_SWS_CH_NUM];</t>
  </si>
  <si>
    <t>extern const ST_ALERT_MTRX         st_gp_ALERT_S_TMN_MTRX[ALERT_S_TMN_CH_NUM];</t>
  </si>
  <si>
    <t>extern const ST_ALERT_MTRX         st_gp_ALERT_S_TSMODE_MTRX[ALERT_S_TSMODE_CH_NUM];</t>
  </si>
  <si>
    <t>extern const ST_ALERT_MTRX         st_gp_ALERT_S_URSM_MTRX[ALERT_S_URSM_CH_NUM];</t>
  </si>
  <si>
    <t>extern const ST_ALERT_MTRX         st_gp_ALERT_S_DA_MTRX[ALERT_S_DA_CH_NUM];</t>
  </si>
  <si>
    <t>extern const ST_ALERT_MTRX         st_gp_ALERT_S_ITS_MTRX[ALERT_S_ITS_CH_NUM];</t>
  </si>
  <si>
    <t>extern const ST_ALERT_MTRX         st_gp_ALERT_S_ADTJA_MTRX[ALERT_S_ADTJA_CH_NUM];</t>
  </si>
  <si>
    <t>extern const ST_ALERT_MTRX         st_gp_ALERT_C_BRK_0_MTRX[ALERT_C_BRK_0_CH_NUM];</t>
  </si>
  <si>
    <t>extern const ST_ALERT_MTRX         st_gp_ALERT_S_FACTMD_MTRX[ALERT_S_FACTMD_CH_NUM];</t>
  </si>
  <si>
    <t>extern const ST_ALERT_MTRX         st_gp_ALERT_P_BSTMOD_MTRX[ALERT_P_BSTMOD_CH_NUM];</t>
  </si>
  <si>
    <t>extern const ST_ALERT_MTRX         st_gp_ALERT_H_NLOCK_MTRX[ALERT_H_NLOCK_CH_NUM];</t>
  </si>
  <si>
    <t>extern const ST_ALERT_MTRX         st_gp_ALERT_S_AHSS_MTRX[ALERT_S_AHSS_CH_NUM];</t>
  </si>
  <si>
    <t>extern const ST_ALERT_MTRX         st_gp_ALERT_C_AVSWAR_MTRX[ALERT_C_AVSWAR_CH_NUM];</t>
  </si>
  <si>
    <t>extern const ST_ALERT_MTRX         st_gp_ALERT_D_SFTPOS_MTRX[ALERT_D_SFTPOS_CH_NUM];</t>
  </si>
  <si>
    <t>extern const ST_ALERT_MTRX         st_gp_ALERT_P_OILLVG_MTRX[ALERT_P_OILLVG_CH_NUM];</t>
  </si>
  <si>
    <t>extern const ST_ALERT_MTRX         st_gp_ALERT_B_FMSEAT_MTRX[ALERT_B_FMSEAT_CH_NUM];</t>
  </si>
  <si>
    <t>extern const ST_ALERT_MTRX         st_gp_ALERT_D_ASLR_MTRX[ALERT_D_ASLR_CH_NUM];</t>
  </si>
  <si>
    <t>extern const ST_ALERT_MTRX         st_gp_ALERT_H_REGBRA_MTRX[ALERT_H_REGBRA_CH_NUM];</t>
  </si>
  <si>
    <t>extern const ST_ALERT_MTRX         st_gp_ALERT_H_BEVR_MTRX[ALERT_H_BEVR_CH_NUM];</t>
  </si>
  <si>
    <t>extern const ST_ALERT_MTRX         st_gp_ALERT_S_ERM_MTRX[ALERT_S_ERM_CH_NUM];</t>
  </si>
  <si>
    <t>extern const ST_ALERT_MTRX         st_gp_ALERT_S_TLTA_MTRX[ALERT_S_TLTA_CH_NUM];</t>
  </si>
  <si>
    <t>extern const ST_ALERT_MTRX         st_gp_ALERT_D_TATLSD_MTRX[ALERT_D_TATLSD_CH_NUM];</t>
  </si>
  <si>
    <t>extern const ST_ALERT_MTRX         st_gp_ALERT_H_SPDL_0_MTRX[ALERT_H_SPDL_0_CH_NUM];</t>
  </si>
  <si>
    <t>extern const ST_ALERT_MTRX         st_gp_ALERT_B_SPAT_MTRX[ALERT_B_SPAT_CH_NUM];</t>
  </si>
  <si>
    <t>extern const ST_ALERT_MTRX         st_gp_ALERT_P_HTGDMI_MTRX[ALERT_P_HTGDMI_CH_NUM];</t>
  </si>
  <si>
    <t>extern const ST_ALERT_MTRX         st_gp_ALERT_H_EWMUP_MTRX[ALERT_H_EWMUP_CH_NUM];</t>
  </si>
  <si>
    <t>extern const ST_ALERT_MTRX         st_gp_ALERT_S_TCHAR_MTRX[ALERT_S_TCHAR_CH_NUM];</t>
  </si>
  <si>
    <t>extern const ST_ALERT_MTRX         st_gp_ALERT_D_ATMAL_MTRX[ALERT_D_ATMAL_CH_NUM];</t>
  </si>
  <si>
    <t>extern const ST_ALERT_MTRX         st_gp_ALERT_B_PBDKS_MTRX[ALERT_B_PBDKS_CH_NUM];</t>
  </si>
  <si>
    <t>extern const ST_ALERT_MTRX         st_gp_ALERT_C_BRKFD_MTRX[ALERT_C_BRKFD_CH_NUM];</t>
  </si>
  <si>
    <t>extern const ST_ALERT_MTRX         st_gp_ALERT_S_FRADAR_MTRX[ALERT_S_FRADAR_CH_NUM];</t>
  </si>
  <si>
    <t>extern const ST_ALERT_MTRX         st_gp_ALERT_H_FSIND_MTRX[ALERT_H_FSIND_CH_NUM];</t>
  </si>
  <si>
    <t>extern const ST_ALERT_MTRX         st_gp_ALERT_S_PMAR_MTRX[ALERT_S_PMAR_CH_NUM];</t>
  </si>
  <si>
    <t>extern const ST_ALERT_MTRX         st_gp_ALERT_H_BATINS_MTRX[ALERT_H_BATINS_CH_NUM];</t>
  </si>
  <si>
    <t>extern const ST_ALERT_MTRX         st_gp_ALERT_S_FRRADA_MTRX[ALERT_S_FRRADA_CH_NUM];</t>
  </si>
  <si>
    <t>extern const ST_ALERT_MTRX         st_gp_ALERT_H_LEAUNF_MTRX[ALERT_H_LEAUNF_CH_NUM];</t>
  </si>
  <si>
    <t>extern const ST_ALERT_MTRX         st_gp_ALERT_P_CHADYN_MTRX[ALERT_P_CHADYN_CH_NUM];</t>
  </si>
  <si>
    <t>extern const ST_ALERT_MTRX         st_gp_ALERT_H_THEVM_MTRX[ALERT_H_THEVM_CH_NUM];</t>
  </si>
  <si>
    <t>extern const ST_ALERT_MTRX         st_gp_ALERT_S_MAPACC_MTRX[ALERT_S_MAPACC_CH_NUM];</t>
  </si>
  <si>
    <t>extern const ST_ALERT_MTRX         st_gp_ALERT_P_PLOCK_MTRX[ALERT_P_PLOCK_CH_NUM];</t>
  </si>
  <si>
    <t>extern const ST_ALERT_MTRX         st_gp_ALERT_B_TFFOG_MTRX[ALERT_B_TFFOG_CH_NUM];</t>
  </si>
  <si>
    <t>extern const ST_ALERT_MTRX         st_gp_ALERT_C_OFRMDL_MTRX[ALERT_C_OFRMDL_CH_NUM];</t>
  </si>
  <si>
    <t>extern const ST_ALERT_MTRX         st_gp_ALERT_B_THESEN_MTRX[ALERT_B_THESEN_CH_NUM];</t>
  </si>
  <si>
    <t>extern const ST_ALERT_MTRX         st_gp_ALERT_P_TECOLP2_MTRX[ALERT_P_TECOLP2_CH_NUM];</t>
  </si>
  <si>
    <t>extern const ST_ALERT_MTRX         st_gp_ALERT_H_SBMMAL_MTRX[ALERT_H_SBMMAL_CH_NUM];</t>
  </si>
  <si>
    <t>extern const ST_ALERT_MTRX         st_gp_ALERT_H_ACDCSUP_MTRX[ALERT_H_ACDCSUP_CH_NUM];</t>
  </si>
  <si>
    <t>extern const ST_ALERT_MTRX         st_gp_ALERT_M_MINDSPWR_MTRX[ALERT_M_MINDSPWR_CH_NUM];</t>
  </si>
  <si>
    <t>extern const ST_ALERT_MTRX         st_gp_ALERT_H_XMDRJT_MTRX[ALERT_H_XMDRJT_CH_NUM];</t>
  </si>
  <si>
    <t>extern const ST_ALERT_MTRX         st_gp_ALERT_H_XMODE_MTRX[ALERT_H_XMODE_CH_NUM];</t>
  </si>
  <si>
    <t>extern const ST_ALERT_MTRX         st_gp_ALERT_B_BKEY_MTRX[ALERT_B_BKEY_CH_NUM];</t>
  </si>
  <si>
    <t>extern const ST_ALERT_MTRX         st_gp_ALERT_C_DAC_MTRX[ALERT_C_DAC_CH_NUM];</t>
  </si>
  <si>
    <t>extern const ST_ALERT_MTRX         st_gp_ALERT_B_ESWUOC_MTRX[ALERT_B_ESWUOC_CH_NUM];</t>
  </si>
  <si>
    <t>extern const ST_ALERT_MTRX         st_gp_ALERT_H_XMGRIP_MTRX[ALERT_H_XMGRIP_CH_NUM];</t>
  </si>
  <si>
    <t>extern const ST_ALERT_MTRX         st_gp_ALERT_P_STOSTA_MTRX[ALERT_P_STOSTA_CH_NUM];</t>
  </si>
  <si>
    <t>extern const ST_ALERT_MTRX         st_gp_ALERT_H_CHGCON_MTRX[ALERT_H_CHGCON_CH_NUM];</t>
  </si>
  <si>
    <t>extern const ST_ALERT_MTRX         st_gp_ALERT_H_TVPSOF_MTRX[ALERT_H_TVPSOF_CH_NUM];</t>
  </si>
  <si>
    <t>extern const ST_ALERT_MTRX         st_gp_ALERT_B_ALOA2_MTRX[ALERT_B_ALOA2_CH_NUM];</t>
  </si>
  <si>
    <t>extern const ST_ALERT_MTRX         st_gp_ALERT_D_TMWRN_MTRX[ALERT_D_TMWRN_CH_NUM];</t>
  </si>
  <si>
    <t>extern const ST_ALERT_MTRX         st_gp_ALERT_H_BATREF_MTRX[ALERT_H_BATREF_CH_NUM];</t>
  </si>
  <si>
    <t>extern const ST_ALERT_MTRX         st_gp_ALERT_B_RPWSEA_MTRX[ALERT_B_RPWSEA_CH_NUM];</t>
  </si>
  <si>
    <t>extern const ST_ALERT_MTRX         st_gp_ALERT_H_TCBM_MTRX[ALERT_H_TCBM_CH_NUM];</t>
  </si>
  <si>
    <t>extern const ST_ALERT_MTRX         st_gp_ALERT_B_PCL_MTRX[ALERT_B_PCL_CH_NUM];</t>
  </si>
  <si>
    <t>extern const ST_ALERT_MTRX         st_gp_ALERT_B_EXTSEA_MTRX[ALERT_B_EXTSEA_CH_NUM];</t>
  </si>
  <si>
    <t>extern const ST_ALERT_MTRX         st_gp_ALERT_D_LAUNCH_MTRX[ALERT_D_LAUNCH_CH_NUM];</t>
  </si>
  <si>
    <t>extern const ST_ALERT_MTRX         st_gp_ALERT_H_MYROOM_MTRX[ALERT_H_MYROOM_CH_NUM];</t>
  </si>
  <si>
    <t>extern const ST_ALERT_MTRX         st_gp_ALERT_C_VSCEXP_MTRX[ALERT_C_VSCEXP_CH_NUM];</t>
  </si>
  <si>
    <t>extern const ST_ALERT_MTRX         st_gp_ALERT_P_ENGLIM_MTRX[ALERT_P_ENGLIM_CH_NUM];</t>
  </si>
  <si>
    <t>extern const ST_ALERT_MTRX         st_gp_ALERT_H_PRECON_MTRX[ALERT_H_PRECON_CH_NUM];</t>
  </si>
  <si>
    <t>extern const ST_ALERT_MTRX         st_gp_ALERT_H_MANBEV_MTRX[ALERT_H_MANBEV_CH_NUM];</t>
  </si>
  <si>
    <t>extern const ST_ALERT_MTRX         st_gp_ALERT_P_TENGW_MTRX[ALERT_P_TENGW_CH_NUM];</t>
  </si>
  <si>
    <t>extern const ST_ALERT_MTRX         st_gp_ALERT_H_QUICHA_MTRX[ALERT_H_QUICHA_CH_NUM];</t>
  </si>
  <si>
    <t>#endif      /* ALERT_MTRX_CFG_H */</t>
  </si>
  <si>
    <t>/*  Change History  :  alert_mtrx.c                                                                                                  */</t>
  </si>
  <si>
    <t>↑</t>
    <phoneticPr fontId="2"/>
  </si>
  <si>
    <t>#define u1_ALERT_CFG_B_TDOOR_RPSDWARN                               (u1_CALIB_MCUID0214_RPSDWARNM)</t>
    <phoneticPr fontId="2"/>
  </si>
  <si>
    <t>#if !defined(u1_ALERT_CFG_B_TDOOR_LPSDWARN)</t>
    <phoneticPr fontId="2"/>
  </si>
  <si>
    <t>1.3.0</t>
    <phoneticPr fontId="2"/>
  </si>
  <si>
    <t>19PV3 CV事前（流用元：alert_B_TDOOR-CSTD-0-03-C-C5.xlsx）
[Reference5]
Q&amp;A対応(https://aip01.dndev.net/jira/browse/MET19PFV3-20643)
以下Configのdefine値を変更
ALERT_CFG_B_TDOOR_RPSDWARN
ALERT_CFG_B_TDOOR_LPSDWARN</t>
    <rPh sb="8" eb="10">
      <t>ジゼン</t>
    </rPh>
    <rPh sb="66" eb="68">
      <t>タイオウ</t>
    </rPh>
    <rPh sb="122" eb="124">
      <t>イカ</t>
    </rPh>
    <rPh sb="137" eb="138">
      <t>チ</t>
    </rPh>
    <rPh sb="139" eb="141">
      <t>ヘンコウ</t>
    </rPh>
    <phoneticPr fontId="2"/>
  </si>
  <si>
    <t>DT仲野哲司</t>
    <rPh sb="2" eb="4">
      <t>ナカノ</t>
    </rPh>
    <rPh sb="4" eb="6">
      <t>テツシ</t>
    </rPh>
    <phoneticPr fontId="2"/>
  </si>
  <si>
    <t>一品番化前に戻す</t>
    <rPh sb="0" eb="4">
      <t>イチヒンバンカ</t>
    </rPh>
    <rPh sb="4" eb="5">
      <t>マエ</t>
    </rPh>
    <rPh sb="6" eb="7">
      <t>モド</t>
    </rPh>
    <phoneticPr fontId="2"/>
  </si>
  <si>
    <t>alert_mtrx_cfg_private.h</t>
    <phoneticPr fontId="2"/>
  </si>
  <si>
    <t>#endif /* (ALERT_CFG_B_TDOOR_RPSDWARN == TRUE) */</t>
    <phoneticPr fontId="2"/>
  </si>
  <si>
    <t>一品番化前に戻すためマクロ定義追加</t>
    <rPh sb="0" eb="5">
      <t>イチヒンバンカマエ</t>
    </rPh>
    <rPh sb="6" eb="7">
      <t>モド</t>
    </rPh>
    <rPh sb="13" eb="15">
      <t>テイギ</t>
    </rPh>
    <rPh sb="15" eb="17">
      <t>ツイカ</t>
    </rPh>
    <phoneticPr fontId="2"/>
  </si>
  <si>
    <t>一品番化前に戻すため削除</t>
    <rPh sb="0" eb="4">
      <t>イチヒンバンカ</t>
    </rPh>
    <rPh sb="4" eb="5">
      <t>マエ</t>
    </rPh>
    <rPh sb="6" eb="7">
      <t>モド</t>
    </rPh>
    <rPh sb="10" eb="12">
      <t>サクジョ</t>
    </rPh>
    <phoneticPr fontId="2"/>
  </si>
  <si>
    <t>条件文からコンパイルスイッチへ一品番化前に戻す</t>
    <rPh sb="0" eb="3">
      <t>ジョウケンブン</t>
    </rPh>
    <rPh sb="15" eb="19">
      <t>イチヒンバンカ</t>
    </rPh>
    <rPh sb="19" eb="20">
      <t>マエ</t>
    </rPh>
    <rPh sb="21" eb="22">
      <t>モド</t>
    </rPh>
    <phoneticPr fontId="2"/>
  </si>
  <si>
    <t>#define ALERT_CFG_B_BDOOR_LGCY                   (TRUE)</t>
  </si>
  <si>
    <t>#define ALERT_CFG_B_TDOOR_RPSDWARN               (FALSE)</t>
  </si>
  <si>
    <t>#define ALERT_CFG_B_TDOOR_LPSDWARN               (FALSE)</t>
  </si>
  <si>
    <t>#define ALERT_B_SMASTA_CH_NUM                    (15U)</t>
  </si>
  <si>
    <t>#define ALERT_D_ATFWRN_CH_NUM                    (2U)</t>
  </si>
  <si>
    <t>#define ALERT_S_RSA_CH_NUM                       (3U)</t>
  </si>
  <si>
    <t>#define ALERT_B_PBDKS_CH_NUM                     (2U)</t>
  </si>
  <si>
    <t>#define ALERT_S_FCMDI_RWRN_CH_NUM                (1U)</t>
  </si>
  <si>
    <t>#define ALERT_S_RSRDI_RWRN_CH_NUM                (1U)</t>
  </si>
  <si>
    <t>#define ALERT_S_PSSDI_RWRN_CH_NUM                (1U)</t>
  </si>
  <si>
    <t>#define ALERT_S_RCTA_RWRN_CH_NUM                 (1U)</t>
  </si>
  <si>
    <t>#define ALERT_C_STABI_RWRN_CH_NUM                (1U)</t>
  </si>
  <si>
    <t>#define ALERT_C_SDM_RWRN_CH_NUM                  (1U)</t>
  </si>
  <si>
    <t>#define ALERT_H_SOLCHG_RWRN_CH_NUM               (1U)</t>
  </si>
  <si>
    <t>#define ALERT_MET_IPAW_CH_NUM                    (1U)</t>
  </si>
  <si>
    <t>#define ALERT_SLMD_CH_NUM                        (1U)</t>
  </si>
  <si>
    <t>#define ALERT_D_IMT_RWRN_CH_NUM                  (1U)</t>
  </si>
  <si>
    <t>#define ALERT_B_PWSTEP_RWRN_CH_NUM               (1U)</t>
  </si>
  <si>
    <t>#define ALERT_D_4WDSYS_RWRN_CH_NUM               (1U)</t>
  </si>
  <si>
    <t>#define ALERT_H_DCLDSP_CH_NUM                    (1U)</t>
  </si>
  <si>
    <t>#define u1_g_AlertOillvSw()                                         ((U1)FALSE)</t>
  </si>
  <si>
    <t>extern const ST_ALERT_MTRX         st_gp_ALERT_S_FCMDI_RWRN_MTRX[ALERT_S_FCMDI_RWRN_CH_NUM];</t>
  </si>
  <si>
    <t>extern const ST_ALERT_MTRX         st_gp_ALERT_S_RSRDI_RWRN_MTRX[ALERT_S_RSRDI_RWRN_CH_NUM];</t>
  </si>
  <si>
    <t>extern const ST_ALERT_MTRX         st_gp_ALERT_S_PSSDI_RWRN_MTRX[ALERT_S_PSSDI_RWRN_CH_NUM];</t>
  </si>
  <si>
    <t>extern const ST_ALERT_MTRX         st_gp_ALERT_S_RCTA_RWRN_MTRX[ALERT_S_RCTA_RWRN_CH_NUM];</t>
  </si>
  <si>
    <t>extern const ST_ALERT_MTRX         st_gp_ALERT_C_STABI_RWRN_MTRX[ALERT_C_STABI_RWRN_CH_NUM];</t>
  </si>
  <si>
    <t>extern const ST_ALERT_MTRX         st_gp_ALERT_C_SDM_RWRN_MTRX[ALERT_C_SDM_RWRN_CH_NUM];</t>
  </si>
  <si>
    <t>extern const ST_ALERT_MTRX         st_gp_ALERT_H_SOLCHG_RWRN_MTRX[ALERT_H_SOLCHG_RWRN_CH_NUM];</t>
  </si>
  <si>
    <t>extern const ST_ALERT_MTRX         st_gp_ALERT_MET_IPAW_MTRX[ALERT_MET_IPAW_CH_NUM];</t>
  </si>
  <si>
    <t>extern const ST_ALERT_MTRX         st_gp_ALERT_SLMD_MTRX[ALERT_SLMD_CH_NUM];</t>
  </si>
  <si>
    <t>extern const ST_ALERT_MTRX         st_gp_ALERT_D_IMT_RWRN_MTRX[ALERT_D_IMT_RWRN_CH_NUM];</t>
  </si>
  <si>
    <t>extern const ST_ALERT_MTRX         st_gp_ALERT_B_PWSTEP_RWRN_MTRX[ALERT_B_PWSTEP_RWRN_CH_NUM];</t>
  </si>
  <si>
    <t>extern const ST_ALERT_MTRX         st_gp_ALERT_D_4WDSYS_RWRN_MTRX[ALERT_D_4WDSYS_RWRN_CH_NUM];</t>
  </si>
  <si>
    <t>extern const ST_ALERT_MTRX         st_gp_ALERT_H_DCLDSP_MTRX[ALERT_H_DCLDSP_CH_NUM];</t>
  </si>
  <si>
    <t>/* 5.5.0 */</t>
  </si>
  <si>
    <t>#define ALERT_B_TDOOR_C_MINOR                    (5)</t>
  </si>
  <si>
    <t>static        U4      u4_s_AlertB_tdoorSrcchk  (const U1 u1_a_VOM, const U4 u4_a_IGN_TM, const U1 u1_a_LAS);</t>
  </si>
  <si>
    <t>static        U1      u1_s_AlertB_tdoorSgnl    (const U1 u1_a_FACT);</t>
  </si>
  <si>
    <t>static        U1      u1_s_AlertB_tdoorPsdSgnl (const U1 u1_a_FACT);</t>
  </si>
  <si>
    <t>static        U1      u1_s_AlertB_tdoorSlpSgnl (const U1 u1_a_FACT);</t>
  </si>
  <si>
    <t>static        U4      u4_s_AlertB_tdoorIgOffDsp(const U1 u1_a_VOM, const U2 u2_a_DOOR_STS);</t>
  </si>
  <si>
    <t>static        U1      u1_s_AlertB_tdoorRunSts  (void);</t>
  </si>
  <si>
    <t>static inline U1      u1_s_AlertB_tdoorCalibU1MaxChk(const U1 u1_a_CALIBID, const U1 u1_a_MAX, const U1 u1_a_DEF);</t>
  </si>
  <si>
    <t>static U4      u4_s_AlertB_tdoorSrcchk(const U1 u1_a_VOM, const U4 u4_a_IGN_TM, const U1 u1_a_LAS)</t>
  </si>
  <si>
    <t xml:space="preserve">    U1              u1_t_rrcy;</t>
  </si>
  <si>
    <t xml:space="preserve">    U1              u1_t_rlcy;</t>
  </si>
  <si>
    <t xml:space="preserve">    U1              u1_t_bcty;</t>
  </si>
  <si>
    <t xml:space="preserve">    U1              u1_t_lgcy;</t>
  </si>
  <si>
    <t xml:space="preserve">    U1              u1_t_hdcy_bdb;</t>
  </si>
  <si>
    <t xml:space="preserve">    u1_t_rrcy        = u1_s_AlertB_tdoorCalibU1MaxChk(u1_ALERT_CFG_B_TDOOR_RRCY,     (U1)CALIB_MCUID0209_MAX, (U1)CALIB_MCUID0209_DEF);</t>
  </si>
  <si>
    <t xml:space="preserve">    u1_t_rlcy        = u1_s_AlertB_tdoorCalibU1MaxChk(u1_ALERT_CFG_B_TDOOR_RLCY,     (U1)CALIB_MCUID0210_MAX, (U1)CALIB_MCUID0210_DEF);</t>
  </si>
  <si>
    <t xml:space="preserve">    u1_t_bcty        = u1_s_AlertB_tdoorCalibU1MaxChk(u1_ALERT_CFG_B_TDOOR_BCTY,     (U1)CALIB_MCUID0211_MAX, (U1)CALIB_MCUID0211_DEF);</t>
  </si>
  <si>
    <t xml:space="preserve">    u1_t_lgcy        = u1_s_AlertB_tdoorCalibU1MaxChk(u1_ALERT_CFG_B_TDOOR_LGCY,     (U1)CALIB_MCUID0212_MAX, (U1)CALIB_MCUID0212_DEF);</t>
  </si>
  <si>
    <t xml:space="preserve">    u1_t_hdcy_bdb    = u1_s_AlertB_tdoorCalibU1MaxChk(u1_ALERT_CFG_B_TDOOR_HDCY_BDB, (U1)CALIB_MCUID0213_MAX, (U1)CALIB_MCUID0213_DEF);</t>
  </si>
  <si>
    <t xml:space="preserve">        if(u1_t_rrcy == (U1)TRUE){</t>
  </si>
  <si>
    <t xml:space="preserve">        if(u1_t_rlcy == (U1)TRUE){</t>
  </si>
  <si>
    <t xml:space="preserve">        if(u1_t_bcty == (U1)TRUE){</t>
  </si>
  <si>
    <t xml:space="preserve">        if(u1_t_lgcy == (U1)TRUE){</t>
  </si>
  <si>
    <t xml:space="preserve">    if(u1_t_hdcy_bdb == (U1)TRUE){</t>
  </si>
  <si>
    <t>static U1      u1_s_AlertB_tdoorPsdSgnl(const U1 u1_a_FACT)</t>
  </si>
  <si>
    <t xml:space="preserve">    u1_t_fact_drl1s03  = u1_g_oXCANRxStat((U2)OXCAN_PDU_RX_CAN_DRL1S03,</t>
  </si>
  <si>
    <t xml:space="preserve">                                          (U2)OXCAN_RX_SYS_NRX_BAT | (U2)OXCAN_RX_SYS_TOE_BAT,</t>
  </si>
  <si>
    <t xml:space="preserve">                                               u2_s_ALERT_B_TDOOR_TO_DRL1S03) &amp; ((U1)COM_TIMEOUT | (U1)COM_NO_RX);</t>
  </si>
  <si>
    <t xml:space="preserve">    u1_t_fact_drl1s03 |= u1_a_FACT;</t>
  </si>
  <si>
    <t xml:space="preserve">    vd_g_AlertBRxTrnsSts(&amp;u1_s_alert_b_tdoor_drl1s03_sts, u1_t_fact_drl1s03);</t>
  </si>
  <si>
    <t xml:space="preserve">    u1_t_fact_drr1s03  = u1_g_oXCANRxStat((U2)OXCAN_PDU_RX_CAN_DRR1S03,</t>
  </si>
  <si>
    <t xml:space="preserve">                                               u2_s_ALERT_B_TDOOR_TO_DRR1S03) &amp; ((U1)COM_TIMEOUT | (U1)COM_NO_RX);</t>
  </si>
  <si>
    <t xml:space="preserve">    u1_t_fact_drr1s03 |= u1_a_FACT;</t>
  </si>
  <si>
    <t xml:space="preserve">    vd_g_AlertBRxTrnsSts(&amp;u1_s_alert_b_tdoor_drr1s03_sts, u1_t_fact_drr1s03);</t>
  </si>
  <si>
    <t xml:space="preserve">    if((u1_s_alert_b_tdoor_drl1s03_sts &amp; (U1)COM_NO_RX) == (U1)0U){</t>
  </si>
  <si>
    <t xml:space="preserve">        (void)Com_ReceiveSignal(ComConf_ComSignal_LPSDWARN, &amp;u1_t_sgnl);</t>
  </si>
  <si>
    <t xml:space="preserve">        u1_t_retval |= u1_t_sgnl;</t>
  </si>
  <si>
    <t xml:space="preserve">    if((u1_s_alert_b_tdoor_drr1s03_sts &amp; (U1)COM_NO_RX) == (U1)0U){</t>
  </si>
  <si>
    <t xml:space="preserve">        (void)Com_ReceiveSignal(ComConf_ComSignal_RPSDWARN, &amp;u1_t_sgnl);</t>
  </si>
  <si>
    <t xml:space="preserve">        u1_t_retval |= (U1)(u1_t_sgnl &lt;&lt; u1_s_ALERT_B_TDOOR_SGNL_LSB_RPSD);</t>
  </si>
  <si>
    <t xml:space="preserve">    U1              u1_t_slp_pos;</t>
  </si>
  <si>
    <t xml:space="preserve">    u1_t_slp_pos = u1_s_AlertB_tdoorCalibU1MaxChk(u1_ALERT_CFG_B_TDOOR_SLP_POS, (U1)CALIB_MCUID0216_MAX, (U1)CALIB_MCUID0216_DEF);</t>
  </si>
  <si>
    <t xml:space="preserve">    if(u1_t_slp_pos == (U1)TRUE){</t>
  </si>
  <si>
    <t>/*  static inline U1      u1_s_AlertB_tdoorCalibU1MaxChk(const U1 u1_a_CALIBID, const U1 u1_a_MAX, const U1 u1_a_DEF)                */</t>
  </si>
  <si>
    <t>/*  Arguments:      const U1 u1_a_CALIBID                                                                                            */</t>
  </si>
  <si>
    <t>/*                  const U1 u1_a_MAX                                                                                                */</t>
  </si>
  <si>
    <t>/*                  const U1 u1_a_DEF                                                                                                */</t>
  </si>
  <si>
    <t>/*  Return:         U1 u1_t_ret                                                                                                      */</t>
  </si>
  <si>
    <t>static inline U1      u1_s_AlertB_tdoorCalibU1MaxChk(const U1 u1_a_CALIBID, const U1 u1_a_MAX, const U1 u1_a_DEF)</t>
  </si>
  <si>
    <t xml:space="preserve">    U1 u1_t_ret;</t>
  </si>
  <si>
    <t xml:space="preserve">    u1_t_ret = u1_a_CALIBID;</t>
  </si>
  <si>
    <t xml:space="preserve">    if(u1_t_ret &gt; u1_a_MAX){</t>
  </si>
  <si>
    <t xml:space="preserve">        u1_t_ret = u1_a_DEF;</t>
  </si>
  <si>
    <t xml:space="preserve">    return(u1_t_ret);</t>
  </si>
  <si>
    <t>/*  5.4.0     4/12/2024  SH       Add calibration guard                                                                              */</t>
  </si>
  <si>
    <t>/*  5.5.0     4/18/2023  TN       Add compile SW(RPSDWARN and LPSDWARN).                                                             */</t>
  </si>
  <si>
    <t>/*  * TN   = Tetsushi Nakano, Denso Techno                                                                                           */</t>
  </si>
  <si>
    <t>条件文からコンパイルスイッチへ一品番化前に戻すため変数削除</t>
    <rPh sb="0" eb="3">
      <t>ジョウケンブン</t>
    </rPh>
    <rPh sb="15" eb="19">
      <t>イチヒンバンカ</t>
    </rPh>
    <rPh sb="19" eb="20">
      <t>マエ</t>
    </rPh>
    <rPh sb="21" eb="22">
      <t>モド</t>
    </rPh>
    <rPh sb="25" eb="27">
      <t>ヘンスウ</t>
    </rPh>
    <rPh sb="27" eb="29">
      <t>サクジョ</t>
    </rPh>
    <phoneticPr fontId="2"/>
  </si>
  <si>
    <t>条件文からコンパイルスイッチへ一品番化前に戻すためガード処理削除</t>
    <rPh sb="0" eb="3">
      <t>ジョウケンブン</t>
    </rPh>
    <rPh sb="15" eb="19">
      <t>イチヒンバンカ</t>
    </rPh>
    <rPh sb="19" eb="20">
      <t>マエ</t>
    </rPh>
    <rPh sb="21" eb="22">
      <t>モド</t>
    </rPh>
    <rPh sb="28" eb="30">
      <t>ショリ</t>
    </rPh>
    <rPh sb="30" eb="32">
      <t>サクジョ</t>
    </rPh>
    <phoneticPr fontId="2"/>
  </si>
  <si>
    <t>19PV3 CV事前（流用元：alert_B_TDOOR-CSTD-0-03-C-C5.xlsx）
[Reference6]
Q&amp;A対応(https://aip01.dndev.net/jira/browse/MET19PFV3-5260)
以下Configのdefine値を変更
ALERT_CFG_B_TDOOR_SLP_POS</t>
    <rPh sb="8" eb="10">
      <t>ジゼン</t>
    </rPh>
    <rPh sb="66" eb="68">
      <t>タイオウ</t>
    </rPh>
    <rPh sb="121" eb="123">
      <t>イカ</t>
    </rPh>
    <rPh sb="136" eb="137">
      <t>チ</t>
    </rPh>
    <rPh sb="138" eb="140">
      <t>ヘンコウ</t>
    </rPh>
    <phoneticPr fontId="2"/>
  </si>
  <si>
    <t>DT廣瀬冴</t>
    <rPh sb="0" eb="5">
      <t>ｄｔヒロセサエ</t>
    </rPh>
    <phoneticPr fontId="2"/>
  </si>
  <si>
    <t>1.4.0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</si>
</sst>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0"/>
      <color indexed="81"/>
      <name val="Meiryo UI"/>
      <family val="3"/>
      <charset val="128"/>
    </font>
    <font>
      <sz val="11"/>
      <color theme="1"/>
      <name val="ＭＳ Ｐゴシック"/>
      <family val="2"/>
      <charset val="128"/>
      <scheme val="minor"/>
    </font>
    <font>
      <b/>
      <sz val="12"/>
      <name val="ＭＳ Ｐゴシック"/>
      <family val="3"/>
      <charset val="128"/>
      <scheme val="minor"/>
    </font>
    <font>
      <sz val="12"/>
      <name val="ＭＳ Ｐゴシック"/>
      <family val="3"/>
      <charset val="128"/>
      <scheme val="minor"/>
    </font>
    <font>
      <b/>
      <sz val="12"/>
      <name val="ＭＳ Ｐゴシック"/>
      <family val="2"/>
      <charset val="128"/>
      <scheme val="minor"/>
    </font>
    <font>
      <sz val="11"/>
      <color theme="1"/>
      <name val="Meiryo UI"/>
      <family val="3"/>
      <charset val="128"/>
    </font>
    <font>
      <sz val="11"/>
      <color rgb="FFFF0000"/>
      <name val="Meiryo UI"/>
      <family val="3"/>
      <charset val="128"/>
    </font>
    <font>
      <b/>
      <sz val="11"/>
      <color theme="1"/>
      <name val="Meiryo UI"/>
      <family val="3"/>
      <charset val="128"/>
    </font>
    <font>
      <sz val="11"/>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bgColor indexed="64"/>
      </patternFill>
    </fill>
    <fill>
      <patternFill patternType="solid">
        <fgColor theme="0" tint="-0.34998626667073579"/>
        <bgColor indexed="64"/>
      </patternFill>
    </fill>
    <fill>
      <patternFill patternType="solid">
        <fgColor theme="8" tint="0.79998168889431442"/>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36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6" xfId="0" applyBorder="1">
      <alignment vertical="center"/>
    </xf>
    <xf numFmtId="0" fontId="0" fillId="0" borderId="27" xfId="0" applyBorder="1" applyAlignment="1">
      <alignment vertical="center" wrapText="1"/>
    </xf>
    <xf numFmtId="0" fontId="0" fillId="0" borderId="32"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6" xfId="0" applyFill="1" applyBorder="1">
      <alignment vertical="center"/>
    </xf>
    <xf numFmtId="0" fontId="1" fillId="19" borderId="65" xfId="0" applyFont="1" applyFill="1" applyBorder="1">
      <alignment vertical="center"/>
    </xf>
    <xf numFmtId="0" fontId="1" fillId="19" borderId="11" xfId="0" applyFont="1" applyFill="1" applyBorder="1">
      <alignment vertical="center"/>
    </xf>
    <xf numFmtId="0" fontId="0" fillId="0" borderId="26" xfId="0" applyBorder="1" applyAlignment="1">
      <alignment vertical="center" wrapText="1"/>
    </xf>
    <xf numFmtId="0" fontId="0" fillId="0" borderId="26" xfId="0" quotePrefix="1" applyBorder="1">
      <alignment vertical="center"/>
    </xf>
    <xf numFmtId="0" fontId="0" fillId="22" borderId="26" xfId="0" applyFill="1" applyBorder="1" applyAlignment="1">
      <alignment vertical="center" textRotation="90"/>
    </xf>
    <xf numFmtId="0" fontId="6" fillId="0" borderId="0" xfId="0" applyFont="1">
      <alignment vertical="center"/>
    </xf>
    <xf numFmtId="0" fontId="15" fillId="0" borderId="0" xfId="0" applyFont="1">
      <alignment vertical="center"/>
    </xf>
    <xf numFmtId="0" fontId="15" fillId="12" borderId="73" xfId="0" applyFont="1" applyFill="1" applyBorder="1">
      <alignment vertical="center"/>
    </xf>
    <xf numFmtId="0" fontId="15" fillId="12" borderId="43" xfId="0" applyFont="1" applyFill="1" applyBorder="1">
      <alignment vertical="center"/>
    </xf>
    <xf numFmtId="0" fontId="15" fillId="12" borderId="46" xfId="0" applyFont="1" applyFill="1" applyBorder="1">
      <alignment vertical="center"/>
    </xf>
    <xf numFmtId="0" fontId="15" fillId="12" borderId="23" xfId="0" applyFont="1" applyFill="1" applyBorder="1">
      <alignment vertical="center"/>
    </xf>
    <xf numFmtId="0" fontId="15" fillId="12" borderId="22" xfId="0" applyFont="1" applyFill="1" applyBorder="1">
      <alignment vertical="center"/>
    </xf>
    <xf numFmtId="0" fontId="15" fillId="12" borderId="19" xfId="0" applyFont="1" applyFill="1" applyBorder="1">
      <alignment vertical="center"/>
    </xf>
    <xf numFmtId="0" fontId="15" fillId="0" borderId="32" xfId="0" applyFont="1" applyBorder="1">
      <alignment vertical="center"/>
    </xf>
    <xf numFmtId="0" fontId="15" fillId="18" borderId="30" xfId="0" quotePrefix="1" applyFont="1" applyFill="1" applyBorder="1">
      <alignment vertical="center"/>
    </xf>
    <xf numFmtId="0" fontId="15" fillId="12" borderId="19" xfId="0" applyFont="1" applyFill="1" applyBorder="1" applyAlignment="1">
      <alignment vertical="center" wrapText="1"/>
    </xf>
    <xf numFmtId="0" fontId="15" fillId="14" borderId="32" xfId="0" applyFont="1" applyFill="1" applyBorder="1">
      <alignment vertical="center"/>
    </xf>
    <xf numFmtId="0" fontId="15" fillId="18" borderId="30" xfId="0" applyFont="1" applyFill="1" applyBorder="1" applyAlignment="1">
      <alignment vertical="center" textRotation="90"/>
    </xf>
    <xf numFmtId="0" fontId="15" fillId="12" borderId="47" xfId="0" applyFont="1" applyFill="1" applyBorder="1">
      <alignment vertical="center"/>
    </xf>
    <xf numFmtId="0" fontId="15" fillId="18" borderId="31" xfId="0" applyFont="1" applyFill="1" applyBorder="1" applyAlignment="1">
      <alignment vertical="center" wrapText="1"/>
    </xf>
    <xf numFmtId="0" fontId="15" fillId="18" borderId="16" xfId="0" applyFont="1" applyFill="1" applyBorder="1" applyAlignment="1">
      <alignment vertical="center" wrapText="1"/>
    </xf>
    <xf numFmtId="0" fontId="15" fillId="0" borderId="33" xfId="2" applyFont="1" applyBorder="1" applyAlignment="1">
      <alignment vertical="center" wrapText="1"/>
    </xf>
    <xf numFmtId="0" fontId="15" fillId="0" borderId="19" xfId="0" applyFont="1" applyBorder="1">
      <alignment vertical="center"/>
    </xf>
    <xf numFmtId="0" fontId="15" fillId="15" borderId="30" xfId="0" applyFont="1" applyFill="1" applyBorder="1" applyAlignment="1">
      <alignment horizontal="center" vertical="center"/>
    </xf>
    <xf numFmtId="0" fontId="15" fillId="0" borderId="26" xfId="0" applyFont="1" applyBorder="1" applyAlignment="1">
      <alignment horizontal="center" vertical="center"/>
    </xf>
    <xf numFmtId="0" fontId="15" fillId="0" borderId="32" xfId="0" applyFont="1" applyBorder="1" applyAlignment="1">
      <alignment horizontal="center" vertical="center"/>
    </xf>
    <xf numFmtId="0" fontId="15" fillId="0" borderId="20" xfId="0" applyFont="1" applyBorder="1">
      <alignment vertical="center"/>
    </xf>
    <xf numFmtId="0" fontId="15" fillId="15" borderId="25" xfId="0" applyFont="1" applyFill="1" applyBorder="1" applyAlignment="1">
      <alignment horizontal="center" vertical="center"/>
    </xf>
    <xf numFmtId="0" fontId="15" fillId="0" borderId="29" xfId="0" applyFont="1" applyBorder="1" applyAlignment="1">
      <alignment horizontal="center" vertical="center"/>
    </xf>
    <xf numFmtId="0" fontId="15" fillId="0" borderId="34" xfId="0" applyFont="1" applyBorder="1" applyAlignment="1">
      <alignment horizontal="center" vertical="center"/>
    </xf>
    <xf numFmtId="0" fontId="15" fillId="0" borderId="2" xfId="0" applyFont="1" applyBorder="1" applyAlignment="1">
      <alignment horizontal="center" vertical="center"/>
    </xf>
    <xf numFmtId="0" fontId="15" fillId="0" borderId="9" xfId="0" applyFont="1" applyBorder="1" applyAlignment="1">
      <alignment horizontal="center" vertical="center"/>
    </xf>
    <xf numFmtId="0" fontId="15" fillId="0" borderId="30" xfId="0" applyFont="1" applyBorder="1" applyAlignment="1">
      <alignment horizontal="center" vertical="center"/>
    </xf>
    <xf numFmtId="0" fontId="15" fillId="0" borderId="25" xfId="0" applyFont="1" applyBorder="1" applyAlignment="1">
      <alignment horizontal="center" vertical="center"/>
    </xf>
    <xf numFmtId="0" fontId="0" fillId="0" borderId="2" xfId="0" applyBorder="1" applyAlignment="1">
      <alignment vertical="center" textRotation="90"/>
    </xf>
    <xf numFmtId="0" fontId="16" fillId="7" borderId="61" xfId="0" applyFont="1" applyFill="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19" fillId="0" borderId="32" xfId="0" applyFont="1" applyBorder="1">
      <alignment vertical="center"/>
    </xf>
    <xf numFmtId="14" fontId="0" fillId="0" borderId="2" xfId="0" applyNumberFormat="1" applyBorder="1">
      <alignment vertical="center"/>
    </xf>
    <xf numFmtId="0" fontId="19" fillId="0" borderId="83" xfId="0" applyFont="1" applyBorder="1" applyAlignment="1">
      <alignment horizontal="center" vertical="center"/>
    </xf>
    <xf numFmtId="0" fontId="19" fillId="0" borderId="2" xfId="0" applyFont="1" applyBorder="1" applyAlignment="1">
      <alignment horizontal="center" vertical="center"/>
    </xf>
    <xf numFmtId="0" fontId="19" fillId="0" borderId="61" xfId="0" applyFont="1" applyBorder="1" applyAlignment="1">
      <alignment horizontal="center" vertical="center"/>
    </xf>
    <xf numFmtId="0" fontId="15" fillId="0" borderId="79" xfId="0" applyFont="1" applyBorder="1">
      <alignment vertical="center"/>
    </xf>
    <xf numFmtId="0" fontId="15" fillId="15" borderId="80" xfId="0" applyFont="1" applyFill="1" applyBorder="1" applyAlignment="1">
      <alignment horizontal="center" vertical="center"/>
    </xf>
    <xf numFmtId="0" fontId="15" fillId="0" borderId="80" xfId="0" applyFont="1" applyBorder="1" applyAlignment="1">
      <alignment horizontal="center" vertical="center"/>
    </xf>
    <xf numFmtId="0" fontId="15" fillId="0" borderId="32" xfId="0" applyFont="1" applyBorder="1" applyAlignment="1">
      <alignment horizontal="center" vertical="center" wrapText="1"/>
    </xf>
    <xf numFmtId="0" fontId="15" fillId="0" borderId="83" xfId="0" applyFont="1" applyBorder="1" applyAlignment="1">
      <alignment horizontal="center" vertical="center"/>
    </xf>
    <xf numFmtId="0" fontId="15" fillId="0" borderId="81" xfId="0" applyFont="1" applyBorder="1" applyAlignment="1">
      <alignment horizontal="center" vertical="center"/>
    </xf>
    <xf numFmtId="0" fontId="15" fillId="0" borderId="82" xfId="0" applyFont="1" applyBorder="1" applyAlignment="1">
      <alignment horizontal="center" vertical="center"/>
    </xf>
    <xf numFmtId="0" fontId="0" fillId="0" borderId="14" xfId="0" applyBorder="1" applyAlignment="1">
      <alignment vertical="center" wrapText="1"/>
    </xf>
    <xf numFmtId="0" fontId="22" fillId="0" borderId="0" xfId="0" applyFont="1">
      <alignment vertical="center"/>
    </xf>
    <xf numFmtId="0" fontId="19" fillId="0" borderId="0" xfId="0" applyFont="1">
      <alignment vertical="center"/>
    </xf>
    <xf numFmtId="0" fontId="23" fillId="12" borderId="42" xfId="0" applyFont="1" applyFill="1" applyBorder="1">
      <alignment vertical="center"/>
    </xf>
    <xf numFmtId="0" fontId="19" fillId="12" borderId="73" xfId="0" applyFont="1" applyFill="1" applyBorder="1">
      <alignment vertical="center"/>
    </xf>
    <xf numFmtId="0" fontId="19" fillId="12" borderId="43" xfId="0" applyFont="1" applyFill="1" applyBorder="1">
      <alignment vertical="center"/>
    </xf>
    <xf numFmtId="0" fontId="19" fillId="12" borderId="46" xfId="0" applyFont="1" applyFill="1" applyBorder="1">
      <alignment vertical="center"/>
    </xf>
    <xf numFmtId="0" fontId="19" fillId="12" borderId="23" xfId="0" applyFont="1" applyFill="1" applyBorder="1">
      <alignment vertical="center"/>
    </xf>
    <xf numFmtId="0" fontId="19" fillId="12" borderId="22" xfId="0" applyFont="1" applyFill="1" applyBorder="1">
      <alignment vertical="center"/>
    </xf>
    <xf numFmtId="0" fontId="19" fillId="12" borderId="19" xfId="0" applyFont="1" applyFill="1" applyBorder="1">
      <alignment vertical="center"/>
    </xf>
    <xf numFmtId="0" fontId="19" fillId="0" borderId="26" xfId="0" applyFont="1" applyBorder="1">
      <alignment vertical="center"/>
    </xf>
    <xf numFmtId="0" fontId="19" fillId="0" borderId="12" xfId="0" applyFont="1" applyBorder="1">
      <alignment vertical="center"/>
    </xf>
    <xf numFmtId="0" fontId="19" fillId="18" borderId="30" xfId="0" quotePrefix="1" applyFont="1" applyFill="1" applyBorder="1">
      <alignment vertical="center"/>
    </xf>
    <xf numFmtId="0" fontId="19" fillId="0" borderId="2" xfId="0" quotePrefix="1" applyFont="1" applyBorder="1">
      <alignment vertical="center"/>
    </xf>
    <xf numFmtId="0" fontId="19" fillId="0" borderId="26" xfId="0" quotePrefix="1" applyFont="1" applyBorder="1">
      <alignment vertical="center"/>
    </xf>
    <xf numFmtId="0" fontId="19" fillId="12" borderId="19" xfId="0" applyFont="1" applyFill="1" applyBorder="1" applyAlignment="1">
      <alignment vertical="center" wrapText="1"/>
    </xf>
    <xf numFmtId="0" fontId="19" fillId="0" borderId="2" xfId="0" applyFont="1" applyBorder="1">
      <alignment vertical="center"/>
    </xf>
    <xf numFmtId="0" fontId="19" fillId="14" borderId="32" xfId="0" applyFont="1" applyFill="1" applyBorder="1">
      <alignment vertical="center"/>
    </xf>
    <xf numFmtId="0" fontId="19" fillId="18" borderId="30" xfId="0" applyFont="1" applyFill="1" applyBorder="1" applyAlignment="1">
      <alignment vertical="center" textRotation="90"/>
    </xf>
    <xf numFmtId="0" fontId="19" fillId="0" borderId="26" xfId="0" applyFont="1" applyBorder="1" applyAlignment="1">
      <alignment vertical="center" wrapText="1"/>
    </xf>
    <xf numFmtId="0" fontId="19" fillId="12" borderId="47" xfId="0" applyFont="1" applyFill="1" applyBorder="1">
      <alignment vertical="center"/>
    </xf>
    <xf numFmtId="0" fontId="19" fillId="18" borderId="31" xfId="0" applyFont="1" applyFill="1" applyBorder="1" applyAlignment="1">
      <alignment vertical="center" wrapText="1"/>
    </xf>
    <xf numFmtId="0" fontId="19" fillId="18" borderId="16" xfId="0" applyFont="1" applyFill="1" applyBorder="1" applyAlignment="1">
      <alignment vertical="center" wrapText="1"/>
    </xf>
    <xf numFmtId="0" fontId="19" fillId="0" borderId="16" xfId="0" applyFont="1" applyBorder="1" applyAlignment="1">
      <alignment vertical="center" wrapText="1"/>
    </xf>
    <xf numFmtId="0" fontId="19" fillId="0" borderId="27" xfId="0" applyFont="1" applyBorder="1" applyAlignment="1">
      <alignment vertical="center" wrapText="1"/>
    </xf>
    <xf numFmtId="0" fontId="19" fillId="0" borderId="33" xfId="2" applyFont="1" applyBorder="1" applyAlignment="1">
      <alignment vertical="center" wrapText="1"/>
    </xf>
    <xf numFmtId="0" fontId="19" fillId="0" borderId="79" xfId="0" applyFont="1" applyBorder="1">
      <alignment vertical="center"/>
    </xf>
    <xf numFmtId="0" fontId="19" fillId="15" borderId="80" xfId="0" applyFont="1" applyFill="1" applyBorder="1" applyAlignment="1">
      <alignment horizontal="center" vertical="center"/>
    </xf>
    <xf numFmtId="0" fontId="19" fillId="0" borderId="80" xfId="0" applyFont="1" applyBorder="1" applyAlignment="1">
      <alignment horizontal="center" vertical="center"/>
    </xf>
    <xf numFmtId="0" fontId="19" fillId="0" borderId="81" xfId="0" applyFont="1" applyBorder="1" applyAlignment="1">
      <alignment horizontal="center" vertical="center"/>
    </xf>
    <xf numFmtId="0" fontId="19" fillId="0" borderId="84" xfId="0" applyFont="1" applyBorder="1" applyAlignment="1">
      <alignment horizontal="center" vertical="center"/>
    </xf>
    <xf numFmtId="0" fontId="19" fillId="0" borderId="82" xfId="0" applyFont="1" applyBorder="1" applyAlignment="1">
      <alignment horizontal="center" vertical="center" wrapText="1"/>
    </xf>
    <xf numFmtId="0" fontId="19" fillId="0" borderId="19" xfId="0" applyFont="1" applyBorder="1">
      <alignment vertical="center"/>
    </xf>
    <xf numFmtId="0" fontId="19" fillId="15" borderId="30" xfId="0" applyFont="1" applyFill="1" applyBorder="1" applyAlignment="1">
      <alignment horizontal="center" vertical="center"/>
    </xf>
    <xf numFmtId="0" fontId="19" fillId="0" borderId="30" xfId="0" applyFont="1" applyBorder="1" applyAlignment="1">
      <alignment horizontal="center" vertical="center"/>
    </xf>
    <xf numFmtId="0" fontId="19" fillId="0" borderId="26" xfId="0" applyFont="1" applyBorder="1" applyAlignment="1">
      <alignment horizontal="center" vertical="center"/>
    </xf>
    <xf numFmtId="0" fontId="19" fillId="0" borderId="7" xfId="0" applyFont="1" applyBorder="1" applyAlignment="1">
      <alignment horizontal="center" vertical="center"/>
    </xf>
    <xf numFmtId="0" fontId="19" fillId="0" borderId="32" xfId="0" applyFont="1" applyBorder="1" applyAlignment="1">
      <alignment horizontal="center" vertical="center" wrapText="1"/>
    </xf>
    <xf numFmtId="0" fontId="19" fillId="0" borderId="32" xfId="0" applyFont="1" applyBorder="1" applyAlignment="1">
      <alignment horizontal="center" vertical="center"/>
    </xf>
    <xf numFmtId="0" fontId="19" fillId="0" borderId="20" xfId="0" applyFont="1" applyBorder="1">
      <alignment vertical="center"/>
    </xf>
    <xf numFmtId="0" fontId="19" fillId="15" borderId="25" xfId="0" applyFont="1" applyFill="1" applyBorder="1" applyAlignment="1">
      <alignment horizontal="center" vertical="center"/>
    </xf>
    <xf numFmtId="0" fontId="19" fillId="0" borderId="25" xfId="0" applyFont="1" applyBorder="1" applyAlignment="1">
      <alignment horizontal="center" vertical="center"/>
    </xf>
    <xf numFmtId="0" fontId="19" fillId="0" borderId="29" xfId="0" applyFont="1" applyBorder="1" applyAlignment="1">
      <alignment horizontal="center" vertical="center"/>
    </xf>
    <xf numFmtId="0" fontId="19" fillId="0" borderId="10" xfId="0" applyFont="1" applyBorder="1" applyAlignment="1">
      <alignment horizontal="center" vertical="center"/>
    </xf>
    <xf numFmtId="0" fontId="19" fillId="0" borderId="34" xfId="0" applyFont="1" applyBorder="1" applyAlignment="1">
      <alignment horizontal="center" vertical="center"/>
    </xf>
    <xf numFmtId="0" fontId="19" fillId="0" borderId="9" xfId="0" applyFont="1" applyBorder="1" applyAlignment="1">
      <alignment horizontal="center" vertical="center"/>
    </xf>
    <xf numFmtId="0" fontId="19" fillId="0" borderId="48" xfId="0" applyFont="1" applyBorder="1">
      <alignment vertical="center"/>
    </xf>
    <xf numFmtId="0" fontId="19" fillId="15" borderId="24" xfId="0" applyFont="1" applyFill="1" applyBorder="1" applyAlignment="1">
      <alignment horizontal="center" vertical="center"/>
    </xf>
    <xf numFmtId="0" fontId="19" fillId="0" borderId="24" xfId="0" applyFont="1" applyBorder="1" applyAlignment="1">
      <alignment horizontal="center" vertical="center"/>
    </xf>
    <xf numFmtId="0" fontId="19" fillId="0" borderId="28" xfId="0" applyFont="1" applyBorder="1" applyAlignment="1">
      <alignment horizontal="center" vertical="center"/>
    </xf>
    <xf numFmtId="0" fontId="19" fillId="0" borderId="15" xfId="0" applyFont="1" applyBorder="1" applyAlignment="1">
      <alignment horizontal="center" vertical="center"/>
    </xf>
    <xf numFmtId="0" fontId="19" fillId="0" borderId="85" xfId="0" applyFont="1" applyBorder="1" applyAlignment="1">
      <alignment horizontal="center" vertical="center" wrapText="1"/>
    </xf>
    <xf numFmtId="0" fontId="19" fillId="0" borderId="76" xfId="0" applyFont="1" applyBorder="1">
      <alignment vertical="center"/>
    </xf>
    <xf numFmtId="0" fontId="19" fillId="15" borderId="64" xfId="0" applyFont="1" applyFill="1" applyBorder="1" applyAlignment="1">
      <alignment horizontal="center" vertical="center"/>
    </xf>
    <xf numFmtId="0" fontId="19" fillId="0" borderId="64" xfId="0" applyFont="1" applyBorder="1" applyAlignment="1">
      <alignment horizontal="center" vertical="center"/>
    </xf>
    <xf numFmtId="0" fontId="19" fillId="0" borderId="63" xfId="0" applyFont="1" applyBorder="1" applyAlignment="1">
      <alignment horizontal="center" vertical="center"/>
    </xf>
    <xf numFmtId="0" fontId="19" fillId="0" borderId="78" xfId="0" applyFont="1" applyBorder="1" applyAlignment="1">
      <alignment horizontal="center" vertical="center"/>
    </xf>
    <xf numFmtId="0" fontId="19" fillId="0" borderId="77" xfId="0" applyFont="1" applyBorder="1" applyAlignment="1">
      <alignment horizontal="center" vertical="center"/>
    </xf>
    <xf numFmtId="0" fontId="19" fillId="0" borderId="34" xfId="0" applyFont="1" applyBorder="1" applyAlignment="1">
      <alignment horizontal="center" vertical="center" wrapText="1"/>
    </xf>
    <xf numFmtId="0" fontId="19" fillId="13" borderId="73" xfId="0" applyFont="1" applyFill="1" applyBorder="1">
      <alignment vertical="center"/>
    </xf>
    <xf numFmtId="0" fontId="19" fillId="13" borderId="43" xfId="0" applyFont="1" applyFill="1" applyBorder="1">
      <alignment vertical="center"/>
    </xf>
    <xf numFmtId="0" fontId="19" fillId="12" borderId="18" xfId="0" applyFont="1" applyFill="1" applyBorder="1">
      <alignment vertical="center"/>
    </xf>
    <xf numFmtId="0" fontId="19" fillId="13" borderId="35" xfId="0" applyFont="1" applyFill="1" applyBorder="1">
      <alignment vertical="center"/>
    </xf>
    <xf numFmtId="0" fontId="19" fillId="13" borderId="23" xfId="0" applyFont="1" applyFill="1" applyBorder="1">
      <alignment vertical="center"/>
    </xf>
    <xf numFmtId="0" fontId="19" fillId="13" borderId="18" xfId="0" applyFont="1" applyFill="1" applyBorder="1">
      <alignment vertical="center"/>
    </xf>
    <xf numFmtId="0" fontId="19" fillId="22" borderId="12" xfId="0" applyFont="1" applyFill="1" applyBorder="1">
      <alignment vertical="center"/>
    </xf>
    <xf numFmtId="0" fontId="19" fillId="22" borderId="49" xfId="0" applyFont="1" applyFill="1" applyBorder="1">
      <alignment vertical="center"/>
    </xf>
    <xf numFmtId="0" fontId="19" fillId="0" borderId="30" xfId="0" applyFont="1" applyBorder="1">
      <alignment vertical="center"/>
    </xf>
    <xf numFmtId="0" fontId="19" fillId="20" borderId="30" xfId="0" applyFont="1" applyFill="1" applyBorder="1">
      <alignment vertical="center"/>
    </xf>
    <xf numFmtId="0" fontId="19" fillId="20" borderId="2" xfId="0" applyFont="1" applyFill="1" applyBorder="1">
      <alignment vertical="center"/>
    </xf>
    <xf numFmtId="0" fontId="19" fillId="18" borderId="30" xfId="0" applyFont="1" applyFill="1" applyBorder="1" applyAlignment="1">
      <alignment vertical="center" textRotation="255"/>
    </xf>
    <xf numFmtId="0" fontId="19" fillId="0" borderId="33" xfId="0" applyFont="1" applyBorder="1" applyAlignment="1">
      <alignment vertical="center" wrapText="1"/>
    </xf>
    <xf numFmtId="0" fontId="19" fillId="0" borderId="31" xfId="0" applyFont="1" applyBorder="1" applyAlignment="1">
      <alignment vertical="center" wrapText="1"/>
    </xf>
    <xf numFmtId="0" fontId="19" fillId="15" borderId="16" xfId="0" applyFont="1" applyFill="1" applyBorder="1">
      <alignment vertical="center"/>
    </xf>
    <xf numFmtId="0" fontId="19" fillId="15" borderId="17" xfId="0" applyFont="1" applyFill="1" applyBorder="1" applyAlignment="1">
      <alignment vertical="center" wrapText="1"/>
    </xf>
    <xf numFmtId="0" fontId="19" fillId="15" borderId="81" xfId="0" applyFont="1" applyFill="1" applyBorder="1" applyAlignment="1">
      <alignment horizontal="center" vertical="center"/>
    </xf>
    <xf numFmtId="0" fontId="19" fillId="0" borderId="82" xfId="0" applyFont="1" applyBorder="1" applyAlignment="1">
      <alignment horizontal="center" vertical="center"/>
    </xf>
    <xf numFmtId="0" fontId="19" fillId="15" borderId="83" xfId="0" applyFont="1" applyFill="1" applyBorder="1" applyAlignment="1">
      <alignment horizontal="center" vertical="center"/>
    </xf>
    <xf numFmtId="0" fontId="19" fillId="15" borderId="84" xfId="0" applyFont="1" applyFill="1" applyBorder="1" applyAlignment="1">
      <alignment horizontal="center" vertical="center"/>
    </xf>
    <xf numFmtId="0" fontId="19" fillId="15" borderId="26" xfId="0" applyFont="1" applyFill="1" applyBorder="1" applyAlignment="1">
      <alignment horizontal="center" vertical="center"/>
    </xf>
    <xf numFmtId="0" fontId="19" fillId="15" borderId="2" xfId="0" applyFont="1" applyFill="1" applyBorder="1" applyAlignment="1">
      <alignment horizontal="center" vertical="center"/>
    </xf>
    <xf numFmtId="0" fontId="19" fillId="15" borderId="7" xfId="0" applyFont="1" applyFill="1" applyBorder="1" applyAlignment="1">
      <alignment horizontal="center" vertical="center"/>
    </xf>
    <xf numFmtId="0" fontId="19" fillId="11" borderId="26" xfId="0" applyFont="1" applyFill="1" applyBorder="1" applyAlignment="1">
      <alignment horizontal="center" vertical="center"/>
    </xf>
    <xf numFmtId="0" fontId="19" fillId="24" borderId="26" xfId="0" applyFont="1" applyFill="1" applyBorder="1" applyAlignment="1">
      <alignment horizontal="center" vertical="center"/>
    </xf>
    <xf numFmtId="0" fontId="19" fillId="11" borderId="63" xfId="0" applyFont="1" applyFill="1" applyBorder="1" applyAlignment="1">
      <alignment horizontal="center" vertical="center"/>
    </xf>
    <xf numFmtId="0" fontId="19" fillId="24" borderId="63" xfId="0" applyFont="1" applyFill="1" applyBorder="1" applyAlignment="1">
      <alignment horizontal="center" vertical="center"/>
    </xf>
    <xf numFmtId="0" fontId="19" fillId="15" borderId="63" xfId="0" applyFont="1" applyFill="1" applyBorder="1" applyAlignment="1">
      <alignment horizontal="center" vertical="center"/>
    </xf>
    <xf numFmtId="0" fontId="19" fillId="15" borderId="61" xfId="0" applyFont="1" applyFill="1" applyBorder="1" applyAlignment="1">
      <alignment horizontal="center" vertical="center"/>
    </xf>
    <xf numFmtId="0" fontId="19" fillId="15" borderId="78" xfId="0" applyFont="1" applyFill="1" applyBorder="1" applyAlignment="1">
      <alignment horizontal="center" vertical="center"/>
    </xf>
    <xf numFmtId="0" fontId="0" fillId="0" borderId="14" xfId="0" applyBorder="1">
      <alignment vertical="center"/>
    </xf>
    <xf numFmtId="14" fontId="0" fillId="0" borderId="14" xfId="0" applyNumberFormat="1" applyBorder="1">
      <alignment vertical="center"/>
    </xf>
    <xf numFmtId="14" fontId="0" fillId="0" borderId="15" xfId="0" applyNumberFormat="1" applyBorder="1">
      <alignment vertical="center"/>
    </xf>
    <xf numFmtId="0" fontId="24" fillId="0" borderId="0" xfId="0" applyFont="1">
      <alignment vertical="center"/>
    </xf>
    <xf numFmtId="0" fontId="19" fillId="11" borderId="29" xfId="0" applyFont="1" applyFill="1" applyBorder="1" applyAlignment="1">
      <alignment horizontal="center" vertical="center"/>
    </xf>
    <xf numFmtId="0" fontId="19" fillId="24" borderId="29" xfId="0" applyFont="1" applyFill="1" applyBorder="1" applyAlignment="1">
      <alignment horizontal="center" vertical="center"/>
    </xf>
    <xf numFmtId="0" fontId="19" fillId="15" borderId="29" xfId="0" applyFont="1" applyFill="1" applyBorder="1" applyAlignment="1">
      <alignment horizontal="center" vertical="center"/>
    </xf>
    <xf numFmtId="0" fontId="19" fillId="15" borderId="9" xfId="0" applyFont="1" applyFill="1" applyBorder="1" applyAlignment="1">
      <alignment horizontal="center" vertical="center"/>
    </xf>
    <xf numFmtId="0" fontId="19" fillId="15" borderId="10" xfId="0" applyFont="1" applyFill="1" applyBorder="1" applyAlignment="1">
      <alignment horizontal="center" vertical="center"/>
    </xf>
    <xf numFmtId="0" fontId="0" fillId="12" borderId="7" xfId="0" applyFill="1" applyBorder="1" applyAlignment="1">
      <alignment vertical="center" wrapText="1"/>
    </xf>
    <xf numFmtId="0" fontId="0" fillId="12" borderId="7" xfId="0" applyFill="1" applyBorder="1" applyAlignment="1">
      <alignment horizontal="left" vertical="center" wrapText="1"/>
    </xf>
    <xf numFmtId="0" fontId="0" fillId="12" borderId="7" xfId="0" applyFill="1" applyBorder="1" applyAlignment="1" applyProtection="1">
      <alignment horizontal="left" vertical="center" wrapText="1"/>
    </xf>
    <xf numFmtId="0" fontId="25" fillId="0" borderId="0" xfId="0" applyFont="1">
      <alignment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9" fillId="0" borderId="72" xfId="0" applyFont="1" applyBorder="1" applyAlignment="1">
      <alignment horizontal="center" vertical="center"/>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18" borderId="26"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0" xfId="0" applyFont="1" applyFill="1" applyBorder="1" applyAlignment="1">
      <alignment horizontal="left" vertical="center"/>
    </xf>
    <xf numFmtId="0" fontId="19" fillId="18" borderId="67" xfId="0" applyFont="1" applyFill="1" applyBorder="1" applyAlignment="1">
      <alignment horizontal="left" vertical="center"/>
    </xf>
    <xf numFmtId="0" fontId="19" fillId="23" borderId="72" xfId="0" applyFont="1" applyFill="1" applyBorder="1" applyAlignment="1">
      <alignment horizontal="center" vertical="center"/>
    </xf>
    <xf numFmtId="0" fontId="19" fillId="23" borderId="73" xfId="0" applyFont="1" applyFill="1" applyBorder="1" applyAlignment="1">
      <alignment horizontal="center" vertical="center"/>
    </xf>
    <xf numFmtId="0" fontId="19" fillId="23" borderId="74" xfId="0" applyFont="1" applyFill="1" applyBorder="1" applyAlignment="1">
      <alignment horizontal="center" vertical="center"/>
    </xf>
    <xf numFmtId="0" fontId="15" fillId="23" borderId="72" xfId="0" applyFont="1" applyFill="1" applyBorder="1" applyAlignment="1">
      <alignment horizontal="center" vertical="center"/>
    </xf>
    <xf numFmtId="0" fontId="15" fillId="23" borderId="73" xfId="0" applyFont="1" applyFill="1" applyBorder="1" applyAlignment="1">
      <alignment horizontal="center" vertical="center"/>
    </xf>
    <xf numFmtId="0" fontId="15" fillId="23" borderId="74" xfId="0" applyFont="1" applyFill="1" applyBorder="1" applyAlignment="1">
      <alignment horizontal="center" vertical="center"/>
    </xf>
    <xf numFmtId="0" fontId="15" fillId="18" borderId="26"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0" xfId="0" applyFont="1" applyFill="1" applyBorder="1" applyAlignment="1">
      <alignment horizontal="left" vertical="center"/>
    </xf>
    <xf numFmtId="0" fontId="15" fillId="18" borderId="67" xfId="0" applyFont="1" applyFill="1" applyBorder="1" applyAlignment="1">
      <alignment horizontal="left" vertical="center"/>
    </xf>
  </cellXfs>
  <cellStyles count="3">
    <cellStyle name="ハイパーリンク" xfId="1" builtinId="8"/>
    <cellStyle name="標準" xfId="0" builtinId="0"/>
    <cellStyle name="標準 30 2" xfId="2" xr:uid="{00000000-0005-0000-0000-000002000000}"/>
  </cellStyles>
  <dxfs count="56">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CC"/>
      <color rgb="FF0000FF"/>
      <color rgb="FFCCECFF"/>
      <color rgb="FF99CCFF"/>
      <color rgb="FFCCFFFF"/>
      <color rgb="FFFF00FF"/>
      <color rgb="FFFFCC99"/>
      <color rgb="FFFFFF00"/>
      <color rgb="FFCCFDB1"/>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209550</xdr:colOff>
      <xdr:row>100</xdr:row>
      <xdr:rowOff>114300</xdr:rowOff>
    </xdr:from>
    <xdr:to>
      <xdr:col>35</xdr:col>
      <xdr:colOff>656577</xdr:colOff>
      <xdr:row>128</xdr:row>
      <xdr:rowOff>85127</xdr:rowOff>
    </xdr:to>
    <xdr:pic>
      <xdr:nvPicPr>
        <xdr:cNvPr id="332" name="図 331">
          <a:extLst>
            <a:ext uri="{FF2B5EF4-FFF2-40B4-BE49-F238E27FC236}">
              <a16:creationId xmlns:a16="http://schemas.microsoft.com/office/drawing/2014/main" id="{00000000-0008-0000-0600-00004C010000}"/>
            </a:ext>
          </a:extLst>
        </xdr:cNvPr>
        <xdr:cNvPicPr>
          <a:picLocks noChangeAspect="1"/>
        </xdr:cNvPicPr>
      </xdr:nvPicPr>
      <xdr:blipFill>
        <a:blip xmlns:r="http://schemas.openxmlformats.org/officeDocument/2006/relationships" r:embed="rId1"/>
        <a:stretch>
          <a:fillRect/>
        </a:stretch>
      </xdr:blipFill>
      <xdr:spPr>
        <a:xfrm>
          <a:off x="29337000" y="20250150"/>
          <a:ext cx="5180952" cy="4780952"/>
        </a:xfrm>
        <a:prstGeom prst="rect">
          <a:avLst/>
        </a:prstGeom>
      </xdr:spPr>
    </xdr:pic>
    <xdr:clientData/>
  </xdr:twoCellAnchor>
  <xdr:twoCellAnchor editAs="oneCell">
    <xdr:from>
      <xdr:col>28</xdr:col>
      <xdr:colOff>560294</xdr:colOff>
      <xdr:row>93</xdr:row>
      <xdr:rowOff>11208</xdr:rowOff>
    </xdr:from>
    <xdr:to>
      <xdr:col>35</xdr:col>
      <xdr:colOff>368110</xdr:colOff>
      <xdr:row>99</xdr:row>
      <xdr:rowOff>88392</xdr:rowOff>
    </xdr:to>
    <xdr:pic>
      <xdr:nvPicPr>
        <xdr:cNvPr id="323" name="図 322">
          <a:extLst>
            <a:ext uri="{FF2B5EF4-FFF2-40B4-BE49-F238E27FC236}">
              <a16:creationId xmlns:a16="http://schemas.microsoft.com/office/drawing/2014/main" id="{00000000-0008-0000-0600-000043010000}"/>
            </a:ext>
          </a:extLst>
        </xdr:cNvPr>
        <xdr:cNvPicPr>
          <a:picLocks noChangeAspect="1"/>
        </xdr:cNvPicPr>
      </xdr:nvPicPr>
      <xdr:blipFill>
        <a:blip xmlns:r="http://schemas.openxmlformats.org/officeDocument/2006/relationships" r:embed="rId2"/>
        <a:stretch>
          <a:fillRect/>
        </a:stretch>
      </xdr:blipFill>
      <xdr:spPr>
        <a:xfrm>
          <a:off x="29650765" y="18657796"/>
          <a:ext cx="4514286" cy="1085714"/>
        </a:xfrm>
        <a:prstGeom prst="rect">
          <a:avLst/>
        </a:prstGeom>
      </xdr:spPr>
    </xdr:pic>
    <xdr:clientData/>
  </xdr:twoCellAnchor>
  <xdr:twoCellAnchor editAs="oneCell">
    <xdr:from>
      <xdr:col>28</xdr:col>
      <xdr:colOff>470647</xdr:colOff>
      <xdr:row>59</xdr:row>
      <xdr:rowOff>145676</xdr:rowOff>
    </xdr:from>
    <xdr:to>
      <xdr:col>36</xdr:col>
      <xdr:colOff>253729</xdr:colOff>
      <xdr:row>92</xdr:row>
      <xdr:rowOff>8288</xdr:rowOff>
    </xdr:to>
    <xdr:pic>
      <xdr:nvPicPr>
        <xdr:cNvPr id="185" name="図 184">
          <a:extLst>
            <a:ext uri="{FF2B5EF4-FFF2-40B4-BE49-F238E27FC236}">
              <a16:creationId xmlns:a16="http://schemas.microsoft.com/office/drawing/2014/main" id="{00000000-0008-0000-0600-0000B9000000}"/>
            </a:ext>
          </a:extLst>
        </xdr:cNvPr>
        <xdr:cNvPicPr>
          <a:picLocks noChangeAspect="1"/>
        </xdr:cNvPicPr>
      </xdr:nvPicPr>
      <xdr:blipFill>
        <a:blip xmlns:r="http://schemas.openxmlformats.org/officeDocument/2006/relationships" r:embed="rId3"/>
        <a:stretch>
          <a:fillRect/>
        </a:stretch>
      </xdr:blipFill>
      <xdr:spPr>
        <a:xfrm>
          <a:off x="29561118" y="13077264"/>
          <a:ext cx="5161905" cy="5409524"/>
        </a:xfrm>
        <a:prstGeom prst="rect">
          <a:avLst/>
        </a:prstGeom>
      </xdr:spPr>
    </xdr:pic>
    <xdr:clientData/>
  </xdr:twoCellAnchor>
  <xdr:twoCellAnchor editAs="oneCell">
    <xdr:from>
      <xdr:col>28</xdr:col>
      <xdr:colOff>201706</xdr:colOff>
      <xdr:row>33</xdr:row>
      <xdr:rowOff>44824</xdr:rowOff>
    </xdr:from>
    <xdr:to>
      <xdr:col>36</xdr:col>
      <xdr:colOff>22883</xdr:colOff>
      <xdr:row>58</xdr:row>
      <xdr:rowOff>128332</xdr:rowOff>
    </xdr:to>
    <xdr:pic>
      <xdr:nvPicPr>
        <xdr:cNvPr id="184" name="図 183">
          <a:extLst>
            <a:ext uri="{FF2B5EF4-FFF2-40B4-BE49-F238E27FC236}">
              <a16:creationId xmlns:a16="http://schemas.microsoft.com/office/drawing/2014/main" id="{00000000-0008-0000-0600-0000B8000000}"/>
            </a:ext>
          </a:extLst>
        </xdr:cNvPr>
        <xdr:cNvPicPr>
          <a:picLocks noChangeAspect="1"/>
        </xdr:cNvPicPr>
      </xdr:nvPicPr>
      <xdr:blipFill>
        <a:blip xmlns:r="http://schemas.openxmlformats.org/officeDocument/2006/relationships" r:embed="rId4"/>
        <a:stretch>
          <a:fillRect/>
        </a:stretch>
      </xdr:blipFill>
      <xdr:spPr>
        <a:xfrm>
          <a:off x="29292177" y="8606118"/>
          <a:ext cx="5200000" cy="4285714"/>
        </a:xfrm>
        <a:prstGeom prst="rect">
          <a:avLst/>
        </a:prstGeom>
      </xdr:spPr>
    </xdr:pic>
    <xdr:clientData/>
  </xdr:twoCellAnchor>
  <xdr:twoCellAnchor editAs="oneCell">
    <xdr:from>
      <xdr:col>36</xdr:col>
      <xdr:colOff>257738</xdr:colOff>
      <xdr:row>6</xdr:row>
      <xdr:rowOff>33616</xdr:rowOff>
    </xdr:from>
    <xdr:to>
      <xdr:col>43</xdr:col>
      <xdr:colOff>665553</xdr:colOff>
      <xdr:row>9</xdr:row>
      <xdr:rowOff>1131009</xdr:rowOff>
    </xdr:to>
    <xdr:pic>
      <xdr:nvPicPr>
        <xdr:cNvPr id="16" name="図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5"/>
        <a:stretch>
          <a:fillRect/>
        </a:stretch>
      </xdr:blipFill>
      <xdr:spPr>
        <a:xfrm>
          <a:off x="34727032" y="1086969"/>
          <a:ext cx="5114286" cy="1780952"/>
        </a:xfrm>
        <a:prstGeom prst="rect">
          <a:avLst/>
        </a:prstGeom>
      </xdr:spPr>
    </xdr:pic>
    <xdr:clientData/>
  </xdr:twoCellAnchor>
  <xdr:twoCellAnchor editAs="oneCell">
    <xdr:from>
      <xdr:col>28</xdr:col>
      <xdr:colOff>100854</xdr:colOff>
      <xdr:row>6</xdr:row>
      <xdr:rowOff>78440</xdr:rowOff>
    </xdr:from>
    <xdr:to>
      <xdr:col>35</xdr:col>
      <xdr:colOff>489622</xdr:colOff>
      <xdr:row>9</xdr:row>
      <xdr:rowOff>1128214</xdr:rowOff>
    </xdr:to>
    <xdr:pic>
      <xdr:nvPicPr>
        <xdr:cNvPr id="18" name="図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6"/>
        <a:stretch>
          <a:fillRect/>
        </a:stretch>
      </xdr:blipFill>
      <xdr:spPr>
        <a:xfrm>
          <a:off x="29191325" y="1131793"/>
          <a:ext cx="5095238" cy="1733333"/>
        </a:xfrm>
        <a:prstGeom prst="rect">
          <a:avLst/>
        </a:prstGeom>
      </xdr:spPr>
    </xdr:pic>
    <xdr:clientData/>
  </xdr:twoCellAnchor>
  <xdr:twoCellAnchor editAs="oneCell">
    <xdr:from>
      <xdr:col>28</xdr:col>
      <xdr:colOff>56030</xdr:colOff>
      <xdr:row>9</xdr:row>
      <xdr:rowOff>1109383</xdr:rowOff>
    </xdr:from>
    <xdr:to>
      <xdr:col>35</xdr:col>
      <xdr:colOff>492417</xdr:colOff>
      <xdr:row>12</xdr:row>
      <xdr:rowOff>138663</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7"/>
        <a:stretch>
          <a:fillRect/>
        </a:stretch>
      </xdr:blipFill>
      <xdr:spPr>
        <a:xfrm>
          <a:off x="29243351" y="2891919"/>
          <a:ext cx="5198887" cy="2322208"/>
        </a:xfrm>
        <a:prstGeom prst="rect">
          <a:avLst/>
        </a:prstGeom>
      </xdr:spPr>
    </xdr:pic>
    <xdr:clientData/>
  </xdr:twoCellAnchor>
  <xdr:twoCellAnchor>
    <xdr:from>
      <xdr:col>1</xdr:col>
      <xdr:colOff>2194275</xdr:colOff>
      <xdr:row>110</xdr:row>
      <xdr:rowOff>46901</xdr:rowOff>
    </xdr:from>
    <xdr:to>
      <xdr:col>10</xdr:col>
      <xdr:colOff>268943</xdr:colOff>
      <xdr:row>114</xdr:row>
      <xdr:rowOff>21771</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2803875" y="21696666"/>
          <a:ext cx="4887844" cy="656187"/>
        </a:xfrm>
        <a:prstGeom prst="borderCallout1">
          <a:avLst>
            <a:gd name="adj1" fmla="val -50662"/>
            <a:gd name="adj2" fmla="val 4531"/>
            <a:gd name="adj3" fmla="val -1047"/>
            <a:gd name="adj4" fmla="val 9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実質</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ビットが両方立つとことはない想定だが、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時と同動作とする。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0</xdr:colOff>
      <xdr:row>4</xdr:row>
      <xdr:rowOff>0</xdr:rowOff>
    </xdr:from>
    <xdr:to>
      <xdr:col>10</xdr:col>
      <xdr:colOff>0</xdr:colOff>
      <xdr:row>5</xdr:row>
      <xdr:rowOff>0</xdr:rowOff>
    </xdr:to>
    <xdr:sp macro="" textlink="">
      <xdr:nvSpPr>
        <xdr:cNvPr id="124" name="正方形/長方形 123">
          <a:extLst>
            <a:ext uri="{FF2B5EF4-FFF2-40B4-BE49-F238E27FC236}">
              <a16:creationId xmlns:a16="http://schemas.microsoft.com/office/drawing/2014/main" id="{00000000-0008-0000-0600-00007C000000}"/>
            </a:ext>
          </a:extLst>
        </xdr:cNvPr>
        <xdr:cNvSpPr/>
      </xdr:nvSpPr>
      <xdr:spPr>
        <a:xfrm>
          <a:off x="6163235" y="694765"/>
          <a:ext cx="2061883"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605790</xdr:colOff>
      <xdr:row>76</xdr:row>
      <xdr:rowOff>0</xdr:rowOff>
    </xdr:from>
    <xdr:to>
      <xdr:col>21</xdr:col>
      <xdr:colOff>0</xdr:colOff>
      <xdr:row>108</xdr:row>
      <xdr:rowOff>1425</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605790" y="15789088"/>
          <a:ext cx="23778210" cy="53914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1426829</xdr:colOff>
      <xdr:row>0</xdr:row>
      <xdr:rowOff>52346</xdr:rowOff>
    </xdr:from>
    <xdr:to>
      <xdr:col>15</xdr:col>
      <xdr:colOff>119741</xdr:colOff>
      <xdr:row>3</xdr:row>
      <xdr:rowOff>65315</xdr:rowOff>
    </xdr:to>
    <xdr:sp macro="" textlink="">
      <xdr:nvSpPr>
        <xdr:cNvPr id="73" name="線吹き出し 1 (枠付き) 72">
          <a:extLst>
            <a:ext uri="{FF2B5EF4-FFF2-40B4-BE49-F238E27FC236}">
              <a16:creationId xmlns:a16="http://schemas.microsoft.com/office/drawing/2014/main" id="{00000000-0008-0000-0600-000049000000}"/>
            </a:ext>
          </a:extLst>
        </xdr:cNvPr>
        <xdr:cNvSpPr/>
      </xdr:nvSpPr>
      <xdr:spPr>
        <a:xfrm>
          <a:off x="9123029" y="52346"/>
          <a:ext cx="4625626" cy="502826"/>
        </a:xfrm>
        <a:prstGeom prst="borderCallout1">
          <a:avLst>
            <a:gd name="adj1" fmla="val 980448"/>
            <a:gd name="adj2" fmla="val -80147"/>
            <a:gd name="adj3" fmla="val 101907"/>
            <a:gd name="adj4" fmla="val 244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表示の仕様により、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IGN_OFF_WT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の情報を参照する必要あり。</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211087</xdr:colOff>
      <xdr:row>0</xdr:row>
      <xdr:rowOff>115484</xdr:rowOff>
    </xdr:from>
    <xdr:to>
      <xdr:col>11</xdr:col>
      <xdr:colOff>708990</xdr:colOff>
      <xdr:row>3</xdr:row>
      <xdr:rowOff>26503</xdr:rowOff>
    </xdr:to>
    <xdr:sp macro="" textlink="">
      <xdr:nvSpPr>
        <xdr:cNvPr id="324" name="線吹き出し 1 (枠付き) 323">
          <a:extLst>
            <a:ext uri="{FF2B5EF4-FFF2-40B4-BE49-F238E27FC236}">
              <a16:creationId xmlns:a16="http://schemas.microsoft.com/office/drawing/2014/main" id="{00000000-0008-0000-0600-000044010000}"/>
            </a:ext>
          </a:extLst>
        </xdr:cNvPr>
        <xdr:cNvSpPr/>
      </xdr:nvSpPr>
      <xdr:spPr>
        <a:xfrm>
          <a:off x="5995661" y="115484"/>
          <a:ext cx="3698303" cy="407976"/>
        </a:xfrm>
        <a:prstGeom prst="borderCallout1">
          <a:avLst>
            <a:gd name="adj1" fmla="val 136404"/>
            <a:gd name="adj2" fmla="val -12608"/>
            <a:gd name="adj3" fmla="val 40318"/>
            <a:gd name="adj4" fmla="val -3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以上での判定のため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MatrixSearch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p>
      </xdr:txBody>
    </xdr:sp>
    <xdr:clientData/>
  </xdr:twoCellAnchor>
  <xdr:twoCellAnchor>
    <xdr:from>
      <xdr:col>6</xdr:col>
      <xdr:colOff>6569</xdr:colOff>
      <xdr:row>12</xdr:row>
      <xdr:rowOff>1296</xdr:rowOff>
    </xdr:from>
    <xdr:to>
      <xdr:col>7</xdr:col>
      <xdr:colOff>0</xdr:colOff>
      <xdr:row>44</xdr:row>
      <xdr:rowOff>0</xdr:rowOff>
    </xdr:to>
    <xdr:sp macro="" textlink="">
      <xdr:nvSpPr>
        <xdr:cNvPr id="325" name="正方形/長方形 324">
          <a:extLst>
            <a:ext uri="{FF2B5EF4-FFF2-40B4-BE49-F238E27FC236}">
              <a16:creationId xmlns:a16="http://schemas.microsoft.com/office/drawing/2014/main" id="{00000000-0008-0000-0600-000045010000}"/>
            </a:ext>
          </a:extLst>
        </xdr:cNvPr>
        <xdr:cNvSpPr/>
      </xdr:nvSpPr>
      <xdr:spPr>
        <a:xfrm>
          <a:off x="5209940" y="4921639"/>
          <a:ext cx="222031" cy="52238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10886</xdr:colOff>
      <xdr:row>9</xdr:row>
      <xdr:rowOff>11206</xdr:rowOff>
    </xdr:from>
    <xdr:to>
      <xdr:col>11</xdr:col>
      <xdr:colOff>0</xdr:colOff>
      <xdr:row>107</xdr:row>
      <xdr:rowOff>174170</xdr:rowOff>
    </xdr:to>
    <xdr:sp macro="" textlink="">
      <xdr:nvSpPr>
        <xdr:cNvPr id="66" name="正方形/長方形 65">
          <a:extLst>
            <a:ext uri="{FF2B5EF4-FFF2-40B4-BE49-F238E27FC236}">
              <a16:creationId xmlns:a16="http://schemas.microsoft.com/office/drawing/2014/main" id="{00000000-0008-0000-0600-000042000000}"/>
            </a:ext>
          </a:extLst>
        </xdr:cNvPr>
        <xdr:cNvSpPr/>
      </xdr:nvSpPr>
      <xdr:spPr>
        <a:xfrm>
          <a:off x="8236004" y="1748118"/>
          <a:ext cx="1737231" cy="194258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417284</xdr:colOff>
      <xdr:row>110</xdr:row>
      <xdr:rowOff>73183</xdr:rowOff>
    </xdr:from>
    <xdr:to>
      <xdr:col>24</xdr:col>
      <xdr:colOff>8353</xdr:colOff>
      <xdr:row>118</xdr:row>
      <xdr:rowOff>37169</xdr:rowOff>
    </xdr:to>
    <xdr:sp macro="" textlink="">
      <xdr:nvSpPr>
        <xdr:cNvPr id="67" name="線吹き出し 1 (枠付き) 66">
          <a:extLst>
            <a:ext uri="{FF2B5EF4-FFF2-40B4-BE49-F238E27FC236}">
              <a16:creationId xmlns:a16="http://schemas.microsoft.com/office/drawing/2014/main" id="{00000000-0008-0000-0600-000043000000}"/>
            </a:ext>
          </a:extLst>
        </xdr:cNvPr>
        <xdr:cNvSpPr/>
      </xdr:nvSpPr>
      <xdr:spPr>
        <a:xfrm>
          <a:off x="20523693" y="22101910"/>
          <a:ext cx="5929524" cy="1349441"/>
        </a:xfrm>
        <a:prstGeom prst="borderCallout1">
          <a:avLst>
            <a:gd name="adj1" fmla="val -28111"/>
            <a:gd name="adj2" fmla="val -192735"/>
            <a:gd name="adj3" fmla="val 55421"/>
            <a:gd name="adj4" fmla="val -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スロープ位置情報信号判定</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SLP_POS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の開メッセージ表示条件を満たす、満たさないを判定した結果を設定</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SLP_POS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　スロープ開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SLP_POS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　スロープ閉</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587831</xdr:colOff>
      <xdr:row>4</xdr:row>
      <xdr:rowOff>10886</xdr:rowOff>
    </xdr:from>
    <xdr:to>
      <xdr:col>26</xdr:col>
      <xdr:colOff>435431</xdr:colOff>
      <xdr:row>7</xdr:row>
      <xdr:rowOff>10822</xdr:rowOff>
    </xdr:to>
    <xdr:sp macro="" textlink="">
      <xdr:nvSpPr>
        <xdr:cNvPr id="70" name="正方形/長方形 69">
          <a:extLst>
            <a:ext uri="{FF2B5EF4-FFF2-40B4-BE49-F238E27FC236}">
              <a16:creationId xmlns:a16="http://schemas.microsoft.com/office/drawing/2014/main" id="{00000000-0008-0000-0600-000046000000}"/>
            </a:ext>
          </a:extLst>
        </xdr:cNvPr>
        <xdr:cNvSpPr/>
      </xdr:nvSpPr>
      <xdr:spPr>
        <a:xfrm>
          <a:off x="22544317" y="696686"/>
          <a:ext cx="2895600" cy="52245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差分は</a:t>
          </a:r>
          <a:r>
            <a:rPr kumimoji="1" lang="ja-JP" altLang="en-US" sz="1200" b="1">
              <a:solidFill>
                <a:srgbClr val="FF0000"/>
              </a:solidFill>
              <a:latin typeface="Meiryo UI" panose="020B0604030504040204" pitchFamily="50" charset="-128"/>
              <a:ea typeface="Meiryo UI" panose="020B0604030504040204" pitchFamily="50" charset="-128"/>
            </a:rPr>
            <a:t>赤文字</a:t>
          </a:r>
          <a:r>
            <a:rPr kumimoji="1" lang="ja-JP" altLang="en-US" sz="1200" b="1">
              <a:solidFill>
                <a:sysClr val="windowText" lastClr="000000"/>
              </a:solidFill>
              <a:latin typeface="Meiryo UI" panose="020B0604030504040204" pitchFamily="50" charset="-128"/>
              <a:ea typeface="Meiryo UI" panose="020B0604030504040204" pitchFamily="50" charset="-128"/>
            </a:rPr>
            <a:t>で記載</a:t>
          </a:r>
        </a:p>
      </xdr:txBody>
    </xdr:sp>
    <xdr:clientData/>
  </xdr:twoCellAnchor>
  <xdr:twoCellAnchor editAs="oneCell">
    <xdr:from>
      <xdr:col>28</xdr:col>
      <xdr:colOff>69272</xdr:colOff>
      <xdr:row>19</xdr:row>
      <xdr:rowOff>156110</xdr:rowOff>
    </xdr:from>
    <xdr:to>
      <xdr:col>32</xdr:col>
      <xdr:colOff>596346</xdr:colOff>
      <xdr:row>21</xdr:row>
      <xdr:rowOff>147559</xdr:rowOff>
    </xdr:to>
    <xdr:sp macro="" textlink="">
      <xdr:nvSpPr>
        <xdr:cNvPr id="78" name="テキスト ボックス 77">
          <a:extLst>
            <a:ext uri="{FF2B5EF4-FFF2-40B4-BE49-F238E27FC236}">
              <a16:creationId xmlns:a16="http://schemas.microsoft.com/office/drawing/2014/main" id="{00000000-0008-0000-0600-00004E000000}"/>
            </a:ext>
          </a:extLst>
        </xdr:cNvPr>
        <xdr:cNvSpPr txBox="1"/>
      </xdr:nvSpPr>
      <xdr:spPr>
        <a:xfrm>
          <a:off x="29256593" y="6469824"/>
          <a:ext cx="3248503" cy="345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ysClr val="windowText" lastClr="000000"/>
              </a:solidFill>
            </a:rPr>
            <a:t>MET-B_TDOOR-CSTD-0-03-C-C5.doc</a:t>
          </a:r>
          <a:endParaRPr kumimoji="1" lang="ja-JP" altLang="en-US" sz="1100" b="1">
            <a:solidFill>
              <a:sysClr val="windowText" lastClr="000000"/>
            </a:solidFill>
          </a:endParaRPr>
        </a:p>
      </xdr:txBody>
    </xdr:sp>
    <xdr:clientData/>
  </xdr:twoCellAnchor>
  <xdr:twoCellAnchor editAs="oneCell">
    <xdr:from>
      <xdr:col>28</xdr:col>
      <xdr:colOff>582705</xdr:colOff>
      <xdr:row>35</xdr:row>
      <xdr:rowOff>145677</xdr:rowOff>
    </xdr:from>
    <xdr:to>
      <xdr:col>31</xdr:col>
      <xdr:colOff>11206</xdr:colOff>
      <xdr:row>41</xdr:row>
      <xdr:rowOff>156882</xdr:rowOff>
    </xdr:to>
    <xdr:sp macro="" textlink="">
      <xdr:nvSpPr>
        <xdr:cNvPr id="80" name="正方形/長方形 79">
          <a:extLst>
            <a:ext uri="{FF2B5EF4-FFF2-40B4-BE49-F238E27FC236}">
              <a16:creationId xmlns:a16="http://schemas.microsoft.com/office/drawing/2014/main" id="{00000000-0008-0000-0600-000050000000}"/>
            </a:ext>
          </a:extLst>
        </xdr:cNvPr>
        <xdr:cNvSpPr/>
      </xdr:nvSpPr>
      <xdr:spPr>
        <a:xfrm>
          <a:off x="29673176" y="9043148"/>
          <a:ext cx="1445559" cy="10197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37</xdr:col>
      <xdr:colOff>648153</xdr:colOff>
      <xdr:row>34</xdr:row>
      <xdr:rowOff>7844</xdr:rowOff>
    </xdr:from>
    <xdr:to>
      <xdr:col>45</xdr:col>
      <xdr:colOff>132963</xdr:colOff>
      <xdr:row>38</xdr:row>
      <xdr:rowOff>117016</xdr:rowOff>
    </xdr:to>
    <xdr:sp macro="" textlink="">
      <xdr:nvSpPr>
        <xdr:cNvPr id="81" name="線吹き出し 1 (枠付き) 80">
          <a:extLst>
            <a:ext uri="{FF2B5EF4-FFF2-40B4-BE49-F238E27FC236}">
              <a16:creationId xmlns:a16="http://schemas.microsoft.com/office/drawing/2014/main" id="{00000000-0008-0000-0600-000051000000}"/>
            </a:ext>
          </a:extLst>
        </xdr:cNvPr>
        <xdr:cNvSpPr/>
      </xdr:nvSpPr>
      <xdr:spPr>
        <a:xfrm>
          <a:off x="36157353" y="9380444"/>
          <a:ext cx="4971210" cy="871172"/>
        </a:xfrm>
        <a:prstGeom prst="borderCallout1">
          <a:avLst>
            <a:gd name="adj1" fmla="val 103848"/>
            <a:gd name="adj2" fmla="val -90999"/>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DCTY,PCTY,RRCY,RLCY,BCTY</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LGCY</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の信号値で判断する</a:t>
          </a:r>
        </a:p>
      </xdr:txBody>
    </xdr:sp>
    <xdr:clientData/>
  </xdr:twoCellAnchor>
  <xdr:twoCellAnchor editAs="oneCell">
    <xdr:from>
      <xdr:col>29</xdr:col>
      <xdr:colOff>33617</xdr:colOff>
      <xdr:row>60</xdr:row>
      <xdr:rowOff>134471</xdr:rowOff>
    </xdr:from>
    <xdr:to>
      <xdr:col>36</xdr:col>
      <xdr:colOff>268941</xdr:colOff>
      <xdr:row>68</xdr:row>
      <xdr:rowOff>22412</xdr:rowOff>
    </xdr:to>
    <xdr:sp macro="" textlink="">
      <xdr:nvSpPr>
        <xdr:cNvPr id="82" name="正方形/長方形 81">
          <a:extLst>
            <a:ext uri="{FF2B5EF4-FFF2-40B4-BE49-F238E27FC236}">
              <a16:creationId xmlns:a16="http://schemas.microsoft.com/office/drawing/2014/main" id="{00000000-0008-0000-0600-000052000000}"/>
            </a:ext>
          </a:extLst>
        </xdr:cNvPr>
        <xdr:cNvSpPr/>
      </xdr:nvSpPr>
      <xdr:spPr>
        <a:xfrm>
          <a:off x="29796441" y="13234147"/>
          <a:ext cx="4941794" cy="12326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38</xdr:col>
      <xdr:colOff>14457</xdr:colOff>
      <xdr:row>63</xdr:row>
      <xdr:rowOff>41356</xdr:rowOff>
    </xdr:from>
    <xdr:to>
      <xdr:col>44</xdr:col>
      <xdr:colOff>280512</xdr:colOff>
      <xdr:row>69</xdr:row>
      <xdr:rowOff>155480</xdr:rowOff>
    </xdr:to>
    <xdr:sp macro="" textlink="">
      <xdr:nvSpPr>
        <xdr:cNvPr id="83" name="線吹き出し 1 (枠付き) 82">
          <a:extLst>
            <a:ext uri="{FF2B5EF4-FFF2-40B4-BE49-F238E27FC236}">
              <a16:creationId xmlns:a16="http://schemas.microsoft.com/office/drawing/2014/main" id="{00000000-0008-0000-0600-000053000000}"/>
            </a:ext>
          </a:extLst>
        </xdr:cNvPr>
        <xdr:cNvSpPr/>
      </xdr:nvSpPr>
      <xdr:spPr>
        <a:xfrm>
          <a:off x="35828457" y="13645297"/>
          <a:ext cx="4300173" cy="1122654"/>
        </a:xfrm>
        <a:prstGeom prst="borderCallout1">
          <a:avLst>
            <a:gd name="adj1" fmla="val 12265"/>
            <a:gd name="adj2" fmla="val -25568"/>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ハンドル条件は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では考慮不要</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→ハンドル条件は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TFT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へのドア開閉表示時に必要な情報であり、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では意識する必要が無いため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37</xdr:col>
      <xdr:colOff>420106</xdr:colOff>
      <xdr:row>43</xdr:row>
      <xdr:rowOff>2596</xdr:rowOff>
    </xdr:from>
    <xdr:to>
      <xdr:col>48</xdr:col>
      <xdr:colOff>2486</xdr:colOff>
      <xdr:row>49</xdr:row>
      <xdr:rowOff>17624</xdr:rowOff>
    </xdr:to>
    <xdr:sp macro="" textlink="">
      <xdr:nvSpPr>
        <xdr:cNvPr id="85" name="線吹き出し 1 (枠付き) 84">
          <a:extLst>
            <a:ext uri="{FF2B5EF4-FFF2-40B4-BE49-F238E27FC236}">
              <a16:creationId xmlns:a16="http://schemas.microsoft.com/office/drawing/2014/main" id="{00000000-0008-0000-0600-000055000000}"/>
            </a:ext>
          </a:extLst>
        </xdr:cNvPr>
        <xdr:cNvSpPr/>
      </xdr:nvSpPr>
      <xdr:spPr>
        <a:xfrm>
          <a:off x="35561753" y="10244772"/>
          <a:ext cx="6978262" cy="1023558"/>
        </a:xfrm>
        <a:prstGeom prst="borderCallout1">
          <a:avLst>
            <a:gd name="adj1" fmla="val 93350"/>
            <a:gd name="adj2" fmla="val -15052"/>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表示車速ではないため、公差補正前の、車速</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(u1_g_VehspdKmphInst)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4.00km/h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で走行中→停車中遷移、</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5.00km/h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で停車中→走行中遷移とする。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504265</xdr:colOff>
      <xdr:row>45</xdr:row>
      <xdr:rowOff>89647</xdr:rowOff>
    </xdr:from>
    <xdr:to>
      <xdr:col>36</xdr:col>
      <xdr:colOff>33618</xdr:colOff>
      <xdr:row>51</xdr:row>
      <xdr:rowOff>156883</xdr:rowOff>
    </xdr:to>
    <xdr:sp macro="" textlink="">
      <xdr:nvSpPr>
        <xdr:cNvPr id="86" name="正方形/長方形 85">
          <a:extLst>
            <a:ext uri="{FF2B5EF4-FFF2-40B4-BE49-F238E27FC236}">
              <a16:creationId xmlns:a16="http://schemas.microsoft.com/office/drawing/2014/main" id="{00000000-0008-0000-0600-000056000000}"/>
            </a:ext>
          </a:extLst>
        </xdr:cNvPr>
        <xdr:cNvSpPr/>
      </xdr:nvSpPr>
      <xdr:spPr>
        <a:xfrm>
          <a:off x="29594736" y="10668000"/>
          <a:ext cx="4908176" cy="10757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29</xdr:col>
      <xdr:colOff>78441</xdr:colOff>
      <xdr:row>68</xdr:row>
      <xdr:rowOff>89648</xdr:rowOff>
    </xdr:from>
    <xdr:to>
      <xdr:col>36</xdr:col>
      <xdr:colOff>268941</xdr:colOff>
      <xdr:row>70</xdr:row>
      <xdr:rowOff>145677</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29841265" y="14534030"/>
          <a:ext cx="4896970" cy="39220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29</xdr:col>
      <xdr:colOff>112058</xdr:colOff>
      <xdr:row>73</xdr:row>
      <xdr:rowOff>156882</xdr:rowOff>
    </xdr:from>
    <xdr:to>
      <xdr:col>36</xdr:col>
      <xdr:colOff>201706</xdr:colOff>
      <xdr:row>89</xdr:row>
      <xdr:rowOff>156883</xdr:rowOff>
    </xdr:to>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29874882" y="15441706"/>
          <a:ext cx="4796118" cy="268941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37</xdr:col>
      <xdr:colOff>601255</xdr:colOff>
      <xdr:row>77</xdr:row>
      <xdr:rowOff>166523</xdr:rowOff>
    </xdr:from>
    <xdr:to>
      <xdr:col>42</xdr:col>
      <xdr:colOff>125506</xdr:colOff>
      <xdr:row>96</xdr:row>
      <xdr:rowOff>121920</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35742902" y="16123699"/>
          <a:ext cx="2886016" cy="3149074"/>
        </a:xfrm>
        <a:prstGeom prst="borderCallout1">
          <a:avLst>
            <a:gd name="adj1" fmla="val 21800"/>
            <a:gd name="adj2" fmla="val -36912"/>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下記の信号値で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制御</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DCTY</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PCTY</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RRCY</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RLCY</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BCTY</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LGCY</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HDCY_BDB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RPSDWARN</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LPSDWARN</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SLP_POS</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ハンドル条件は考慮不要</a:t>
          </a:r>
        </a:p>
      </xdr:txBody>
    </xdr:sp>
    <xdr:clientData/>
  </xdr:twoCellAnchor>
  <xdr:twoCellAnchor editAs="oneCell">
    <xdr:from>
      <xdr:col>38</xdr:col>
      <xdr:colOff>2125</xdr:colOff>
      <xdr:row>74</xdr:row>
      <xdr:rowOff>62225</xdr:rowOff>
    </xdr:from>
    <xdr:to>
      <xdr:col>42</xdr:col>
      <xdr:colOff>126202</xdr:colOff>
      <xdr:row>77</xdr:row>
      <xdr:rowOff>36961</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35816125" y="15515137"/>
          <a:ext cx="2813489" cy="479000"/>
        </a:xfrm>
        <a:prstGeom prst="borderCallout1">
          <a:avLst>
            <a:gd name="adj1" fmla="val 65344"/>
            <a:gd name="adj2" fmla="val -44904"/>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表示内容は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では考慮不要</a:t>
          </a:r>
        </a:p>
      </xdr:txBody>
    </xdr:sp>
    <xdr:clientData/>
  </xdr:twoCellAnchor>
  <xdr:twoCellAnchor editAs="oneCell">
    <xdr:from>
      <xdr:col>32</xdr:col>
      <xdr:colOff>534830</xdr:colOff>
      <xdr:row>94</xdr:row>
      <xdr:rowOff>121970</xdr:rowOff>
    </xdr:from>
    <xdr:to>
      <xdr:col>35</xdr:col>
      <xdr:colOff>581361</xdr:colOff>
      <xdr:row>95</xdr:row>
      <xdr:rowOff>112059</xdr:rowOff>
    </xdr:to>
    <xdr:sp macro="" textlink="">
      <xdr:nvSpPr>
        <xdr:cNvPr id="93" name="正方形/長方形 92">
          <a:extLst>
            <a:ext uri="{FF2B5EF4-FFF2-40B4-BE49-F238E27FC236}">
              <a16:creationId xmlns:a16="http://schemas.microsoft.com/office/drawing/2014/main" id="{00000000-0008-0000-0600-00005D000000}"/>
            </a:ext>
          </a:extLst>
        </xdr:cNvPr>
        <xdr:cNvSpPr/>
      </xdr:nvSpPr>
      <xdr:spPr>
        <a:xfrm>
          <a:off x="32314712" y="18936646"/>
          <a:ext cx="2063590" cy="1581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37</xdr:col>
      <xdr:colOff>577131</xdr:colOff>
      <xdr:row>97</xdr:row>
      <xdr:rowOff>63762</xdr:rowOff>
    </xdr:from>
    <xdr:to>
      <xdr:col>46</xdr:col>
      <xdr:colOff>17930</xdr:colOff>
      <xdr:row>102</xdr:row>
      <xdr:rowOff>72054</xdr:rowOff>
    </xdr:to>
    <xdr:sp macro="" textlink="">
      <xdr:nvSpPr>
        <xdr:cNvPr id="94" name="線吹き出し 1 (枠付き) 93">
          <a:extLst>
            <a:ext uri="{FF2B5EF4-FFF2-40B4-BE49-F238E27FC236}">
              <a16:creationId xmlns:a16="http://schemas.microsoft.com/office/drawing/2014/main" id="{00000000-0008-0000-0600-00005E000000}"/>
            </a:ext>
          </a:extLst>
        </xdr:cNvPr>
        <xdr:cNvSpPr/>
      </xdr:nvSpPr>
      <xdr:spPr>
        <a:xfrm>
          <a:off x="35718778" y="19382703"/>
          <a:ext cx="5491976" cy="848733"/>
        </a:xfrm>
        <a:prstGeom prst="borderCallout1">
          <a:avLst>
            <a:gd name="adj1" fmla="val -42405"/>
            <a:gd name="adj2" fmla="val -24251"/>
            <a:gd name="adj3" fmla="val 49779"/>
            <a:gd name="adj4" fmla="val 5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中にドア開状態変化発生で、カウントリセットが必要になるため、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モジュール内部でドア開状態を保持し、変化を検出する</a:t>
          </a:r>
        </a:p>
      </xdr:txBody>
    </xdr:sp>
    <xdr:clientData/>
  </xdr:twoCellAnchor>
  <xdr:twoCellAnchor editAs="oneCell">
    <xdr:from>
      <xdr:col>29</xdr:col>
      <xdr:colOff>121730</xdr:colOff>
      <xdr:row>78</xdr:row>
      <xdr:rowOff>69170</xdr:rowOff>
    </xdr:from>
    <xdr:to>
      <xdr:col>34</xdr:col>
      <xdr:colOff>100853</xdr:colOff>
      <xdr:row>79</xdr:row>
      <xdr:rowOff>56029</xdr:rowOff>
    </xdr:to>
    <xdr:sp macro="" textlink="">
      <xdr:nvSpPr>
        <xdr:cNvPr id="96" name="正方形/長方形 95">
          <a:extLst>
            <a:ext uri="{FF2B5EF4-FFF2-40B4-BE49-F238E27FC236}">
              <a16:creationId xmlns:a16="http://schemas.microsoft.com/office/drawing/2014/main" id="{00000000-0008-0000-0600-000060000000}"/>
            </a:ext>
          </a:extLst>
        </xdr:cNvPr>
        <xdr:cNvSpPr/>
      </xdr:nvSpPr>
      <xdr:spPr>
        <a:xfrm>
          <a:off x="29884554" y="16194435"/>
          <a:ext cx="3340887" cy="1549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29</xdr:col>
      <xdr:colOff>112956</xdr:colOff>
      <xdr:row>85</xdr:row>
      <xdr:rowOff>105783</xdr:rowOff>
    </xdr:from>
    <xdr:to>
      <xdr:col>34</xdr:col>
      <xdr:colOff>89648</xdr:colOff>
      <xdr:row>87</xdr:row>
      <xdr:rowOff>44823</xdr:rowOff>
    </xdr:to>
    <xdr:sp macro="" textlink="">
      <xdr:nvSpPr>
        <xdr:cNvPr id="97" name="正方形/長方形 96">
          <a:extLst>
            <a:ext uri="{FF2B5EF4-FFF2-40B4-BE49-F238E27FC236}">
              <a16:creationId xmlns:a16="http://schemas.microsoft.com/office/drawing/2014/main" id="{00000000-0008-0000-0600-000061000000}"/>
            </a:ext>
          </a:extLst>
        </xdr:cNvPr>
        <xdr:cNvSpPr/>
      </xdr:nvSpPr>
      <xdr:spPr>
        <a:xfrm>
          <a:off x="29875780" y="17407665"/>
          <a:ext cx="3338456" cy="275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38</xdr:col>
      <xdr:colOff>29648</xdr:colOff>
      <xdr:row>70</xdr:row>
      <xdr:rowOff>68372</xdr:rowOff>
    </xdr:from>
    <xdr:to>
      <xdr:col>43</xdr:col>
      <xdr:colOff>268942</xdr:colOff>
      <xdr:row>73</xdr:row>
      <xdr:rowOff>148908</xdr:rowOff>
    </xdr:to>
    <xdr:sp macro="" textlink="">
      <xdr:nvSpPr>
        <xdr:cNvPr id="98" name="線吹き出し 1 (枠付き) 97">
          <a:extLst>
            <a:ext uri="{FF2B5EF4-FFF2-40B4-BE49-F238E27FC236}">
              <a16:creationId xmlns:a16="http://schemas.microsoft.com/office/drawing/2014/main" id="{00000000-0008-0000-0600-000062000000}"/>
            </a:ext>
          </a:extLst>
        </xdr:cNvPr>
        <xdr:cNvSpPr/>
      </xdr:nvSpPr>
      <xdr:spPr>
        <a:xfrm>
          <a:off x="35843648" y="14848931"/>
          <a:ext cx="3601059" cy="584801"/>
        </a:xfrm>
        <a:prstGeom prst="borderCallout1">
          <a:avLst>
            <a:gd name="adj1" fmla="val -22583"/>
            <a:gd name="adj2" fmla="val -30828"/>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側で実施。本モジュールでは考慮不要。</a:t>
          </a:r>
        </a:p>
      </xdr:txBody>
    </xdr:sp>
    <xdr:clientData/>
  </xdr:twoCellAnchor>
  <xdr:twoCellAnchor editAs="oneCell">
    <xdr:from>
      <xdr:col>24</xdr:col>
      <xdr:colOff>8353</xdr:colOff>
      <xdr:row>86</xdr:row>
      <xdr:rowOff>75303</xdr:rowOff>
    </xdr:from>
    <xdr:to>
      <xdr:col>29</xdr:col>
      <xdr:colOff>112956</xdr:colOff>
      <xdr:row>114</xdr:row>
      <xdr:rowOff>55176</xdr:rowOff>
    </xdr:to>
    <xdr:cxnSp macro="">
      <xdr:nvCxnSpPr>
        <xdr:cNvPr id="100" name="直線コネクタ 99">
          <a:extLst>
            <a:ext uri="{FF2B5EF4-FFF2-40B4-BE49-F238E27FC236}">
              <a16:creationId xmlns:a16="http://schemas.microsoft.com/office/drawing/2014/main" id="{00000000-0008-0000-0600-000064000000}"/>
            </a:ext>
          </a:extLst>
        </xdr:cNvPr>
        <xdr:cNvCxnSpPr>
          <a:stCxn id="67" idx="0"/>
          <a:endCxn id="97" idx="1"/>
        </xdr:cNvCxnSpPr>
      </xdr:nvCxnSpPr>
      <xdr:spPr>
        <a:xfrm flipV="1">
          <a:off x="26409412" y="17545274"/>
          <a:ext cx="3466368" cy="469754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407894</xdr:colOff>
      <xdr:row>97</xdr:row>
      <xdr:rowOff>62748</xdr:rowOff>
    </xdr:from>
    <xdr:to>
      <xdr:col>34</xdr:col>
      <xdr:colOff>168088</xdr:colOff>
      <xdr:row>98</xdr:row>
      <xdr:rowOff>44824</xdr:rowOff>
    </xdr:to>
    <xdr:sp macro="" textlink="">
      <xdr:nvSpPr>
        <xdr:cNvPr id="103" name="正方形/長方形 102">
          <a:extLst>
            <a:ext uri="{FF2B5EF4-FFF2-40B4-BE49-F238E27FC236}">
              <a16:creationId xmlns:a16="http://schemas.microsoft.com/office/drawing/2014/main" id="{00000000-0008-0000-0600-000067000000}"/>
            </a:ext>
          </a:extLst>
        </xdr:cNvPr>
        <xdr:cNvSpPr/>
      </xdr:nvSpPr>
      <xdr:spPr>
        <a:xfrm>
          <a:off x="30170718" y="19381689"/>
          <a:ext cx="3121958" cy="15016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34</xdr:col>
      <xdr:colOff>168088</xdr:colOff>
      <xdr:row>97</xdr:row>
      <xdr:rowOff>137830</xdr:rowOff>
    </xdr:from>
    <xdr:to>
      <xdr:col>37</xdr:col>
      <xdr:colOff>577131</xdr:colOff>
      <xdr:row>99</xdr:row>
      <xdr:rowOff>151952</xdr:rowOff>
    </xdr:to>
    <xdr:cxnSp macro="">
      <xdr:nvCxnSpPr>
        <xdr:cNvPr id="104" name="直線コネクタ 103">
          <a:extLst>
            <a:ext uri="{FF2B5EF4-FFF2-40B4-BE49-F238E27FC236}">
              <a16:creationId xmlns:a16="http://schemas.microsoft.com/office/drawing/2014/main" id="{00000000-0008-0000-0600-000068000000}"/>
            </a:ext>
          </a:extLst>
        </xdr:cNvPr>
        <xdr:cNvCxnSpPr>
          <a:stCxn id="94" idx="2"/>
          <a:endCxn id="103" idx="3"/>
        </xdr:cNvCxnSpPr>
      </xdr:nvCxnSpPr>
      <xdr:spPr>
        <a:xfrm flipH="1" flipV="1">
          <a:off x="33292676" y="19456771"/>
          <a:ext cx="2426102" cy="35029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431939</xdr:colOff>
      <xdr:row>104</xdr:row>
      <xdr:rowOff>138735</xdr:rowOff>
    </xdr:from>
    <xdr:to>
      <xdr:col>35</xdr:col>
      <xdr:colOff>657225</xdr:colOff>
      <xdr:row>107</xdr:row>
      <xdr:rowOff>171451</xdr:rowOff>
    </xdr:to>
    <xdr:sp macro="" textlink="">
      <xdr:nvSpPr>
        <xdr:cNvPr id="109" name="正方形/長方形 108">
          <a:extLst>
            <a:ext uri="{FF2B5EF4-FFF2-40B4-BE49-F238E27FC236}">
              <a16:creationId xmlns:a16="http://schemas.microsoft.com/office/drawing/2014/main" id="{00000000-0008-0000-0600-00006D000000}"/>
            </a:ext>
          </a:extLst>
        </xdr:cNvPr>
        <xdr:cNvSpPr/>
      </xdr:nvSpPr>
      <xdr:spPr>
        <a:xfrm>
          <a:off x="30911939" y="20960385"/>
          <a:ext cx="3606661" cy="5470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37</xdr:col>
      <xdr:colOff>517912</xdr:colOff>
      <xdr:row>111</xdr:row>
      <xdr:rowOff>49340</xdr:rowOff>
    </xdr:from>
    <xdr:to>
      <xdr:col>43</xdr:col>
      <xdr:colOff>671234</xdr:colOff>
      <xdr:row>116</xdr:row>
      <xdr:rowOff>126874</xdr:rowOff>
    </xdr:to>
    <xdr:sp macro="" textlink="">
      <xdr:nvSpPr>
        <xdr:cNvPr id="110" name="線吹き出し 1 (枠付き) 109">
          <a:extLst>
            <a:ext uri="{FF2B5EF4-FFF2-40B4-BE49-F238E27FC236}">
              <a16:creationId xmlns:a16="http://schemas.microsoft.com/office/drawing/2014/main" id="{00000000-0008-0000-0600-00006E000000}"/>
            </a:ext>
          </a:extLst>
        </xdr:cNvPr>
        <xdr:cNvSpPr/>
      </xdr:nvSpPr>
      <xdr:spPr>
        <a:xfrm>
          <a:off x="35731837" y="22080665"/>
          <a:ext cx="4210972" cy="934784"/>
        </a:xfrm>
        <a:prstGeom prst="borderCallout1">
          <a:avLst>
            <a:gd name="adj1" fmla="val -91151"/>
            <a:gd name="adj2" fmla="val -28344"/>
            <a:gd name="adj3" fmla="val 51707"/>
            <a:gd name="adj4" fmla="val -1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各ドア信号が途絶した場合、</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中は最終状態保持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中は表示なしとなるように設計する</a:t>
          </a:r>
        </a:p>
      </xdr:txBody>
    </xdr:sp>
    <xdr:clientData/>
  </xdr:twoCellAnchor>
  <xdr:twoCellAnchor editAs="oneCell">
    <xdr:from>
      <xdr:col>30</xdr:col>
      <xdr:colOff>409699</xdr:colOff>
      <xdr:row>117</xdr:row>
      <xdr:rowOff>43561</xdr:rowOff>
    </xdr:from>
    <xdr:to>
      <xdr:col>35</xdr:col>
      <xdr:colOff>657225</xdr:colOff>
      <xdr:row>120</xdr:row>
      <xdr:rowOff>114300</xdr:rowOff>
    </xdr:to>
    <xdr:sp macro="" textlink="">
      <xdr:nvSpPr>
        <xdr:cNvPr id="111" name="正方形/長方形 110">
          <a:extLst>
            <a:ext uri="{FF2B5EF4-FFF2-40B4-BE49-F238E27FC236}">
              <a16:creationId xmlns:a16="http://schemas.microsoft.com/office/drawing/2014/main" id="{00000000-0008-0000-0600-00006F000000}"/>
            </a:ext>
          </a:extLst>
        </xdr:cNvPr>
        <xdr:cNvSpPr/>
      </xdr:nvSpPr>
      <xdr:spPr>
        <a:xfrm>
          <a:off x="30889699" y="23103586"/>
          <a:ext cx="3628901" cy="58508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35</xdr:col>
      <xdr:colOff>657225</xdr:colOff>
      <xdr:row>114</xdr:row>
      <xdr:rowOff>2382</xdr:rowOff>
    </xdr:from>
    <xdr:to>
      <xdr:col>37</xdr:col>
      <xdr:colOff>517912</xdr:colOff>
      <xdr:row>118</xdr:row>
      <xdr:rowOff>164656</xdr:rowOff>
    </xdr:to>
    <xdr:cxnSp macro="">
      <xdr:nvCxnSpPr>
        <xdr:cNvPr id="112" name="直線コネクタ 111">
          <a:extLst>
            <a:ext uri="{FF2B5EF4-FFF2-40B4-BE49-F238E27FC236}">
              <a16:creationId xmlns:a16="http://schemas.microsoft.com/office/drawing/2014/main" id="{00000000-0008-0000-0600-000070000000}"/>
            </a:ext>
          </a:extLst>
        </xdr:cNvPr>
        <xdr:cNvCxnSpPr>
          <a:stCxn id="110" idx="2"/>
          <a:endCxn id="111" idx="3"/>
        </xdr:cNvCxnSpPr>
      </xdr:nvCxnSpPr>
      <xdr:spPr>
        <a:xfrm flipH="1">
          <a:off x="34518600" y="22548057"/>
          <a:ext cx="1213237" cy="84807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428256</xdr:colOff>
      <xdr:row>111</xdr:row>
      <xdr:rowOff>56651</xdr:rowOff>
    </xdr:from>
    <xdr:to>
      <xdr:col>34</xdr:col>
      <xdr:colOff>272085</xdr:colOff>
      <xdr:row>112</xdr:row>
      <xdr:rowOff>19050</xdr:rowOff>
    </xdr:to>
    <xdr:sp macro="" textlink="">
      <xdr:nvSpPr>
        <xdr:cNvPr id="113" name="正方形/長方形 112">
          <a:extLst>
            <a:ext uri="{FF2B5EF4-FFF2-40B4-BE49-F238E27FC236}">
              <a16:creationId xmlns:a16="http://schemas.microsoft.com/office/drawing/2014/main" id="{00000000-0008-0000-0600-000071000000}"/>
            </a:ext>
          </a:extLst>
        </xdr:cNvPr>
        <xdr:cNvSpPr/>
      </xdr:nvSpPr>
      <xdr:spPr>
        <a:xfrm>
          <a:off x="30908256" y="22087976"/>
          <a:ext cx="2548929" cy="13384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22</xdr:col>
      <xdr:colOff>393816</xdr:colOff>
      <xdr:row>119</xdr:row>
      <xdr:rowOff>66743</xdr:rowOff>
    </xdr:from>
    <xdr:to>
      <xdr:col>27</xdr:col>
      <xdr:colOff>571446</xdr:colOff>
      <xdr:row>122</xdr:row>
      <xdr:rowOff>161924</xdr:rowOff>
    </xdr:to>
    <xdr:sp macro="" textlink="">
      <xdr:nvSpPr>
        <xdr:cNvPr id="114" name="線吹き出し 1 (枠付き) 113">
          <a:extLst>
            <a:ext uri="{FF2B5EF4-FFF2-40B4-BE49-F238E27FC236}">
              <a16:creationId xmlns:a16="http://schemas.microsoft.com/office/drawing/2014/main" id="{00000000-0008-0000-0600-000072000000}"/>
            </a:ext>
          </a:extLst>
        </xdr:cNvPr>
        <xdr:cNvSpPr/>
      </xdr:nvSpPr>
      <xdr:spPr>
        <a:xfrm>
          <a:off x="25463616" y="23469668"/>
          <a:ext cx="3559005" cy="609531"/>
        </a:xfrm>
        <a:prstGeom prst="borderCallout1">
          <a:avLst>
            <a:gd name="adj1" fmla="val -212345"/>
            <a:gd name="adj2" fmla="val 153222"/>
            <a:gd name="adj3" fmla="val -566"/>
            <a:gd name="adj4" fmla="val 820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車速に関して、正常に取得できていない場合は、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停車中となるように設計する</a:t>
          </a:r>
        </a:p>
      </xdr:txBody>
    </xdr:sp>
    <xdr:clientData/>
  </xdr:twoCellAnchor>
  <xdr:twoCellAnchor editAs="oneCell">
    <xdr:from>
      <xdr:col>30</xdr:col>
      <xdr:colOff>411784</xdr:colOff>
      <xdr:row>124</xdr:row>
      <xdr:rowOff>122948</xdr:rowOff>
    </xdr:from>
    <xdr:to>
      <xdr:col>35</xdr:col>
      <xdr:colOff>657225</xdr:colOff>
      <xdr:row>127</xdr:row>
      <xdr:rowOff>47625</xdr:rowOff>
    </xdr:to>
    <xdr:sp macro="" textlink="">
      <xdr:nvSpPr>
        <xdr:cNvPr id="117" name="正方形/長方形 116">
          <a:extLst>
            <a:ext uri="{FF2B5EF4-FFF2-40B4-BE49-F238E27FC236}">
              <a16:creationId xmlns:a16="http://schemas.microsoft.com/office/drawing/2014/main" id="{00000000-0008-0000-0600-000075000000}"/>
            </a:ext>
          </a:extLst>
        </xdr:cNvPr>
        <xdr:cNvSpPr/>
      </xdr:nvSpPr>
      <xdr:spPr>
        <a:xfrm>
          <a:off x="30891784" y="24383123"/>
          <a:ext cx="3626816" cy="43902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35</xdr:col>
      <xdr:colOff>657225</xdr:colOff>
      <xdr:row>114</xdr:row>
      <xdr:rowOff>2382</xdr:rowOff>
    </xdr:from>
    <xdr:to>
      <xdr:col>37</xdr:col>
      <xdr:colOff>517912</xdr:colOff>
      <xdr:row>126</xdr:row>
      <xdr:rowOff>2924</xdr:rowOff>
    </xdr:to>
    <xdr:cxnSp macro="">
      <xdr:nvCxnSpPr>
        <xdr:cNvPr id="118" name="直線コネクタ 117">
          <a:extLst>
            <a:ext uri="{FF2B5EF4-FFF2-40B4-BE49-F238E27FC236}">
              <a16:creationId xmlns:a16="http://schemas.microsoft.com/office/drawing/2014/main" id="{00000000-0008-0000-0600-000076000000}"/>
            </a:ext>
          </a:extLst>
        </xdr:cNvPr>
        <xdr:cNvCxnSpPr>
          <a:stCxn id="110" idx="2"/>
          <a:endCxn id="117" idx="3"/>
        </xdr:cNvCxnSpPr>
      </xdr:nvCxnSpPr>
      <xdr:spPr>
        <a:xfrm flipH="1">
          <a:off x="34518600" y="22548057"/>
          <a:ext cx="1213237" cy="205458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51</xdr:col>
      <xdr:colOff>579503</xdr:colOff>
      <xdr:row>65</xdr:row>
      <xdr:rowOff>148345</xdr:rowOff>
    </xdr:from>
    <xdr:to>
      <xdr:col>59</xdr:col>
      <xdr:colOff>485775</xdr:colOff>
      <xdr:row>111</xdr:row>
      <xdr:rowOff>47626</xdr:rowOff>
    </xdr:to>
    <xdr:sp macro="" textlink="">
      <xdr:nvSpPr>
        <xdr:cNvPr id="127" name="正方形/長方形 126">
          <a:extLst>
            <a:ext uri="{FF2B5EF4-FFF2-40B4-BE49-F238E27FC236}">
              <a16:creationId xmlns:a16="http://schemas.microsoft.com/office/drawing/2014/main" id="{00000000-0008-0000-0600-00007F000000}"/>
            </a:ext>
          </a:extLst>
        </xdr:cNvPr>
        <xdr:cNvSpPr/>
      </xdr:nvSpPr>
      <xdr:spPr>
        <a:xfrm>
          <a:off x="45261278" y="14283445"/>
          <a:ext cx="5316472" cy="779550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45</xdr:col>
      <xdr:colOff>538523</xdr:colOff>
      <xdr:row>64</xdr:row>
      <xdr:rowOff>150800</xdr:rowOff>
    </xdr:from>
    <xdr:to>
      <xdr:col>51</xdr:col>
      <xdr:colOff>96709</xdr:colOff>
      <xdr:row>67</xdr:row>
      <xdr:rowOff>141800</xdr:rowOff>
    </xdr:to>
    <xdr:sp macro="" textlink="">
      <xdr:nvSpPr>
        <xdr:cNvPr id="128" name="線吹き出し 1 (枠付き) 127">
          <a:extLst>
            <a:ext uri="{FF2B5EF4-FFF2-40B4-BE49-F238E27FC236}">
              <a16:creationId xmlns:a16="http://schemas.microsoft.com/office/drawing/2014/main" id="{00000000-0008-0000-0600-000080000000}"/>
            </a:ext>
          </a:extLst>
        </xdr:cNvPr>
        <xdr:cNvSpPr/>
      </xdr:nvSpPr>
      <xdr:spPr>
        <a:xfrm>
          <a:off x="41162648" y="14114450"/>
          <a:ext cx="3615836" cy="505350"/>
        </a:xfrm>
        <a:prstGeom prst="borderCallout1">
          <a:avLst>
            <a:gd name="adj1" fmla="val 88391"/>
            <a:gd name="adj2" fmla="val 113702"/>
            <a:gd name="adj3" fmla="val 42117"/>
            <a:gd name="adj4" fmla="val 1011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アニメーション表示は、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a:t>
          </a:r>
        </a:p>
      </xdr:txBody>
    </xdr:sp>
    <xdr:clientData/>
  </xdr:twoCellAnchor>
  <xdr:twoCellAnchor editAs="oneCell">
    <xdr:from>
      <xdr:col>28</xdr:col>
      <xdr:colOff>196882</xdr:colOff>
      <xdr:row>14</xdr:row>
      <xdr:rowOff>146477</xdr:rowOff>
    </xdr:from>
    <xdr:to>
      <xdr:col>35</xdr:col>
      <xdr:colOff>217715</xdr:colOff>
      <xdr:row>17</xdr:row>
      <xdr:rowOff>27213</xdr:rowOff>
    </xdr:to>
    <xdr:sp macro="" textlink="">
      <xdr:nvSpPr>
        <xdr:cNvPr id="130" name="線吹き出し 1 (枠付き) 129">
          <a:extLst>
            <a:ext uri="{FF2B5EF4-FFF2-40B4-BE49-F238E27FC236}">
              <a16:creationId xmlns:a16="http://schemas.microsoft.com/office/drawing/2014/main" id="{00000000-0008-0000-0600-000082000000}"/>
            </a:ext>
          </a:extLst>
        </xdr:cNvPr>
        <xdr:cNvSpPr/>
      </xdr:nvSpPr>
      <xdr:spPr>
        <a:xfrm>
          <a:off x="29384203" y="5575727"/>
          <a:ext cx="4783333" cy="411415"/>
        </a:xfrm>
        <a:prstGeom prst="borderCallout1">
          <a:avLst>
            <a:gd name="adj1" fmla="val -137825"/>
            <a:gd name="adj2" fmla="val 42791"/>
            <a:gd name="adj3" fmla="val 640"/>
            <a:gd name="adj4" fmla="val 257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入力</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CAN</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信号が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M_REMWAR</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の制御仕様に記載ないため、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30</xdr:col>
      <xdr:colOff>672352</xdr:colOff>
      <xdr:row>7</xdr:row>
      <xdr:rowOff>134471</xdr:rowOff>
    </xdr:from>
    <xdr:to>
      <xdr:col>31</xdr:col>
      <xdr:colOff>571500</xdr:colOff>
      <xdr:row>11</xdr:row>
      <xdr:rowOff>134472</xdr:rowOff>
    </xdr:to>
    <xdr:sp macro="" textlink="">
      <xdr:nvSpPr>
        <xdr:cNvPr id="131" name="正方形/長方形 130">
          <a:extLst>
            <a:ext uri="{FF2B5EF4-FFF2-40B4-BE49-F238E27FC236}">
              <a16:creationId xmlns:a16="http://schemas.microsoft.com/office/drawing/2014/main" id="{00000000-0008-0000-0600-000083000000}"/>
            </a:ext>
          </a:extLst>
        </xdr:cNvPr>
        <xdr:cNvSpPr/>
      </xdr:nvSpPr>
      <xdr:spPr>
        <a:xfrm>
          <a:off x="31107528" y="1355912"/>
          <a:ext cx="571501" cy="36307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24</xdr:col>
      <xdr:colOff>8353</xdr:colOff>
      <xdr:row>78</xdr:row>
      <xdr:rowOff>146644</xdr:rowOff>
    </xdr:from>
    <xdr:to>
      <xdr:col>29</xdr:col>
      <xdr:colOff>121730</xdr:colOff>
      <xdr:row>114</xdr:row>
      <xdr:rowOff>55176</xdr:rowOff>
    </xdr:to>
    <xdr:cxnSp macro="">
      <xdr:nvCxnSpPr>
        <xdr:cNvPr id="115" name="直線コネクタ 114">
          <a:extLst>
            <a:ext uri="{FF2B5EF4-FFF2-40B4-BE49-F238E27FC236}">
              <a16:creationId xmlns:a16="http://schemas.microsoft.com/office/drawing/2014/main" id="{00000000-0008-0000-0600-000073000000}"/>
            </a:ext>
          </a:extLst>
        </xdr:cNvPr>
        <xdr:cNvCxnSpPr>
          <a:stCxn id="67" idx="0"/>
          <a:endCxn id="96" idx="1"/>
        </xdr:cNvCxnSpPr>
      </xdr:nvCxnSpPr>
      <xdr:spPr>
        <a:xfrm flipV="1">
          <a:off x="26409412" y="16271909"/>
          <a:ext cx="3475142" cy="597091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201706</xdr:colOff>
      <xdr:row>9</xdr:row>
      <xdr:rowOff>1120588</xdr:rowOff>
    </xdr:from>
    <xdr:to>
      <xdr:col>43</xdr:col>
      <xdr:colOff>647616</xdr:colOff>
      <xdr:row>12</xdr:row>
      <xdr:rowOff>130821</xdr:rowOff>
    </xdr:to>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8"/>
        <a:stretch>
          <a:fillRect/>
        </a:stretch>
      </xdr:blipFill>
      <xdr:spPr>
        <a:xfrm>
          <a:off x="34671000" y="2857500"/>
          <a:ext cx="5152381" cy="2304762"/>
        </a:xfrm>
        <a:prstGeom prst="rect">
          <a:avLst/>
        </a:prstGeom>
      </xdr:spPr>
    </xdr:pic>
    <xdr:clientData/>
  </xdr:twoCellAnchor>
  <xdr:twoCellAnchor editAs="oneCell">
    <xdr:from>
      <xdr:col>39</xdr:col>
      <xdr:colOff>156881</xdr:colOff>
      <xdr:row>7</xdr:row>
      <xdr:rowOff>134471</xdr:rowOff>
    </xdr:from>
    <xdr:to>
      <xdr:col>40</xdr:col>
      <xdr:colOff>56029</xdr:colOff>
      <xdr:row>11</xdr:row>
      <xdr:rowOff>134472</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36643234" y="1355912"/>
          <a:ext cx="571501" cy="36307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44</xdr:col>
      <xdr:colOff>347386</xdr:colOff>
      <xdr:row>6</xdr:row>
      <xdr:rowOff>89646</xdr:rowOff>
    </xdr:from>
    <xdr:to>
      <xdr:col>52</xdr:col>
      <xdr:colOff>130468</xdr:colOff>
      <xdr:row>9</xdr:row>
      <xdr:rowOff>1120373</xdr:rowOff>
    </xdr:to>
    <xdr:pic>
      <xdr:nvPicPr>
        <xdr:cNvPr id="19" name="図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9"/>
        <a:stretch>
          <a:fillRect/>
        </a:stretch>
      </xdr:blipFill>
      <xdr:spPr>
        <a:xfrm>
          <a:off x="40195504" y="1142999"/>
          <a:ext cx="5161905" cy="1714286"/>
        </a:xfrm>
        <a:prstGeom prst="rect">
          <a:avLst/>
        </a:prstGeom>
      </xdr:spPr>
    </xdr:pic>
    <xdr:clientData/>
  </xdr:twoCellAnchor>
  <xdr:twoCellAnchor editAs="oneCell">
    <xdr:from>
      <xdr:col>44</xdr:col>
      <xdr:colOff>358588</xdr:colOff>
      <xdr:row>9</xdr:row>
      <xdr:rowOff>1120589</xdr:rowOff>
    </xdr:from>
    <xdr:to>
      <xdr:col>52</xdr:col>
      <xdr:colOff>113098</xdr:colOff>
      <xdr:row>12</xdr:row>
      <xdr:rowOff>140346</xdr:rowOff>
    </xdr:to>
    <xdr:pic>
      <xdr:nvPicPr>
        <xdr:cNvPr id="20" name="図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0"/>
        <a:stretch>
          <a:fillRect/>
        </a:stretch>
      </xdr:blipFill>
      <xdr:spPr>
        <a:xfrm>
          <a:off x="40206706" y="2857501"/>
          <a:ext cx="5133333" cy="2314286"/>
        </a:xfrm>
        <a:prstGeom prst="rect">
          <a:avLst/>
        </a:prstGeom>
      </xdr:spPr>
    </xdr:pic>
    <xdr:clientData/>
  </xdr:twoCellAnchor>
  <xdr:twoCellAnchor editAs="oneCell">
    <xdr:from>
      <xdr:col>47</xdr:col>
      <xdr:colOff>280146</xdr:colOff>
      <xdr:row>7</xdr:row>
      <xdr:rowOff>134471</xdr:rowOff>
    </xdr:from>
    <xdr:to>
      <xdr:col>48</xdr:col>
      <xdr:colOff>179294</xdr:colOff>
      <xdr:row>11</xdr:row>
      <xdr:rowOff>134472</xdr:rowOff>
    </xdr:to>
    <xdr:sp macro="" textlink="">
      <xdr:nvSpPr>
        <xdr:cNvPr id="77" name="正方形/長方形 76">
          <a:extLst>
            <a:ext uri="{FF2B5EF4-FFF2-40B4-BE49-F238E27FC236}">
              <a16:creationId xmlns:a16="http://schemas.microsoft.com/office/drawing/2014/main" id="{00000000-0008-0000-0600-00004D000000}"/>
            </a:ext>
          </a:extLst>
        </xdr:cNvPr>
        <xdr:cNvSpPr/>
      </xdr:nvSpPr>
      <xdr:spPr>
        <a:xfrm>
          <a:off x="42145322" y="1355912"/>
          <a:ext cx="571501" cy="36307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53</xdr:col>
      <xdr:colOff>56030</xdr:colOff>
      <xdr:row>6</xdr:row>
      <xdr:rowOff>67234</xdr:rowOff>
    </xdr:from>
    <xdr:to>
      <xdr:col>60</xdr:col>
      <xdr:colOff>482892</xdr:colOff>
      <xdr:row>9</xdr:row>
      <xdr:rowOff>1117008</xdr:rowOff>
    </xdr:to>
    <xdr:pic>
      <xdr:nvPicPr>
        <xdr:cNvPr id="21" name="図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1"/>
        <a:stretch>
          <a:fillRect/>
        </a:stretch>
      </xdr:blipFill>
      <xdr:spPr>
        <a:xfrm>
          <a:off x="45955324" y="1120587"/>
          <a:ext cx="5133333" cy="1733333"/>
        </a:xfrm>
        <a:prstGeom prst="rect">
          <a:avLst/>
        </a:prstGeom>
      </xdr:spPr>
    </xdr:pic>
    <xdr:clientData/>
  </xdr:twoCellAnchor>
  <xdr:twoCellAnchor editAs="oneCell">
    <xdr:from>
      <xdr:col>53</xdr:col>
      <xdr:colOff>56030</xdr:colOff>
      <xdr:row>9</xdr:row>
      <xdr:rowOff>1120588</xdr:rowOff>
    </xdr:from>
    <xdr:to>
      <xdr:col>60</xdr:col>
      <xdr:colOff>444797</xdr:colOff>
      <xdr:row>12</xdr:row>
      <xdr:rowOff>111773</xdr:rowOff>
    </xdr:to>
    <xdr:pic>
      <xdr:nvPicPr>
        <xdr:cNvPr id="22" name="図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2"/>
        <a:stretch>
          <a:fillRect/>
        </a:stretch>
      </xdr:blipFill>
      <xdr:spPr>
        <a:xfrm>
          <a:off x="45955324" y="2857500"/>
          <a:ext cx="5095238" cy="2285714"/>
        </a:xfrm>
        <a:prstGeom prst="rect">
          <a:avLst/>
        </a:prstGeom>
      </xdr:spPr>
    </xdr:pic>
    <xdr:clientData/>
  </xdr:twoCellAnchor>
  <xdr:twoCellAnchor editAs="oneCell">
    <xdr:from>
      <xdr:col>55</xdr:col>
      <xdr:colOff>638733</xdr:colOff>
      <xdr:row>7</xdr:row>
      <xdr:rowOff>134471</xdr:rowOff>
    </xdr:from>
    <xdr:to>
      <xdr:col>56</xdr:col>
      <xdr:colOff>537881</xdr:colOff>
      <xdr:row>11</xdr:row>
      <xdr:rowOff>134472</xdr:rowOff>
    </xdr:to>
    <xdr:sp macro="" textlink="">
      <xdr:nvSpPr>
        <xdr:cNvPr id="84" name="正方形/長方形 83">
          <a:extLst>
            <a:ext uri="{FF2B5EF4-FFF2-40B4-BE49-F238E27FC236}">
              <a16:creationId xmlns:a16="http://schemas.microsoft.com/office/drawing/2014/main" id="{00000000-0008-0000-0600-000054000000}"/>
            </a:ext>
          </a:extLst>
        </xdr:cNvPr>
        <xdr:cNvSpPr/>
      </xdr:nvSpPr>
      <xdr:spPr>
        <a:xfrm>
          <a:off x="47882733" y="1355912"/>
          <a:ext cx="571501" cy="36307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61</xdr:col>
      <xdr:colOff>336177</xdr:colOff>
      <xdr:row>6</xdr:row>
      <xdr:rowOff>78441</xdr:rowOff>
    </xdr:from>
    <xdr:to>
      <xdr:col>69</xdr:col>
      <xdr:colOff>90687</xdr:colOff>
      <xdr:row>9</xdr:row>
      <xdr:rowOff>1118692</xdr:rowOff>
    </xdr:to>
    <xdr:pic>
      <xdr:nvPicPr>
        <xdr:cNvPr id="23" name="図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13"/>
        <a:stretch>
          <a:fillRect/>
        </a:stretch>
      </xdr:blipFill>
      <xdr:spPr>
        <a:xfrm>
          <a:off x="51614295" y="1131794"/>
          <a:ext cx="5133333" cy="1723810"/>
        </a:xfrm>
        <a:prstGeom prst="rect">
          <a:avLst/>
        </a:prstGeom>
      </xdr:spPr>
    </xdr:pic>
    <xdr:clientData/>
  </xdr:twoCellAnchor>
  <xdr:twoCellAnchor editAs="oneCell">
    <xdr:from>
      <xdr:col>61</xdr:col>
      <xdr:colOff>336173</xdr:colOff>
      <xdr:row>9</xdr:row>
      <xdr:rowOff>1131794</xdr:rowOff>
    </xdr:from>
    <xdr:to>
      <xdr:col>69</xdr:col>
      <xdr:colOff>71636</xdr:colOff>
      <xdr:row>12</xdr:row>
      <xdr:rowOff>132503</xdr:rowOff>
    </xdr:to>
    <xdr:pic>
      <xdr:nvPicPr>
        <xdr:cNvPr id="24" name="図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14"/>
        <a:stretch>
          <a:fillRect/>
        </a:stretch>
      </xdr:blipFill>
      <xdr:spPr>
        <a:xfrm>
          <a:off x="51614291" y="2868706"/>
          <a:ext cx="5114286" cy="2295238"/>
        </a:xfrm>
        <a:prstGeom prst="rect">
          <a:avLst/>
        </a:prstGeom>
      </xdr:spPr>
    </xdr:pic>
    <xdr:clientData/>
  </xdr:twoCellAnchor>
  <xdr:twoCellAnchor editAs="oneCell">
    <xdr:from>
      <xdr:col>64</xdr:col>
      <xdr:colOff>257734</xdr:colOff>
      <xdr:row>7</xdr:row>
      <xdr:rowOff>134471</xdr:rowOff>
    </xdr:from>
    <xdr:to>
      <xdr:col>65</xdr:col>
      <xdr:colOff>156882</xdr:colOff>
      <xdr:row>11</xdr:row>
      <xdr:rowOff>134472</xdr:rowOff>
    </xdr:to>
    <xdr:sp macro="" textlink="">
      <xdr:nvSpPr>
        <xdr:cNvPr id="99" name="正方形/長方形 98">
          <a:extLst>
            <a:ext uri="{FF2B5EF4-FFF2-40B4-BE49-F238E27FC236}">
              <a16:creationId xmlns:a16="http://schemas.microsoft.com/office/drawing/2014/main" id="{00000000-0008-0000-0600-000063000000}"/>
            </a:ext>
          </a:extLst>
        </xdr:cNvPr>
        <xdr:cNvSpPr/>
      </xdr:nvSpPr>
      <xdr:spPr>
        <a:xfrm>
          <a:off x="53552910" y="1355912"/>
          <a:ext cx="571501" cy="36307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70</xdr:col>
      <xdr:colOff>78440</xdr:colOff>
      <xdr:row>6</xdr:row>
      <xdr:rowOff>78440</xdr:rowOff>
    </xdr:from>
    <xdr:to>
      <xdr:col>77</xdr:col>
      <xdr:colOff>467207</xdr:colOff>
      <xdr:row>9</xdr:row>
      <xdr:rowOff>1118691</xdr:rowOff>
    </xdr:to>
    <xdr:pic>
      <xdr:nvPicPr>
        <xdr:cNvPr id="25" name="図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15"/>
        <a:stretch>
          <a:fillRect/>
        </a:stretch>
      </xdr:blipFill>
      <xdr:spPr>
        <a:xfrm>
          <a:off x="57407734" y="1131793"/>
          <a:ext cx="5095238" cy="1723810"/>
        </a:xfrm>
        <a:prstGeom prst="rect">
          <a:avLst/>
        </a:prstGeom>
      </xdr:spPr>
    </xdr:pic>
    <xdr:clientData/>
  </xdr:twoCellAnchor>
  <xdr:twoCellAnchor editAs="oneCell">
    <xdr:from>
      <xdr:col>69</xdr:col>
      <xdr:colOff>593911</xdr:colOff>
      <xdr:row>9</xdr:row>
      <xdr:rowOff>1120588</xdr:rowOff>
    </xdr:from>
    <xdr:to>
      <xdr:col>77</xdr:col>
      <xdr:colOff>319849</xdr:colOff>
      <xdr:row>12</xdr:row>
      <xdr:rowOff>111773</xdr:rowOff>
    </xdr:to>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16"/>
        <a:stretch>
          <a:fillRect/>
        </a:stretch>
      </xdr:blipFill>
      <xdr:spPr>
        <a:xfrm>
          <a:off x="57250852" y="2857500"/>
          <a:ext cx="5104762" cy="2285714"/>
        </a:xfrm>
        <a:prstGeom prst="rect">
          <a:avLst/>
        </a:prstGeom>
      </xdr:spPr>
    </xdr:pic>
    <xdr:clientData/>
  </xdr:twoCellAnchor>
  <xdr:twoCellAnchor editAs="oneCell">
    <xdr:from>
      <xdr:col>72</xdr:col>
      <xdr:colOff>638733</xdr:colOff>
      <xdr:row>7</xdr:row>
      <xdr:rowOff>134471</xdr:rowOff>
    </xdr:from>
    <xdr:to>
      <xdr:col>73</xdr:col>
      <xdr:colOff>537881</xdr:colOff>
      <xdr:row>11</xdr:row>
      <xdr:rowOff>134472</xdr:rowOff>
    </xdr:to>
    <xdr:sp macro="" textlink="">
      <xdr:nvSpPr>
        <xdr:cNvPr id="102" name="正方形/長方形 101">
          <a:extLst>
            <a:ext uri="{FF2B5EF4-FFF2-40B4-BE49-F238E27FC236}">
              <a16:creationId xmlns:a16="http://schemas.microsoft.com/office/drawing/2014/main" id="{00000000-0008-0000-0600-000066000000}"/>
            </a:ext>
          </a:extLst>
        </xdr:cNvPr>
        <xdr:cNvSpPr/>
      </xdr:nvSpPr>
      <xdr:spPr>
        <a:xfrm>
          <a:off x="59312733" y="1355912"/>
          <a:ext cx="571501" cy="36307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78</xdr:col>
      <xdr:colOff>381002</xdr:colOff>
      <xdr:row>6</xdr:row>
      <xdr:rowOff>78441</xdr:rowOff>
    </xdr:from>
    <xdr:to>
      <xdr:col>86</xdr:col>
      <xdr:colOff>135512</xdr:colOff>
      <xdr:row>9</xdr:row>
      <xdr:rowOff>1137739</xdr:rowOff>
    </xdr:to>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17"/>
        <a:stretch>
          <a:fillRect/>
        </a:stretch>
      </xdr:blipFill>
      <xdr:spPr>
        <a:xfrm>
          <a:off x="63089120" y="1131794"/>
          <a:ext cx="5133333" cy="1742857"/>
        </a:xfrm>
        <a:prstGeom prst="rect">
          <a:avLst/>
        </a:prstGeom>
      </xdr:spPr>
    </xdr:pic>
    <xdr:clientData/>
  </xdr:twoCellAnchor>
  <xdr:twoCellAnchor editAs="oneCell">
    <xdr:from>
      <xdr:col>78</xdr:col>
      <xdr:colOff>392206</xdr:colOff>
      <xdr:row>9</xdr:row>
      <xdr:rowOff>1120588</xdr:rowOff>
    </xdr:from>
    <xdr:to>
      <xdr:col>86</xdr:col>
      <xdr:colOff>127669</xdr:colOff>
      <xdr:row>12</xdr:row>
      <xdr:rowOff>111773</xdr:rowOff>
    </xdr:to>
    <xdr:pic>
      <xdr:nvPicPr>
        <xdr:cNvPr id="29" name="図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8"/>
        <a:stretch>
          <a:fillRect/>
        </a:stretch>
      </xdr:blipFill>
      <xdr:spPr>
        <a:xfrm>
          <a:off x="63100324" y="2857500"/>
          <a:ext cx="5114286" cy="2285714"/>
        </a:xfrm>
        <a:prstGeom prst="rect">
          <a:avLst/>
        </a:prstGeom>
      </xdr:spPr>
    </xdr:pic>
    <xdr:clientData/>
  </xdr:twoCellAnchor>
  <xdr:twoCellAnchor editAs="oneCell">
    <xdr:from>
      <xdr:col>81</xdr:col>
      <xdr:colOff>302557</xdr:colOff>
      <xdr:row>7</xdr:row>
      <xdr:rowOff>134471</xdr:rowOff>
    </xdr:from>
    <xdr:to>
      <xdr:col>82</xdr:col>
      <xdr:colOff>201705</xdr:colOff>
      <xdr:row>11</xdr:row>
      <xdr:rowOff>134472</xdr:rowOff>
    </xdr:to>
    <xdr:sp macro="" textlink="">
      <xdr:nvSpPr>
        <xdr:cNvPr id="106" name="正方形/長方形 105">
          <a:extLst>
            <a:ext uri="{FF2B5EF4-FFF2-40B4-BE49-F238E27FC236}">
              <a16:creationId xmlns:a16="http://schemas.microsoft.com/office/drawing/2014/main" id="{00000000-0008-0000-0600-00006A000000}"/>
            </a:ext>
          </a:extLst>
        </xdr:cNvPr>
        <xdr:cNvSpPr/>
      </xdr:nvSpPr>
      <xdr:spPr>
        <a:xfrm>
          <a:off x="65027733" y="1355912"/>
          <a:ext cx="571501" cy="36307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58</xdr:col>
      <xdr:colOff>627530</xdr:colOff>
      <xdr:row>18</xdr:row>
      <xdr:rowOff>145676</xdr:rowOff>
    </xdr:from>
    <xdr:to>
      <xdr:col>66</xdr:col>
      <xdr:colOff>571500</xdr:colOff>
      <xdr:row>25</xdr:row>
      <xdr:rowOff>81643</xdr:rowOff>
    </xdr:to>
    <xdr:sp macro="" textlink="">
      <xdr:nvSpPr>
        <xdr:cNvPr id="123" name="線吹き出し 1 (枠付き) 122">
          <a:extLst>
            <a:ext uri="{FF2B5EF4-FFF2-40B4-BE49-F238E27FC236}">
              <a16:creationId xmlns:a16="http://schemas.microsoft.com/office/drawing/2014/main" id="{00000000-0008-0000-0600-00007B000000}"/>
            </a:ext>
          </a:extLst>
        </xdr:cNvPr>
        <xdr:cNvSpPr/>
      </xdr:nvSpPr>
      <xdr:spPr>
        <a:xfrm>
          <a:off x="50225566" y="6282497"/>
          <a:ext cx="5386827" cy="1174217"/>
        </a:xfrm>
        <a:prstGeom prst="borderCallout1">
          <a:avLst>
            <a:gd name="adj1" fmla="val -108844"/>
            <a:gd name="adj2" fmla="val -344588"/>
            <a:gd name="adj3" fmla="val 601"/>
            <a:gd name="adj4" fmla="val 492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rgbClr val="FF0000"/>
              </a:solidFill>
              <a:effectLst/>
              <a:latin typeface="Meiryo UI" panose="020B0604030504040204" pitchFamily="50" charset="-128"/>
              <a:ea typeface="Meiryo UI" panose="020B0604030504040204" pitchFamily="50" charset="-128"/>
              <a:cs typeface="+mn-cs"/>
            </a:rPr>
            <a:t>各種信号の適用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非適用は、</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にて</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Config</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項目を設け設定する。</a:t>
          </a:r>
        </a:p>
        <a:p>
          <a:r>
            <a:rPr kumimoji="1" lang="ja-JP" altLang="en-US" sz="1200" b="1">
              <a:solidFill>
                <a:srgbClr val="FF0000"/>
              </a:solidFill>
              <a:effectLst/>
              <a:latin typeface="Meiryo UI" panose="020B0604030504040204" pitchFamily="50" charset="-128"/>
              <a:ea typeface="Meiryo UI" panose="020B0604030504040204" pitchFamily="50" charset="-128"/>
              <a:cs typeface="+mn-cs"/>
            </a:rPr>
            <a:t>理由：該当信号が</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BA</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に存在し定数仕様で非適用となる車両があり（</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24FGM22-23458</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）、通信ソフトの信号ラベルの定義</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未定義による切り替えでは対応できないため。また、統合</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BA</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にも対応可能とするため。</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27</xdr:col>
      <xdr:colOff>618361</xdr:colOff>
      <xdr:row>4</xdr:row>
      <xdr:rowOff>147877</xdr:rowOff>
    </xdr:from>
    <xdr:to>
      <xdr:col>32</xdr:col>
      <xdr:colOff>473082</xdr:colOff>
      <xdr:row>6</xdr:row>
      <xdr:rowOff>84823</xdr:rowOff>
    </xdr:to>
    <xdr:sp macro="" textlink="">
      <xdr:nvSpPr>
        <xdr:cNvPr id="72" name="テキスト ボックス 71">
          <a:extLst>
            <a:ext uri="{FF2B5EF4-FFF2-40B4-BE49-F238E27FC236}">
              <a16:creationId xmlns:a16="http://schemas.microsoft.com/office/drawing/2014/main" id="{00000000-0008-0000-0600-000048000000}"/>
            </a:ext>
          </a:extLst>
        </xdr:cNvPr>
        <xdr:cNvSpPr txBox="1"/>
      </xdr:nvSpPr>
      <xdr:spPr>
        <a:xfrm>
          <a:off x="29036479" y="842642"/>
          <a:ext cx="3216485" cy="29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ysClr val="windowText" lastClr="000000"/>
              </a:solidFill>
            </a:rPr>
            <a:t>MET-B_TDOOR-CSTD-0-XX-X-C5-850B-A.docx</a:t>
          </a:r>
          <a:endParaRPr kumimoji="1" lang="ja-JP" altLang="en-US" sz="1100" b="1">
            <a:solidFill>
              <a:sysClr val="windowText" lastClr="000000"/>
            </a:solidFill>
          </a:endParaRPr>
        </a:p>
      </xdr:txBody>
    </xdr:sp>
    <xdr:clientData/>
  </xdr:twoCellAnchor>
  <xdr:twoCellAnchor editAs="oneCell">
    <xdr:from>
      <xdr:col>36</xdr:col>
      <xdr:colOff>125302</xdr:colOff>
      <xdr:row>4</xdr:row>
      <xdr:rowOff>147877</xdr:rowOff>
    </xdr:from>
    <xdr:to>
      <xdr:col>40</xdr:col>
      <xdr:colOff>652375</xdr:colOff>
      <xdr:row>6</xdr:row>
      <xdr:rowOff>84823</xdr:rowOff>
    </xdr:to>
    <xdr:sp macro="" textlink="">
      <xdr:nvSpPr>
        <xdr:cNvPr id="69" name="テキスト ボックス 68">
          <a:extLst>
            <a:ext uri="{FF2B5EF4-FFF2-40B4-BE49-F238E27FC236}">
              <a16:creationId xmlns:a16="http://schemas.microsoft.com/office/drawing/2014/main" id="{00000000-0008-0000-0600-000045000000}"/>
            </a:ext>
          </a:extLst>
        </xdr:cNvPr>
        <xdr:cNvSpPr txBox="1"/>
      </xdr:nvSpPr>
      <xdr:spPr>
        <a:xfrm>
          <a:off x="34594596" y="842642"/>
          <a:ext cx="3216485" cy="29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ysClr val="windowText" lastClr="000000"/>
              </a:solidFill>
            </a:rPr>
            <a:t>MET-B_TDOOR-CSTD-0-XX-X-C5-960B-A.docx</a:t>
          </a:r>
          <a:endParaRPr kumimoji="1" lang="ja-JP" altLang="en-US" sz="1100" b="1">
            <a:solidFill>
              <a:sysClr val="windowText" lastClr="000000"/>
            </a:solidFill>
          </a:endParaRPr>
        </a:p>
      </xdr:txBody>
    </xdr:sp>
    <xdr:clientData/>
  </xdr:twoCellAnchor>
  <xdr:twoCellAnchor editAs="oneCell">
    <xdr:from>
      <xdr:col>44</xdr:col>
      <xdr:colOff>282184</xdr:colOff>
      <xdr:row>4</xdr:row>
      <xdr:rowOff>147877</xdr:rowOff>
    </xdr:from>
    <xdr:to>
      <xdr:col>49</xdr:col>
      <xdr:colOff>136905</xdr:colOff>
      <xdr:row>6</xdr:row>
      <xdr:rowOff>84823</xdr:rowOff>
    </xdr:to>
    <xdr:sp macro="" textlink="">
      <xdr:nvSpPr>
        <xdr:cNvPr id="75" name="テキスト ボックス 74">
          <a:extLst>
            <a:ext uri="{FF2B5EF4-FFF2-40B4-BE49-F238E27FC236}">
              <a16:creationId xmlns:a16="http://schemas.microsoft.com/office/drawing/2014/main" id="{00000000-0008-0000-0600-00004B000000}"/>
            </a:ext>
          </a:extLst>
        </xdr:cNvPr>
        <xdr:cNvSpPr txBox="1"/>
      </xdr:nvSpPr>
      <xdr:spPr>
        <a:xfrm>
          <a:off x="40130302" y="842642"/>
          <a:ext cx="3216485" cy="29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ysClr val="windowText" lastClr="000000"/>
              </a:solidFill>
            </a:rPr>
            <a:t>MET-B_TDOOR-CSTD-0-XX-X-C5-970B-A.docx</a:t>
          </a:r>
          <a:endParaRPr kumimoji="1" lang="ja-JP" altLang="en-US" sz="1100" b="1">
            <a:solidFill>
              <a:sysClr val="windowText" lastClr="000000"/>
            </a:solidFill>
          </a:endParaRPr>
        </a:p>
      </xdr:txBody>
    </xdr:sp>
    <xdr:clientData/>
  </xdr:twoCellAnchor>
  <xdr:twoCellAnchor>
    <xdr:from>
      <xdr:col>47</xdr:col>
      <xdr:colOff>569899</xdr:colOff>
      <xdr:row>11</xdr:row>
      <xdr:rowOff>134472</xdr:rowOff>
    </xdr:from>
    <xdr:to>
      <xdr:col>62</xdr:col>
      <xdr:colOff>599516</xdr:colOff>
      <xdr:row>18</xdr:row>
      <xdr:rowOff>145676</xdr:rowOff>
    </xdr:to>
    <xdr:cxnSp macro="">
      <xdr:nvCxnSpPr>
        <xdr:cNvPr id="125" name="直線コネクタ 124">
          <a:extLst>
            <a:ext uri="{FF2B5EF4-FFF2-40B4-BE49-F238E27FC236}">
              <a16:creationId xmlns:a16="http://schemas.microsoft.com/office/drawing/2014/main" id="{00000000-0008-0000-0600-00007D000000}"/>
            </a:ext>
          </a:extLst>
        </xdr:cNvPr>
        <xdr:cNvCxnSpPr>
          <a:stCxn id="77" idx="2"/>
          <a:endCxn id="123" idx="3"/>
        </xdr:cNvCxnSpPr>
      </xdr:nvCxnSpPr>
      <xdr:spPr>
        <a:xfrm>
          <a:off x="42684006" y="5033043"/>
          <a:ext cx="10234974" cy="124945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52</xdr:col>
      <xdr:colOff>584743</xdr:colOff>
      <xdr:row>4</xdr:row>
      <xdr:rowOff>147877</xdr:rowOff>
    </xdr:from>
    <xdr:to>
      <xdr:col>57</xdr:col>
      <xdr:colOff>439463</xdr:colOff>
      <xdr:row>6</xdr:row>
      <xdr:rowOff>84823</xdr:rowOff>
    </xdr:to>
    <xdr:sp macro="" textlink="">
      <xdr:nvSpPr>
        <xdr:cNvPr id="79" name="テキスト ボックス 78">
          <a:extLst>
            <a:ext uri="{FF2B5EF4-FFF2-40B4-BE49-F238E27FC236}">
              <a16:creationId xmlns:a16="http://schemas.microsoft.com/office/drawing/2014/main" id="{00000000-0008-0000-0600-00004F000000}"/>
            </a:ext>
          </a:extLst>
        </xdr:cNvPr>
        <xdr:cNvSpPr txBox="1"/>
      </xdr:nvSpPr>
      <xdr:spPr>
        <a:xfrm>
          <a:off x="45811684" y="842642"/>
          <a:ext cx="3216485" cy="29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ysClr val="windowText" lastClr="000000"/>
              </a:solidFill>
            </a:rPr>
            <a:t>MET-B_TDOOR-CSTD-0-XX-X-C5-100D-a.docx</a:t>
          </a:r>
          <a:endParaRPr kumimoji="1" lang="ja-JP" altLang="en-US" sz="1100" b="1">
            <a:solidFill>
              <a:sysClr val="windowText" lastClr="000000"/>
            </a:solidFill>
          </a:endParaRPr>
        </a:p>
      </xdr:txBody>
    </xdr:sp>
    <xdr:clientData/>
  </xdr:twoCellAnchor>
  <xdr:twoCellAnchor>
    <xdr:from>
      <xdr:col>56</xdr:col>
      <xdr:colOff>248129</xdr:colOff>
      <xdr:row>11</xdr:row>
      <xdr:rowOff>134472</xdr:rowOff>
    </xdr:from>
    <xdr:to>
      <xdr:col>62</xdr:col>
      <xdr:colOff>599516</xdr:colOff>
      <xdr:row>18</xdr:row>
      <xdr:rowOff>145676</xdr:rowOff>
    </xdr:to>
    <xdr:cxnSp macro="">
      <xdr:nvCxnSpPr>
        <xdr:cNvPr id="126" name="直線コネクタ 125">
          <a:extLst>
            <a:ext uri="{FF2B5EF4-FFF2-40B4-BE49-F238E27FC236}">
              <a16:creationId xmlns:a16="http://schemas.microsoft.com/office/drawing/2014/main" id="{00000000-0008-0000-0600-00007E000000}"/>
            </a:ext>
          </a:extLst>
        </xdr:cNvPr>
        <xdr:cNvCxnSpPr>
          <a:stCxn id="84" idx="2"/>
          <a:endCxn id="123" idx="3"/>
        </xdr:cNvCxnSpPr>
      </xdr:nvCxnSpPr>
      <xdr:spPr>
        <a:xfrm>
          <a:off x="48485450" y="5033043"/>
          <a:ext cx="4433530" cy="124945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599516</xdr:colOff>
      <xdr:row>11</xdr:row>
      <xdr:rowOff>134472</xdr:rowOff>
    </xdr:from>
    <xdr:to>
      <xdr:col>64</xdr:col>
      <xdr:colOff>547487</xdr:colOff>
      <xdr:row>18</xdr:row>
      <xdr:rowOff>145676</xdr:rowOff>
    </xdr:to>
    <xdr:cxnSp macro="">
      <xdr:nvCxnSpPr>
        <xdr:cNvPr id="133" name="直線コネクタ 132">
          <a:extLst>
            <a:ext uri="{FF2B5EF4-FFF2-40B4-BE49-F238E27FC236}">
              <a16:creationId xmlns:a16="http://schemas.microsoft.com/office/drawing/2014/main" id="{00000000-0008-0000-0600-000085000000}"/>
            </a:ext>
          </a:extLst>
        </xdr:cNvPr>
        <xdr:cNvCxnSpPr>
          <a:stCxn id="99" idx="2"/>
          <a:endCxn id="123" idx="3"/>
        </xdr:cNvCxnSpPr>
      </xdr:nvCxnSpPr>
      <xdr:spPr>
        <a:xfrm flipH="1">
          <a:off x="52918980" y="5033043"/>
          <a:ext cx="1308686" cy="124945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599516</xdr:colOff>
      <xdr:row>11</xdr:row>
      <xdr:rowOff>134472</xdr:rowOff>
    </xdr:from>
    <xdr:to>
      <xdr:col>73</xdr:col>
      <xdr:colOff>248129</xdr:colOff>
      <xdr:row>18</xdr:row>
      <xdr:rowOff>145676</xdr:rowOff>
    </xdr:to>
    <xdr:cxnSp macro="">
      <xdr:nvCxnSpPr>
        <xdr:cNvPr id="134" name="直線コネクタ 133">
          <a:extLst>
            <a:ext uri="{FF2B5EF4-FFF2-40B4-BE49-F238E27FC236}">
              <a16:creationId xmlns:a16="http://schemas.microsoft.com/office/drawing/2014/main" id="{00000000-0008-0000-0600-000086000000}"/>
            </a:ext>
          </a:extLst>
        </xdr:cNvPr>
        <xdr:cNvCxnSpPr>
          <a:stCxn id="102" idx="2"/>
          <a:endCxn id="123" idx="3"/>
        </xdr:cNvCxnSpPr>
      </xdr:nvCxnSpPr>
      <xdr:spPr>
        <a:xfrm flipH="1">
          <a:off x="52918980" y="5033043"/>
          <a:ext cx="7132542" cy="124945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599516</xdr:colOff>
      <xdr:row>11</xdr:row>
      <xdr:rowOff>134472</xdr:rowOff>
    </xdr:from>
    <xdr:to>
      <xdr:col>81</xdr:col>
      <xdr:colOff>592310</xdr:colOff>
      <xdr:row>18</xdr:row>
      <xdr:rowOff>145676</xdr:rowOff>
    </xdr:to>
    <xdr:cxnSp macro="">
      <xdr:nvCxnSpPr>
        <xdr:cNvPr id="135" name="直線コネクタ 134">
          <a:extLst>
            <a:ext uri="{FF2B5EF4-FFF2-40B4-BE49-F238E27FC236}">
              <a16:creationId xmlns:a16="http://schemas.microsoft.com/office/drawing/2014/main" id="{00000000-0008-0000-0600-000087000000}"/>
            </a:ext>
          </a:extLst>
        </xdr:cNvPr>
        <xdr:cNvCxnSpPr>
          <a:stCxn id="106" idx="2"/>
          <a:endCxn id="123" idx="3"/>
        </xdr:cNvCxnSpPr>
      </xdr:nvCxnSpPr>
      <xdr:spPr>
        <a:xfrm flipH="1">
          <a:off x="52918980" y="5033043"/>
          <a:ext cx="12919580" cy="124945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oneCellAnchor>
    <xdr:from>
      <xdr:col>61</xdr:col>
      <xdr:colOff>270976</xdr:colOff>
      <xdr:row>3</xdr:row>
      <xdr:rowOff>2201</xdr:rowOff>
    </xdr:from>
    <xdr:ext cx="3089948" cy="620170"/>
    <xdr:sp macro="" textlink="">
      <xdr:nvSpPr>
        <xdr:cNvPr id="87" name="テキスト ボックス 86">
          <a:extLst>
            <a:ext uri="{FF2B5EF4-FFF2-40B4-BE49-F238E27FC236}">
              <a16:creationId xmlns:a16="http://schemas.microsoft.com/office/drawing/2014/main" id="{00000000-0008-0000-0600-000057000000}"/>
            </a:ext>
          </a:extLst>
        </xdr:cNvPr>
        <xdr:cNvSpPr txBox="1"/>
      </xdr:nvSpPr>
      <xdr:spPr>
        <a:xfrm>
          <a:off x="51549094" y="506466"/>
          <a:ext cx="3089948" cy="620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b="1">
              <a:solidFill>
                <a:sysClr val="windowText" lastClr="000000"/>
              </a:solidFill>
            </a:rPr>
            <a:t>115D907B885B</a:t>
          </a:r>
        </a:p>
        <a:p>
          <a:r>
            <a:rPr kumimoji="1" lang="en-US" altLang="ja-JP" sz="1100" b="1">
              <a:solidFill>
                <a:sysClr val="windowText" lastClr="000000"/>
              </a:solidFill>
            </a:rPr>
            <a:t>117D908B935B</a:t>
          </a:r>
        </a:p>
        <a:p>
          <a:r>
            <a:rPr kumimoji="1" lang="en-US" altLang="ja-JP" sz="1100" b="1">
              <a:solidFill>
                <a:sysClr val="windowText" lastClr="000000"/>
              </a:solidFill>
            </a:rPr>
            <a:t>【</a:t>
          </a:r>
          <a:r>
            <a:rPr kumimoji="1" lang="ja-JP" altLang="en-US" sz="1100" b="1">
              <a:solidFill>
                <a:sysClr val="windowText" lastClr="000000"/>
              </a:solidFill>
            </a:rPr>
            <a:t>〇</a:t>
          </a:r>
          <a:r>
            <a:rPr kumimoji="1" lang="en-US" altLang="ja-JP" sz="1100" b="1">
              <a:solidFill>
                <a:sysClr val="windowText" lastClr="000000"/>
              </a:solidFill>
            </a:rPr>
            <a:t>】MET-B_TDOOR-CSTD-0-02-B-C3-178D-B.docx</a:t>
          </a:r>
          <a:endParaRPr kumimoji="1" lang="ja-JP" altLang="en-US" sz="1100" b="1">
            <a:solidFill>
              <a:sysClr val="windowText" lastClr="000000"/>
            </a:solidFill>
          </a:endParaRPr>
        </a:p>
      </xdr:txBody>
    </xdr:sp>
    <xdr:clientData/>
  </xdr:oneCellAnchor>
  <xdr:twoCellAnchor editAs="oneCell">
    <xdr:from>
      <xdr:col>69</xdr:col>
      <xdr:colOff>629567</xdr:colOff>
      <xdr:row>4</xdr:row>
      <xdr:rowOff>147877</xdr:rowOff>
    </xdr:from>
    <xdr:to>
      <xdr:col>74</xdr:col>
      <xdr:colOff>484287</xdr:colOff>
      <xdr:row>6</xdr:row>
      <xdr:rowOff>84823</xdr:rowOff>
    </xdr:to>
    <xdr:sp macro="" textlink="">
      <xdr:nvSpPr>
        <xdr:cNvPr id="101" name="テキスト ボックス 100">
          <a:extLst>
            <a:ext uri="{FF2B5EF4-FFF2-40B4-BE49-F238E27FC236}">
              <a16:creationId xmlns:a16="http://schemas.microsoft.com/office/drawing/2014/main" id="{00000000-0008-0000-0600-000065000000}"/>
            </a:ext>
          </a:extLst>
        </xdr:cNvPr>
        <xdr:cNvSpPr txBox="1"/>
      </xdr:nvSpPr>
      <xdr:spPr>
        <a:xfrm>
          <a:off x="57286508" y="842642"/>
          <a:ext cx="3216485" cy="29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ysClr val="windowText" lastClr="000000"/>
              </a:solidFill>
            </a:rPr>
            <a:t>MET-B_TDOOR-CSTD-0-XX-X-C5-200D-A.docx</a:t>
          </a:r>
          <a:endParaRPr kumimoji="1" lang="ja-JP" altLang="en-US" sz="1100" b="1">
            <a:solidFill>
              <a:sysClr val="windowText" lastClr="000000"/>
            </a:solidFill>
          </a:endParaRPr>
        </a:p>
      </xdr:txBody>
    </xdr:sp>
    <xdr:clientData/>
  </xdr:twoCellAnchor>
  <xdr:twoCellAnchor editAs="oneCell">
    <xdr:from>
      <xdr:col>78</xdr:col>
      <xdr:colOff>293390</xdr:colOff>
      <xdr:row>4</xdr:row>
      <xdr:rowOff>147877</xdr:rowOff>
    </xdr:from>
    <xdr:to>
      <xdr:col>83</xdr:col>
      <xdr:colOff>148111</xdr:colOff>
      <xdr:row>6</xdr:row>
      <xdr:rowOff>84823</xdr:rowOff>
    </xdr:to>
    <xdr:sp macro="" textlink="">
      <xdr:nvSpPr>
        <xdr:cNvPr id="105" name="テキスト ボックス 104">
          <a:extLst>
            <a:ext uri="{FF2B5EF4-FFF2-40B4-BE49-F238E27FC236}">
              <a16:creationId xmlns:a16="http://schemas.microsoft.com/office/drawing/2014/main" id="{00000000-0008-0000-0600-000069000000}"/>
            </a:ext>
          </a:extLst>
        </xdr:cNvPr>
        <xdr:cNvSpPr txBox="1"/>
      </xdr:nvSpPr>
      <xdr:spPr>
        <a:xfrm>
          <a:off x="63001508" y="842642"/>
          <a:ext cx="3216485" cy="29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ysClr val="windowText" lastClr="000000"/>
              </a:solidFill>
            </a:rPr>
            <a:t>MET-B_TDOOR-CSTD-0-XX-X-C5-220D-A.docx</a:t>
          </a:r>
          <a:endParaRPr kumimoji="1" lang="ja-JP" altLang="en-US" sz="1100" b="1">
            <a:solidFill>
              <a:sysClr val="windowText" lastClr="000000"/>
            </a:solidFill>
          </a:endParaRPr>
        </a:p>
      </xdr:txBody>
    </xdr:sp>
    <xdr:clientData/>
  </xdr:twoCellAnchor>
  <xdr:twoCellAnchor>
    <xdr:from>
      <xdr:col>39</xdr:col>
      <xdr:colOff>446634</xdr:colOff>
      <xdr:row>11</xdr:row>
      <xdr:rowOff>134472</xdr:rowOff>
    </xdr:from>
    <xdr:to>
      <xdr:col>62</xdr:col>
      <xdr:colOff>599516</xdr:colOff>
      <xdr:row>18</xdr:row>
      <xdr:rowOff>145676</xdr:rowOff>
    </xdr:to>
    <xdr:cxnSp macro="">
      <xdr:nvCxnSpPr>
        <xdr:cNvPr id="32" name="直線コネクタ 31">
          <a:extLst>
            <a:ext uri="{FF2B5EF4-FFF2-40B4-BE49-F238E27FC236}">
              <a16:creationId xmlns:a16="http://schemas.microsoft.com/office/drawing/2014/main" id="{00000000-0008-0000-0600-000020000000}"/>
            </a:ext>
          </a:extLst>
        </xdr:cNvPr>
        <xdr:cNvCxnSpPr>
          <a:stCxn id="74" idx="2"/>
          <a:endCxn id="123" idx="3"/>
        </xdr:cNvCxnSpPr>
      </xdr:nvCxnSpPr>
      <xdr:spPr>
        <a:xfrm>
          <a:off x="37117884" y="5033043"/>
          <a:ext cx="15801096" cy="124945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28</xdr:col>
      <xdr:colOff>272141</xdr:colOff>
      <xdr:row>22</xdr:row>
      <xdr:rowOff>31290</xdr:rowOff>
    </xdr:from>
    <xdr:to>
      <xdr:col>35</xdr:col>
      <xdr:colOff>281070</xdr:colOff>
      <xdr:row>30</xdr:row>
      <xdr:rowOff>130434</xdr:rowOff>
    </xdr:to>
    <xdr:pic>
      <xdr:nvPicPr>
        <xdr:cNvPr id="183" name="図 182">
          <a:extLst>
            <a:ext uri="{FF2B5EF4-FFF2-40B4-BE49-F238E27FC236}">
              <a16:creationId xmlns:a16="http://schemas.microsoft.com/office/drawing/2014/main" id="{00000000-0008-0000-0600-0000B7000000}"/>
            </a:ext>
          </a:extLst>
        </xdr:cNvPr>
        <xdr:cNvPicPr>
          <a:picLocks noChangeAspect="1"/>
        </xdr:cNvPicPr>
      </xdr:nvPicPr>
      <xdr:blipFill>
        <a:blip xmlns:r="http://schemas.openxmlformats.org/officeDocument/2006/relationships" r:embed="rId19"/>
        <a:stretch>
          <a:fillRect/>
        </a:stretch>
      </xdr:blipFill>
      <xdr:spPr>
        <a:xfrm>
          <a:off x="29459462" y="6875683"/>
          <a:ext cx="4771429" cy="1514287"/>
        </a:xfrm>
        <a:prstGeom prst="rect">
          <a:avLst/>
        </a:prstGeom>
      </xdr:spPr>
    </xdr:pic>
    <xdr:clientData/>
  </xdr:twoCellAnchor>
  <xdr:twoCellAnchor editAs="oneCell">
    <xdr:from>
      <xdr:col>29</xdr:col>
      <xdr:colOff>156882</xdr:colOff>
      <xdr:row>25</xdr:row>
      <xdr:rowOff>89647</xdr:rowOff>
    </xdr:from>
    <xdr:to>
      <xdr:col>32</xdr:col>
      <xdr:colOff>582706</xdr:colOff>
      <xdr:row>27</xdr:row>
      <xdr:rowOff>22411</xdr:rowOff>
    </xdr:to>
    <xdr:sp macro="" textlink="">
      <xdr:nvSpPr>
        <xdr:cNvPr id="186" name="正方形/長方形 185">
          <a:extLst>
            <a:ext uri="{FF2B5EF4-FFF2-40B4-BE49-F238E27FC236}">
              <a16:creationId xmlns:a16="http://schemas.microsoft.com/office/drawing/2014/main" id="{00000000-0008-0000-0600-0000BA000000}"/>
            </a:ext>
          </a:extLst>
        </xdr:cNvPr>
        <xdr:cNvSpPr/>
      </xdr:nvSpPr>
      <xdr:spPr>
        <a:xfrm>
          <a:off x="29919706" y="7306235"/>
          <a:ext cx="2442882" cy="2689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36</xdr:col>
      <xdr:colOff>233534</xdr:colOff>
      <xdr:row>24</xdr:row>
      <xdr:rowOff>41461</xdr:rowOff>
    </xdr:from>
    <xdr:to>
      <xdr:col>40</xdr:col>
      <xdr:colOff>605118</xdr:colOff>
      <xdr:row>26</xdr:row>
      <xdr:rowOff>123266</xdr:rowOff>
    </xdr:to>
    <xdr:sp macro="" textlink="">
      <xdr:nvSpPr>
        <xdr:cNvPr id="187" name="線吹き出し 1 (枠付き) 186">
          <a:extLst>
            <a:ext uri="{FF2B5EF4-FFF2-40B4-BE49-F238E27FC236}">
              <a16:creationId xmlns:a16="http://schemas.microsoft.com/office/drawing/2014/main" id="{00000000-0008-0000-0600-0000BB000000}"/>
            </a:ext>
          </a:extLst>
        </xdr:cNvPr>
        <xdr:cNvSpPr/>
      </xdr:nvSpPr>
      <xdr:spPr>
        <a:xfrm>
          <a:off x="34702828" y="7089961"/>
          <a:ext cx="3060996" cy="417981"/>
        </a:xfrm>
        <a:prstGeom prst="borderCallout1">
          <a:avLst>
            <a:gd name="adj1" fmla="val 84461"/>
            <a:gd name="adj2" fmla="val -76334"/>
            <a:gd name="adj3" fmla="val 43419"/>
            <a:gd name="adj4" fmla="val -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初期化時は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消灯、且つ</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非表示</a:t>
          </a:r>
        </a:p>
      </xdr:txBody>
    </xdr:sp>
    <xdr:clientData/>
  </xdr:twoCellAnchor>
  <xdr:twoCellAnchor editAs="oneCell">
    <xdr:from>
      <xdr:col>28</xdr:col>
      <xdr:colOff>493059</xdr:colOff>
      <xdr:row>29</xdr:row>
      <xdr:rowOff>112059</xdr:rowOff>
    </xdr:from>
    <xdr:to>
      <xdr:col>29</xdr:col>
      <xdr:colOff>403411</xdr:colOff>
      <xdr:row>30</xdr:row>
      <xdr:rowOff>100852</xdr:rowOff>
    </xdr:to>
    <xdr:sp macro="" textlink="">
      <xdr:nvSpPr>
        <xdr:cNvPr id="188" name="正方形/長方形 187">
          <a:extLst>
            <a:ext uri="{FF2B5EF4-FFF2-40B4-BE49-F238E27FC236}">
              <a16:creationId xmlns:a16="http://schemas.microsoft.com/office/drawing/2014/main" id="{00000000-0008-0000-0600-0000BC000000}"/>
            </a:ext>
          </a:extLst>
        </xdr:cNvPr>
        <xdr:cNvSpPr/>
      </xdr:nvSpPr>
      <xdr:spPr>
        <a:xfrm>
          <a:off x="29583530" y="8001000"/>
          <a:ext cx="582705" cy="15688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editAs="oneCell">
    <xdr:from>
      <xdr:col>36</xdr:col>
      <xdr:colOff>233534</xdr:colOff>
      <xdr:row>27</xdr:row>
      <xdr:rowOff>108696</xdr:rowOff>
    </xdr:from>
    <xdr:to>
      <xdr:col>40</xdr:col>
      <xdr:colOff>605118</xdr:colOff>
      <xdr:row>30</xdr:row>
      <xdr:rowOff>22413</xdr:rowOff>
    </xdr:to>
    <xdr:sp macro="" textlink="">
      <xdr:nvSpPr>
        <xdr:cNvPr id="189" name="線吹き出し 1 (枠付き) 188">
          <a:extLst>
            <a:ext uri="{FF2B5EF4-FFF2-40B4-BE49-F238E27FC236}">
              <a16:creationId xmlns:a16="http://schemas.microsoft.com/office/drawing/2014/main" id="{00000000-0008-0000-0600-0000BD000000}"/>
            </a:ext>
          </a:extLst>
        </xdr:cNvPr>
        <xdr:cNvSpPr/>
      </xdr:nvSpPr>
      <xdr:spPr>
        <a:xfrm>
          <a:off x="34702828" y="7661461"/>
          <a:ext cx="3060996" cy="417981"/>
        </a:xfrm>
        <a:prstGeom prst="borderCallout1">
          <a:avLst>
            <a:gd name="adj1" fmla="val 100547"/>
            <a:gd name="adj2" fmla="val -148087"/>
            <a:gd name="adj3" fmla="val 43419"/>
            <a:gd name="adj4" fmla="val -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バルブチェック無し</a:t>
          </a:r>
        </a:p>
      </xdr:txBody>
    </xdr:sp>
    <xdr:clientData/>
  </xdr:twoCellAnchor>
  <xdr:twoCellAnchor editAs="oneCell">
    <xdr:from>
      <xdr:col>51</xdr:col>
      <xdr:colOff>657225</xdr:colOff>
      <xdr:row>66</xdr:row>
      <xdr:rowOff>76200</xdr:rowOff>
    </xdr:from>
    <xdr:to>
      <xdr:col>59</xdr:col>
      <xdr:colOff>399406</xdr:colOff>
      <xdr:row>105</xdr:row>
      <xdr:rowOff>2536</xdr:rowOff>
    </xdr:to>
    <xdr:pic>
      <xdr:nvPicPr>
        <xdr:cNvPr id="330" name="図 329">
          <a:extLst>
            <a:ext uri="{FF2B5EF4-FFF2-40B4-BE49-F238E27FC236}">
              <a16:creationId xmlns:a16="http://schemas.microsoft.com/office/drawing/2014/main" id="{00000000-0008-0000-0600-00004A010000}"/>
            </a:ext>
          </a:extLst>
        </xdr:cNvPr>
        <xdr:cNvPicPr>
          <a:picLocks noChangeAspect="1"/>
        </xdr:cNvPicPr>
      </xdr:nvPicPr>
      <xdr:blipFill>
        <a:blip xmlns:r="http://schemas.openxmlformats.org/officeDocument/2006/relationships" r:embed="rId20"/>
        <a:stretch>
          <a:fillRect/>
        </a:stretch>
      </xdr:blipFill>
      <xdr:spPr>
        <a:xfrm>
          <a:off x="45339000" y="14382750"/>
          <a:ext cx="5152381" cy="6609524"/>
        </a:xfrm>
        <a:prstGeom prst="rect">
          <a:avLst/>
        </a:prstGeom>
      </xdr:spPr>
    </xdr:pic>
    <xdr:clientData/>
  </xdr:twoCellAnchor>
  <xdr:twoCellAnchor editAs="oneCell">
    <xdr:from>
      <xdr:col>52</xdr:col>
      <xdr:colOff>238125</xdr:colOff>
      <xdr:row>104</xdr:row>
      <xdr:rowOff>161925</xdr:rowOff>
    </xdr:from>
    <xdr:to>
      <xdr:col>59</xdr:col>
      <xdr:colOff>313724</xdr:colOff>
      <xdr:row>111</xdr:row>
      <xdr:rowOff>9393</xdr:rowOff>
    </xdr:to>
    <xdr:pic>
      <xdr:nvPicPr>
        <xdr:cNvPr id="331" name="図 330">
          <a:extLst>
            <a:ext uri="{FF2B5EF4-FFF2-40B4-BE49-F238E27FC236}">
              <a16:creationId xmlns:a16="http://schemas.microsoft.com/office/drawing/2014/main" id="{00000000-0008-0000-0600-00004B010000}"/>
            </a:ext>
          </a:extLst>
        </xdr:cNvPr>
        <xdr:cNvPicPr>
          <a:picLocks noChangeAspect="1"/>
        </xdr:cNvPicPr>
      </xdr:nvPicPr>
      <xdr:blipFill>
        <a:blip xmlns:r="http://schemas.openxmlformats.org/officeDocument/2006/relationships" r:embed="rId21"/>
        <a:stretch>
          <a:fillRect/>
        </a:stretch>
      </xdr:blipFill>
      <xdr:spPr>
        <a:xfrm>
          <a:off x="45596175" y="20983575"/>
          <a:ext cx="4809524" cy="10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672353</xdr:colOff>
      <xdr:row>154</xdr:row>
      <xdr:rowOff>11206</xdr:rowOff>
    </xdr:from>
    <xdr:to>
      <xdr:col>15</xdr:col>
      <xdr:colOff>0</xdr:colOff>
      <xdr:row>190</xdr:row>
      <xdr:rowOff>0</xdr:rowOff>
    </xdr:to>
    <xdr:sp macro="" textlink="">
      <xdr:nvSpPr>
        <xdr:cNvPr id="17" name="正方形/長方形 16">
          <a:extLst>
            <a:ext uri="{FF2B5EF4-FFF2-40B4-BE49-F238E27FC236}">
              <a16:creationId xmlns:a16="http://schemas.microsoft.com/office/drawing/2014/main" id="{00000000-0008-0000-0700-000011000000}"/>
            </a:ext>
          </a:extLst>
        </xdr:cNvPr>
        <xdr:cNvSpPr/>
      </xdr:nvSpPr>
      <xdr:spPr>
        <a:xfrm>
          <a:off x="672353" y="31253206"/>
          <a:ext cx="18792265" cy="60511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18889</xdr:colOff>
      <xdr:row>43</xdr:row>
      <xdr:rowOff>109498</xdr:rowOff>
    </xdr:from>
    <xdr:to>
      <xdr:col>26</xdr:col>
      <xdr:colOff>108857</xdr:colOff>
      <xdr:row>45</xdr:row>
      <xdr:rowOff>914722</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15748746" y="8948698"/>
          <a:ext cx="8678797" cy="1305967"/>
        </a:xfrm>
        <a:prstGeom prst="borderCallout1">
          <a:avLst>
            <a:gd name="adj1" fmla="val 433898"/>
            <a:gd name="adj2" fmla="val -20502"/>
            <a:gd name="adj3" fmla="val 48456"/>
            <a:gd name="adj4" fmla="val -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内ロジックにて各通信状態を参照した上で、シグナル値を取得する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DCTY/PCTY/RRCY/RLCY/BCTY/LGCY</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の開閉情報で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の判定を実施するため、マトリクステーブルへの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Input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は以下とする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・各ドア信号</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(DCTY/PCTY/RRCY/RLCY/BCTY/LGCY)</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を一つの情報に纏めた開閉情報</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全閉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いずれか開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HDCY_BDB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の開閉情報：</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p>
      </xdr:txBody>
    </xdr:sp>
    <xdr:clientData/>
  </xdr:twoCellAnchor>
  <xdr:twoCellAnchor>
    <xdr:from>
      <xdr:col>13</xdr:col>
      <xdr:colOff>0</xdr:colOff>
      <xdr:row>30</xdr:row>
      <xdr:rowOff>5443</xdr:rowOff>
    </xdr:from>
    <xdr:to>
      <xdr:col>14</xdr:col>
      <xdr:colOff>18889</xdr:colOff>
      <xdr:row>45</xdr:row>
      <xdr:rowOff>261739</xdr:rowOff>
    </xdr:to>
    <xdr:cxnSp macro="">
      <xdr:nvCxnSpPr>
        <xdr:cNvPr id="23" name="直線コネクタ 22">
          <a:extLst>
            <a:ext uri="{FF2B5EF4-FFF2-40B4-BE49-F238E27FC236}">
              <a16:creationId xmlns:a16="http://schemas.microsoft.com/office/drawing/2014/main" id="{00000000-0008-0000-0700-000017000000}"/>
            </a:ext>
          </a:extLst>
        </xdr:cNvPr>
        <xdr:cNvCxnSpPr>
          <a:stCxn id="7" idx="3"/>
          <a:endCxn id="20" idx="2"/>
        </xdr:cNvCxnSpPr>
      </xdr:nvCxnSpPr>
      <xdr:spPr>
        <a:xfrm>
          <a:off x="13966371" y="6645729"/>
          <a:ext cx="1782375" cy="2955953"/>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1434354</xdr:colOff>
      <xdr:row>195</xdr:row>
      <xdr:rowOff>179295</xdr:rowOff>
    </xdr:from>
    <xdr:to>
      <xdr:col>18</xdr:col>
      <xdr:colOff>421342</xdr:colOff>
      <xdr:row>202</xdr:row>
      <xdr:rowOff>98612</xdr:rowOff>
    </xdr:to>
    <xdr:sp macro="" textlink="">
      <xdr:nvSpPr>
        <xdr:cNvPr id="16" name="線吹き出し 1 (枠付き) 15">
          <a:extLst>
            <a:ext uri="{FF2B5EF4-FFF2-40B4-BE49-F238E27FC236}">
              <a16:creationId xmlns:a16="http://schemas.microsoft.com/office/drawing/2014/main" id="{00000000-0008-0000-0700-000010000000}"/>
            </a:ext>
          </a:extLst>
        </xdr:cNvPr>
        <xdr:cNvSpPr/>
      </xdr:nvSpPr>
      <xdr:spPr>
        <a:xfrm>
          <a:off x="15437225" y="38700636"/>
          <a:ext cx="4374776" cy="2259105"/>
        </a:xfrm>
        <a:prstGeom prst="borderCallout1">
          <a:avLst>
            <a:gd name="adj1" fmla="val 70240"/>
            <a:gd name="adj2" fmla="val -33106"/>
            <a:gd name="adj3" fmla="val 39130"/>
            <a:gd name="adj4" fmla="val -5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内ロジックにて以下の走行中フラグに変換</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マトリクステーブルへの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Input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は走行中フラグの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情報とする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フラグ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・車速状態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and 5km/h &lt;=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車速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ヒス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1km/h)</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フラグ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・上記以外</a:t>
          </a:r>
        </a:p>
      </xdr:txBody>
    </xdr:sp>
    <xdr:clientData/>
  </xdr:twoCellAnchor>
  <xdr:twoCellAnchor>
    <xdr:from>
      <xdr:col>1</xdr:col>
      <xdr:colOff>3192077</xdr:colOff>
      <xdr:row>34</xdr:row>
      <xdr:rowOff>116858</xdr:rowOff>
    </xdr:from>
    <xdr:to>
      <xdr:col>10</xdr:col>
      <xdr:colOff>152400</xdr:colOff>
      <xdr:row>38</xdr:row>
      <xdr:rowOff>134471</xdr:rowOff>
    </xdr:to>
    <xdr:sp macro="" textlink="">
      <xdr:nvSpPr>
        <xdr:cNvPr id="6" name="線吹き出し 1 (枠付き) 5">
          <a:extLst>
            <a:ext uri="{FF2B5EF4-FFF2-40B4-BE49-F238E27FC236}">
              <a16:creationId xmlns:a16="http://schemas.microsoft.com/office/drawing/2014/main" id="{00000000-0008-0000-0700-000006000000}"/>
            </a:ext>
          </a:extLst>
        </xdr:cNvPr>
        <xdr:cNvSpPr/>
      </xdr:nvSpPr>
      <xdr:spPr>
        <a:xfrm>
          <a:off x="3810642" y="7602387"/>
          <a:ext cx="5046487" cy="698931"/>
        </a:xfrm>
        <a:prstGeom prst="borderCallout1">
          <a:avLst>
            <a:gd name="adj1" fmla="val -19643"/>
            <a:gd name="adj2" fmla="val 7246"/>
            <a:gd name="adj3" fmla="val -1047"/>
            <a:gd name="adj4" fmla="val 9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実質</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ビットが両方立つとことはない想定だが、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時と同動作とする。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0</xdr:colOff>
      <xdr:row>26</xdr:row>
      <xdr:rowOff>0</xdr:rowOff>
    </xdr:from>
    <xdr:to>
      <xdr:col>13</xdr:col>
      <xdr:colOff>0</xdr:colOff>
      <xdr:row>34</xdr:row>
      <xdr:rowOff>0</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683559" y="6073588"/>
          <a:ext cx="14859000" cy="13559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3192077</xdr:colOff>
      <xdr:row>72</xdr:row>
      <xdr:rowOff>116858</xdr:rowOff>
    </xdr:from>
    <xdr:to>
      <xdr:col>10</xdr:col>
      <xdr:colOff>152400</xdr:colOff>
      <xdr:row>76</xdr:row>
      <xdr:rowOff>53788</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3810642" y="15769234"/>
          <a:ext cx="5046487" cy="618248"/>
        </a:xfrm>
        <a:prstGeom prst="borderCallout1">
          <a:avLst>
            <a:gd name="adj1" fmla="val -19643"/>
            <a:gd name="adj2" fmla="val 7246"/>
            <a:gd name="adj3" fmla="val -1047"/>
            <a:gd name="adj4" fmla="val 9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実質</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ビットが両方立つとことはない想定だが、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時と同動作とする。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0</xdr:colOff>
      <xdr:row>64</xdr:row>
      <xdr:rowOff>0</xdr:rowOff>
    </xdr:from>
    <xdr:to>
      <xdr:col>13</xdr:col>
      <xdr:colOff>0</xdr:colOff>
      <xdr:row>72</xdr:row>
      <xdr:rowOff>0</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683559" y="14175441"/>
          <a:ext cx="14859000" cy="13559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3192077</xdr:colOff>
      <xdr:row>190</xdr:row>
      <xdr:rowOff>116858</xdr:rowOff>
    </xdr:from>
    <xdr:to>
      <xdr:col>10</xdr:col>
      <xdr:colOff>475130</xdr:colOff>
      <xdr:row>194</xdr:row>
      <xdr:rowOff>125505</xdr:rowOff>
    </xdr:to>
    <xdr:sp macro="" textlink="">
      <xdr:nvSpPr>
        <xdr:cNvPr id="10" name="線吹き出し 1 (枠付き) 9">
          <a:extLst>
            <a:ext uri="{FF2B5EF4-FFF2-40B4-BE49-F238E27FC236}">
              <a16:creationId xmlns:a16="http://schemas.microsoft.com/office/drawing/2014/main" id="{00000000-0008-0000-0700-00000A000000}"/>
            </a:ext>
          </a:extLst>
        </xdr:cNvPr>
        <xdr:cNvSpPr/>
      </xdr:nvSpPr>
      <xdr:spPr>
        <a:xfrm>
          <a:off x="3810642" y="37786552"/>
          <a:ext cx="5369217" cy="689965"/>
        </a:xfrm>
        <a:prstGeom prst="borderCallout1">
          <a:avLst>
            <a:gd name="adj1" fmla="val -19643"/>
            <a:gd name="adj2" fmla="val 7246"/>
            <a:gd name="adj3" fmla="val -1047"/>
            <a:gd name="adj4" fmla="val 9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実質</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ビットが両方立つとことはない想定だが、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時と同動作とする。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672354</xdr:colOff>
      <xdr:row>212</xdr:row>
      <xdr:rowOff>0</xdr:rowOff>
    </xdr:from>
    <xdr:to>
      <xdr:col>12</xdr:col>
      <xdr:colOff>1949825</xdr:colOff>
      <xdr:row>216</xdr:row>
      <xdr:rowOff>0</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672354" y="42705618"/>
          <a:ext cx="14859000" cy="6835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3192077</xdr:colOff>
      <xdr:row>216</xdr:row>
      <xdr:rowOff>105654</xdr:rowOff>
    </xdr:from>
    <xdr:to>
      <xdr:col>10</xdr:col>
      <xdr:colOff>242047</xdr:colOff>
      <xdr:row>220</xdr:row>
      <xdr:rowOff>125505</xdr:rowOff>
    </xdr:to>
    <xdr:sp macro="" textlink="">
      <xdr:nvSpPr>
        <xdr:cNvPr id="12" name="線吹き出し 1 (枠付き) 11">
          <a:extLst>
            <a:ext uri="{FF2B5EF4-FFF2-40B4-BE49-F238E27FC236}">
              <a16:creationId xmlns:a16="http://schemas.microsoft.com/office/drawing/2014/main" id="{00000000-0008-0000-0700-00000C000000}"/>
            </a:ext>
          </a:extLst>
        </xdr:cNvPr>
        <xdr:cNvSpPr/>
      </xdr:nvSpPr>
      <xdr:spPr>
        <a:xfrm>
          <a:off x="3810642" y="43898242"/>
          <a:ext cx="5136134" cy="701169"/>
        </a:xfrm>
        <a:prstGeom prst="borderCallout1">
          <a:avLst>
            <a:gd name="adj1" fmla="val -19643"/>
            <a:gd name="adj2" fmla="val 7246"/>
            <a:gd name="adj3" fmla="val -1047"/>
            <a:gd name="adj4" fmla="val 9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実質</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ビットが両方立つとことはない想定だが、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時と同動作とする。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0</xdr:colOff>
      <xdr:row>263</xdr:row>
      <xdr:rowOff>152400</xdr:rowOff>
    </xdr:from>
    <xdr:to>
      <xdr:col>13</xdr:col>
      <xdr:colOff>4932</xdr:colOff>
      <xdr:row>282</xdr:row>
      <xdr:rowOff>0</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620486" y="52382057"/>
          <a:ext cx="13350817" cy="29609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3193549</xdr:colOff>
      <xdr:row>282</xdr:row>
      <xdr:rowOff>105655</xdr:rowOff>
    </xdr:from>
    <xdr:to>
      <xdr:col>10</xdr:col>
      <xdr:colOff>8965</xdr:colOff>
      <xdr:row>286</xdr:row>
      <xdr:rowOff>35859</xdr:rowOff>
    </xdr:to>
    <xdr:sp macro="" textlink="">
      <xdr:nvSpPr>
        <xdr:cNvPr id="19" name="線吹き出し 1 (枠付き) 18">
          <a:extLst>
            <a:ext uri="{FF2B5EF4-FFF2-40B4-BE49-F238E27FC236}">
              <a16:creationId xmlns:a16="http://schemas.microsoft.com/office/drawing/2014/main" id="{00000000-0008-0000-0700-000013000000}"/>
            </a:ext>
          </a:extLst>
        </xdr:cNvPr>
        <xdr:cNvSpPr/>
      </xdr:nvSpPr>
      <xdr:spPr>
        <a:xfrm>
          <a:off x="3812114" y="57130149"/>
          <a:ext cx="4901580" cy="611522"/>
        </a:xfrm>
        <a:prstGeom prst="borderCallout1">
          <a:avLst>
            <a:gd name="adj1" fmla="val -19643"/>
            <a:gd name="adj2" fmla="val 7246"/>
            <a:gd name="adj3" fmla="val -1047"/>
            <a:gd name="adj4" fmla="val 90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実質</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ビットが両方立つとことはない想定だが、</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時と同動作とする。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1480458</xdr:colOff>
      <xdr:row>219</xdr:row>
      <xdr:rowOff>119743</xdr:rowOff>
    </xdr:from>
    <xdr:to>
      <xdr:col>19</xdr:col>
      <xdr:colOff>457201</xdr:colOff>
      <xdr:row>227</xdr:row>
      <xdr:rowOff>130629</xdr:rowOff>
    </xdr:to>
    <xdr:sp macro="" textlink="">
      <xdr:nvSpPr>
        <xdr:cNvPr id="21" name="線吹き出し 1 (枠付き) 20">
          <a:extLst>
            <a:ext uri="{FF2B5EF4-FFF2-40B4-BE49-F238E27FC236}">
              <a16:creationId xmlns:a16="http://schemas.microsoft.com/office/drawing/2014/main" id="{00000000-0008-0000-0700-000015000000}"/>
            </a:ext>
          </a:extLst>
        </xdr:cNvPr>
        <xdr:cNvSpPr/>
      </xdr:nvSpPr>
      <xdr:spPr>
        <a:xfrm>
          <a:off x="15483329" y="44423319"/>
          <a:ext cx="4983096" cy="1391451"/>
        </a:xfrm>
        <a:prstGeom prst="borderCallout1">
          <a:avLst>
            <a:gd name="adj1" fmla="val 123044"/>
            <a:gd name="adj2" fmla="val -30016"/>
            <a:gd name="adj3" fmla="val 54025"/>
            <a:gd name="adj4" fmla="val 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SrcChk</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内ロジックにて各通信状態を参照した上で、シグナル値を取得する。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マトリクステーブルへの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Input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は以下とする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SLP_POS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の開閉情報</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全閉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いずれか開</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1</xdr:row>
      <xdr:rowOff>162355</xdr:rowOff>
    </xdr:from>
    <xdr:to>
      <xdr:col>29</xdr:col>
      <xdr:colOff>626600</xdr:colOff>
      <xdr:row>14</xdr:row>
      <xdr:rowOff>0</xdr:rowOff>
    </xdr:to>
    <xdr:pic>
      <xdr:nvPicPr>
        <xdr:cNvPr id="2" name="図 1">
          <a:extLst>
            <a:ext uri="{FF2B5EF4-FFF2-40B4-BE49-F238E27FC236}">
              <a16:creationId xmlns:a16="http://schemas.microsoft.com/office/drawing/2014/main" id="{098060AD-45FB-2995-EAA8-24E52223AE66}"/>
            </a:ext>
          </a:extLst>
        </xdr:cNvPr>
        <xdr:cNvPicPr>
          <a:picLocks noChangeAspect="1"/>
        </xdr:cNvPicPr>
      </xdr:nvPicPr>
      <xdr:blipFill>
        <a:blip xmlns:r="http://schemas.openxmlformats.org/officeDocument/2006/relationships" r:embed="rId1"/>
        <a:stretch>
          <a:fillRect/>
        </a:stretch>
      </xdr:blipFill>
      <xdr:spPr>
        <a:xfrm>
          <a:off x="10172700" y="333805"/>
          <a:ext cx="16400000" cy="3438095"/>
        </a:xfrm>
        <a:prstGeom prst="rect">
          <a:avLst/>
        </a:prstGeom>
      </xdr:spPr>
    </xdr:pic>
    <xdr:clientData/>
  </xdr:twoCellAnchor>
  <xdr:twoCellAnchor>
    <xdr:from>
      <xdr:col>4</xdr:col>
      <xdr:colOff>4706471</xdr:colOff>
      <xdr:row>2</xdr:row>
      <xdr:rowOff>168089</xdr:rowOff>
    </xdr:from>
    <xdr:to>
      <xdr:col>7</xdr:col>
      <xdr:colOff>156882</xdr:colOff>
      <xdr:row>8</xdr:row>
      <xdr:rowOff>33617</xdr:rowOff>
    </xdr:to>
    <xdr:cxnSp macro="">
      <xdr:nvCxnSpPr>
        <xdr:cNvPr id="4" name="直線コネクタ 3">
          <a:extLst>
            <a:ext uri="{FF2B5EF4-FFF2-40B4-BE49-F238E27FC236}">
              <a16:creationId xmlns:a16="http://schemas.microsoft.com/office/drawing/2014/main" id="{0780786C-B858-8D20-4B20-E9EB7EA12043}"/>
            </a:ext>
          </a:extLst>
        </xdr:cNvPr>
        <xdr:cNvCxnSpPr/>
      </xdr:nvCxnSpPr>
      <xdr:spPr>
        <a:xfrm>
          <a:off x="9424147" y="504265"/>
          <a:ext cx="1580029" cy="1949823"/>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4639236</xdr:colOff>
      <xdr:row>3</xdr:row>
      <xdr:rowOff>156882</xdr:rowOff>
    </xdr:from>
    <xdr:to>
      <xdr:col>7</xdr:col>
      <xdr:colOff>156882</xdr:colOff>
      <xdr:row>8</xdr:row>
      <xdr:rowOff>179294</xdr:rowOff>
    </xdr:to>
    <xdr:cxnSp macro="">
      <xdr:nvCxnSpPr>
        <xdr:cNvPr id="5" name="直線コネクタ 4">
          <a:extLst>
            <a:ext uri="{FF2B5EF4-FFF2-40B4-BE49-F238E27FC236}">
              <a16:creationId xmlns:a16="http://schemas.microsoft.com/office/drawing/2014/main" id="{A3358AD2-5F94-44B5-8B96-75296B5EF08D}"/>
            </a:ext>
          </a:extLst>
        </xdr:cNvPr>
        <xdr:cNvCxnSpPr/>
      </xdr:nvCxnSpPr>
      <xdr:spPr>
        <a:xfrm>
          <a:off x="9356912" y="840441"/>
          <a:ext cx="1647264" cy="1759324"/>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4594412</xdr:colOff>
      <xdr:row>4</xdr:row>
      <xdr:rowOff>179294</xdr:rowOff>
    </xdr:from>
    <xdr:to>
      <xdr:col>7</xdr:col>
      <xdr:colOff>179294</xdr:colOff>
      <xdr:row>9</xdr:row>
      <xdr:rowOff>33618</xdr:rowOff>
    </xdr:to>
    <xdr:cxnSp macro="">
      <xdr:nvCxnSpPr>
        <xdr:cNvPr id="7" name="直線コネクタ 6">
          <a:extLst>
            <a:ext uri="{FF2B5EF4-FFF2-40B4-BE49-F238E27FC236}">
              <a16:creationId xmlns:a16="http://schemas.microsoft.com/office/drawing/2014/main" id="{B323DDE8-83A6-4A4B-93D9-51B0A9E00CAE}"/>
            </a:ext>
          </a:extLst>
        </xdr:cNvPr>
        <xdr:cNvCxnSpPr/>
      </xdr:nvCxnSpPr>
      <xdr:spPr>
        <a:xfrm>
          <a:off x="9312088" y="1210235"/>
          <a:ext cx="1714500" cy="1591236"/>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4650442</xdr:colOff>
      <xdr:row>5</xdr:row>
      <xdr:rowOff>190500</xdr:rowOff>
    </xdr:from>
    <xdr:to>
      <xdr:col>7</xdr:col>
      <xdr:colOff>168088</xdr:colOff>
      <xdr:row>9</xdr:row>
      <xdr:rowOff>235323</xdr:rowOff>
    </xdr:to>
    <xdr:cxnSp macro="">
      <xdr:nvCxnSpPr>
        <xdr:cNvPr id="13" name="直線コネクタ 12">
          <a:extLst>
            <a:ext uri="{FF2B5EF4-FFF2-40B4-BE49-F238E27FC236}">
              <a16:creationId xmlns:a16="http://schemas.microsoft.com/office/drawing/2014/main" id="{2D14EA46-5C93-42C4-8EF4-B0F87E3B199E}"/>
            </a:ext>
          </a:extLst>
        </xdr:cNvPr>
        <xdr:cNvCxnSpPr/>
      </xdr:nvCxnSpPr>
      <xdr:spPr>
        <a:xfrm>
          <a:off x="9368118" y="1568824"/>
          <a:ext cx="1647264" cy="1434352"/>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4605618</xdr:colOff>
      <xdr:row>7</xdr:row>
      <xdr:rowOff>134471</xdr:rowOff>
    </xdr:from>
    <xdr:to>
      <xdr:col>7</xdr:col>
      <xdr:colOff>190500</xdr:colOff>
      <xdr:row>11</xdr:row>
      <xdr:rowOff>33617</xdr:rowOff>
    </xdr:to>
    <xdr:cxnSp macro="">
      <xdr:nvCxnSpPr>
        <xdr:cNvPr id="15" name="直線コネクタ 14">
          <a:extLst>
            <a:ext uri="{FF2B5EF4-FFF2-40B4-BE49-F238E27FC236}">
              <a16:creationId xmlns:a16="http://schemas.microsoft.com/office/drawing/2014/main" id="{2AD7F210-6AF1-4536-9E38-8BFDD02D3F4E}"/>
            </a:ext>
          </a:extLst>
        </xdr:cNvPr>
        <xdr:cNvCxnSpPr/>
      </xdr:nvCxnSpPr>
      <xdr:spPr>
        <a:xfrm>
          <a:off x="9323294" y="2207559"/>
          <a:ext cx="1714500" cy="1109382"/>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4560795</xdr:colOff>
      <xdr:row>6</xdr:row>
      <xdr:rowOff>201706</xdr:rowOff>
    </xdr:from>
    <xdr:to>
      <xdr:col>7</xdr:col>
      <xdr:colOff>156882</xdr:colOff>
      <xdr:row>10</xdr:row>
      <xdr:rowOff>44824</xdr:rowOff>
    </xdr:to>
    <xdr:cxnSp macro="">
      <xdr:nvCxnSpPr>
        <xdr:cNvPr id="19" name="直線コネクタ 18">
          <a:extLst>
            <a:ext uri="{FF2B5EF4-FFF2-40B4-BE49-F238E27FC236}">
              <a16:creationId xmlns:a16="http://schemas.microsoft.com/office/drawing/2014/main" id="{E253CCFA-6150-4254-B96F-342BE6F82117}"/>
            </a:ext>
          </a:extLst>
        </xdr:cNvPr>
        <xdr:cNvCxnSpPr/>
      </xdr:nvCxnSpPr>
      <xdr:spPr>
        <a:xfrm>
          <a:off x="9278471" y="1927412"/>
          <a:ext cx="1725705" cy="1232647"/>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4639235</xdr:colOff>
      <xdr:row>8</xdr:row>
      <xdr:rowOff>123264</xdr:rowOff>
    </xdr:from>
    <xdr:to>
      <xdr:col>7</xdr:col>
      <xdr:colOff>168088</xdr:colOff>
      <xdr:row>12</xdr:row>
      <xdr:rowOff>56029</xdr:rowOff>
    </xdr:to>
    <xdr:cxnSp macro="">
      <xdr:nvCxnSpPr>
        <xdr:cNvPr id="21" name="直線コネクタ 20">
          <a:extLst>
            <a:ext uri="{FF2B5EF4-FFF2-40B4-BE49-F238E27FC236}">
              <a16:creationId xmlns:a16="http://schemas.microsoft.com/office/drawing/2014/main" id="{79B7F5FF-554A-42AA-91CF-87045F4AC40A}"/>
            </a:ext>
          </a:extLst>
        </xdr:cNvPr>
        <xdr:cNvCxnSpPr/>
      </xdr:nvCxnSpPr>
      <xdr:spPr>
        <a:xfrm>
          <a:off x="9356911" y="2543735"/>
          <a:ext cx="1658471" cy="963706"/>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4639236</xdr:colOff>
      <xdr:row>9</xdr:row>
      <xdr:rowOff>168088</xdr:rowOff>
    </xdr:from>
    <xdr:to>
      <xdr:col>7</xdr:col>
      <xdr:colOff>156882</xdr:colOff>
      <xdr:row>13</xdr:row>
      <xdr:rowOff>56030</xdr:rowOff>
    </xdr:to>
    <xdr:cxnSp macro="">
      <xdr:nvCxnSpPr>
        <xdr:cNvPr id="23" name="直線コネクタ 22">
          <a:extLst>
            <a:ext uri="{FF2B5EF4-FFF2-40B4-BE49-F238E27FC236}">
              <a16:creationId xmlns:a16="http://schemas.microsoft.com/office/drawing/2014/main" id="{B3944D04-1F55-4D0F-84BC-0CB1924342FF}"/>
            </a:ext>
          </a:extLst>
        </xdr:cNvPr>
        <xdr:cNvCxnSpPr/>
      </xdr:nvCxnSpPr>
      <xdr:spPr>
        <a:xfrm>
          <a:off x="9356912" y="2935941"/>
          <a:ext cx="1647264" cy="739589"/>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6</xdr:col>
      <xdr:colOff>0</xdr:colOff>
      <xdr:row>16</xdr:row>
      <xdr:rowOff>0</xdr:rowOff>
    </xdr:from>
    <xdr:to>
      <xdr:col>11</xdr:col>
      <xdr:colOff>448873</xdr:colOff>
      <xdr:row>25</xdr:row>
      <xdr:rowOff>77682</xdr:rowOff>
    </xdr:to>
    <xdr:pic>
      <xdr:nvPicPr>
        <xdr:cNvPr id="25" name="図 24">
          <a:extLst>
            <a:ext uri="{FF2B5EF4-FFF2-40B4-BE49-F238E27FC236}">
              <a16:creationId xmlns:a16="http://schemas.microsoft.com/office/drawing/2014/main" id="{06CEC215-4A0B-6708-C49F-2970D77807D3}"/>
            </a:ext>
          </a:extLst>
        </xdr:cNvPr>
        <xdr:cNvPicPr>
          <a:picLocks noChangeAspect="1"/>
        </xdr:cNvPicPr>
      </xdr:nvPicPr>
      <xdr:blipFill>
        <a:blip xmlns:r="http://schemas.openxmlformats.org/officeDocument/2006/relationships" r:embed="rId2"/>
        <a:stretch>
          <a:fillRect/>
        </a:stretch>
      </xdr:blipFill>
      <xdr:spPr>
        <a:xfrm>
          <a:off x="9681882" y="4123765"/>
          <a:ext cx="3866667" cy="1590476"/>
        </a:xfrm>
        <a:prstGeom prst="rect">
          <a:avLst/>
        </a:prstGeom>
      </xdr:spPr>
    </xdr:pic>
    <xdr:clientData/>
  </xdr:twoCellAnchor>
  <xdr:twoCellAnchor editAs="oneCell">
    <xdr:from>
      <xdr:col>6</xdr:col>
      <xdr:colOff>0</xdr:colOff>
      <xdr:row>25</xdr:row>
      <xdr:rowOff>156079</xdr:rowOff>
    </xdr:from>
    <xdr:to>
      <xdr:col>12</xdr:col>
      <xdr:colOff>222456</xdr:colOff>
      <xdr:row>41</xdr:row>
      <xdr:rowOff>0</xdr:rowOff>
    </xdr:to>
    <xdr:pic>
      <xdr:nvPicPr>
        <xdr:cNvPr id="26" name="図 25">
          <a:extLst>
            <a:ext uri="{FF2B5EF4-FFF2-40B4-BE49-F238E27FC236}">
              <a16:creationId xmlns:a16="http://schemas.microsoft.com/office/drawing/2014/main" id="{D1E4E31F-7720-1692-8048-D1FE9D202959}"/>
            </a:ext>
          </a:extLst>
        </xdr:cNvPr>
        <xdr:cNvPicPr>
          <a:picLocks noChangeAspect="1"/>
        </xdr:cNvPicPr>
      </xdr:nvPicPr>
      <xdr:blipFill>
        <a:blip xmlns:r="http://schemas.openxmlformats.org/officeDocument/2006/relationships" r:embed="rId3"/>
        <a:stretch>
          <a:fillRect/>
        </a:stretch>
      </xdr:blipFill>
      <xdr:spPr>
        <a:xfrm>
          <a:off x="9681882" y="5792638"/>
          <a:ext cx="4323809" cy="2533333"/>
        </a:xfrm>
        <a:prstGeom prst="rect">
          <a:avLst/>
        </a:prstGeom>
      </xdr:spPr>
    </xdr:pic>
    <xdr:clientData/>
  </xdr:twoCellAnchor>
  <xdr:twoCellAnchor editAs="oneCell">
    <xdr:from>
      <xdr:col>12</xdr:col>
      <xdr:colOff>397494</xdr:colOff>
      <xdr:row>16</xdr:row>
      <xdr:rowOff>0</xdr:rowOff>
    </xdr:from>
    <xdr:to>
      <xdr:col>20</xdr:col>
      <xdr:colOff>0</xdr:colOff>
      <xdr:row>48</xdr:row>
      <xdr:rowOff>22218</xdr:rowOff>
    </xdr:to>
    <xdr:pic>
      <xdr:nvPicPr>
        <xdr:cNvPr id="27" name="図 26">
          <a:extLst>
            <a:ext uri="{FF2B5EF4-FFF2-40B4-BE49-F238E27FC236}">
              <a16:creationId xmlns:a16="http://schemas.microsoft.com/office/drawing/2014/main" id="{50C05960-6F70-F34D-E128-7BE007D7A0D4}"/>
            </a:ext>
          </a:extLst>
        </xdr:cNvPr>
        <xdr:cNvPicPr>
          <a:picLocks noChangeAspect="1"/>
        </xdr:cNvPicPr>
      </xdr:nvPicPr>
      <xdr:blipFill>
        <a:blip xmlns:r="http://schemas.openxmlformats.org/officeDocument/2006/relationships" r:embed="rId4"/>
        <a:stretch>
          <a:fillRect/>
        </a:stretch>
      </xdr:blipFill>
      <xdr:spPr>
        <a:xfrm>
          <a:off x="14180729" y="4123765"/>
          <a:ext cx="5070977" cy="5401041"/>
        </a:xfrm>
        <a:prstGeom prst="rect">
          <a:avLst/>
        </a:prstGeom>
      </xdr:spPr>
    </xdr:pic>
    <xdr:clientData/>
  </xdr:twoCellAnchor>
  <xdr:twoCellAnchor>
    <xdr:from>
      <xdr:col>8</xdr:col>
      <xdr:colOff>627530</xdr:colOff>
      <xdr:row>19</xdr:row>
      <xdr:rowOff>22412</xdr:rowOff>
    </xdr:from>
    <xdr:to>
      <xdr:col>12</xdr:col>
      <xdr:colOff>638736</xdr:colOff>
      <xdr:row>24</xdr:row>
      <xdr:rowOff>100853</xdr:rowOff>
    </xdr:to>
    <xdr:cxnSp macro="">
      <xdr:nvCxnSpPr>
        <xdr:cNvPr id="28" name="直線コネクタ 27">
          <a:extLst>
            <a:ext uri="{FF2B5EF4-FFF2-40B4-BE49-F238E27FC236}">
              <a16:creationId xmlns:a16="http://schemas.microsoft.com/office/drawing/2014/main" id="{991246D5-8855-421D-B623-5B638D635959}"/>
            </a:ext>
          </a:extLst>
        </xdr:cNvPr>
        <xdr:cNvCxnSpPr/>
      </xdr:nvCxnSpPr>
      <xdr:spPr>
        <a:xfrm>
          <a:off x="11676530" y="4650441"/>
          <a:ext cx="2745441" cy="918883"/>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134471</xdr:colOff>
      <xdr:row>24</xdr:row>
      <xdr:rowOff>89647</xdr:rowOff>
    </xdr:from>
    <xdr:to>
      <xdr:col>12</xdr:col>
      <xdr:colOff>616324</xdr:colOff>
      <xdr:row>30</xdr:row>
      <xdr:rowOff>156882</xdr:rowOff>
    </xdr:to>
    <xdr:cxnSp macro="">
      <xdr:nvCxnSpPr>
        <xdr:cNvPr id="30" name="直線コネクタ 29">
          <a:extLst>
            <a:ext uri="{FF2B5EF4-FFF2-40B4-BE49-F238E27FC236}">
              <a16:creationId xmlns:a16="http://schemas.microsoft.com/office/drawing/2014/main" id="{93ADA6E9-C7FD-4001-B439-3829AC51FB92}"/>
            </a:ext>
          </a:extLst>
        </xdr:cNvPr>
        <xdr:cNvCxnSpPr/>
      </xdr:nvCxnSpPr>
      <xdr:spPr>
        <a:xfrm flipV="1">
          <a:off x="11867030" y="5558118"/>
          <a:ext cx="2532529" cy="1075764"/>
        </a:xfrm>
        <a:prstGeom prst="line">
          <a:avLst/>
        </a:prstGeom>
        <a:ln>
          <a:solidFill>
            <a:srgbClr val="FF0000"/>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7305675</xdr:colOff>
      <xdr:row>363</xdr:row>
      <xdr:rowOff>66675</xdr:rowOff>
    </xdr:from>
    <xdr:to>
      <xdr:col>5</xdr:col>
      <xdr:colOff>571500</xdr:colOff>
      <xdr:row>372</xdr:row>
      <xdr:rowOff>171450</xdr:rowOff>
    </xdr:to>
    <xdr:sp macro="" textlink="">
      <xdr:nvSpPr>
        <xdr:cNvPr id="16" name="吹き出し: 四角形 15">
          <a:extLst>
            <a:ext uri="{FF2B5EF4-FFF2-40B4-BE49-F238E27FC236}">
              <a16:creationId xmlns:a16="http://schemas.microsoft.com/office/drawing/2014/main" id="{2CE53BA4-EE94-A567-214F-1FCD46ED9A3E}"/>
            </a:ext>
          </a:extLst>
        </xdr:cNvPr>
        <xdr:cNvSpPr/>
      </xdr:nvSpPr>
      <xdr:spPr>
        <a:xfrm>
          <a:off x="11811000" y="72875775"/>
          <a:ext cx="6096000" cy="1905000"/>
        </a:xfrm>
        <a:prstGeom prst="wedgeRectCallout">
          <a:avLst>
            <a:gd name="adj1" fmla="val -66781"/>
            <a:gd name="adj2" fmla="val 42500"/>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Consolas" panose="020B0609020204030204" pitchFamily="49" charset="0"/>
            </a:rPr>
            <a:t>#if (ALERT_CFG_B_TDOOR_LPSDWARN == TRUE)</a:t>
          </a:r>
        </a:p>
        <a:p>
          <a:pPr algn="l"/>
          <a:r>
            <a:rPr kumimoji="1" lang="ja-JP" altLang="en-US" sz="1100">
              <a:solidFill>
                <a:sysClr val="windowText" lastClr="000000"/>
              </a:solidFill>
              <a:latin typeface="Consolas" panose="020B0609020204030204" pitchFamily="49" charset="0"/>
            </a:rPr>
            <a:t>　↓</a:t>
          </a:r>
          <a:endParaRPr kumimoji="1" lang="en-US" altLang="ja-JP" sz="1100">
            <a:solidFill>
              <a:sysClr val="windowText" lastClr="000000"/>
            </a:solidFill>
            <a:latin typeface="Consolas" panose="020B0609020204030204" pitchFamily="49" charset="0"/>
          </a:endParaRPr>
        </a:p>
        <a:p>
          <a:pPr algn="l"/>
          <a:r>
            <a:rPr kumimoji="1" lang="en-US" altLang="ja-JP" sz="1100">
              <a:solidFill>
                <a:sysClr val="windowText" lastClr="000000"/>
              </a:solidFill>
              <a:latin typeface="Consolas" panose="020B0609020204030204" pitchFamily="49" charset="0"/>
            </a:rPr>
            <a:t>if</a:t>
          </a:r>
          <a:r>
            <a:rPr kumimoji="1" lang="en-US" altLang="ja-JP" sz="1100" baseline="0">
              <a:solidFill>
                <a:sysClr val="windowText" lastClr="000000"/>
              </a:solidFill>
              <a:latin typeface="Consolas" panose="020B0609020204030204" pitchFamily="49" charset="0"/>
            </a:rPr>
            <a:t> (</a:t>
          </a:r>
          <a:r>
            <a:rPr kumimoji="1" lang="en-US" altLang="ja-JP" sz="11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rPr>
            <a:t>ALERT_CFG_B_TDOOR_LPSDWARN == TRUE</a:t>
          </a:r>
          <a:r>
            <a:rPr kumimoji="1" lang="en-US" altLang="ja-JP" sz="1100" baseline="0">
              <a:solidFill>
                <a:sysClr val="windowText" lastClr="000000"/>
              </a:solidFill>
              <a:latin typeface="Consolas" panose="020B0609020204030204" pitchFamily="49" charset="0"/>
            </a:rPr>
            <a:t>){</a:t>
          </a:r>
        </a:p>
        <a:p>
          <a:pPr algn="l"/>
          <a:r>
            <a:rPr kumimoji="1" lang="en-US" altLang="ja-JP" sz="1100" baseline="0">
              <a:solidFill>
                <a:sysClr val="windowText" lastClr="000000"/>
              </a:solidFill>
              <a:latin typeface="Consolas" panose="020B0609020204030204" pitchFamily="49" charset="0"/>
            </a:rPr>
            <a:t>#if 0 /* @@@provisional No CAN</a:t>
          </a:r>
          <a:r>
            <a:rPr kumimoji="1" lang="ja-JP" altLang="en-US" sz="1100" baseline="0">
              <a:solidFill>
                <a:sysClr val="windowText" lastClr="000000"/>
              </a:solidFill>
              <a:latin typeface="Consolas" panose="020B0609020204030204" pitchFamily="49" charset="0"/>
            </a:rPr>
            <a:t> </a:t>
          </a:r>
          <a:r>
            <a:rPr kumimoji="1" lang="en-US" altLang="ja-JP" sz="1100" baseline="0">
              <a:solidFill>
                <a:sysClr val="windowText" lastClr="000000"/>
              </a:solidFill>
              <a:latin typeface="Consolas" panose="020B0609020204030204" pitchFamily="49" charset="0"/>
            </a:rPr>
            <a:t>signal definition */</a:t>
          </a:r>
        </a:p>
        <a:p>
          <a:pPr algn="l"/>
          <a:r>
            <a:rPr kumimoji="1" lang="en-US" altLang="ja-JP" sz="1100" baseline="0">
              <a:solidFill>
                <a:sysClr val="windowText" lastClr="000000"/>
              </a:solidFill>
              <a:latin typeface="Consolas" panose="020B0609020204030204" pitchFamily="49" charset="0"/>
            </a:rPr>
            <a:t>  u1_t_fact_drl1s03  = u1_g_TyCANComrxRxStat((U2)TYCAN_PDU_RX_CAN_DRL1S03,</a:t>
          </a:r>
        </a:p>
        <a:p>
          <a:pPr algn="l"/>
          <a:r>
            <a:rPr kumimoji="1" lang="ja-JP" altLang="en-US" sz="1100">
              <a:solidFill>
                <a:sysClr val="windowText" lastClr="000000"/>
              </a:solidFill>
              <a:latin typeface="Consolas" panose="020B0609020204030204" pitchFamily="49" charset="0"/>
            </a:rPr>
            <a:t>  </a:t>
          </a:r>
          <a:r>
            <a:rPr kumimoji="1" lang="en-US" altLang="ja-JP" sz="1100">
              <a:solidFill>
                <a:sysClr val="windowText" lastClr="000000"/>
              </a:solidFill>
              <a:latin typeface="Consolas" panose="020B0609020204030204" pitchFamily="49" charset="0"/>
            </a:rPr>
            <a:t>...</a:t>
          </a:r>
        </a:p>
        <a:p>
          <a:pPr algn="l"/>
          <a:r>
            <a:rPr kumimoji="1" lang="en-US" altLang="ja-JP" sz="1100">
              <a:solidFill>
                <a:sysClr val="windowText" lastClr="000000"/>
              </a:solidFill>
              <a:latin typeface="Consolas" panose="020B0609020204030204" pitchFamily="49" charset="0"/>
            </a:rPr>
            <a:t>  vd_g_AlertBRxTrnsSts(&amp;u1_s_alert_b_tdoor_drl1s03_sts, u1_t_fact_drl1s03);</a:t>
          </a:r>
        </a:p>
        <a:p>
          <a:pPr algn="l"/>
          <a:r>
            <a:rPr kumimoji="1" lang="en-US" altLang="ja-JP" sz="1100">
              <a:solidFill>
                <a:sysClr val="windowText" lastClr="000000"/>
              </a:solidFill>
              <a:latin typeface="Consolas" panose="020B0609020204030204" pitchFamily="49" charset="0"/>
            </a:rPr>
            <a:t>}</a:t>
          </a:r>
          <a:endParaRPr kumimoji="1" lang="ja-JP" altLang="en-US" sz="1100">
            <a:solidFill>
              <a:sysClr val="windowText" lastClr="000000"/>
            </a:solidFill>
            <a:latin typeface="Consolas" panose="020B0609020204030204" pitchFamily="49"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5815853</xdr:colOff>
      <xdr:row>87</xdr:row>
      <xdr:rowOff>100854</xdr:rowOff>
    </xdr:from>
    <xdr:to>
      <xdr:col>3</xdr:col>
      <xdr:colOff>336177</xdr:colOff>
      <xdr:row>92</xdr:row>
      <xdr:rowOff>33618</xdr:rowOff>
    </xdr:to>
    <xdr:sp macro="" textlink="">
      <xdr:nvSpPr>
        <xdr:cNvPr id="2" name="吹き出し: 角を丸めた四角形 1">
          <a:extLst>
            <a:ext uri="{FF2B5EF4-FFF2-40B4-BE49-F238E27FC236}">
              <a16:creationId xmlns:a16="http://schemas.microsoft.com/office/drawing/2014/main" id="{9A249290-3656-88DF-15EC-A9288C5B07EA}"/>
            </a:ext>
          </a:extLst>
        </xdr:cNvPr>
        <xdr:cNvSpPr/>
      </xdr:nvSpPr>
      <xdr:spPr>
        <a:xfrm>
          <a:off x="10421471" y="17649266"/>
          <a:ext cx="5983941" cy="941293"/>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#define ALERT_CFG_B_TDOOR_RPSDWARN               (FALSE)</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#define ALERT_CFG_B_TDOOR_LPSDWARN               (FALSE)</a:t>
          </a:r>
        </a:p>
        <a:p>
          <a:pPr algn="l"/>
          <a:endParaRPr kumimoji="1" lang="ja-JP" altLang="en-US" sz="1100">
            <a:solidFill>
              <a:sysClr val="windowText" lastClr="000000"/>
            </a:solidFill>
          </a:endParaRPr>
        </a:p>
      </xdr:txBody>
    </xdr:sp>
    <xdr:clientData/>
  </xdr:twoCellAnchor>
  <xdr:twoCellAnchor>
    <xdr:from>
      <xdr:col>2</xdr:col>
      <xdr:colOff>7844118</xdr:colOff>
      <xdr:row>710</xdr:row>
      <xdr:rowOff>100854</xdr:rowOff>
    </xdr:from>
    <xdr:to>
      <xdr:col>6</xdr:col>
      <xdr:colOff>470647</xdr:colOff>
      <xdr:row>720</xdr:row>
      <xdr:rowOff>134471</xdr:rowOff>
    </xdr:to>
    <xdr:sp macro="" textlink="">
      <xdr:nvSpPr>
        <xdr:cNvPr id="3" name="吹き出し: 角を丸めた四角形 2">
          <a:extLst>
            <a:ext uri="{FF2B5EF4-FFF2-40B4-BE49-F238E27FC236}">
              <a16:creationId xmlns:a16="http://schemas.microsoft.com/office/drawing/2014/main" id="{7B675867-26C1-41CC-AE29-3B674AD70C6F}"/>
            </a:ext>
          </a:extLst>
        </xdr:cNvPr>
        <xdr:cNvSpPr/>
      </xdr:nvSpPr>
      <xdr:spPr>
        <a:xfrm>
          <a:off x="12449736" y="76547383"/>
          <a:ext cx="6140823" cy="2050676"/>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#if !defined(ALERT_CFG_B_TDOOR_RPSDWARN)</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#error "alert_cfg_private.h : ALERT_CFG_B_TDOOR_RPSDWARN is undefined!"</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#endif</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#if !defined(ALERT_CFG_B_TDOOR_LPSDWARN)</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#error "alert_cfg_private.h : ALERT_CFG_B_TDOOR_LPSDWARN is undefined!"</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#endif</a:t>
          </a:r>
        </a:p>
        <a:p>
          <a:pPr algn="l"/>
          <a:endParaRPr kumimoji="1" lang="ja-JP" altLang="en-US" sz="1100">
            <a:solidFill>
              <a:sysClr val="windowText" lastClr="000000"/>
            </a:solidFill>
          </a:endParaRPr>
        </a:p>
      </xdr:txBody>
    </xdr:sp>
    <xdr:clientData/>
  </xdr:twoCellAnchor>
  <xdr:twoCellAnchor>
    <xdr:from>
      <xdr:col>2</xdr:col>
      <xdr:colOff>7844118</xdr:colOff>
      <xdr:row>742</xdr:row>
      <xdr:rowOff>78441</xdr:rowOff>
    </xdr:from>
    <xdr:to>
      <xdr:col>6</xdr:col>
      <xdr:colOff>470647</xdr:colOff>
      <xdr:row>752</xdr:row>
      <xdr:rowOff>112059</xdr:rowOff>
    </xdr:to>
    <xdr:sp macro="" textlink="">
      <xdr:nvSpPr>
        <xdr:cNvPr id="4" name="吹き出し: 角を丸めた四角形 3">
          <a:extLst>
            <a:ext uri="{FF2B5EF4-FFF2-40B4-BE49-F238E27FC236}">
              <a16:creationId xmlns:a16="http://schemas.microsoft.com/office/drawing/2014/main" id="{48EE9D96-CD82-3380-48B1-2DD92427BCBF}"/>
            </a:ext>
          </a:extLst>
        </xdr:cNvPr>
        <xdr:cNvSpPr/>
      </xdr:nvSpPr>
      <xdr:spPr>
        <a:xfrm>
          <a:off x="12449736" y="82979559"/>
          <a:ext cx="6140823" cy="2050676"/>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#if (ALERT_CFG_B_TDOOR_LPSDWARN == TRUE)</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static U1      u1_s_alert_b_tdoor_drl1s03_sts;</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#endif /* (ALERT_CFG_B_TDOOR_LPSDWARN == TRUE) */</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#if (ALERT_CFG_B_TDOOR_RPSDWARN == TRUE)</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static U1      u1_s_alert_b_tdoor_drr1s03_sts;</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#endif /* (ALERT_CFG_B_TDOOR_RPSDWARN == TRUE) */</a:t>
          </a:r>
        </a:p>
      </xdr:txBody>
    </xdr:sp>
    <xdr:clientData/>
  </xdr:twoCellAnchor>
  <xdr:twoCellAnchor>
    <xdr:from>
      <xdr:col>2</xdr:col>
      <xdr:colOff>7844118</xdr:colOff>
      <xdr:row>842</xdr:row>
      <xdr:rowOff>190502</xdr:rowOff>
    </xdr:from>
    <xdr:to>
      <xdr:col>6</xdr:col>
      <xdr:colOff>470647</xdr:colOff>
      <xdr:row>853</xdr:row>
      <xdr:rowOff>22413</xdr:rowOff>
    </xdr:to>
    <xdr:sp macro="" textlink="">
      <xdr:nvSpPr>
        <xdr:cNvPr id="5" name="吹き出し: 角を丸めた四角形 4">
          <a:extLst>
            <a:ext uri="{FF2B5EF4-FFF2-40B4-BE49-F238E27FC236}">
              <a16:creationId xmlns:a16="http://schemas.microsoft.com/office/drawing/2014/main" id="{58929637-7FE8-9908-76D4-E7C655CB2643}"/>
            </a:ext>
          </a:extLst>
        </xdr:cNvPr>
        <xdr:cNvSpPr/>
      </xdr:nvSpPr>
      <xdr:spPr>
        <a:xfrm>
          <a:off x="12449736" y="103262208"/>
          <a:ext cx="6140823" cy="2050676"/>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#if (ALERT_CFG_B_TDOOR_LPSDWARN == TRUE)</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    u1_s_alert_b_tdoor_drl1s03_sts  = (U1)COM_NO_RX;</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#endif /* (ALERT_CFG_B_TDOOR_LPSDWARN == TRUE) */</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#if (ALERT_CFG_B_TDOOR_RPSDWARN == TRUE)</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    u1_s_alert_b_tdoor_drr1s03_sts  = (U1)COM_NO_RX;</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#endif /* (ALERT_CFG_B_TDOOR_RPSDWARN == TRUE) */</a:t>
          </a:r>
        </a:p>
      </xdr:txBody>
    </xdr:sp>
    <xdr:clientData/>
  </xdr:twoCellAnchor>
  <xdr:twoCellAnchor>
    <xdr:from>
      <xdr:col>2</xdr:col>
      <xdr:colOff>7563971</xdr:colOff>
      <xdr:row>988</xdr:row>
      <xdr:rowOff>0</xdr:rowOff>
    </xdr:from>
    <xdr:to>
      <xdr:col>11</xdr:col>
      <xdr:colOff>347382</xdr:colOff>
      <xdr:row>1000</xdr:row>
      <xdr:rowOff>190500</xdr:rowOff>
    </xdr:to>
    <xdr:sp macro="" textlink="">
      <xdr:nvSpPr>
        <xdr:cNvPr id="6" name="吹き出し: 角を丸めた四角形 5">
          <a:extLst>
            <a:ext uri="{FF2B5EF4-FFF2-40B4-BE49-F238E27FC236}">
              <a16:creationId xmlns:a16="http://schemas.microsoft.com/office/drawing/2014/main" id="{995949D8-AEA5-7167-3379-1CF933D398AF}"/>
            </a:ext>
          </a:extLst>
        </xdr:cNvPr>
        <xdr:cNvSpPr/>
      </xdr:nvSpPr>
      <xdr:spPr>
        <a:xfrm>
          <a:off x="12169589" y="132520765"/>
          <a:ext cx="9715499" cy="2610970"/>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Consolas" panose="020B0609020204030204" pitchFamily="49" charset="0"/>
              <a:ea typeface="Meiryo UI" panose="020B0604030504040204" pitchFamily="50" charset="-128"/>
            </a:rPr>
            <a:t>#if (ALERT_CFG_B_TDOOR_LPSDWARN == TRUE)</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static const U2 u2_s_ALERT_B_TDOOR_TO_DRL1S03    = ((U2)5000U / (U2)TYCAN_MAIN_TICK);</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U1              u1_t_fact_drl1s03;</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#endif /* (ALERT_CFG_B_TDOOR_LPSDWARN == TRUE) */</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#if (ALERT_CFG_B_TDOOR_RPSDWARN == TRUE)</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static const U2 u2_s_ALERT_B_TDOOR_TO_DRR1S03    = ((U2)5000U / (U2)TYCAN_MAIN_TICK);</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static const U1 u1_s_ALERT_B_TDOOR_SGNL_LSB_RPSD = (U1)1U;</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U1              u1_t_fact_drr1s03;</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#endif /* (ALERT_CFG_B_TDOOR_RPSDWARN == TRUE) */</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#if ((ALERT_CFG_B_TDOOR_LPSDWARN == TRUE) || (ALERT_CFG_B_TDOOR_RPSDWARN == TRUE))</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U1              u1_t_sgnl;</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#endif /* ((ALERT_CFG_B_TDOOR_LPSDWARN == TRUE) || (ALERT_CFG_B_TDOOR_RPSDWARN == TRUE)) */</a:t>
          </a:r>
        </a:p>
      </xdr:txBody>
    </xdr:sp>
    <xdr:clientData/>
  </xdr:twoCellAnchor>
  <xdr:twoCellAnchor>
    <xdr:from>
      <xdr:col>2</xdr:col>
      <xdr:colOff>7552765</xdr:colOff>
      <xdr:row>1002</xdr:row>
      <xdr:rowOff>44824</xdr:rowOff>
    </xdr:from>
    <xdr:to>
      <xdr:col>11</xdr:col>
      <xdr:colOff>336176</xdr:colOff>
      <xdr:row>1011</xdr:row>
      <xdr:rowOff>156882</xdr:rowOff>
    </xdr:to>
    <xdr:sp macro="" textlink="">
      <xdr:nvSpPr>
        <xdr:cNvPr id="7" name="吹き出し: 角を丸めた四角形 6">
          <a:extLst>
            <a:ext uri="{FF2B5EF4-FFF2-40B4-BE49-F238E27FC236}">
              <a16:creationId xmlns:a16="http://schemas.microsoft.com/office/drawing/2014/main" id="{D9A2AB0C-5BF4-90DB-7D1E-FB8C12206640}"/>
            </a:ext>
          </a:extLst>
        </xdr:cNvPr>
        <xdr:cNvSpPr/>
      </xdr:nvSpPr>
      <xdr:spPr>
        <a:xfrm>
          <a:off x="12158383" y="135389471"/>
          <a:ext cx="9715499" cy="1927411"/>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b="0" i="0" u="none" strike="noStrike" baseline="0">
              <a:solidFill>
                <a:sysClr val="windowText" lastClr="000000"/>
              </a:solidFill>
              <a:effectLst/>
              <a:latin typeface="Meiryo UI" panose="020B0604030504040204" pitchFamily="50" charset="-128"/>
              <a:ea typeface="Meiryo UI" panose="020B0604030504040204" pitchFamily="50" charset="-128"/>
              <a:cs typeface="+mn-cs"/>
            </a:rPr>
            <a:t>    </a:t>
          </a:r>
          <a:r>
            <a:rPr lang="en-US" altLang="ja-JP" sz="1100" b="0" i="0" u="none" strike="noStrike">
              <a:solidFill>
                <a:sysClr val="windowText" lastClr="000000"/>
              </a:solidFill>
              <a:effectLst/>
              <a:latin typeface="Consolas" panose="020B0609020204030204" pitchFamily="49" charset="0"/>
              <a:ea typeface="+mn-ea"/>
              <a:cs typeface="+mn-cs"/>
            </a:rPr>
            <a:t>#if (ALERT_CFG_B_TDOOR_LPSDWARN == TRUE)</a:t>
          </a:r>
        </a:p>
        <a:p>
          <a:pPr algn="l"/>
          <a:r>
            <a:rPr lang="en-US" altLang="ja-JP" sz="1100" b="0" i="0" u="none" strike="noStrike">
              <a:solidFill>
                <a:sysClr val="windowText" lastClr="000000"/>
              </a:solidFill>
              <a:effectLst/>
              <a:latin typeface="Consolas" panose="020B0609020204030204" pitchFamily="49" charset="0"/>
              <a:ea typeface="+mn-ea"/>
              <a:cs typeface="+mn-cs"/>
            </a:rPr>
            <a:t>        u1_t_fact_drl1s03  = u1_g_oXCANRxStat((U2)OXCAN_PDU_RX_CAN_DRL1S03,</a:t>
          </a:r>
        </a:p>
        <a:p>
          <a:pPr algn="l"/>
          <a:r>
            <a:rPr lang="en-US" altLang="ja-JP" sz="1100" b="0" i="0" u="none" strike="noStrike">
              <a:solidFill>
                <a:sysClr val="windowText" lastClr="000000"/>
              </a:solidFill>
              <a:effectLst/>
              <a:latin typeface="Consolas" panose="020B0609020204030204" pitchFamily="49" charset="0"/>
              <a:ea typeface="+mn-ea"/>
              <a:cs typeface="+mn-cs"/>
            </a:rPr>
            <a:t>                                                (U2)OXCAN_RX_SYS_NRX_BAT | (U2)OXCAN_RX_SYS_TOE_BAT,</a:t>
          </a:r>
        </a:p>
        <a:p>
          <a:pPr algn="l"/>
          <a:r>
            <a:rPr lang="en-US" altLang="ja-JP" sz="1100" b="0" i="0" u="none" strike="noStrike">
              <a:solidFill>
                <a:sysClr val="windowText" lastClr="000000"/>
              </a:solidFill>
              <a:effectLst/>
              <a:latin typeface="Consolas" panose="020B0609020204030204" pitchFamily="49" charset="0"/>
              <a:ea typeface="+mn-ea"/>
              <a:cs typeface="+mn-cs"/>
            </a:rPr>
            <a:t>                                                u2_s_ALERT_B_TDOOR_TO_DRL1S03) &amp; ((U1)COM_TIMEOUT | (U1)COM_NO_RX);</a:t>
          </a:r>
        </a:p>
        <a:p>
          <a:pPr algn="l"/>
          <a:r>
            <a:rPr lang="en-US" altLang="ja-JP" sz="1100" b="0" i="0" u="none" strike="noStrike">
              <a:solidFill>
                <a:sysClr val="windowText" lastClr="000000"/>
              </a:solidFill>
              <a:effectLst/>
              <a:latin typeface="Consolas" panose="020B0609020204030204" pitchFamily="49" charset="0"/>
              <a:ea typeface="+mn-ea"/>
              <a:cs typeface="+mn-cs"/>
            </a:rPr>
            <a:t>        u1_t_fact_drl1s03 |= u1_a_FACT;</a:t>
          </a:r>
        </a:p>
        <a:p>
          <a:pPr algn="l"/>
          <a:r>
            <a:rPr lang="en-US" altLang="ja-JP" sz="1100" b="0" i="0" u="none" strike="noStrike">
              <a:solidFill>
                <a:sysClr val="windowText" lastClr="000000"/>
              </a:solidFill>
              <a:effectLst/>
              <a:latin typeface="Consolas" panose="020B0609020204030204" pitchFamily="49" charset="0"/>
              <a:ea typeface="+mn-ea"/>
              <a:cs typeface="+mn-cs"/>
            </a:rPr>
            <a:t>        vd_g_AlertBRxTrnsSts(&amp;u1_s_alert_b_tdoor_drl1s03_sts, u1_t_fact_drl1s03);</a:t>
          </a:r>
        </a:p>
        <a:p>
          <a:pPr algn="l"/>
          <a:r>
            <a:rPr lang="en-US" altLang="ja-JP" sz="1100" b="0" i="0" u="none" strike="noStrike">
              <a:solidFill>
                <a:sysClr val="windowText" lastClr="000000"/>
              </a:solidFill>
              <a:effectLst/>
              <a:latin typeface="Consolas" panose="020B0609020204030204" pitchFamily="49" charset="0"/>
              <a:ea typeface="+mn-ea"/>
              <a:cs typeface="+mn-cs"/>
            </a:rPr>
            <a:t>  #endif /* (ALERT_CFG_B_TDOOR_LPSDWARN == TRUE) */</a:t>
          </a:r>
        </a:p>
        <a:p>
          <a:pPr algn="l"/>
          <a:endParaRPr lang="en-US" altLang="ja-JP" sz="1100" b="0" i="0" u="none" strike="noStrike">
            <a:solidFill>
              <a:sysClr val="windowText" lastClr="000000"/>
            </a:solidFill>
            <a:effectLst/>
            <a:latin typeface="Consolas" panose="020B0609020204030204" pitchFamily="49" charset="0"/>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5401235</xdr:colOff>
      <xdr:row>69</xdr:row>
      <xdr:rowOff>190500</xdr:rowOff>
    </xdr:from>
    <xdr:to>
      <xdr:col>2</xdr:col>
      <xdr:colOff>11385176</xdr:colOff>
      <xdr:row>73</xdr:row>
      <xdr:rowOff>56030</xdr:rowOff>
    </xdr:to>
    <xdr:sp macro="" textlink="">
      <xdr:nvSpPr>
        <xdr:cNvPr id="2" name="吹き出し: 角を丸めた四角形 1">
          <a:extLst>
            <a:ext uri="{FF2B5EF4-FFF2-40B4-BE49-F238E27FC236}">
              <a16:creationId xmlns:a16="http://schemas.microsoft.com/office/drawing/2014/main" id="{C6B76147-9F84-4A68-9C27-976D348D6312}"/>
            </a:ext>
          </a:extLst>
        </xdr:cNvPr>
        <xdr:cNvSpPr/>
      </xdr:nvSpPr>
      <xdr:spPr>
        <a:xfrm>
          <a:off x="10006853" y="14108206"/>
          <a:ext cx="5983941" cy="672353"/>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#define ALERT_CFG_B_TDOOR_SLP_POS               (FALSE)</a:t>
          </a:r>
        </a:p>
      </xdr:txBody>
    </xdr:sp>
    <xdr:clientData/>
  </xdr:twoCellAnchor>
  <xdr:twoCellAnchor>
    <xdr:from>
      <xdr:col>2</xdr:col>
      <xdr:colOff>7530353</xdr:colOff>
      <xdr:row>720</xdr:row>
      <xdr:rowOff>33618</xdr:rowOff>
    </xdr:from>
    <xdr:to>
      <xdr:col>6</xdr:col>
      <xdr:colOff>156882</xdr:colOff>
      <xdr:row>725</xdr:row>
      <xdr:rowOff>179294</xdr:rowOff>
    </xdr:to>
    <xdr:sp macro="" textlink="">
      <xdr:nvSpPr>
        <xdr:cNvPr id="3" name="吹き出し: 角を丸めた四角形 2">
          <a:extLst>
            <a:ext uri="{FF2B5EF4-FFF2-40B4-BE49-F238E27FC236}">
              <a16:creationId xmlns:a16="http://schemas.microsoft.com/office/drawing/2014/main" id="{FE03D597-DAB4-4FC5-B173-C207B285AA2A}"/>
            </a:ext>
          </a:extLst>
        </xdr:cNvPr>
        <xdr:cNvSpPr/>
      </xdr:nvSpPr>
      <xdr:spPr>
        <a:xfrm>
          <a:off x="12135971" y="145261853"/>
          <a:ext cx="6140823" cy="1154206"/>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#if !defined(ALERT_CFG_B_TDOOR_SLP_POS)</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#error "alert_cfg_private.h : ALERT_CFG_B_TDOOR_SLP_POS is undefined!"</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#endif</a:t>
          </a:r>
          <a:endParaRPr kumimoji="1" lang="ja-JP" altLang="en-US" sz="1100">
            <a:solidFill>
              <a:sysClr val="windowText" lastClr="000000"/>
            </a:solidFill>
          </a:endParaRPr>
        </a:p>
      </xdr:txBody>
    </xdr:sp>
    <xdr:clientData/>
  </xdr:twoCellAnchor>
  <xdr:twoCellAnchor>
    <xdr:from>
      <xdr:col>2</xdr:col>
      <xdr:colOff>7519147</xdr:colOff>
      <xdr:row>752</xdr:row>
      <xdr:rowOff>89647</xdr:rowOff>
    </xdr:from>
    <xdr:to>
      <xdr:col>6</xdr:col>
      <xdr:colOff>145676</xdr:colOff>
      <xdr:row>758</xdr:row>
      <xdr:rowOff>0</xdr:rowOff>
    </xdr:to>
    <xdr:sp macro="" textlink="">
      <xdr:nvSpPr>
        <xdr:cNvPr id="4" name="吹き出し: 角を丸めた四角形 3">
          <a:extLst>
            <a:ext uri="{FF2B5EF4-FFF2-40B4-BE49-F238E27FC236}">
              <a16:creationId xmlns:a16="http://schemas.microsoft.com/office/drawing/2014/main" id="{2AAB52B2-E597-4133-A4E9-9BEDAE7C32A2}"/>
            </a:ext>
          </a:extLst>
        </xdr:cNvPr>
        <xdr:cNvSpPr/>
      </xdr:nvSpPr>
      <xdr:spPr>
        <a:xfrm>
          <a:off x="12124765" y="151772471"/>
          <a:ext cx="6140823" cy="1120588"/>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#if (ALERT_CFG_B_TDOOR_SLP_POS == TRUE)</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static U1      u1_s_alert_b_tdoor_slp1s01_sts;</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#endif /* (ALERT_CFG_B_TDOOR_SLP_POS == TRUE) */</a:t>
          </a:r>
        </a:p>
      </xdr:txBody>
    </xdr:sp>
    <xdr:clientData/>
  </xdr:twoCellAnchor>
  <xdr:twoCellAnchor>
    <xdr:from>
      <xdr:col>2</xdr:col>
      <xdr:colOff>7844118</xdr:colOff>
      <xdr:row>857</xdr:row>
      <xdr:rowOff>56029</xdr:rowOff>
    </xdr:from>
    <xdr:to>
      <xdr:col>6</xdr:col>
      <xdr:colOff>470647</xdr:colOff>
      <xdr:row>862</xdr:row>
      <xdr:rowOff>123265</xdr:rowOff>
    </xdr:to>
    <xdr:sp macro="" textlink="">
      <xdr:nvSpPr>
        <xdr:cNvPr id="5" name="吹き出し: 角を丸めた四角形 4">
          <a:extLst>
            <a:ext uri="{FF2B5EF4-FFF2-40B4-BE49-F238E27FC236}">
              <a16:creationId xmlns:a16="http://schemas.microsoft.com/office/drawing/2014/main" id="{BB124011-A2E1-40DC-B732-3C30567AD49E}"/>
            </a:ext>
          </a:extLst>
        </xdr:cNvPr>
        <xdr:cNvSpPr/>
      </xdr:nvSpPr>
      <xdr:spPr>
        <a:xfrm>
          <a:off x="12449736" y="172917970"/>
          <a:ext cx="6140823" cy="1075766"/>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#if (ALERT_CFG_B_TDOOR_SLP_POS == TRUE)</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    u1_s_alert_b_tdoor_slp1s01_sts  = (U1)COM_NO_RX;</a:t>
          </a:r>
        </a:p>
        <a:p>
          <a:pPr algn="l"/>
          <a:r>
            <a:rPr kumimoji="1" lang="en-US" altLang="ja-JP" sz="1100">
              <a:solidFill>
                <a:sysClr val="windowText" lastClr="000000"/>
              </a:solidFill>
              <a:latin typeface="Meiryo UI" panose="020B0604030504040204" pitchFamily="50" charset="-128"/>
              <a:ea typeface="Meiryo UI" panose="020B0604030504040204" pitchFamily="50" charset="-128"/>
            </a:rPr>
            <a:t>#endif /* (ALERT_CFG_B_TDOOR_SLP_POS == TRUE) */</a:t>
          </a:r>
        </a:p>
      </xdr:txBody>
    </xdr:sp>
    <xdr:clientData/>
  </xdr:twoCellAnchor>
  <xdr:twoCellAnchor>
    <xdr:from>
      <xdr:col>2</xdr:col>
      <xdr:colOff>11205887</xdr:colOff>
      <xdr:row>1071</xdr:row>
      <xdr:rowOff>100852</xdr:rowOff>
    </xdr:from>
    <xdr:to>
      <xdr:col>16</xdr:col>
      <xdr:colOff>571504</xdr:colOff>
      <xdr:row>1081</xdr:row>
      <xdr:rowOff>100876</xdr:rowOff>
    </xdr:to>
    <xdr:sp macro="" textlink="">
      <xdr:nvSpPr>
        <xdr:cNvPr id="6" name="吹き出し: 角を丸めた四角形 5">
          <a:extLst>
            <a:ext uri="{FF2B5EF4-FFF2-40B4-BE49-F238E27FC236}">
              <a16:creationId xmlns:a16="http://schemas.microsoft.com/office/drawing/2014/main" id="{7E19947E-E0A2-4B71-9B56-BD5F86A9FE56}"/>
            </a:ext>
          </a:extLst>
        </xdr:cNvPr>
        <xdr:cNvSpPr/>
      </xdr:nvSpPr>
      <xdr:spPr>
        <a:xfrm>
          <a:off x="15811505" y="216127852"/>
          <a:ext cx="9715499" cy="2017083"/>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en-US" altLang="ja-JP" sz="1100">
              <a:solidFill>
                <a:sysClr val="windowText" lastClr="000000"/>
              </a:solidFill>
              <a:latin typeface="Consolas" panose="020B0609020204030204" pitchFamily="49" charset="0"/>
              <a:ea typeface="Meiryo UI" panose="020B0604030504040204" pitchFamily="50" charset="-128"/>
            </a:rPr>
            <a:t>#if (ALERT_CFG_B_TDOOR_SLP_POS == TRUE)</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static const U2 u2_s_ALERT_B_TDOOR_TO_SLP1S01 = ((U2)5000U / (U2)OXCAN_MAIN_TICK);</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static const U1 u1_s_ALERT_B_TDOOR_SLP_MSK    = (U1)0x07U;</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static const U1 u1_sp_ALERT_B_TDOOR_SLP_TBL[ALERT_B_TDOOR_SLP_TBL_NUM] = {</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(U1)FALSE, (U1)TRUE, (U1)TRUE,  (U1)TRUE, (U1)TRUE,  (U1)TRUE, (U1)FALSE, (U1)FALSE</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U1              u1_t_fact_slp1s01;</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    U1              u1_t_sgnl;</a:t>
          </a:r>
        </a:p>
        <a:p>
          <a:pPr algn="l"/>
          <a:r>
            <a:rPr kumimoji="1" lang="en-US" altLang="ja-JP" sz="1100">
              <a:solidFill>
                <a:sysClr val="windowText" lastClr="000000"/>
              </a:solidFill>
              <a:latin typeface="Consolas" panose="020B0609020204030204" pitchFamily="49" charset="0"/>
              <a:ea typeface="Meiryo UI" panose="020B0604030504040204" pitchFamily="50" charset="-128"/>
            </a:rPr>
            <a:t>#endif /* (ALERT_CFG_B_TDOOR_SLP_POS == TRUE) */</a:t>
          </a:r>
        </a:p>
      </xdr:txBody>
    </xdr:sp>
    <xdr:clientData/>
  </xdr:twoCellAnchor>
  <xdr:twoCellAnchor>
    <xdr:from>
      <xdr:col>2</xdr:col>
      <xdr:colOff>11194681</xdr:colOff>
      <xdr:row>1082</xdr:row>
      <xdr:rowOff>156907</xdr:rowOff>
    </xdr:from>
    <xdr:to>
      <xdr:col>16</xdr:col>
      <xdr:colOff>560298</xdr:colOff>
      <xdr:row>1100</xdr:row>
      <xdr:rowOff>67235</xdr:rowOff>
    </xdr:to>
    <xdr:sp macro="" textlink="">
      <xdr:nvSpPr>
        <xdr:cNvPr id="7" name="吹き出し: 角を丸めた四角形 6">
          <a:extLst>
            <a:ext uri="{FF2B5EF4-FFF2-40B4-BE49-F238E27FC236}">
              <a16:creationId xmlns:a16="http://schemas.microsoft.com/office/drawing/2014/main" id="{2D4199A4-D7AB-4855-A86B-B7AF12C33195}"/>
            </a:ext>
          </a:extLst>
        </xdr:cNvPr>
        <xdr:cNvSpPr/>
      </xdr:nvSpPr>
      <xdr:spPr>
        <a:xfrm>
          <a:off x="15800299" y="218402672"/>
          <a:ext cx="9715499" cy="3541034"/>
        </a:xfrm>
        <a:prstGeom prst="wedgeRoundRectCallout">
          <a:avLst>
            <a:gd name="adj1" fmla="val -57724"/>
            <a:gd name="adj2" fmla="val 29167"/>
            <a:gd name="adj3" fmla="val 16667"/>
          </a:avLst>
        </a:prstGeom>
        <a:solidFill>
          <a:srgbClr val="FFCCCC"/>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一品番化前に戻すため追加</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lang="en-US" altLang="ja-JP" sz="1100" b="0" i="0" u="none" strike="noStrike">
              <a:solidFill>
                <a:sysClr val="windowText" lastClr="000000"/>
              </a:solidFill>
              <a:effectLst/>
              <a:latin typeface="Consolas" panose="020B0609020204030204" pitchFamily="49" charset="0"/>
              <a:ea typeface="+mn-ea"/>
              <a:cs typeface="+mn-cs"/>
            </a:rPr>
            <a:t>#if (ALERT_CFG_B_TDOOR_SLP_POS == TRUE)</a:t>
          </a:r>
        </a:p>
        <a:p>
          <a:pPr algn="l"/>
          <a:r>
            <a:rPr lang="en-US" altLang="ja-JP" sz="1100" b="0" i="0" u="none" strike="noStrike">
              <a:solidFill>
                <a:sysClr val="windowText" lastClr="000000"/>
              </a:solidFill>
              <a:effectLst/>
              <a:latin typeface="Consolas" panose="020B0609020204030204" pitchFamily="49" charset="0"/>
              <a:ea typeface="+mn-ea"/>
              <a:cs typeface="+mn-cs"/>
            </a:rPr>
            <a:t>    u1_t_fact_slp1s01  = u1_g_oXCANRxStat((U2)OXCAN_PDU_RX_CAN_SLP1S01,</a:t>
          </a:r>
        </a:p>
        <a:p>
          <a:pPr algn="l"/>
          <a:r>
            <a:rPr lang="en-US" altLang="ja-JP" sz="1100" b="0" i="0" u="none" strike="noStrike">
              <a:solidFill>
                <a:sysClr val="windowText" lastClr="000000"/>
              </a:solidFill>
              <a:effectLst/>
              <a:latin typeface="Consolas" panose="020B0609020204030204" pitchFamily="49" charset="0"/>
              <a:ea typeface="+mn-ea"/>
              <a:cs typeface="+mn-cs"/>
            </a:rPr>
            <a:t>                                          (U2)OXCAN_RX_SYS_NRX_BAT | (U2)OXCAN_RX_SYS_TOE_BAT,</a:t>
          </a:r>
        </a:p>
        <a:p>
          <a:pPr algn="l"/>
          <a:r>
            <a:rPr lang="en-US" altLang="ja-JP" sz="1100" b="0" i="0" u="none" strike="noStrike">
              <a:solidFill>
                <a:sysClr val="windowText" lastClr="000000"/>
              </a:solidFill>
              <a:effectLst/>
              <a:latin typeface="Consolas" panose="020B0609020204030204" pitchFamily="49" charset="0"/>
              <a:ea typeface="+mn-ea"/>
              <a:cs typeface="+mn-cs"/>
            </a:rPr>
            <a:t>                                          u2_s_ALERT_B_TDOOR_TO_SLP1S01) &amp; ((U1)COM_TIMEOUT | (U1)COM_NO_RX);</a:t>
          </a:r>
        </a:p>
        <a:p>
          <a:pPr algn="l"/>
          <a:r>
            <a:rPr lang="en-US" altLang="ja-JP" sz="1100" b="0" i="0" u="none" strike="noStrike">
              <a:solidFill>
                <a:sysClr val="windowText" lastClr="000000"/>
              </a:solidFill>
              <a:effectLst/>
              <a:latin typeface="Consolas" panose="020B0609020204030204" pitchFamily="49" charset="0"/>
              <a:ea typeface="+mn-ea"/>
              <a:cs typeface="+mn-cs"/>
            </a:rPr>
            <a:t>    u1_t_fact_slp1s01 |= u1_a_FACT;</a:t>
          </a:r>
        </a:p>
        <a:p>
          <a:pPr algn="l"/>
          <a:r>
            <a:rPr lang="en-US" altLang="ja-JP" sz="1100" b="0" i="0" u="none" strike="noStrike">
              <a:solidFill>
                <a:sysClr val="windowText" lastClr="000000"/>
              </a:solidFill>
              <a:effectLst/>
              <a:latin typeface="Consolas" panose="020B0609020204030204" pitchFamily="49" charset="0"/>
              <a:ea typeface="+mn-ea"/>
              <a:cs typeface="+mn-cs"/>
            </a:rPr>
            <a:t>    vd_g_AlertBRxTrnsSts(&amp;u1_s_alert_b_tdoor_slp1s01_sts, u1_t_fact_slp1s01);</a:t>
          </a:r>
        </a:p>
        <a:p>
          <a:pPr algn="l"/>
          <a:r>
            <a:rPr lang="en-US" altLang="ja-JP" sz="1100" b="0" i="0" u="none" strike="noStrike">
              <a:solidFill>
                <a:sysClr val="windowText" lastClr="000000"/>
              </a:solidFill>
              <a:effectLst/>
              <a:latin typeface="Consolas" panose="020B0609020204030204" pitchFamily="49" charset="0"/>
              <a:ea typeface="+mn-ea"/>
              <a:cs typeface="+mn-cs"/>
            </a:rPr>
            <a:t>#endif /* (ALERT_CFG_B_TDOOR_SLP_POS == TRUE) */</a:t>
          </a:r>
        </a:p>
        <a:p>
          <a:pPr algn="l"/>
          <a:r>
            <a:rPr lang="en-US" altLang="ja-JP" sz="1100" b="0" i="0" u="none" strike="noStrike">
              <a:solidFill>
                <a:sysClr val="windowText" lastClr="000000"/>
              </a:solidFill>
              <a:effectLst/>
              <a:latin typeface="Consolas" panose="020B0609020204030204" pitchFamily="49" charset="0"/>
              <a:ea typeface="+mn-ea"/>
              <a:cs typeface="+mn-cs"/>
            </a:rPr>
            <a:t>    u1_t_retval        = (U1)0U;</a:t>
          </a:r>
        </a:p>
        <a:p>
          <a:pPr algn="l"/>
          <a:endParaRPr lang="en-US" altLang="ja-JP" sz="1100" b="0" i="0" u="none" strike="noStrike">
            <a:solidFill>
              <a:sysClr val="windowText" lastClr="000000"/>
            </a:solidFill>
            <a:effectLst/>
            <a:latin typeface="Consolas" panose="020B0609020204030204" pitchFamily="49" charset="0"/>
            <a:ea typeface="+mn-ea"/>
            <a:cs typeface="+mn-cs"/>
          </a:endParaRPr>
        </a:p>
        <a:p>
          <a:pPr algn="l"/>
          <a:r>
            <a:rPr lang="en-US" altLang="ja-JP" sz="1100" b="0" i="0" u="none" strike="noStrike">
              <a:solidFill>
                <a:sysClr val="windowText" lastClr="000000"/>
              </a:solidFill>
              <a:effectLst/>
              <a:latin typeface="Consolas" panose="020B0609020204030204" pitchFamily="49" charset="0"/>
              <a:ea typeface="+mn-ea"/>
              <a:cs typeface="+mn-cs"/>
            </a:rPr>
            <a:t>#if (ALERT_CFG_B_TDOOR_SLP_POS == TRUE)</a:t>
          </a:r>
        </a:p>
        <a:p>
          <a:pPr algn="l"/>
          <a:r>
            <a:rPr lang="en-US" altLang="ja-JP" sz="1100" b="0" i="0" u="none" strike="noStrike">
              <a:solidFill>
                <a:sysClr val="windowText" lastClr="000000"/>
              </a:solidFill>
              <a:effectLst/>
              <a:latin typeface="Consolas" panose="020B0609020204030204" pitchFamily="49" charset="0"/>
              <a:ea typeface="+mn-ea"/>
              <a:cs typeface="+mn-cs"/>
            </a:rPr>
            <a:t>    if((u1_s_alert_b_tdoor_slp1s01_sts &amp; (U1)COM_NO_RX) == (U1)0U){</a:t>
          </a:r>
        </a:p>
        <a:p>
          <a:pPr algn="l"/>
          <a:r>
            <a:rPr lang="en-US" altLang="ja-JP" sz="1100" b="0" i="0" u="none" strike="noStrike">
              <a:solidFill>
                <a:sysClr val="windowText" lastClr="000000"/>
              </a:solidFill>
              <a:effectLst/>
              <a:latin typeface="Consolas" panose="020B0609020204030204" pitchFamily="49" charset="0"/>
              <a:ea typeface="+mn-ea"/>
              <a:cs typeface="+mn-cs"/>
            </a:rPr>
            <a:t>        u1_t_sgnl   = (U1)0U;</a:t>
          </a:r>
        </a:p>
        <a:p>
          <a:pPr algn="l"/>
          <a:r>
            <a:rPr lang="en-US" altLang="ja-JP" sz="1100" b="0" i="0" u="none" strike="noStrike">
              <a:solidFill>
                <a:sysClr val="windowText" lastClr="000000"/>
              </a:solidFill>
              <a:effectLst/>
              <a:latin typeface="Consolas" panose="020B0609020204030204" pitchFamily="49" charset="0"/>
              <a:ea typeface="+mn-ea"/>
              <a:cs typeface="+mn-cs"/>
            </a:rPr>
            <a:t>        (void)Com_ReceiveSignal(ComConf_ComSignal_SLP_POS, &amp;u1_t_sgnl);</a:t>
          </a:r>
        </a:p>
        <a:p>
          <a:pPr algn="l"/>
          <a:r>
            <a:rPr lang="en-US" altLang="ja-JP" sz="1100" b="0" i="0" u="none" strike="noStrike">
              <a:solidFill>
                <a:sysClr val="windowText" lastClr="000000"/>
              </a:solidFill>
              <a:effectLst/>
              <a:latin typeface="Consolas" panose="020B0609020204030204" pitchFamily="49" charset="0"/>
              <a:ea typeface="+mn-ea"/>
              <a:cs typeface="+mn-cs"/>
            </a:rPr>
            <a:t>        u1_t_sgnl  &amp;= u1_s_ALERT_B_TDOOR_SLP_MSK;</a:t>
          </a:r>
        </a:p>
        <a:p>
          <a:pPr algn="l"/>
          <a:r>
            <a:rPr lang="en-US" altLang="ja-JP" sz="1100" b="0" i="0" u="none" strike="noStrike">
              <a:solidFill>
                <a:sysClr val="windowText" lastClr="000000"/>
              </a:solidFill>
              <a:effectLst/>
              <a:latin typeface="Consolas" panose="020B0609020204030204" pitchFamily="49" charset="0"/>
              <a:ea typeface="+mn-ea"/>
              <a:cs typeface="+mn-cs"/>
            </a:rPr>
            <a:t>        u1_t_retval = u1_sp_ALERT_B_TDOOR_SLP_TBL[u1_t_sgnl];</a:t>
          </a:r>
        </a:p>
        <a:p>
          <a:pPr algn="l"/>
          <a:r>
            <a:rPr lang="en-US" altLang="ja-JP" sz="1100" b="0" i="0" u="none" strike="noStrike">
              <a:solidFill>
                <a:sysClr val="windowText" lastClr="000000"/>
              </a:solidFill>
              <a:effectLst/>
              <a:latin typeface="Consolas" panose="020B0609020204030204" pitchFamily="49" charset="0"/>
              <a:ea typeface="+mn-ea"/>
              <a:cs typeface="+mn-cs"/>
            </a:rPr>
            <a:t>    }</a:t>
          </a:r>
        </a:p>
        <a:p>
          <a:pPr algn="l"/>
          <a:r>
            <a:rPr lang="en-US" altLang="ja-JP" sz="1100" b="0" i="0" u="none" strike="noStrike">
              <a:solidFill>
                <a:sysClr val="windowText" lastClr="000000"/>
              </a:solidFill>
              <a:effectLst/>
              <a:latin typeface="Consolas" panose="020B0609020204030204" pitchFamily="49" charset="0"/>
              <a:ea typeface="+mn-ea"/>
              <a:cs typeface="+mn-cs"/>
            </a:rPr>
            <a:t>#endif /* (ALERT_CFG_B_TDOOR_SLP_POS == TRUE) */</a:t>
          </a:r>
        </a:p>
        <a:p>
          <a:pPr algn="l"/>
          <a:endParaRPr lang="en-US" altLang="ja-JP" sz="1100" b="0" i="0" u="none" strike="noStrike">
            <a:solidFill>
              <a:sysClr val="windowText" lastClr="000000"/>
            </a:solidFill>
            <a:effectLst/>
            <a:latin typeface="Consolas" panose="020B0609020204030204" pitchFamily="49" charset="0"/>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abSelected="1" zoomScale="70" zoomScaleNormal="70" workbookViewId="0"/>
  </sheetViews>
  <sheetFormatPr defaultRowHeight="13.5"/>
  <cols>
    <col min="1" max="1" width="4.5" customWidth="1"/>
    <col min="2" max="2" width="9" style="10" hidden="1" customWidth="1"/>
    <col min="4" max="4" width="69.5" customWidth="1"/>
    <col min="5" max="6" width="12.75" customWidth="1"/>
    <col min="7" max="24" width="13.125" customWidth="1"/>
  </cols>
  <sheetData>
    <row r="2" spans="2:24" ht="25.5" customHeight="1">
      <c r="C2" s="7"/>
      <c r="D2" s="7"/>
      <c r="E2" s="7"/>
      <c r="F2" s="7"/>
      <c r="H2" s="8" t="s">
        <v>13</v>
      </c>
      <c r="I2" s="297" t="s">
        <v>14</v>
      </c>
      <c r="J2" s="297"/>
      <c r="K2" s="297"/>
      <c r="L2" s="297"/>
      <c r="M2" s="297"/>
      <c r="N2" s="297"/>
      <c r="O2" s="297"/>
      <c r="P2" s="297"/>
      <c r="Q2" s="297"/>
      <c r="R2" s="297"/>
    </row>
    <row r="3" spans="2:24" ht="25.5" customHeight="1">
      <c r="C3" s="7"/>
      <c r="D3" s="11" t="str">
        <f ca="1">REPLACE(LEFT(CELL("filename",$B$1),FIND(".xls",CELL("filename",$B$1))-1),1,FIND("[",CELL("filename",$B$1)),)</f>
        <v>alert_B_TDOOR-CSTD-0-03-C-C5</v>
      </c>
      <c r="E3" s="7"/>
      <c r="F3" s="7"/>
      <c r="H3" s="9" t="s">
        <v>171</v>
      </c>
      <c r="I3" s="298" t="s">
        <v>170</v>
      </c>
      <c r="J3" s="299"/>
      <c r="K3" s="299"/>
      <c r="L3" s="299"/>
      <c r="M3" s="299"/>
      <c r="N3" s="299"/>
      <c r="O3" s="299"/>
      <c r="P3" s="299"/>
      <c r="Q3" s="299"/>
      <c r="R3" s="299"/>
    </row>
    <row r="4" spans="2:24" ht="25.5" customHeight="1">
      <c r="C4" s="7"/>
      <c r="D4" s="7"/>
      <c r="E4" s="22" t="str">
        <f>DGET(B8:C15,"Ver.",H4:H5)</f>
        <v>1.4.0</v>
      </c>
      <c r="F4" s="7"/>
      <c r="H4" s="10" t="s">
        <v>16</v>
      </c>
    </row>
    <row r="5" spans="2:24" ht="25.5" customHeight="1">
      <c r="C5" s="7"/>
      <c r="D5" s="7"/>
      <c r="E5" s="7"/>
      <c r="F5" s="7"/>
      <c r="H5" s="12">
        <f>MAX(B9:B15)</f>
        <v>5</v>
      </c>
    </row>
    <row r="6" spans="2:24" ht="14.25" thickBot="1"/>
    <row r="7" spans="2:24">
      <c r="C7" s="302" t="s">
        <v>0</v>
      </c>
      <c r="D7" s="303"/>
      <c r="E7" s="304" t="s">
        <v>2</v>
      </c>
      <c r="F7" s="304"/>
      <c r="G7" s="305" t="s">
        <v>5</v>
      </c>
      <c r="H7" s="305"/>
      <c r="I7" s="305"/>
      <c r="J7" s="305"/>
      <c r="K7" s="305"/>
      <c r="L7" s="305"/>
      <c r="M7" s="300" t="s">
        <v>12</v>
      </c>
      <c r="N7" s="300"/>
      <c r="O7" s="300"/>
      <c r="P7" s="300"/>
      <c r="Q7" s="300"/>
      <c r="R7" s="301"/>
      <c r="S7" s="300" t="s">
        <v>701</v>
      </c>
      <c r="T7" s="300"/>
      <c r="U7" s="300"/>
      <c r="V7" s="300"/>
      <c r="W7" s="300"/>
      <c r="X7" s="301"/>
    </row>
    <row r="8" spans="2:24" ht="27.75" thickBot="1">
      <c r="B8" s="10"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0" t="s">
        <v>6</v>
      </c>
      <c r="T8" s="20" t="s">
        <v>7</v>
      </c>
      <c r="U8" s="20" t="s">
        <v>8</v>
      </c>
      <c r="V8" s="20" t="s">
        <v>9</v>
      </c>
      <c r="W8" s="20" t="s">
        <v>10</v>
      </c>
      <c r="X8" s="21" t="s">
        <v>11</v>
      </c>
    </row>
    <row r="9" spans="2:24" ht="122.25" thickTop="1">
      <c r="B9" s="10">
        <f t="shared" ref="B9:B14" si="0">IF(C9=0,0,ROW()-ROW($B$8))</f>
        <v>1</v>
      </c>
      <c r="C9" s="13" t="s">
        <v>15</v>
      </c>
      <c r="D9" s="192" t="s">
        <v>691</v>
      </c>
      <c r="E9" s="281" t="s">
        <v>127</v>
      </c>
      <c r="F9" s="281" t="s">
        <v>193</v>
      </c>
      <c r="G9" s="1" t="s">
        <v>127</v>
      </c>
      <c r="H9" s="1" t="s">
        <v>127</v>
      </c>
      <c r="I9" s="1" t="s">
        <v>127</v>
      </c>
      <c r="J9" s="1" t="s">
        <v>127</v>
      </c>
      <c r="K9" s="1" t="s">
        <v>127</v>
      </c>
      <c r="L9" s="1" t="s">
        <v>127</v>
      </c>
      <c r="M9" s="281"/>
      <c r="N9" s="282"/>
      <c r="O9" s="281"/>
      <c r="P9" s="282"/>
      <c r="Q9" s="281" t="s">
        <v>692</v>
      </c>
      <c r="R9" s="283">
        <v>44573</v>
      </c>
      <c r="S9" s="281" t="s">
        <v>127</v>
      </c>
      <c r="T9" s="282" t="s">
        <v>127</v>
      </c>
      <c r="U9" s="281" t="s">
        <v>127</v>
      </c>
      <c r="V9" s="282" t="s">
        <v>127</v>
      </c>
      <c r="W9" s="281" t="s">
        <v>127</v>
      </c>
      <c r="X9" s="283" t="s">
        <v>127</v>
      </c>
    </row>
    <row r="10" spans="2:24" ht="202.5">
      <c r="B10" s="10">
        <f t="shared" si="0"/>
        <v>2</v>
      </c>
      <c r="C10" s="2" t="s">
        <v>698</v>
      </c>
      <c r="D10" s="179" t="s">
        <v>699</v>
      </c>
      <c r="E10" s="1" t="s">
        <v>32</v>
      </c>
      <c r="F10" s="1" t="s">
        <v>696</v>
      </c>
      <c r="G10" s="1" t="s">
        <v>32</v>
      </c>
      <c r="H10" s="1" t="s">
        <v>32</v>
      </c>
      <c r="I10" s="1" t="s">
        <v>32</v>
      </c>
      <c r="J10" s="1" t="s">
        <v>32</v>
      </c>
      <c r="K10" s="1" t="s">
        <v>32</v>
      </c>
      <c r="L10" s="1" t="s">
        <v>32</v>
      </c>
      <c r="M10" s="1"/>
      <c r="N10" s="181"/>
      <c r="O10" s="1"/>
      <c r="P10" s="181"/>
      <c r="Q10" s="1" t="s">
        <v>697</v>
      </c>
      <c r="R10" s="178">
        <v>44992</v>
      </c>
      <c r="S10" s="1" t="s">
        <v>32</v>
      </c>
      <c r="T10" s="181" t="s">
        <v>32</v>
      </c>
      <c r="U10" s="1" t="s">
        <v>32</v>
      </c>
      <c r="V10" s="181" t="s">
        <v>32</v>
      </c>
      <c r="W10" s="1" t="s">
        <v>32</v>
      </c>
      <c r="X10" s="178" t="s">
        <v>32</v>
      </c>
    </row>
    <row r="11" spans="2:24" ht="256.5">
      <c r="B11" s="10">
        <f t="shared" si="0"/>
        <v>3</v>
      </c>
      <c r="C11" s="2" t="s">
        <v>700</v>
      </c>
      <c r="D11" s="179" t="s">
        <v>1081</v>
      </c>
      <c r="E11" s="1" t="s">
        <v>32</v>
      </c>
      <c r="F11" s="1" t="s">
        <v>696</v>
      </c>
      <c r="G11" s="1" t="s">
        <v>32</v>
      </c>
      <c r="H11" s="1" t="s">
        <v>32</v>
      </c>
      <c r="I11" s="1" t="s">
        <v>32</v>
      </c>
      <c r="J11" s="1" t="s">
        <v>32</v>
      </c>
      <c r="K11" s="1" t="s">
        <v>32</v>
      </c>
      <c r="L11" s="1" t="s">
        <v>32</v>
      </c>
      <c r="M11" s="1"/>
      <c r="N11" s="181"/>
      <c r="O11" s="1"/>
      <c r="P11" s="181"/>
      <c r="Q11" s="1" t="s">
        <v>127</v>
      </c>
      <c r="R11" s="178" t="s">
        <v>127</v>
      </c>
      <c r="S11" s="1" t="s">
        <v>1084</v>
      </c>
      <c r="T11" s="181">
        <v>45392</v>
      </c>
      <c r="U11" s="1" t="s">
        <v>1083</v>
      </c>
      <c r="V11" s="181">
        <v>45366</v>
      </c>
      <c r="W11" s="1" t="s">
        <v>702</v>
      </c>
      <c r="X11" s="178">
        <v>45225</v>
      </c>
    </row>
    <row r="12" spans="2:24" ht="89.25" customHeight="1">
      <c r="B12" s="10">
        <f t="shared" si="0"/>
        <v>4</v>
      </c>
      <c r="C12" s="2" t="s">
        <v>1998</v>
      </c>
      <c r="D12" s="179" t="s">
        <v>1999</v>
      </c>
      <c r="E12" s="1" t="s">
        <v>32</v>
      </c>
      <c r="F12" s="1" t="s">
        <v>696</v>
      </c>
      <c r="G12" s="1" t="s">
        <v>32</v>
      </c>
      <c r="H12" s="1" t="s">
        <v>32</v>
      </c>
      <c r="I12" s="1" t="s">
        <v>32</v>
      </c>
      <c r="J12" s="1" t="s">
        <v>32</v>
      </c>
      <c r="K12" s="1" t="s">
        <v>32</v>
      </c>
      <c r="L12" s="1" t="s">
        <v>32</v>
      </c>
      <c r="M12" s="1"/>
      <c r="N12" s="181"/>
      <c r="O12" s="1"/>
      <c r="P12" s="181"/>
      <c r="Q12" s="1" t="s">
        <v>127</v>
      </c>
      <c r="R12" s="178" t="s">
        <v>127</v>
      </c>
      <c r="S12" s="1" t="s">
        <v>32</v>
      </c>
      <c r="T12" s="181" t="s">
        <v>32</v>
      </c>
      <c r="U12" s="1" t="s">
        <v>32</v>
      </c>
      <c r="V12" s="181" t="s">
        <v>32</v>
      </c>
      <c r="W12" s="1" t="s">
        <v>2000</v>
      </c>
      <c r="X12" s="178">
        <v>45398</v>
      </c>
    </row>
    <row r="13" spans="2:24" ht="67.5">
      <c r="B13" s="10">
        <f t="shared" si="0"/>
        <v>5</v>
      </c>
      <c r="C13" s="2" t="s">
        <v>2103</v>
      </c>
      <c r="D13" s="179" t="s">
        <v>2101</v>
      </c>
      <c r="E13" s="1" t="s">
        <v>32</v>
      </c>
      <c r="F13" s="1" t="s">
        <v>696</v>
      </c>
      <c r="G13" s="1" t="s">
        <v>32</v>
      </c>
      <c r="H13" s="1" t="s">
        <v>32</v>
      </c>
      <c r="I13" s="1" t="s">
        <v>32</v>
      </c>
      <c r="J13" s="1" t="s">
        <v>32</v>
      </c>
      <c r="K13" s="1" t="s">
        <v>32</v>
      </c>
      <c r="L13" s="1" t="s">
        <v>32</v>
      </c>
      <c r="M13" s="1"/>
      <c r="N13" s="181"/>
      <c r="O13" s="1"/>
      <c r="P13" s="181"/>
      <c r="Q13" s="1" t="s">
        <v>127</v>
      </c>
      <c r="R13" s="178" t="s">
        <v>127</v>
      </c>
      <c r="S13" s="1" t="s">
        <v>32</v>
      </c>
      <c r="T13" s="181" t="s">
        <v>32</v>
      </c>
      <c r="U13" s="1" t="s">
        <v>32</v>
      </c>
      <c r="V13" s="181" t="s">
        <v>32</v>
      </c>
      <c r="W13" s="1" t="s">
        <v>2102</v>
      </c>
      <c r="X13" s="178">
        <v>45441</v>
      </c>
    </row>
    <row r="14" spans="2:24" ht="14.25" thickBot="1">
      <c r="B14" s="10">
        <f t="shared" si="0"/>
        <v>0</v>
      </c>
      <c r="C14" s="4"/>
      <c r="D14" s="5"/>
      <c r="E14" s="5"/>
      <c r="F14" s="5"/>
      <c r="G14" s="5"/>
      <c r="H14" s="5"/>
      <c r="I14" s="5"/>
      <c r="J14" s="5"/>
      <c r="K14" s="5"/>
      <c r="L14" s="5"/>
      <c r="M14" s="5"/>
      <c r="N14" s="5"/>
      <c r="O14" s="5"/>
      <c r="P14" s="5"/>
      <c r="Q14" s="5"/>
      <c r="R14" s="6"/>
      <c r="S14" s="5"/>
      <c r="T14" s="5"/>
      <c r="U14" s="5"/>
      <c r="V14" s="5"/>
      <c r="W14" s="5"/>
      <c r="X14" s="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16" t="s">
        <v>129</v>
      </c>
    </row>
    <row r="3" spans="2:5">
      <c r="C3" t="s">
        <v>139</v>
      </c>
    </row>
    <row r="6" spans="2:5" ht="14.25" thickBot="1">
      <c r="B6" s="116" t="s">
        <v>130</v>
      </c>
      <c r="C6" s="116"/>
    </row>
    <row r="7" spans="2:5" ht="14.25" thickBot="1">
      <c r="C7" s="50" t="s">
        <v>132</v>
      </c>
      <c r="D7" s="58"/>
      <c r="E7" s="51" t="s">
        <v>140</v>
      </c>
    </row>
    <row r="8" spans="2:5" ht="20.25" customHeight="1" thickTop="1">
      <c r="C8" s="119">
        <v>0</v>
      </c>
      <c r="D8" s="59" t="s">
        <v>141</v>
      </c>
      <c r="E8" s="118" t="s">
        <v>693</v>
      </c>
    </row>
    <row r="9" spans="2:5">
      <c r="C9" s="125"/>
      <c r="D9" s="127"/>
      <c r="E9" s="126"/>
    </row>
    <row r="10" spans="2:5" ht="14.25" thickBot="1">
      <c r="C10" s="123"/>
      <c r="D10" s="61"/>
      <c r="E10" s="6"/>
    </row>
    <row r="11" spans="2:5">
      <c r="C11" s="121"/>
    </row>
    <row r="12" spans="2:5" ht="14.25" thickBot="1">
      <c r="B12" s="116" t="s">
        <v>131</v>
      </c>
      <c r="C12" s="57"/>
      <c r="D12" s="57"/>
    </row>
    <row r="13" spans="2:5" ht="14.25" thickBot="1">
      <c r="B13" s="117"/>
      <c r="C13" s="122" t="s">
        <v>132</v>
      </c>
      <c r="D13" s="58" t="s">
        <v>133</v>
      </c>
      <c r="E13" s="51" t="s">
        <v>134</v>
      </c>
    </row>
    <row r="14" spans="2:5" ht="14.25" thickTop="1">
      <c r="C14" s="119">
        <v>0</v>
      </c>
      <c r="D14" s="59" t="s">
        <v>146</v>
      </c>
      <c r="E14" s="124" t="s">
        <v>147</v>
      </c>
    </row>
    <row r="15" spans="2:5">
      <c r="C15" s="120">
        <v>1</v>
      </c>
      <c r="D15" s="60" t="s">
        <v>24</v>
      </c>
      <c r="E15" s="3" t="s">
        <v>135</v>
      </c>
    </row>
    <row r="16" spans="2:5">
      <c r="C16" s="120">
        <v>2</v>
      </c>
      <c r="D16" s="60" t="s">
        <v>25</v>
      </c>
      <c r="E16" s="3" t="s">
        <v>136</v>
      </c>
    </row>
    <row r="17" spans="2:5">
      <c r="C17" s="120">
        <v>3</v>
      </c>
      <c r="D17" s="60" t="s">
        <v>26</v>
      </c>
      <c r="E17" s="3" t="s">
        <v>137</v>
      </c>
    </row>
    <row r="18" spans="2:5">
      <c r="C18" s="120">
        <v>4</v>
      </c>
      <c r="D18" s="60" t="s">
        <v>27</v>
      </c>
      <c r="E18" s="3" t="s">
        <v>138</v>
      </c>
    </row>
    <row r="19" spans="2:5">
      <c r="C19" s="120">
        <v>5</v>
      </c>
      <c r="D19" s="60" t="s">
        <v>148</v>
      </c>
      <c r="E19" s="3" t="s">
        <v>150</v>
      </c>
    </row>
    <row r="20" spans="2:5">
      <c r="C20" s="120">
        <v>6</v>
      </c>
      <c r="D20" s="60" t="s">
        <v>154</v>
      </c>
      <c r="E20" s="3" t="s">
        <v>165</v>
      </c>
    </row>
    <row r="21" spans="2:5" ht="14.25" thickBot="1">
      <c r="C21" s="123"/>
      <c r="D21" s="61"/>
      <c r="E21" s="6"/>
    </row>
    <row r="24" spans="2:5" ht="14.25" thickBot="1">
      <c r="B24" s="116" t="s">
        <v>142</v>
      </c>
    </row>
    <row r="25" spans="2:5" ht="14.25" thickBot="1">
      <c r="C25" s="122" t="s">
        <v>132</v>
      </c>
      <c r="D25" s="58" t="s">
        <v>133</v>
      </c>
      <c r="E25" s="51" t="s">
        <v>134</v>
      </c>
    </row>
    <row r="26" spans="2:5" ht="30.75" customHeight="1" thickTop="1">
      <c r="C26" s="119">
        <v>0</v>
      </c>
      <c r="D26" s="59" t="s">
        <v>143</v>
      </c>
      <c r="E26" s="124" t="s">
        <v>151</v>
      </c>
    </row>
    <row r="27" spans="2:5" ht="120" customHeight="1">
      <c r="C27" s="120">
        <v>1</v>
      </c>
      <c r="D27" s="60" t="s">
        <v>167</v>
      </c>
      <c r="E27" s="62" t="s">
        <v>169</v>
      </c>
    </row>
    <row r="28" spans="2:5" ht="81" customHeight="1">
      <c r="C28" s="120">
        <v>2</v>
      </c>
      <c r="D28" s="60" t="s">
        <v>164</v>
      </c>
      <c r="E28" s="62" t="s">
        <v>175</v>
      </c>
    </row>
    <row r="29" spans="2:5" ht="45" customHeight="1">
      <c r="C29" s="120">
        <v>3</v>
      </c>
      <c r="D29" s="60" t="s">
        <v>149</v>
      </c>
      <c r="E29" s="62" t="s">
        <v>152</v>
      </c>
    </row>
    <row r="30" spans="2:5" ht="16.5" customHeight="1">
      <c r="C30" s="120">
        <v>4</v>
      </c>
      <c r="D30" s="60" t="s">
        <v>144</v>
      </c>
      <c r="E30" s="3" t="s">
        <v>157</v>
      </c>
    </row>
    <row r="31" spans="2:5" ht="16.5" customHeight="1">
      <c r="C31" s="120">
        <v>5</v>
      </c>
      <c r="D31" s="60" t="s">
        <v>145</v>
      </c>
      <c r="E31" s="3" t="s">
        <v>153</v>
      </c>
    </row>
    <row r="32" spans="2:5">
      <c r="C32" s="120"/>
      <c r="D32" s="60"/>
      <c r="E32" s="3"/>
    </row>
    <row r="33" spans="2:5">
      <c r="C33" s="120"/>
      <c r="D33" s="60"/>
      <c r="E33" s="3"/>
    </row>
    <row r="34" spans="2:5" ht="14.25" thickBot="1">
      <c r="C34" s="123"/>
      <c r="D34" s="61"/>
      <c r="E34" s="6"/>
    </row>
    <row r="37" spans="2:5" ht="14.25" thickBot="1">
      <c r="B37" s="116" t="s">
        <v>161</v>
      </c>
    </row>
    <row r="38" spans="2:5">
      <c r="C38" s="306"/>
      <c r="D38" s="307"/>
      <c r="E38" s="83" t="s">
        <v>119</v>
      </c>
    </row>
    <row r="39" spans="2:5" ht="14.25" thickBot="1">
      <c r="C39" s="308"/>
      <c r="D39" s="309"/>
      <c r="E39" s="6"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35" t="s">
        <v>19</v>
      </c>
      <c r="C2" s="336"/>
      <c r="D2" s="323" t="s">
        <v>690</v>
      </c>
      <c r="E2" s="324"/>
      <c r="F2" s="324"/>
      <c r="G2" s="324"/>
      <c r="H2" s="325"/>
    </row>
    <row r="3" spans="2:14" ht="13.15" customHeight="1">
      <c r="B3" s="310" t="s">
        <v>117</v>
      </c>
      <c r="C3" s="311"/>
      <c r="D3" s="326" t="s">
        <v>703</v>
      </c>
      <c r="E3" s="327"/>
      <c r="F3" s="327"/>
      <c r="G3" s="327"/>
      <c r="H3" s="328"/>
    </row>
    <row r="4" spans="2:14" ht="14.25" thickBot="1">
      <c r="B4" s="321" t="s">
        <v>18</v>
      </c>
      <c r="C4" s="322"/>
      <c r="D4" s="329" t="str">
        <f ca="1">表紙!D3&amp;".c"</f>
        <v>alert_B_TDOOR-CSTD-0-03-C-C5.c</v>
      </c>
      <c r="E4" s="330"/>
      <c r="F4" s="330"/>
      <c r="G4" s="330"/>
      <c r="H4" s="33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35" t="s">
        <v>37</v>
      </c>
      <c r="C6" s="336"/>
      <c r="D6" s="332" t="str">
        <f ca="1">MID(D4, LEN("alert_") + 1, FIND("-",D4,1) - LEN("alert_") - 1)</f>
        <v>B_TDOOR</v>
      </c>
      <c r="E6" s="333"/>
      <c r="F6" s="333"/>
      <c r="G6" s="333"/>
      <c r="H6" s="334"/>
    </row>
    <row r="7" spans="2:14">
      <c r="B7" s="310" t="s">
        <v>38</v>
      </c>
      <c r="C7" s="311"/>
      <c r="D7" s="312">
        <f>COUNTA($D$13:$D$37)</f>
        <v>1</v>
      </c>
      <c r="E7" s="313"/>
      <c r="F7" s="313"/>
      <c r="G7" s="313"/>
      <c r="H7" s="314"/>
    </row>
    <row r="8" spans="2:14">
      <c r="B8" s="310" t="s">
        <v>96</v>
      </c>
      <c r="C8" s="311"/>
      <c r="D8" s="312" t="str">
        <f ca="1">"st_gp_ALERT_"&amp;UPPER(D6)&amp;"_MTRX"</f>
        <v>st_gp_ALERT_B_TDOOR_MTRX</v>
      </c>
      <c r="E8" s="313"/>
      <c r="F8" s="313"/>
      <c r="G8" s="313"/>
      <c r="H8" s="314"/>
    </row>
    <row r="9" spans="2:14">
      <c r="B9" s="310" t="s">
        <v>39</v>
      </c>
      <c r="C9" s="311"/>
      <c r="D9" s="315" t="s">
        <v>202</v>
      </c>
      <c r="E9" s="316"/>
      <c r="F9" s="316"/>
      <c r="G9" s="316"/>
      <c r="H9" s="317"/>
    </row>
    <row r="10" spans="2:14" ht="14.25" thickBot="1">
      <c r="B10" s="321" t="s">
        <v>45</v>
      </c>
      <c r="C10" s="322"/>
      <c r="D10" s="318"/>
      <c r="E10" s="319"/>
      <c r="F10" s="319"/>
      <c r="G10" s="319"/>
      <c r="H10" s="320"/>
    </row>
    <row r="11" spans="2:14" ht="14.25" thickBot="1"/>
    <row r="12" spans="2:14" ht="14.25" thickBot="1">
      <c r="B12" s="107" t="s">
        <v>35</v>
      </c>
      <c r="C12" s="76" t="s">
        <v>44</v>
      </c>
      <c r="D12" s="77" t="s">
        <v>36</v>
      </c>
      <c r="E12" s="77" t="s">
        <v>40</v>
      </c>
      <c r="F12" s="77" t="s">
        <v>41</v>
      </c>
      <c r="G12" s="77" t="s">
        <v>42</v>
      </c>
      <c r="H12" s="78" t="s">
        <v>43</v>
      </c>
      <c r="I12" s="112" t="s">
        <v>52</v>
      </c>
      <c r="K12" t="s">
        <v>46</v>
      </c>
      <c r="L12" t="s">
        <v>39</v>
      </c>
      <c r="M12" t="s">
        <v>88</v>
      </c>
    </row>
    <row r="13" spans="2:14" ht="14.25" thickTop="1">
      <c r="B13" s="79">
        <v>1</v>
      </c>
      <c r="C13" s="81" t="s">
        <v>203</v>
      </c>
      <c r="D13" s="82" t="s">
        <v>48</v>
      </c>
      <c r="E13" s="82" t="s">
        <v>160</v>
      </c>
      <c r="F13" s="33" t="str">
        <f t="shared" ref="F13:F37" ca="1" si="0">IF($D13&lt;&gt;"","u4_s_Alert"&amp;UPPER(LEFT($D$6,1))&amp;LOWER(MID($D$6,2,100))&amp;IF($D$7=1,"",N13)&amp;"Srcchk","")</f>
        <v>u4_s_AlertB_tdoorSrcchk</v>
      </c>
      <c r="G13" s="33" t="str">
        <f t="shared" ref="G13:G37" si="1">IF($D13&lt;&gt;"",IF($E13="○","vd_s_Alert"&amp;UPPER(LEFT($D$6,1))&amp;LOWER(MID($D$6,2,100))&amp;IF($D$7=1,"",N13)&amp;"RwTx","NULL"),"")</f>
        <v>NULL</v>
      </c>
      <c r="H13" s="80" t="str">
        <f ca="1">IF($D13&lt;&gt;"","ALERT_CH_"&amp;UPPER($D$6)&amp;IF($D$7=1,"","_"&amp;UPPER($C13)),"")</f>
        <v>ALERT_CH_B_TDOOR</v>
      </c>
      <c r="I13" s="113" t="str">
        <f ca="1">IF($D13&lt;&gt;"","ALERT_REQ_"&amp;UPPER($D$6)&amp;IF($D$7=1,"","_"&amp;UPPER($C13)),"")</f>
        <v>ALERT_REQ_B_TDOOR</v>
      </c>
      <c r="K13" t="s">
        <v>47</v>
      </c>
      <c r="L13" t="s">
        <v>51</v>
      </c>
      <c r="M13" t="e">
        <f t="shared" ref="M13:M37" si="2">FIND("_",C13,1)</f>
        <v>#VALUE!</v>
      </c>
      <c r="N13" t="str">
        <f t="shared" ref="N13:N37" si="3">IF(IFERROR(M13,0),UPPER(LEFT(C13,1))&amp;LOWER(MID(C13,2,M13-2))&amp;UPPER(MID(C13,M13+1,1))&amp;LOWER(MID(C13,M13+2,100)),UPPER(LEFT(C13,1))&amp;LOWER(MID(C13,2,100)))</f>
        <v>-</v>
      </c>
    </row>
    <row r="14" spans="2:14">
      <c r="B14" s="69">
        <v>2</v>
      </c>
      <c r="C14" s="110"/>
      <c r="D14" s="111"/>
      <c r="E14" s="111"/>
      <c r="F14" s="28" t="str">
        <f t="shared" si="0"/>
        <v/>
      </c>
      <c r="G14" s="28" t="str">
        <f t="shared" si="1"/>
        <v/>
      </c>
      <c r="H14" s="48" t="str">
        <f t="shared" ref="H14:H37" si="4">IF($D14&lt;&gt;"","ALERT_CH_"&amp;UPPER($D$6)&amp;IF($D$7=1,"","_"&amp;UPPER($C14)),"")</f>
        <v/>
      </c>
      <c r="I14" s="114" t="str">
        <f t="shared" ref="I14:I37" si="5">IF($D14&lt;&gt;"","ALERT_REQ_"&amp;UPPER($D$6)&amp;IF($D$7=1,"","_"&amp;UPPER($C14)),"")</f>
        <v/>
      </c>
      <c r="K14" t="s">
        <v>48</v>
      </c>
      <c r="L14" t="str">
        <f ca="1">"vd_g_Alert"&amp;UPPER(LEFT(D6,1))&amp;LOWER(MID(D6,2,100))&amp;"Init"</f>
        <v>vd_g_AlertB_tdoorInit</v>
      </c>
      <c r="M14" t="e">
        <f t="shared" si="2"/>
        <v>#VALUE!</v>
      </c>
      <c r="N14" t="str">
        <f t="shared" si="3"/>
        <v/>
      </c>
    </row>
    <row r="15" spans="2:14">
      <c r="B15" s="69">
        <v>3</v>
      </c>
      <c r="C15" s="110"/>
      <c r="D15" s="111"/>
      <c r="E15" s="111"/>
      <c r="F15" s="28" t="str">
        <f t="shared" si="0"/>
        <v/>
      </c>
      <c r="G15" s="28" t="str">
        <f t="shared" si="1"/>
        <v/>
      </c>
      <c r="H15" s="48" t="str">
        <f t="shared" si="4"/>
        <v/>
      </c>
      <c r="I15" s="114" t="str">
        <f t="shared" si="5"/>
        <v/>
      </c>
      <c r="K15" t="s">
        <v>121</v>
      </c>
      <c r="M15" t="e">
        <f t="shared" si="2"/>
        <v>#VALUE!</v>
      </c>
      <c r="N15" t="str">
        <f t="shared" si="3"/>
        <v/>
      </c>
    </row>
    <row r="16" spans="2:14">
      <c r="B16" s="69">
        <v>4</v>
      </c>
      <c r="C16" s="110"/>
      <c r="D16" s="111"/>
      <c r="E16" s="111"/>
      <c r="F16" s="28" t="str">
        <f t="shared" si="0"/>
        <v/>
      </c>
      <c r="G16" s="28" t="str">
        <f t="shared" si="1"/>
        <v/>
      </c>
      <c r="H16" s="48" t="str">
        <f t="shared" si="4"/>
        <v/>
      </c>
      <c r="I16" s="114" t="str">
        <f t="shared" si="5"/>
        <v/>
      </c>
      <c r="K16" t="s">
        <v>122</v>
      </c>
      <c r="M16" t="e">
        <f t="shared" si="2"/>
        <v>#VALUE!</v>
      </c>
      <c r="N16" t="str">
        <f t="shared" si="3"/>
        <v/>
      </c>
    </row>
    <row r="17" spans="2:14">
      <c r="B17" s="69">
        <v>5</v>
      </c>
      <c r="C17" s="110"/>
      <c r="D17" s="111"/>
      <c r="E17" s="111"/>
      <c r="F17" s="28" t="str">
        <f t="shared" si="0"/>
        <v/>
      </c>
      <c r="G17" s="28" t="str">
        <f t="shared" si="1"/>
        <v/>
      </c>
      <c r="H17" s="48" t="str">
        <f t="shared" si="4"/>
        <v/>
      </c>
      <c r="I17" s="114" t="str">
        <f t="shared" si="5"/>
        <v/>
      </c>
      <c r="K17" t="s">
        <v>49</v>
      </c>
      <c r="M17" t="e">
        <f t="shared" si="2"/>
        <v>#VALUE!</v>
      </c>
      <c r="N17" t="str">
        <f t="shared" si="3"/>
        <v/>
      </c>
    </row>
    <row r="18" spans="2:14">
      <c r="B18" s="69">
        <v>6</v>
      </c>
      <c r="C18" s="110"/>
      <c r="D18" s="111"/>
      <c r="E18" s="111"/>
      <c r="F18" s="28" t="str">
        <f t="shared" si="0"/>
        <v/>
      </c>
      <c r="G18" s="28" t="str">
        <f t="shared" si="1"/>
        <v/>
      </c>
      <c r="H18" s="48" t="str">
        <f t="shared" si="4"/>
        <v/>
      </c>
      <c r="I18" s="114" t="str">
        <f t="shared" si="5"/>
        <v/>
      </c>
      <c r="K18" t="s">
        <v>50</v>
      </c>
      <c r="M18" t="e">
        <f t="shared" si="2"/>
        <v>#VALUE!</v>
      </c>
      <c r="N18" t="str">
        <f t="shared" si="3"/>
        <v/>
      </c>
    </row>
    <row r="19" spans="2:14">
      <c r="B19" s="69">
        <v>7</v>
      </c>
      <c r="C19" s="110"/>
      <c r="D19" s="111"/>
      <c r="E19" s="111"/>
      <c r="F19" s="28" t="str">
        <f t="shared" si="0"/>
        <v/>
      </c>
      <c r="G19" s="28" t="str">
        <f t="shared" si="1"/>
        <v/>
      </c>
      <c r="H19" s="48" t="str">
        <f t="shared" si="4"/>
        <v/>
      </c>
      <c r="I19" s="114" t="str">
        <f t="shared" si="5"/>
        <v/>
      </c>
      <c r="K19" t="s">
        <v>50</v>
      </c>
      <c r="M19" t="e">
        <f t="shared" si="2"/>
        <v>#VALUE!</v>
      </c>
      <c r="N19" t="str">
        <f t="shared" si="3"/>
        <v/>
      </c>
    </row>
    <row r="20" spans="2:14">
      <c r="B20" s="69">
        <v>8</v>
      </c>
      <c r="C20" s="110"/>
      <c r="D20" s="111"/>
      <c r="E20" s="111"/>
      <c r="F20" s="28" t="str">
        <f t="shared" si="0"/>
        <v/>
      </c>
      <c r="G20" s="28" t="str">
        <f t="shared" si="1"/>
        <v/>
      </c>
      <c r="H20" s="48" t="str">
        <f t="shared" si="4"/>
        <v/>
      </c>
      <c r="I20" s="114" t="str">
        <f t="shared" si="5"/>
        <v/>
      </c>
      <c r="K20" t="s">
        <v>50</v>
      </c>
      <c r="M20" t="e">
        <f t="shared" si="2"/>
        <v>#VALUE!</v>
      </c>
      <c r="N20" t="str">
        <f t="shared" si="3"/>
        <v/>
      </c>
    </row>
    <row r="21" spans="2:14">
      <c r="B21" s="69">
        <v>9</v>
      </c>
      <c r="C21" s="110"/>
      <c r="D21" s="111"/>
      <c r="E21" s="111"/>
      <c r="F21" s="28" t="str">
        <f t="shared" si="0"/>
        <v/>
      </c>
      <c r="G21" s="28" t="str">
        <f t="shared" si="1"/>
        <v/>
      </c>
      <c r="H21" s="48" t="str">
        <f t="shared" si="4"/>
        <v/>
      </c>
      <c r="I21" s="114" t="str">
        <f t="shared" si="5"/>
        <v/>
      </c>
      <c r="K21" t="s">
        <v>50</v>
      </c>
      <c r="M21" t="e">
        <f t="shared" si="2"/>
        <v>#VALUE!</v>
      </c>
      <c r="N21" t="str">
        <f t="shared" si="3"/>
        <v/>
      </c>
    </row>
    <row r="22" spans="2:14">
      <c r="B22" s="69">
        <v>10</v>
      </c>
      <c r="C22" s="110"/>
      <c r="D22" s="111"/>
      <c r="E22" s="111"/>
      <c r="F22" s="28" t="str">
        <f t="shared" si="0"/>
        <v/>
      </c>
      <c r="G22" s="28" t="str">
        <f t="shared" si="1"/>
        <v/>
      </c>
      <c r="H22" s="48" t="str">
        <f t="shared" si="4"/>
        <v/>
      </c>
      <c r="I22" s="114" t="str">
        <f t="shared" si="5"/>
        <v/>
      </c>
      <c r="K22" t="s">
        <v>50</v>
      </c>
      <c r="M22" t="e">
        <f t="shared" si="2"/>
        <v>#VALUE!</v>
      </c>
      <c r="N22" t="str">
        <f t="shared" si="3"/>
        <v/>
      </c>
    </row>
    <row r="23" spans="2:14">
      <c r="B23" s="69">
        <v>11</v>
      </c>
      <c r="C23" s="110"/>
      <c r="D23" s="111"/>
      <c r="E23" s="111"/>
      <c r="F23" s="28" t="str">
        <f t="shared" si="0"/>
        <v/>
      </c>
      <c r="G23" s="28" t="str">
        <f t="shared" si="1"/>
        <v/>
      </c>
      <c r="H23" s="48" t="str">
        <f t="shared" si="4"/>
        <v/>
      </c>
      <c r="I23" s="114" t="str">
        <f t="shared" si="5"/>
        <v/>
      </c>
      <c r="K23" t="s">
        <v>50</v>
      </c>
      <c r="M23" t="e">
        <f t="shared" si="2"/>
        <v>#VALUE!</v>
      </c>
      <c r="N23" t="str">
        <f t="shared" si="3"/>
        <v/>
      </c>
    </row>
    <row r="24" spans="2:14">
      <c r="B24" s="69">
        <v>12</v>
      </c>
      <c r="C24" s="110"/>
      <c r="D24" s="111"/>
      <c r="E24" s="111"/>
      <c r="F24" s="28" t="str">
        <f t="shared" si="0"/>
        <v/>
      </c>
      <c r="G24" s="28" t="str">
        <f t="shared" si="1"/>
        <v/>
      </c>
      <c r="H24" s="48" t="str">
        <f t="shared" si="4"/>
        <v/>
      </c>
      <c r="I24" s="114" t="str">
        <f t="shared" si="5"/>
        <v/>
      </c>
      <c r="K24" t="s">
        <v>50</v>
      </c>
      <c r="M24" t="e">
        <f t="shared" si="2"/>
        <v>#VALUE!</v>
      </c>
      <c r="N24" t="str">
        <f t="shared" si="3"/>
        <v/>
      </c>
    </row>
    <row r="25" spans="2:14">
      <c r="B25" s="69">
        <v>13</v>
      </c>
      <c r="C25" s="110"/>
      <c r="D25" s="111"/>
      <c r="E25" s="111"/>
      <c r="F25" s="28" t="str">
        <f t="shared" si="0"/>
        <v/>
      </c>
      <c r="G25" s="28" t="str">
        <f t="shared" si="1"/>
        <v/>
      </c>
      <c r="H25" s="48" t="str">
        <f t="shared" si="4"/>
        <v/>
      </c>
      <c r="I25" s="114" t="str">
        <f t="shared" si="5"/>
        <v/>
      </c>
      <c r="K25" t="s">
        <v>50</v>
      </c>
      <c r="M25" t="e">
        <f t="shared" si="2"/>
        <v>#VALUE!</v>
      </c>
      <c r="N25" t="str">
        <f t="shared" si="3"/>
        <v/>
      </c>
    </row>
    <row r="26" spans="2:14">
      <c r="B26" s="69">
        <v>14</v>
      </c>
      <c r="C26" s="110"/>
      <c r="D26" s="111"/>
      <c r="E26" s="111"/>
      <c r="F26" s="28" t="str">
        <f t="shared" si="0"/>
        <v/>
      </c>
      <c r="G26" s="28" t="str">
        <f t="shared" si="1"/>
        <v/>
      </c>
      <c r="H26" s="48" t="str">
        <f t="shared" si="4"/>
        <v/>
      </c>
      <c r="I26" s="114" t="str">
        <f t="shared" si="5"/>
        <v/>
      </c>
      <c r="K26" t="s">
        <v>50</v>
      </c>
      <c r="M26" t="e">
        <f t="shared" si="2"/>
        <v>#VALUE!</v>
      </c>
      <c r="N26" t="str">
        <f t="shared" si="3"/>
        <v/>
      </c>
    </row>
    <row r="27" spans="2:14">
      <c r="B27" s="69">
        <v>15</v>
      </c>
      <c r="C27" s="110"/>
      <c r="D27" s="111"/>
      <c r="E27" s="111"/>
      <c r="F27" s="28" t="str">
        <f t="shared" si="0"/>
        <v/>
      </c>
      <c r="G27" s="28" t="str">
        <f t="shared" si="1"/>
        <v/>
      </c>
      <c r="H27" s="48" t="str">
        <f t="shared" si="4"/>
        <v/>
      </c>
      <c r="I27" s="114" t="str">
        <f t="shared" si="5"/>
        <v/>
      </c>
      <c r="K27" t="s">
        <v>50</v>
      </c>
      <c r="M27" t="e">
        <f t="shared" si="2"/>
        <v>#VALUE!</v>
      </c>
      <c r="N27" t="str">
        <f t="shared" si="3"/>
        <v/>
      </c>
    </row>
    <row r="28" spans="2:14">
      <c r="B28" s="69">
        <v>16</v>
      </c>
      <c r="C28" s="110"/>
      <c r="D28" s="111"/>
      <c r="E28" s="111"/>
      <c r="F28" s="28" t="str">
        <f t="shared" si="0"/>
        <v/>
      </c>
      <c r="G28" s="28" t="str">
        <f t="shared" si="1"/>
        <v/>
      </c>
      <c r="H28" s="48" t="str">
        <f t="shared" si="4"/>
        <v/>
      </c>
      <c r="I28" s="114" t="str">
        <f t="shared" si="5"/>
        <v/>
      </c>
      <c r="K28" t="s">
        <v>50</v>
      </c>
      <c r="M28" t="e">
        <f t="shared" si="2"/>
        <v>#VALUE!</v>
      </c>
      <c r="N28" t="str">
        <f t="shared" si="3"/>
        <v/>
      </c>
    </row>
    <row r="29" spans="2:14">
      <c r="B29" s="69">
        <v>17</v>
      </c>
      <c r="C29" s="110"/>
      <c r="D29" s="111"/>
      <c r="E29" s="111"/>
      <c r="F29" s="28" t="str">
        <f t="shared" si="0"/>
        <v/>
      </c>
      <c r="G29" s="28" t="str">
        <f t="shared" si="1"/>
        <v/>
      </c>
      <c r="H29" s="48" t="str">
        <f t="shared" si="4"/>
        <v/>
      </c>
      <c r="I29" s="114" t="str">
        <f t="shared" si="5"/>
        <v/>
      </c>
      <c r="K29" t="s">
        <v>50</v>
      </c>
      <c r="M29" t="e">
        <f t="shared" si="2"/>
        <v>#VALUE!</v>
      </c>
      <c r="N29" t="str">
        <f t="shared" si="3"/>
        <v/>
      </c>
    </row>
    <row r="30" spans="2:14">
      <c r="B30" s="69">
        <v>18</v>
      </c>
      <c r="C30" s="110"/>
      <c r="D30" s="111"/>
      <c r="E30" s="111"/>
      <c r="F30" s="28" t="str">
        <f t="shared" si="0"/>
        <v/>
      </c>
      <c r="G30" s="28" t="str">
        <f t="shared" si="1"/>
        <v/>
      </c>
      <c r="H30" s="48" t="str">
        <f t="shared" si="4"/>
        <v/>
      </c>
      <c r="I30" s="114" t="str">
        <f t="shared" si="5"/>
        <v/>
      </c>
      <c r="K30" t="s">
        <v>50</v>
      </c>
      <c r="M30" t="e">
        <f t="shared" si="2"/>
        <v>#VALUE!</v>
      </c>
      <c r="N30" t="str">
        <f t="shared" si="3"/>
        <v/>
      </c>
    </row>
    <row r="31" spans="2:14">
      <c r="B31" s="69">
        <v>19</v>
      </c>
      <c r="C31" s="110"/>
      <c r="D31" s="111"/>
      <c r="E31" s="111"/>
      <c r="F31" s="28" t="str">
        <f t="shared" si="0"/>
        <v/>
      </c>
      <c r="G31" s="28" t="str">
        <f t="shared" si="1"/>
        <v/>
      </c>
      <c r="H31" s="48" t="str">
        <f t="shared" si="4"/>
        <v/>
      </c>
      <c r="I31" s="114" t="str">
        <f t="shared" si="5"/>
        <v/>
      </c>
      <c r="K31" t="s">
        <v>50</v>
      </c>
      <c r="M31" t="e">
        <f t="shared" si="2"/>
        <v>#VALUE!</v>
      </c>
      <c r="N31" t="str">
        <f t="shared" si="3"/>
        <v/>
      </c>
    </row>
    <row r="32" spans="2:14">
      <c r="B32" s="69">
        <v>20</v>
      </c>
      <c r="C32" s="110"/>
      <c r="D32" s="111"/>
      <c r="E32" s="111"/>
      <c r="F32" s="28" t="str">
        <f t="shared" si="0"/>
        <v/>
      </c>
      <c r="G32" s="28" t="str">
        <f t="shared" si="1"/>
        <v/>
      </c>
      <c r="H32" s="48" t="str">
        <f t="shared" si="4"/>
        <v/>
      </c>
      <c r="I32" s="114" t="str">
        <f t="shared" si="5"/>
        <v/>
      </c>
      <c r="K32" t="s">
        <v>50</v>
      </c>
      <c r="M32" t="e">
        <f t="shared" si="2"/>
        <v>#VALUE!</v>
      </c>
      <c r="N32" t="str">
        <f t="shared" si="3"/>
        <v/>
      </c>
    </row>
    <row r="33" spans="2:14">
      <c r="B33" s="69">
        <v>21</v>
      </c>
      <c r="C33" s="110"/>
      <c r="D33" s="111"/>
      <c r="E33" s="111"/>
      <c r="F33" s="28" t="str">
        <f t="shared" si="0"/>
        <v/>
      </c>
      <c r="G33" s="28" t="str">
        <f t="shared" si="1"/>
        <v/>
      </c>
      <c r="H33" s="48" t="str">
        <f t="shared" si="4"/>
        <v/>
      </c>
      <c r="I33" s="114" t="str">
        <f t="shared" si="5"/>
        <v/>
      </c>
      <c r="K33" t="s">
        <v>50</v>
      </c>
      <c r="M33" t="e">
        <f t="shared" si="2"/>
        <v>#VALUE!</v>
      </c>
      <c r="N33" t="str">
        <f t="shared" si="3"/>
        <v/>
      </c>
    </row>
    <row r="34" spans="2:14">
      <c r="B34" s="69">
        <v>22</v>
      </c>
      <c r="C34" s="110"/>
      <c r="D34" s="111"/>
      <c r="E34" s="111"/>
      <c r="F34" s="28" t="str">
        <f t="shared" si="0"/>
        <v/>
      </c>
      <c r="G34" s="28" t="str">
        <f t="shared" si="1"/>
        <v/>
      </c>
      <c r="H34" s="48" t="str">
        <f t="shared" si="4"/>
        <v/>
      </c>
      <c r="I34" s="114" t="str">
        <f t="shared" si="5"/>
        <v/>
      </c>
      <c r="K34" t="s">
        <v>50</v>
      </c>
      <c r="M34" t="e">
        <f t="shared" si="2"/>
        <v>#VALUE!</v>
      </c>
      <c r="N34" t="str">
        <f t="shared" si="3"/>
        <v/>
      </c>
    </row>
    <row r="35" spans="2:14">
      <c r="B35" s="69">
        <v>23</v>
      </c>
      <c r="C35" s="110"/>
      <c r="D35" s="111"/>
      <c r="E35" s="111"/>
      <c r="F35" s="28" t="str">
        <f t="shared" si="0"/>
        <v/>
      </c>
      <c r="G35" s="28" t="str">
        <f t="shared" si="1"/>
        <v/>
      </c>
      <c r="H35" s="48" t="str">
        <f t="shared" si="4"/>
        <v/>
      </c>
      <c r="I35" s="114" t="str">
        <f t="shared" si="5"/>
        <v/>
      </c>
      <c r="K35" t="s">
        <v>50</v>
      </c>
      <c r="M35" t="e">
        <f t="shared" si="2"/>
        <v>#VALUE!</v>
      </c>
      <c r="N35" t="str">
        <f t="shared" si="3"/>
        <v/>
      </c>
    </row>
    <row r="36" spans="2:14">
      <c r="B36" s="69">
        <v>24</v>
      </c>
      <c r="C36" s="110"/>
      <c r="D36" s="111"/>
      <c r="E36" s="111"/>
      <c r="F36" s="28" t="str">
        <f t="shared" si="0"/>
        <v/>
      </c>
      <c r="G36" s="28" t="str">
        <f t="shared" si="1"/>
        <v/>
      </c>
      <c r="H36" s="48" t="str">
        <f t="shared" si="4"/>
        <v/>
      </c>
      <c r="I36" s="114" t="str">
        <f t="shared" si="5"/>
        <v/>
      </c>
      <c r="K36" t="s">
        <v>50</v>
      </c>
      <c r="M36" t="e">
        <f t="shared" si="2"/>
        <v>#VALUE!</v>
      </c>
      <c r="N36" t="str">
        <f t="shared" si="3"/>
        <v/>
      </c>
    </row>
    <row r="37" spans="2:14" ht="14.25" thickBot="1">
      <c r="B37" s="70">
        <v>25</v>
      </c>
      <c r="C37" s="108"/>
      <c r="D37" s="109"/>
      <c r="E37" s="109"/>
      <c r="F37" s="36" t="str">
        <f t="shared" si="0"/>
        <v/>
      </c>
      <c r="G37" s="36" t="str">
        <f t="shared" si="1"/>
        <v/>
      </c>
      <c r="H37" s="49" t="str">
        <f t="shared" si="4"/>
        <v/>
      </c>
      <c r="I37" s="115"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55" priority="4">
      <formula>14&lt;LEN($D$6)+LEN($C13)</formula>
    </cfRule>
  </conditionalFormatting>
  <conditionalFormatting sqref="D6">
    <cfRule type="expression" dxfId="54" priority="3">
      <formula>14 &lt; LEN($D$6)</formula>
    </cfRule>
  </conditionalFormatting>
  <conditionalFormatting sqref="D5">
    <cfRule type="containsText" dxfId="53"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189</v>
      </c>
    </row>
    <row r="3" spans="2:18" ht="14.25" thickBot="1">
      <c r="B3" s="107" t="s">
        <v>35</v>
      </c>
      <c r="C3" s="77" t="s">
        <v>177</v>
      </c>
      <c r="D3" s="77" t="s">
        <v>183</v>
      </c>
      <c r="E3" s="78" t="s">
        <v>184</v>
      </c>
      <c r="F3" s="140" t="s">
        <v>179</v>
      </c>
      <c r="G3" s="137" t="s">
        <v>192</v>
      </c>
      <c r="O3" s="107" t="s">
        <v>35</v>
      </c>
      <c r="P3" s="136" t="s">
        <v>173</v>
      </c>
      <c r="Q3" s="136" t="s">
        <v>186</v>
      </c>
      <c r="R3" s="137" t="s">
        <v>179</v>
      </c>
    </row>
    <row r="4" spans="2:18" ht="14.25" hidden="1" thickTop="1">
      <c r="B4" s="128">
        <v>0</v>
      </c>
      <c r="C4" s="129" t="s">
        <v>162</v>
      </c>
      <c r="D4" s="129"/>
      <c r="E4" s="130"/>
      <c r="F4" s="141"/>
      <c r="G4" s="3"/>
      <c r="O4" s="138">
        <v>0</v>
      </c>
      <c r="P4" s="135" t="s">
        <v>162</v>
      </c>
      <c r="Q4" s="135" t="s">
        <v>162</v>
      </c>
      <c r="R4" s="106"/>
    </row>
    <row r="5" spans="2:18" ht="14.25" thickTop="1">
      <c r="B5" s="131">
        <v>1</v>
      </c>
      <c r="C5" s="111"/>
      <c r="D5" s="23"/>
      <c r="E5" s="48" t="str">
        <f>IF($C5&lt;&gt;"","ALERT_" &amp; D5 &amp; "_ID_"&amp;UPPER(Matrix!$D$6) &amp; "_" &amp; $C5,"")</f>
        <v/>
      </c>
      <c r="F5" s="87"/>
      <c r="G5" s="48" t="str">
        <f>IF(E5&lt;&gt;"",LEN(E5),"")</f>
        <v/>
      </c>
      <c r="O5" s="131">
        <v>1</v>
      </c>
      <c r="P5" s="111"/>
      <c r="Q5" s="111"/>
      <c r="R5" s="290"/>
    </row>
    <row r="6" spans="2:18">
      <c r="B6" s="131">
        <v>2</v>
      </c>
      <c r="C6" s="111"/>
      <c r="D6" s="23"/>
      <c r="E6" s="48" t="str">
        <f>IF($C6&lt;&gt;"","ALERT_" &amp; D6 &amp; "_ID_"&amp;UPPER(Matrix!$D$6) &amp; "_" &amp; $C6,"")</f>
        <v/>
      </c>
      <c r="F6" s="87"/>
      <c r="G6" s="48" t="str">
        <f t="shared" ref="G6:G29" si="0">IF(E6&lt;&gt;"",LEN(E6),"")</f>
        <v/>
      </c>
      <c r="O6" s="131">
        <v>2</v>
      </c>
      <c r="P6" s="111"/>
      <c r="Q6" s="111"/>
      <c r="R6" s="290"/>
    </row>
    <row r="7" spans="2:18">
      <c r="B7" s="131">
        <v>3</v>
      </c>
      <c r="C7" s="111"/>
      <c r="D7" s="23"/>
      <c r="E7" s="48" t="str">
        <f>IF($C7&lt;&gt;"","ALERT_" &amp; D7 &amp; "_ID_"&amp;UPPER(Matrix!$D$6) &amp; "_" &amp; $C7,"")</f>
        <v/>
      </c>
      <c r="F7" s="87"/>
      <c r="G7" s="48" t="str">
        <f t="shared" si="0"/>
        <v/>
      </c>
      <c r="O7" s="131">
        <v>3</v>
      </c>
      <c r="P7" s="111"/>
      <c r="Q7" s="111"/>
      <c r="R7" s="290"/>
    </row>
    <row r="8" spans="2:18">
      <c r="B8" s="131">
        <v>4</v>
      </c>
      <c r="C8" s="111"/>
      <c r="D8" s="23"/>
      <c r="E8" s="48" t="str">
        <f>IF($C8&lt;&gt;"","ALERT_" &amp; D8 &amp; "_ID_"&amp;UPPER(Matrix!$D$6) &amp; "_" &amp; $C8,"")</f>
        <v/>
      </c>
      <c r="F8" s="87"/>
      <c r="G8" s="48" t="str">
        <f t="shared" si="0"/>
        <v/>
      </c>
      <c r="O8" s="131">
        <v>4</v>
      </c>
      <c r="P8" s="111"/>
      <c r="Q8" s="111"/>
      <c r="R8" s="290"/>
    </row>
    <row r="9" spans="2:18">
      <c r="B9" s="131">
        <v>5</v>
      </c>
      <c r="C9" s="111"/>
      <c r="D9" s="23"/>
      <c r="E9" s="48" t="str">
        <f>IF($C9&lt;&gt;"","ALERT_" &amp; D9 &amp; "_ID_"&amp;UPPER(Matrix!$D$6) &amp; "_" &amp; $C9,"")</f>
        <v/>
      </c>
      <c r="F9" s="87"/>
      <c r="G9" s="48" t="str">
        <f t="shared" si="0"/>
        <v/>
      </c>
      <c r="O9" s="131">
        <v>5</v>
      </c>
      <c r="P9" s="111"/>
      <c r="Q9" s="111"/>
      <c r="R9" s="290"/>
    </row>
    <row r="10" spans="2:18">
      <c r="B10" s="131">
        <v>6</v>
      </c>
      <c r="C10" s="111"/>
      <c r="D10" s="23"/>
      <c r="E10" s="48" t="str">
        <f>IF($C10&lt;&gt;"","ALERT_" &amp; D10 &amp; "_ID_"&amp;UPPER(Matrix!$D$6) &amp; "_" &amp; $C10,"")</f>
        <v/>
      </c>
      <c r="F10" s="87"/>
      <c r="G10" s="48" t="str">
        <f t="shared" si="0"/>
        <v/>
      </c>
      <c r="O10" s="131">
        <v>6</v>
      </c>
      <c r="P10" s="111"/>
      <c r="Q10" s="111"/>
      <c r="R10" s="290"/>
    </row>
    <row r="11" spans="2:18">
      <c r="B11" s="131">
        <v>7</v>
      </c>
      <c r="C11" s="111"/>
      <c r="D11" s="23"/>
      <c r="E11" s="48" t="str">
        <f>IF($C11&lt;&gt;"","ALERT_" &amp; D11 &amp; "_ID_"&amp;UPPER(Matrix!$D$6) &amp; "_" &amp; $C11,"")</f>
        <v/>
      </c>
      <c r="F11" s="87"/>
      <c r="G11" s="48" t="str">
        <f t="shared" si="0"/>
        <v/>
      </c>
      <c r="O11" s="131">
        <v>7</v>
      </c>
      <c r="P11" s="111"/>
      <c r="Q11" s="111"/>
      <c r="R11" s="290"/>
    </row>
    <row r="12" spans="2:18">
      <c r="B12" s="131">
        <v>8</v>
      </c>
      <c r="C12" s="111"/>
      <c r="D12" s="23"/>
      <c r="E12" s="48" t="str">
        <f>IF($C12&lt;&gt;"","ALERT_" &amp; D12 &amp; "_ID_"&amp;UPPER(Matrix!$D$6) &amp; "_" &amp; $C12,"")</f>
        <v/>
      </c>
      <c r="F12" s="87"/>
      <c r="G12" s="48" t="str">
        <f t="shared" si="0"/>
        <v/>
      </c>
      <c r="O12" s="131">
        <v>8</v>
      </c>
      <c r="P12" s="111"/>
      <c r="Q12" s="111"/>
      <c r="R12" s="290"/>
    </row>
    <row r="13" spans="2:18">
      <c r="B13" s="131">
        <v>9</v>
      </c>
      <c r="C13" s="111"/>
      <c r="D13" s="23"/>
      <c r="E13" s="48" t="str">
        <f>IF($C13&lt;&gt;"","ALERT_" &amp; D13 &amp; "_ID_"&amp;UPPER(Matrix!$D$6) &amp; "_" &amp; $C13,"")</f>
        <v/>
      </c>
      <c r="F13" s="87"/>
      <c r="G13" s="48" t="str">
        <f t="shared" si="0"/>
        <v/>
      </c>
      <c r="O13" s="131">
        <v>9</v>
      </c>
      <c r="P13" s="111"/>
      <c r="Q13" s="111"/>
      <c r="R13" s="88"/>
    </row>
    <row r="14" spans="2:18">
      <c r="B14" s="131">
        <v>10</v>
      </c>
      <c r="C14" s="111"/>
      <c r="D14" s="23"/>
      <c r="E14" s="48" t="str">
        <f>IF($C14&lt;&gt;"","ALERT_" &amp; D14 &amp; "_ID_"&amp;UPPER(Matrix!$D$6) &amp; "_" &amp; $C14,"")</f>
        <v/>
      </c>
      <c r="F14" s="87"/>
      <c r="G14" s="48" t="str">
        <f t="shared" si="0"/>
        <v/>
      </c>
      <c r="O14" s="131">
        <v>10</v>
      </c>
      <c r="P14" s="111"/>
      <c r="Q14" s="111"/>
      <c r="R14" s="88"/>
    </row>
    <row r="15" spans="2:18">
      <c r="B15" s="131">
        <v>11</v>
      </c>
      <c r="C15" s="111"/>
      <c r="D15" s="23"/>
      <c r="E15" s="48" t="str">
        <f>IF($C15&lt;&gt;"","ALERT_" &amp; D15 &amp; "_ID_"&amp;UPPER(Matrix!$D$6) &amp; "_" &amp; $C15,"")</f>
        <v/>
      </c>
      <c r="F15" s="87"/>
      <c r="G15" s="48" t="str">
        <f t="shared" si="0"/>
        <v/>
      </c>
      <c r="O15" s="131">
        <v>11</v>
      </c>
      <c r="P15" s="111"/>
      <c r="Q15" s="111"/>
      <c r="R15" s="88"/>
    </row>
    <row r="16" spans="2:18">
      <c r="B16" s="131">
        <v>12</v>
      </c>
      <c r="C16" s="111"/>
      <c r="D16" s="23"/>
      <c r="E16" s="48" t="str">
        <f>IF($C16&lt;&gt;"","ALERT_" &amp; D16 &amp; "_ID_"&amp;UPPER(Matrix!$D$6) &amp; "_" &amp; $C16,"")</f>
        <v/>
      </c>
      <c r="F16" s="87"/>
      <c r="G16" s="48" t="str">
        <f t="shared" si="0"/>
        <v/>
      </c>
      <c r="O16" s="131">
        <v>12</v>
      </c>
      <c r="P16" s="111"/>
      <c r="Q16" s="111"/>
      <c r="R16" s="88"/>
    </row>
    <row r="17" spans="2:18">
      <c r="B17" s="131">
        <v>13</v>
      </c>
      <c r="C17" s="111"/>
      <c r="D17" s="23"/>
      <c r="E17" s="48" t="str">
        <f>IF($C17&lt;&gt;"","ALERT_" &amp; D17 &amp; "_ID_"&amp;UPPER(Matrix!$D$6) &amp; "_" &amp; $C17,"")</f>
        <v/>
      </c>
      <c r="F17" s="87"/>
      <c r="G17" s="48" t="str">
        <f t="shared" si="0"/>
        <v/>
      </c>
      <c r="O17" s="131">
        <v>13</v>
      </c>
      <c r="P17" s="111"/>
      <c r="Q17" s="111"/>
      <c r="R17" s="88"/>
    </row>
    <row r="18" spans="2:18">
      <c r="B18" s="131">
        <v>14</v>
      </c>
      <c r="C18" s="111"/>
      <c r="D18" s="23"/>
      <c r="E18" s="48" t="str">
        <f>IF($C18&lt;&gt;"","ALERT_" &amp; D18 &amp; "_ID_"&amp;UPPER(Matrix!$D$6) &amp; "_" &amp; $C18,"")</f>
        <v/>
      </c>
      <c r="F18" s="87"/>
      <c r="G18" s="48" t="str">
        <f t="shared" si="0"/>
        <v/>
      </c>
      <c r="O18" s="131">
        <v>14</v>
      </c>
      <c r="P18" s="111"/>
      <c r="Q18" s="111"/>
      <c r="R18" s="88"/>
    </row>
    <row r="19" spans="2:18">
      <c r="B19" s="131">
        <v>15</v>
      </c>
      <c r="C19" s="111"/>
      <c r="D19" s="23"/>
      <c r="E19" s="48" t="str">
        <f>IF($C19&lt;&gt;"","ALERT_" &amp; D19 &amp; "_ID_"&amp;UPPER(Matrix!$D$6) &amp; "_" &amp; $C19,"")</f>
        <v/>
      </c>
      <c r="F19" s="87"/>
      <c r="G19" s="48" t="str">
        <f t="shared" si="0"/>
        <v/>
      </c>
      <c r="O19" s="131">
        <v>15</v>
      </c>
      <c r="P19" s="111"/>
      <c r="Q19" s="111"/>
      <c r="R19" s="88"/>
    </row>
    <row r="20" spans="2:18">
      <c r="B20" s="131">
        <v>16</v>
      </c>
      <c r="C20" s="111"/>
      <c r="D20" s="23"/>
      <c r="E20" s="48" t="str">
        <f>IF($C20&lt;&gt;"","ALERT_" &amp; D20 &amp; "_ID_"&amp;UPPER(Matrix!$D$6) &amp; "_" &amp; $C20,"")</f>
        <v/>
      </c>
      <c r="F20" s="87"/>
      <c r="G20" s="48" t="str">
        <f t="shared" si="0"/>
        <v/>
      </c>
      <c r="O20" s="131">
        <v>16</v>
      </c>
      <c r="P20" s="111"/>
      <c r="Q20" s="111"/>
      <c r="R20" s="88"/>
    </row>
    <row r="21" spans="2:18">
      <c r="B21" s="131">
        <v>17</v>
      </c>
      <c r="C21" s="111"/>
      <c r="D21" s="23"/>
      <c r="E21" s="48" t="str">
        <f>IF($C21&lt;&gt;"","ALERT_" &amp; D21 &amp; "_ID_"&amp;UPPER(Matrix!$D$6) &amp; "_" &amp; $C21,"")</f>
        <v/>
      </c>
      <c r="F21" s="87"/>
      <c r="G21" s="48" t="str">
        <f t="shared" si="0"/>
        <v/>
      </c>
      <c r="O21" s="131">
        <v>17</v>
      </c>
      <c r="P21" s="111"/>
      <c r="Q21" s="111"/>
      <c r="R21" s="88"/>
    </row>
    <row r="22" spans="2:18">
      <c r="B22" s="131">
        <v>18</v>
      </c>
      <c r="C22" s="111"/>
      <c r="D22" s="23"/>
      <c r="E22" s="48" t="str">
        <f>IF($C22&lt;&gt;"","ALERT_" &amp; D22 &amp; "_ID_"&amp;UPPER(Matrix!$D$6) &amp; "_" &amp; $C22,"")</f>
        <v/>
      </c>
      <c r="F22" s="87"/>
      <c r="G22" s="48" t="str">
        <f t="shared" si="0"/>
        <v/>
      </c>
      <c r="O22" s="131">
        <v>18</v>
      </c>
      <c r="P22" s="111"/>
      <c r="Q22" s="111"/>
      <c r="R22" s="88"/>
    </row>
    <row r="23" spans="2:18">
      <c r="B23" s="131">
        <v>19</v>
      </c>
      <c r="C23" s="111"/>
      <c r="D23" s="23"/>
      <c r="E23" s="48" t="str">
        <f>IF($C23&lt;&gt;"","ALERT_" &amp; D23 &amp; "_ID_"&amp;UPPER(Matrix!$D$6) &amp; "_" &amp; $C23,"")</f>
        <v/>
      </c>
      <c r="F23" s="87"/>
      <c r="G23" s="48" t="str">
        <f t="shared" si="0"/>
        <v/>
      </c>
      <c r="O23" s="131">
        <v>19</v>
      </c>
      <c r="P23" s="111"/>
      <c r="Q23" s="111"/>
      <c r="R23" s="88"/>
    </row>
    <row r="24" spans="2:18">
      <c r="B24" s="131">
        <v>20</v>
      </c>
      <c r="C24" s="111"/>
      <c r="D24" s="23"/>
      <c r="E24" s="48" t="str">
        <f>IF($C24&lt;&gt;"","ALERT_" &amp; D24 &amp; "_ID_"&amp;UPPER(Matrix!$D$6) &amp; "_" &amp; $C24,"")</f>
        <v/>
      </c>
      <c r="F24" s="87"/>
      <c r="G24" s="48" t="str">
        <f t="shared" si="0"/>
        <v/>
      </c>
      <c r="O24" s="131">
        <v>20</v>
      </c>
      <c r="P24" s="111"/>
      <c r="Q24" s="111"/>
      <c r="R24" s="88"/>
    </row>
    <row r="25" spans="2:18">
      <c r="B25" s="131">
        <v>21</v>
      </c>
      <c r="C25" s="111"/>
      <c r="D25" s="23"/>
      <c r="E25" s="48" t="str">
        <f>IF($C25&lt;&gt;"","ALERT_" &amp; D25 &amp; "_ID_"&amp;UPPER(Matrix!$D$6) &amp; "_" &amp; $C25,"")</f>
        <v/>
      </c>
      <c r="F25" s="87"/>
      <c r="G25" s="48" t="str">
        <f t="shared" si="0"/>
        <v/>
      </c>
      <c r="O25" s="131">
        <v>21</v>
      </c>
      <c r="P25" s="111"/>
      <c r="Q25" s="111"/>
      <c r="R25" s="88"/>
    </row>
    <row r="26" spans="2:18">
      <c r="B26" s="131">
        <v>22</v>
      </c>
      <c r="C26" s="111"/>
      <c r="D26" s="23"/>
      <c r="E26" s="48" t="str">
        <f>IF($C26&lt;&gt;"","ALERT_" &amp; D26 &amp; "_ID_"&amp;UPPER(Matrix!$D$6) &amp; "_" &amp; $C26,"")</f>
        <v/>
      </c>
      <c r="F26" s="87"/>
      <c r="G26" s="48" t="str">
        <f t="shared" si="0"/>
        <v/>
      </c>
      <c r="O26" s="131">
        <v>22</v>
      </c>
      <c r="P26" s="111"/>
      <c r="Q26" s="111"/>
      <c r="R26" s="88"/>
    </row>
    <row r="27" spans="2:18">
      <c r="B27" s="131">
        <v>23</v>
      </c>
      <c r="C27" s="111"/>
      <c r="D27" s="23"/>
      <c r="E27" s="48" t="str">
        <f>IF($C27&lt;&gt;"","ALERT_" &amp; D27 &amp; "_ID_"&amp;UPPER(Matrix!$D$6) &amp; "_" &amp; $C27,"")</f>
        <v/>
      </c>
      <c r="F27" s="87"/>
      <c r="G27" s="48" t="str">
        <f t="shared" si="0"/>
        <v/>
      </c>
      <c r="O27" s="131">
        <v>23</v>
      </c>
      <c r="P27" s="111"/>
      <c r="Q27" s="111"/>
      <c r="R27" s="88"/>
    </row>
    <row r="28" spans="2:18">
      <c r="B28" s="131">
        <v>24</v>
      </c>
      <c r="C28" s="111"/>
      <c r="D28" s="23"/>
      <c r="E28" s="48" t="str">
        <f>IF($C28&lt;&gt;"","ALERT_" &amp; D28 &amp; "_ID_"&amp;UPPER(Matrix!$D$6) &amp; "_" &amp; $C28,"")</f>
        <v/>
      </c>
      <c r="F28" s="87"/>
      <c r="G28" s="48" t="str">
        <f t="shared" si="0"/>
        <v/>
      </c>
      <c r="O28" s="131">
        <v>24</v>
      </c>
      <c r="P28" s="111"/>
      <c r="Q28" s="111"/>
      <c r="R28" s="88"/>
    </row>
    <row r="29" spans="2:18" ht="14.25" thickBot="1">
      <c r="B29" s="132">
        <v>25</v>
      </c>
      <c r="C29" s="109"/>
      <c r="D29" s="35"/>
      <c r="E29" s="49" t="str">
        <f>IF($C29&lt;&gt;"","ALERT_" &amp; D29 &amp; "_ID_"&amp;UPPER(Matrix!$D$6) &amp; "_" &amp; $C29,"")</f>
        <v/>
      </c>
      <c r="F29" s="89"/>
      <c r="G29" s="49" t="str">
        <f t="shared" si="0"/>
        <v/>
      </c>
      <c r="O29" s="132">
        <v>25</v>
      </c>
      <c r="P29" s="109"/>
      <c r="Q29" s="109"/>
      <c r="R29" s="90"/>
    </row>
    <row r="32" spans="2:18" ht="14.25" thickBot="1">
      <c r="B32" t="s">
        <v>188</v>
      </c>
      <c r="O32" t="s">
        <v>185</v>
      </c>
    </row>
    <row r="33" spans="2:18" ht="14.25" thickBot="1">
      <c r="B33" s="107" t="s">
        <v>35</v>
      </c>
      <c r="C33" s="77" t="s">
        <v>177</v>
      </c>
      <c r="D33" s="77" t="s">
        <v>182</v>
      </c>
      <c r="E33" s="78" t="s">
        <v>180</v>
      </c>
      <c r="F33" s="137" t="s">
        <v>181</v>
      </c>
      <c r="G33" s="137" t="s">
        <v>192</v>
      </c>
      <c r="O33" s="107" t="s">
        <v>35</v>
      </c>
      <c r="P33" s="136" t="s">
        <v>174</v>
      </c>
      <c r="Q33" s="136" t="s">
        <v>190</v>
      </c>
      <c r="R33" s="137" t="s">
        <v>178</v>
      </c>
    </row>
    <row r="34" spans="2:18" ht="14.25" hidden="1" thickTop="1">
      <c r="B34" s="128">
        <v>0</v>
      </c>
      <c r="C34" s="129" t="s">
        <v>162</v>
      </c>
      <c r="D34" s="129"/>
      <c r="E34" s="130"/>
      <c r="F34" s="139" t="s">
        <v>162</v>
      </c>
      <c r="G34" s="3"/>
      <c r="O34" s="138">
        <v>0</v>
      </c>
      <c r="P34" s="135" t="s">
        <v>162</v>
      </c>
      <c r="Q34" s="135" t="s">
        <v>162</v>
      </c>
      <c r="R34" s="139" t="s">
        <v>162</v>
      </c>
    </row>
    <row r="35" spans="2:18" ht="41.25" thickTop="1">
      <c r="B35" s="131">
        <v>1</v>
      </c>
      <c r="C35" s="111" t="s">
        <v>736</v>
      </c>
      <c r="D35" s="23" t="s">
        <v>737</v>
      </c>
      <c r="E35" s="48" t="str">
        <f ca="1">IF($C35&lt;&gt;"","ALERT_" &amp; D35 &amp; "_" &amp; UPPER(Matrix!$D$6) &amp; "_" &amp; $C35,"")</f>
        <v>ALERT_CFG_B_TDOOR_RRCY</v>
      </c>
      <c r="F35" s="291" t="s">
        <v>742</v>
      </c>
      <c r="G35" s="48">
        <f ca="1">IF(E35&lt;&gt;"",LEN(E35),"")</f>
        <v>22</v>
      </c>
      <c r="O35" s="131">
        <v>1</v>
      </c>
      <c r="P35" s="111"/>
      <c r="Q35" s="111"/>
      <c r="R35" s="291"/>
    </row>
    <row r="36" spans="2:18" ht="40.5">
      <c r="B36" s="131">
        <v>2</v>
      </c>
      <c r="C36" s="111" t="s">
        <v>738</v>
      </c>
      <c r="D36" s="23" t="s">
        <v>737</v>
      </c>
      <c r="E36" s="48" t="str">
        <f ca="1">IF($C36&lt;&gt;"","ALERT_" &amp; D36 &amp; "_" &amp; UPPER(Matrix!$D$6) &amp; "_" &amp; $C36,"")</f>
        <v>ALERT_CFG_B_TDOOR_RLCY</v>
      </c>
      <c r="F36" s="292" t="s">
        <v>743</v>
      </c>
      <c r="G36" s="48">
        <f ca="1">IF(E36&lt;&gt;"",LEN(E36),"")</f>
        <v>22</v>
      </c>
      <c r="O36" s="131">
        <v>2</v>
      </c>
      <c r="P36" s="111"/>
      <c r="Q36" s="111"/>
      <c r="R36" s="291"/>
    </row>
    <row r="37" spans="2:18" ht="40.5">
      <c r="B37" s="131">
        <v>3</v>
      </c>
      <c r="C37" s="111" t="s">
        <v>739</v>
      </c>
      <c r="D37" s="23" t="s">
        <v>737</v>
      </c>
      <c r="E37" s="48" t="str">
        <f ca="1">IF($C37&lt;&gt;"","ALERT_" &amp; D37 &amp; "_" &amp; UPPER(Matrix!$D$6) &amp; "_" &amp; $C37,"")</f>
        <v>ALERT_CFG_B_TDOOR_BCTY</v>
      </c>
      <c r="F37" s="292" t="s">
        <v>744</v>
      </c>
      <c r="G37" s="48">
        <f ca="1">IF(E37&lt;&gt;"",LEN(E37),"")</f>
        <v>22</v>
      </c>
      <c r="O37" s="131">
        <v>3</v>
      </c>
      <c r="P37" s="111"/>
      <c r="Q37" s="111"/>
      <c r="R37" s="291"/>
    </row>
    <row r="38" spans="2:18" ht="40.5">
      <c r="B38" s="131">
        <v>4</v>
      </c>
      <c r="C38" s="111" t="s">
        <v>740</v>
      </c>
      <c r="D38" s="23" t="s">
        <v>737</v>
      </c>
      <c r="E38" s="48" t="str">
        <f ca="1">IF($C38&lt;&gt;"","ALERT_" &amp; D38 &amp; "_" &amp; UPPER(Matrix!$D$6) &amp; "_" &amp; $C38,"")</f>
        <v>ALERT_CFG_B_TDOOR_LGCY</v>
      </c>
      <c r="F38" s="292" t="s">
        <v>745</v>
      </c>
      <c r="G38" s="48">
        <f t="shared" ref="G38:G59" ca="1" si="1">IF(E38&lt;&gt;"",LEN(E38),"")</f>
        <v>22</v>
      </c>
      <c r="O38" s="131">
        <v>4</v>
      </c>
      <c r="P38" s="111"/>
      <c r="Q38" s="111"/>
      <c r="R38" s="291"/>
    </row>
    <row r="39" spans="2:18" ht="40.5">
      <c r="B39" s="131">
        <v>5</v>
      </c>
      <c r="C39" s="111" t="s">
        <v>741</v>
      </c>
      <c r="D39" s="23" t="s">
        <v>737</v>
      </c>
      <c r="E39" s="48" t="str">
        <f ca="1">IF($C39&lt;&gt;"","ALERT_" &amp; D39 &amp; "_" &amp; UPPER(Matrix!$D$6) &amp; "_" &amp; $C39,"")</f>
        <v>ALERT_CFG_B_TDOOR_HDCY_BDB</v>
      </c>
      <c r="F39" s="292" t="s">
        <v>746</v>
      </c>
      <c r="G39" s="48">
        <f t="shared" ca="1" si="1"/>
        <v>26</v>
      </c>
      <c r="O39" s="131">
        <v>5</v>
      </c>
      <c r="P39" s="111"/>
      <c r="Q39" s="111"/>
      <c r="R39" s="291"/>
    </row>
    <row r="40" spans="2:18" ht="40.5">
      <c r="B40" s="131">
        <v>6</v>
      </c>
      <c r="C40" s="111" t="s">
        <v>747</v>
      </c>
      <c r="D40" s="23" t="s">
        <v>737</v>
      </c>
      <c r="E40" s="48" t="str">
        <f ca="1">IF($C40&lt;&gt;"","ALERT_" &amp; D40 &amp; "_" &amp; UPPER(Matrix!$D$6) &amp; "_" &amp; $C40,"")</f>
        <v>ALERT_CFG_B_TDOOR_RPSDWARN</v>
      </c>
      <c r="F40" s="292" t="s">
        <v>748</v>
      </c>
      <c r="G40" s="48">
        <f t="shared" ca="1" si="1"/>
        <v>26</v>
      </c>
      <c r="O40" s="131">
        <v>6</v>
      </c>
      <c r="P40" s="111"/>
      <c r="Q40" s="111"/>
      <c r="R40" s="291"/>
    </row>
    <row r="41" spans="2:18" ht="40.5">
      <c r="B41" s="131">
        <v>7</v>
      </c>
      <c r="C41" s="111" t="s">
        <v>749</v>
      </c>
      <c r="D41" s="23" t="s">
        <v>737</v>
      </c>
      <c r="E41" s="48" t="str">
        <f ca="1">IF($C41&lt;&gt;"","ALERT_" &amp; D41 &amp; "_" &amp; UPPER(Matrix!$D$6) &amp; "_" &amp; $C41,"")</f>
        <v>ALERT_CFG_B_TDOOR_LPSDWARN</v>
      </c>
      <c r="F41" s="292" t="s">
        <v>750</v>
      </c>
      <c r="G41" s="48">
        <f t="shared" ca="1" si="1"/>
        <v>26</v>
      </c>
      <c r="O41" s="131">
        <v>7</v>
      </c>
      <c r="P41" s="111"/>
      <c r="Q41" s="111"/>
      <c r="R41" s="291"/>
    </row>
    <row r="42" spans="2:18" ht="40.5">
      <c r="B42" s="131">
        <v>8</v>
      </c>
      <c r="C42" s="111" t="s">
        <v>751</v>
      </c>
      <c r="D42" s="23" t="s">
        <v>737</v>
      </c>
      <c r="E42" s="48" t="str">
        <f ca="1">IF($C42&lt;&gt;"","ALERT_" &amp; D42 &amp; "_" &amp; UPPER(Matrix!$D$6) &amp; "_" &amp; $C42,"")</f>
        <v>ALERT_CFG_B_TDOOR_SLP_POS</v>
      </c>
      <c r="F42" s="292" t="s">
        <v>752</v>
      </c>
      <c r="G42" s="48">
        <f t="shared" ca="1" si="1"/>
        <v>25</v>
      </c>
      <c r="O42" s="131">
        <v>8</v>
      </c>
      <c r="P42" s="111"/>
      <c r="Q42" s="111"/>
      <c r="R42" s="291"/>
    </row>
    <row r="43" spans="2:18">
      <c r="B43" s="131">
        <v>9</v>
      </c>
      <c r="C43" s="111"/>
      <c r="D43" s="23"/>
      <c r="E43" s="48" t="str">
        <f>IF($C43&lt;&gt;"","ALERT_" &amp; D43 &amp; "_" &amp; UPPER(Matrix!$D$6) &amp; "_" &amp; $C43,"")</f>
        <v/>
      </c>
      <c r="F43" s="133"/>
      <c r="G43" s="48" t="str">
        <f t="shared" si="1"/>
        <v/>
      </c>
      <c r="O43" s="131">
        <v>9</v>
      </c>
      <c r="P43" s="111"/>
      <c r="Q43" s="111"/>
      <c r="R43" s="133"/>
    </row>
    <row r="44" spans="2:18">
      <c r="B44" s="131">
        <v>10</v>
      </c>
      <c r="C44" s="111"/>
      <c r="D44" s="23"/>
      <c r="E44" s="48" t="str">
        <f>IF($C44&lt;&gt;"","ALERT_" &amp; D44 &amp; "_" &amp; UPPER(Matrix!$D$6) &amp; "_" &amp; $C44,"")</f>
        <v/>
      </c>
      <c r="F44" s="133"/>
      <c r="G44" s="48" t="str">
        <f t="shared" si="1"/>
        <v/>
      </c>
      <c r="O44" s="131">
        <v>10</v>
      </c>
      <c r="P44" s="111"/>
      <c r="Q44" s="111"/>
      <c r="R44" s="133"/>
    </row>
    <row r="45" spans="2:18">
      <c r="B45" s="131">
        <v>11</v>
      </c>
      <c r="C45" s="111"/>
      <c r="D45" s="23"/>
      <c r="E45" s="48" t="str">
        <f>IF($C45&lt;&gt;"","ALERT_" &amp; D45 &amp; "_" &amp; UPPER(Matrix!$D$6) &amp; "_" &amp; $C45,"")</f>
        <v/>
      </c>
      <c r="F45" s="133"/>
      <c r="G45" s="48" t="str">
        <f t="shared" si="1"/>
        <v/>
      </c>
      <c r="O45" s="131">
        <v>11</v>
      </c>
      <c r="P45" s="111"/>
      <c r="Q45" s="111"/>
      <c r="R45" s="133"/>
    </row>
    <row r="46" spans="2:18">
      <c r="B46" s="131">
        <v>12</v>
      </c>
      <c r="C46" s="111"/>
      <c r="D46" s="23"/>
      <c r="E46" s="48" t="str">
        <f>IF($C46&lt;&gt;"","ALERT_" &amp; D46 &amp; "_" &amp; UPPER(Matrix!$D$6) &amp; "_" &amp; $C46,"")</f>
        <v/>
      </c>
      <c r="F46" s="133"/>
      <c r="G46" s="48" t="str">
        <f t="shared" si="1"/>
        <v/>
      </c>
      <c r="O46" s="131">
        <v>12</v>
      </c>
      <c r="P46" s="111"/>
      <c r="Q46" s="111"/>
      <c r="R46" s="133"/>
    </row>
    <row r="47" spans="2:18">
      <c r="B47" s="131">
        <v>13</v>
      </c>
      <c r="C47" s="111"/>
      <c r="D47" s="23"/>
      <c r="E47" s="48" t="str">
        <f>IF($C47&lt;&gt;"","ALERT_" &amp; D47 &amp; "_" &amp; UPPER(Matrix!$D$6) &amp; "_" &amp; $C47,"")</f>
        <v/>
      </c>
      <c r="F47" s="133"/>
      <c r="G47" s="48" t="str">
        <f t="shared" si="1"/>
        <v/>
      </c>
      <c r="O47" s="131">
        <v>13</v>
      </c>
      <c r="P47" s="111"/>
      <c r="Q47" s="111"/>
      <c r="R47" s="133"/>
    </row>
    <row r="48" spans="2:18">
      <c r="B48" s="131">
        <v>14</v>
      </c>
      <c r="C48" s="111"/>
      <c r="D48" s="23"/>
      <c r="E48" s="48" t="str">
        <f>IF($C48&lt;&gt;"","ALERT_" &amp; D48 &amp; "_" &amp; UPPER(Matrix!$D$6) &amp; "_" &amp; $C48,"")</f>
        <v/>
      </c>
      <c r="F48" s="133"/>
      <c r="G48" s="48" t="str">
        <f t="shared" si="1"/>
        <v/>
      </c>
      <c r="O48" s="131">
        <v>14</v>
      </c>
      <c r="P48" s="111"/>
      <c r="Q48" s="111"/>
      <c r="R48" s="133"/>
    </row>
    <row r="49" spans="2:18">
      <c r="B49" s="131">
        <v>15</v>
      </c>
      <c r="C49" s="111"/>
      <c r="D49" s="23"/>
      <c r="E49" s="48" t="str">
        <f>IF($C49&lt;&gt;"","ALERT_" &amp; D49 &amp; "_" &amp; UPPER(Matrix!$D$6) &amp; "_" &amp; $C49,"")</f>
        <v/>
      </c>
      <c r="F49" s="133"/>
      <c r="G49" s="48" t="str">
        <f t="shared" si="1"/>
        <v/>
      </c>
      <c r="O49" s="131">
        <v>15</v>
      </c>
      <c r="P49" s="111"/>
      <c r="Q49" s="111"/>
      <c r="R49" s="133"/>
    </row>
    <row r="50" spans="2:18">
      <c r="B50" s="131">
        <v>16</v>
      </c>
      <c r="C50" s="111"/>
      <c r="D50" s="23"/>
      <c r="E50" s="48" t="str">
        <f>IF($C50&lt;&gt;"","ALERT_" &amp; D50 &amp; "_" &amp; UPPER(Matrix!$D$6) &amp; "_" &amp; $C50,"")</f>
        <v/>
      </c>
      <c r="F50" s="133"/>
      <c r="G50" s="48" t="str">
        <f t="shared" si="1"/>
        <v/>
      </c>
      <c r="O50" s="131">
        <v>16</v>
      </c>
      <c r="P50" s="111"/>
      <c r="Q50" s="111"/>
      <c r="R50" s="133"/>
    </row>
    <row r="51" spans="2:18">
      <c r="B51" s="131">
        <v>17</v>
      </c>
      <c r="C51" s="111"/>
      <c r="D51" s="23"/>
      <c r="E51" s="48" t="str">
        <f>IF($C51&lt;&gt;"","ALERT_" &amp; D51 &amp; "_" &amp; UPPER(Matrix!$D$6) &amp; "_" &amp; $C51,"")</f>
        <v/>
      </c>
      <c r="F51" s="133"/>
      <c r="G51" s="48" t="str">
        <f t="shared" si="1"/>
        <v/>
      </c>
      <c r="O51" s="131">
        <v>17</v>
      </c>
      <c r="P51" s="111"/>
      <c r="Q51" s="111"/>
      <c r="R51" s="133"/>
    </row>
    <row r="52" spans="2:18">
      <c r="B52" s="131">
        <v>18</v>
      </c>
      <c r="C52" s="111"/>
      <c r="D52" s="23"/>
      <c r="E52" s="48" t="str">
        <f>IF($C52&lt;&gt;"","ALERT_" &amp; D52 &amp; "_" &amp; UPPER(Matrix!$D$6) &amp; "_" &amp; $C52,"")</f>
        <v/>
      </c>
      <c r="F52" s="133"/>
      <c r="G52" s="48" t="str">
        <f t="shared" si="1"/>
        <v/>
      </c>
      <c r="O52" s="131">
        <v>18</v>
      </c>
      <c r="P52" s="111"/>
      <c r="Q52" s="111"/>
      <c r="R52" s="133"/>
    </row>
    <row r="53" spans="2:18">
      <c r="B53" s="131">
        <v>19</v>
      </c>
      <c r="C53" s="111"/>
      <c r="D53" s="23"/>
      <c r="E53" s="48" t="str">
        <f>IF($C53&lt;&gt;"","ALERT_" &amp; D53 &amp; "_" &amp; UPPER(Matrix!$D$6) &amp; "_" &amp; $C53,"")</f>
        <v/>
      </c>
      <c r="F53" s="133"/>
      <c r="G53" s="48" t="str">
        <f t="shared" si="1"/>
        <v/>
      </c>
      <c r="O53" s="131">
        <v>19</v>
      </c>
      <c r="P53" s="111"/>
      <c r="Q53" s="111"/>
      <c r="R53" s="133"/>
    </row>
    <row r="54" spans="2:18">
      <c r="B54" s="131">
        <v>20</v>
      </c>
      <c r="C54" s="111"/>
      <c r="D54" s="23"/>
      <c r="E54" s="48" t="str">
        <f>IF($C54&lt;&gt;"","ALERT_" &amp; D54 &amp; "_" &amp; UPPER(Matrix!$D$6) &amp; "_" &amp; $C54,"")</f>
        <v/>
      </c>
      <c r="F54" s="133"/>
      <c r="G54" s="48" t="str">
        <f t="shared" si="1"/>
        <v/>
      </c>
      <c r="O54" s="131">
        <v>20</v>
      </c>
      <c r="P54" s="111"/>
      <c r="Q54" s="111"/>
      <c r="R54" s="133"/>
    </row>
    <row r="55" spans="2:18">
      <c r="B55" s="131">
        <v>21</v>
      </c>
      <c r="C55" s="111"/>
      <c r="D55" s="23"/>
      <c r="E55" s="48" t="str">
        <f>IF($C55&lt;&gt;"","ALERT_" &amp; D55 &amp; "_" &amp; UPPER(Matrix!$D$6) &amp; "_" &amp; $C55,"")</f>
        <v/>
      </c>
      <c r="F55" s="133"/>
      <c r="G55" s="48" t="str">
        <f t="shared" si="1"/>
        <v/>
      </c>
      <c r="O55" s="131">
        <v>21</v>
      </c>
      <c r="P55" s="111"/>
      <c r="Q55" s="111"/>
      <c r="R55" s="133"/>
    </row>
    <row r="56" spans="2:18">
      <c r="B56" s="131">
        <v>22</v>
      </c>
      <c r="C56" s="111"/>
      <c r="D56" s="23"/>
      <c r="E56" s="48" t="str">
        <f>IF($C56&lt;&gt;"","ALERT_" &amp; D56 &amp; "_" &amp; UPPER(Matrix!$D$6) &amp; "_" &amp; $C56,"")</f>
        <v/>
      </c>
      <c r="F56" s="133"/>
      <c r="G56" s="48" t="str">
        <f t="shared" si="1"/>
        <v/>
      </c>
      <c r="O56" s="131">
        <v>22</v>
      </c>
      <c r="P56" s="111"/>
      <c r="Q56" s="111"/>
      <c r="R56" s="133"/>
    </row>
    <row r="57" spans="2:18">
      <c r="B57" s="131">
        <v>23</v>
      </c>
      <c r="C57" s="111"/>
      <c r="D57" s="23"/>
      <c r="E57" s="48" t="str">
        <f>IF($C57&lt;&gt;"","ALERT_" &amp; D57 &amp; "_" &amp; UPPER(Matrix!$D$6) &amp; "_" &amp; $C57,"")</f>
        <v/>
      </c>
      <c r="F57" s="133"/>
      <c r="G57" s="48" t="str">
        <f t="shared" si="1"/>
        <v/>
      </c>
      <c r="O57" s="131">
        <v>23</v>
      </c>
      <c r="P57" s="111"/>
      <c r="Q57" s="111"/>
      <c r="R57" s="133"/>
    </row>
    <row r="58" spans="2:18">
      <c r="B58" s="131">
        <v>24</v>
      </c>
      <c r="C58" s="111"/>
      <c r="D58" s="23"/>
      <c r="E58" s="48" t="str">
        <f>IF($C58&lt;&gt;"","ALERT_" &amp; D58 &amp; "_" &amp; UPPER(Matrix!$D$6) &amp; "_" &amp; $C58,"")</f>
        <v/>
      </c>
      <c r="F58" s="133"/>
      <c r="G58" s="48" t="str">
        <f t="shared" si="1"/>
        <v/>
      </c>
      <c r="O58" s="131">
        <v>24</v>
      </c>
      <c r="P58" s="111"/>
      <c r="Q58" s="111"/>
      <c r="R58" s="133"/>
    </row>
    <row r="59" spans="2:18" ht="14.25" thickBot="1">
      <c r="B59" s="132">
        <v>25</v>
      </c>
      <c r="C59" s="109"/>
      <c r="D59" s="35"/>
      <c r="E59" s="49" t="str">
        <f>IF($C59&lt;&gt;"","ALERT_" &amp; D59 &amp; "_" &amp; UPPER(Matrix!$D$6) &amp; "_" &amp; $C59,"")</f>
        <v/>
      </c>
      <c r="F59" s="134"/>
      <c r="G59" s="49" t="str">
        <f t="shared" si="1"/>
        <v/>
      </c>
      <c r="O59" s="132">
        <v>25</v>
      </c>
      <c r="P59" s="109"/>
      <c r="Q59" s="109"/>
      <c r="R59" s="13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"DEF,CFG"</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9.6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3" t="s">
        <v>105</v>
      </c>
    </row>
    <row r="2" spans="2:21" ht="14.25" thickBot="1">
      <c r="B2" s="71" t="s">
        <v>59</v>
      </c>
      <c r="C2" s="72" t="s">
        <v>123</v>
      </c>
      <c r="D2" s="73" t="s">
        <v>53</v>
      </c>
      <c r="E2" s="74" t="s">
        <v>54</v>
      </c>
      <c r="F2" s="75" t="s">
        <v>24</v>
      </c>
      <c r="G2" s="74" t="s">
        <v>55</v>
      </c>
      <c r="H2" s="75" t="s">
        <v>26</v>
      </c>
      <c r="I2" s="74" t="s">
        <v>56</v>
      </c>
      <c r="J2" s="75" t="s">
        <v>159</v>
      </c>
      <c r="K2" s="74" t="s">
        <v>57</v>
      </c>
      <c r="L2" s="75" t="s">
        <v>27</v>
      </c>
      <c r="M2" s="72" t="s">
        <v>58</v>
      </c>
      <c r="N2" s="75" t="s">
        <v>118</v>
      </c>
      <c r="O2" s="91" t="s">
        <v>84</v>
      </c>
    </row>
    <row r="3" spans="2:21" ht="15" hidden="1" thickTop="1" thickBot="1">
      <c r="B3" s="24"/>
      <c r="C3" s="32" t="s">
        <v>109</v>
      </c>
      <c r="D3" s="84"/>
      <c r="E3" s="13"/>
      <c r="F3" s="14"/>
      <c r="G3" s="13"/>
      <c r="H3" s="14"/>
      <c r="I3" s="13"/>
      <c r="J3" s="14"/>
      <c r="K3" s="13"/>
      <c r="L3" s="14"/>
      <c r="M3" s="33"/>
      <c r="N3" s="80"/>
      <c r="O3" s="92"/>
      <c r="U3" s="67" t="s">
        <v>99</v>
      </c>
    </row>
    <row r="4" spans="2:21" ht="14.25" thickTop="1">
      <c r="B4" s="24" t="s">
        <v>204</v>
      </c>
      <c r="C4" s="32" t="s">
        <v>205</v>
      </c>
      <c r="D4" s="84">
        <v>0</v>
      </c>
      <c r="E4" s="85" t="s">
        <v>126</v>
      </c>
      <c r="F4" s="88" t="s">
        <v>32</v>
      </c>
      <c r="G4" s="85" t="s">
        <v>126</v>
      </c>
      <c r="H4" s="86" t="s">
        <v>208</v>
      </c>
      <c r="I4" s="85" t="s">
        <v>126</v>
      </c>
      <c r="J4" s="86" t="s">
        <v>323</v>
      </c>
      <c r="K4" s="85" t="s">
        <v>126</v>
      </c>
      <c r="L4" s="86" t="s">
        <v>127</v>
      </c>
      <c r="M4" s="33">
        <f ca="1">LEN(N4)</f>
        <v>21</v>
      </c>
      <c r="N4" s="80" t="str">
        <f ca="1">VLOOKUP($B4,Matrix!$H$13:$I$37,2,FALSE)&amp;"_"&amp;C4</f>
        <v>ALERT_REQ_B_TDOOR_RUN</v>
      </c>
      <c r="O4" s="92" t="str">
        <f t="shared" ref="O4:O35" ca="1" si="0">"#define "&amp;N4&amp;REPT(" ",48-M4)&amp;"("&amp;D4&amp;"U)"</f>
        <v>#define ALERT_REQ_B_TDOOR_RUN                           (0U)</v>
      </c>
      <c r="U4" s="67" t="s">
        <v>99</v>
      </c>
    </row>
    <row r="5" spans="2:21">
      <c r="B5" s="24" t="s">
        <v>204</v>
      </c>
      <c r="C5" s="23" t="s">
        <v>206</v>
      </c>
      <c r="D5" s="87">
        <v>1</v>
      </c>
      <c r="E5" s="24" t="s">
        <v>126</v>
      </c>
      <c r="F5" s="88" t="s">
        <v>32</v>
      </c>
      <c r="G5" s="24" t="s">
        <v>126</v>
      </c>
      <c r="H5" s="88" t="s">
        <v>209</v>
      </c>
      <c r="I5" s="24" t="s">
        <v>126</v>
      </c>
      <c r="J5" s="86" t="s">
        <v>324</v>
      </c>
      <c r="K5" s="24" t="s">
        <v>126</v>
      </c>
      <c r="L5" s="88" t="s">
        <v>127</v>
      </c>
      <c r="M5" s="28">
        <f t="shared" ref="M5:M68" ca="1" si="1">LEN(N5)</f>
        <v>22</v>
      </c>
      <c r="N5" s="80" t="str">
        <f ca="1">VLOOKUP($B5,Matrix!$H$13:$I$37,2,FALSE)&amp;"_"&amp;C5</f>
        <v>ALERT_REQ_B_TDOOR_STOP</v>
      </c>
      <c r="O5" s="93" t="str">
        <f t="shared" ca="1" si="0"/>
        <v>#define ALERT_REQ_B_TDOOR_STOP                          (1U)</v>
      </c>
      <c r="U5" s="65" t="s">
        <v>100</v>
      </c>
    </row>
    <row r="6" spans="2:21">
      <c r="B6" s="24" t="s">
        <v>204</v>
      </c>
      <c r="C6" s="32" t="s">
        <v>207</v>
      </c>
      <c r="D6" s="84">
        <v>2</v>
      </c>
      <c r="E6" s="24" t="s">
        <v>126</v>
      </c>
      <c r="F6" s="88" t="s">
        <v>32</v>
      </c>
      <c r="G6" s="24" t="s">
        <v>126</v>
      </c>
      <c r="H6" s="88" t="s">
        <v>209</v>
      </c>
      <c r="I6" s="24" t="s">
        <v>126</v>
      </c>
      <c r="J6" s="86" t="s">
        <v>325</v>
      </c>
      <c r="K6" s="24" t="s">
        <v>126</v>
      </c>
      <c r="L6" s="88" t="s">
        <v>127</v>
      </c>
      <c r="M6" s="28">
        <f t="shared" ca="1" si="1"/>
        <v>24</v>
      </c>
      <c r="N6" s="80" t="str">
        <f ca="1">VLOOKUP($B6,Matrix!$H$13:$I$37,2,FALSE)&amp;"_"&amp;C6</f>
        <v>ALERT_REQ_B_TDOOR_IG_OFF</v>
      </c>
      <c r="O6" s="93" t="str">
        <f t="shared" ca="1" si="0"/>
        <v>#define ALERT_REQ_B_TDOOR_IG_OFF                        (2U)</v>
      </c>
      <c r="U6" s="27" t="s">
        <v>101</v>
      </c>
    </row>
    <row r="7" spans="2:21">
      <c r="B7" s="24" t="s">
        <v>204</v>
      </c>
      <c r="C7" s="23" t="s">
        <v>242</v>
      </c>
      <c r="D7" s="87">
        <v>3</v>
      </c>
      <c r="E7" s="24" t="s">
        <v>126</v>
      </c>
      <c r="F7" s="88" t="s">
        <v>245</v>
      </c>
      <c r="G7" s="24" t="s">
        <v>126</v>
      </c>
      <c r="H7" s="88" t="s">
        <v>32</v>
      </c>
      <c r="I7" s="24" t="s">
        <v>126</v>
      </c>
      <c r="J7" s="86" t="s">
        <v>323</v>
      </c>
      <c r="K7" s="24" t="s">
        <v>126</v>
      </c>
      <c r="L7" s="88" t="s">
        <v>32</v>
      </c>
      <c r="M7" s="28">
        <f t="shared" ca="1" si="1"/>
        <v>24</v>
      </c>
      <c r="N7" s="80" t="str">
        <f ca="1">VLOOKUP($B7,Matrix!$H$13:$I$37,2,FALSE)&amp;"_"&amp;C7</f>
        <v>ALERT_REQ_B_TDOOR_RUN_ON</v>
      </c>
      <c r="O7" s="93" t="str">
        <f t="shared" ca="1" si="0"/>
        <v>#define ALERT_REQ_B_TDOOR_RUN_ON                        (3U)</v>
      </c>
      <c r="U7" s="27" t="s">
        <v>102</v>
      </c>
    </row>
    <row r="8" spans="2:21">
      <c r="B8" s="24" t="s">
        <v>204</v>
      </c>
      <c r="C8" s="23" t="s">
        <v>243</v>
      </c>
      <c r="D8" s="87">
        <v>4</v>
      </c>
      <c r="E8" s="24" t="s">
        <v>126</v>
      </c>
      <c r="F8" s="88" t="s">
        <v>245</v>
      </c>
      <c r="G8" s="24" t="s">
        <v>126</v>
      </c>
      <c r="H8" s="88" t="s">
        <v>32</v>
      </c>
      <c r="I8" s="24" t="s">
        <v>126</v>
      </c>
      <c r="J8" s="88" t="s">
        <v>324</v>
      </c>
      <c r="K8" s="24" t="s">
        <v>126</v>
      </c>
      <c r="L8" s="88" t="s">
        <v>32</v>
      </c>
      <c r="M8" s="28">
        <f t="shared" ca="1" si="1"/>
        <v>25</v>
      </c>
      <c r="N8" s="80" t="str">
        <f ca="1">VLOOKUP($B8,Matrix!$H$13:$I$37,2,FALSE)&amp;"_"&amp;C8</f>
        <v>ALERT_REQ_B_TDOOR_STOP_ON</v>
      </c>
      <c r="O8" s="93" t="str">
        <f t="shared" ca="1" si="0"/>
        <v>#define ALERT_REQ_B_TDOOR_STOP_ON                       (4U)</v>
      </c>
      <c r="U8" s="27" t="s">
        <v>103</v>
      </c>
    </row>
    <row r="9" spans="2:21">
      <c r="B9" s="24" t="s">
        <v>204</v>
      </c>
      <c r="C9" s="23" t="s">
        <v>244</v>
      </c>
      <c r="D9" s="87">
        <v>5</v>
      </c>
      <c r="E9" s="24" t="s">
        <v>126</v>
      </c>
      <c r="F9" s="88" t="s">
        <v>245</v>
      </c>
      <c r="G9" s="24" t="s">
        <v>126</v>
      </c>
      <c r="H9" s="88" t="s">
        <v>32</v>
      </c>
      <c r="I9" s="24" t="s">
        <v>126</v>
      </c>
      <c r="J9" s="86" t="s">
        <v>325</v>
      </c>
      <c r="K9" s="24" t="s">
        <v>126</v>
      </c>
      <c r="L9" s="88" t="s">
        <v>32</v>
      </c>
      <c r="M9" s="28">
        <f t="shared" ca="1" si="1"/>
        <v>27</v>
      </c>
      <c r="N9" s="80" t="str">
        <f ca="1">VLOOKUP($B9,Matrix!$H$13:$I$37,2,FALSE)&amp;"_"&amp;C9</f>
        <v>ALERT_REQ_B_TDOOR_IG_OFF_ON</v>
      </c>
      <c r="O9" s="93" t="str">
        <f t="shared" ca="1" si="0"/>
        <v>#define ALERT_REQ_B_TDOOR_IG_OFF_ON                     (5U)</v>
      </c>
      <c r="U9" s="27" t="s">
        <v>104</v>
      </c>
    </row>
    <row r="10" spans="2:21">
      <c r="B10" s="24" t="s">
        <v>204</v>
      </c>
      <c r="C10" s="23" t="s">
        <v>241</v>
      </c>
      <c r="D10" s="87">
        <v>6</v>
      </c>
      <c r="E10" s="24" t="s">
        <v>126</v>
      </c>
      <c r="F10" s="88" t="s">
        <v>245</v>
      </c>
      <c r="G10" s="24" t="s">
        <v>126</v>
      </c>
      <c r="H10" s="88" t="s">
        <v>32</v>
      </c>
      <c r="I10" s="24" t="s">
        <v>126</v>
      </c>
      <c r="J10" s="86" t="s">
        <v>209</v>
      </c>
      <c r="K10" s="24" t="s">
        <v>126</v>
      </c>
      <c r="L10" s="88" t="s">
        <v>32</v>
      </c>
      <c r="M10" s="28">
        <f t="shared" ca="1" si="1"/>
        <v>20</v>
      </c>
      <c r="N10" s="80" t="str">
        <f ca="1">VLOOKUP($B10,Matrix!$H$13:$I$37,2,FALSE)&amp;"_"&amp;C10</f>
        <v>ALERT_REQ_B_TDOOR_ON</v>
      </c>
      <c r="O10" s="93" t="str">
        <f t="shared" ca="1" si="0"/>
        <v>#define ALERT_REQ_B_TDOOR_ON                            (6U)</v>
      </c>
      <c r="U10" s="27"/>
    </row>
    <row r="11" spans="2:21">
      <c r="B11" s="24"/>
      <c r="C11" s="23"/>
      <c r="D11" s="87"/>
      <c r="E11" s="24"/>
      <c r="F11" s="88"/>
      <c r="G11" s="24"/>
      <c r="H11" s="88"/>
      <c r="I11" s="24"/>
      <c r="J11" s="86"/>
      <c r="K11" s="24"/>
      <c r="L11" s="88"/>
      <c r="M11" s="28" t="e">
        <f t="shared" ca="1" si="1"/>
        <v>#N/A</v>
      </c>
      <c r="N11" s="80" t="e">
        <f ca="1">VLOOKUP($B11,Matrix!$H$13:$I$37,2,FALSE)&amp;"_"&amp;C11</f>
        <v>#N/A</v>
      </c>
      <c r="O11" s="93" t="e">
        <f t="shared" ca="1" si="0"/>
        <v>#N/A</v>
      </c>
      <c r="U11" s="27"/>
    </row>
    <row r="12" spans="2:21">
      <c r="B12" s="24"/>
      <c r="C12" s="23"/>
      <c r="D12" s="87"/>
      <c r="E12" s="24"/>
      <c r="F12" s="88"/>
      <c r="G12" s="24"/>
      <c r="H12" s="88"/>
      <c r="I12" s="24"/>
      <c r="J12" s="86"/>
      <c r="K12" s="24"/>
      <c r="L12" s="88"/>
      <c r="M12" s="28" t="e">
        <f t="shared" ca="1" si="1"/>
        <v>#N/A</v>
      </c>
      <c r="N12" s="80" t="e">
        <f ca="1">VLOOKUP($B12,Matrix!$H$13:$I$37,2,FALSE)&amp;"_"&amp;C12</f>
        <v>#N/A</v>
      </c>
      <c r="O12" s="93" t="e">
        <f t="shared" ca="1" si="0"/>
        <v>#N/A</v>
      </c>
      <c r="U12" s="27"/>
    </row>
    <row r="13" spans="2:21" ht="14.25" thickBot="1">
      <c r="B13" s="24"/>
      <c r="C13" s="23"/>
      <c r="D13" s="87"/>
      <c r="E13" s="24"/>
      <c r="F13" s="88"/>
      <c r="G13" s="24"/>
      <c r="H13" s="88"/>
      <c r="I13" s="24"/>
      <c r="J13" s="86"/>
      <c r="K13" s="24"/>
      <c r="L13" s="88"/>
      <c r="M13" s="28" t="e">
        <f t="shared" ca="1" si="1"/>
        <v>#N/A</v>
      </c>
      <c r="N13" s="80" t="e">
        <f ca="1">VLOOKUP($B13,Matrix!$H$13:$I$37,2,FALSE)&amp;"_"&amp;C13</f>
        <v>#N/A</v>
      </c>
      <c r="O13" s="93" t="e">
        <f t="shared" ca="1" si="0"/>
        <v>#N/A</v>
      </c>
      <c r="U13" s="66"/>
    </row>
    <row r="14" spans="2:21">
      <c r="B14" s="24"/>
      <c r="C14" s="23"/>
      <c r="D14" s="87"/>
      <c r="E14" s="24"/>
      <c r="F14" s="88"/>
      <c r="G14" s="24"/>
      <c r="H14" s="88"/>
      <c r="I14" s="24"/>
      <c r="J14" s="86"/>
      <c r="K14" s="24"/>
      <c r="L14" s="88"/>
      <c r="M14" s="28" t="e">
        <f t="shared" ca="1" si="1"/>
        <v>#N/A</v>
      </c>
      <c r="N14" s="80" t="e">
        <f ca="1">VLOOKUP($B14,Matrix!$H$13:$I$37,2,FALSE)&amp;"_"&amp;C14</f>
        <v>#N/A</v>
      </c>
      <c r="O14" s="93" t="e">
        <f t="shared" ca="1" si="0"/>
        <v>#N/A</v>
      </c>
    </row>
    <row r="15" spans="2:21">
      <c r="B15" s="24"/>
      <c r="C15" s="23"/>
      <c r="D15" s="87"/>
      <c r="E15" s="24"/>
      <c r="F15" s="88"/>
      <c r="G15" s="24"/>
      <c r="H15" s="88"/>
      <c r="I15" s="24"/>
      <c r="J15" s="86"/>
      <c r="K15" s="24"/>
      <c r="L15" s="88"/>
      <c r="M15" s="28" t="e">
        <f t="shared" ca="1" si="1"/>
        <v>#N/A</v>
      </c>
      <c r="N15" s="80" t="e">
        <f ca="1">VLOOKUP($B15,Matrix!$H$13:$I$37,2,FALSE)&amp;"_"&amp;C15</f>
        <v>#N/A</v>
      </c>
      <c r="O15" s="93" t="e">
        <f t="shared" ca="1" si="0"/>
        <v>#N/A</v>
      </c>
    </row>
    <row r="16" spans="2:21">
      <c r="B16" s="24"/>
      <c r="C16" s="23"/>
      <c r="D16" s="87"/>
      <c r="E16" s="24"/>
      <c r="F16" s="88"/>
      <c r="G16" s="24"/>
      <c r="H16" s="88"/>
      <c r="I16" s="24"/>
      <c r="J16" s="86"/>
      <c r="K16" s="24"/>
      <c r="L16" s="88"/>
      <c r="M16" s="28" t="e">
        <f t="shared" ca="1" si="1"/>
        <v>#N/A</v>
      </c>
      <c r="N16" s="80" t="e">
        <f ca="1">VLOOKUP($B16,Matrix!$H$13:$I$37,2,FALSE)&amp;"_"&amp;C16</f>
        <v>#N/A</v>
      </c>
      <c r="O16" s="93" t="e">
        <f t="shared" ca="1" si="0"/>
        <v>#N/A</v>
      </c>
    </row>
    <row r="17" spans="2:15">
      <c r="B17" s="24"/>
      <c r="C17" s="23"/>
      <c r="D17" s="87"/>
      <c r="E17" s="24"/>
      <c r="F17" s="88"/>
      <c r="G17" s="24"/>
      <c r="H17" s="88"/>
      <c r="I17" s="24"/>
      <c r="J17" s="88"/>
      <c r="K17" s="24"/>
      <c r="L17" s="88"/>
      <c r="M17" s="28" t="e">
        <f t="shared" ca="1" si="1"/>
        <v>#N/A</v>
      </c>
      <c r="N17" s="80" t="e">
        <f ca="1">VLOOKUP($B17,Matrix!$H$13:$I$37,2,FALSE)&amp;"_"&amp;C17</f>
        <v>#N/A</v>
      </c>
      <c r="O17" s="93" t="e">
        <f t="shared" ca="1" si="0"/>
        <v>#N/A</v>
      </c>
    </row>
    <row r="18" spans="2:15">
      <c r="B18" s="24"/>
      <c r="C18" s="23"/>
      <c r="D18" s="87"/>
      <c r="E18" s="24"/>
      <c r="F18" s="88"/>
      <c r="G18" s="24"/>
      <c r="H18" s="88"/>
      <c r="I18" s="24"/>
      <c r="J18" s="86"/>
      <c r="K18" s="24"/>
      <c r="L18" s="88"/>
      <c r="M18" s="28" t="e">
        <f t="shared" ca="1" si="1"/>
        <v>#N/A</v>
      </c>
      <c r="N18" s="80" t="e">
        <f ca="1">VLOOKUP($B18,Matrix!$H$13:$I$37,2,FALSE)&amp;"_"&amp;C18</f>
        <v>#N/A</v>
      </c>
      <c r="O18" s="93" t="e">
        <f t="shared" ca="1" si="0"/>
        <v>#N/A</v>
      </c>
    </row>
    <row r="19" spans="2:15">
      <c r="B19" s="24"/>
      <c r="C19" s="23"/>
      <c r="D19" s="87"/>
      <c r="E19" s="24"/>
      <c r="F19" s="88"/>
      <c r="G19" s="24"/>
      <c r="H19" s="88"/>
      <c r="I19" s="24"/>
      <c r="J19" s="86"/>
      <c r="K19" s="24"/>
      <c r="L19" s="88"/>
      <c r="M19" s="28" t="e">
        <f t="shared" ca="1" si="1"/>
        <v>#N/A</v>
      </c>
      <c r="N19" s="80" t="e">
        <f ca="1">VLOOKUP($B19,Matrix!$H$13:$I$37,2,FALSE)&amp;"_"&amp;C19</f>
        <v>#N/A</v>
      </c>
      <c r="O19" s="93" t="e">
        <f t="shared" ca="1" si="0"/>
        <v>#N/A</v>
      </c>
    </row>
    <row r="20" spans="2:15">
      <c r="B20" s="24"/>
      <c r="C20" s="23"/>
      <c r="D20" s="87"/>
      <c r="E20" s="24"/>
      <c r="F20" s="88"/>
      <c r="G20" s="24"/>
      <c r="H20" s="88"/>
      <c r="I20" s="24"/>
      <c r="J20" s="86"/>
      <c r="K20" s="24"/>
      <c r="L20" s="88"/>
      <c r="M20" s="28" t="e">
        <f t="shared" ca="1" si="1"/>
        <v>#N/A</v>
      </c>
      <c r="N20" s="80" t="e">
        <f ca="1">VLOOKUP($B20,Matrix!$H$13:$I$37,2,FALSE)&amp;"_"&amp;C20</f>
        <v>#N/A</v>
      </c>
      <c r="O20" s="93" t="e">
        <f t="shared" ca="1" si="0"/>
        <v>#N/A</v>
      </c>
    </row>
    <row r="21" spans="2:15">
      <c r="B21" s="24"/>
      <c r="C21" s="23"/>
      <c r="D21" s="87"/>
      <c r="E21" s="24"/>
      <c r="F21" s="88"/>
      <c r="G21" s="24"/>
      <c r="H21" s="88"/>
      <c r="I21" s="24"/>
      <c r="J21" s="86"/>
      <c r="K21" s="24"/>
      <c r="L21" s="88"/>
      <c r="M21" s="28" t="e">
        <f t="shared" ca="1" si="1"/>
        <v>#N/A</v>
      </c>
      <c r="N21" s="80" t="e">
        <f ca="1">VLOOKUP($B21,Matrix!$H$13:$I$37,2,FALSE)&amp;"_"&amp;C21</f>
        <v>#N/A</v>
      </c>
      <c r="O21" s="93" t="e">
        <f t="shared" ca="1" si="0"/>
        <v>#N/A</v>
      </c>
    </row>
    <row r="22" spans="2:15">
      <c r="B22" s="24"/>
      <c r="C22" s="23"/>
      <c r="D22" s="87"/>
      <c r="E22" s="24"/>
      <c r="F22" s="88"/>
      <c r="G22" s="24"/>
      <c r="H22" s="88"/>
      <c r="I22" s="24"/>
      <c r="J22" s="86"/>
      <c r="K22" s="24"/>
      <c r="L22" s="88"/>
      <c r="M22" s="28" t="e">
        <f t="shared" ca="1" si="1"/>
        <v>#N/A</v>
      </c>
      <c r="N22" s="80" t="e">
        <f ca="1">VLOOKUP($B22,Matrix!$H$13:$I$37,2,FALSE)&amp;"_"&amp;C22</f>
        <v>#N/A</v>
      </c>
      <c r="O22" s="93" t="e">
        <f t="shared" ca="1" si="0"/>
        <v>#N/A</v>
      </c>
    </row>
    <row r="23" spans="2:15">
      <c r="B23" s="24"/>
      <c r="C23" s="23"/>
      <c r="D23" s="87"/>
      <c r="E23" s="24"/>
      <c r="F23" s="88"/>
      <c r="G23" s="24"/>
      <c r="H23" s="88"/>
      <c r="I23" s="24"/>
      <c r="J23" s="86"/>
      <c r="K23" s="24"/>
      <c r="L23" s="88"/>
      <c r="M23" s="28" t="e">
        <f t="shared" ca="1" si="1"/>
        <v>#N/A</v>
      </c>
      <c r="N23" s="80" t="e">
        <f ca="1">VLOOKUP($B23,Matrix!$H$13:$I$37,2,FALSE)&amp;"_"&amp;C23</f>
        <v>#N/A</v>
      </c>
      <c r="O23" s="93" t="e">
        <f t="shared" ca="1" si="0"/>
        <v>#N/A</v>
      </c>
    </row>
    <row r="24" spans="2:15">
      <c r="B24" s="24"/>
      <c r="C24" s="23"/>
      <c r="D24" s="87"/>
      <c r="E24" s="24"/>
      <c r="F24" s="88"/>
      <c r="G24" s="24"/>
      <c r="H24" s="88"/>
      <c r="I24" s="24"/>
      <c r="J24" s="86"/>
      <c r="K24" s="24"/>
      <c r="L24" s="88"/>
      <c r="M24" s="28" t="e">
        <f t="shared" ca="1" si="1"/>
        <v>#N/A</v>
      </c>
      <c r="N24" s="80" t="e">
        <f ca="1">VLOOKUP($B24,Matrix!$H$13:$I$37,2,FALSE)&amp;"_"&amp;C24</f>
        <v>#N/A</v>
      </c>
      <c r="O24" s="93" t="e">
        <f t="shared" ca="1" si="0"/>
        <v>#N/A</v>
      </c>
    </row>
    <row r="25" spans="2:15">
      <c r="B25" s="24"/>
      <c r="C25" s="23"/>
      <c r="D25" s="87"/>
      <c r="E25" s="24"/>
      <c r="F25" s="88"/>
      <c r="G25" s="24"/>
      <c r="H25" s="88"/>
      <c r="I25" s="24"/>
      <c r="J25" s="86"/>
      <c r="K25" s="24"/>
      <c r="L25" s="88"/>
      <c r="M25" s="28" t="e">
        <f t="shared" ca="1" si="1"/>
        <v>#N/A</v>
      </c>
      <c r="N25" s="80" t="e">
        <f ca="1">VLOOKUP($B25,Matrix!$H$13:$I$37,2,FALSE)&amp;"_"&amp;C25</f>
        <v>#N/A</v>
      </c>
      <c r="O25" s="93" t="e">
        <f t="shared" ca="1" si="0"/>
        <v>#N/A</v>
      </c>
    </row>
    <row r="26" spans="2:15">
      <c r="B26" s="24"/>
      <c r="C26" s="23"/>
      <c r="D26" s="87"/>
      <c r="E26" s="24"/>
      <c r="F26" s="88"/>
      <c r="G26" s="24"/>
      <c r="H26" s="88"/>
      <c r="I26" s="24"/>
      <c r="J26" s="86"/>
      <c r="K26" s="24"/>
      <c r="L26" s="88"/>
      <c r="M26" s="28" t="e">
        <f t="shared" ca="1" si="1"/>
        <v>#N/A</v>
      </c>
      <c r="N26" s="80" t="e">
        <f ca="1">VLOOKUP($B26,Matrix!$H$13:$I$37,2,FALSE)&amp;"_"&amp;C26</f>
        <v>#N/A</v>
      </c>
      <c r="O26" s="93" t="e">
        <f t="shared" ca="1" si="0"/>
        <v>#N/A</v>
      </c>
    </row>
    <row r="27" spans="2:15">
      <c r="B27" s="24"/>
      <c r="C27" s="23"/>
      <c r="D27" s="87"/>
      <c r="E27" s="24"/>
      <c r="F27" s="88"/>
      <c r="G27" s="24"/>
      <c r="H27" s="88"/>
      <c r="I27" s="24"/>
      <c r="J27" s="86"/>
      <c r="K27" s="24"/>
      <c r="L27" s="88"/>
      <c r="M27" s="28" t="e">
        <f t="shared" ca="1" si="1"/>
        <v>#N/A</v>
      </c>
      <c r="N27" s="80" t="e">
        <f ca="1">VLOOKUP($B27,Matrix!$H$13:$I$37,2,FALSE)&amp;"_"&amp;C27</f>
        <v>#N/A</v>
      </c>
      <c r="O27" s="93" t="e">
        <f t="shared" ca="1" si="0"/>
        <v>#N/A</v>
      </c>
    </row>
    <row r="28" spans="2:15">
      <c r="B28" s="24"/>
      <c r="C28" s="23"/>
      <c r="D28" s="87"/>
      <c r="E28" s="24"/>
      <c r="F28" s="88"/>
      <c r="G28" s="24"/>
      <c r="H28" s="88"/>
      <c r="I28" s="24"/>
      <c r="J28" s="86"/>
      <c r="K28" s="24"/>
      <c r="L28" s="88"/>
      <c r="M28" s="28" t="e">
        <f t="shared" ca="1" si="1"/>
        <v>#N/A</v>
      </c>
      <c r="N28" s="80" t="e">
        <f ca="1">VLOOKUP($B28,Matrix!$H$13:$I$37,2,FALSE)&amp;"_"&amp;C28</f>
        <v>#N/A</v>
      </c>
      <c r="O28" s="93" t="e">
        <f t="shared" ca="1" si="0"/>
        <v>#N/A</v>
      </c>
    </row>
    <row r="29" spans="2:15">
      <c r="B29" s="24"/>
      <c r="C29" s="23"/>
      <c r="D29" s="87"/>
      <c r="E29" s="24"/>
      <c r="F29" s="88"/>
      <c r="G29" s="24"/>
      <c r="H29" s="88"/>
      <c r="I29" s="24"/>
      <c r="J29" s="86"/>
      <c r="K29" s="24"/>
      <c r="L29" s="88"/>
      <c r="M29" s="28" t="e">
        <f t="shared" ca="1" si="1"/>
        <v>#N/A</v>
      </c>
      <c r="N29" s="80" t="e">
        <f ca="1">VLOOKUP($B29,Matrix!$H$13:$I$37,2,FALSE)&amp;"_"&amp;C29</f>
        <v>#N/A</v>
      </c>
      <c r="O29" s="93" t="e">
        <f t="shared" ca="1" si="0"/>
        <v>#N/A</v>
      </c>
    </row>
    <row r="30" spans="2:15">
      <c r="B30" s="24"/>
      <c r="C30" s="23"/>
      <c r="D30" s="87"/>
      <c r="E30" s="24"/>
      <c r="F30" s="88"/>
      <c r="G30" s="24"/>
      <c r="H30" s="88"/>
      <c r="I30" s="24"/>
      <c r="J30" s="86"/>
      <c r="K30" s="24"/>
      <c r="L30" s="88"/>
      <c r="M30" s="28" t="e">
        <f t="shared" ca="1" si="1"/>
        <v>#N/A</v>
      </c>
      <c r="N30" s="80" t="e">
        <f ca="1">VLOOKUP($B30,Matrix!$H$13:$I$37,2,FALSE)&amp;"_"&amp;C30</f>
        <v>#N/A</v>
      </c>
      <c r="O30" s="93" t="e">
        <f t="shared" ca="1" si="0"/>
        <v>#N/A</v>
      </c>
    </row>
    <row r="31" spans="2:15">
      <c r="B31" s="24"/>
      <c r="C31" s="23"/>
      <c r="D31" s="87"/>
      <c r="E31" s="24"/>
      <c r="F31" s="88"/>
      <c r="G31" s="24"/>
      <c r="H31" s="88"/>
      <c r="I31" s="24"/>
      <c r="J31" s="86"/>
      <c r="K31" s="24"/>
      <c r="L31" s="88"/>
      <c r="M31" s="28" t="e">
        <f t="shared" ca="1" si="1"/>
        <v>#N/A</v>
      </c>
      <c r="N31" s="80" t="e">
        <f ca="1">VLOOKUP($B31,Matrix!$H$13:$I$37,2,FALSE)&amp;"_"&amp;C31</f>
        <v>#N/A</v>
      </c>
      <c r="O31" s="93" t="e">
        <f t="shared" ca="1" si="0"/>
        <v>#N/A</v>
      </c>
    </row>
    <row r="32" spans="2:15">
      <c r="B32" s="24"/>
      <c r="C32" s="23"/>
      <c r="D32" s="87"/>
      <c r="E32" s="24"/>
      <c r="F32" s="88"/>
      <c r="G32" s="24"/>
      <c r="H32" s="88"/>
      <c r="I32" s="24"/>
      <c r="J32" s="86"/>
      <c r="K32" s="24"/>
      <c r="L32" s="88"/>
      <c r="M32" s="28" t="e">
        <f t="shared" ca="1" si="1"/>
        <v>#N/A</v>
      </c>
      <c r="N32" s="80" t="e">
        <f ca="1">VLOOKUP($B32,Matrix!$H$13:$I$37,2,FALSE)&amp;"_"&amp;C32</f>
        <v>#N/A</v>
      </c>
      <c r="O32" s="93" t="e">
        <f t="shared" ca="1" si="0"/>
        <v>#N/A</v>
      </c>
    </row>
    <row r="33" spans="2:15">
      <c r="B33" s="24"/>
      <c r="C33" s="23"/>
      <c r="D33" s="87"/>
      <c r="E33" s="24"/>
      <c r="F33" s="88"/>
      <c r="G33" s="24"/>
      <c r="H33" s="88"/>
      <c r="I33" s="24"/>
      <c r="J33" s="86"/>
      <c r="K33" s="24"/>
      <c r="L33" s="88"/>
      <c r="M33" s="28" t="e">
        <f t="shared" ca="1" si="1"/>
        <v>#N/A</v>
      </c>
      <c r="N33" s="80" t="e">
        <f ca="1">VLOOKUP($B33,Matrix!$H$13:$I$37,2,FALSE)&amp;"_"&amp;C33</f>
        <v>#N/A</v>
      </c>
      <c r="O33" s="93" t="e">
        <f t="shared" ca="1" si="0"/>
        <v>#N/A</v>
      </c>
    </row>
    <row r="34" spans="2:15">
      <c r="B34" s="24"/>
      <c r="C34" s="23"/>
      <c r="D34" s="87"/>
      <c r="E34" s="24"/>
      <c r="F34" s="88"/>
      <c r="G34" s="24"/>
      <c r="H34" s="88"/>
      <c r="I34" s="24"/>
      <c r="J34" s="86"/>
      <c r="K34" s="24"/>
      <c r="L34" s="88"/>
      <c r="M34" s="28" t="e">
        <f t="shared" ca="1" si="1"/>
        <v>#N/A</v>
      </c>
      <c r="N34" s="80" t="e">
        <f ca="1">VLOOKUP($B34,Matrix!$H$13:$I$37,2,FALSE)&amp;"_"&amp;C34</f>
        <v>#N/A</v>
      </c>
      <c r="O34" s="93" t="e">
        <f t="shared" ca="1" si="0"/>
        <v>#N/A</v>
      </c>
    </row>
    <row r="35" spans="2:15">
      <c r="B35" s="24"/>
      <c r="C35" s="23"/>
      <c r="D35" s="87"/>
      <c r="E35" s="24"/>
      <c r="F35" s="88"/>
      <c r="G35" s="24"/>
      <c r="H35" s="88"/>
      <c r="I35" s="24"/>
      <c r="J35" s="86"/>
      <c r="K35" s="24"/>
      <c r="L35" s="88"/>
      <c r="M35" s="28" t="e">
        <f t="shared" ca="1" si="1"/>
        <v>#N/A</v>
      </c>
      <c r="N35" s="80" t="e">
        <f ca="1">VLOOKUP($B35,Matrix!$H$13:$I$37,2,FALSE)&amp;"_"&amp;C35</f>
        <v>#N/A</v>
      </c>
      <c r="O35" s="93" t="e">
        <f t="shared" ca="1" si="0"/>
        <v>#N/A</v>
      </c>
    </row>
    <row r="36" spans="2:15">
      <c r="B36" s="24"/>
      <c r="C36" s="23"/>
      <c r="D36" s="87"/>
      <c r="E36" s="24"/>
      <c r="F36" s="88"/>
      <c r="G36" s="24"/>
      <c r="H36" s="88"/>
      <c r="I36" s="24"/>
      <c r="J36" s="86"/>
      <c r="K36" s="24"/>
      <c r="L36" s="88"/>
      <c r="M36" s="28" t="e">
        <f t="shared" ca="1" si="1"/>
        <v>#N/A</v>
      </c>
      <c r="N36" s="80" t="e">
        <f ca="1">VLOOKUP($B36,Matrix!$H$13:$I$37,2,FALSE)&amp;"_"&amp;C36</f>
        <v>#N/A</v>
      </c>
      <c r="O36" s="93" t="e">
        <f t="shared" ref="O36:O67" ca="1" si="2">"#define "&amp;N36&amp;REPT(" ",48-M36)&amp;"("&amp;D36&amp;"U)"</f>
        <v>#N/A</v>
      </c>
    </row>
    <row r="37" spans="2:15">
      <c r="B37" s="24"/>
      <c r="C37" s="23"/>
      <c r="D37" s="87"/>
      <c r="E37" s="24"/>
      <c r="F37" s="88"/>
      <c r="G37" s="24"/>
      <c r="H37" s="88"/>
      <c r="I37" s="24"/>
      <c r="J37" s="86"/>
      <c r="K37" s="24"/>
      <c r="L37" s="88"/>
      <c r="M37" s="28" t="e">
        <f t="shared" ca="1" si="1"/>
        <v>#N/A</v>
      </c>
      <c r="N37" s="80" t="e">
        <f ca="1">VLOOKUP($B37,Matrix!$H$13:$I$37,2,FALSE)&amp;"_"&amp;C37</f>
        <v>#N/A</v>
      </c>
      <c r="O37" s="93" t="e">
        <f t="shared" ca="1" si="2"/>
        <v>#N/A</v>
      </c>
    </row>
    <row r="38" spans="2:15">
      <c r="B38" s="24"/>
      <c r="C38" s="23"/>
      <c r="D38" s="87"/>
      <c r="E38" s="24"/>
      <c r="F38" s="88"/>
      <c r="G38" s="24"/>
      <c r="H38" s="88"/>
      <c r="I38" s="24"/>
      <c r="J38" s="86"/>
      <c r="K38" s="24"/>
      <c r="L38" s="88"/>
      <c r="M38" s="28" t="e">
        <f t="shared" ca="1" si="1"/>
        <v>#N/A</v>
      </c>
      <c r="N38" s="80" t="e">
        <f ca="1">VLOOKUP($B38,Matrix!$H$13:$I$37,2,FALSE)&amp;"_"&amp;C38</f>
        <v>#N/A</v>
      </c>
      <c r="O38" s="93" t="e">
        <f t="shared" ca="1" si="2"/>
        <v>#N/A</v>
      </c>
    </row>
    <row r="39" spans="2:15">
      <c r="B39" s="24"/>
      <c r="C39" s="23"/>
      <c r="D39" s="87"/>
      <c r="E39" s="24"/>
      <c r="F39" s="88"/>
      <c r="G39" s="24"/>
      <c r="H39" s="88"/>
      <c r="I39" s="24"/>
      <c r="J39" s="86"/>
      <c r="K39" s="24"/>
      <c r="L39" s="88"/>
      <c r="M39" s="28" t="e">
        <f t="shared" ca="1" si="1"/>
        <v>#N/A</v>
      </c>
      <c r="N39" s="80" t="e">
        <f ca="1">VLOOKUP($B39,Matrix!$H$13:$I$37,2,FALSE)&amp;"_"&amp;C39</f>
        <v>#N/A</v>
      </c>
      <c r="O39" s="93" t="e">
        <f t="shared" ca="1" si="2"/>
        <v>#N/A</v>
      </c>
    </row>
    <row r="40" spans="2:15">
      <c r="B40" s="24"/>
      <c r="C40" s="23"/>
      <c r="D40" s="87"/>
      <c r="E40" s="24"/>
      <c r="F40" s="88"/>
      <c r="G40" s="24"/>
      <c r="H40" s="88"/>
      <c r="I40" s="24"/>
      <c r="J40" s="86"/>
      <c r="K40" s="24"/>
      <c r="L40" s="88"/>
      <c r="M40" s="28" t="e">
        <f t="shared" ca="1" si="1"/>
        <v>#N/A</v>
      </c>
      <c r="N40" s="80" t="e">
        <f ca="1">VLOOKUP($B40,Matrix!$H$13:$I$37,2,FALSE)&amp;"_"&amp;C40</f>
        <v>#N/A</v>
      </c>
      <c r="O40" s="93" t="e">
        <f t="shared" ca="1" si="2"/>
        <v>#N/A</v>
      </c>
    </row>
    <row r="41" spans="2:15">
      <c r="B41" s="24"/>
      <c r="C41" s="23"/>
      <c r="D41" s="87"/>
      <c r="E41" s="24"/>
      <c r="F41" s="88"/>
      <c r="G41" s="24"/>
      <c r="H41" s="88"/>
      <c r="I41" s="24"/>
      <c r="J41" s="86"/>
      <c r="K41" s="24"/>
      <c r="L41" s="88"/>
      <c r="M41" s="28" t="e">
        <f t="shared" ca="1" si="1"/>
        <v>#N/A</v>
      </c>
      <c r="N41" s="80" t="e">
        <f ca="1">VLOOKUP($B41,Matrix!$H$13:$I$37,2,FALSE)&amp;"_"&amp;C41</f>
        <v>#N/A</v>
      </c>
      <c r="O41" s="93" t="e">
        <f t="shared" ca="1" si="2"/>
        <v>#N/A</v>
      </c>
    </row>
    <row r="42" spans="2:15">
      <c r="B42" s="24"/>
      <c r="C42" s="23"/>
      <c r="D42" s="87"/>
      <c r="E42" s="24"/>
      <c r="F42" s="88"/>
      <c r="G42" s="24"/>
      <c r="H42" s="88"/>
      <c r="I42" s="24"/>
      <c r="J42" s="86"/>
      <c r="K42" s="24"/>
      <c r="L42" s="88"/>
      <c r="M42" s="28" t="e">
        <f t="shared" ca="1" si="1"/>
        <v>#N/A</v>
      </c>
      <c r="N42" s="80" t="e">
        <f ca="1">VLOOKUP($B42,Matrix!$H$13:$I$37,2,FALSE)&amp;"_"&amp;C42</f>
        <v>#N/A</v>
      </c>
      <c r="O42" s="93" t="e">
        <f t="shared" ca="1" si="2"/>
        <v>#N/A</v>
      </c>
    </row>
    <row r="43" spans="2:15">
      <c r="B43" s="24"/>
      <c r="C43" s="23"/>
      <c r="D43" s="87"/>
      <c r="E43" s="24"/>
      <c r="F43" s="88"/>
      <c r="G43" s="24"/>
      <c r="H43" s="88"/>
      <c r="I43" s="24"/>
      <c r="J43" s="86"/>
      <c r="K43" s="24"/>
      <c r="L43" s="88"/>
      <c r="M43" s="28" t="e">
        <f t="shared" ca="1" si="1"/>
        <v>#N/A</v>
      </c>
      <c r="N43" s="80" t="e">
        <f ca="1">VLOOKUP($B43,Matrix!$H$13:$I$37,2,FALSE)&amp;"_"&amp;C43</f>
        <v>#N/A</v>
      </c>
      <c r="O43" s="93" t="e">
        <f t="shared" ca="1" si="2"/>
        <v>#N/A</v>
      </c>
    </row>
    <row r="44" spans="2:15">
      <c r="B44" s="24"/>
      <c r="C44" s="23"/>
      <c r="D44" s="87"/>
      <c r="E44" s="24"/>
      <c r="F44" s="88"/>
      <c r="G44" s="24"/>
      <c r="H44" s="88"/>
      <c r="I44" s="24"/>
      <c r="J44" s="86"/>
      <c r="K44" s="24"/>
      <c r="L44" s="88"/>
      <c r="M44" s="28" t="e">
        <f t="shared" ca="1" si="1"/>
        <v>#N/A</v>
      </c>
      <c r="N44" s="80" t="e">
        <f ca="1">VLOOKUP($B44,Matrix!$H$13:$I$37,2,FALSE)&amp;"_"&amp;C44</f>
        <v>#N/A</v>
      </c>
      <c r="O44" s="93" t="e">
        <f t="shared" ca="1" si="2"/>
        <v>#N/A</v>
      </c>
    </row>
    <row r="45" spans="2:15">
      <c r="B45" s="24"/>
      <c r="C45" s="23"/>
      <c r="D45" s="87"/>
      <c r="E45" s="24"/>
      <c r="F45" s="88"/>
      <c r="G45" s="24"/>
      <c r="H45" s="88"/>
      <c r="I45" s="24"/>
      <c r="J45" s="86"/>
      <c r="K45" s="24"/>
      <c r="L45" s="88"/>
      <c r="M45" s="28" t="e">
        <f t="shared" ca="1" si="1"/>
        <v>#N/A</v>
      </c>
      <c r="N45" s="80" t="e">
        <f ca="1">VLOOKUP($B45,Matrix!$H$13:$I$37,2,FALSE)&amp;"_"&amp;C45</f>
        <v>#N/A</v>
      </c>
      <c r="O45" s="93" t="e">
        <f t="shared" ca="1" si="2"/>
        <v>#N/A</v>
      </c>
    </row>
    <row r="46" spans="2:15">
      <c r="B46" s="24"/>
      <c r="C46" s="23"/>
      <c r="D46" s="87"/>
      <c r="E46" s="24"/>
      <c r="F46" s="88"/>
      <c r="G46" s="24"/>
      <c r="H46" s="88"/>
      <c r="I46" s="24"/>
      <c r="J46" s="86"/>
      <c r="K46" s="24"/>
      <c r="L46" s="88"/>
      <c r="M46" s="28" t="e">
        <f t="shared" ca="1" si="1"/>
        <v>#N/A</v>
      </c>
      <c r="N46" s="80" t="e">
        <f ca="1">VLOOKUP($B46,Matrix!$H$13:$I$37,2,FALSE)&amp;"_"&amp;C46</f>
        <v>#N/A</v>
      </c>
      <c r="O46" s="93" t="e">
        <f t="shared" ca="1" si="2"/>
        <v>#N/A</v>
      </c>
    </row>
    <row r="47" spans="2:15">
      <c r="B47" s="24"/>
      <c r="C47" s="23"/>
      <c r="D47" s="87"/>
      <c r="E47" s="24"/>
      <c r="F47" s="88"/>
      <c r="G47" s="24"/>
      <c r="H47" s="88"/>
      <c r="I47" s="24"/>
      <c r="J47" s="86"/>
      <c r="K47" s="24"/>
      <c r="L47" s="88"/>
      <c r="M47" s="28" t="e">
        <f t="shared" ca="1" si="1"/>
        <v>#N/A</v>
      </c>
      <c r="N47" s="80" t="e">
        <f ca="1">VLOOKUP($B47,Matrix!$H$13:$I$37,2,FALSE)&amp;"_"&amp;C47</f>
        <v>#N/A</v>
      </c>
      <c r="O47" s="93" t="e">
        <f t="shared" ca="1" si="2"/>
        <v>#N/A</v>
      </c>
    </row>
    <row r="48" spans="2:15">
      <c r="B48" s="24"/>
      <c r="C48" s="23"/>
      <c r="D48" s="87"/>
      <c r="E48" s="24"/>
      <c r="F48" s="88"/>
      <c r="G48" s="24"/>
      <c r="H48" s="88"/>
      <c r="I48" s="24"/>
      <c r="J48" s="86"/>
      <c r="K48" s="24"/>
      <c r="L48" s="88"/>
      <c r="M48" s="28" t="e">
        <f t="shared" ca="1" si="1"/>
        <v>#N/A</v>
      </c>
      <c r="N48" s="80" t="e">
        <f ca="1">VLOOKUP($B48,Matrix!$H$13:$I$37,2,FALSE)&amp;"_"&amp;C48</f>
        <v>#N/A</v>
      </c>
      <c r="O48" s="93" t="e">
        <f t="shared" ca="1" si="2"/>
        <v>#N/A</v>
      </c>
    </row>
    <row r="49" spans="2:15">
      <c r="B49" s="24"/>
      <c r="C49" s="23"/>
      <c r="D49" s="87"/>
      <c r="E49" s="24"/>
      <c r="F49" s="88"/>
      <c r="G49" s="24"/>
      <c r="H49" s="88"/>
      <c r="I49" s="24"/>
      <c r="J49" s="88"/>
      <c r="K49" s="24"/>
      <c r="L49" s="88"/>
      <c r="M49" s="28" t="e">
        <f t="shared" ca="1" si="1"/>
        <v>#N/A</v>
      </c>
      <c r="N49" s="80" t="e">
        <f ca="1">VLOOKUP($B49,Matrix!$H$13:$I$37,2,FALSE)&amp;"_"&amp;C49</f>
        <v>#N/A</v>
      </c>
      <c r="O49" s="93" t="e">
        <f t="shared" ca="1" si="2"/>
        <v>#N/A</v>
      </c>
    </row>
    <row r="50" spans="2:15">
      <c r="B50" s="24"/>
      <c r="C50" s="23"/>
      <c r="D50" s="87"/>
      <c r="E50" s="24"/>
      <c r="F50" s="88"/>
      <c r="G50" s="24"/>
      <c r="H50" s="88"/>
      <c r="I50" s="24"/>
      <c r="J50" s="88"/>
      <c r="K50" s="24"/>
      <c r="L50" s="88"/>
      <c r="M50" s="28" t="e">
        <f t="shared" ca="1" si="1"/>
        <v>#N/A</v>
      </c>
      <c r="N50" s="80" t="e">
        <f ca="1">VLOOKUP($B50,Matrix!$H$13:$I$37,2,FALSE)&amp;"_"&amp;C50</f>
        <v>#N/A</v>
      </c>
      <c r="O50" s="93" t="e">
        <f t="shared" ca="1" si="2"/>
        <v>#N/A</v>
      </c>
    </row>
    <row r="51" spans="2:15">
      <c r="B51" s="24"/>
      <c r="C51" s="23"/>
      <c r="D51" s="87"/>
      <c r="E51" s="24"/>
      <c r="F51" s="88"/>
      <c r="G51" s="24"/>
      <c r="H51" s="88"/>
      <c r="I51" s="24"/>
      <c r="J51" s="88"/>
      <c r="K51" s="24"/>
      <c r="L51" s="88"/>
      <c r="M51" s="28" t="e">
        <f t="shared" ca="1" si="1"/>
        <v>#N/A</v>
      </c>
      <c r="N51" s="80" t="e">
        <f ca="1">VLOOKUP($B51,Matrix!$H$13:$I$37,2,FALSE)&amp;"_"&amp;C51</f>
        <v>#N/A</v>
      </c>
      <c r="O51" s="93" t="e">
        <f t="shared" ca="1" si="2"/>
        <v>#N/A</v>
      </c>
    </row>
    <row r="52" spans="2:15">
      <c r="B52" s="24"/>
      <c r="C52" s="23"/>
      <c r="D52" s="87"/>
      <c r="E52" s="24"/>
      <c r="F52" s="88"/>
      <c r="G52" s="24"/>
      <c r="H52" s="88"/>
      <c r="I52" s="24"/>
      <c r="J52" s="88"/>
      <c r="K52" s="24"/>
      <c r="L52" s="88"/>
      <c r="M52" s="28" t="e">
        <f t="shared" ca="1" si="1"/>
        <v>#N/A</v>
      </c>
      <c r="N52" s="80" t="e">
        <f ca="1">VLOOKUP($B52,Matrix!$H$13:$I$37,2,FALSE)&amp;"_"&amp;C52</f>
        <v>#N/A</v>
      </c>
      <c r="O52" s="93" t="e">
        <f t="shared" ca="1" si="2"/>
        <v>#N/A</v>
      </c>
    </row>
    <row r="53" spans="2:15">
      <c r="B53" s="24"/>
      <c r="C53" s="23"/>
      <c r="D53" s="87"/>
      <c r="E53" s="24"/>
      <c r="F53" s="88"/>
      <c r="G53" s="24"/>
      <c r="H53" s="88"/>
      <c r="I53" s="24"/>
      <c r="J53" s="88"/>
      <c r="K53" s="24"/>
      <c r="L53" s="88"/>
      <c r="M53" s="28" t="e">
        <f t="shared" ca="1" si="1"/>
        <v>#N/A</v>
      </c>
      <c r="N53" s="80" t="e">
        <f ca="1">VLOOKUP($B53,Matrix!$H$13:$I$37,2,FALSE)&amp;"_"&amp;C53</f>
        <v>#N/A</v>
      </c>
      <c r="O53" s="93" t="e">
        <f t="shared" ca="1" si="2"/>
        <v>#N/A</v>
      </c>
    </row>
    <row r="54" spans="2:15">
      <c r="B54" s="24"/>
      <c r="C54" s="23"/>
      <c r="D54" s="87"/>
      <c r="E54" s="24"/>
      <c r="F54" s="88"/>
      <c r="G54" s="24"/>
      <c r="H54" s="88"/>
      <c r="I54" s="24"/>
      <c r="J54" s="88"/>
      <c r="K54" s="24"/>
      <c r="L54" s="88"/>
      <c r="M54" s="28" t="e">
        <f t="shared" ca="1" si="1"/>
        <v>#N/A</v>
      </c>
      <c r="N54" s="80" t="e">
        <f ca="1">VLOOKUP($B54,Matrix!$H$13:$I$37,2,FALSE)&amp;"_"&amp;C54</f>
        <v>#N/A</v>
      </c>
      <c r="O54" s="93" t="e">
        <f t="shared" ca="1" si="2"/>
        <v>#N/A</v>
      </c>
    </row>
    <row r="55" spans="2:15">
      <c r="B55" s="24"/>
      <c r="C55" s="23"/>
      <c r="D55" s="87"/>
      <c r="E55" s="24"/>
      <c r="F55" s="88"/>
      <c r="G55" s="24"/>
      <c r="H55" s="88"/>
      <c r="I55" s="24"/>
      <c r="J55" s="88"/>
      <c r="K55" s="24"/>
      <c r="L55" s="88"/>
      <c r="M55" s="28" t="e">
        <f t="shared" ca="1" si="1"/>
        <v>#N/A</v>
      </c>
      <c r="N55" s="80" t="e">
        <f ca="1">VLOOKUP($B55,Matrix!$H$13:$I$37,2,FALSE)&amp;"_"&amp;C55</f>
        <v>#N/A</v>
      </c>
      <c r="O55" s="93" t="e">
        <f t="shared" ca="1" si="2"/>
        <v>#N/A</v>
      </c>
    </row>
    <row r="56" spans="2:15">
      <c r="B56" s="24"/>
      <c r="C56" s="23"/>
      <c r="D56" s="87"/>
      <c r="E56" s="24"/>
      <c r="F56" s="88"/>
      <c r="G56" s="24"/>
      <c r="H56" s="88"/>
      <c r="I56" s="24"/>
      <c r="J56" s="88"/>
      <c r="K56" s="24"/>
      <c r="L56" s="88"/>
      <c r="M56" s="28" t="e">
        <f t="shared" ca="1" si="1"/>
        <v>#N/A</v>
      </c>
      <c r="N56" s="80" t="e">
        <f ca="1">VLOOKUP($B56,Matrix!$H$13:$I$37,2,FALSE)&amp;"_"&amp;C56</f>
        <v>#N/A</v>
      </c>
      <c r="O56" s="93" t="e">
        <f t="shared" ca="1" si="2"/>
        <v>#N/A</v>
      </c>
    </row>
    <row r="57" spans="2:15">
      <c r="B57" s="24"/>
      <c r="C57" s="23"/>
      <c r="D57" s="87"/>
      <c r="E57" s="24"/>
      <c r="F57" s="88"/>
      <c r="G57" s="24"/>
      <c r="H57" s="88"/>
      <c r="I57" s="24"/>
      <c r="J57" s="88"/>
      <c r="K57" s="24"/>
      <c r="L57" s="88"/>
      <c r="M57" s="28" t="e">
        <f t="shared" ca="1" si="1"/>
        <v>#N/A</v>
      </c>
      <c r="N57" s="80" t="e">
        <f ca="1">VLOOKUP($B57,Matrix!$H$13:$I$37,2,FALSE)&amp;"_"&amp;C57</f>
        <v>#N/A</v>
      </c>
      <c r="O57" s="93" t="e">
        <f t="shared" ca="1" si="2"/>
        <v>#N/A</v>
      </c>
    </row>
    <row r="58" spans="2:15">
      <c r="B58" s="24"/>
      <c r="C58" s="23"/>
      <c r="D58" s="87"/>
      <c r="E58" s="24"/>
      <c r="F58" s="88"/>
      <c r="G58" s="24"/>
      <c r="H58" s="88"/>
      <c r="I58" s="24"/>
      <c r="J58" s="88"/>
      <c r="K58" s="24"/>
      <c r="L58" s="88"/>
      <c r="M58" s="28" t="e">
        <f t="shared" ca="1" si="1"/>
        <v>#N/A</v>
      </c>
      <c r="N58" s="80" t="e">
        <f ca="1">VLOOKUP($B58,Matrix!$H$13:$I$37,2,FALSE)&amp;"_"&amp;C58</f>
        <v>#N/A</v>
      </c>
      <c r="O58" s="93" t="e">
        <f t="shared" ca="1" si="2"/>
        <v>#N/A</v>
      </c>
    </row>
    <row r="59" spans="2:15">
      <c r="B59" s="24"/>
      <c r="C59" s="23"/>
      <c r="D59" s="87"/>
      <c r="E59" s="24"/>
      <c r="F59" s="88"/>
      <c r="G59" s="24"/>
      <c r="H59" s="88"/>
      <c r="I59" s="24"/>
      <c r="J59" s="88"/>
      <c r="K59" s="24"/>
      <c r="L59" s="88"/>
      <c r="M59" s="28" t="e">
        <f t="shared" ca="1" si="1"/>
        <v>#N/A</v>
      </c>
      <c r="N59" s="80" t="e">
        <f ca="1">VLOOKUP($B59,Matrix!$H$13:$I$37,2,FALSE)&amp;"_"&amp;C59</f>
        <v>#N/A</v>
      </c>
      <c r="O59" s="93" t="e">
        <f t="shared" ca="1" si="2"/>
        <v>#N/A</v>
      </c>
    </row>
    <row r="60" spans="2:15">
      <c r="B60" s="24"/>
      <c r="C60" s="23"/>
      <c r="D60" s="87"/>
      <c r="E60" s="24"/>
      <c r="F60" s="88"/>
      <c r="G60" s="24"/>
      <c r="H60" s="88"/>
      <c r="I60" s="24"/>
      <c r="J60" s="88"/>
      <c r="K60" s="24"/>
      <c r="L60" s="88"/>
      <c r="M60" s="28" t="e">
        <f t="shared" ca="1" si="1"/>
        <v>#N/A</v>
      </c>
      <c r="N60" s="80" t="e">
        <f ca="1">VLOOKUP($B60,Matrix!$H$13:$I$37,2,FALSE)&amp;"_"&amp;C60</f>
        <v>#N/A</v>
      </c>
      <c r="O60" s="93" t="e">
        <f t="shared" ca="1" si="2"/>
        <v>#N/A</v>
      </c>
    </row>
    <row r="61" spans="2:15">
      <c r="B61" s="24"/>
      <c r="C61" s="23"/>
      <c r="D61" s="87"/>
      <c r="E61" s="24"/>
      <c r="F61" s="88"/>
      <c r="G61" s="24"/>
      <c r="H61" s="88"/>
      <c r="I61" s="24"/>
      <c r="J61" s="88"/>
      <c r="K61" s="24"/>
      <c r="L61" s="88"/>
      <c r="M61" s="28" t="e">
        <f t="shared" ca="1" si="1"/>
        <v>#N/A</v>
      </c>
      <c r="N61" s="80" t="e">
        <f ca="1">VLOOKUP($B61,Matrix!$H$13:$I$37,2,FALSE)&amp;"_"&amp;C61</f>
        <v>#N/A</v>
      </c>
      <c r="O61" s="93" t="e">
        <f t="shared" ca="1" si="2"/>
        <v>#N/A</v>
      </c>
    </row>
    <row r="62" spans="2:15">
      <c r="B62" s="24"/>
      <c r="C62" s="23"/>
      <c r="D62" s="87"/>
      <c r="E62" s="24"/>
      <c r="F62" s="88"/>
      <c r="G62" s="24"/>
      <c r="H62" s="88"/>
      <c r="I62" s="24"/>
      <c r="J62" s="88"/>
      <c r="K62" s="24"/>
      <c r="L62" s="88"/>
      <c r="M62" s="28" t="e">
        <f t="shared" ca="1" si="1"/>
        <v>#N/A</v>
      </c>
      <c r="N62" s="80" t="e">
        <f ca="1">VLOOKUP($B62,Matrix!$H$13:$I$37,2,FALSE)&amp;"_"&amp;C62</f>
        <v>#N/A</v>
      </c>
      <c r="O62" s="93" t="e">
        <f t="shared" ca="1" si="2"/>
        <v>#N/A</v>
      </c>
    </row>
    <row r="63" spans="2:15">
      <c r="B63" s="24"/>
      <c r="C63" s="23"/>
      <c r="D63" s="87"/>
      <c r="E63" s="24"/>
      <c r="F63" s="88"/>
      <c r="G63" s="24"/>
      <c r="H63" s="88"/>
      <c r="I63" s="24"/>
      <c r="J63" s="88"/>
      <c r="K63" s="24"/>
      <c r="L63" s="88"/>
      <c r="M63" s="28" t="e">
        <f t="shared" ca="1" si="1"/>
        <v>#N/A</v>
      </c>
      <c r="N63" s="80" t="e">
        <f ca="1">VLOOKUP($B63,Matrix!$H$13:$I$37,2,FALSE)&amp;"_"&amp;C63</f>
        <v>#N/A</v>
      </c>
      <c r="O63" s="93" t="e">
        <f t="shared" ca="1" si="2"/>
        <v>#N/A</v>
      </c>
    </row>
    <row r="64" spans="2:15">
      <c r="B64" s="24"/>
      <c r="C64" s="23"/>
      <c r="D64" s="87"/>
      <c r="E64" s="24"/>
      <c r="F64" s="88"/>
      <c r="G64" s="24"/>
      <c r="H64" s="88"/>
      <c r="I64" s="24"/>
      <c r="J64" s="88"/>
      <c r="K64" s="24"/>
      <c r="L64" s="88"/>
      <c r="M64" s="28" t="e">
        <f t="shared" ca="1" si="1"/>
        <v>#N/A</v>
      </c>
      <c r="N64" s="80" t="e">
        <f ca="1">VLOOKUP($B64,Matrix!$H$13:$I$37,2,FALSE)&amp;"_"&amp;C64</f>
        <v>#N/A</v>
      </c>
      <c r="O64" s="93" t="e">
        <f t="shared" ca="1" si="2"/>
        <v>#N/A</v>
      </c>
    </row>
    <row r="65" spans="2:15">
      <c r="B65" s="24"/>
      <c r="C65" s="23"/>
      <c r="D65" s="87"/>
      <c r="E65" s="24"/>
      <c r="F65" s="88"/>
      <c r="G65" s="24"/>
      <c r="H65" s="88"/>
      <c r="I65" s="24"/>
      <c r="J65" s="88"/>
      <c r="K65" s="24"/>
      <c r="L65" s="88"/>
      <c r="M65" s="28" t="e">
        <f t="shared" ca="1" si="1"/>
        <v>#N/A</v>
      </c>
      <c r="N65" s="80" t="e">
        <f ca="1">VLOOKUP($B65,Matrix!$H$13:$I$37,2,FALSE)&amp;"_"&amp;C65</f>
        <v>#N/A</v>
      </c>
      <c r="O65" s="93" t="e">
        <f t="shared" ca="1" si="2"/>
        <v>#N/A</v>
      </c>
    </row>
    <row r="66" spans="2:15">
      <c r="B66" s="24"/>
      <c r="C66" s="23"/>
      <c r="D66" s="87"/>
      <c r="E66" s="24"/>
      <c r="F66" s="88"/>
      <c r="G66" s="24"/>
      <c r="H66" s="88"/>
      <c r="I66" s="24"/>
      <c r="J66" s="88"/>
      <c r="K66" s="24"/>
      <c r="L66" s="88"/>
      <c r="M66" s="28" t="e">
        <f t="shared" ca="1" si="1"/>
        <v>#N/A</v>
      </c>
      <c r="N66" s="80" t="e">
        <f ca="1">VLOOKUP($B66,Matrix!$H$13:$I$37,2,FALSE)&amp;"_"&amp;C66</f>
        <v>#N/A</v>
      </c>
      <c r="O66" s="93" t="e">
        <f t="shared" ca="1" si="2"/>
        <v>#N/A</v>
      </c>
    </row>
    <row r="67" spans="2:15">
      <c r="B67" s="24"/>
      <c r="C67" s="23"/>
      <c r="D67" s="87"/>
      <c r="E67" s="24"/>
      <c r="F67" s="88"/>
      <c r="G67" s="24"/>
      <c r="H67" s="88"/>
      <c r="I67" s="24"/>
      <c r="J67" s="88"/>
      <c r="K67" s="24"/>
      <c r="L67" s="88"/>
      <c r="M67" s="28" t="e">
        <f t="shared" ca="1" si="1"/>
        <v>#N/A</v>
      </c>
      <c r="N67" s="80" t="e">
        <f ca="1">VLOOKUP($B67,Matrix!$H$13:$I$37,2,FALSE)&amp;"_"&amp;C67</f>
        <v>#N/A</v>
      </c>
      <c r="O67" s="93" t="e">
        <f t="shared" ca="1" si="2"/>
        <v>#N/A</v>
      </c>
    </row>
    <row r="68" spans="2:15">
      <c r="B68" s="24"/>
      <c r="C68" s="23"/>
      <c r="D68" s="87"/>
      <c r="E68" s="24"/>
      <c r="F68" s="88"/>
      <c r="G68" s="24"/>
      <c r="H68" s="88"/>
      <c r="I68" s="24"/>
      <c r="J68" s="88"/>
      <c r="K68" s="24"/>
      <c r="L68" s="88"/>
      <c r="M68" s="28" t="e">
        <f t="shared" ca="1" si="1"/>
        <v>#N/A</v>
      </c>
      <c r="N68" s="80" t="e">
        <f ca="1">VLOOKUP($B68,Matrix!$H$13:$I$37,2,FALSE)&amp;"_"&amp;C68</f>
        <v>#N/A</v>
      </c>
      <c r="O68" s="93" t="e">
        <f t="shared" ref="O68:O99" ca="1" si="3">"#define "&amp;N68&amp;REPT(" ",48-M68)&amp;"("&amp;D68&amp;"U)"</f>
        <v>#N/A</v>
      </c>
    </row>
    <row r="69" spans="2:15">
      <c r="B69" s="24"/>
      <c r="C69" s="23"/>
      <c r="D69" s="87"/>
      <c r="E69" s="24"/>
      <c r="F69" s="88"/>
      <c r="G69" s="24"/>
      <c r="H69" s="88"/>
      <c r="I69" s="24"/>
      <c r="J69" s="88"/>
      <c r="K69" s="24"/>
      <c r="L69" s="88"/>
      <c r="M69" s="28" t="e">
        <f t="shared" ref="M69:M103" ca="1" si="4">LEN(N69)</f>
        <v>#N/A</v>
      </c>
      <c r="N69" s="80" t="e">
        <f ca="1">VLOOKUP($B69,Matrix!$H$13:$I$37,2,FALSE)&amp;"_"&amp;C69</f>
        <v>#N/A</v>
      </c>
      <c r="O69" s="93" t="e">
        <f t="shared" ca="1" si="3"/>
        <v>#N/A</v>
      </c>
    </row>
    <row r="70" spans="2:15">
      <c r="B70" s="24"/>
      <c r="C70" s="23"/>
      <c r="D70" s="87"/>
      <c r="E70" s="24"/>
      <c r="F70" s="88"/>
      <c r="G70" s="24"/>
      <c r="H70" s="88"/>
      <c r="I70" s="24"/>
      <c r="J70" s="88"/>
      <c r="K70" s="24"/>
      <c r="L70" s="88"/>
      <c r="M70" s="28" t="e">
        <f t="shared" ca="1" si="4"/>
        <v>#N/A</v>
      </c>
      <c r="N70" s="80" t="e">
        <f ca="1">VLOOKUP($B70,Matrix!$H$13:$I$37,2,FALSE)&amp;"_"&amp;C70</f>
        <v>#N/A</v>
      </c>
      <c r="O70" s="93" t="e">
        <f t="shared" ca="1" si="3"/>
        <v>#N/A</v>
      </c>
    </row>
    <row r="71" spans="2:15">
      <c r="B71" s="24"/>
      <c r="C71" s="23"/>
      <c r="D71" s="87"/>
      <c r="E71" s="24"/>
      <c r="F71" s="88"/>
      <c r="G71" s="24"/>
      <c r="H71" s="88"/>
      <c r="I71" s="24"/>
      <c r="J71" s="88"/>
      <c r="K71" s="24"/>
      <c r="L71" s="88"/>
      <c r="M71" s="28" t="e">
        <f t="shared" ca="1" si="4"/>
        <v>#N/A</v>
      </c>
      <c r="N71" s="80" t="e">
        <f ca="1">VLOOKUP($B71,Matrix!$H$13:$I$37,2,FALSE)&amp;"_"&amp;C71</f>
        <v>#N/A</v>
      </c>
      <c r="O71" s="93" t="e">
        <f t="shared" ca="1" si="3"/>
        <v>#N/A</v>
      </c>
    </row>
    <row r="72" spans="2:15">
      <c r="B72" s="24"/>
      <c r="C72" s="23"/>
      <c r="D72" s="87"/>
      <c r="E72" s="24"/>
      <c r="F72" s="88"/>
      <c r="G72" s="24"/>
      <c r="H72" s="88"/>
      <c r="I72" s="24"/>
      <c r="J72" s="88"/>
      <c r="K72" s="24"/>
      <c r="L72" s="88"/>
      <c r="M72" s="28" t="e">
        <f t="shared" ca="1" si="4"/>
        <v>#N/A</v>
      </c>
      <c r="N72" s="80" t="e">
        <f ca="1">VLOOKUP($B72,Matrix!$H$13:$I$37,2,FALSE)&amp;"_"&amp;C72</f>
        <v>#N/A</v>
      </c>
      <c r="O72" s="93" t="e">
        <f t="shared" ca="1" si="3"/>
        <v>#N/A</v>
      </c>
    </row>
    <row r="73" spans="2:15">
      <c r="B73" s="24"/>
      <c r="C73" s="23"/>
      <c r="D73" s="87"/>
      <c r="E73" s="24"/>
      <c r="F73" s="88"/>
      <c r="G73" s="24"/>
      <c r="H73" s="88"/>
      <c r="I73" s="24"/>
      <c r="J73" s="88"/>
      <c r="K73" s="24"/>
      <c r="L73" s="88"/>
      <c r="M73" s="28" t="e">
        <f t="shared" ca="1" si="4"/>
        <v>#N/A</v>
      </c>
      <c r="N73" s="80" t="e">
        <f ca="1">VLOOKUP($B73,Matrix!$H$13:$I$37,2,FALSE)&amp;"_"&amp;C73</f>
        <v>#N/A</v>
      </c>
      <c r="O73" s="93" t="e">
        <f t="shared" ca="1" si="3"/>
        <v>#N/A</v>
      </c>
    </row>
    <row r="74" spans="2:15">
      <c r="B74" s="24"/>
      <c r="C74" s="23"/>
      <c r="D74" s="87"/>
      <c r="E74" s="24"/>
      <c r="F74" s="88"/>
      <c r="G74" s="24"/>
      <c r="H74" s="88"/>
      <c r="I74" s="24"/>
      <c r="J74" s="88"/>
      <c r="K74" s="24"/>
      <c r="L74" s="88"/>
      <c r="M74" s="28" t="e">
        <f t="shared" ca="1" si="4"/>
        <v>#N/A</v>
      </c>
      <c r="N74" s="80" t="e">
        <f ca="1">VLOOKUP($B74,Matrix!$H$13:$I$37,2,FALSE)&amp;"_"&amp;C74</f>
        <v>#N/A</v>
      </c>
      <c r="O74" s="93" t="e">
        <f t="shared" ca="1" si="3"/>
        <v>#N/A</v>
      </c>
    </row>
    <row r="75" spans="2:15">
      <c r="B75" s="24"/>
      <c r="C75" s="23"/>
      <c r="D75" s="87"/>
      <c r="E75" s="24"/>
      <c r="F75" s="88"/>
      <c r="G75" s="24"/>
      <c r="H75" s="88"/>
      <c r="I75" s="24"/>
      <c r="J75" s="88"/>
      <c r="K75" s="24"/>
      <c r="L75" s="88"/>
      <c r="M75" s="28" t="e">
        <f t="shared" ca="1" si="4"/>
        <v>#N/A</v>
      </c>
      <c r="N75" s="80" t="e">
        <f ca="1">VLOOKUP($B75,Matrix!$H$13:$I$37,2,FALSE)&amp;"_"&amp;C75</f>
        <v>#N/A</v>
      </c>
      <c r="O75" s="93" t="e">
        <f t="shared" ca="1" si="3"/>
        <v>#N/A</v>
      </c>
    </row>
    <row r="76" spans="2:15">
      <c r="B76" s="24"/>
      <c r="C76" s="23"/>
      <c r="D76" s="87"/>
      <c r="E76" s="24"/>
      <c r="F76" s="88"/>
      <c r="G76" s="24"/>
      <c r="H76" s="88"/>
      <c r="I76" s="24"/>
      <c r="J76" s="88"/>
      <c r="K76" s="24"/>
      <c r="L76" s="88"/>
      <c r="M76" s="28" t="e">
        <f t="shared" ca="1" si="4"/>
        <v>#N/A</v>
      </c>
      <c r="N76" s="80" t="e">
        <f ca="1">VLOOKUP($B76,Matrix!$H$13:$I$37,2,FALSE)&amp;"_"&amp;C76</f>
        <v>#N/A</v>
      </c>
      <c r="O76" s="93" t="e">
        <f t="shared" ca="1" si="3"/>
        <v>#N/A</v>
      </c>
    </row>
    <row r="77" spans="2:15">
      <c r="B77" s="24"/>
      <c r="C77" s="23"/>
      <c r="D77" s="87"/>
      <c r="E77" s="24"/>
      <c r="F77" s="88"/>
      <c r="G77" s="24"/>
      <c r="H77" s="88"/>
      <c r="I77" s="24"/>
      <c r="J77" s="88"/>
      <c r="K77" s="24"/>
      <c r="L77" s="88"/>
      <c r="M77" s="28" t="e">
        <f t="shared" ca="1" si="4"/>
        <v>#N/A</v>
      </c>
      <c r="N77" s="80" t="e">
        <f ca="1">VLOOKUP($B77,Matrix!$H$13:$I$37,2,FALSE)&amp;"_"&amp;C77</f>
        <v>#N/A</v>
      </c>
      <c r="O77" s="93" t="e">
        <f t="shared" ca="1" si="3"/>
        <v>#N/A</v>
      </c>
    </row>
    <row r="78" spans="2:15">
      <c r="B78" s="24"/>
      <c r="C78" s="23"/>
      <c r="D78" s="87"/>
      <c r="E78" s="24"/>
      <c r="F78" s="88"/>
      <c r="G78" s="24"/>
      <c r="H78" s="88"/>
      <c r="I78" s="24"/>
      <c r="J78" s="88"/>
      <c r="K78" s="24"/>
      <c r="L78" s="88"/>
      <c r="M78" s="28" t="e">
        <f t="shared" ca="1" si="4"/>
        <v>#N/A</v>
      </c>
      <c r="N78" s="80" t="e">
        <f ca="1">VLOOKUP($B78,Matrix!$H$13:$I$37,2,FALSE)&amp;"_"&amp;C78</f>
        <v>#N/A</v>
      </c>
      <c r="O78" s="93" t="e">
        <f t="shared" ca="1" si="3"/>
        <v>#N/A</v>
      </c>
    </row>
    <row r="79" spans="2:15">
      <c r="B79" s="24"/>
      <c r="C79" s="23"/>
      <c r="D79" s="87"/>
      <c r="E79" s="24"/>
      <c r="F79" s="88"/>
      <c r="G79" s="24"/>
      <c r="H79" s="88"/>
      <c r="I79" s="24"/>
      <c r="J79" s="88"/>
      <c r="K79" s="24"/>
      <c r="L79" s="88"/>
      <c r="M79" s="28" t="e">
        <f t="shared" ca="1" si="4"/>
        <v>#N/A</v>
      </c>
      <c r="N79" s="80" t="e">
        <f ca="1">VLOOKUP($B79,Matrix!$H$13:$I$37,2,FALSE)&amp;"_"&amp;C79</f>
        <v>#N/A</v>
      </c>
      <c r="O79" s="93" t="e">
        <f t="shared" ca="1" si="3"/>
        <v>#N/A</v>
      </c>
    </row>
    <row r="80" spans="2:15">
      <c r="B80" s="24"/>
      <c r="C80" s="23"/>
      <c r="D80" s="87"/>
      <c r="E80" s="24"/>
      <c r="F80" s="88"/>
      <c r="G80" s="24"/>
      <c r="H80" s="88"/>
      <c r="I80" s="24"/>
      <c r="J80" s="88"/>
      <c r="K80" s="24"/>
      <c r="L80" s="88"/>
      <c r="M80" s="28" t="e">
        <f t="shared" ca="1" si="4"/>
        <v>#N/A</v>
      </c>
      <c r="N80" s="80" t="e">
        <f ca="1">VLOOKUP($B80,Matrix!$H$13:$I$37,2,FALSE)&amp;"_"&amp;C80</f>
        <v>#N/A</v>
      </c>
      <c r="O80" s="93" t="e">
        <f t="shared" ca="1" si="3"/>
        <v>#N/A</v>
      </c>
    </row>
    <row r="81" spans="2:15">
      <c r="B81" s="24"/>
      <c r="C81" s="23"/>
      <c r="D81" s="87"/>
      <c r="E81" s="24"/>
      <c r="F81" s="88"/>
      <c r="G81" s="24"/>
      <c r="H81" s="88"/>
      <c r="I81" s="24"/>
      <c r="J81" s="88"/>
      <c r="K81" s="24"/>
      <c r="L81" s="88"/>
      <c r="M81" s="28" t="e">
        <f t="shared" ca="1" si="4"/>
        <v>#N/A</v>
      </c>
      <c r="N81" s="80" t="e">
        <f ca="1">VLOOKUP($B81,Matrix!$H$13:$I$37,2,FALSE)&amp;"_"&amp;C81</f>
        <v>#N/A</v>
      </c>
      <c r="O81" s="93" t="e">
        <f t="shared" ca="1" si="3"/>
        <v>#N/A</v>
      </c>
    </row>
    <row r="82" spans="2:15">
      <c r="B82" s="24"/>
      <c r="C82" s="23"/>
      <c r="D82" s="87"/>
      <c r="E82" s="24"/>
      <c r="F82" s="88"/>
      <c r="G82" s="24"/>
      <c r="H82" s="88"/>
      <c r="I82" s="24"/>
      <c r="J82" s="88"/>
      <c r="K82" s="24"/>
      <c r="L82" s="88"/>
      <c r="M82" s="28" t="e">
        <f t="shared" ca="1" si="4"/>
        <v>#N/A</v>
      </c>
      <c r="N82" s="80" t="e">
        <f ca="1">VLOOKUP($B82,Matrix!$H$13:$I$37,2,FALSE)&amp;"_"&amp;C82</f>
        <v>#N/A</v>
      </c>
      <c r="O82" s="93" t="e">
        <f t="shared" ca="1" si="3"/>
        <v>#N/A</v>
      </c>
    </row>
    <row r="83" spans="2:15">
      <c r="B83" s="24"/>
      <c r="C83" s="23"/>
      <c r="D83" s="87"/>
      <c r="E83" s="24"/>
      <c r="F83" s="88"/>
      <c r="G83" s="24"/>
      <c r="H83" s="88"/>
      <c r="I83" s="24"/>
      <c r="J83" s="88"/>
      <c r="K83" s="24"/>
      <c r="L83" s="88"/>
      <c r="M83" s="28" t="e">
        <f t="shared" ca="1" si="4"/>
        <v>#N/A</v>
      </c>
      <c r="N83" s="80" t="e">
        <f ca="1">VLOOKUP($B83,Matrix!$H$13:$I$37,2,FALSE)&amp;"_"&amp;C83</f>
        <v>#N/A</v>
      </c>
      <c r="O83" s="93" t="e">
        <f t="shared" ca="1" si="3"/>
        <v>#N/A</v>
      </c>
    </row>
    <row r="84" spans="2:15">
      <c r="B84" s="24"/>
      <c r="C84" s="23"/>
      <c r="D84" s="87"/>
      <c r="E84" s="24"/>
      <c r="F84" s="88"/>
      <c r="G84" s="24"/>
      <c r="H84" s="88"/>
      <c r="I84" s="24"/>
      <c r="J84" s="88"/>
      <c r="K84" s="24"/>
      <c r="L84" s="88"/>
      <c r="M84" s="28" t="e">
        <f t="shared" ca="1" si="4"/>
        <v>#N/A</v>
      </c>
      <c r="N84" s="80" t="e">
        <f ca="1">VLOOKUP($B84,Matrix!$H$13:$I$37,2,FALSE)&amp;"_"&amp;C84</f>
        <v>#N/A</v>
      </c>
      <c r="O84" s="93" t="e">
        <f t="shared" ca="1" si="3"/>
        <v>#N/A</v>
      </c>
    </row>
    <row r="85" spans="2:15">
      <c r="B85" s="24"/>
      <c r="C85" s="23"/>
      <c r="D85" s="87"/>
      <c r="E85" s="24"/>
      <c r="F85" s="88"/>
      <c r="G85" s="24"/>
      <c r="H85" s="88"/>
      <c r="I85" s="24"/>
      <c r="J85" s="88"/>
      <c r="K85" s="24"/>
      <c r="L85" s="88"/>
      <c r="M85" s="28" t="e">
        <f t="shared" ca="1" si="4"/>
        <v>#N/A</v>
      </c>
      <c r="N85" s="80" t="e">
        <f ca="1">VLOOKUP($B85,Matrix!$H$13:$I$37,2,FALSE)&amp;"_"&amp;C85</f>
        <v>#N/A</v>
      </c>
      <c r="O85" s="93" t="e">
        <f t="shared" ca="1" si="3"/>
        <v>#N/A</v>
      </c>
    </row>
    <row r="86" spans="2:15">
      <c r="B86" s="24"/>
      <c r="C86" s="23"/>
      <c r="D86" s="87"/>
      <c r="E86" s="24"/>
      <c r="F86" s="88"/>
      <c r="G86" s="24"/>
      <c r="H86" s="88"/>
      <c r="I86" s="24"/>
      <c r="J86" s="88"/>
      <c r="K86" s="24"/>
      <c r="L86" s="88"/>
      <c r="M86" s="28" t="e">
        <f t="shared" ca="1" si="4"/>
        <v>#N/A</v>
      </c>
      <c r="N86" s="80" t="e">
        <f ca="1">VLOOKUP($B86,Matrix!$H$13:$I$37,2,FALSE)&amp;"_"&amp;C86</f>
        <v>#N/A</v>
      </c>
      <c r="O86" s="93" t="e">
        <f t="shared" ca="1" si="3"/>
        <v>#N/A</v>
      </c>
    </row>
    <row r="87" spans="2:15">
      <c r="B87" s="24"/>
      <c r="C87" s="23"/>
      <c r="D87" s="87"/>
      <c r="E87" s="24"/>
      <c r="F87" s="88"/>
      <c r="G87" s="24"/>
      <c r="H87" s="88"/>
      <c r="I87" s="24"/>
      <c r="J87" s="88"/>
      <c r="K87" s="24"/>
      <c r="L87" s="88"/>
      <c r="M87" s="28" t="e">
        <f t="shared" ca="1" si="4"/>
        <v>#N/A</v>
      </c>
      <c r="N87" s="48" t="e">
        <f ca="1">VLOOKUP($B87,Matrix!$H$13:$I$37,2,FALSE)&amp;"_"&amp;C87</f>
        <v>#N/A</v>
      </c>
      <c r="O87" s="93" t="e">
        <f t="shared" ca="1" si="3"/>
        <v>#N/A</v>
      </c>
    </row>
    <row r="88" spans="2:15">
      <c r="B88" s="24"/>
      <c r="C88" s="23"/>
      <c r="D88" s="87"/>
      <c r="E88" s="24"/>
      <c r="F88" s="88"/>
      <c r="G88" s="24"/>
      <c r="H88" s="88"/>
      <c r="I88" s="24"/>
      <c r="J88" s="88"/>
      <c r="K88" s="24"/>
      <c r="L88" s="88"/>
      <c r="M88" s="28" t="e">
        <f t="shared" ca="1" si="4"/>
        <v>#N/A</v>
      </c>
      <c r="N88" s="48" t="e">
        <f ca="1">VLOOKUP($B88,Matrix!$H$13:$I$37,2,FALSE)&amp;"_"&amp;C88</f>
        <v>#N/A</v>
      </c>
      <c r="O88" s="93" t="e">
        <f t="shared" ca="1" si="3"/>
        <v>#N/A</v>
      </c>
    </row>
    <row r="89" spans="2:15">
      <c r="B89" s="24"/>
      <c r="C89" s="23"/>
      <c r="D89" s="87"/>
      <c r="E89" s="24"/>
      <c r="F89" s="88"/>
      <c r="G89" s="24"/>
      <c r="H89" s="88"/>
      <c r="I89" s="24"/>
      <c r="J89" s="88"/>
      <c r="K89" s="24"/>
      <c r="L89" s="88"/>
      <c r="M89" s="28" t="e">
        <f t="shared" ca="1" si="4"/>
        <v>#N/A</v>
      </c>
      <c r="N89" s="48" t="e">
        <f ca="1">VLOOKUP($B89,Matrix!$H$13:$I$37,2,FALSE)&amp;"_"&amp;C89</f>
        <v>#N/A</v>
      </c>
      <c r="O89" s="93" t="e">
        <f t="shared" ca="1" si="3"/>
        <v>#N/A</v>
      </c>
    </row>
    <row r="90" spans="2:15">
      <c r="B90" s="24"/>
      <c r="C90" s="23"/>
      <c r="D90" s="87"/>
      <c r="E90" s="24"/>
      <c r="F90" s="88"/>
      <c r="G90" s="24"/>
      <c r="H90" s="88"/>
      <c r="I90" s="24"/>
      <c r="J90" s="88"/>
      <c r="K90" s="24"/>
      <c r="L90" s="88"/>
      <c r="M90" s="28" t="e">
        <f t="shared" ca="1" si="4"/>
        <v>#N/A</v>
      </c>
      <c r="N90" s="48" t="e">
        <f ca="1">VLOOKUP($B90,Matrix!$H$13:$I$37,2,FALSE)&amp;"_"&amp;C90</f>
        <v>#N/A</v>
      </c>
      <c r="O90" s="93" t="e">
        <f t="shared" ca="1" si="3"/>
        <v>#N/A</v>
      </c>
    </row>
    <row r="91" spans="2:15">
      <c r="B91" s="24"/>
      <c r="C91" s="23"/>
      <c r="D91" s="87"/>
      <c r="E91" s="24"/>
      <c r="F91" s="88"/>
      <c r="G91" s="24"/>
      <c r="H91" s="88"/>
      <c r="I91" s="24"/>
      <c r="J91" s="88"/>
      <c r="K91" s="24"/>
      <c r="L91" s="88"/>
      <c r="M91" s="28" t="e">
        <f t="shared" ca="1" si="4"/>
        <v>#N/A</v>
      </c>
      <c r="N91" s="48" t="e">
        <f ca="1">VLOOKUP($B91,Matrix!$H$13:$I$37,2,FALSE)&amp;"_"&amp;C91</f>
        <v>#N/A</v>
      </c>
      <c r="O91" s="93" t="e">
        <f t="shared" ca="1" si="3"/>
        <v>#N/A</v>
      </c>
    </row>
    <row r="92" spans="2:15">
      <c r="B92" s="24"/>
      <c r="C92" s="23"/>
      <c r="D92" s="87"/>
      <c r="E92" s="24"/>
      <c r="F92" s="88"/>
      <c r="G92" s="24"/>
      <c r="H92" s="88"/>
      <c r="I92" s="24"/>
      <c r="J92" s="88"/>
      <c r="K92" s="24"/>
      <c r="L92" s="88"/>
      <c r="M92" s="28" t="e">
        <f t="shared" ca="1" si="4"/>
        <v>#N/A</v>
      </c>
      <c r="N92" s="48" t="e">
        <f ca="1">VLOOKUP($B92,Matrix!$H$13:$I$37,2,FALSE)&amp;"_"&amp;C92</f>
        <v>#N/A</v>
      </c>
      <c r="O92" s="93" t="e">
        <f t="shared" ca="1" si="3"/>
        <v>#N/A</v>
      </c>
    </row>
    <row r="93" spans="2:15">
      <c r="B93" s="24"/>
      <c r="C93" s="23"/>
      <c r="D93" s="87"/>
      <c r="E93" s="24"/>
      <c r="F93" s="88"/>
      <c r="G93" s="24"/>
      <c r="H93" s="88"/>
      <c r="I93" s="24"/>
      <c r="J93" s="88"/>
      <c r="K93" s="24"/>
      <c r="L93" s="88"/>
      <c r="M93" s="28" t="e">
        <f t="shared" ca="1" si="4"/>
        <v>#N/A</v>
      </c>
      <c r="N93" s="48" t="e">
        <f ca="1">VLOOKUP($B93,Matrix!$H$13:$I$37,2,FALSE)&amp;"_"&amp;C93</f>
        <v>#N/A</v>
      </c>
      <c r="O93" s="93" t="e">
        <f t="shared" ca="1" si="3"/>
        <v>#N/A</v>
      </c>
    </row>
    <row r="94" spans="2:15">
      <c r="B94" s="24"/>
      <c r="C94" s="23"/>
      <c r="D94" s="87"/>
      <c r="E94" s="24"/>
      <c r="F94" s="88"/>
      <c r="G94" s="24"/>
      <c r="H94" s="88"/>
      <c r="I94" s="24"/>
      <c r="J94" s="88"/>
      <c r="K94" s="24"/>
      <c r="L94" s="88"/>
      <c r="M94" s="28" t="e">
        <f t="shared" ca="1" si="4"/>
        <v>#N/A</v>
      </c>
      <c r="N94" s="48" t="e">
        <f ca="1">VLOOKUP($B94,Matrix!$H$13:$I$37,2,FALSE)&amp;"_"&amp;C94</f>
        <v>#N/A</v>
      </c>
      <c r="O94" s="93" t="e">
        <f t="shared" ca="1" si="3"/>
        <v>#N/A</v>
      </c>
    </row>
    <row r="95" spans="2:15">
      <c r="B95" s="24"/>
      <c r="C95" s="23"/>
      <c r="D95" s="87"/>
      <c r="E95" s="24"/>
      <c r="F95" s="88"/>
      <c r="G95" s="24"/>
      <c r="H95" s="88"/>
      <c r="I95" s="24"/>
      <c r="J95" s="88"/>
      <c r="K95" s="24"/>
      <c r="L95" s="88"/>
      <c r="M95" s="28" t="e">
        <f t="shared" ca="1" si="4"/>
        <v>#N/A</v>
      </c>
      <c r="N95" s="48" t="e">
        <f ca="1">VLOOKUP($B95,Matrix!$H$13:$I$37,2,FALSE)&amp;"_"&amp;C95</f>
        <v>#N/A</v>
      </c>
      <c r="O95" s="93" t="e">
        <f t="shared" ca="1" si="3"/>
        <v>#N/A</v>
      </c>
    </row>
    <row r="96" spans="2:15">
      <c r="B96" s="24"/>
      <c r="C96" s="23"/>
      <c r="D96" s="87"/>
      <c r="E96" s="24"/>
      <c r="F96" s="88"/>
      <c r="G96" s="24"/>
      <c r="H96" s="88"/>
      <c r="I96" s="24"/>
      <c r="J96" s="88"/>
      <c r="K96" s="24"/>
      <c r="L96" s="88"/>
      <c r="M96" s="28" t="e">
        <f t="shared" ca="1" si="4"/>
        <v>#N/A</v>
      </c>
      <c r="N96" s="48" t="e">
        <f ca="1">VLOOKUP($B96,Matrix!$H$13:$I$37,2,FALSE)&amp;"_"&amp;C96</f>
        <v>#N/A</v>
      </c>
      <c r="O96" s="93" t="e">
        <f t="shared" ca="1" si="3"/>
        <v>#N/A</v>
      </c>
    </row>
    <row r="97" spans="2:15">
      <c r="B97" s="24"/>
      <c r="C97" s="23"/>
      <c r="D97" s="87"/>
      <c r="E97" s="24"/>
      <c r="F97" s="88"/>
      <c r="G97" s="24"/>
      <c r="H97" s="88"/>
      <c r="I97" s="24"/>
      <c r="J97" s="88"/>
      <c r="K97" s="24"/>
      <c r="L97" s="88"/>
      <c r="M97" s="28" t="e">
        <f t="shared" ca="1" si="4"/>
        <v>#N/A</v>
      </c>
      <c r="N97" s="48" t="e">
        <f ca="1">VLOOKUP($B97,Matrix!$H$13:$I$37,2,FALSE)&amp;"_"&amp;C97</f>
        <v>#N/A</v>
      </c>
      <c r="O97" s="93" t="e">
        <f t="shared" ca="1" si="3"/>
        <v>#N/A</v>
      </c>
    </row>
    <row r="98" spans="2:15">
      <c r="B98" s="24"/>
      <c r="C98" s="23"/>
      <c r="D98" s="87"/>
      <c r="E98" s="24"/>
      <c r="F98" s="88"/>
      <c r="G98" s="24"/>
      <c r="H98" s="88"/>
      <c r="I98" s="24"/>
      <c r="J98" s="88"/>
      <c r="K98" s="24"/>
      <c r="L98" s="88"/>
      <c r="M98" s="28" t="e">
        <f t="shared" ca="1" si="4"/>
        <v>#N/A</v>
      </c>
      <c r="N98" s="48" t="e">
        <f ca="1">VLOOKUP($B98,Matrix!$H$13:$I$37,2,FALSE)&amp;"_"&amp;C98</f>
        <v>#N/A</v>
      </c>
      <c r="O98" s="93" t="e">
        <f t="shared" ca="1" si="3"/>
        <v>#N/A</v>
      </c>
    </row>
    <row r="99" spans="2:15">
      <c r="B99" s="24"/>
      <c r="C99" s="23"/>
      <c r="D99" s="87"/>
      <c r="E99" s="24"/>
      <c r="F99" s="88"/>
      <c r="G99" s="24"/>
      <c r="H99" s="88"/>
      <c r="I99" s="24"/>
      <c r="J99" s="88"/>
      <c r="K99" s="24"/>
      <c r="L99" s="88"/>
      <c r="M99" s="28" t="e">
        <f t="shared" ca="1" si="4"/>
        <v>#N/A</v>
      </c>
      <c r="N99" s="48" t="e">
        <f ca="1">VLOOKUP($B99,Matrix!$H$13:$I$37,2,FALSE)&amp;"_"&amp;C99</f>
        <v>#N/A</v>
      </c>
      <c r="O99" s="93" t="e">
        <f t="shared" ca="1" si="3"/>
        <v>#N/A</v>
      </c>
    </row>
    <row r="100" spans="2:15">
      <c r="B100" s="24"/>
      <c r="C100" s="23"/>
      <c r="D100" s="87"/>
      <c r="E100" s="24"/>
      <c r="F100" s="88"/>
      <c r="G100" s="24"/>
      <c r="H100" s="88"/>
      <c r="I100" s="24"/>
      <c r="J100" s="88"/>
      <c r="K100" s="24"/>
      <c r="L100" s="88"/>
      <c r="M100" s="28" t="e">
        <f t="shared" ca="1" si="4"/>
        <v>#N/A</v>
      </c>
      <c r="N100" s="48" t="e">
        <f ca="1">VLOOKUP($B100,Matrix!$H$13:$I$37,2,FALSE)&amp;"_"&amp;C100</f>
        <v>#N/A</v>
      </c>
      <c r="O100" s="93" t="e">
        <f ca="1">"#define "&amp;N100&amp;REPT(" ",48-M100)&amp;"("&amp;D100&amp;"U)"</f>
        <v>#N/A</v>
      </c>
    </row>
    <row r="101" spans="2:15">
      <c r="B101" s="24"/>
      <c r="C101" s="23"/>
      <c r="D101" s="87"/>
      <c r="E101" s="24"/>
      <c r="F101" s="88"/>
      <c r="G101" s="24"/>
      <c r="H101" s="88"/>
      <c r="I101" s="24"/>
      <c r="J101" s="88"/>
      <c r="K101" s="24"/>
      <c r="L101" s="88"/>
      <c r="M101" s="28" t="e">
        <f t="shared" ca="1" si="4"/>
        <v>#N/A</v>
      </c>
      <c r="N101" s="48" t="e">
        <f ca="1">VLOOKUP($B101,Matrix!$H$13:$I$37,2,FALSE)&amp;"_"&amp;C101</f>
        <v>#N/A</v>
      </c>
      <c r="O101" s="93" t="e">
        <f ca="1">"#define "&amp;N101&amp;REPT(" ",48-M101)&amp;"("&amp;D101&amp;"U)"</f>
        <v>#N/A</v>
      </c>
    </row>
    <row r="102" spans="2:15">
      <c r="B102" s="24"/>
      <c r="C102" s="23"/>
      <c r="D102" s="87"/>
      <c r="E102" s="24"/>
      <c r="F102" s="88"/>
      <c r="G102" s="24"/>
      <c r="H102" s="88"/>
      <c r="I102" s="24"/>
      <c r="J102" s="88"/>
      <c r="K102" s="24"/>
      <c r="L102" s="88"/>
      <c r="M102" s="28" t="e">
        <f t="shared" ca="1" si="4"/>
        <v>#N/A</v>
      </c>
      <c r="N102" s="48" t="e">
        <f ca="1">VLOOKUP($B102,Matrix!$H$13:$I$37,2,FALSE)&amp;"_"&amp;C102</f>
        <v>#N/A</v>
      </c>
      <c r="O102" s="93" t="e">
        <f ca="1">"#define "&amp;N102&amp;REPT(" ",48-M102)&amp;"("&amp;D102&amp;"U)"</f>
        <v>#N/A</v>
      </c>
    </row>
    <row r="103" spans="2:15" ht="14.25" thickBot="1">
      <c r="B103" s="34"/>
      <c r="C103" s="35"/>
      <c r="D103" s="89"/>
      <c r="E103" s="34"/>
      <c r="F103" s="90"/>
      <c r="G103" s="34"/>
      <c r="H103" s="90"/>
      <c r="I103" s="34"/>
      <c r="J103" s="90"/>
      <c r="K103" s="34"/>
      <c r="L103" s="90"/>
      <c r="M103" s="36" t="e">
        <f t="shared" ca="1" si="4"/>
        <v>#N/A</v>
      </c>
      <c r="N103" s="49" t="e">
        <f ca="1">VLOOKUP($B103,Matrix!$H$13:$I$37,2,FALSE)&amp;"_"&amp;C103</f>
        <v>#N/A</v>
      </c>
      <c r="O103" s="94" t="e">
        <f ca="1">"#define "&amp;N103&amp;REPT(" ",48-M103)&amp;"("&amp;D103&amp;"U)"</f>
        <v>#N/A</v>
      </c>
    </row>
  </sheetData>
  <sheetProtection sheet="1" objects="1" scenarios="1"/>
  <protectedRanges>
    <protectedRange sqref="B4:L103" name="範囲1"/>
  </protectedRanges>
  <phoneticPr fontId="2"/>
  <conditionalFormatting sqref="M4:M103">
    <cfRule type="cellIs" dxfId="52" priority="2" operator="greaterThan">
      <formula>32</formula>
    </cfRule>
  </conditionalFormatting>
  <conditionalFormatting sqref="M3">
    <cfRule type="cellIs" dxfId="5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tabColor rgb="FFCCECFF"/>
  </sheetPr>
  <dimension ref="A1:AW199"/>
  <sheetViews>
    <sheetView zoomScaleNormal="100"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5" t="s">
        <v>124</v>
      </c>
      <c r="C2" s="337" t="s">
        <v>85</v>
      </c>
      <c r="D2" s="39">
        <v>31</v>
      </c>
      <c r="E2" s="39">
        <v>30</v>
      </c>
      <c r="F2" s="39">
        <v>29</v>
      </c>
      <c r="G2" s="39">
        <v>28</v>
      </c>
      <c r="H2" s="39">
        <v>27</v>
      </c>
      <c r="I2" s="39">
        <v>26</v>
      </c>
      <c r="J2" s="39">
        <v>25</v>
      </c>
      <c r="K2" s="39">
        <v>24</v>
      </c>
      <c r="L2" s="39">
        <v>23</v>
      </c>
      <c r="M2" s="39">
        <v>22</v>
      </c>
      <c r="N2" s="39">
        <v>21</v>
      </c>
      <c r="O2" s="39">
        <v>20</v>
      </c>
      <c r="P2" s="39">
        <v>19</v>
      </c>
      <c r="Q2" s="39">
        <v>18</v>
      </c>
      <c r="R2" s="39">
        <v>17</v>
      </c>
      <c r="S2" s="39">
        <v>16</v>
      </c>
      <c r="T2" s="39">
        <v>15</v>
      </c>
      <c r="U2" s="39">
        <v>14</v>
      </c>
      <c r="V2" s="39">
        <v>13</v>
      </c>
      <c r="W2" s="39">
        <v>12</v>
      </c>
      <c r="X2" s="39">
        <v>11</v>
      </c>
      <c r="Y2" s="39">
        <v>10</v>
      </c>
      <c r="Z2" s="39">
        <v>9</v>
      </c>
      <c r="AA2" s="39">
        <v>8</v>
      </c>
      <c r="AB2" s="39">
        <v>7</v>
      </c>
      <c r="AC2" s="39">
        <v>6</v>
      </c>
      <c r="AD2" s="39">
        <v>5</v>
      </c>
      <c r="AE2" s="39">
        <v>4</v>
      </c>
      <c r="AF2" s="39">
        <v>3</v>
      </c>
      <c r="AG2" s="39">
        <v>2</v>
      </c>
      <c r="AH2" s="39">
        <v>1</v>
      </c>
      <c r="AI2" s="39">
        <v>0</v>
      </c>
      <c r="AJ2" s="339" t="s">
        <v>252</v>
      </c>
    </row>
    <row r="3" spans="1:49" ht="213" customHeight="1" thickBot="1">
      <c r="B3" s="177" t="str">
        <f>IF(OR(IF(COUNTIF(D6:AC69,"0")&lt;&gt;0,TRUE,FALSE),IF(COUNTIF(D6:AC69,"1")&lt;&gt;0,TRUE,FALSE)),"Search Table","Index Table")</f>
        <v>Search Table</v>
      </c>
      <c r="C3" s="338"/>
      <c r="D3" s="97" t="s">
        <v>62</v>
      </c>
      <c r="E3" s="97" t="s">
        <v>67</v>
      </c>
      <c r="F3" s="97" t="s">
        <v>50</v>
      </c>
      <c r="G3" s="97" t="s">
        <v>49</v>
      </c>
      <c r="H3" s="97" t="s">
        <v>122</v>
      </c>
      <c r="I3" s="97" t="s">
        <v>121</v>
      </c>
      <c r="J3" s="97" t="s">
        <v>194</v>
      </c>
      <c r="K3" s="97" t="s">
        <v>125</v>
      </c>
      <c r="L3" s="98" t="s">
        <v>67</v>
      </c>
      <c r="M3" s="98" t="s">
        <v>63</v>
      </c>
      <c r="N3" s="98" t="s">
        <v>63</v>
      </c>
      <c r="O3" s="98" t="s">
        <v>63</v>
      </c>
      <c r="P3" s="98" t="s">
        <v>63</v>
      </c>
      <c r="Q3" s="98" t="s">
        <v>63</v>
      </c>
      <c r="R3" s="98" t="s">
        <v>63</v>
      </c>
      <c r="S3" s="98" t="s">
        <v>63</v>
      </c>
      <c r="T3" s="98" t="s">
        <v>63</v>
      </c>
      <c r="U3" s="98" t="s">
        <v>63</v>
      </c>
      <c r="V3" s="98" t="s">
        <v>63</v>
      </c>
      <c r="W3" s="98" t="s">
        <v>63</v>
      </c>
      <c r="X3" s="98" t="s">
        <v>63</v>
      </c>
      <c r="Y3" s="98" t="s">
        <v>63</v>
      </c>
      <c r="Z3" s="98" t="s">
        <v>63</v>
      </c>
      <c r="AA3" s="98" t="s">
        <v>63</v>
      </c>
      <c r="AB3" s="98" t="s">
        <v>156</v>
      </c>
      <c r="AC3" s="98" t="s">
        <v>67</v>
      </c>
      <c r="AD3" s="176" t="s">
        <v>588</v>
      </c>
      <c r="AE3" s="176" t="s">
        <v>331</v>
      </c>
      <c r="AF3" s="176" t="s">
        <v>332</v>
      </c>
      <c r="AG3" s="176" t="s">
        <v>360</v>
      </c>
      <c r="AH3" s="146" t="s">
        <v>246</v>
      </c>
      <c r="AI3" s="146" t="s">
        <v>247</v>
      </c>
      <c r="AJ3" s="340"/>
      <c r="AR3" s="64" t="s">
        <v>97</v>
      </c>
    </row>
    <row r="4" spans="1:49" ht="14.25" thickBot="1">
      <c r="A4" s="341" t="s">
        <v>64</v>
      </c>
      <c r="B4" s="3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00"/>
      <c r="AR4" s="52" t="s">
        <v>83</v>
      </c>
      <c r="AS4" s="53"/>
      <c r="AT4" s="53"/>
      <c r="AU4" s="53"/>
      <c r="AV4" s="53"/>
      <c r="AW4" s="54"/>
    </row>
    <row r="5" spans="1:49" ht="14.25" thickBot="1">
      <c r="A5" s="343"/>
      <c r="B5" s="344"/>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01"/>
      <c r="AR5" s="55" t="str">
        <f ca="1">"static const U4  "&amp;AW8&amp;"["&amp;AW10&amp;"]"&amp;" = {"</f>
        <v>static const U4  u4_sp_ALERT_B_TDOOR_CRIT[ALERT_B_TDOOR_NUM_DST] = {</v>
      </c>
      <c r="AS5" s="55" t="str">
        <f ca="1">"static const U4  "&amp;$AW$9&amp;"["&amp;$AW$10&amp;"] = {"</f>
        <v>static const U4  u4_sp_ALERT_B_TDOOR_MASK[ALERT_B_TDOOR_NUM_DST] = {</v>
      </c>
      <c r="AT5" s="55" t="str">
        <f ca="1">"static const U1  "&amp;$AW$11&amp;"["&amp;$AW$10&amp;"] = {"</f>
        <v>static const U1  u1_sp_ALERT_B_TDOOR_DST[ALERT_B_TDOOR_NUM_DST] = {</v>
      </c>
      <c r="AU5" s="55" t="str">
        <f ca="1">"const ST_ALERT_MTRX "&amp;$AW$12&amp;" = {"</f>
        <v>const ST_ALERT_MTRX st_gp_ALERT_B_TDOOR_MTRX[1] = {</v>
      </c>
      <c r="AV5" s="45" t="str">
        <f ca="1">"#define "&amp;AW10&amp;REPT(" ",41-LEN(AW10))&amp;"("&amp;AW13&amp;"U)"</f>
        <v>#define ALERT_B_TDOOR_NUM_DST                    (15U)</v>
      </c>
      <c r="AW5" s="46"/>
    </row>
    <row r="6" spans="1:49">
      <c r="B6" s="103" t="str">
        <f ca="1">"Table "&amp;$AW$6</f>
        <v>Table B_TDOOR</v>
      </c>
      <c r="C6" s="33">
        <f>ROW()-ROW($C$6)</f>
        <v>0</v>
      </c>
      <c r="D6" s="99" t="s">
        <v>68</v>
      </c>
      <c r="E6" s="99" t="s">
        <v>68</v>
      </c>
      <c r="F6" s="99" t="s">
        <v>68</v>
      </c>
      <c r="G6" s="99">
        <v>0</v>
      </c>
      <c r="H6" s="99">
        <v>1</v>
      </c>
      <c r="I6" s="99" t="s">
        <v>68</v>
      </c>
      <c r="J6" s="99" t="s">
        <v>68</v>
      </c>
      <c r="K6" s="99" t="s">
        <v>68</v>
      </c>
      <c r="L6" s="99" t="s">
        <v>68</v>
      </c>
      <c r="M6" s="99" t="s">
        <v>68</v>
      </c>
      <c r="N6" s="99" t="s">
        <v>68</v>
      </c>
      <c r="O6" s="99" t="s">
        <v>68</v>
      </c>
      <c r="P6" s="99" t="s">
        <v>68</v>
      </c>
      <c r="Q6" s="99" t="s">
        <v>68</v>
      </c>
      <c r="R6" s="99" t="s">
        <v>68</v>
      </c>
      <c r="S6" s="99" t="s">
        <v>68</v>
      </c>
      <c r="T6" s="99" t="s">
        <v>68</v>
      </c>
      <c r="U6" s="99" t="s">
        <v>68</v>
      </c>
      <c r="V6" s="99" t="s">
        <v>68</v>
      </c>
      <c r="W6" s="99" t="s">
        <v>68</v>
      </c>
      <c r="X6" s="99" t="s">
        <v>68</v>
      </c>
      <c r="Y6" s="99" t="s">
        <v>68</v>
      </c>
      <c r="Z6" s="99" t="s">
        <v>68</v>
      </c>
      <c r="AA6" s="99" t="s">
        <v>68</v>
      </c>
      <c r="AB6" s="99" t="s">
        <v>68</v>
      </c>
      <c r="AC6" s="99" t="s">
        <v>361</v>
      </c>
      <c r="AD6" s="99">
        <v>0</v>
      </c>
      <c r="AE6" s="99">
        <v>0</v>
      </c>
      <c r="AF6" s="99">
        <v>0</v>
      </c>
      <c r="AG6" s="99">
        <v>1</v>
      </c>
      <c r="AH6" s="99" t="s">
        <v>361</v>
      </c>
      <c r="AI6" s="99">
        <v>0</v>
      </c>
      <c r="AJ6" s="32" t="s">
        <v>207</v>
      </c>
      <c r="AL6" t="str">
        <f t="shared" ref="AL6:AL69" ca="1" si="0">IF($AJ6="UNKNOWN","    (U1)ALERT_REQ_UNKNOWN","    (U1)"&amp;"ALERT_REQ_"&amp;$AW$17&amp;"_"&amp;IF($AW$6&lt;&gt;$AW$17,$AW$6&amp;"_","")&amp;AJ6)</f>
        <v xml:space="preserve">    (U1)ALERT_REQ_B_TDOOR_IG_OFF</v>
      </c>
      <c r="AR6" s="43" t="str">
        <f>IF(AQ71&lt;&gt;"",AQ71,IF(AQ70&lt;&gt;"","};",""))</f>
        <v xml:space="preserve">    (U4)0x08000004U,                                                           /* 00 IG_OFF                                          */</v>
      </c>
      <c r="AS6" s="43" t="str">
        <f>IF(AQ136&lt;&gt;"",AQ136,IF(AQ135&lt;&gt;"","};",""))</f>
        <v xml:space="preserve">    (U4)0x1800003DU,                                                           /* 00 IG_OFF                                          */</v>
      </c>
      <c r="AT6" s="43" t="str">
        <f t="shared" ref="AT6:AT69" ca="1" si="1">IF(AJ6&lt;&gt;"",AL6&amp;IF(AJ7&lt;&gt;"",","," ")&amp;REPT(" ",78-LEN(AL6))&amp;"/* "&amp;IF(C6&lt;10,"0"&amp;C6,C6)&amp;" "&amp;AJ6&amp;REPT(" ",48-LEN(AJ6))&amp;"*/",IF(AJ5&lt;&gt;"","};",""))</f>
        <v xml:space="preserve">    (U1)ALERT_REQ_B_TDOOR_IG_OFF,                                              /* 00 IG_OFF                                          */</v>
      </c>
      <c r="AU6" s="43" t="s">
        <v>69</v>
      </c>
      <c r="AV6" s="29" t="s">
        <v>71</v>
      </c>
      <c r="AW6" s="47" t="str">
        <f ca="1">UPPER(RIGHT(CELL("filename",A1),LEN(CELL("filename",A1))-FIND("]",CELL("filename",A1))))</f>
        <v>B_TDOOR</v>
      </c>
    </row>
    <row r="7" spans="1:49">
      <c r="B7" s="103"/>
      <c r="C7" s="28">
        <f t="shared" ref="C7:C69" si="2">ROW()-ROW($C$6)</f>
        <v>1</v>
      </c>
      <c r="D7" s="42" t="s">
        <v>68</v>
      </c>
      <c r="E7" s="42" t="s">
        <v>68</v>
      </c>
      <c r="F7" s="42" t="s">
        <v>68</v>
      </c>
      <c r="G7" s="42">
        <v>0</v>
      </c>
      <c r="H7" s="42">
        <v>1</v>
      </c>
      <c r="I7" s="42" t="s">
        <v>361</v>
      </c>
      <c r="J7" s="99" t="s">
        <v>361</v>
      </c>
      <c r="K7" s="99" t="s">
        <v>361</v>
      </c>
      <c r="L7" s="42" t="s">
        <v>361</v>
      </c>
      <c r="M7" s="42" t="s">
        <v>361</v>
      </c>
      <c r="N7" s="42" t="s">
        <v>361</v>
      </c>
      <c r="O7" s="42" t="s">
        <v>361</v>
      </c>
      <c r="P7" s="42" t="s">
        <v>361</v>
      </c>
      <c r="Q7" s="42" t="s">
        <v>361</v>
      </c>
      <c r="R7" s="42" t="s">
        <v>361</v>
      </c>
      <c r="S7" s="42" t="s">
        <v>361</v>
      </c>
      <c r="T7" s="42" t="s">
        <v>361</v>
      </c>
      <c r="U7" s="42" t="s">
        <v>361</v>
      </c>
      <c r="V7" s="42" t="s">
        <v>361</v>
      </c>
      <c r="W7" s="42" t="s">
        <v>361</v>
      </c>
      <c r="X7" s="42" t="s">
        <v>361</v>
      </c>
      <c r="Y7" s="42" t="s">
        <v>361</v>
      </c>
      <c r="Z7" s="42" t="s">
        <v>361</v>
      </c>
      <c r="AA7" s="42" t="s">
        <v>361</v>
      </c>
      <c r="AB7" s="42" t="s">
        <v>361</v>
      </c>
      <c r="AC7" s="42" t="s">
        <v>361</v>
      </c>
      <c r="AD7" s="99">
        <v>0</v>
      </c>
      <c r="AE7" s="42">
        <v>1</v>
      </c>
      <c r="AF7" s="42">
        <v>0</v>
      </c>
      <c r="AG7" s="42" t="s">
        <v>361</v>
      </c>
      <c r="AH7" s="42" t="s">
        <v>361</v>
      </c>
      <c r="AI7" s="42">
        <v>0</v>
      </c>
      <c r="AJ7" s="32" t="s">
        <v>207</v>
      </c>
      <c r="AL7" t="str">
        <f t="shared" ca="1" si="0"/>
        <v xml:space="preserve">    (U1)ALERT_REQ_B_TDOOR_IG_OFF</v>
      </c>
      <c r="AR7" s="43" t="str">
        <f t="shared" ref="AR7:AR70" si="3">IF(AQ72&lt;&gt;"",AQ72,IF(AQ71&lt;&gt;"","};",""))</f>
        <v xml:space="preserve">    (U4)0x08000010U,                                                           /* 01 IG_OFF                                          */</v>
      </c>
      <c r="AS7" s="43" t="str">
        <f t="shared" ref="AS7:AS70" si="4">IF(AQ137&lt;&gt;"",AQ137,IF(AQ136&lt;&gt;"","};",""))</f>
        <v xml:space="preserve">    (U4)0x18000039U,                                                           /* 01 IG_OFF                                          */</v>
      </c>
      <c r="AT7" s="43" t="str">
        <f t="shared" ca="1" si="1"/>
        <v xml:space="preserve">    (U1)ALERT_REQ_B_TDOOR_IG_OFF,                                              /* 01 IG_OFF                                          */</v>
      </c>
      <c r="AU7" s="43" t="str">
        <f ca="1">"        &amp;"&amp;$AW$14&amp;","&amp;REPT(" ",69-LEN($AW$14))&amp;"/* fp_u4_SRC_CHK                                      */"</f>
        <v xml:space="preserve">        &amp;u4_s_AlertB_tdoorSrcchk,                                              /* fp_u4_SRC_CHK                                      */</v>
      </c>
      <c r="AV7" s="30" t="s">
        <v>72</v>
      </c>
      <c r="AW7" s="102">
        <f>IF(B3="Search Table",1,0)</f>
        <v>1</v>
      </c>
    </row>
    <row r="8" spans="1:49">
      <c r="B8" s="103"/>
      <c r="C8" s="28">
        <f t="shared" si="2"/>
        <v>2</v>
      </c>
      <c r="D8" s="42" t="s">
        <v>68</v>
      </c>
      <c r="E8" s="42" t="s">
        <v>68</v>
      </c>
      <c r="F8" s="42" t="s">
        <v>68</v>
      </c>
      <c r="G8" s="42">
        <v>0</v>
      </c>
      <c r="H8" s="42">
        <v>1</v>
      </c>
      <c r="I8" s="42" t="s">
        <v>361</v>
      </c>
      <c r="J8" s="42" t="s">
        <v>361</v>
      </c>
      <c r="K8" s="42" t="s">
        <v>361</v>
      </c>
      <c r="L8" s="42" t="s">
        <v>361</v>
      </c>
      <c r="M8" s="42" t="s">
        <v>361</v>
      </c>
      <c r="N8" s="42" t="s">
        <v>361</v>
      </c>
      <c r="O8" s="42" t="s">
        <v>361</v>
      </c>
      <c r="P8" s="42" t="s">
        <v>361</v>
      </c>
      <c r="Q8" s="42" t="s">
        <v>361</v>
      </c>
      <c r="R8" s="42" t="s">
        <v>361</v>
      </c>
      <c r="S8" s="42" t="s">
        <v>361</v>
      </c>
      <c r="T8" s="42" t="s">
        <v>361</v>
      </c>
      <c r="U8" s="42" t="s">
        <v>361</v>
      </c>
      <c r="V8" s="42" t="s">
        <v>361</v>
      </c>
      <c r="W8" s="42" t="s">
        <v>361</v>
      </c>
      <c r="X8" s="42" t="s">
        <v>361</v>
      </c>
      <c r="Y8" s="42" t="s">
        <v>361</v>
      </c>
      <c r="Z8" s="42" t="s">
        <v>361</v>
      </c>
      <c r="AA8" s="42" t="s">
        <v>361</v>
      </c>
      <c r="AB8" s="42" t="s">
        <v>361</v>
      </c>
      <c r="AC8" s="42" t="s">
        <v>361</v>
      </c>
      <c r="AD8" s="99">
        <v>0</v>
      </c>
      <c r="AE8" s="42" t="s">
        <v>361</v>
      </c>
      <c r="AF8" s="42">
        <v>1</v>
      </c>
      <c r="AG8" s="42" t="s">
        <v>361</v>
      </c>
      <c r="AH8" s="42" t="s">
        <v>361</v>
      </c>
      <c r="AI8" s="42">
        <v>0</v>
      </c>
      <c r="AJ8" s="32" t="s">
        <v>249</v>
      </c>
      <c r="AL8" t="str">
        <f t="shared" ca="1" si="0"/>
        <v xml:space="preserve">    (U1)ALERT_REQ_B_TDOOR_IG_OFF_ON</v>
      </c>
      <c r="AR8" s="43" t="str">
        <f t="shared" si="3"/>
        <v xml:space="preserve">    (U4)0x08000008U,                                                           /* 02 IG_OFF_ON                                       */</v>
      </c>
      <c r="AS8" s="43" t="str">
        <f t="shared" si="4"/>
        <v xml:space="preserve">    (U4)0x18000029U,                                                           /* 02 IG_OFF_ON                                       */</v>
      </c>
      <c r="AT8" s="43" t="str">
        <f ca="1">IF(AJ8&lt;&gt;"",AL8&amp;IF(AJ9&lt;&gt;"",","," ")&amp;REPT(" ",78-LEN(AL8))&amp;"/* "&amp;IF(C8&lt;10,"0"&amp;C8,C8)&amp;" "&amp;AJ8&amp;REPT(" ",48-LEN(AJ8))&amp;"*/",IF(AJ7&lt;&gt;"","};",""))</f>
        <v xml:space="preserve">    (U1)ALERT_REQ_B_TDOOR_IG_OFF_ON,                                           /* 02 IG_OFF_ON                                       */</v>
      </c>
      <c r="AU8" s="43" t="str">
        <f ca="1">IF($AW$15&lt;&gt;"NULL","        &amp;"&amp;$AW$15&amp;","&amp;REPT(" ",69-LEN($AW$15))&amp;"/* fp_vd_XDST                                         */","        vdp_PTR_NA,                                                            /* fp_vd_XDST                                         */")</f>
        <v xml:space="preserve">        vdp_PTR_NA,                                                            /* fp_vd_XDST                                         */</v>
      </c>
      <c r="AV8" s="30" t="s">
        <v>73</v>
      </c>
      <c r="AW8" s="48" t="str">
        <f ca="1">"u4_sp_ALERT_"&amp;IF(AW6&lt;&gt;AW17,$AW$17&amp;"_"&amp;$AW$6,AW17)&amp;"_CRIT"</f>
        <v>u4_sp_ALERT_B_TDOOR_CRIT</v>
      </c>
    </row>
    <row r="9" spans="1:49">
      <c r="B9" s="103"/>
      <c r="C9" s="28">
        <f t="shared" si="2"/>
        <v>3</v>
      </c>
      <c r="D9" s="42" t="s">
        <v>68</v>
      </c>
      <c r="E9" s="42" t="s">
        <v>68</v>
      </c>
      <c r="F9" s="42" t="s">
        <v>68</v>
      </c>
      <c r="G9" s="42">
        <v>0</v>
      </c>
      <c r="H9" s="42">
        <v>1</v>
      </c>
      <c r="I9" s="42" t="s">
        <v>361</v>
      </c>
      <c r="J9" s="42" t="s">
        <v>361</v>
      </c>
      <c r="K9" s="42" t="s">
        <v>361</v>
      </c>
      <c r="L9" s="42" t="s">
        <v>361</v>
      </c>
      <c r="M9" s="42" t="s">
        <v>361</v>
      </c>
      <c r="N9" s="42" t="s">
        <v>361</v>
      </c>
      <c r="O9" s="42" t="s">
        <v>361</v>
      </c>
      <c r="P9" s="42" t="s">
        <v>361</v>
      </c>
      <c r="Q9" s="42" t="s">
        <v>361</v>
      </c>
      <c r="R9" s="42" t="s">
        <v>361</v>
      </c>
      <c r="S9" s="42" t="s">
        <v>361</v>
      </c>
      <c r="T9" s="42" t="s">
        <v>361</v>
      </c>
      <c r="U9" s="42" t="s">
        <v>361</v>
      </c>
      <c r="V9" s="42" t="s">
        <v>361</v>
      </c>
      <c r="W9" s="42" t="s">
        <v>361</v>
      </c>
      <c r="X9" s="42" t="s">
        <v>361</v>
      </c>
      <c r="Y9" s="42" t="s">
        <v>361</v>
      </c>
      <c r="Z9" s="42" t="s">
        <v>361</v>
      </c>
      <c r="AA9" s="42" t="s">
        <v>361</v>
      </c>
      <c r="AB9" s="42" t="s">
        <v>361</v>
      </c>
      <c r="AC9" s="42" t="s">
        <v>361</v>
      </c>
      <c r="AD9" s="99">
        <v>0</v>
      </c>
      <c r="AE9" s="42" t="s">
        <v>361</v>
      </c>
      <c r="AF9" s="42">
        <v>1</v>
      </c>
      <c r="AG9" s="42" t="s">
        <v>361</v>
      </c>
      <c r="AH9" s="42" t="s">
        <v>361</v>
      </c>
      <c r="AI9" s="42">
        <v>1</v>
      </c>
      <c r="AJ9" s="32" t="s">
        <v>248</v>
      </c>
      <c r="AL9" t="str">
        <f t="shared" ca="1" si="0"/>
        <v xml:space="preserve">    (U1)ALERT_REQ_B_TDOOR_ON</v>
      </c>
      <c r="AR9" s="43" t="str">
        <f t="shared" si="3"/>
        <v xml:space="preserve">    (U4)0x08000009U,                                                           /* 03 ON                                              */</v>
      </c>
      <c r="AS9" s="43" t="str">
        <f t="shared" si="4"/>
        <v xml:space="preserve">    (U4)0x18000029U,                                                           /* 03 ON                                              */</v>
      </c>
      <c r="AT9" s="43" t="str">
        <f t="shared" ca="1" si="1"/>
        <v xml:space="preserve">    (U1)ALERT_REQ_B_TDOOR_ON,                                                  /* 03 ON                                              */</v>
      </c>
      <c r="AU9" s="43"/>
      <c r="AV9" s="30" t="s">
        <v>74</v>
      </c>
      <c r="AW9" s="48" t="str">
        <f ca="1">"u4_sp_ALERT_"&amp;IF(AW6&lt;&gt;AW17,$AW$17&amp;"_"&amp;$AW$6,AW17)&amp;"_MASK"</f>
        <v>u4_sp_ALERT_B_TDOOR_MASK</v>
      </c>
    </row>
    <row r="10" spans="1:49">
      <c r="B10" s="103"/>
      <c r="C10" s="28">
        <f t="shared" si="2"/>
        <v>4</v>
      </c>
      <c r="D10" s="42" t="s">
        <v>68</v>
      </c>
      <c r="E10" s="42" t="s">
        <v>68</v>
      </c>
      <c r="F10" s="42" t="s">
        <v>68</v>
      </c>
      <c r="G10" s="42">
        <v>0</v>
      </c>
      <c r="H10" s="42">
        <v>1</v>
      </c>
      <c r="I10" s="42" t="s">
        <v>361</v>
      </c>
      <c r="J10" s="42" t="s">
        <v>361</v>
      </c>
      <c r="K10" s="42" t="s">
        <v>361</v>
      </c>
      <c r="L10" s="42" t="s">
        <v>361</v>
      </c>
      <c r="M10" s="42" t="s">
        <v>361</v>
      </c>
      <c r="N10" s="42" t="s">
        <v>361</v>
      </c>
      <c r="O10" s="42" t="s">
        <v>361</v>
      </c>
      <c r="P10" s="42" t="s">
        <v>361</v>
      </c>
      <c r="Q10" s="42" t="s">
        <v>361</v>
      </c>
      <c r="R10" s="42" t="s">
        <v>361</v>
      </c>
      <c r="S10" s="42" t="s">
        <v>361</v>
      </c>
      <c r="T10" s="42" t="s">
        <v>361</v>
      </c>
      <c r="U10" s="42" t="s">
        <v>361</v>
      </c>
      <c r="V10" s="42" t="s">
        <v>361</v>
      </c>
      <c r="W10" s="42" t="s">
        <v>361</v>
      </c>
      <c r="X10" s="42" t="s">
        <v>361</v>
      </c>
      <c r="Y10" s="42" t="s">
        <v>361</v>
      </c>
      <c r="Z10" s="42" t="s">
        <v>361</v>
      </c>
      <c r="AA10" s="42" t="s">
        <v>361</v>
      </c>
      <c r="AB10" s="42" t="s">
        <v>361</v>
      </c>
      <c r="AC10" s="42" t="s">
        <v>361</v>
      </c>
      <c r="AD10" s="42">
        <v>1</v>
      </c>
      <c r="AE10" s="42" t="s">
        <v>361</v>
      </c>
      <c r="AF10" s="42">
        <v>0</v>
      </c>
      <c r="AG10" s="42" t="s">
        <v>361</v>
      </c>
      <c r="AH10" s="42" t="s">
        <v>361</v>
      </c>
      <c r="AI10" s="42">
        <v>0</v>
      </c>
      <c r="AJ10" s="32" t="s">
        <v>207</v>
      </c>
      <c r="AL10" t="str">
        <f t="shared" ca="1" si="0"/>
        <v xml:space="preserve">    (U1)ALERT_REQ_B_TDOOR_IG_OFF</v>
      </c>
      <c r="AR10" s="43" t="str">
        <f t="shared" si="3"/>
        <v xml:space="preserve">    (U4)0x08000020U,                                                           /* 04 IG_OFF                                          */</v>
      </c>
      <c r="AS10" s="43" t="str">
        <f t="shared" si="4"/>
        <v xml:space="preserve">    (U4)0x18000029U,                                                           /* 04 IG_OFF                                          */</v>
      </c>
      <c r="AT10" s="43" t="str">
        <f t="shared" ca="1" si="1"/>
        <v xml:space="preserve">    (U1)ALERT_REQ_B_TDOOR_IG_OFF,                                              /* 04 IG_OFF                                          */</v>
      </c>
      <c r="AU10" s="43" t="str">
        <f ca="1">IF($AW$7=1,"        &amp;"&amp;$AW$9&amp;"[0],"&amp;REPT(" ",66-LEN($AW$9))&amp;"/* u4p_MASK                                           */","        (const U4 *)vdp_PTR_NA,                                                /* u4p_MASK                                           */")</f>
        <v xml:space="preserve">        &amp;u4_sp_ALERT_B_TDOOR_MASK[0],                                          /* u4p_MASK                                           */</v>
      </c>
      <c r="AV10" s="30" t="s">
        <v>75</v>
      </c>
      <c r="AW10" s="48" t="str">
        <f ca="1">"ALERT_"&amp;IF(AW6&lt;&gt;AW17,$AW$17&amp;"_"&amp;$AW$6,AW17)&amp;"_NUM_DST"</f>
        <v>ALERT_B_TDOOR_NUM_DST</v>
      </c>
    </row>
    <row r="11" spans="1:49">
      <c r="B11" s="103"/>
      <c r="C11" s="28">
        <f t="shared" si="2"/>
        <v>5</v>
      </c>
      <c r="D11" s="42" t="s">
        <v>68</v>
      </c>
      <c r="E11" s="42" t="s">
        <v>68</v>
      </c>
      <c r="F11" s="42" t="s">
        <v>68</v>
      </c>
      <c r="G11" s="42">
        <v>0</v>
      </c>
      <c r="H11" s="42">
        <v>1</v>
      </c>
      <c r="I11" s="42" t="s">
        <v>361</v>
      </c>
      <c r="J11" s="42" t="s">
        <v>361</v>
      </c>
      <c r="K11" s="42" t="s">
        <v>361</v>
      </c>
      <c r="L11" s="42" t="s">
        <v>361</v>
      </c>
      <c r="M11" s="42" t="s">
        <v>361</v>
      </c>
      <c r="N11" s="42" t="s">
        <v>361</v>
      </c>
      <c r="O11" s="42" t="s">
        <v>361</v>
      </c>
      <c r="P11" s="42" t="s">
        <v>361</v>
      </c>
      <c r="Q11" s="42" t="s">
        <v>361</v>
      </c>
      <c r="R11" s="42" t="s">
        <v>361</v>
      </c>
      <c r="S11" s="42" t="s">
        <v>361</v>
      </c>
      <c r="T11" s="42" t="s">
        <v>361</v>
      </c>
      <c r="U11" s="42" t="s">
        <v>361</v>
      </c>
      <c r="V11" s="42" t="s">
        <v>361</v>
      </c>
      <c r="W11" s="42" t="s">
        <v>361</v>
      </c>
      <c r="X11" s="42" t="s">
        <v>361</v>
      </c>
      <c r="Y11" s="42" t="s">
        <v>361</v>
      </c>
      <c r="Z11" s="42" t="s">
        <v>361</v>
      </c>
      <c r="AA11" s="42" t="s">
        <v>361</v>
      </c>
      <c r="AB11" s="42" t="s">
        <v>361</v>
      </c>
      <c r="AC11" s="42" t="s">
        <v>361</v>
      </c>
      <c r="AD11" s="99">
        <v>1</v>
      </c>
      <c r="AE11" s="42" t="s">
        <v>361</v>
      </c>
      <c r="AF11" s="42">
        <v>1</v>
      </c>
      <c r="AG11" s="42" t="s">
        <v>361</v>
      </c>
      <c r="AH11" s="42" t="s">
        <v>361</v>
      </c>
      <c r="AI11" s="42">
        <v>0</v>
      </c>
      <c r="AJ11" s="32" t="s">
        <v>249</v>
      </c>
      <c r="AL11" t="str">
        <f t="shared" ca="1" si="0"/>
        <v xml:space="preserve">    (U1)ALERT_REQ_B_TDOOR_IG_OFF_ON</v>
      </c>
      <c r="AR11" s="43" t="str">
        <f t="shared" si="3"/>
        <v xml:space="preserve">    (U4)0x08000028U,                                                           /* 05 IG_OFF_ON                                       */</v>
      </c>
      <c r="AS11" s="43" t="str">
        <f t="shared" si="4"/>
        <v xml:space="preserve">    (U4)0x18000029U,                                                           /* 05 IG_OFF_ON                                       */</v>
      </c>
      <c r="AT11" s="43" t="str">
        <f t="shared" ca="1" si="1"/>
        <v xml:space="preserve">    (U1)ALERT_REQ_B_TDOOR_IG_OFF_ON,                                           /* 05 IG_OFF_ON                                       */</v>
      </c>
      <c r="AU11" s="43" t="str">
        <f ca="1">IF($AW$7=1,"        &amp;"&amp;$AW$8&amp;"[0],"&amp;REPT(" ",66-LEN($AW$8))&amp;"/* u4p_CRIT                                           */","        (const U4 *)vdp_PTR_NA,                                                /* u4p_CRIT                                           */")</f>
        <v xml:space="preserve">        &amp;u4_sp_ALERT_B_TDOOR_CRIT[0],                                          /* u4p_CRIT                                           */</v>
      </c>
      <c r="AV11" s="30" t="s">
        <v>76</v>
      </c>
      <c r="AW11" s="48" t="str">
        <f ca="1">"u1_sp_ALERT_"&amp;IF(AW6&lt;&gt;AW17,$AW$17&amp;"_"&amp;$AW$6,AW17)&amp;"_DST"</f>
        <v>u1_sp_ALERT_B_TDOOR_DST</v>
      </c>
    </row>
    <row r="12" spans="1:49">
      <c r="B12" s="103"/>
      <c r="C12" s="28">
        <f t="shared" si="2"/>
        <v>6</v>
      </c>
      <c r="D12" s="42" t="s">
        <v>68</v>
      </c>
      <c r="E12" s="42" t="s">
        <v>68</v>
      </c>
      <c r="F12" s="42" t="s">
        <v>68</v>
      </c>
      <c r="G12" s="42">
        <v>0</v>
      </c>
      <c r="H12" s="42">
        <v>1</v>
      </c>
      <c r="I12" s="42" t="s">
        <v>361</v>
      </c>
      <c r="J12" s="42" t="s">
        <v>361</v>
      </c>
      <c r="K12" s="42" t="s">
        <v>361</v>
      </c>
      <c r="L12" s="42" t="s">
        <v>361</v>
      </c>
      <c r="M12" s="42" t="s">
        <v>361</v>
      </c>
      <c r="N12" s="42" t="s">
        <v>361</v>
      </c>
      <c r="O12" s="42" t="s">
        <v>361</v>
      </c>
      <c r="P12" s="42" t="s">
        <v>361</v>
      </c>
      <c r="Q12" s="42" t="s">
        <v>361</v>
      </c>
      <c r="R12" s="42" t="s">
        <v>361</v>
      </c>
      <c r="S12" s="42" t="s">
        <v>361</v>
      </c>
      <c r="T12" s="42" t="s">
        <v>361</v>
      </c>
      <c r="U12" s="42" t="s">
        <v>361</v>
      </c>
      <c r="V12" s="42" t="s">
        <v>361</v>
      </c>
      <c r="W12" s="42" t="s">
        <v>361</v>
      </c>
      <c r="X12" s="42" t="s">
        <v>361</v>
      </c>
      <c r="Y12" s="42" t="s">
        <v>361</v>
      </c>
      <c r="Z12" s="42" t="s">
        <v>361</v>
      </c>
      <c r="AA12" s="42" t="s">
        <v>361</v>
      </c>
      <c r="AB12" s="42" t="s">
        <v>361</v>
      </c>
      <c r="AC12" s="42" t="s">
        <v>361</v>
      </c>
      <c r="AD12" s="99">
        <v>1</v>
      </c>
      <c r="AE12" s="42" t="s">
        <v>361</v>
      </c>
      <c r="AF12" s="42">
        <v>1</v>
      </c>
      <c r="AG12" s="42" t="s">
        <v>361</v>
      </c>
      <c r="AH12" s="42" t="s">
        <v>361</v>
      </c>
      <c r="AI12" s="42">
        <v>1</v>
      </c>
      <c r="AJ12" s="32" t="s">
        <v>248</v>
      </c>
      <c r="AL12" t="str">
        <f t="shared" ca="1" si="0"/>
        <v xml:space="preserve">    (U1)ALERT_REQ_B_TDOOR_ON</v>
      </c>
      <c r="AR12" s="43" t="str">
        <f t="shared" si="3"/>
        <v xml:space="preserve">    (U4)0x08000029U,                                                           /* 06 ON                                              */</v>
      </c>
      <c r="AS12" s="43" t="str">
        <f t="shared" si="4"/>
        <v xml:space="preserve">    (U4)0x18000029U,                                                           /* 06 ON                                              */</v>
      </c>
      <c r="AT12" s="43" t="str">
        <f t="shared" ca="1" si="1"/>
        <v xml:space="preserve">    (U1)ALERT_REQ_B_TDOOR_ON,                                                  /* 06 ON                                              */</v>
      </c>
      <c r="AU12" s="43"/>
      <c r="AV12" s="30" t="s">
        <v>89</v>
      </c>
      <c r="AW12" s="48" t="str">
        <f ca="1">Matrix!D8&amp;"["&amp;Matrix!D7&amp;"]"</f>
        <v>st_gp_ALERT_B_TDOOR_MTRX[1]</v>
      </c>
    </row>
    <row r="13" spans="1:49">
      <c r="B13" s="103"/>
      <c r="C13" s="28">
        <f t="shared" si="2"/>
        <v>7</v>
      </c>
      <c r="D13" s="42" t="s">
        <v>68</v>
      </c>
      <c r="E13" s="42" t="s">
        <v>68</v>
      </c>
      <c r="F13" s="42" t="s">
        <v>68</v>
      </c>
      <c r="G13" s="42">
        <v>1</v>
      </c>
      <c r="H13" s="42" t="s">
        <v>361</v>
      </c>
      <c r="I13" s="42" t="s">
        <v>361</v>
      </c>
      <c r="J13" s="42" t="s">
        <v>361</v>
      </c>
      <c r="K13" s="42" t="s">
        <v>361</v>
      </c>
      <c r="L13" s="42" t="s">
        <v>361</v>
      </c>
      <c r="M13" s="42" t="s">
        <v>361</v>
      </c>
      <c r="N13" s="42" t="s">
        <v>361</v>
      </c>
      <c r="O13" s="42" t="s">
        <v>361</v>
      </c>
      <c r="P13" s="42" t="s">
        <v>361</v>
      </c>
      <c r="Q13" s="42" t="s">
        <v>361</v>
      </c>
      <c r="R13" s="42" t="s">
        <v>361</v>
      </c>
      <c r="S13" s="42" t="s">
        <v>361</v>
      </c>
      <c r="T13" s="42" t="s">
        <v>361</v>
      </c>
      <c r="U13" s="42" t="s">
        <v>361</v>
      </c>
      <c r="V13" s="42" t="s">
        <v>361</v>
      </c>
      <c r="W13" s="42" t="s">
        <v>361</v>
      </c>
      <c r="X13" s="42" t="s">
        <v>361</v>
      </c>
      <c r="Y13" s="42" t="s">
        <v>361</v>
      </c>
      <c r="Z13" s="42" t="s">
        <v>361</v>
      </c>
      <c r="AA13" s="42" t="s">
        <v>361</v>
      </c>
      <c r="AB13" s="42" t="s">
        <v>361</v>
      </c>
      <c r="AC13" s="42" t="s">
        <v>361</v>
      </c>
      <c r="AD13" s="42">
        <v>0</v>
      </c>
      <c r="AE13" s="42">
        <v>0</v>
      </c>
      <c r="AF13" s="42">
        <v>0</v>
      </c>
      <c r="AG13" s="42">
        <v>1</v>
      </c>
      <c r="AH13" s="42">
        <v>0</v>
      </c>
      <c r="AI13" s="42" t="s">
        <v>361</v>
      </c>
      <c r="AJ13" s="32" t="s">
        <v>206</v>
      </c>
      <c r="AL13" t="str">
        <f t="shared" ca="1" si="0"/>
        <v xml:space="preserve">    (U1)ALERT_REQ_B_TDOOR_STOP</v>
      </c>
      <c r="AR13" s="43" t="str">
        <f t="shared" si="3"/>
        <v xml:space="preserve">    (U4)0x10000004U,                                                           /* 07 STOP                                            */</v>
      </c>
      <c r="AS13" s="43" t="str">
        <f t="shared" si="4"/>
        <v xml:space="preserve">    (U4)0x1000003EU,                                                           /* 07 STOP                                            */</v>
      </c>
      <c r="AT13" s="43" t="str">
        <f t="shared" ca="1" si="1"/>
        <v xml:space="preserve">    (U1)ALERT_REQ_B_TDOOR_STOP,                                                /* 07 STOP                                            */</v>
      </c>
      <c r="AU13" s="43" t="str">
        <f ca="1">"        &amp;"&amp;$AW$11&amp;"[0],"&amp;REPT(" ",66-LEN($AW$11))&amp;"/* u1p_DST                                            */"</f>
        <v xml:space="preserve">        &amp;u1_sp_ALERT_B_TDOOR_DST[0],                                           /* u1p_DST                                            */</v>
      </c>
      <c r="AV13" s="30" t="s">
        <v>77</v>
      </c>
      <c r="AW13" s="102">
        <f>COUNTA($AJ$6:$AJ$69)</f>
        <v>15</v>
      </c>
    </row>
    <row r="14" spans="1:49">
      <c r="B14" s="103"/>
      <c r="C14" s="28">
        <f t="shared" si="2"/>
        <v>8</v>
      </c>
      <c r="D14" s="42" t="s">
        <v>68</v>
      </c>
      <c r="E14" s="42" t="s">
        <v>68</v>
      </c>
      <c r="F14" s="42" t="s">
        <v>68</v>
      </c>
      <c r="G14" s="42">
        <v>1</v>
      </c>
      <c r="H14" s="42" t="s">
        <v>361</v>
      </c>
      <c r="I14" s="42" t="s">
        <v>361</v>
      </c>
      <c r="J14" s="42" t="s">
        <v>361</v>
      </c>
      <c r="K14" s="42" t="s">
        <v>361</v>
      </c>
      <c r="L14" s="42" t="s">
        <v>361</v>
      </c>
      <c r="M14" s="42" t="s">
        <v>361</v>
      </c>
      <c r="N14" s="42" t="s">
        <v>361</v>
      </c>
      <c r="O14" s="42" t="s">
        <v>361</v>
      </c>
      <c r="P14" s="42" t="s">
        <v>361</v>
      </c>
      <c r="Q14" s="42" t="s">
        <v>361</v>
      </c>
      <c r="R14" s="42" t="s">
        <v>361</v>
      </c>
      <c r="S14" s="42" t="s">
        <v>361</v>
      </c>
      <c r="T14" s="42" t="s">
        <v>361</v>
      </c>
      <c r="U14" s="42" t="s">
        <v>361</v>
      </c>
      <c r="V14" s="42" t="s">
        <v>361</v>
      </c>
      <c r="W14" s="42" t="s">
        <v>361</v>
      </c>
      <c r="X14" s="42" t="s">
        <v>361</v>
      </c>
      <c r="Y14" s="42" t="s">
        <v>361</v>
      </c>
      <c r="Z14" s="42" t="s">
        <v>361</v>
      </c>
      <c r="AA14" s="42" t="s">
        <v>361</v>
      </c>
      <c r="AB14" s="42" t="s">
        <v>361</v>
      </c>
      <c r="AC14" s="42" t="s">
        <v>361</v>
      </c>
      <c r="AD14" s="42">
        <v>0</v>
      </c>
      <c r="AE14" s="42">
        <v>0</v>
      </c>
      <c r="AF14" s="42">
        <v>0</v>
      </c>
      <c r="AG14" s="42">
        <v>1</v>
      </c>
      <c r="AH14" s="42">
        <v>1</v>
      </c>
      <c r="AI14" s="42" t="s">
        <v>361</v>
      </c>
      <c r="AJ14" s="32" t="s">
        <v>205</v>
      </c>
      <c r="AL14" t="str">
        <f t="shared" ca="1" si="0"/>
        <v xml:space="preserve">    (U1)ALERT_REQ_B_TDOOR_RUN</v>
      </c>
      <c r="AR14" s="43" t="str">
        <f t="shared" si="3"/>
        <v xml:space="preserve">    (U4)0x10000006U,                                                           /* 08 RUN                                             */</v>
      </c>
      <c r="AS14" s="43" t="str">
        <f t="shared" si="4"/>
        <v xml:space="preserve">    (U4)0x1000003EU,                                                           /* 08 RUN                                             */</v>
      </c>
      <c r="AT14" s="43" t="str">
        <f t="shared" ca="1" si="1"/>
        <v xml:space="preserve">    (U1)ALERT_REQ_B_TDOOR_RUN,                                                 /* 08 RUN                                             */</v>
      </c>
      <c r="AU14" s="43" t="str">
        <f ca="1">"        (U2)"&amp;$AW$10&amp;","&amp;REPT(" ",66-LEN($AW$10))&amp;"/* u2_num_srch                                        */"</f>
        <v xml:space="preserve">        (U2)ALERT_B_TDOOR_NUM_DST,                                             /* u2_num_srch                                        */</v>
      </c>
      <c r="AV14" s="30" t="s">
        <v>78</v>
      </c>
      <c r="AW14" s="48" t="str">
        <f ca="1">IF(AW6&lt;&gt;AW17,VLOOKUP(AW6,Matrix!$C$13:$G$37,4,FALSE),Matrix!F13)</f>
        <v>u4_s_AlertB_tdoorSrcchk</v>
      </c>
    </row>
    <row r="15" spans="1:49">
      <c r="B15" s="103"/>
      <c r="C15" s="28">
        <f t="shared" si="2"/>
        <v>9</v>
      </c>
      <c r="D15" s="42" t="s">
        <v>68</v>
      </c>
      <c r="E15" s="42" t="s">
        <v>68</v>
      </c>
      <c r="F15" s="42" t="s">
        <v>361</v>
      </c>
      <c r="G15" s="42">
        <v>1</v>
      </c>
      <c r="H15" s="42" t="s">
        <v>361</v>
      </c>
      <c r="I15" s="42" t="s">
        <v>361</v>
      </c>
      <c r="J15" s="42" t="s">
        <v>361</v>
      </c>
      <c r="K15" s="42" t="s">
        <v>361</v>
      </c>
      <c r="L15" s="42" t="s">
        <v>361</v>
      </c>
      <c r="M15" s="42" t="s">
        <v>361</v>
      </c>
      <c r="N15" s="42" t="s">
        <v>361</v>
      </c>
      <c r="O15" s="42" t="s">
        <v>361</v>
      </c>
      <c r="P15" s="42" t="s">
        <v>361</v>
      </c>
      <c r="Q15" s="42" t="s">
        <v>361</v>
      </c>
      <c r="R15" s="42" t="s">
        <v>361</v>
      </c>
      <c r="S15" s="42" t="s">
        <v>361</v>
      </c>
      <c r="T15" s="42" t="s">
        <v>361</v>
      </c>
      <c r="U15" s="42" t="s">
        <v>361</v>
      </c>
      <c r="V15" s="42" t="s">
        <v>361</v>
      </c>
      <c r="W15" s="42" t="s">
        <v>361</v>
      </c>
      <c r="X15" s="42" t="s">
        <v>361</v>
      </c>
      <c r="Y15" s="42" t="s">
        <v>361</v>
      </c>
      <c r="Z15" s="42" t="s">
        <v>361</v>
      </c>
      <c r="AA15" s="42" t="s">
        <v>361</v>
      </c>
      <c r="AB15" s="42" t="s">
        <v>361</v>
      </c>
      <c r="AC15" s="42" t="s">
        <v>361</v>
      </c>
      <c r="AD15" s="42">
        <v>0</v>
      </c>
      <c r="AE15" s="42">
        <v>1</v>
      </c>
      <c r="AF15" s="42">
        <v>0</v>
      </c>
      <c r="AG15" s="42" t="s">
        <v>361</v>
      </c>
      <c r="AH15" s="42">
        <v>0</v>
      </c>
      <c r="AI15" s="42" t="s">
        <v>361</v>
      </c>
      <c r="AJ15" s="32" t="s">
        <v>206</v>
      </c>
      <c r="AL15" t="str">
        <f t="shared" ca="1" si="0"/>
        <v xml:space="preserve">    (U1)ALERT_REQ_B_TDOOR_STOP</v>
      </c>
      <c r="AR15" s="43" t="str">
        <f t="shared" si="3"/>
        <v xml:space="preserve">    (U4)0x10000010U,                                                           /* 09 STOP                                            */</v>
      </c>
      <c r="AS15" s="43" t="str">
        <f t="shared" si="4"/>
        <v xml:space="preserve">    (U4)0x1000003AU,                                                           /* 09 STOP                                            */</v>
      </c>
      <c r="AT15" s="43" t="str">
        <f t="shared" ca="1" si="1"/>
        <v xml:space="preserve">    (U1)ALERT_REQ_B_TDOOR_STOP,                                                /* 09 STOP                                            */</v>
      </c>
      <c r="AU15" s="43" t="str">
        <f ca="1">"        (U1)"&amp;$AW$16&amp;REPT(" ",67-LEN($AW$16))&amp;"/* u1_vom_act                                         */"</f>
        <v xml:space="preserve">        (U1)ALERT_VOM_BAT_WT                                                   /* u1_vom_act                                         */</v>
      </c>
      <c r="AV15" s="30" t="s">
        <v>81</v>
      </c>
      <c r="AW15" s="48" t="str">
        <f ca="1">IF(AW6&lt;&gt;AW17,VLOOKUP(AW6,Matrix!$C$13:$G$37,5,FALSE),Matrix!G13)</f>
        <v>NULL</v>
      </c>
    </row>
    <row r="16" spans="1:49">
      <c r="B16" s="103"/>
      <c r="C16" s="28">
        <f t="shared" si="2"/>
        <v>10</v>
      </c>
      <c r="D16" s="42" t="s">
        <v>68</v>
      </c>
      <c r="E16" s="42" t="s">
        <v>68</v>
      </c>
      <c r="F16" s="42" t="s">
        <v>361</v>
      </c>
      <c r="G16" s="42">
        <v>1</v>
      </c>
      <c r="H16" s="42" t="s">
        <v>361</v>
      </c>
      <c r="I16" s="42" t="s">
        <v>361</v>
      </c>
      <c r="J16" s="42" t="s">
        <v>361</v>
      </c>
      <c r="K16" s="42" t="s">
        <v>361</v>
      </c>
      <c r="L16" s="42" t="s">
        <v>361</v>
      </c>
      <c r="M16" s="42" t="s">
        <v>361</v>
      </c>
      <c r="N16" s="42" t="s">
        <v>361</v>
      </c>
      <c r="O16" s="42" t="s">
        <v>361</v>
      </c>
      <c r="P16" s="42" t="s">
        <v>361</v>
      </c>
      <c r="Q16" s="42" t="s">
        <v>361</v>
      </c>
      <c r="R16" s="42" t="s">
        <v>361</v>
      </c>
      <c r="S16" s="42" t="s">
        <v>361</v>
      </c>
      <c r="T16" s="42" t="s">
        <v>361</v>
      </c>
      <c r="U16" s="42" t="s">
        <v>361</v>
      </c>
      <c r="V16" s="42" t="s">
        <v>361</v>
      </c>
      <c r="W16" s="42" t="s">
        <v>361</v>
      </c>
      <c r="X16" s="42" t="s">
        <v>361</v>
      </c>
      <c r="Y16" s="42" t="s">
        <v>361</v>
      </c>
      <c r="Z16" s="42" t="s">
        <v>361</v>
      </c>
      <c r="AA16" s="42" t="s">
        <v>361</v>
      </c>
      <c r="AB16" s="42" t="s">
        <v>361</v>
      </c>
      <c r="AC16" s="42" t="s">
        <v>361</v>
      </c>
      <c r="AD16" s="42">
        <v>0</v>
      </c>
      <c r="AE16" s="42">
        <v>1</v>
      </c>
      <c r="AF16" s="42">
        <v>0</v>
      </c>
      <c r="AG16" s="42" t="s">
        <v>361</v>
      </c>
      <c r="AH16" s="42">
        <v>1</v>
      </c>
      <c r="AI16" s="42" t="s">
        <v>361</v>
      </c>
      <c r="AJ16" s="32" t="s">
        <v>205</v>
      </c>
      <c r="AL16" t="str">
        <f t="shared" ca="1" si="0"/>
        <v xml:space="preserve">    (U1)ALERT_REQ_B_TDOOR_RUN</v>
      </c>
      <c r="AR16" s="43" t="str">
        <f t="shared" si="3"/>
        <v xml:space="preserve">    (U4)0x10000012U,                                                           /* 10 RUN                                             */</v>
      </c>
      <c r="AS16" s="43" t="str">
        <f t="shared" si="4"/>
        <v xml:space="preserve">    (U4)0x1000003AU,                                                           /* 10 RUN                                             */</v>
      </c>
      <c r="AT16" s="43" t="str">
        <f t="shared" ca="1" si="1"/>
        <v xml:space="preserve">    (U1)ALERT_REQ_B_TDOOR_RUN,                                                 /* 10 RUN                                             */</v>
      </c>
      <c r="AU16" s="43" t="s">
        <v>70</v>
      </c>
      <c r="AV16" s="30" t="s">
        <v>79</v>
      </c>
      <c r="AW16" s="48" t="str">
        <f ca="1">IF(AW6&lt;&gt;AW17,VLOOKUP(AW6,Matrix!$C$13:$G$37,2,FALSE),Matrix!D13)</f>
        <v>ALERT_VOM_BAT_WT</v>
      </c>
    </row>
    <row r="17" spans="2:49" ht="14.25" thickBot="1">
      <c r="B17" s="103"/>
      <c r="C17" s="28">
        <f t="shared" si="2"/>
        <v>11</v>
      </c>
      <c r="D17" s="42" t="s">
        <v>68</v>
      </c>
      <c r="E17" s="42" t="s">
        <v>68</v>
      </c>
      <c r="F17" s="42" t="s">
        <v>68</v>
      </c>
      <c r="G17" s="42">
        <v>1</v>
      </c>
      <c r="H17" s="42" t="s">
        <v>361</v>
      </c>
      <c r="I17" s="42" t="s">
        <v>361</v>
      </c>
      <c r="J17" s="42" t="s">
        <v>361</v>
      </c>
      <c r="K17" s="42" t="s">
        <v>361</v>
      </c>
      <c r="L17" s="42" t="s">
        <v>361</v>
      </c>
      <c r="M17" s="42" t="s">
        <v>361</v>
      </c>
      <c r="N17" s="42" t="s">
        <v>361</v>
      </c>
      <c r="O17" s="42" t="s">
        <v>361</v>
      </c>
      <c r="P17" s="42" t="s">
        <v>361</v>
      </c>
      <c r="Q17" s="42" t="s">
        <v>361</v>
      </c>
      <c r="R17" s="42" t="s">
        <v>361</v>
      </c>
      <c r="S17" s="42" t="s">
        <v>361</v>
      </c>
      <c r="T17" s="42" t="s">
        <v>361</v>
      </c>
      <c r="U17" s="42" t="s">
        <v>361</v>
      </c>
      <c r="V17" s="42" t="s">
        <v>361</v>
      </c>
      <c r="W17" s="42" t="s">
        <v>361</v>
      </c>
      <c r="X17" s="42" t="s">
        <v>361</v>
      </c>
      <c r="Y17" s="42" t="s">
        <v>361</v>
      </c>
      <c r="Z17" s="42" t="s">
        <v>361</v>
      </c>
      <c r="AA17" s="42" t="s">
        <v>361</v>
      </c>
      <c r="AB17" s="42" t="s">
        <v>361</v>
      </c>
      <c r="AC17" s="42" t="s">
        <v>361</v>
      </c>
      <c r="AD17" s="42">
        <v>1</v>
      </c>
      <c r="AE17" s="42" t="s">
        <v>361</v>
      </c>
      <c r="AF17" s="42">
        <v>0</v>
      </c>
      <c r="AG17" s="42" t="s">
        <v>361</v>
      </c>
      <c r="AH17" s="42">
        <v>0</v>
      </c>
      <c r="AI17" s="42" t="s">
        <v>361</v>
      </c>
      <c r="AJ17" s="32" t="s">
        <v>206</v>
      </c>
      <c r="AL17" t="str">
        <f t="shared" ca="1" si="0"/>
        <v xml:space="preserve">    (U1)ALERT_REQ_B_TDOOR_STOP</v>
      </c>
      <c r="AR17" s="43" t="str">
        <f t="shared" si="3"/>
        <v xml:space="preserve">    (U4)0x10000020U,                                                           /* 11 STOP                                            */</v>
      </c>
      <c r="AS17" s="43" t="str">
        <f t="shared" si="4"/>
        <v xml:space="preserve">    (U4)0x1000002AU,                                                           /* 11 STOP                                            */</v>
      </c>
      <c r="AT17" s="43" t="str">
        <f t="shared" ca="1" si="1"/>
        <v xml:space="preserve">    (U1)ALERT_REQ_B_TDOOR_STOP,                                                /* 11 STOP                                            */</v>
      </c>
      <c r="AU17" s="44" t="s">
        <v>82</v>
      </c>
      <c r="AV17" s="31" t="s">
        <v>80</v>
      </c>
      <c r="AW17" s="49" t="str">
        <f ca="1">UPPER(Matrix!$D$6)</f>
        <v>B_TDOOR</v>
      </c>
    </row>
    <row r="18" spans="2:49">
      <c r="B18" s="103"/>
      <c r="C18" s="28">
        <f t="shared" si="2"/>
        <v>12</v>
      </c>
      <c r="D18" s="42" t="s">
        <v>68</v>
      </c>
      <c r="E18" s="42" t="s">
        <v>68</v>
      </c>
      <c r="F18" s="42" t="s">
        <v>68</v>
      </c>
      <c r="G18" s="42">
        <v>1</v>
      </c>
      <c r="H18" s="42" t="s">
        <v>361</v>
      </c>
      <c r="I18" s="42" t="s">
        <v>361</v>
      </c>
      <c r="J18" s="42" t="s">
        <v>361</v>
      </c>
      <c r="K18" s="42" t="s">
        <v>361</v>
      </c>
      <c r="L18" s="42" t="s">
        <v>361</v>
      </c>
      <c r="M18" s="42" t="s">
        <v>361</v>
      </c>
      <c r="N18" s="42" t="s">
        <v>361</v>
      </c>
      <c r="O18" s="42" t="s">
        <v>361</v>
      </c>
      <c r="P18" s="42" t="s">
        <v>361</v>
      </c>
      <c r="Q18" s="42" t="s">
        <v>361</v>
      </c>
      <c r="R18" s="42" t="s">
        <v>361</v>
      </c>
      <c r="S18" s="42" t="s">
        <v>361</v>
      </c>
      <c r="T18" s="42" t="s">
        <v>361</v>
      </c>
      <c r="U18" s="42" t="s">
        <v>361</v>
      </c>
      <c r="V18" s="42" t="s">
        <v>361</v>
      </c>
      <c r="W18" s="42" t="s">
        <v>361</v>
      </c>
      <c r="X18" s="42" t="s">
        <v>361</v>
      </c>
      <c r="Y18" s="42" t="s">
        <v>361</v>
      </c>
      <c r="Z18" s="42" t="s">
        <v>361</v>
      </c>
      <c r="AA18" s="42" t="s">
        <v>361</v>
      </c>
      <c r="AB18" s="42" t="s">
        <v>361</v>
      </c>
      <c r="AC18" s="42" t="s">
        <v>361</v>
      </c>
      <c r="AD18" s="42">
        <v>1</v>
      </c>
      <c r="AE18" s="42" t="s">
        <v>361</v>
      </c>
      <c r="AF18" s="42">
        <v>0</v>
      </c>
      <c r="AG18" s="42" t="s">
        <v>361</v>
      </c>
      <c r="AH18" s="42">
        <v>1</v>
      </c>
      <c r="AI18" s="42" t="s">
        <v>361</v>
      </c>
      <c r="AJ18" s="32" t="s">
        <v>205</v>
      </c>
      <c r="AL18" t="str">
        <f t="shared" ca="1" si="0"/>
        <v xml:space="preserve">    (U1)ALERT_REQ_B_TDOOR_RUN</v>
      </c>
      <c r="AR18" s="43" t="str">
        <f t="shared" si="3"/>
        <v xml:space="preserve">    (U4)0x10000022U,                                                           /* 12 RUN                                             */</v>
      </c>
      <c r="AS18" s="43" t="str">
        <f t="shared" si="4"/>
        <v xml:space="preserve">    (U4)0x1000002AU,                                                           /* 12 RUN                                             */</v>
      </c>
      <c r="AT18" s="43" t="str">
        <f t="shared" ca="1" si="1"/>
        <v xml:space="preserve">    (U1)ALERT_REQ_B_TDOOR_RUN,                                                 /* 12 RUN                                             */</v>
      </c>
    </row>
    <row r="19" spans="2:49">
      <c r="B19" s="103"/>
      <c r="C19" s="28">
        <f t="shared" si="2"/>
        <v>13</v>
      </c>
      <c r="D19" s="42" t="s">
        <v>68</v>
      </c>
      <c r="E19" s="42" t="s">
        <v>68</v>
      </c>
      <c r="F19" s="42" t="s">
        <v>68</v>
      </c>
      <c r="G19" s="42">
        <v>1</v>
      </c>
      <c r="H19" s="42" t="s">
        <v>361</v>
      </c>
      <c r="I19" s="42" t="s">
        <v>361</v>
      </c>
      <c r="J19" s="42" t="s">
        <v>361</v>
      </c>
      <c r="K19" s="42" t="s">
        <v>361</v>
      </c>
      <c r="L19" s="42" t="s">
        <v>361</v>
      </c>
      <c r="M19" s="42" t="s">
        <v>361</v>
      </c>
      <c r="N19" s="42" t="s">
        <v>361</v>
      </c>
      <c r="O19" s="42" t="s">
        <v>361</v>
      </c>
      <c r="P19" s="42" t="s">
        <v>361</v>
      </c>
      <c r="Q19" s="42" t="s">
        <v>361</v>
      </c>
      <c r="R19" s="42" t="s">
        <v>361</v>
      </c>
      <c r="S19" s="42" t="s">
        <v>361</v>
      </c>
      <c r="T19" s="42" t="s">
        <v>361</v>
      </c>
      <c r="U19" s="42" t="s">
        <v>361</v>
      </c>
      <c r="V19" s="42" t="s">
        <v>361</v>
      </c>
      <c r="W19" s="42" t="s">
        <v>361</v>
      </c>
      <c r="X19" s="42" t="s">
        <v>361</v>
      </c>
      <c r="Y19" s="42" t="s">
        <v>361</v>
      </c>
      <c r="Z19" s="42" t="s">
        <v>361</v>
      </c>
      <c r="AA19" s="42" t="s">
        <v>361</v>
      </c>
      <c r="AB19" s="42" t="s">
        <v>361</v>
      </c>
      <c r="AC19" s="42" t="s">
        <v>361</v>
      </c>
      <c r="AD19" s="42" t="s">
        <v>361</v>
      </c>
      <c r="AE19" s="42" t="s">
        <v>361</v>
      </c>
      <c r="AF19" s="42">
        <v>1</v>
      </c>
      <c r="AG19" s="42" t="s">
        <v>361</v>
      </c>
      <c r="AH19" s="42">
        <v>0</v>
      </c>
      <c r="AI19" s="42" t="s">
        <v>361</v>
      </c>
      <c r="AJ19" s="23" t="s">
        <v>251</v>
      </c>
      <c r="AL19" t="str">
        <f t="shared" ca="1" si="0"/>
        <v xml:space="preserve">    (U1)ALERT_REQ_B_TDOOR_STOP_ON</v>
      </c>
      <c r="AR19" s="43" t="str">
        <f t="shared" si="3"/>
        <v xml:space="preserve">    (U4)0x10000008U,                                                           /* 13 STOP_ON                                         */</v>
      </c>
      <c r="AS19" s="43" t="str">
        <f t="shared" si="4"/>
        <v xml:space="preserve">    (U4)0x1000000AU,                                                           /* 13 STOP_ON                                         */</v>
      </c>
      <c r="AT19" s="43" t="str">
        <f t="shared" ca="1" si="1"/>
        <v xml:space="preserve">    (U1)ALERT_REQ_B_TDOOR_STOP_ON,                                             /* 13 STOP_ON                                         */</v>
      </c>
    </row>
    <row r="20" spans="2:49">
      <c r="B20" s="103"/>
      <c r="C20" s="28">
        <f t="shared" si="2"/>
        <v>14</v>
      </c>
      <c r="D20" s="42" t="s">
        <v>68</v>
      </c>
      <c r="E20" s="42" t="s">
        <v>68</v>
      </c>
      <c r="F20" s="42" t="s">
        <v>68</v>
      </c>
      <c r="G20" s="42">
        <v>1</v>
      </c>
      <c r="H20" s="42" t="s">
        <v>361</v>
      </c>
      <c r="I20" s="42" t="s">
        <v>361</v>
      </c>
      <c r="J20" s="42" t="s">
        <v>361</v>
      </c>
      <c r="K20" s="42" t="s">
        <v>361</v>
      </c>
      <c r="L20" s="42" t="s">
        <v>361</v>
      </c>
      <c r="M20" s="42" t="s">
        <v>361</v>
      </c>
      <c r="N20" s="42" t="s">
        <v>361</v>
      </c>
      <c r="O20" s="42" t="s">
        <v>361</v>
      </c>
      <c r="P20" s="42" t="s">
        <v>361</v>
      </c>
      <c r="Q20" s="42" t="s">
        <v>361</v>
      </c>
      <c r="R20" s="42" t="s">
        <v>361</v>
      </c>
      <c r="S20" s="42" t="s">
        <v>361</v>
      </c>
      <c r="T20" s="42" t="s">
        <v>361</v>
      </c>
      <c r="U20" s="42" t="s">
        <v>361</v>
      </c>
      <c r="V20" s="42" t="s">
        <v>361</v>
      </c>
      <c r="W20" s="42" t="s">
        <v>361</v>
      </c>
      <c r="X20" s="42" t="s">
        <v>361</v>
      </c>
      <c r="Y20" s="42" t="s">
        <v>361</v>
      </c>
      <c r="Z20" s="42" t="s">
        <v>361</v>
      </c>
      <c r="AA20" s="42" t="s">
        <v>361</v>
      </c>
      <c r="AB20" s="42" t="s">
        <v>361</v>
      </c>
      <c r="AC20" s="42" t="s">
        <v>361</v>
      </c>
      <c r="AD20" s="42" t="s">
        <v>361</v>
      </c>
      <c r="AE20" s="42" t="s">
        <v>361</v>
      </c>
      <c r="AF20" s="42">
        <v>1</v>
      </c>
      <c r="AG20" s="42" t="s">
        <v>361</v>
      </c>
      <c r="AH20" s="42">
        <v>1</v>
      </c>
      <c r="AI20" s="42" t="s">
        <v>361</v>
      </c>
      <c r="AJ20" s="23" t="s">
        <v>250</v>
      </c>
      <c r="AL20" t="str">
        <f t="shared" ca="1" si="0"/>
        <v xml:space="preserve">    (U1)ALERT_REQ_B_TDOOR_RUN_ON</v>
      </c>
      <c r="AR20" s="43" t="str">
        <f t="shared" si="3"/>
        <v xml:space="preserve">    (U4)0x1000000AU                                                            /* 14 RUN_ON                                          */</v>
      </c>
      <c r="AS20" s="43" t="str">
        <f t="shared" si="4"/>
        <v xml:space="preserve">    (U4)0x1000000AU                                                            /* 14 RUN_ON                                          */</v>
      </c>
      <c r="AT20" s="43" t="str">
        <f t="shared" ca="1" si="1"/>
        <v xml:space="preserve">    (U1)ALERT_REQ_B_TDOOR_RUN_ON                                               /* 14 RUN_ON                                          */</v>
      </c>
    </row>
    <row r="21" spans="2:49">
      <c r="B21" s="103"/>
      <c r="C21" s="28">
        <f t="shared" si="2"/>
        <v>15</v>
      </c>
      <c r="D21" s="42" t="s">
        <v>68</v>
      </c>
      <c r="E21" s="42" t="s">
        <v>68</v>
      </c>
      <c r="F21" s="42" t="s">
        <v>68</v>
      </c>
      <c r="G21" s="42" t="s">
        <v>68</v>
      </c>
      <c r="H21" s="42" t="s">
        <v>68</v>
      </c>
      <c r="I21" s="42" t="s">
        <v>68</v>
      </c>
      <c r="J21" s="42" t="s">
        <v>68</v>
      </c>
      <c r="K21" s="42" t="s">
        <v>68</v>
      </c>
      <c r="L21" s="42" t="s">
        <v>68</v>
      </c>
      <c r="M21" s="42" t="s">
        <v>68</v>
      </c>
      <c r="N21" s="42" t="s">
        <v>68</v>
      </c>
      <c r="O21" s="42" t="s">
        <v>68</v>
      </c>
      <c r="P21" s="42" t="s">
        <v>68</v>
      </c>
      <c r="Q21" s="42" t="s">
        <v>68</v>
      </c>
      <c r="R21" s="42" t="s">
        <v>68</v>
      </c>
      <c r="S21" s="42" t="s">
        <v>68</v>
      </c>
      <c r="T21" s="42" t="s">
        <v>68</v>
      </c>
      <c r="U21" s="42" t="s">
        <v>68</v>
      </c>
      <c r="V21" s="42" t="s">
        <v>68</v>
      </c>
      <c r="W21" s="42" t="s">
        <v>68</v>
      </c>
      <c r="X21" s="42" t="s">
        <v>68</v>
      </c>
      <c r="Y21" s="42" t="s">
        <v>68</v>
      </c>
      <c r="Z21" s="42" t="s">
        <v>68</v>
      </c>
      <c r="AA21" s="42" t="s">
        <v>68</v>
      </c>
      <c r="AB21" s="42" t="s">
        <v>68</v>
      </c>
      <c r="AC21" s="42" t="s">
        <v>68</v>
      </c>
      <c r="AD21" s="42" t="s">
        <v>68</v>
      </c>
      <c r="AE21" s="42" t="s">
        <v>68</v>
      </c>
      <c r="AF21" s="42" t="s">
        <v>68</v>
      </c>
      <c r="AG21" s="42" t="s">
        <v>68</v>
      </c>
      <c r="AH21" s="42" t="s">
        <v>68</v>
      </c>
      <c r="AI21" s="42" t="s">
        <v>68</v>
      </c>
      <c r="AJ21" s="23"/>
      <c r="AL21" t="str">
        <f t="shared" ca="1" si="0"/>
        <v xml:space="preserve">    (U1)ALERT_REQ_B_TDOOR_</v>
      </c>
      <c r="AR21" s="43" t="str">
        <f t="shared" si="3"/>
        <v>};</v>
      </c>
      <c r="AS21" s="43" t="str">
        <f t="shared" si="4"/>
        <v>};</v>
      </c>
      <c r="AT21" s="43" t="str">
        <f t="shared" si="1"/>
        <v>};</v>
      </c>
    </row>
    <row r="22" spans="2:49">
      <c r="B22" s="103"/>
      <c r="C22" s="28">
        <f t="shared" si="2"/>
        <v>16</v>
      </c>
      <c r="D22" s="42" t="s">
        <v>68</v>
      </c>
      <c r="E22" s="42" t="s">
        <v>68</v>
      </c>
      <c r="F22" s="42" t="s">
        <v>68</v>
      </c>
      <c r="G22" s="42" t="s">
        <v>68</v>
      </c>
      <c r="H22" s="42" t="s">
        <v>68</v>
      </c>
      <c r="I22" s="42" t="s">
        <v>68</v>
      </c>
      <c r="J22" s="42" t="s">
        <v>68</v>
      </c>
      <c r="K22" s="42" t="s">
        <v>68</v>
      </c>
      <c r="L22" s="42" t="s">
        <v>68</v>
      </c>
      <c r="M22" s="42" t="s">
        <v>68</v>
      </c>
      <c r="N22" s="42" t="s">
        <v>68</v>
      </c>
      <c r="O22" s="42" t="s">
        <v>68</v>
      </c>
      <c r="P22" s="42" t="s">
        <v>68</v>
      </c>
      <c r="Q22" s="42" t="s">
        <v>68</v>
      </c>
      <c r="R22" s="42" t="s">
        <v>68</v>
      </c>
      <c r="S22" s="42" t="s">
        <v>68</v>
      </c>
      <c r="T22" s="42" t="s">
        <v>68</v>
      </c>
      <c r="U22" s="42" t="s">
        <v>68</v>
      </c>
      <c r="V22" s="42" t="s">
        <v>68</v>
      </c>
      <c r="W22" s="42" t="s">
        <v>68</v>
      </c>
      <c r="X22" s="42" t="s">
        <v>68</v>
      </c>
      <c r="Y22" s="42" t="s">
        <v>68</v>
      </c>
      <c r="Z22" s="42" t="s">
        <v>68</v>
      </c>
      <c r="AA22" s="42" t="s">
        <v>68</v>
      </c>
      <c r="AB22" s="42" t="s">
        <v>68</v>
      </c>
      <c r="AC22" s="42" t="s">
        <v>68</v>
      </c>
      <c r="AD22" s="42" t="s">
        <v>68</v>
      </c>
      <c r="AE22" s="42" t="s">
        <v>68</v>
      </c>
      <c r="AF22" s="42" t="s">
        <v>68</v>
      </c>
      <c r="AG22" s="42" t="s">
        <v>68</v>
      </c>
      <c r="AH22" s="42" t="s">
        <v>68</v>
      </c>
      <c r="AI22" s="42" t="s">
        <v>68</v>
      </c>
      <c r="AJ22" s="23"/>
      <c r="AL22" t="str">
        <f t="shared" ca="1" si="0"/>
        <v xml:space="preserve">    (U1)ALERT_REQ_B_TDOOR_</v>
      </c>
      <c r="AR22" s="43" t="str">
        <f t="shared" si="3"/>
        <v/>
      </c>
      <c r="AS22" s="43" t="str">
        <f t="shared" si="4"/>
        <v/>
      </c>
      <c r="AT22" s="43" t="str">
        <f t="shared" si="1"/>
        <v/>
      </c>
    </row>
    <row r="23" spans="2:49">
      <c r="B23" s="103"/>
      <c r="C23" s="28">
        <f t="shared" si="2"/>
        <v>17</v>
      </c>
      <c r="D23" s="42" t="s">
        <v>68</v>
      </c>
      <c r="E23" s="42" t="s">
        <v>68</v>
      </c>
      <c r="F23" s="42" t="s">
        <v>68</v>
      </c>
      <c r="G23" s="42" t="s">
        <v>361</v>
      </c>
      <c r="H23" s="42" t="s">
        <v>361</v>
      </c>
      <c r="I23" s="42" t="s">
        <v>361</v>
      </c>
      <c r="J23" s="42" t="s">
        <v>361</v>
      </c>
      <c r="K23" s="42" t="s">
        <v>361</v>
      </c>
      <c r="L23" s="42" t="s">
        <v>361</v>
      </c>
      <c r="M23" s="42" t="s">
        <v>361</v>
      </c>
      <c r="N23" s="42" t="s">
        <v>361</v>
      </c>
      <c r="O23" s="42" t="s">
        <v>361</v>
      </c>
      <c r="P23" s="42" t="s">
        <v>361</v>
      </c>
      <c r="Q23" s="42" t="s">
        <v>361</v>
      </c>
      <c r="R23" s="42" t="s">
        <v>361</v>
      </c>
      <c r="S23" s="42" t="s">
        <v>361</v>
      </c>
      <c r="T23" s="42" t="s">
        <v>361</v>
      </c>
      <c r="U23" s="42" t="s">
        <v>361</v>
      </c>
      <c r="V23" s="42" t="s">
        <v>361</v>
      </c>
      <c r="W23" s="42" t="s">
        <v>361</v>
      </c>
      <c r="X23" s="42" t="s">
        <v>361</v>
      </c>
      <c r="Y23" s="42" t="s">
        <v>361</v>
      </c>
      <c r="Z23" s="42" t="s">
        <v>361</v>
      </c>
      <c r="AA23" s="42" t="s">
        <v>361</v>
      </c>
      <c r="AB23" s="42" t="s">
        <v>361</v>
      </c>
      <c r="AC23" s="42" t="s">
        <v>361</v>
      </c>
      <c r="AD23" s="42" t="s">
        <v>361</v>
      </c>
      <c r="AE23" s="42" t="s">
        <v>361</v>
      </c>
      <c r="AF23" s="42" t="s">
        <v>361</v>
      </c>
      <c r="AG23" s="42" t="s">
        <v>361</v>
      </c>
      <c r="AH23" s="42" t="s">
        <v>361</v>
      </c>
      <c r="AI23" s="42" t="s">
        <v>361</v>
      </c>
      <c r="AJ23" s="23"/>
      <c r="AL23" t="str">
        <f t="shared" ca="1" si="0"/>
        <v xml:space="preserve">    (U1)ALERT_REQ_B_TDOOR_</v>
      </c>
      <c r="AR23" s="43" t="str">
        <f t="shared" si="3"/>
        <v/>
      </c>
      <c r="AS23" s="43" t="str">
        <f t="shared" si="4"/>
        <v/>
      </c>
      <c r="AT23" s="43" t="str">
        <f t="shared" si="1"/>
        <v/>
      </c>
    </row>
    <row r="24" spans="2:49">
      <c r="B24" s="103"/>
      <c r="C24" s="28">
        <f t="shared" si="2"/>
        <v>18</v>
      </c>
      <c r="D24" s="42" t="s">
        <v>68</v>
      </c>
      <c r="E24" s="42" t="s">
        <v>68</v>
      </c>
      <c r="F24" s="42" t="s">
        <v>68</v>
      </c>
      <c r="G24" s="42" t="s">
        <v>361</v>
      </c>
      <c r="H24" s="42" t="s">
        <v>361</v>
      </c>
      <c r="I24" s="42" t="s">
        <v>361</v>
      </c>
      <c r="J24" s="42" t="s">
        <v>361</v>
      </c>
      <c r="K24" s="42" t="s">
        <v>361</v>
      </c>
      <c r="L24" s="42" t="s">
        <v>361</v>
      </c>
      <c r="M24" s="42" t="s">
        <v>361</v>
      </c>
      <c r="N24" s="42" t="s">
        <v>361</v>
      </c>
      <c r="O24" s="42" t="s">
        <v>361</v>
      </c>
      <c r="P24" s="42" t="s">
        <v>361</v>
      </c>
      <c r="Q24" s="42" t="s">
        <v>361</v>
      </c>
      <c r="R24" s="42" t="s">
        <v>361</v>
      </c>
      <c r="S24" s="42" t="s">
        <v>361</v>
      </c>
      <c r="T24" s="42" t="s">
        <v>361</v>
      </c>
      <c r="U24" s="42" t="s">
        <v>361</v>
      </c>
      <c r="V24" s="42" t="s">
        <v>361</v>
      </c>
      <c r="W24" s="42" t="s">
        <v>361</v>
      </c>
      <c r="X24" s="42" t="s">
        <v>361</v>
      </c>
      <c r="Y24" s="42" t="s">
        <v>361</v>
      </c>
      <c r="Z24" s="42" t="s">
        <v>361</v>
      </c>
      <c r="AA24" s="42" t="s">
        <v>361</v>
      </c>
      <c r="AB24" s="42" t="s">
        <v>361</v>
      </c>
      <c r="AC24" s="42" t="s">
        <v>361</v>
      </c>
      <c r="AD24" s="42" t="s">
        <v>361</v>
      </c>
      <c r="AE24" s="42" t="s">
        <v>361</v>
      </c>
      <c r="AF24" s="42" t="s">
        <v>361</v>
      </c>
      <c r="AG24" s="42" t="s">
        <v>361</v>
      </c>
      <c r="AH24" s="42" t="s">
        <v>361</v>
      </c>
      <c r="AI24" s="42" t="s">
        <v>361</v>
      </c>
      <c r="AJ24" s="23"/>
      <c r="AL24" t="str">
        <f t="shared" ca="1" si="0"/>
        <v xml:space="preserve">    (U1)ALERT_REQ_B_TDOOR_</v>
      </c>
      <c r="AR24" s="43" t="str">
        <f t="shared" si="3"/>
        <v/>
      </c>
      <c r="AS24" s="43" t="str">
        <f t="shared" si="4"/>
        <v/>
      </c>
      <c r="AT24" s="43" t="str">
        <f t="shared" si="1"/>
        <v/>
      </c>
    </row>
    <row r="25" spans="2:49">
      <c r="B25" s="103"/>
      <c r="C25" s="28">
        <f t="shared" si="2"/>
        <v>19</v>
      </c>
      <c r="D25" s="42" t="s">
        <v>68</v>
      </c>
      <c r="E25" s="42" t="s">
        <v>68</v>
      </c>
      <c r="F25" s="42" t="s">
        <v>68</v>
      </c>
      <c r="G25" s="42" t="s">
        <v>361</v>
      </c>
      <c r="H25" s="42" t="s">
        <v>361</v>
      </c>
      <c r="I25" s="42" t="s">
        <v>361</v>
      </c>
      <c r="J25" s="42" t="s">
        <v>361</v>
      </c>
      <c r="K25" s="42" t="s">
        <v>361</v>
      </c>
      <c r="L25" s="42" t="s">
        <v>361</v>
      </c>
      <c r="M25" s="42" t="s">
        <v>361</v>
      </c>
      <c r="N25" s="42" t="s">
        <v>361</v>
      </c>
      <c r="O25" s="42" t="s">
        <v>361</v>
      </c>
      <c r="P25" s="42" t="s">
        <v>361</v>
      </c>
      <c r="Q25" s="42" t="s">
        <v>361</v>
      </c>
      <c r="R25" s="42" t="s">
        <v>361</v>
      </c>
      <c r="S25" s="42" t="s">
        <v>361</v>
      </c>
      <c r="T25" s="42" t="s">
        <v>361</v>
      </c>
      <c r="U25" s="42" t="s">
        <v>361</v>
      </c>
      <c r="V25" s="42" t="s">
        <v>361</v>
      </c>
      <c r="W25" s="42" t="s">
        <v>361</v>
      </c>
      <c r="X25" s="42" t="s">
        <v>361</v>
      </c>
      <c r="Y25" s="42" t="s">
        <v>361</v>
      </c>
      <c r="Z25" s="42" t="s">
        <v>361</v>
      </c>
      <c r="AA25" s="42" t="s">
        <v>361</v>
      </c>
      <c r="AB25" s="42" t="s">
        <v>361</v>
      </c>
      <c r="AC25" s="42" t="s">
        <v>361</v>
      </c>
      <c r="AD25" s="42" t="s">
        <v>361</v>
      </c>
      <c r="AE25" s="42" t="s">
        <v>361</v>
      </c>
      <c r="AF25" s="42" t="s">
        <v>361</v>
      </c>
      <c r="AG25" s="42" t="s">
        <v>361</v>
      </c>
      <c r="AH25" s="42" t="s">
        <v>361</v>
      </c>
      <c r="AI25" s="42" t="s">
        <v>361</v>
      </c>
      <c r="AJ25" s="23"/>
      <c r="AL25" t="str">
        <f t="shared" ca="1" si="0"/>
        <v xml:space="preserve">    (U1)ALERT_REQ_B_TDOOR_</v>
      </c>
      <c r="AR25" s="43" t="str">
        <f t="shared" si="3"/>
        <v/>
      </c>
      <c r="AS25" s="43" t="str">
        <f t="shared" si="4"/>
        <v/>
      </c>
      <c r="AT25" s="43" t="str">
        <f t="shared" si="1"/>
        <v/>
      </c>
    </row>
    <row r="26" spans="2:49">
      <c r="B26" s="103"/>
      <c r="C26" s="28">
        <f t="shared" si="2"/>
        <v>20</v>
      </c>
      <c r="D26" s="42" t="s">
        <v>68</v>
      </c>
      <c r="E26" s="42" t="s">
        <v>68</v>
      </c>
      <c r="F26" s="42" t="s">
        <v>68</v>
      </c>
      <c r="G26" s="42" t="s">
        <v>361</v>
      </c>
      <c r="H26" s="42" t="s">
        <v>361</v>
      </c>
      <c r="I26" s="42" t="s">
        <v>361</v>
      </c>
      <c r="J26" s="42" t="s">
        <v>361</v>
      </c>
      <c r="K26" s="42" t="s">
        <v>361</v>
      </c>
      <c r="L26" s="42" t="s">
        <v>361</v>
      </c>
      <c r="M26" s="42" t="s">
        <v>361</v>
      </c>
      <c r="N26" s="42" t="s">
        <v>361</v>
      </c>
      <c r="O26" s="42" t="s">
        <v>361</v>
      </c>
      <c r="P26" s="42" t="s">
        <v>361</v>
      </c>
      <c r="Q26" s="42" t="s">
        <v>361</v>
      </c>
      <c r="R26" s="42" t="s">
        <v>361</v>
      </c>
      <c r="S26" s="42" t="s">
        <v>361</v>
      </c>
      <c r="T26" s="42" t="s">
        <v>361</v>
      </c>
      <c r="U26" s="42" t="s">
        <v>361</v>
      </c>
      <c r="V26" s="42" t="s">
        <v>361</v>
      </c>
      <c r="W26" s="42" t="s">
        <v>361</v>
      </c>
      <c r="X26" s="42" t="s">
        <v>361</v>
      </c>
      <c r="Y26" s="42" t="s">
        <v>361</v>
      </c>
      <c r="Z26" s="42" t="s">
        <v>361</v>
      </c>
      <c r="AA26" s="42" t="s">
        <v>361</v>
      </c>
      <c r="AB26" s="42" t="s">
        <v>361</v>
      </c>
      <c r="AC26" s="42" t="s">
        <v>361</v>
      </c>
      <c r="AD26" s="42" t="s">
        <v>361</v>
      </c>
      <c r="AE26" s="42" t="s">
        <v>361</v>
      </c>
      <c r="AF26" s="42" t="s">
        <v>361</v>
      </c>
      <c r="AG26" s="42" t="s">
        <v>361</v>
      </c>
      <c r="AH26" s="42" t="s">
        <v>361</v>
      </c>
      <c r="AI26" s="42" t="s">
        <v>361</v>
      </c>
      <c r="AJ26" s="23"/>
      <c r="AL26" t="str">
        <f t="shared" ca="1" si="0"/>
        <v xml:space="preserve">    (U1)ALERT_REQ_B_TDOOR_</v>
      </c>
      <c r="AR26" s="43" t="str">
        <f t="shared" si="3"/>
        <v/>
      </c>
      <c r="AS26" s="43" t="str">
        <f t="shared" si="4"/>
        <v/>
      </c>
      <c r="AT26" s="43" t="str">
        <f t="shared" si="1"/>
        <v/>
      </c>
    </row>
    <row r="27" spans="2:49">
      <c r="B27" s="103"/>
      <c r="C27" s="28">
        <f t="shared" si="2"/>
        <v>21</v>
      </c>
      <c r="D27" s="42" t="s">
        <v>68</v>
      </c>
      <c r="E27" s="42" t="s">
        <v>68</v>
      </c>
      <c r="F27" s="42" t="s">
        <v>361</v>
      </c>
      <c r="G27" s="42" t="s">
        <v>361</v>
      </c>
      <c r="H27" s="42" t="s">
        <v>361</v>
      </c>
      <c r="I27" s="42" t="s">
        <v>361</v>
      </c>
      <c r="J27" s="42" t="s">
        <v>361</v>
      </c>
      <c r="K27" s="42" t="s">
        <v>361</v>
      </c>
      <c r="L27" s="42" t="s">
        <v>361</v>
      </c>
      <c r="M27" s="42" t="s">
        <v>361</v>
      </c>
      <c r="N27" s="42" t="s">
        <v>361</v>
      </c>
      <c r="O27" s="42" t="s">
        <v>361</v>
      </c>
      <c r="P27" s="42" t="s">
        <v>361</v>
      </c>
      <c r="Q27" s="42" t="s">
        <v>361</v>
      </c>
      <c r="R27" s="42" t="s">
        <v>361</v>
      </c>
      <c r="S27" s="42" t="s">
        <v>361</v>
      </c>
      <c r="T27" s="42" t="s">
        <v>361</v>
      </c>
      <c r="U27" s="42" t="s">
        <v>361</v>
      </c>
      <c r="V27" s="42" t="s">
        <v>361</v>
      </c>
      <c r="W27" s="42" t="s">
        <v>361</v>
      </c>
      <c r="X27" s="42" t="s">
        <v>361</v>
      </c>
      <c r="Y27" s="42" t="s">
        <v>361</v>
      </c>
      <c r="Z27" s="42" t="s">
        <v>361</v>
      </c>
      <c r="AA27" s="42" t="s">
        <v>361</v>
      </c>
      <c r="AB27" s="42" t="s">
        <v>361</v>
      </c>
      <c r="AC27" s="42" t="s">
        <v>361</v>
      </c>
      <c r="AD27" s="42" t="s">
        <v>361</v>
      </c>
      <c r="AE27" s="42" t="s">
        <v>361</v>
      </c>
      <c r="AF27" s="42" t="s">
        <v>361</v>
      </c>
      <c r="AG27" s="42" t="s">
        <v>361</v>
      </c>
      <c r="AH27" s="42" t="s">
        <v>361</v>
      </c>
      <c r="AI27" s="42" t="s">
        <v>361</v>
      </c>
      <c r="AJ27" s="23"/>
      <c r="AL27" t="str">
        <f t="shared" ca="1" si="0"/>
        <v xml:space="preserve">    (U1)ALERT_REQ_B_TDOOR_</v>
      </c>
      <c r="AR27" s="43" t="str">
        <f t="shared" si="3"/>
        <v/>
      </c>
      <c r="AS27" s="43" t="str">
        <f t="shared" si="4"/>
        <v/>
      </c>
      <c r="AT27" s="43" t="str">
        <f t="shared" si="1"/>
        <v/>
      </c>
    </row>
    <row r="28" spans="2:49">
      <c r="B28" s="103"/>
      <c r="C28" s="28">
        <f t="shared" si="2"/>
        <v>22</v>
      </c>
      <c r="D28" s="42" t="s">
        <v>68</v>
      </c>
      <c r="E28" s="42" t="s">
        <v>68</v>
      </c>
      <c r="F28" s="42" t="s">
        <v>361</v>
      </c>
      <c r="G28" s="42" t="s">
        <v>361</v>
      </c>
      <c r="H28" s="42" t="s">
        <v>361</v>
      </c>
      <c r="I28" s="42" t="s">
        <v>361</v>
      </c>
      <c r="J28" s="42" t="s">
        <v>361</v>
      </c>
      <c r="K28" s="42" t="s">
        <v>361</v>
      </c>
      <c r="L28" s="42" t="s">
        <v>361</v>
      </c>
      <c r="M28" s="42" t="s">
        <v>361</v>
      </c>
      <c r="N28" s="42" t="s">
        <v>361</v>
      </c>
      <c r="O28" s="42" t="s">
        <v>361</v>
      </c>
      <c r="P28" s="42" t="s">
        <v>361</v>
      </c>
      <c r="Q28" s="42" t="s">
        <v>361</v>
      </c>
      <c r="R28" s="42" t="s">
        <v>361</v>
      </c>
      <c r="S28" s="42" t="s">
        <v>361</v>
      </c>
      <c r="T28" s="42" t="s">
        <v>361</v>
      </c>
      <c r="U28" s="42" t="s">
        <v>361</v>
      </c>
      <c r="V28" s="42" t="s">
        <v>361</v>
      </c>
      <c r="W28" s="42" t="s">
        <v>361</v>
      </c>
      <c r="X28" s="42" t="s">
        <v>361</v>
      </c>
      <c r="Y28" s="42" t="s">
        <v>361</v>
      </c>
      <c r="Z28" s="42" t="s">
        <v>361</v>
      </c>
      <c r="AA28" s="42" t="s">
        <v>361</v>
      </c>
      <c r="AB28" s="42" t="s">
        <v>361</v>
      </c>
      <c r="AC28" s="42" t="s">
        <v>361</v>
      </c>
      <c r="AD28" s="42" t="s">
        <v>361</v>
      </c>
      <c r="AE28" s="42" t="s">
        <v>361</v>
      </c>
      <c r="AF28" s="42" t="s">
        <v>361</v>
      </c>
      <c r="AG28" s="42" t="s">
        <v>361</v>
      </c>
      <c r="AH28" s="42" t="s">
        <v>361</v>
      </c>
      <c r="AI28" s="42" t="s">
        <v>361</v>
      </c>
      <c r="AJ28" s="23"/>
      <c r="AL28" t="str">
        <f t="shared" ca="1" si="0"/>
        <v xml:space="preserve">    (U1)ALERT_REQ_B_TDOOR_</v>
      </c>
      <c r="AR28" s="43" t="str">
        <f t="shared" si="3"/>
        <v/>
      </c>
      <c r="AS28" s="43" t="str">
        <f t="shared" si="4"/>
        <v/>
      </c>
      <c r="AT28" s="43" t="str">
        <f t="shared" si="1"/>
        <v/>
      </c>
    </row>
    <row r="29" spans="2:49">
      <c r="B29" s="103"/>
      <c r="C29" s="28">
        <f t="shared" si="2"/>
        <v>23</v>
      </c>
      <c r="D29" s="42" t="s">
        <v>68</v>
      </c>
      <c r="E29" s="42" t="s">
        <v>68</v>
      </c>
      <c r="F29" s="42" t="s">
        <v>68</v>
      </c>
      <c r="G29" s="42" t="s">
        <v>361</v>
      </c>
      <c r="H29" s="42" t="s">
        <v>361</v>
      </c>
      <c r="I29" s="42" t="s">
        <v>361</v>
      </c>
      <c r="J29" s="42" t="s">
        <v>361</v>
      </c>
      <c r="K29" s="42" t="s">
        <v>361</v>
      </c>
      <c r="L29" s="42" t="s">
        <v>361</v>
      </c>
      <c r="M29" s="42" t="s">
        <v>361</v>
      </c>
      <c r="N29" s="42" t="s">
        <v>361</v>
      </c>
      <c r="O29" s="42" t="s">
        <v>361</v>
      </c>
      <c r="P29" s="42" t="s">
        <v>361</v>
      </c>
      <c r="Q29" s="42" t="s">
        <v>361</v>
      </c>
      <c r="R29" s="42" t="s">
        <v>361</v>
      </c>
      <c r="S29" s="42" t="s">
        <v>361</v>
      </c>
      <c r="T29" s="42" t="s">
        <v>361</v>
      </c>
      <c r="U29" s="42" t="s">
        <v>361</v>
      </c>
      <c r="V29" s="42" t="s">
        <v>361</v>
      </c>
      <c r="W29" s="42" t="s">
        <v>361</v>
      </c>
      <c r="X29" s="42" t="s">
        <v>361</v>
      </c>
      <c r="Y29" s="42" t="s">
        <v>361</v>
      </c>
      <c r="Z29" s="42" t="s">
        <v>361</v>
      </c>
      <c r="AA29" s="42" t="s">
        <v>361</v>
      </c>
      <c r="AB29" s="42" t="s">
        <v>361</v>
      </c>
      <c r="AC29" s="42" t="s">
        <v>361</v>
      </c>
      <c r="AD29" s="42" t="s">
        <v>361</v>
      </c>
      <c r="AE29" s="42" t="s">
        <v>361</v>
      </c>
      <c r="AF29" s="42" t="s">
        <v>361</v>
      </c>
      <c r="AG29" s="42" t="s">
        <v>361</v>
      </c>
      <c r="AH29" s="42" t="s">
        <v>361</v>
      </c>
      <c r="AI29" s="42" t="s">
        <v>361</v>
      </c>
      <c r="AJ29" s="23"/>
      <c r="AL29" t="str">
        <f t="shared" ca="1" si="0"/>
        <v xml:space="preserve">    (U1)ALERT_REQ_B_TDOOR_</v>
      </c>
      <c r="AR29" s="43" t="str">
        <f t="shared" si="3"/>
        <v/>
      </c>
      <c r="AS29" s="43" t="str">
        <f t="shared" si="4"/>
        <v/>
      </c>
      <c r="AT29" s="43" t="str">
        <f t="shared" si="1"/>
        <v/>
      </c>
    </row>
    <row r="30" spans="2:49">
      <c r="B30" s="103"/>
      <c r="C30" s="28">
        <f t="shared" si="2"/>
        <v>24</v>
      </c>
      <c r="D30" s="42" t="s">
        <v>68</v>
      </c>
      <c r="E30" s="42" t="s">
        <v>68</v>
      </c>
      <c r="F30" s="42" t="s">
        <v>68</v>
      </c>
      <c r="G30" s="42" t="s">
        <v>361</v>
      </c>
      <c r="H30" s="42" t="s">
        <v>361</v>
      </c>
      <c r="I30" s="42" t="s">
        <v>361</v>
      </c>
      <c r="J30" s="42" t="s">
        <v>361</v>
      </c>
      <c r="K30" s="42" t="s">
        <v>361</v>
      </c>
      <c r="L30" s="42" t="s">
        <v>361</v>
      </c>
      <c r="M30" s="42" t="s">
        <v>361</v>
      </c>
      <c r="N30" s="42" t="s">
        <v>361</v>
      </c>
      <c r="O30" s="42" t="s">
        <v>361</v>
      </c>
      <c r="P30" s="42" t="s">
        <v>361</v>
      </c>
      <c r="Q30" s="42" t="s">
        <v>361</v>
      </c>
      <c r="R30" s="42" t="s">
        <v>361</v>
      </c>
      <c r="S30" s="42" t="s">
        <v>361</v>
      </c>
      <c r="T30" s="42" t="s">
        <v>361</v>
      </c>
      <c r="U30" s="42" t="s">
        <v>361</v>
      </c>
      <c r="V30" s="42" t="s">
        <v>361</v>
      </c>
      <c r="W30" s="42" t="s">
        <v>361</v>
      </c>
      <c r="X30" s="42" t="s">
        <v>361</v>
      </c>
      <c r="Y30" s="42" t="s">
        <v>361</v>
      </c>
      <c r="Z30" s="42" t="s">
        <v>361</v>
      </c>
      <c r="AA30" s="42" t="s">
        <v>361</v>
      </c>
      <c r="AB30" s="42" t="s">
        <v>361</v>
      </c>
      <c r="AC30" s="42" t="s">
        <v>361</v>
      </c>
      <c r="AD30" s="42" t="s">
        <v>361</v>
      </c>
      <c r="AE30" s="42" t="s">
        <v>361</v>
      </c>
      <c r="AF30" s="42" t="s">
        <v>361</v>
      </c>
      <c r="AG30" s="42" t="s">
        <v>361</v>
      </c>
      <c r="AH30" s="42" t="s">
        <v>361</v>
      </c>
      <c r="AI30" s="42" t="s">
        <v>361</v>
      </c>
      <c r="AJ30" s="23"/>
      <c r="AL30" t="str">
        <f t="shared" ca="1" si="0"/>
        <v xml:space="preserve">    (U1)ALERT_REQ_B_TDOOR_</v>
      </c>
      <c r="AR30" s="43" t="str">
        <f t="shared" si="3"/>
        <v/>
      </c>
      <c r="AS30" s="43" t="str">
        <f t="shared" si="4"/>
        <v/>
      </c>
      <c r="AT30" s="43" t="str">
        <f t="shared" si="1"/>
        <v/>
      </c>
    </row>
    <row r="31" spans="2:49">
      <c r="B31" s="103"/>
      <c r="C31" s="28">
        <f t="shared" si="2"/>
        <v>25</v>
      </c>
      <c r="D31" s="42" t="s">
        <v>68</v>
      </c>
      <c r="E31" s="42" t="s">
        <v>68</v>
      </c>
      <c r="F31" s="42" t="s">
        <v>68</v>
      </c>
      <c r="G31" s="42" t="s">
        <v>361</v>
      </c>
      <c r="H31" s="42" t="s">
        <v>361</v>
      </c>
      <c r="I31" s="42" t="s">
        <v>361</v>
      </c>
      <c r="J31" s="42" t="s">
        <v>361</v>
      </c>
      <c r="K31" s="42" t="s">
        <v>361</v>
      </c>
      <c r="L31" s="42" t="s">
        <v>361</v>
      </c>
      <c r="M31" s="42" t="s">
        <v>361</v>
      </c>
      <c r="N31" s="42" t="s">
        <v>361</v>
      </c>
      <c r="O31" s="42" t="s">
        <v>361</v>
      </c>
      <c r="P31" s="42" t="s">
        <v>361</v>
      </c>
      <c r="Q31" s="42" t="s">
        <v>361</v>
      </c>
      <c r="R31" s="42" t="s">
        <v>361</v>
      </c>
      <c r="S31" s="42" t="s">
        <v>361</v>
      </c>
      <c r="T31" s="42" t="s">
        <v>361</v>
      </c>
      <c r="U31" s="42" t="s">
        <v>361</v>
      </c>
      <c r="V31" s="42" t="s">
        <v>361</v>
      </c>
      <c r="W31" s="42" t="s">
        <v>361</v>
      </c>
      <c r="X31" s="42" t="s">
        <v>361</v>
      </c>
      <c r="Y31" s="42" t="s">
        <v>361</v>
      </c>
      <c r="Z31" s="42" t="s">
        <v>361</v>
      </c>
      <c r="AA31" s="42" t="s">
        <v>361</v>
      </c>
      <c r="AB31" s="42" t="s">
        <v>361</v>
      </c>
      <c r="AC31" s="42" t="s">
        <v>361</v>
      </c>
      <c r="AD31" s="42" t="s">
        <v>361</v>
      </c>
      <c r="AE31" s="42" t="s">
        <v>361</v>
      </c>
      <c r="AF31" s="42" t="s">
        <v>361</v>
      </c>
      <c r="AG31" s="42" t="s">
        <v>361</v>
      </c>
      <c r="AH31" s="42" t="s">
        <v>361</v>
      </c>
      <c r="AI31" s="42" t="s">
        <v>361</v>
      </c>
      <c r="AJ31" s="23"/>
      <c r="AL31" t="str">
        <f t="shared" ca="1" si="0"/>
        <v xml:space="preserve">    (U1)ALERT_REQ_B_TDOOR_</v>
      </c>
      <c r="AR31" s="43" t="str">
        <f t="shared" si="3"/>
        <v/>
      </c>
      <c r="AS31" s="43" t="str">
        <f t="shared" si="4"/>
        <v/>
      </c>
      <c r="AT31" s="43" t="str">
        <f t="shared" si="1"/>
        <v/>
      </c>
    </row>
    <row r="32" spans="2:49">
      <c r="B32" s="103"/>
      <c r="C32" s="28">
        <f t="shared" si="2"/>
        <v>26</v>
      </c>
      <c r="D32" s="42" t="s">
        <v>68</v>
      </c>
      <c r="E32" s="42" t="s">
        <v>68</v>
      </c>
      <c r="F32" s="42" t="s">
        <v>68</v>
      </c>
      <c r="G32" s="42" t="s">
        <v>361</v>
      </c>
      <c r="H32" s="42" t="s">
        <v>361</v>
      </c>
      <c r="I32" s="42" t="s">
        <v>361</v>
      </c>
      <c r="J32" s="42" t="s">
        <v>361</v>
      </c>
      <c r="K32" s="42" t="s">
        <v>361</v>
      </c>
      <c r="L32" s="42" t="s">
        <v>361</v>
      </c>
      <c r="M32" s="42" t="s">
        <v>361</v>
      </c>
      <c r="N32" s="42" t="s">
        <v>361</v>
      </c>
      <c r="O32" s="42" t="s">
        <v>361</v>
      </c>
      <c r="P32" s="42" t="s">
        <v>361</v>
      </c>
      <c r="Q32" s="42" t="s">
        <v>361</v>
      </c>
      <c r="R32" s="42" t="s">
        <v>361</v>
      </c>
      <c r="S32" s="42" t="s">
        <v>361</v>
      </c>
      <c r="T32" s="42" t="s">
        <v>361</v>
      </c>
      <c r="U32" s="42" t="s">
        <v>361</v>
      </c>
      <c r="V32" s="42" t="s">
        <v>361</v>
      </c>
      <c r="W32" s="42" t="s">
        <v>361</v>
      </c>
      <c r="X32" s="42" t="s">
        <v>361</v>
      </c>
      <c r="Y32" s="42" t="s">
        <v>361</v>
      </c>
      <c r="Z32" s="42" t="s">
        <v>361</v>
      </c>
      <c r="AA32" s="42" t="s">
        <v>361</v>
      </c>
      <c r="AB32" s="42" t="s">
        <v>361</v>
      </c>
      <c r="AC32" s="42" t="s">
        <v>361</v>
      </c>
      <c r="AD32" s="42" t="s">
        <v>361</v>
      </c>
      <c r="AE32" s="42" t="s">
        <v>361</v>
      </c>
      <c r="AF32" s="42" t="s">
        <v>361</v>
      </c>
      <c r="AG32" s="42" t="s">
        <v>361</v>
      </c>
      <c r="AH32" s="42" t="s">
        <v>361</v>
      </c>
      <c r="AI32" s="42" t="s">
        <v>361</v>
      </c>
      <c r="AJ32" s="23"/>
      <c r="AL32" t="str">
        <f t="shared" ca="1" si="0"/>
        <v xml:space="preserve">    (U1)ALERT_REQ_B_TDOOR_</v>
      </c>
      <c r="AR32" s="43" t="str">
        <f t="shared" si="3"/>
        <v/>
      </c>
      <c r="AS32" s="43" t="str">
        <f t="shared" si="4"/>
        <v/>
      </c>
      <c r="AT32" s="43" t="str">
        <f t="shared" si="1"/>
        <v/>
      </c>
    </row>
    <row r="33" spans="2:46">
      <c r="B33" s="103"/>
      <c r="C33" s="28">
        <f t="shared" si="2"/>
        <v>27</v>
      </c>
      <c r="D33" s="42" t="s">
        <v>68</v>
      </c>
      <c r="E33" s="42" t="s">
        <v>68</v>
      </c>
      <c r="F33" s="42" t="s">
        <v>361</v>
      </c>
      <c r="G33" s="42" t="s">
        <v>361</v>
      </c>
      <c r="H33" s="42" t="s">
        <v>361</v>
      </c>
      <c r="I33" s="42" t="s">
        <v>361</v>
      </c>
      <c r="J33" s="42" t="s">
        <v>361</v>
      </c>
      <c r="K33" s="42" t="s">
        <v>361</v>
      </c>
      <c r="L33" s="42" t="s">
        <v>361</v>
      </c>
      <c r="M33" s="42" t="s">
        <v>361</v>
      </c>
      <c r="N33" s="42" t="s">
        <v>361</v>
      </c>
      <c r="O33" s="42" t="s">
        <v>361</v>
      </c>
      <c r="P33" s="42" t="s">
        <v>361</v>
      </c>
      <c r="Q33" s="42" t="s">
        <v>361</v>
      </c>
      <c r="R33" s="42" t="s">
        <v>361</v>
      </c>
      <c r="S33" s="42" t="s">
        <v>361</v>
      </c>
      <c r="T33" s="42" t="s">
        <v>361</v>
      </c>
      <c r="U33" s="42" t="s">
        <v>361</v>
      </c>
      <c r="V33" s="42" t="s">
        <v>361</v>
      </c>
      <c r="W33" s="42" t="s">
        <v>361</v>
      </c>
      <c r="X33" s="42" t="s">
        <v>361</v>
      </c>
      <c r="Y33" s="42" t="s">
        <v>361</v>
      </c>
      <c r="Z33" s="42" t="s">
        <v>361</v>
      </c>
      <c r="AA33" s="42" t="s">
        <v>361</v>
      </c>
      <c r="AB33" s="42" t="s">
        <v>361</v>
      </c>
      <c r="AC33" s="42" t="s">
        <v>361</v>
      </c>
      <c r="AD33" s="42" t="s">
        <v>361</v>
      </c>
      <c r="AE33" s="42" t="s">
        <v>361</v>
      </c>
      <c r="AF33" s="42" t="s">
        <v>361</v>
      </c>
      <c r="AG33" s="42" t="s">
        <v>361</v>
      </c>
      <c r="AH33" s="42" t="s">
        <v>361</v>
      </c>
      <c r="AI33" s="42" t="s">
        <v>361</v>
      </c>
      <c r="AJ33" s="23"/>
      <c r="AL33" t="str">
        <f t="shared" ca="1" si="0"/>
        <v xml:space="preserve">    (U1)ALERT_REQ_B_TDOOR_</v>
      </c>
      <c r="AR33" s="43" t="str">
        <f t="shared" si="3"/>
        <v/>
      </c>
      <c r="AS33" s="43" t="str">
        <f t="shared" si="4"/>
        <v/>
      </c>
      <c r="AT33" s="43" t="str">
        <f t="shared" si="1"/>
        <v/>
      </c>
    </row>
    <row r="34" spans="2:46">
      <c r="B34" s="103"/>
      <c r="C34" s="28">
        <f t="shared" si="2"/>
        <v>28</v>
      </c>
      <c r="D34" s="42" t="s">
        <v>68</v>
      </c>
      <c r="E34" s="42" t="s">
        <v>68</v>
      </c>
      <c r="F34" s="42" t="s">
        <v>361</v>
      </c>
      <c r="G34" s="42" t="s">
        <v>361</v>
      </c>
      <c r="H34" s="42" t="s">
        <v>361</v>
      </c>
      <c r="I34" s="42" t="s">
        <v>361</v>
      </c>
      <c r="J34" s="42" t="s">
        <v>361</v>
      </c>
      <c r="K34" s="42" t="s">
        <v>361</v>
      </c>
      <c r="L34" s="42" t="s">
        <v>361</v>
      </c>
      <c r="M34" s="42" t="s">
        <v>361</v>
      </c>
      <c r="N34" s="42" t="s">
        <v>361</v>
      </c>
      <c r="O34" s="42" t="s">
        <v>361</v>
      </c>
      <c r="P34" s="42" t="s">
        <v>361</v>
      </c>
      <c r="Q34" s="42" t="s">
        <v>361</v>
      </c>
      <c r="R34" s="42" t="s">
        <v>361</v>
      </c>
      <c r="S34" s="42" t="s">
        <v>361</v>
      </c>
      <c r="T34" s="42" t="s">
        <v>361</v>
      </c>
      <c r="U34" s="42" t="s">
        <v>361</v>
      </c>
      <c r="V34" s="42" t="s">
        <v>361</v>
      </c>
      <c r="W34" s="42" t="s">
        <v>361</v>
      </c>
      <c r="X34" s="42" t="s">
        <v>361</v>
      </c>
      <c r="Y34" s="42" t="s">
        <v>361</v>
      </c>
      <c r="Z34" s="42" t="s">
        <v>361</v>
      </c>
      <c r="AA34" s="42" t="s">
        <v>361</v>
      </c>
      <c r="AB34" s="42" t="s">
        <v>361</v>
      </c>
      <c r="AC34" s="42" t="s">
        <v>361</v>
      </c>
      <c r="AD34" s="42" t="s">
        <v>361</v>
      </c>
      <c r="AE34" s="42" t="s">
        <v>361</v>
      </c>
      <c r="AF34" s="42" t="s">
        <v>361</v>
      </c>
      <c r="AG34" s="42" t="s">
        <v>361</v>
      </c>
      <c r="AH34" s="42" t="s">
        <v>361</v>
      </c>
      <c r="AI34" s="42" t="s">
        <v>361</v>
      </c>
      <c r="AJ34" s="23"/>
      <c r="AL34" t="str">
        <f t="shared" ca="1" si="0"/>
        <v xml:space="preserve">    (U1)ALERT_REQ_B_TDOOR_</v>
      </c>
      <c r="AR34" s="43" t="str">
        <f t="shared" si="3"/>
        <v/>
      </c>
      <c r="AS34" s="43" t="str">
        <f t="shared" si="4"/>
        <v/>
      </c>
      <c r="AT34" s="43" t="str">
        <f t="shared" si="1"/>
        <v/>
      </c>
    </row>
    <row r="35" spans="2:46">
      <c r="B35" s="103"/>
      <c r="C35" s="28">
        <f t="shared" si="2"/>
        <v>29</v>
      </c>
      <c r="D35" s="42" t="s">
        <v>68</v>
      </c>
      <c r="E35" s="42" t="s">
        <v>68</v>
      </c>
      <c r="F35" s="42" t="s">
        <v>68</v>
      </c>
      <c r="G35" s="42" t="s">
        <v>361</v>
      </c>
      <c r="H35" s="42" t="s">
        <v>361</v>
      </c>
      <c r="I35" s="42" t="s">
        <v>361</v>
      </c>
      <c r="J35" s="42" t="s">
        <v>361</v>
      </c>
      <c r="K35" s="42" t="s">
        <v>361</v>
      </c>
      <c r="L35" s="42" t="s">
        <v>361</v>
      </c>
      <c r="M35" s="42" t="s">
        <v>361</v>
      </c>
      <c r="N35" s="42" t="s">
        <v>361</v>
      </c>
      <c r="O35" s="42" t="s">
        <v>361</v>
      </c>
      <c r="P35" s="42" t="s">
        <v>361</v>
      </c>
      <c r="Q35" s="42" t="s">
        <v>361</v>
      </c>
      <c r="R35" s="42" t="s">
        <v>361</v>
      </c>
      <c r="S35" s="42" t="s">
        <v>361</v>
      </c>
      <c r="T35" s="42" t="s">
        <v>361</v>
      </c>
      <c r="U35" s="42" t="s">
        <v>361</v>
      </c>
      <c r="V35" s="42" t="s">
        <v>361</v>
      </c>
      <c r="W35" s="42" t="s">
        <v>361</v>
      </c>
      <c r="X35" s="42" t="s">
        <v>361</v>
      </c>
      <c r="Y35" s="42" t="s">
        <v>361</v>
      </c>
      <c r="Z35" s="42" t="s">
        <v>361</v>
      </c>
      <c r="AA35" s="42" t="s">
        <v>361</v>
      </c>
      <c r="AB35" s="42" t="s">
        <v>361</v>
      </c>
      <c r="AC35" s="42" t="s">
        <v>361</v>
      </c>
      <c r="AD35" s="42" t="s">
        <v>361</v>
      </c>
      <c r="AE35" s="42" t="s">
        <v>361</v>
      </c>
      <c r="AF35" s="42" t="s">
        <v>361</v>
      </c>
      <c r="AG35" s="42" t="s">
        <v>361</v>
      </c>
      <c r="AH35" s="42" t="s">
        <v>361</v>
      </c>
      <c r="AI35" s="42" t="s">
        <v>361</v>
      </c>
      <c r="AJ35" s="23"/>
      <c r="AL35" t="str">
        <f t="shared" ca="1" si="0"/>
        <v xml:space="preserve">    (U1)ALERT_REQ_B_TDOOR_</v>
      </c>
      <c r="AR35" s="43" t="str">
        <f t="shared" si="3"/>
        <v/>
      </c>
      <c r="AS35" s="43" t="str">
        <f t="shared" si="4"/>
        <v/>
      </c>
      <c r="AT35" s="43" t="str">
        <f t="shared" si="1"/>
        <v/>
      </c>
    </row>
    <row r="36" spans="2:46">
      <c r="B36" s="103"/>
      <c r="C36" s="28">
        <f t="shared" si="2"/>
        <v>30</v>
      </c>
      <c r="D36" s="42" t="s">
        <v>68</v>
      </c>
      <c r="E36" s="42" t="s">
        <v>68</v>
      </c>
      <c r="F36" s="42" t="s">
        <v>68</v>
      </c>
      <c r="G36" s="42" t="s">
        <v>361</v>
      </c>
      <c r="H36" s="42" t="s">
        <v>361</v>
      </c>
      <c r="I36" s="42" t="s">
        <v>361</v>
      </c>
      <c r="J36" s="42" t="s">
        <v>361</v>
      </c>
      <c r="K36" s="42" t="s">
        <v>361</v>
      </c>
      <c r="L36" s="42" t="s">
        <v>361</v>
      </c>
      <c r="M36" s="42" t="s">
        <v>361</v>
      </c>
      <c r="N36" s="42" t="s">
        <v>361</v>
      </c>
      <c r="O36" s="42" t="s">
        <v>361</v>
      </c>
      <c r="P36" s="42" t="s">
        <v>361</v>
      </c>
      <c r="Q36" s="42" t="s">
        <v>361</v>
      </c>
      <c r="R36" s="42" t="s">
        <v>361</v>
      </c>
      <c r="S36" s="42" t="s">
        <v>361</v>
      </c>
      <c r="T36" s="42" t="s">
        <v>361</v>
      </c>
      <c r="U36" s="42" t="s">
        <v>361</v>
      </c>
      <c r="V36" s="42" t="s">
        <v>361</v>
      </c>
      <c r="W36" s="42" t="s">
        <v>361</v>
      </c>
      <c r="X36" s="42" t="s">
        <v>361</v>
      </c>
      <c r="Y36" s="42" t="s">
        <v>361</v>
      </c>
      <c r="Z36" s="42" t="s">
        <v>361</v>
      </c>
      <c r="AA36" s="42" t="s">
        <v>361</v>
      </c>
      <c r="AB36" s="42" t="s">
        <v>361</v>
      </c>
      <c r="AC36" s="42" t="s">
        <v>361</v>
      </c>
      <c r="AD36" s="42" t="s">
        <v>361</v>
      </c>
      <c r="AE36" s="42" t="s">
        <v>361</v>
      </c>
      <c r="AF36" s="42" t="s">
        <v>361</v>
      </c>
      <c r="AG36" s="42" t="s">
        <v>361</v>
      </c>
      <c r="AH36" s="42" t="s">
        <v>361</v>
      </c>
      <c r="AI36" s="42" t="s">
        <v>361</v>
      </c>
      <c r="AJ36" s="23"/>
      <c r="AL36" t="str">
        <f t="shared" ca="1" si="0"/>
        <v xml:space="preserve">    (U1)ALERT_REQ_B_TDOOR_</v>
      </c>
      <c r="AR36" s="43" t="str">
        <f t="shared" si="3"/>
        <v/>
      </c>
      <c r="AS36" s="43" t="str">
        <f t="shared" si="4"/>
        <v/>
      </c>
      <c r="AT36" s="43" t="str">
        <f t="shared" si="1"/>
        <v/>
      </c>
    </row>
    <row r="37" spans="2:46">
      <c r="B37" s="103"/>
      <c r="C37" s="28">
        <f t="shared" si="2"/>
        <v>31</v>
      </c>
      <c r="D37" s="42" t="s">
        <v>68</v>
      </c>
      <c r="E37" s="42" t="s">
        <v>68</v>
      </c>
      <c r="F37" s="42" t="s">
        <v>361</v>
      </c>
      <c r="G37" s="42" t="s">
        <v>361</v>
      </c>
      <c r="H37" s="42" t="s">
        <v>361</v>
      </c>
      <c r="I37" s="42" t="s">
        <v>361</v>
      </c>
      <c r="J37" s="42" t="s">
        <v>361</v>
      </c>
      <c r="K37" s="42" t="s">
        <v>361</v>
      </c>
      <c r="L37" s="42" t="s">
        <v>361</v>
      </c>
      <c r="M37" s="42" t="s">
        <v>361</v>
      </c>
      <c r="N37" s="42" t="s">
        <v>361</v>
      </c>
      <c r="O37" s="42" t="s">
        <v>361</v>
      </c>
      <c r="P37" s="42" t="s">
        <v>361</v>
      </c>
      <c r="Q37" s="42" t="s">
        <v>361</v>
      </c>
      <c r="R37" s="42" t="s">
        <v>361</v>
      </c>
      <c r="S37" s="42" t="s">
        <v>361</v>
      </c>
      <c r="T37" s="42" t="s">
        <v>361</v>
      </c>
      <c r="U37" s="42" t="s">
        <v>361</v>
      </c>
      <c r="V37" s="42" t="s">
        <v>361</v>
      </c>
      <c r="W37" s="42" t="s">
        <v>361</v>
      </c>
      <c r="X37" s="42" t="s">
        <v>361</v>
      </c>
      <c r="Y37" s="42" t="s">
        <v>361</v>
      </c>
      <c r="Z37" s="42" t="s">
        <v>361</v>
      </c>
      <c r="AA37" s="42" t="s">
        <v>361</v>
      </c>
      <c r="AB37" s="42" t="s">
        <v>361</v>
      </c>
      <c r="AC37" s="42" t="s">
        <v>361</v>
      </c>
      <c r="AD37" s="42" t="s">
        <v>361</v>
      </c>
      <c r="AE37" s="42" t="s">
        <v>361</v>
      </c>
      <c r="AF37" s="42" t="s">
        <v>361</v>
      </c>
      <c r="AG37" s="42" t="s">
        <v>361</v>
      </c>
      <c r="AH37" s="42" t="s">
        <v>361</v>
      </c>
      <c r="AI37" s="42" t="s">
        <v>361</v>
      </c>
      <c r="AJ37" s="23"/>
      <c r="AL37" t="str">
        <f t="shared" ca="1" si="0"/>
        <v xml:space="preserve">    (U1)ALERT_REQ_B_TDOOR_</v>
      </c>
      <c r="AR37" s="43" t="str">
        <f t="shared" si="3"/>
        <v/>
      </c>
      <c r="AS37" s="43" t="str">
        <f t="shared" si="4"/>
        <v/>
      </c>
      <c r="AT37" s="43" t="str">
        <f t="shared" si="1"/>
        <v/>
      </c>
    </row>
    <row r="38" spans="2:46">
      <c r="B38" s="103"/>
      <c r="C38" s="28">
        <f t="shared" si="2"/>
        <v>32</v>
      </c>
      <c r="D38" s="42" t="s">
        <v>68</v>
      </c>
      <c r="E38" s="42" t="s">
        <v>68</v>
      </c>
      <c r="F38" s="42" t="s">
        <v>361</v>
      </c>
      <c r="G38" s="42" t="s">
        <v>361</v>
      </c>
      <c r="H38" s="42" t="s">
        <v>361</v>
      </c>
      <c r="I38" s="42" t="s">
        <v>361</v>
      </c>
      <c r="J38" s="42" t="s">
        <v>361</v>
      </c>
      <c r="K38" s="42" t="s">
        <v>361</v>
      </c>
      <c r="L38" s="42" t="s">
        <v>361</v>
      </c>
      <c r="M38" s="42" t="s">
        <v>361</v>
      </c>
      <c r="N38" s="42" t="s">
        <v>361</v>
      </c>
      <c r="O38" s="42" t="s">
        <v>361</v>
      </c>
      <c r="P38" s="42" t="s">
        <v>361</v>
      </c>
      <c r="Q38" s="42" t="s">
        <v>361</v>
      </c>
      <c r="R38" s="42" t="s">
        <v>361</v>
      </c>
      <c r="S38" s="42" t="s">
        <v>361</v>
      </c>
      <c r="T38" s="42" t="s">
        <v>361</v>
      </c>
      <c r="U38" s="42" t="s">
        <v>361</v>
      </c>
      <c r="V38" s="42" t="s">
        <v>361</v>
      </c>
      <c r="W38" s="42" t="s">
        <v>361</v>
      </c>
      <c r="X38" s="42" t="s">
        <v>361</v>
      </c>
      <c r="Y38" s="42" t="s">
        <v>361</v>
      </c>
      <c r="Z38" s="42" t="s">
        <v>361</v>
      </c>
      <c r="AA38" s="42" t="s">
        <v>361</v>
      </c>
      <c r="AB38" s="42" t="s">
        <v>361</v>
      </c>
      <c r="AC38" s="42" t="s">
        <v>361</v>
      </c>
      <c r="AD38" s="42" t="s">
        <v>361</v>
      </c>
      <c r="AE38" s="42" t="s">
        <v>361</v>
      </c>
      <c r="AF38" s="42" t="s">
        <v>361</v>
      </c>
      <c r="AG38" s="42" t="s">
        <v>361</v>
      </c>
      <c r="AH38" s="42" t="s">
        <v>361</v>
      </c>
      <c r="AI38" s="42" t="s">
        <v>361</v>
      </c>
      <c r="AJ38" s="23"/>
      <c r="AL38" t="str">
        <f t="shared" ca="1" si="0"/>
        <v xml:space="preserve">    (U1)ALERT_REQ_B_TDOOR_</v>
      </c>
      <c r="AR38" s="43" t="str">
        <f t="shared" si="3"/>
        <v/>
      </c>
      <c r="AS38" s="43" t="str">
        <f t="shared" si="4"/>
        <v/>
      </c>
      <c r="AT38" s="43" t="str">
        <f t="shared" si="1"/>
        <v/>
      </c>
    </row>
    <row r="39" spans="2:46">
      <c r="B39" s="103"/>
      <c r="C39" s="28">
        <f t="shared" si="2"/>
        <v>33</v>
      </c>
      <c r="D39" s="42" t="s">
        <v>68</v>
      </c>
      <c r="E39" s="42" t="s">
        <v>68</v>
      </c>
      <c r="F39" s="42" t="s">
        <v>68</v>
      </c>
      <c r="G39" s="42" t="s">
        <v>361</v>
      </c>
      <c r="H39" s="42" t="s">
        <v>361</v>
      </c>
      <c r="I39" s="42" t="s">
        <v>361</v>
      </c>
      <c r="J39" s="42" t="s">
        <v>361</v>
      </c>
      <c r="K39" s="42" t="s">
        <v>361</v>
      </c>
      <c r="L39" s="42" t="s">
        <v>361</v>
      </c>
      <c r="M39" s="42" t="s">
        <v>361</v>
      </c>
      <c r="N39" s="42" t="s">
        <v>361</v>
      </c>
      <c r="O39" s="42" t="s">
        <v>361</v>
      </c>
      <c r="P39" s="42" t="s">
        <v>361</v>
      </c>
      <c r="Q39" s="42" t="s">
        <v>361</v>
      </c>
      <c r="R39" s="42" t="s">
        <v>361</v>
      </c>
      <c r="S39" s="42" t="s">
        <v>361</v>
      </c>
      <c r="T39" s="42" t="s">
        <v>361</v>
      </c>
      <c r="U39" s="42" t="s">
        <v>361</v>
      </c>
      <c r="V39" s="42" t="s">
        <v>361</v>
      </c>
      <c r="W39" s="42" t="s">
        <v>361</v>
      </c>
      <c r="X39" s="42" t="s">
        <v>361</v>
      </c>
      <c r="Y39" s="42" t="s">
        <v>361</v>
      </c>
      <c r="Z39" s="42" t="s">
        <v>361</v>
      </c>
      <c r="AA39" s="42" t="s">
        <v>361</v>
      </c>
      <c r="AB39" s="42" t="s">
        <v>361</v>
      </c>
      <c r="AC39" s="42" t="s">
        <v>361</v>
      </c>
      <c r="AD39" s="42" t="s">
        <v>361</v>
      </c>
      <c r="AE39" s="42" t="s">
        <v>361</v>
      </c>
      <c r="AF39" s="42" t="s">
        <v>361</v>
      </c>
      <c r="AG39" s="42" t="s">
        <v>361</v>
      </c>
      <c r="AH39" s="42" t="s">
        <v>361</v>
      </c>
      <c r="AI39" s="42" t="s">
        <v>361</v>
      </c>
      <c r="AJ39" s="23"/>
      <c r="AL39" t="str">
        <f t="shared" ca="1" si="0"/>
        <v xml:space="preserve">    (U1)ALERT_REQ_B_TDOOR_</v>
      </c>
      <c r="AR39" s="43" t="str">
        <f t="shared" si="3"/>
        <v/>
      </c>
      <c r="AS39" s="43" t="str">
        <f t="shared" si="4"/>
        <v/>
      </c>
      <c r="AT39" s="43" t="str">
        <f t="shared" si="1"/>
        <v/>
      </c>
    </row>
    <row r="40" spans="2:46">
      <c r="B40" s="103"/>
      <c r="C40" s="28">
        <f t="shared" si="2"/>
        <v>34</v>
      </c>
      <c r="D40" s="42" t="s">
        <v>68</v>
      </c>
      <c r="E40" s="42" t="s">
        <v>68</v>
      </c>
      <c r="F40" s="42" t="s">
        <v>68</v>
      </c>
      <c r="G40" s="42" t="s">
        <v>361</v>
      </c>
      <c r="H40" s="42" t="s">
        <v>361</v>
      </c>
      <c r="I40" s="42" t="s">
        <v>361</v>
      </c>
      <c r="J40" s="42" t="s">
        <v>361</v>
      </c>
      <c r="K40" s="42" t="s">
        <v>361</v>
      </c>
      <c r="L40" s="42" t="s">
        <v>361</v>
      </c>
      <c r="M40" s="42" t="s">
        <v>361</v>
      </c>
      <c r="N40" s="42" t="s">
        <v>361</v>
      </c>
      <c r="O40" s="42" t="s">
        <v>361</v>
      </c>
      <c r="P40" s="42" t="s">
        <v>361</v>
      </c>
      <c r="Q40" s="42" t="s">
        <v>361</v>
      </c>
      <c r="R40" s="42" t="s">
        <v>361</v>
      </c>
      <c r="S40" s="42" t="s">
        <v>361</v>
      </c>
      <c r="T40" s="42" t="s">
        <v>361</v>
      </c>
      <c r="U40" s="42" t="s">
        <v>361</v>
      </c>
      <c r="V40" s="42" t="s">
        <v>361</v>
      </c>
      <c r="W40" s="42" t="s">
        <v>361</v>
      </c>
      <c r="X40" s="42" t="s">
        <v>361</v>
      </c>
      <c r="Y40" s="42" t="s">
        <v>361</v>
      </c>
      <c r="Z40" s="42" t="s">
        <v>361</v>
      </c>
      <c r="AA40" s="42" t="s">
        <v>361</v>
      </c>
      <c r="AB40" s="42" t="s">
        <v>361</v>
      </c>
      <c r="AC40" s="42" t="s">
        <v>361</v>
      </c>
      <c r="AD40" s="42" t="s">
        <v>361</v>
      </c>
      <c r="AE40" s="42" t="s">
        <v>361</v>
      </c>
      <c r="AF40" s="42" t="s">
        <v>361</v>
      </c>
      <c r="AG40" s="42" t="s">
        <v>361</v>
      </c>
      <c r="AH40" s="42" t="s">
        <v>361</v>
      </c>
      <c r="AI40" s="42" t="s">
        <v>361</v>
      </c>
      <c r="AJ40" s="23"/>
      <c r="AL40" t="str">
        <f t="shared" ca="1" si="0"/>
        <v xml:space="preserve">    (U1)ALERT_REQ_B_TDOOR_</v>
      </c>
      <c r="AR40" s="43" t="str">
        <f t="shared" si="3"/>
        <v/>
      </c>
      <c r="AS40" s="43" t="str">
        <f t="shared" si="4"/>
        <v/>
      </c>
      <c r="AT40" s="43" t="str">
        <f t="shared" si="1"/>
        <v/>
      </c>
    </row>
    <row r="41" spans="2:46">
      <c r="B41" s="103"/>
      <c r="C41" s="28">
        <f t="shared" si="2"/>
        <v>35</v>
      </c>
      <c r="D41" s="42" t="s">
        <v>68</v>
      </c>
      <c r="E41" s="42" t="s">
        <v>68</v>
      </c>
      <c r="F41" s="42" t="s">
        <v>68</v>
      </c>
      <c r="G41" s="42" t="s">
        <v>361</v>
      </c>
      <c r="H41" s="42" t="s">
        <v>361</v>
      </c>
      <c r="I41" s="42" t="s">
        <v>361</v>
      </c>
      <c r="J41" s="42" t="s">
        <v>361</v>
      </c>
      <c r="K41" s="42" t="s">
        <v>361</v>
      </c>
      <c r="L41" s="42" t="s">
        <v>361</v>
      </c>
      <c r="M41" s="42" t="s">
        <v>361</v>
      </c>
      <c r="N41" s="42" t="s">
        <v>361</v>
      </c>
      <c r="O41" s="42" t="s">
        <v>361</v>
      </c>
      <c r="P41" s="42" t="s">
        <v>361</v>
      </c>
      <c r="Q41" s="42" t="s">
        <v>361</v>
      </c>
      <c r="R41" s="42" t="s">
        <v>361</v>
      </c>
      <c r="S41" s="42" t="s">
        <v>361</v>
      </c>
      <c r="T41" s="42" t="s">
        <v>361</v>
      </c>
      <c r="U41" s="42" t="s">
        <v>361</v>
      </c>
      <c r="V41" s="42" t="s">
        <v>361</v>
      </c>
      <c r="W41" s="42" t="s">
        <v>361</v>
      </c>
      <c r="X41" s="42" t="s">
        <v>361</v>
      </c>
      <c r="Y41" s="42" t="s">
        <v>361</v>
      </c>
      <c r="Z41" s="42" t="s">
        <v>361</v>
      </c>
      <c r="AA41" s="42" t="s">
        <v>361</v>
      </c>
      <c r="AB41" s="42" t="s">
        <v>361</v>
      </c>
      <c r="AC41" s="42" t="s">
        <v>361</v>
      </c>
      <c r="AD41" s="42" t="s">
        <v>361</v>
      </c>
      <c r="AE41" s="42" t="s">
        <v>361</v>
      </c>
      <c r="AF41" s="42" t="s">
        <v>361</v>
      </c>
      <c r="AG41" s="42" t="s">
        <v>361</v>
      </c>
      <c r="AH41" s="42" t="s">
        <v>361</v>
      </c>
      <c r="AI41" s="42" t="s">
        <v>361</v>
      </c>
      <c r="AJ41" s="23"/>
      <c r="AL41" t="str">
        <f t="shared" ca="1" si="0"/>
        <v xml:space="preserve">    (U1)ALERT_REQ_B_TDOOR_</v>
      </c>
      <c r="AR41" s="43" t="str">
        <f t="shared" si="3"/>
        <v/>
      </c>
      <c r="AS41" s="43" t="str">
        <f t="shared" si="4"/>
        <v/>
      </c>
      <c r="AT41" s="43" t="str">
        <f t="shared" si="1"/>
        <v/>
      </c>
    </row>
    <row r="42" spans="2:46">
      <c r="B42" s="103"/>
      <c r="C42" s="28">
        <f t="shared" si="2"/>
        <v>36</v>
      </c>
      <c r="D42" s="42" t="s">
        <v>68</v>
      </c>
      <c r="E42" s="42" t="s">
        <v>68</v>
      </c>
      <c r="F42" s="42" t="s">
        <v>68</v>
      </c>
      <c r="G42" s="42" t="s">
        <v>361</v>
      </c>
      <c r="H42" s="42" t="s">
        <v>361</v>
      </c>
      <c r="I42" s="42" t="s">
        <v>361</v>
      </c>
      <c r="J42" s="42" t="s">
        <v>361</v>
      </c>
      <c r="K42" s="42" t="s">
        <v>361</v>
      </c>
      <c r="L42" s="42" t="s">
        <v>361</v>
      </c>
      <c r="M42" s="42" t="s">
        <v>361</v>
      </c>
      <c r="N42" s="42" t="s">
        <v>361</v>
      </c>
      <c r="O42" s="42" t="s">
        <v>361</v>
      </c>
      <c r="P42" s="42" t="s">
        <v>361</v>
      </c>
      <c r="Q42" s="42" t="s">
        <v>361</v>
      </c>
      <c r="R42" s="42" t="s">
        <v>361</v>
      </c>
      <c r="S42" s="42" t="s">
        <v>361</v>
      </c>
      <c r="T42" s="42" t="s">
        <v>361</v>
      </c>
      <c r="U42" s="42" t="s">
        <v>361</v>
      </c>
      <c r="V42" s="42" t="s">
        <v>361</v>
      </c>
      <c r="W42" s="42" t="s">
        <v>361</v>
      </c>
      <c r="X42" s="42" t="s">
        <v>361</v>
      </c>
      <c r="Y42" s="42" t="s">
        <v>361</v>
      </c>
      <c r="Z42" s="42" t="s">
        <v>361</v>
      </c>
      <c r="AA42" s="42" t="s">
        <v>361</v>
      </c>
      <c r="AB42" s="42" t="s">
        <v>361</v>
      </c>
      <c r="AC42" s="42" t="s">
        <v>361</v>
      </c>
      <c r="AD42" s="42" t="s">
        <v>361</v>
      </c>
      <c r="AE42" s="42" t="s">
        <v>361</v>
      </c>
      <c r="AF42" s="42" t="s">
        <v>361</v>
      </c>
      <c r="AG42" s="42" t="s">
        <v>361</v>
      </c>
      <c r="AH42" s="42" t="s">
        <v>361</v>
      </c>
      <c r="AI42" s="42" t="s">
        <v>361</v>
      </c>
      <c r="AJ42" s="23"/>
      <c r="AL42" t="str">
        <f t="shared" ca="1" si="0"/>
        <v xml:space="preserve">    (U1)ALERT_REQ_B_TDOOR_</v>
      </c>
      <c r="AR42" s="43" t="str">
        <f t="shared" si="3"/>
        <v/>
      </c>
      <c r="AS42" s="43" t="str">
        <f t="shared" si="4"/>
        <v/>
      </c>
      <c r="AT42" s="43" t="str">
        <f t="shared" si="1"/>
        <v/>
      </c>
    </row>
    <row r="43" spans="2:46">
      <c r="B43" s="103"/>
      <c r="C43" s="28">
        <f t="shared" si="2"/>
        <v>37</v>
      </c>
      <c r="D43" s="42" t="s">
        <v>68</v>
      </c>
      <c r="E43" s="42" t="s">
        <v>68</v>
      </c>
      <c r="F43" s="42" t="s">
        <v>68</v>
      </c>
      <c r="G43" s="42" t="s">
        <v>361</v>
      </c>
      <c r="H43" s="42" t="s">
        <v>361</v>
      </c>
      <c r="I43" s="42" t="s">
        <v>361</v>
      </c>
      <c r="J43" s="42" t="s">
        <v>361</v>
      </c>
      <c r="K43" s="42" t="s">
        <v>361</v>
      </c>
      <c r="L43" s="42" t="s">
        <v>361</v>
      </c>
      <c r="M43" s="42" t="s">
        <v>361</v>
      </c>
      <c r="N43" s="42" t="s">
        <v>361</v>
      </c>
      <c r="O43" s="42" t="s">
        <v>361</v>
      </c>
      <c r="P43" s="42" t="s">
        <v>361</v>
      </c>
      <c r="Q43" s="42" t="s">
        <v>361</v>
      </c>
      <c r="R43" s="42" t="s">
        <v>361</v>
      </c>
      <c r="S43" s="42" t="s">
        <v>361</v>
      </c>
      <c r="T43" s="42" t="s">
        <v>361</v>
      </c>
      <c r="U43" s="42" t="s">
        <v>361</v>
      </c>
      <c r="V43" s="42" t="s">
        <v>361</v>
      </c>
      <c r="W43" s="42" t="s">
        <v>361</v>
      </c>
      <c r="X43" s="42" t="s">
        <v>361</v>
      </c>
      <c r="Y43" s="42" t="s">
        <v>361</v>
      </c>
      <c r="Z43" s="42" t="s">
        <v>361</v>
      </c>
      <c r="AA43" s="42" t="s">
        <v>361</v>
      </c>
      <c r="AB43" s="42" t="s">
        <v>361</v>
      </c>
      <c r="AC43" s="42" t="s">
        <v>361</v>
      </c>
      <c r="AD43" s="42" t="s">
        <v>361</v>
      </c>
      <c r="AE43" s="42" t="s">
        <v>361</v>
      </c>
      <c r="AF43" s="42" t="s">
        <v>361</v>
      </c>
      <c r="AG43" s="42" t="s">
        <v>361</v>
      </c>
      <c r="AH43" s="42" t="s">
        <v>361</v>
      </c>
      <c r="AI43" s="42" t="s">
        <v>361</v>
      </c>
      <c r="AJ43" s="23"/>
      <c r="AL43" t="str">
        <f t="shared" ca="1" si="0"/>
        <v xml:space="preserve">    (U1)ALERT_REQ_B_TDOOR_</v>
      </c>
      <c r="AR43" s="43" t="str">
        <f t="shared" si="3"/>
        <v/>
      </c>
      <c r="AS43" s="43" t="str">
        <f t="shared" si="4"/>
        <v/>
      </c>
      <c r="AT43" s="43" t="str">
        <f t="shared" si="1"/>
        <v/>
      </c>
    </row>
    <row r="44" spans="2:46">
      <c r="B44" s="103"/>
      <c r="C44" s="28">
        <f t="shared" si="2"/>
        <v>38</v>
      </c>
      <c r="D44" s="42" t="s">
        <v>68</v>
      </c>
      <c r="E44" s="42" t="s">
        <v>68</v>
      </c>
      <c r="F44" s="42" t="s">
        <v>68</v>
      </c>
      <c r="G44" s="42" t="s">
        <v>361</v>
      </c>
      <c r="H44" s="42" t="s">
        <v>361</v>
      </c>
      <c r="I44" s="42" t="s">
        <v>361</v>
      </c>
      <c r="J44" s="42" t="s">
        <v>361</v>
      </c>
      <c r="K44" s="42" t="s">
        <v>361</v>
      </c>
      <c r="L44" s="42" t="s">
        <v>361</v>
      </c>
      <c r="M44" s="42" t="s">
        <v>361</v>
      </c>
      <c r="N44" s="42" t="s">
        <v>361</v>
      </c>
      <c r="O44" s="42" t="s">
        <v>361</v>
      </c>
      <c r="P44" s="42" t="s">
        <v>361</v>
      </c>
      <c r="Q44" s="42" t="s">
        <v>361</v>
      </c>
      <c r="R44" s="42" t="s">
        <v>361</v>
      </c>
      <c r="S44" s="42" t="s">
        <v>361</v>
      </c>
      <c r="T44" s="42" t="s">
        <v>361</v>
      </c>
      <c r="U44" s="42" t="s">
        <v>361</v>
      </c>
      <c r="V44" s="42" t="s">
        <v>361</v>
      </c>
      <c r="W44" s="42" t="s">
        <v>361</v>
      </c>
      <c r="X44" s="42" t="s">
        <v>361</v>
      </c>
      <c r="Y44" s="42" t="s">
        <v>361</v>
      </c>
      <c r="Z44" s="42" t="s">
        <v>361</v>
      </c>
      <c r="AA44" s="42" t="s">
        <v>361</v>
      </c>
      <c r="AB44" s="42" t="s">
        <v>361</v>
      </c>
      <c r="AC44" s="42" t="s">
        <v>361</v>
      </c>
      <c r="AD44" s="42" t="s">
        <v>361</v>
      </c>
      <c r="AE44" s="42" t="s">
        <v>361</v>
      </c>
      <c r="AF44" s="42" t="s">
        <v>361</v>
      </c>
      <c r="AG44" s="42" t="s">
        <v>361</v>
      </c>
      <c r="AH44" s="42" t="s">
        <v>361</v>
      </c>
      <c r="AI44" s="42" t="s">
        <v>361</v>
      </c>
      <c r="AJ44" s="23"/>
      <c r="AL44" t="str">
        <f t="shared" ca="1" si="0"/>
        <v xml:space="preserve">    (U1)ALERT_REQ_B_TDOOR_</v>
      </c>
      <c r="AR44" s="43" t="str">
        <f t="shared" si="3"/>
        <v/>
      </c>
      <c r="AS44" s="43" t="str">
        <f t="shared" si="4"/>
        <v/>
      </c>
      <c r="AT44" s="43" t="str">
        <f t="shared" si="1"/>
        <v/>
      </c>
    </row>
    <row r="45" spans="2:46">
      <c r="B45" s="103"/>
      <c r="C45" s="28">
        <f t="shared" si="2"/>
        <v>39</v>
      </c>
      <c r="D45" s="42" t="s">
        <v>68</v>
      </c>
      <c r="E45" s="42" t="s">
        <v>68</v>
      </c>
      <c r="F45" s="42" t="s">
        <v>68</v>
      </c>
      <c r="G45" s="42" t="s">
        <v>361</v>
      </c>
      <c r="H45" s="42" t="s">
        <v>361</v>
      </c>
      <c r="I45" s="42" t="s">
        <v>361</v>
      </c>
      <c r="J45" s="42" t="s">
        <v>361</v>
      </c>
      <c r="K45" s="42" t="s">
        <v>361</v>
      </c>
      <c r="L45" s="42" t="s">
        <v>361</v>
      </c>
      <c r="M45" s="42" t="s">
        <v>361</v>
      </c>
      <c r="N45" s="42" t="s">
        <v>361</v>
      </c>
      <c r="O45" s="42" t="s">
        <v>361</v>
      </c>
      <c r="P45" s="42" t="s">
        <v>361</v>
      </c>
      <c r="Q45" s="42" t="s">
        <v>361</v>
      </c>
      <c r="R45" s="42" t="s">
        <v>361</v>
      </c>
      <c r="S45" s="42" t="s">
        <v>361</v>
      </c>
      <c r="T45" s="42" t="s">
        <v>361</v>
      </c>
      <c r="U45" s="42" t="s">
        <v>361</v>
      </c>
      <c r="V45" s="42" t="s">
        <v>361</v>
      </c>
      <c r="W45" s="42" t="s">
        <v>361</v>
      </c>
      <c r="X45" s="42" t="s">
        <v>361</v>
      </c>
      <c r="Y45" s="42" t="s">
        <v>361</v>
      </c>
      <c r="Z45" s="42" t="s">
        <v>361</v>
      </c>
      <c r="AA45" s="42" t="s">
        <v>361</v>
      </c>
      <c r="AB45" s="42" t="s">
        <v>361</v>
      </c>
      <c r="AC45" s="42" t="s">
        <v>361</v>
      </c>
      <c r="AD45" s="42" t="s">
        <v>361</v>
      </c>
      <c r="AE45" s="42" t="s">
        <v>361</v>
      </c>
      <c r="AF45" s="42" t="s">
        <v>361</v>
      </c>
      <c r="AG45" s="42" t="s">
        <v>361</v>
      </c>
      <c r="AH45" s="42" t="s">
        <v>361</v>
      </c>
      <c r="AI45" s="42" t="s">
        <v>361</v>
      </c>
      <c r="AJ45" s="23"/>
      <c r="AL45" t="str">
        <f t="shared" ca="1" si="0"/>
        <v xml:space="preserve">    (U1)ALERT_REQ_B_TDOOR_</v>
      </c>
      <c r="AR45" s="43" t="str">
        <f t="shared" si="3"/>
        <v/>
      </c>
      <c r="AS45" s="43" t="str">
        <f t="shared" si="4"/>
        <v/>
      </c>
      <c r="AT45" s="43" t="str">
        <f t="shared" si="1"/>
        <v/>
      </c>
    </row>
    <row r="46" spans="2:46">
      <c r="B46" s="103"/>
      <c r="C46" s="28">
        <f t="shared" si="2"/>
        <v>40</v>
      </c>
      <c r="D46" s="42" t="s">
        <v>68</v>
      </c>
      <c r="E46" s="42" t="s">
        <v>68</v>
      </c>
      <c r="F46" s="42" t="s">
        <v>68</v>
      </c>
      <c r="G46" s="42" t="s">
        <v>361</v>
      </c>
      <c r="H46" s="42" t="s">
        <v>361</v>
      </c>
      <c r="I46" s="42" t="s">
        <v>361</v>
      </c>
      <c r="J46" s="42" t="s">
        <v>361</v>
      </c>
      <c r="K46" s="42" t="s">
        <v>361</v>
      </c>
      <c r="L46" s="42" t="s">
        <v>361</v>
      </c>
      <c r="M46" s="42" t="s">
        <v>361</v>
      </c>
      <c r="N46" s="42" t="s">
        <v>361</v>
      </c>
      <c r="O46" s="42" t="s">
        <v>361</v>
      </c>
      <c r="P46" s="42" t="s">
        <v>361</v>
      </c>
      <c r="Q46" s="42" t="s">
        <v>361</v>
      </c>
      <c r="R46" s="42" t="s">
        <v>361</v>
      </c>
      <c r="S46" s="42" t="s">
        <v>361</v>
      </c>
      <c r="T46" s="42" t="s">
        <v>361</v>
      </c>
      <c r="U46" s="42" t="s">
        <v>361</v>
      </c>
      <c r="V46" s="42" t="s">
        <v>361</v>
      </c>
      <c r="W46" s="42" t="s">
        <v>361</v>
      </c>
      <c r="X46" s="42" t="s">
        <v>361</v>
      </c>
      <c r="Y46" s="42" t="s">
        <v>361</v>
      </c>
      <c r="Z46" s="42" t="s">
        <v>361</v>
      </c>
      <c r="AA46" s="42" t="s">
        <v>361</v>
      </c>
      <c r="AB46" s="42" t="s">
        <v>361</v>
      </c>
      <c r="AC46" s="42" t="s">
        <v>361</v>
      </c>
      <c r="AD46" s="42" t="s">
        <v>361</v>
      </c>
      <c r="AE46" s="42" t="s">
        <v>361</v>
      </c>
      <c r="AF46" s="42" t="s">
        <v>361</v>
      </c>
      <c r="AG46" s="42" t="s">
        <v>361</v>
      </c>
      <c r="AH46" s="42" t="s">
        <v>361</v>
      </c>
      <c r="AI46" s="42" t="s">
        <v>361</v>
      </c>
      <c r="AJ46" s="23"/>
      <c r="AL46" t="str">
        <f t="shared" ca="1" si="0"/>
        <v xml:space="preserve">    (U1)ALERT_REQ_B_TDOOR_</v>
      </c>
      <c r="AR46" s="43" t="str">
        <f t="shared" si="3"/>
        <v/>
      </c>
      <c r="AS46" s="43" t="str">
        <f t="shared" si="4"/>
        <v/>
      </c>
      <c r="AT46" s="43" t="str">
        <f t="shared" si="1"/>
        <v/>
      </c>
    </row>
    <row r="47" spans="2:46">
      <c r="B47" s="103"/>
      <c r="C47" s="28">
        <f t="shared" si="2"/>
        <v>41</v>
      </c>
      <c r="D47" s="42" t="s">
        <v>68</v>
      </c>
      <c r="E47" s="42" t="s">
        <v>68</v>
      </c>
      <c r="F47" s="42" t="s">
        <v>68</v>
      </c>
      <c r="G47" s="42" t="s">
        <v>361</v>
      </c>
      <c r="H47" s="42" t="s">
        <v>361</v>
      </c>
      <c r="I47" s="42" t="s">
        <v>361</v>
      </c>
      <c r="J47" s="42" t="s">
        <v>361</v>
      </c>
      <c r="K47" s="42" t="s">
        <v>361</v>
      </c>
      <c r="L47" s="42" t="s">
        <v>361</v>
      </c>
      <c r="M47" s="42" t="s">
        <v>361</v>
      </c>
      <c r="N47" s="42" t="s">
        <v>361</v>
      </c>
      <c r="O47" s="42" t="s">
        <v>361</v>
      </c>
      <c r="P47" s="42" t="s">
        <v>361</v>
      </c>
      <c r="Q47" s="42" t="s">
        <v>361</v>
      </c>
      <c r="R47" s="42" t="s">
        <v>361</v>
      </c>
      <c r="S47" s="42" t="s">
        <v>361</v>
      </c>
      <c r="T47" s="42" t="s">
        <v>361</v>
      </c>
      <c r="U47" s="42" t="s">
        <v>361</v>
      </c>
      <c r="V47" s="42" t="s">
        <v>361</v>
      </c>
      <c r="W47" s="42" t="s">
        <v>361</v>
      </c>
      <c r="X47" s="42" t="s">
        <v>361</v>
      </c>
      <c r="Y47" s="42" t="s">
        <v>361</v>
      </c>
      <c r="Z47" s="42" t="s">
        <v>361</v>
      </c>
      <c r="AA47" s="42" t="s">
        <v>361</v>
      </c>
      <c r="AB47" s="42" t="s">
        <v>361</v>
      </c>
      <c r="AC47" s="42" t="s">
        <v>361</v>
      </c>
      <c r="AD47" s="42" t="s">
        <v>361</v>
      </c>
      <c r="AE47" s="42" t="s">
        <v>361</v>
      </c>
      <c r="AF47" s="42" t="s">
        <v>361</v>
      </c>
      <c r="AG47" s="42" t="s">
        <v>361</v>
      </c>
      <c r="AH47" s="42" t="s">
        <v>361</v>
      </c>
      <c r="AI47" s="42" t="s">
        <v>361</v>
      </c>
      <c r="AJ47" s="23"/>
      <c r="AL47" t="str">
        <f t="shared" ca="1" si="0"/>
        <v xml:space="preserve">    (U1)ALERT_REQ_B_TDOOR_</v>
      </c>
      <c r="AR47" s="43" t="str">
        <f t="shared" si="3"/>
        <v/>
      </c>
      <c r="AS47" s="43" t="str">
        <f t="shared" si="4"/>
        <v/>
      </c>
      <c r="AT47" s="43" t="str">
        <f t="shared" si="1"/>
        <v/>
      </c>
    </row>
    <row r="48" spans="2:46">
      <c r="B48" s="103"/>
      <c r="C48" s="28">
        <f t="shared" si="2"/>
        <v>42</v>
      </c>
      <c r="D48" s="42" t="s">
        <v>68</v>
      </c>
      <c r="E48" s="42" t="s">
        <v>68</v>
      </c>
      <c r="F48" s="42" t="s">
        <v>68</v>
      </c>
      <c r="G48" s="42" t="s">
        <v>361</v>
      </c>
      <c r="H48" s="42" t="s">
        <v>361</v>
      </c>
      <c r="I48" s="42" t="s">
        <v>361</v>
      </c>
      <c r="J48" s="42" t="s">
        <v>361</v>
      </c>
      <c r="K48" s="42" t="s">
        <v>361</v>
      </c>
      <c r="L48" s="42" t="s">
        <v>361</v>
      </c>
      <c r="M48" s="42" t="s">
        <v>361</v>
      </c>
      <c r="N48" s="42" t="s">
        <v>361</v>
      </c>
      <c r="O48" s="42" t="s">
        <v>361</v>
      </c>
      <c r="P48" s="42" t="s">
        <v>361</v>
      </c>
      <c r="Q48" s="42" t="s">
        <v>361</v>
      </c>
      <c r="R48" s="42" t="s">
        <v>361</v>
      </c>
      <c r="S48" s="42" t="s">
        <v>361</v>
      </c>
      <c r="T48" s="42" t="s">
        <v>361</v>
      </c>
      <c r="U48" s="42" t="s">
        <v>361</v>
      </c>
      <c r="V48" s="42" t="s">
        <v>361</v>
      </c>
      <c r="W48" s="42" t="s">
        <v>361</v>
      </c>
      <c r="X48" s="42" t="s">
        <v>361</v>
      </c>
      <c r="Y48" s="42" t="s">
        <v>361</v>
      </c>
      <c r="Z48" s="42" t="s">
        <v>361</v>
      </c>
      <c r="AA48" s="42" t="s">
        <v>361</v>
      </c>
      <c r="AB48" s="42" t="s">
        <v>361</v>
      </c>
      <c r="AC48" s="42" t="s">
        <v>361</v>
      </c>
      <c r="AD48" s="42" t="s">
        <v>361</v>
      </c>
      <c r="AE48" s="42" t="s">
        <v>361</v>
      </c>
      <c r="AF48" s="42" t="s">
        <v>361</v>
      </c>
      <c r="AG48" s="42" t="s">
        <v>361</v>
      </c>
      <c r="AH48" s="42" t="s">
        <v>361</v>
      </c>
      <c r="AI48" s="42" t="s">
        <v>361</v>
      </c>
      <c r="AJ48" s="23"/>
      <c r="AL48" t="str">
        <f t="shared" ca="1" si="0"/>
        <v xml:space="preserve">    (U1)ALERT_REQ_B_TDOOR_</v>
      </c>
      <c r="AR48" s="43" t="str">
        <f t="shared" si="3"/>
        <v/>
      </c>
      <c r="AS48" s="43" t="str">
        <f t="shared" si="4"/>
        <v/>
      </c>
      <c r="AT48" s="43" t="str">
        <f t="shared" si="1"/>
        <v/>
      </c>
    </row>
    <row r="49" spans="2:46">
      <c r="B49" s="103"/>
      <c r="C49" s="28">
        <f t="shared" si="2"/>
        <v>43</v>
      </c>
      <c r="D49" s="42" t="s">
        <v>68</v>
      </c>
      <c r="E49" s="42" t="s">
        <v>68</v>
      </c>
      <c r="F49" s="42" t="s">
        <v>68</v>
      </c>
      <c r="G49" s="42" t="s">
        <v>361</v>
      </c>
      <c r="H49" s="42" t="s">
        <v>361</v>
      </c>
      <c r="I49" s="42" t="s">
        <v>361</v>
      </c>
      <c r="J49" s="42" t="s">
        <v>361</v>
      </c>
      <c r="K49" s="42" t="s">
        <v>361</v>
      </c>
      <c r="L49" s="42" t="s">
        <v>361</v>
      </c>
      <c r="M49" s="42" t="s">
        <v>361</v>
      </c>
      <c r="N49" s="42" t="s">
        <v>361</v>
      </c>
      <c r="O49" s="42" t="s">
        <v>361</v>
      </c>
      <c r="P49" s="42" t="s">
        <v>361</v>
      </c>
      <c r="Q49" s="42" t="s">
        <v>361</v>
      </c>
      <c r="R49" s="42" t="s">
        <v>361</v>
      </c>
      <c r="S49" s="42" t="s">
        <v>361</v>
      </c>
      <c r="T49" s="42" t="s">
        <v>361</v>
      </c>
      <c r="U49" s="42" t="s">
        <v>361</v>
      </c>
      <c r="V49" s="42" t="s">
        <v>361</v>
      </c>
      <c r="W49" s="42" t="s">
        <v>361</v>
      </c>
      <c r="X49" s="42" t="s">
        <v>361</v>
      </c>
      <c r="Y49" s="42" t="s">
        <v>361</v>
      </c>
      <c r="Z49" s="42" t="s">
        <v>361</v>
      </c>
      <c r="AA49" s="42" t="s">
        <v>361</v>
      </c>
      <c r="AB49" s="42" t="s">
        <v>361</v>
      </c>
      <c r="AC49" s="42" t="s">
        <v>361</v>
      </c>
      <c r="AD49" s="42" t="s">
        <v>361</v>
      </c>
      <c r="AE49" s="42" t="s">
        <v>361</v>
      </c>
      <c r="AF49" s="42" t="s">
        <v>361</v>
      </c>
      <c r="AG49" s="42" t="s">
        <v>361</v>
      </c>
      <c r="AH49" s="42" t="s">
        <v>361</v>
      </c>
      <c r="AI49" s="42" t="s">
        <v>361</v>
      </c>
      <c r="AJ49" s="23"/>
      <c r="AL49" t="str">
        <f t="shared" ca="1" si="0"/>
        <v xml:space="preserve">    (U1)ALERT_REQ_B_TDOOR_</v>
      </c>
      <c r="AR49" s="43" t="str">
        <f t="shared" si="3"/>
        <v/>
      </c>
      <c r="AS49" s="43" t="str">
        <f t="shared" si="4"/>
        <v/>
      </c>
      <c r="AT49" s="43" t="str">
        <f t="shared" si="1"/>
        <v/>
      </c>
    </row>
    <row r="50" spans="2:46">
      <c r="B50" s="103"/>
      <c r="C50" s="28">
        <f t="shared" si="2"/>
        <v>44</v>
      </c>
      <c r="D50" s="42" t="s">
        <v>68</v>
      </c>
      <c r="E50" s="42" t="s">
        <v>68</v>
      </c>
      <c r="F50" s="42" t="s">
        <v>68</v>
      </c>
      <c r="G50" s="42" t="s">
        <v>361</v>
      </c>
      <c r="H50" s="42" t="s">
        <v>361</v>
      </c>
      <c r="I50" s="42" t="s">
        <v>361</v>
      </c>
      <c r="J50" s="42" t="s">
        <v>361</v>
      </c>
      <c r="K50" s="42" t="s">
        <v>361</v>
      </c>
      <c r="L50" s="42" t="s">
        <v>361</v>
      </c>
      <c r="M50" s="42" t="s">
        <v>361</v>
      </c>
      <c r="N50" s="42" t="s">
        <v>361</v>
      </c>
      <c r="O50" s="42" t="s">
        <v>361</v>
      </c>
      <c r="P50" s="42" t="s">
        <v>361</v>
      </c>
      <c r="Q50" s="42" t="s">
        <v>361</v>
      </c>
      <c r="R50" s="42" t="s">
        <v>361</v>
      </c>
      <c r="S50" s="42" t="s">
        <v>361</v>
      </c>
      <c r="T50" s="42" t="s">
        <v>361</v>
      </c>
      <c r="U50" s="42" t="s">
        <v>361</v>
      </c>
      <c r="V50" s="42" t="s">
        <v>361</v>
      </c>
      <c r="W50" s="42" t="s">
        <v>361</v>
      </c>
      <c r="X50" s="42" t="s">
        <v>361</v>
      </c>
      <c r="Y50" s="42" t="s">
        <v>361</v>
      </c>
      <c r="Z50" s="42" t="s">
        <v>361</v>
      </c>
      <c r="AA50" s="42" t="s">
        <v>361</v>
      </c>
      <c r="AB50" s="42" t="s">
        <v>361</v>
      </c>
      <c r="AC50" s="42" t="s">
        <v>361</v>
      </c>
      <c r="AD50" s="42" t="s">
        <v>361</v>
      </c>
      <c r="AE50" s="42" t="s">
        <v>361</v>
      </c>
      <c r="AF50" s="42" t="s">
        <v>361</v>
      </c>
      <c r="AG50" s="42" t="s">
        <v>361</v>
      </c>
      <c r="AH50" s="42" t="s">
        <v>361</v>
      </c>
      <c r="AI50" s="42" t="s">
        <v>361</v>
      </c>
      <c r="AJ50" s="23"/>
      <c r="AL50" t="str">
        <f t="shared" ca="1" si="0"/>
        <v xml:space="preserve">    (U1)ALERT_REQ_B_TDOOR_</v>
      </c>
      <c r="AR50" s="43" t="str">
        <f t="shared" si="3"/>
        <v/>
      </c>
      <c r="AS50" s="43" t="str">
        <f t="shared" si="4"/>
        <v/>
      </c>
      <c r="AT50" s="43" t="str">
        <f t="shared" si="1"/>
        <v/>
      </c>
    </row>
    <row r="51" spans="2:46">
      <c r="B51" s="103"/>
      <c r="C51" s="28">
        <f t="shared" si="2"/>
        <v>45</v>
      </c>
      <c r="D51" s="42" t="s">
        <v>68</v>
      </c>
      <c r="E51" s="42" t="s">
        <v>68</v>
      </c>
      <c r="F51" s="42" t="s">
        <v>68</v>
      </c>
      <c r="G51" s="42" t="s">
        <v>361</v>
      </c>
      <c r="H51" s="42" t="s">
        <v>361</v>
      </c>
      <c r="I51" s="42" t="s">
        <v>361</v>
      </c>
      <c r="J51" s="42" t="s">
        <v>361</v>
      </c>
      <c r="K51" s="42" t="s">
        <v>361</v>
      </c>
      <c r="L51" s="42" t="s">
        <v>361</v>
      </c>
      <c r="M51" s="42" t="s">
        <v>361</v>
      </c>
      <c r="N51" s="42" t="s">
        <v>361</v>
      </c>
      <c r="O51" s="42" t="s">
        <v>361</v>
      </c>
      <c r="P51" s="42" t="s">
        <v>361</v>
      </c>
      <c r="Q51" s="42" t="s">
        <v>361</v>
      </c>
      <c r="R51" s="42" t="s">
        <v>361</v>
      </c>
      <c r="S51" s="42" t="s">
        <v>361</v>
      </c>
      <c r="T51" s="42" t="s">
        <v>361</v>
      </c>
      <c r="U51" s="42" t="s">
        <v>361</v>
      </c>
      <c r="V51" s="42" t="s">
        <v>361</v>
      </c>
      <c r="W51" s="42" t="s">
        <v>361</v>
      </c>
      <c r="X51" s="42" t="s">
        <v>361</v>
      </c>
      <c r="Y51" s="42" t="s">
        <v>361</v>
      </c>
      <c r="Z51" s="42" t="s">
        <v>361</v>
      </c>
      <c r="AA51" s="42" t="s">
        <v>361</v>
      </c>
      <c r="AB51" s="42" t="s">
        <v>361</v>
      </c>
      <c r="AC51" s="42" t="s">
        <v>361</v>
      </c>
      <c r="AD51" s="42" t="s">
        <v>361</v>
      </c>
      <c r="AE51" s="42" t="s">
        <v>361</v>
      </c>
      <c r="AF51" s="42" t="s">
        <v>361</v>
      </c>
      <c r="AG51" s="42" t="s">
        <v>361</v>
      </c>
      <c r="AH51" s="42" t="s">
        <v>361</v>
      </c>
      <c r="AI51" s="42" t="s">
        <v>361</v>
      </c>
      <c r="AJ51" s="23"/>
      <c r="AL51" t="str">
        <f t="shared" ca="1" si="0"/>
        <v xml:space="preserve">    (U1)ALERT_REQ_B_TDOOR_</v>
      </c>
      <c r="AR51" s="43" t="str">
        <f t="shared" si="3"/>
        <v/>
      </c>
      <c r="AS51" s="43" t="str">
        <f t="shared" si="4"/>
        <v/>
      </c>
      <c r="AT51" s="43" t="str">
        <f t="shared" si="1"/>
        <v/>
      </c>
    </row>
    <row r="52" spans="2:46">
      <c r="B52" s="103"/>
      <c r="C52" s="28">
        <f t="shared" si="2"/>
        <v>46</v>
      </c>
      <c r="D52" s="42" t="s">
        <v>68</v>
      </c>
      <c r="E52" s="42" t="s">
        <v>68</v>
      </c>
      <c r="F52" s="42" t="s">
        <v>68</v>
      </c>
      <c r="G52" s="42" t="s">
        <v>361</v>
      </c>
      <c r="H52" s="42" t="s">
        <v>361</v>
      </c>
      <c r="I52" s="42" t="s">
        <v>361</v>
      </c>
      <c r="J52" s="42" t="s">
        <v>361</v>
      </c>
      <c r="K52" s="42" t="s">
        <v>361</v>
      </c>
      <c r="L52" s="42" t="s">
        <v>361</v>
      </c>
      <c r="M52" s="42" t="s">
        <v>361</v>
      </c>
      <c r="N52" s="42" t="s">
        <v>361</v>
      </c>
      <c r="O52" s="42" t="s">
        <v>361</v>
      </c>
      <c r="P52" s="42" t="s">
        <v>361</v>
      </c>
      <c r="Q52" s="42" t="s">
        <v>361</v>
      </c>
      <c r="R52" s="42" t="s">
        <v>361</v>
      </c>
      <c r="S52" s="42" t="s">
        <v>361</v>
      </c>
      <c r="T52" s="42" t="s">
        <v>361</v>
      </c>
      <c r="U52" s="42" t="s">
        <v>361</v>
      </c>
      <c r="V52" s="42" t="s">
        <v>361</v>
      </c>
      <c r="W52" s="42" t="s">
        <v>361</v>
      </c>
      <c r="X52" s="42" t="s">
        <v>361</v>
      </c>
      <c r="Y52" s="42" t="s">
        <v>361</v>
      </c>
      <c r="Z52" s="42" t="s">
        <v>361</v>
      </c>
      <c r="AA52" s="42" t="s">
        <v>361</v>
      </c>
      <c r="AB52" s="42" t="s">
        <v>361</v>
      </c>
      <c r="AC52" s="42" t="s">
        <v>361</v>
      </c>
      <c r="AD52" s="42" t="s">
        <v>361</v>
      </c>
      <c r="AE52" s="42" t="s">
        <v>361</v>
      </c>
      <c r="AF52" s="42" t="s">
        <v>361</v>
      </c>
      <c r="AG52" s="42" t="s">
        <v>361</v>
      </c>
      <c r="AH52" s="42" t="s">
        <v>361</v>
      </c>
      <c r="AI52" s="42" t="s">
        <v>361</v>
      </c>
      <c r="AJ52" s="23"/>
      <c r="AL52" t="str">
        <f t="shared" ca="1" si="0"/>
        <v xml:space="preserve">    (U1)ALERT_REQ_B_TDOOR_</v>
      </c>
      <c r="AR52" s="43" t="str">
        <f t="shared" si="3"/>
        <v/>
      </c>
      <c r="AS52" s="43" t="str">
        <f t="shared" si="4"/>
        <v/>
      </c>
      <c r="AT52" s="43" t="str">
        <f t="shared" si="1"/>
        <v/>
      </c>
    </row>
    <row r="53" spans="2:46">
      <c r="B53" s="103"/>
      <c r="C53" s="28">
        <f t="shared" si="2"/>
        <v>47</v>
      </c>
      <c r="D53" s="42" t="s">
        <v>68</v>
      </c>
      <c r="E53" s="42" t="s">
        <v>68</v>
      </c>
      <c r="F53" s="42" t="s">
        <v>68</v>
      </c>
      <c r="G53" s="42" t="s">
        <v>361</v>
      </c>
      <c r="H53" s="42" t="s">
        <v>361</v>
      </c>
      <c r="I53" s="42" t="s">
        <v>361</v>
      </c>
      <c r="J53" s="42" t="s">
        <v>361</v>
      </c>
      <c r="K53" s="42" t="s">
        <v>361</v>
      </c>
      <c r="L53" s="42" t="s">
        <v>361</v>
      </c>
      <c r="M53" s="42" t="s">
        <v>361</v>
      </c>
      <c r="N53" s="42" t="s">
        <v>361</v>
      </c>
      <c r="O53" s="42" t="s">
        <v>361</v>
      </c>
      <c r="P53" s="42" t="s">
        <v>361</v>
      </c>
      <c r="Q53" s="42" t="s">
        <v>361</v>
      </c>
      <c r="R53" s="42" t="s">
        <v>361</v>
      </c>
      <c r="S53" s="42" t="s">
        <v>361</v>
      </c>
      <c r="T53" s="42" t="s">
        <v>361</v>
      </c>
      <c r="U53" s="42" t="s">
        <v>361</v>
      </c>
      <c r="V53" s="42" t="s">
        <v>361</v>
      </c>
      <c r="W53" s="42" t="s">
        <v>361</v>
      </c>
      <c r="X53" s="42" t="s">
        <v>361</v>
      </c>
      <c r="Y53" s="42" t="s">
        <v>361</v>
      </c>
      <c r="Z53" s="42" t="s">
        <v>361</v>
      </c>
      <c r="AA53" s="42" t="s">
        <v>361</v>
      </c>
      <c r="AB53" s="42" t="s">
        <v>361</v>
      </c>
      <c r="AC53" s="42" t="s">
        <v>361</v>
      </c>
      <c r="AD53" s="42" t="s">
        <v>361</v>
      </c>
      <c r="AE53" s="42" t="s">
        <v>361</v>
      </c>
      <c r="AF53" s="42" t="s">
        <v>361</v>
      </c>
      <c r="AG53" s="42" t="s">
        <v>361</v>
      </c>
      <c r="AH53" s="42" t="s">
        <v>361</v>
      </c>
      <c r="AI53" s="42" t="s">
        <v>361</v>
      </c>
      <c r="AJ53" s="23"/>
      <c r="AL53" t="str">
        <f t="shared" ca="1" si="0"/>
        <v xml:space="preserve">    (U1)ALERT_REQ_B_TDOOR_</v>
      </c>
      <c r="AR53" s="43" t="str">
        <f t="shared" si="3"/>
        <v/>
      </c>
      <c r="AS53" s="43" t="str">
        <f t="shared" si="4"/>
        <v/>
      </c>
      <c r="AT53" s="43" t="str">
        <f t="shared" si="1"/>
        <v/>
      </c>
    </row>
    <row r="54" spans="2:46">
      <c r="B54" s="103"/>
      <c r="C54" s="28">
        <f t="shared" si="2"/>
        <v>48</v>
      </c>
      <c r="D54" s="42" t="s">
        <v>68</v>
      </c>
      <c r="E54" s="42" t="s">
        <v>68</v>
      </c>
      <c r="F54" s="42" t="s">
        <v>68</v>
      </c>
      <c r="G54" s="42" t="s">
        <v>361</v>
      </c>
      <c r="H54" s="42" t="s">
        <v>361</v>
      </c>
      <c r="I54" s="42" t="s">
        <v>361</v>
      </c>
      <c r="J54" s="42" t="s">
        <v>361</v>
      </c>
      <c r="K54" s="42" t="s">
        <v>361</v>
      </c>
      <c r="L54" s="42" t="s">
        <v>361</v>
      </c>
      <c r="M54" s="42" t="s">
        <v>361</v>
      </c>
      <c r="N54" s="42" t="s">
        <v>361</v>
      </c>
      <c r="O54" s="42" t="s">
        <v>361</v>
      </c>
      <c r="P54" s="42" t="s">
        <v>361</v>
      </c>
      <c r="Q54" s="42" t="s">
        <v>361</v>
      </c>
      <c r="R54" s="42" t="s">
        <v>361</v>
      </c>
      <c r="S54" s="42" t="s">
        <v>361</v>
      </c>
      <c r="T54" s="42" t="s">
        <v>361</v>
      </c>
      <c r="U54" s="42" t="s">
        <v>361</v>
      </c>
      <c r="V54" s="42" t="s">
        <v>361</v>
      </c>
      <c r="W54" s="42" t="s">
        <v>361</v>
      </c>
      <c r="X54" s="42" t="s">
        <v>361</v>
      </c>
      <c r="Y54" s="42" t="s">
        <v>361</v>
      </c>
      <c r="Z54" s="42" t="s">
        <v>361</v>
      </c>
      <c r="AA54" s="42" t="s">
        <v>361</v>
      </c>
      <c r="AB54" s="42" t="s">
        <v>361</v>
      </c>
      <c r="AC54" s="42" t="s">
        <v>361</v>
      </c>
      <c r="AD54" s="42" t="s">
        <v>361</v>
      </c>
      <c r="AE54" s="42" t="s">
        <v>361</v>
      </c>
      <c r="AF54" s="42" t="s">
        <v>361</v>
      </c>
      <c r="AG54" s="42" t="s">
        <v>361</v>
      </c>
      <c r="AH54" s="42" t="s">
        <v>361</v>
      </c>
      <c r="AI54" s="42" t="s">
        <v>361</v>
      </c>
      <c r="AJ54" s="23"/>
      <c r="AL54" t="str">
        <f t="shared" ca="1" si="0"/>
        <v xml:space="preserve">    (U1)ALERT_REQ_B_TDOOR_</v>
      </c>
      <c r="AR54" s="43" t="str">
        <f t="shared" si="3"/>
        <v/>
      </c>
      <c r="AS54" s="43" t="str">
        <f t="shared" si="4"/>
        <v/>
      </c>
      <c r="AT54" s="43" t="str">
        <f t="shared" si="1"/>
        <v/>
      </c>
    </row>
    <row r="55" spans="2:46">
      <c r="B55" s="103"/>
      <c r="C55" s="28">
        <f t="shared" si="2"/>
        <v>49</v>
      </c>
      <c r="D55" s="42" t="s">
        <v>68</v>
      </c>
      <c r="E55" s="42" t="s">
        <v>68</v>
      </c>
      <c r="F55" s="42" t="s">
        <v>68</v>
      </c>
      <c r="G55" s="42" t="s">
        <v>68</v>
      </c>
      <c r="H55" s="42" t="s">
        <v>68</v>
      </c>
      <c r="I55" s="42" t="s">
        <v>68</v>
      </c>
      <c r="J55" s="42" t="s">
        <v>68</v>
      </c>
      <c r="K55" s="42" t="s">
        <v>68</v>
      </c>
      <c r="L55" s="42" t="s">
        <v>68</v>
      </c>
      <c r="M55" s="42" t="s">
        <v>68</v>
      </c>
      <c r="N55" s="42" t="s">
        <v>68</v>
      </c>
      <c r="O55" s="42" t="s">
        <v>68</v>
      </c>
      <c r="P55" s="42" t="s">
        <v>68</v>
      </c>
      <c r="Q55" s="42" t="s">
        <v>68</v>
      </c>
      <c r="R55" s="42" t="s">
        <v>68</v>
      </c>
      <c r="S55" s="42" t="s">
        <v>68</v>
      </c>
      <c r="T55" s="42" t="s">
        <v>68</v>
      </c>
      <c r="U55" s="42" t="s">
        <v>68</v>
      </c>
      <c r="V55" s="42" t="s">
        <v>68</v>
      </c>
      <c r="W55" s="42" t="s">
        <v>68</v>
      </c>
      <c r="X55" s="42" t="s">
        <v>68</v>
      </c>
      <c r="Y55" s="42" t="s">
        <v>68</v>
      </c>
      <c r="Z55" s="42" t="s">
        <v>68</v>
      </c>
      <c r="AA55" s="42" t="s">
        <v>68</v>
      </c>
      <c r="AB55" s="42" t="s">
        <v>68</v>
      </c>
      <c r="AC55" s="42" t="s">
        <v>68</v>
      </c>
      <c r="AD55" s="42" t="s">
        <v>68</v>
      </c>
      <c r="AE55" s="42" t="s">
        <v>68</v>
      </c>
      <c r="AF55" s="42" t="s">
        <v>68</v>
      </c>
      <c r="AG55" s="42" t="s">
        <v>68</v>
      </c>
      <c r="AH55" s="42" t="s">
        <v>68</v>
      </c>
      <c r="AI55" s="42" t="s">
        <v>361</v>
      </c>
      <c r="AJ55" s="23"/>
      <c r="AL55" t="str">
        <f t="shared" ca="1" si="0"/>
        <v xml:space="preserve">    (U1)ALERT_REQ_B_TDOOR_</v>
      </c>
      <c r="AR55" s="43" t="str">
        <f t="shared" si="3"/>
        <v/>
      </c>
      <c r="AS55" s="43" t="str">
        <f t="shared" si="4"/>
        <v/>
      </c>
      <c r="AT55" s="43" t="str">
        <f t="shared" si="1"/>
        <v/>
      </c>
    </row>
    <row r="56" spans="2:46">
      <c r="B56" s="103"/>
      <c r="C56" s="28">
        <f t="shared" si="2"/>
        <v>50</v>
      </c>
      <c r="D56" s="42" t="s">
        <v>68</v>
      </c>
      <c r="E56" s="42" t="s">
        <v>68</v>
      </c>
      <c r="F56" s="42" t="s">
        <v>68</v>
      </c>
      <c r="G56" s="42" t="s">
        <v>68</v>
      </c>
      <c r="H56" s="42" t="s">
        <v>68</v>
      </c>
      <c r="I56" s="42" t="s">
        <v>68</v>
      </c>
      <c r="J56" s="42" t="s">
        <v>68</v>
      </c>
      <c r="K56" s="42" t="s">
        <v>68</v>
      </c>
      <c r="L56" s="42" t="s">
        <v>68</v>
      </c>
      <c r="M56" s="42" t="s">
        <v>68</v>
      </c>
      <c r="N56" s="42" t="s">
        <v>68</v>
      </c>
      <c r="O56" s="42" t="s">
        <v>68</v>
      </c>
      <c r="P56" s="42" t="s">
        <v>68</v>
      </c>
      <c r="Q56" s="42" t="s">
        <v>68</v>
      </c>
      <c r="R56" s="42" t="s">
        <v>68</v>
      </c>
      <c r="S56" s="42" t="s">
        <v>68</v>
      </c>
      <c r="T56" s="42" t="s">
        <v>68</v>
      </c>
      <c r="U56" s="42" t="s">
        <v>68</v>
      </c>
      <c r="V56" s="42" t="s">
        <v>68</v>
      </c>
      <c r="W56" s="42" t="s">
        <v>68</v>
      </c>
      <c r="X56" s="42" t="s">
        <v>68</v>
      </c>
      <c r="Y56" s="42" t="s">
        <v>68</v>
      </c>
      <c r="Z56" s="42" t="s">
        <v>68</v>
      </c>
      <c r="AA56" s="42" t="s">
        <v>68</v>
      </c>
      <c r="AB56" s="42" t="s">
        <v>68</v>
      </c>
      <c r="AC56" s="42" t="s">
        <v>68</v>
      </c>
      <c r="AD56" s="42" t="s">
        <v>68</v>
      </c>
      <c r="AE56" s="42" t="s">
        <v>68</v>
      </c>
      <c r="AF56" s="42" t="s">
        <v>68</v>
      </c>
      <c r="AG56" s="42" t="s">
        <v>68</v>
      </c>
      <c r="AH56" s="42" t="s">
        <v>68</v>
      </c>
      <c r="AI56" s="42" t="s">
        <v>361</v>
      </c>
      <c r="AJ56" s="23"/>
      <c r="AL56" t="str">
        <f t="shared" ca="1" si="0"/>
        <v xml:space="preserve">    (U1)ALERT_REQ_B_TDOOR_</v>
      </c>
      <c r="AR56" s="43" t="str">
        <f t="shared" si="3"/>
        <v/>
      </c>
      <c r="AS56" s="43" t="str">
        <f t="shared" si="4"/>
        <v/>
      </c>
      <c r="AT56" s="43" t="str">
        <f t="shared" si="1"/>
        <v/>
      </c>
    </row>
    <row r="57" spans="2:46">
      <c r="B57" s="103"/>
      <c r="C57" s="28">
        <f t="shared" si="2"/>
        <v>51</v>
      </c>
      <c r="D57" s="42" t="s">
        <v>68</v>
      </c>
      <c r="E57" s="42" t="s">
        <v>68</v>
      </c>
      <c r="F57" s="42" t="s">
        <v>68</v>
      </c>
      <c r="G57" s="42" t="s">
        <v>68</v>
      </c>
      <c r="H57" s="42" t="s">
        <v>68</v>
      </c>
      <c r="I57" s="42" t="s">
        <v>68</v>
      </c>
      <c r="J57" s="42" t="s">
        <v>68</v>
      </c>
      <c r="K57" s="42" t="s">
        <v>68</v>
      </c>
      <c r="L57" s="42" t="s">
        <v>68</v>
      </c>
      <c r="M57" s="42" t="s">
        <v>68</v>
      </c>
      <c r="N57" s="42" t="s">
        <v>68</v>
      </c>
      <c r="O57" s="42" t="s">
        <v>68</v>
      </c>
      <c r="P57" s="42" t="s">
        <v>68</v>
      </c>
      <c r="Q57" s="42" t="s">
        <v>68</v>
      </c>
      <c r="R57" s="42" t="s">
        <v>68</v>
      </c>
      <c r="S57" s="42" t="s">
        <v>68</v>
      </c>
      <c r="T57" s="42" t="s">
        <v>68</v>
      </c>
      <c r="U57" s="42" t="s">
        <v>68</v>
      </c>
      <c r="V57" s="42" t="s">
        <v>68</v>
      </c>
      <c r="W57" s="42" t="s">
        <v>68</v>
      </c>
      <c r="X57" s="42" t="s">
        <v>68</v>
      </c>
      <c r="Y57" s="42" t="s">
        <v>68</v>
      </c>
      <c r="Z57" s="42" t="s">
        <v>68</v>
      </c>
      <c r="AA57" s="42" t="s">
        <v>68</v>
      </c>
      <c r="AB57" s="42" t="s">
        <v>68</v>
      </c>
      <c r="AC57" s="42" t="s">
        <v>68</v>
      </c>
      <c r="AD57" s="42" t="s">
        <v>68</v>
      </c>
      <c r="AE57" s="42" t="s">
        <v>68</v>
      </c>
      <c r="AF57" s="42" t="s">
        <v>68</v>
      </c>
      <c r="AG57" s="42" t="s">
        <v>68</v>
      </c>
      <c r="AH57" s="42" t="s">
        <v>68</v>
      </c>
      <c r="AI57" s="42" t="s">
        <v>361</v>
      </c>
      <c r="AJ57" s="23"/>
      <c r="AL57" t="str">
        <f t="shared" ca="1" si="0"/>
        <v xml:space="preserve">    (U1)ALERT_REQ_B_TDOOR_</v>
      </c>
      <c r="AR57" s="43" t="str">
        <f t="shared" si="3"/>
        <v/>
      </c>
      <c r="AS57" s="43" t="str">
        <f t="shared" si="4"/>
        <v/>
      </c>
      <c r="AT57" s="43" t="str">
        <f t="shared" si="1"/>
        <v/>
      </c>
    </row>
    <row r="58" spans="2:46">
      <c r="B58" s="103"/>
      <c r="C58" s="28">
        <f t="shared" si="2"/>
        <v>52</v>
      </c>
      <c r="D58" s="42" t="s">
        <v>68</v>
      </c>
      <c r="E58" s="42" t="s">
        <v>68</v>
      </c>
      <c r="F58" s="42" t="s">
        <v>68</v>
      </c>
      <c r="G58" s="42" t="s">
        <v>68</v>
      </c>
      <c r="H58" s="42" t="s">
        <v>68</v>
      </c>
      <c r="I58" s="42" t="s">
        <v>68</v>
      </c>
      <c r="J58" s="42" t="s">
        <v>68</v>
      </c>
      <c r="K58" s="42" t="s">
        <v>68</v>
      </c>
      <c r="L58" s="42" t="s">
        <v>68</v>
      </c>
      <c r="M58" s="42" t="s">
        <v>68</v>
      </c>
      <c r="N58" s="42" t="s">
        <v>68</v>
      </c>
      <c r="O58" s="42" t="s">
        <v>68</v>
      </c>
      <c r="P58" s="42" t="s">
        <v>68</v>
      </c>
      <c r="Q58" s="42" t="s">
        <v>68</v>
      </c>
      <c r="R58" s="42" t="s">
        <v>68</v>
      </c>
      <c r="S58" s="42" t="s">
        <v>68</v>
      </c>
      <c r="T58" s="42" t="s">
        <v>68</v>
      </c>
      <c r="U58" s="42" t="s">
        <v>68</v>
      </c>
      <c r="V58" s="42" t="s">
        <v>68</v>
      </c>
      <c r="W58" s="42" t="s">
        <v>68</v>
      </c>
      <c r="X58" s="42" t="s">
        <v>68</v>
      </c>
      <c r="Y58" s="42" t="s">
        <v>68</v>
      </c>
      <c r="Z58" s="42" t="s">
        <v>68</v>
      </c>
      <c r="AA58" s="42" t="s">
        <v>68</v>
      </c>
      <c r="AB58" s="42" t="s">
        <v>68</v>
      </c>
      <c r="AC58" s="42" t="s">
        <v>68</v>
      </c>
      <c r="AD58" s="42" t="s">
        <v>68</v>
      </c>
      <c r="AE58" s="42" t="s">
        <v>68</v>
      </c>
      <c r="AF58" s="42" t="s">
        <v>68</v>
      </c>
      <c r="AG58" s="42" t="s">
        <v>68</v>
      </c>
      <c r="AH58" s="42" t="s">
        <v>68</v>
      </c>
      <c r="AI58" s="42" t="s">
        <v>361</v>
      </c>
      <c r="AJ58" s="23"/>
      <c r="AL58" t="str">
        <f t="shared" ca="1" si="0"/>
        <v xml:space="preserve">    (U1)ALERT_REQ_B_TDOOR_</v>
      </c>
      <c r="AR58" s="43" t="str">
        <f t="shared" si="3"/>
        <v/>
      </c>
      <c r="AS58" s="43" t="str">
        <f t="shared" si="4"/>
        <v/>
      </c>
      <c r="AT58" s="43" t="str">
        <f t="shared" si="1"/>
        <v/>
      </c>
    </row>
    <row r="59" spans="2:46">
      <c r="B59" s="103"/>
      <c r="C59" s="28">
        <f t="shared" si="2"/>
        <v>53</v>
      </c>
      <c r="D59" s="42" t="s">
        <v>68</v>
      </c>
      <c r="E59" s="42" t="s">
        <v>68</v>
      </c>
      <c r="F59" s="42" t="s">
        <v>68</v>
      </c>
      <c r="G59" s="42" t="s">
        <v>68</v>
      </c>
      <c r="H59" s="42" t="s">
        <v>68</v>
      </c>
      <c r="I59" s="42" t="s">
        <v>68</v>
      </c>
      <c r="J59" s="42" t="s">
        <v>68</v>
      </c>
      <c r="K59" s="42" t="s">
        <v>68</v>
      </c>
      <c r="L59" s="42" t="s">
        <v>68</v>
      </c>
      <c r="M59" s="42" t="s">
        <v>68</v>
      </c>
      <c r="N59" s="42" t="s">
        <v>68</v>
      </c>
      <c r="O59" s="42" t="s">
        <v>68</v>
      </c>
      <c r="P59" s="42" t="s">
        <v>68</v>
      </c>
      <c r="Q59" s="42" t="s">
        <v>68</v>
      </c>
      <c r="R59" s="42" t="s">
        <v>68</v>
      </c>
      <c r="S59" s="42" t="s">
        <v>68</v>
      </c>
      <c r="T59" s="42" t="s">
        <v>68</v>
      </c>
      <c r="U59" s="42" t="s">
        <v>68</v>
      </c>
      <c r="V59" s="42" t="s">
        <v>68</v>
      </c>
      <c r="W59" s="42" t="s">
        <v>68</v>
      </c>
      <c r="X59" s="42" t="s">
        <v>68</v>
      </c>
      <c r="Y59" s="42" t="s">
        <v>68</v>
      </c>
      <c r="Z59" s="42" t="s">
        <v>68</v>
      </c>
      <c r="AA59" s="42" t="s">
        <v>68</v>
      </c>
      <c r="AB59" s="42" t="s">
        <v>68</v>
      </c>
      <c r="AC59" s="42" t="s">
        <v>68</v>
      </c>
      <c r="AD59" s="42" t="s">
        <v>68</v>
      </c>
      <c r="AE59" s="42" t="s">
        <v>68</v>
      </c>
      <c r="AF59" s="42" t="s">
        <v>68</v>
      </c>
      <c r="AG59" s="42" t="s">
        <v>68</v>
      </c>
      <c r="AH59" s="42" t="s">
        <v>68</v>
      </c>
      <c r="AI59" s="42" t="s">
        <v>361</v>
      </c>
      <c r="AJ59" s="23"/>
      <c r="AL59" t="str">
        <f t="shared" ca="1" si="0"/>
        <v xml:space="preserve">    (U1)ALERT_REQ_B_TDOOR_</v>
      </c>
      <c r="AR59" s="43" t="str">
        <f t="shared" si="3"/>
        <v/>
      </c>
      <c r="AS59" s="43" t="str">
        <f t="shared" si="4"/>
        <v/>
      </c>
      <c r="AT59" s="43" t="str">
        <f t="shared" si="1"/>
        <v/>
      </c>
    </row>
    <row r="60" spans="2:46">
      <c r="B60" s="103"/>
      <c r="C60" s="28">
        <f t="shared" si="2"/>
        <v>54</v>
      </c>
      <c r="D60" s="42" t="s">
        <v>68</v>
      </c>
      <c r="E60" s="42" t="s">
        <v>68</v>
      </c>
      <c r="F60" s="42" t="s">
        <v>68</v>
      </c>
      <c r="G60" s="42" t="s">
        <v>68</v>
      </c>
      <c r="H60" s="42" t="s">
        <v>68</v>
      </c>
      <c r="I60" s="42" t="s">
        <v>68</v>
      </c>
      <c r="J60" s="42" t="s">
        <v>68</v>
      </c>
      <c r="K60" s="42" t="s">
        <v>68</v>
      </c>
      <c r="L60" s="42" t="s">
        <v>68</v>
      </c>
      <c r="M60" s="42" t="s">
        <v>68</v>
      </c>
      <c r="N60" s="42" t="s">
        <v>68</v>
      </c>
      <c r="O60" s="42" t="s">
        <v>68</v>
      </c>
      <c r="P60" s="42" t="s">
        <v>68</v>
      </c>
      <c r="Q60" s="42" t="s">
        <v>68</v>
      </c>
      <c r="R60" s="42" t="s">
        <v>68</v>
      </c>
      <c r="S60" s="42" t="s">
        <v>68</v>
      </c>
      <c r="T60" s="42" t="s">
        <v>68</v>
      </c>
      <c r="U60" s="42" t="s">
        <v>68</v>
      </c>
      <c r="V60" s="42" t="s">
        <v>68</v>
      </c>
      <c r="W60" s="42" t="s">
        <v>68</v>
      </c>
      <c r="X60" s="42" t="s">
        <v>68</v>
      </c>
      <c r="Y60" s="42" t="s">
        <v>68</v>
      </c>
      <c r="Z60" s="42" t="s">
        <v>68</v>
      </c>
      <c r="AA60" s="42" t="s">
        <v>68</v>
      </c>
      <c r="AB60" s="42" t="s">
        <v>68</v>
      </c>
      <c r="AC60" s="42" t="s">
        <v>68</v>
      </c>
      <c r="AD60" s="42" t="s">
        <v>68</v>
      </c>
      <c r="AE60" s="42" t="s">
        <v>68</v>
      </c>
      <c r="AF60" s="42" t="s">
        <v>68</v>
      </c>
      <c r="AG60" s="42" t="s">
        <v>68</v>
      </c>
      <c r="AH60" s="42" t="s">
        <v>68</v>
      </c>
      <c r="AI60" s="42" t="s">
        <v>361</v>
      </c>
      <c r="AJ60" s="23"/>
      <c r="AL60" t="str">
        <f t="shared" ca="1" si="0"/>
        <v xml:space="preserve">    (U1)ALERT_REQ_B_TDOOR_</v>
      </c>
      <c r="AR60" s="43" t="str">
        <f t="shared" si="3"/>
        <v/>
      </c>
      <c r="AS60" s="43" t="str">
        <f t="shared" si="4"/>
        <v/>
      </c>
      <c r="AT60" s="43" t="str">
        <f t="shared" si="1"/>
        <v/>
      </c>
    </row>
    <row r="61" spans="2:46">
      <c r="B61" s="103"/>
      <c r="C61" s="28">
        <f t="shared" si="2"/>
        <v>55</v>
      </c>
      <c r="D61" s="42" t="s">
        <v>68</v>
      </c>
      <c r="E61" s="42" t="s">
        <v>68</v>
      </c>
      <c r="F61" s="42" t="s">
        <v>68</v>
      </c>
      <c r="G61" s="42" t="s">
        <v>68</v>
      </c>
      <c r="H61" s="42" t="s">
        <v>68</v>
      </c>
      <c r="I61" s="42" t="s">
        <v>68</v>
      </c>
      <c r="J61" s="42" t="s">
        <v>68</v>
      </c>
      <c r="K61" s="42" t="s">
        <v>68</v>
      </c>
      <c r="L61" s="42" t="s">
        <v>68</v>
      </c>
      <c r="M61" s="42" t="s">
        <v>68</v>
      </c>
      <c r="N61" s="42" t="s">
        <v>68</v>
      </c>
      <c r="O61" s="42" t="s">
        <v>68</v>
      </c>
      <c r="P61" s="42" t="s">
        <v>68</v>
      </c>
      <c r="Q61" s="42" t="s">
        <v>68</v>
      </c>
      <c r="R61" s="42" t="s">
        <v>68</v>
      </c>
      <c r="S61" s="42" t="s">
        <v>68</v>
      </c>
      <c r="T61" s="42" t="s">
        <v>68</v>
      </c>
      <c r="U61" s="42" t="s">
        <v>68</v>
      </c>
      <c r="V61" s="42" t="s">
        <v>68</v>
      </c>
      <c r="W61" s="42" t="s">
        <v>68</v>
      </c>
      <c r="X61" s="42" t="s">
        <v>68</v>
      </c>
      <c r="Y61" s="42" t="s">
        <v>68</v>
      </c>
      <c r="Z61" s="42" t="s">
        <v>68</v>
      </c>
      <c r="AA61" s="42" t="s">
        <v>68</v>
      </c>
      <c r="AB61" s="42" t="s">
        <v>68</v>
      </c>
      <c r="AC61" s="42" t="s">
        <v>68</v>
      </c>
      <c r="AD61" s="42" t="s">
        <v>68</v>
      </c>
      <c r="AE61" s="42" t="s">
        <v>68</v>
      </c>
      <c r="AF61" s="42" t="s">
        <v>68</v>
      </c>
      <c r="AG61" s="42" t="s">
        <v>68</v>
      </c>
      <c r="AH61" s="42" t="s">
        <v>68</v>
      </c>
      <c r="AI61" s="42" t="s">
        <v>361</v>
      </c>
      <c r="AJ61" s="23"/>
      <c r="AL61" t="str">
        <f t="shared" ca="1" si="0"/>
        <v xml:space="preserve">    (U1)ALERT_REQ_B_TDOOR_</v>
      </c>
      <c r="AR61" s="43" t="str">
        <f t="shared" si="3"/>
        <v/>
      </c>
      <c r="AS61" s="43" t="str">
        <f t="shared" si="4"/>
        <v/>
      </c>
      <c r="AT61" s="43" t="str">
        <f t="shared" si="1"/>
        <v/>
      </c>
    </row>
    <row r="62" spans="2:46">
      <c r="B62" s="103"/>
      <c r="C62" s="28">
        <f t="shared" si="2"/>
        <v>56</v>
      </c>
      <c r="D62" s="42" t="s">
        <v>68</v>
      </c>
      <c r="E62" s="42" t="s">
        <v>68</v>
      </c>
      <c r="F62" s="42" t="s">
        <v>68</v>
      </c>
      <c r="G62" s="42" t="s">
        <v>68</v>
      </c>
      <c r="H62" s="42" t="s">
        <v>68</v>
      </c>
      <c r="I62" s="42" t="s">
        <v>68</v>
      </c>
      <c r="J62" s="42" t="s">
        <v>68</v>
      </c>
      <c r="K62" s="42" t="s">
        <v>68</v>
      </c>
      <c r="L62" s="42" t="s">
        <v>68</v>
      </c>
      <c r="M62" s="42" t="s">
        <v>68</v>
      </c>
      <c r="N62" s="42" t="s">
        <v>68</v>
      </c>
      <c r="O62" s="42" t="s">
        <v>68</v>
      </c>
      <c r="P62" s="42" t="s">
        <v>68</v>
      </c>
      <c r="Q62" s="42" t="s">
        <v>68</v>
      </c>
      <c r="R62" s="42" t="s">
        <v>68</v>
      </c>
      <c r="S62" s="42" t="s">
        <v>68</v>
      </c>
      <c r="T62" s="42" t="s">
        <v>68</v>
      </c>
      <c r="U62" s="42" t="s">
        <v>68</v>
      </c>
      <c r="V62" s="42" t="s">
        <v>68</v>
      </c>
      <c r="W62" s="42" t="s">
        <v>68</v>
      </c>
      <c r="X62" s="42" t="s">
        <v>68</v>
      </c>
      <c r="Y62" s="42" t="s">
        <v>68</v>
      </c>
      <c r="Z62" s="42" t="s">
        <v>68</v>
      </c>
      <c r="AA62" s="42" t="s">
        <v>68</v>
      </c>
      <c r="AB62" s="42" t="s">
        <v>68</v>
      </c>
      <c r="AC62" s="42" t="s">
        <v>68</v>
      </c>
      <c r="AD62" s="42" t="s">
        <v>68</v>
      </c>
      <c r="AE62" s="42" t="s">
        <v>68</v>
      </c>
      <c r="AF62" s="42" t="s">
        <v>68</v>
      </c>
      <c r="AG62" s="42" t="s">
        <v>68</v>
      </c>
      <c r="AH62" s="42" t="s">
        <v>68</v>
      </c>
      <c r="AI62" s="42" t="s">
        <v>361</v>
      </c>
      <c r="AJ62" s="23"/>
      <c r="AL62" t="str">
        <f t="shared" ca="1" si="0"/>
        <v xml:space="preserve">    (U1)ALERT_REQ_B_TDOOR_</v>
      </c>
      <c r="AR62" s="43" t="str">
        <f t="shared" si="3"/>
        <v/>
      </c>
      <c r="AS62" s="43" t="str">
        <f t="shared" si="4"/>
        <v/>
      </c>
      <c r="AT62" s="43" t="str">
        <f t="shared" si="1"/>
        <v/>
      </c>
    </row>
    <row r="63" spans="2:46">
      <c r="B63" s="103"/>
      <c r="C63" s="28">
        <f t="shared" si="2"/>
        <v>57</v>
      </c>
      <c r="D63" s="42" t="s">
        <v>68</v>
      </c>
      <c r="E63" s="42" t="s">
        <v>68</v>
      </c>
      <c r="F63" s="42" t="s">
        <v>68</v>
      </c>
      <c r="G63" s="42" t="s">
        <v>68</v>
      </c>
      <c r="H63" s="42" t="s">
        <v>68</v>
      </c>
      <c r="I63" s="42" t="s">
        <v>68</v>
      </c>
      <c r="J63" s="42" t="s">
        <v>68</v>
      </c>
      <c r="K63" s="42" t="s">
        <v>68</v>
      </c>
      <c r="L63" s="42" t="s">
        <v>68</v>
      </c>
      <c r="M63" s="42" t="s">
        <v>68</v>
      </c>
      <c r="N63" s="42" t="s">
        <v>68</v>
      </c>
      <c r="O63" s="42" t="s">
        <v>68</v>
      </c>
      <c r="P63" s="42" t="s">
        <v>68</v>
      </c>
      <c r="Q63" s="42" t="s">
        <v>68</v>
      </c>
      <c r="R63" s="42" t="s">
        <v>68</v>
      </c>
      <c r="S63" s="42" t="s">
        <v>68</v>
      </c>
      <c r="T63" s="42" t="s">
        <v>68</v>
      </c>
      <c r="U63" s="42" t="s">
        <v>68</v>
      </c>
      <c r="V63" s="42" t="s">
        <v>68</v>
      </c>
      <c r="W63" s="42" t="s">
        <v>68</v>
      </c>
      <c r="X63" s="42" t="s">
        <v>68</v>
      </c>
      <c r="Y63" s="42" t="s">
        <v>68</v>
      </c>
      <c r="Z63" s="42" t="s">
        <v>68</v>
      </c>
      <c r="AA63" s="42" t="s">
        <v>68</v>
      </c>
      <c r="AB63" s="42" t="s">
        <v>68</v>
      </c>
      <c r="AC63" s="42" t="s">
        <v>68</v>
      </c>
      <c r="AD63" s="42" t="s">
        <v>68</v>
      </c>
      <c r="AE63" s="42" t="s">
        <v>68</v>
      </c>
      <c r="AF63" s="42" t="s">
        <v>68</v>
      </c>
      <c r="AG63" s="42" t="s">
        <v>68</v>
      </c>
      <c r="AH63" s="42" t="s">
        <v>68</v>
      </c>
      <c r="AI63" s="42" t="s">
        <v>361</v>
      </c>
      <c r="AJ63" s="23"/>
      <c r="AL63" t="str">
        <f t="shared" ca="1" si="0"/>
        <v xml:space="preserve">    (U1)ALERT_REQ_B_TDOOR_</v>
      </c>
      <c r="AR63" s="43" t="str">
        <f t="shared" si="3"/>
        <v/>
      </c>
      <c r="AS63" s="43" t="str">
        <f t="shared" si="4"/>
        <v/>
      </c>
      <c r="AT63" s="43" t="str">
        <f t="shared" si="1"/>
        <v/>
      </c>
    </row>
    <row r="64" spans="2:46">
      <c r="B64" s="103"/>
      <c r="C64" s="28">
        <f t="shared" si="2"/>
        <v>58</v>
      </c>
      <c r="D64" s="42" t="s">
        <v>68</v>
      </c>
      <c r="E64" s="42" t="s">
        <v>68</v>
      </c>
      <c r="F64" s="42" t="s">
        <v>68</v>
      </c>
      <c r="G64" s="42" t="s">
        <v>68</v>
      </c>
      <c r="H64" s="42" t="s">
        <v>68</v>
      </c>
      <c r="I64" s="42" t="s">
        <v>68</v>
      </c>
      <c r="J64" s="42" t="s">
        <v>68</v>
      </c>
      <c r="K64" s="42" t="s">
        <v>68</v>
      </c>
      <c r="L64" s="42" t="s">
        <v>68</v>
      </c>
      <c r="M64" s="42" t="s">
        <v>68</v>
      </c>
      <c r="N64" s="42" t="s">
        <v>68</v>
      </c>
      <c r="O64" s="42" t="s">
        <v>68</v>
      </c>
      <c r="P64" s="42" t="s">
        <v>68</v>
      </c>
      <c r="Q64" s="42" t="s">
        <v>68</v>
      </c>
      <c r="R64" s="42" t="s">
        <v>68</v>
      </c>
      <c r="S64" s="42" t="s">
        <v>68</v>
      </c>
      <c r="T64" s="42" t="s">
        <v>68</v>
      </c>
      <c r="U64" s="42" t="s">
        <v>68</v>
      </c>
      <c r="V64" s="42" t="s">
        <v>68</v>
      </c>
      <c r="W64" s="42" t="s">
        <v>68</v>
      </c>
      <c r="X64" s="42" t="s">
        <v>68</v>
      </c>
      <c r="Y64" s="42" t="s">
        <v>68</v>
      </c>
      <c r="Z64" s="42" t="s">
        <v>68</v>
      </c>
      <c r="AA64" s="42" t="s">
        <v>68</v>
      </c>
      <c r="AB64" s="42" t="s">
        <v>68</v>
      </c>
      <c r="AC64" s="42" t="s">
        <v>68</v>
      </c>
      <c r="AD64" s="42" t="s">
        <v>68</v>
      </c>
      <c r="AE64" s="42" t="s">
        <v>68</v>
      </c>
      <c r="AF64" s="42" t="s">
        <v>68</v>
      </c>
      <c r="AG64" s="42" t="s">
        <v>68</v>
      </c>
      <c r="AH64" s="42" t="s">
        <v>68</v>
      </c>
      <c r="AI64" s="42" t="s">
        <v>361</v>
      </c>
      <c r="AJ64" s="23"/>
      <c r="AL64" t="str">
        <f t="shared" ca="1" si="0"/>
        <v xml:space="preserve">    (U1)ALERT_REQ_B_TDOOR_</v>
      </c>
      <c r="AR64" s="43" t="str">
        <f t="shared" si="3"/>
        <v/>
      </c>
      <c r="AS64" s="43" t="str">
        <f t="shared" si="4"/>
        <v/>
      </c>
      <c r="AT64" s="43" t="str">
        <f t="shared" si="1"/>
        <v/>
      </c>
    </row>
    <row r="65" spans="1:46">
      <c r="B65" s="103"/>
      <c r="C65" s="28">
        <f t="shared" si="2"/>
        <v>59</v>
      </c>
      <c r="D65" s="42" t="s">
        <v>68</v>
      </c>
      <c r="E65" s="42" t="s">
        <v>68</v>
      </c>
      <c r="F65" s="42" t="s">
        <v>68</v>
      </c>
      <c r="G65" s="42" t="s">
        <v>68</v>
      </c>
      <c r="H65" s="42" t="s">
        <v>68</v>
      </c>
      <c r="I65" s="42" t="s">
        <v>68</v>
      </c>
      <c r="J65" s="42" t="s">
        <v>68</v>
      </c>
      <c r="K65" s="42" t="s">
        <v>68</v>
      </c>
      <c r="L65" s="42" t="s">
        <v>68</v>
      </c>
      <c r="M65" s="42" t="s">
        <v>68</v>
      </c>
      <c r="N65" s="42" t="s">
        <v>68</v>
      </c>
      <c r="O65" s="42" t="s">
        <v>68</v>
      </c>
      <c r="P65" s="42" t="s">
        <v>68</v>
      </c>
      <c r="Q65" s="42" t="s">
        <v>68</v>
      </c>
      <c r="R65" s="42" t="s">
        <v>68</v>
      </c>
      <c r="S65" s="42" t="s">
        <v>68</v>
      </c>
      <c r="T65" s="42" t="s">
        <v>68</v>
      </c>
      <c r="U65" s="42" t="s">
        <v>68</v>
      </c>
      <c r="V65" s="42" t="s">
        <v>68</v>
      </c>
      <c r="W65" s="42" t="s">
        <v>68</v>
      </c>
      <c r="X65" s="42" t="s">
        <v>68</v>
      </c>
      <c r="Y65" s="42" t="s">
        <v>68</v>
      </c>
      <c r="Z65" s="42" t="s">
        <v>68</v>
      </c>
      <c r="AA65" s="42" t="s">
        <v>68</v>
      </c>
      <c r="AB65" s="42" t="s">
        <v>68</v>
      </c>
      <c r="AC65" s="42" t="s">
        <v>68</v>
      </c>
      <c r="AD65" s="42" t="s">
        <v>68</v>
      </c>
      <c r="AE65" s="42" t="s">
        <v>68</v>
      </c>
      <c r="AF65" s="42" t="s">
        <v>68</v>
      </c>
      <c r="AG65" s="42" t="s">
        <v>68</v>
      </c>
      <c r="AH65" s="42" t="s">
        <v>68</v>
      </c>
      <c r="AI65" s="42" t="s">
        <v>361</v>
      </c>
      <c r="AJ65" s="23"/>
      <c r="AL65" t="str">
        <f t="shared" ca="1" si="0"/>
        <v xml:space="preserve">    (U1)ALERT_REQ_B_TDOOR_</v>
      </c>
      <c r="AR65" s="43" t="str">
        <f t="shared" si="3"/>
        <v/>
      </c>
      <c r="AS65" s="43" t="str">
        <f t="shared" si="4"/>
        <v/>
      </c>
      <c r="AT65" s="43" t="str">
        <f t="shared" si="1"/>
        <v/>
      </c>
    </row>
    <row r="66" spans="1:46">
      <c r="B66" s="103"/>
      <c r="C66" s="28">
        <f t="shared" si="2"/>
        <v>60</v>
      </c>
      <c r="D66" s="42" t="s">
        <v>68</v>
      </c>
      <c r="E66" s="42" t="s">
        <v>68</v>
      </c>
      <c r="F66" s="42" t="s">
        <v>68</v>
      </c>
      <c r="G66" s="42" t="s">
        <v>68</v>
      </c>
      <c r="H66" s="42" t="s">
        <v>68</v>
      </c>
      <c r="I66" s="42" t="s">
        <v>68</v>
      </c>
      <c r="J66" s="42" t="s">
        <v>68</v>
      </c>
      <c r="K66" s="42" t="s">
        <v>68</v>
      </c>
      <c r="L66" s="42" t="s">
        <v>68</v>
      </c>
      <c r="M66" s="42" t="s">
        <v>68</v>
      </c>
      <c r="N66" s="42" t="s">
        <v>68</v>
      </c>
      <c r="O66" s="42" t="s">
        <v>68</v>
      </c>
      <c r="P66" s="42" t="s">
        <v>68</v>
      </c>
      <c r="Q66" s="42" t="s">
        <v>68</v>
      </c>
      <c r="R66" s="42" t="s">
        <v>68</v>
      </c>
      <c r="S66" s="42" t="s">
        <v>68</v>
      </c>
      <c r="T66" s="42" t="s">
        <v>68</v>
      </c>
      <c r="U66" s="42" t="s">
        <v>68</v>
      </c>
      <c r="V66" s="42" t="s">
        <v>68</v>
      </c>
      <c r="W66" s="42" t="s">
        <v>68</v>
      </c>
      <c r="X66" s="42" t="s">
        <v>68</v>
      </c>
      <c r="Y66" s="42" t="s">
        <v>68</v>
      </c>
      <c r="Z66" s="42" t="s">
        <v>68</v>
      </c>
      <c r="AA66" s="42" t="s">
        <v>68</v>
      </c>
      <c r="AB66" s="42" t="s">
        <v>68</v>
      </c>
      <c r="AC66" s="42" t="s">
        <v>68</v>
      </c>
      <c r="AD66" s="42" t="s">
        <v>68</v>
      </c>
      <c r="AE66" s="42" t="s">
        <v>68</v>
      </c>
      <c r="AF66" s="42" t="s">
        <v>68</v>
      </c>
      <c r="AG66" s="42" t="s">
        <v>68</v>
      </c>
      <c r="AH66" s="42" t="s">
        <v>68</v>
      </c>
      <c r="AI66" s="42" t="s">
        <v>361</v>
      </c>
      <c r="AJ66" s="23"/>
      <c r="AL66" t="str">
        <f t="shared" ca="1" si="0"/>
        <v xml:space="preserve">    (U1)ALERT_REQ_B_TDOOR_</v>
      </c>
      <c r="AR66" s="43" t="str">
        <f t="shared" si="3"/>
        <v/>
      </c>
      <c r="AS66" s="43" t="str">
        <f t="shared" si="4"/>
        <v/>
      </c>
      <c r="AT66" s="43" t="str">
        <f t="shared" si="1"/>
        <v/>
      </c>
    </row>
    <row r="67" spans="1:46">
      <c r="B67" s="103"/>
      <c r="C67" s="28">
        <f t="shared" si="2"/>
        <v>61</v>
      </c>
      <c r="D67" s="42" t="s">
        <v>68</v>
      </c>
      <c r="E67" s="42" t="s">
        <v>68</v>
      </c>
      <c r="F67" s="42" t="s">
        <v>68</v>
      </c>
      <c r="G67" s="42" t="s">
        <v>68</v>
      </c>
      <c r="H67" s="42" t="s">
        <v>68</v>
      </c>
      <c r="I67" s="42" t="s">
        <v>68</v>
      </c>
      <c r="J67" s="42" t="s">
        <v>68</v>
      </c>
      <c r="K67" s="42" t="s">
        <v>68</v>
      </c>
      <c r="L67" s="42" t="s">
        <v>68</v>
      </c>
      <c r="M67" s="42" t="s">
        <v>68</v>
      </c>
      <c r="N67" s="42" t="s">
        <v>68</v>
      </c>
      <c r="O67" s="42" t="s">
        <v>68</v>
      </c>
      <c r="P67" s="42" t="s">
        <v>68</v>
      </c>
      <c r="Q67" s="42" t="s">
        <v>68</v>
      </c>
      <c r="R67" s="42" t="s">
        <v>68</v>
      </c>
      <c r="S67" s="42" t="s">
        <v>68</v>
      </c>
      <c r="T67" s="42" t="s">
        <v>68</v>
      </c>
      <c r="U67" s="42" t="s">
        <v>68</v>
      </c>
      <c r="V67" s="42" t="s">
        <v>68</v>
      </c>
      <c r="W67" s="42" t="s">
        <v>68</v>
      </c>
      <c r="X67" s="42" t="s">
        <v>68</v>
      </c>
      <c r="Y67" s="42" t="s">
        <v>68</v>
      </c>
      <c r="Z67" s="42" t="s">
        <v>68</v>
      </c>
      <c r="AA67" s="42" t="s">
        <v>68</v>
      </c>
      <c r="AB67" s="42" t="s">
        <v>68</v>
      </c>
      <c r="AC67" s="42" t="s">
        <v>68</v>
      </c>
      <c r="AD67" s="42" t="s">
        <v>68</v>
      </c>
      <c r="AE67" s="42" t="s">
        <v>68</v>
      </c>
      <c r="AF67" s="42" t="s">
        <v>68</v>
      </c>
      <c r="AG67" s="42" t="s">
        <v>68</v>
      </c>
      <c r="AH67" s="42" t="s">
        <v>68</v>
      </c>
      <c r="AI67" s="42" t="s">
        <v>68</v>
      </c>
      <c r="AJ67" s="23"/>
      <c r="AL67" t="str">
        <f t="shared" ca="1" si="0"/>
        <v xml:space="preserve">    (U1)ALERT_REQ_B_TDOOR_</v>
      </c>
      <c r="AR67" s="43" t="str">
        <f t="shared" si="3"/>
        <v/>
      </c>
      <c r="AS67" s="43" t="str">
        <f t="shared" si="4"/>
        <v/>
      </c>
      <c r="AT67" s="43" t="str">
        <f t="shared" si="1"/>
        <v/>
      </c>
    </row>
    <row r="68" spans="1:46">
      <c r="B68" s="103"/>
      <c r="C68" s="28">
        <f t="shared" si="2"/>
        <v>62</v>
      </c>
      <c r="D68" s="42" t="s">
        <v>68</v>
      </c>
      <c r="E68" s="42" t="s">
        <v>68</v>
      </c>
      <c r="F68" s="42" t="s">
        <v>68</v>
      </c>
      <c r="G68" s="42" t="s">
        <v>68</v>
      </c>
      <c r="H68" s="42" t="s">
        <v>68</v>
      </c>
      <c r="I68" s="42" t="s">
        <v>68</v>
      </c>
      <c r="J68" s="42" t="s">
        <v>68</v>
      </c>
      <c r="K68" s="42" t="s">
        <v>68</v>
      </c>
      <c r="L68" s="42" t="s">
        <v>68</v>
      </c>
      <c r="M68" s="42" t="s">
        <v>68</v>
      </c>
      <c r="N68" s="42" t="s">
        <v>68</v>
      </c>
      <c r="O68" s="42" t="s">
        <v>68</v>
      </c>
      <c r="P68" s="42" t="s">
        <v>68</v>
      </c>
      <c r="Q68" s="42" t="s">
        <v>68</v>
      </c>
      <c r="R68" s="42" t="s">
        <v>68</v>
      </c>
      <c r="S68" s="42" t="s">
        <v>68</v>
      </c>
      <c r="T68" s="42" t="s">
        <v>68</v>
      </c>
      <c r="U68" s="42" t="s">
        <v>68</v>
      </c>
      <c r="V68" s="42" t="s">
        <v>68</v>
      </c>
      <c r="W68" s="42" t="s">
        <v>68</v>
      </c>
      <c r="X68" s="42" t="s">
        <v>68</v>
      </c>
      <c r="Y68" s="42" t="s">
        <v>68</v>
      </c>
      <c r="Z68" s="42" t="s">
        <v>68</v>
      </c>
      <c r="AA68" s="42" t="s">
        <v>68</v>
      </c>
      <c r="AB68" s="42" t="s">
        <v>68</v>
      </c>
      <c r="AC68" s="42" t="s">
        <v>68</v>
      </c>
      <c r="AD68" s="42" t="s">
        <v>68</v>
      </c>
      <c r="AE68" s="42" t="s">
        <v>68</v>
      </c>
      <c r="AF68" s="42" t="s">
        <v>68</v>
      </c>
      <c r="AG68" s="42" t="s">
        <v>68</v>
      </c>
      <c r="AH68" s="42" t="s">
        <v>68</v>
      </c>
      <c r="AI68" s="42" t="s">
        <v>68</v>
      </c>
      <c r="AJ68" s="23"/>
      <c r="AL68" t="str">
        <f t="shared" ca="1" si="0"/>
        <v xml:space="preserve">    (U1)ALERT_REQ_B_TDOOR_</v>
      </c>
      <c r="AR68" s="43" t="str">
        <f t="shared" si="3"/>
        <v/>
      </c>
      <c r="AS68" s="43" t="str">
        <f t="shared" si="4"/>
        <v/>
      </c>
      <c r="AT68" s="43" t="str">
        <f t="shared" si="1"/>
        <v/>
      </c>
    </row>
    <row r="69" spans="1:46">
      <c r="B69" s="104"/>
      <c r="C69" s="28">
        <f t="shared" si="2"/>
        <v>63</v>
      </c>
      <c r="D69" s="42" t="s">
        <v>68</v>
      </c>
      <c r="E69" s="42" t="s">
        <v>68</v>
      </c>
      <c r="F69" s="42" t="s">
        <v>68</v>
      </c>
      <c r="G69" s="42" t="s">
        <v>68</v>
      </c>
      <c r="H69" s="42" t="s">
        <v>68</v>
      </c>
      <c r="I69" s="42" t="s">
        <v>68</v>
      </c>
      <c r="J69" s="42" t="s">
        <v>68</v>
      </c>
      <c r="K69" s="42" t="s">
        <v>68</v>
      </c>
      <c r="L69" s="42" t="s">
        <v>68</v>
      </c>
      <c r="M69" s="42" t="s">
        <v>68</v>
      </c>
      <c r="N69" s="42" t="s">
        <v>68</v>
      </c>
      <c r="O69" s="42" t="s">
        <v>68</v>
      </c>
      <c r="P69" s="42" t="s">
        <v>68</v>
      </c>
      <c r="Q69" s="42" t="s">
        <v>68</v>
      </c>
      <c r="R69" s="42" t="s">
        <v>68</v>
      </c>
      <c r="S69" s="42" t="s">
        <v>68</v>
      </c>
      <c r="T69" s="42" t="s">
        <v>68</v>
      </c>
      <c r="U69" s="42" t="s">
        <v>68</v>
      </c>
      <c r="V69" s="42" t="s">
        <v>68</v>
      </c>
      <c r="W69" s="42" t="s">
        <v>68</v>
      </c>
      <c r="X69" s="42" t="s">
        <v>68</v>
      </c>
      <c r="Y69" s="42" t="s">
        <v>68</v>
      </c>
      <c r="Z69" s="42" t="s">
        <v>68</v>
      </c>
      <c r="AA69" s="42" t="s">
        <v>68</v>
      </c>
      <c r="AB69" s="42" t="s">
        <v>68</v>
      </c>
      <c r="AC69" s="42" t="s">
        <v>68</v>
      </c>
      <c r="AD69" s="42" t="s">
        <v>68</v>
      </c>
      <c r="AE69" s="42" t="s">
        <v>68</v>
      </c>
      <c r="AF69" s="42" t="s">
        <v>68</v>
      </c>
      <c r="AG69" s="42" t="s">
        <v>68</v>
      </c>
      <c r="AH69" s="42" t="s">
        <v>68</v>
      </c>
      <c r="AI69" s="42" t="s">
        <v>68</v>
      </c>
      <c r="AJ69" s="23"/>
      <c r="AL69" t="str">
        <f t="shared" ca="1" si="0"/>
        <v xml:space="preserve">    (U1)ALERT_REQ_B_TDOOR_</v>
      </c>
      <c r="AR69" s="43" t="str">
        <f t="shared" si="3"/>
        <v/>
      </c>
      <c r="AS69" s="43" t="str">
        <f t="shared" si="4"/>
        <v/>
      </c>
      <c r="AT69" s="43" t="str">
        <f t="shared" si="1"/>
        <v/>
      </c>
    </row>
    <row r="70" spans="1:46" ht="14.25" thickBot="1">
      <c r="A70" s="37" t="s">
        <v>65</v>
      </c>
      <c r="B70" s="38"/>
      <c r="C70" s="3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38"/>
      <c r="AR70" s="44" t="str">
        <f t="shared" si="3"/>
        <v/>
      </c>
      <c r="AS70" s="44" t="str">
        <f t="shared" si="4"/>
        <v/>
      </c>
      <c r="AT70" s="44" t="str">
        <f>IF(AJ70&lt;&gt;"",AL70&amp;IF(AJ71&lt;&gt;"",","," ")&amp;REPT(" ",78-LEN(AL70))&amp;"/* "&amp;IF(C70&lt;10,"0"&amp;C70,C70)&amp;" "&amp;AJ70&amp;REPT(" ",48-LEN(AJ70))&amp;"*/",IF(AJ69&lt;&gt;"","};",""))</f>
        <v/>
      </c>
    </row>
    <row r="71" spans="1:46">
      <c r="B71" s="105" t="str">
        <f ca="1">IF(B6&lt;&gt;"",B6,"")</f>
        <v>Table B_TDOOR</v>
      </c>
      <c r="C71" s="28">
        <f>IF(C6&lt;&gt;"",C6,"")</f>
        <v>0</v>
      </c>
      <c r="D71" s="96">
        <f t="shared" ref="D71:AI78" si="5">IF(D6=1,1,0)</f>
        <v>0</v>
      </c>
      <c r="E71" s="96">
        <f t="shared" si="5"/>
        <v>0</v>
      </c>
      <c r="F71" s="96">
        <f t="shared" si="5"/>
        <v>0</v>
      </c>
      <c r="G71" s="96">
        <f t="shared" si="5"/>
        <v>0</v>
      </c>
      <c r="H71" s="96">
        <f t="shared" si="5"/>
        <v>1</v>
      </c>
      <c r="I71" s="96">
        <f t="shared" si="5"/>
        <v>0</v>
      </c>
      <c r="J71" s="96">
        <f t="shared" si="5"/>
        <v>0</v>
      </c>
      <c r="K71" s="96">
        <f t="shared" si="5"/>
        <v>0</v>
      </c>
      <c r="L71" s="96">
        <f t="shared" si="5"/>
        <v>0</v>
      </c>
      <c r="M71" s="96">
        <f t="shared" si="5"/>
        <v>0</v>
      </c>
      <c r="N71" s="96">
        <f t="shared" si="5"/>
        <v>0</v>
      </c>
      <c r="O71" s="96">
        <f t="shared" si="5"/>
        <v>0</v>
      </c>
      <c r="P71" s="96">
        <f t="shared" si="5"/>
        <v>0</v>
      </c>
      <c r="Q71" s="96">
        <f t="shared" si="5"/>
        <v>0</v>
      </c>
      <c r="R71" s="96">
        <f t="shared" si="5"/>
        <v>0</v>
      </c>
      <c r="S71" s="96">
        <f t="shared" si="5"/>
        <v>0</v>
      </c>
      <c r="T71" s="96">
        <f t="shared" si="5"/>
        <v>0</v>
      </c>
      <c r="U71" s="96">
        <f t="shared" si="5"/>
        <v>0</v>
      </c>
      <c r="V71" s="96">
        <f t="shared" si="5"/>
        <v>0</v>
      </c>
      <c r="W71" s="96">
        <f t="shared" si="5"/>
        <v>0</v>
      </c>
      <c r="X71" s="96">
        <f t="shared" si="5"/>
        <v>0</v>
      </c>
      <c r="Y71" s="96">
        <f t="shared" si="5"/>
        <v>0</v>
      </c>
      <c r="Z71" s="96">
        <f t="shared" si="5"/>
        <v>0</v>
      </c>
      <c r="AA71" s="96">
        <f t="shared" si="5"/>
        <v>0</v>
      </c>
      <c r="AB71" s="96">
        <f t="shared" si="5"/>
        <v>0</v>
      </c>
      <c r="AC71" s="96">
        <f t="shared" si="5"/>
        <v>0</v>
      </c>
      <c r="AD71" s="96">
        <f t="shared" si="5"/>
        <v>0</v>
      </c>
      <c r="AE71" s="96">
        <f t="shared" si="5"/>
        <v>0</v>
      </c>
      <c r="AF71" s="96">
        <f t="shared" si="5"/>
        <v>0</v>
      </c>
      <c r="AG71" s="96">
        <f t="shared" si="5"/>
        <v>1</v>
      </c>
      <c r="AH71" s="96">
        <f t="shared" si="5"/>
        <v>0</v>
      </c>
      <c r="AI71" s="96">
        <f t="shared" si="5"/>
        <v>0</v>
      </c>
      <c r="AJ71" s="28" t="str">
        <f t="shared" ref="AJ71:AJ134" si="6">IF(AJ6&lt;&gt;"",AJ6,"")</f>
        <v>IG_OFF</v>
      </c>
      <c r="AK71" s="41"/>
      <c r="AL71" s="41" t="str">
        <f>BIN2HEX(AB71&amp;AC71&amp;AD71&amp;AE71&amp;AF71&amp;AG71&amp;AH71&amp;AI71,2)</f>
        <v>04</v>
      </c>
      <c r="AM71" s="41" t="str">
        <f>BIN2HEX(T71&amp;U71&amp;V71&amp;W71&amp;X71&amp;Y71&amp;Z71&amp;AA71,2)</f>
        <v>00</v>
      </c>
      <c r="AN71" s="41" t="str">
        <f>BIN2HEX(L71&amp;M71&amp;N71&amp;O71&amp;P71&amp;Q71&amp;R71&amp;S71,2)</f>
        <v>00</v>
      </c>
      <c r="AO71" s="41" t="str">
        <f>BIN2HEX(D71&amp;E71&amp;F71&amp;G71&amp;H71&amp;I71&amp;J71&amp;K71,2)</f>
        <v>08</v>
      </c>
      <c r="AQ71" t="str">
        <f t="shared" ref="AQ71:AQ134" si="7">IF(AJ71="","","    (U4)0x"&amp;AO71&amp;AN71&amp;AM71&amp;AL71&amp;"U"&amp;IF(AJ72=""," ",",")&amp;REPT(" ",59)&amp;"/* "&amp;IF(C71&lt;10,"0"&amp;C71,C71)&amp;" "&amp;AJ71&amp;REPT(" ",47-LEN(AJ71))&amp;" */")</f>
        <v xml:space="preserve">    (U4)0x08000004U,                                                           /* 00 IG_OFF                                          */</v>
      </c>
    </row>
    <row r="72" spans="1:46">
      <c r="B72" s="103"/>
      <c r="C72" s="28">
        <f t="shared" ref="C72:C134" si="8">IF(C7&lt;&gt;"",C7,"")</f>
        <v>1</v>
      </c>
      <c r="D72" s="96">
        <f t="shared" si="5"/>
        <v>0</v>
      </c>
      <c r="E72" s="96">
        <f t="shared" si="5"/>
        <v>0</v>
      </c>
      <c r="F72" s="96">
        <f t="shared" si="5"/>
        <v>0</v>
      </c>
      <c r="G72" s="96">
        <f t="shared" si="5"/>
        <v>0</v>
      </c>
      <c r="H72" s="96">
        <f t="shared" si="5"/>
        <v>1</v>
      </c>
      <c r="I72" s="96">
        <f t="shared" si="5"/>
        <v>0</v>
      </c>
      <c r="J72" s="96">
        <f t="shared" si="5"/>
        <v>0</v>
      </c>
      <c r="K72" s="96">
        <f t="shared" si="5"/>
        <v>0</v>
      </c>
      <c r="L72" s="96">
        <f t="shared" si="5"/>
        <v>0</v>
      </c>
      <c r="M72" s="96">
        <f t="shared" si="5"/>
        <v>0</v>
      </c>
      <c r="N72" s="96">
        <f t="shared" si="5"/>
        <v>0</v>
      </c>
      <c r="O72" s="96">
        <f t="shared" si="5"/>
        <v>0</v>
      </c>
      <c r="P72" s="96">
        <f t="shared" si="5"/>
        <v>0</v>
      </c>
      <c r="Q72" s="96">
        <f t="shared" si="5"/>
        <v>0</v>
      </c>
      <c r="R72" s="96">
        <f t="shared" si="5"/>
        <v>0</v>
      </c>
      <c r="S72" s="96">
        <f t="shared" si="5"/>
        <v>0</v>
      </c>
      <c r="T72" s="96">
        <f t="shared" si="5"/>
        <v>0</v>
      </c>
      <c r="U72" s="96">
        <f t="shared" si="5"/>
        <v>0</v>
      </c>
      <c r="V72" s="96">
        <f t="shared" si="5"/>
        <v>0</v>
      </c>
      <c r="W72" s="96">
        <f t="shared" si="5"/>
        <v>0</v>
      </c>
      <c r="X72" s="96">
        <f t="shared" si="5"/>
        <v>0</v>
      </c>
      <c r="Y72" s="96">
        <f t="shared" si="5"/>
        <v>0</v>
      </c>
      <c r="Z72" s="96">
        <f t="shared" si="5"/>
        <v>0</v>
      </c>
      <c r="AA72" s="96">
        <f t="shared" si="5"/>
        <v>0</v>
      </c>
      <c r="AB72" s="96">
        <f t="shared" si="5"/>
        <v>0</v>
      </c>
      <c r="AC72" s="96">
        <f t="shared" si="5"/>
        <v>0</v>
      </c>
      <c r="AD72" s="96">
        <f t="shared" si="5"/>
        <v>0</v>
      </c>
      <c r="AE72" s="96">
        <f t="shared" si="5"/>
        <v>1</v>
      </c>
      <c r="AF72" s="96">
        <f t="shared" si="5"/>
        <v>0</v>
      </c>
      <c r="AG72" s="96">
        <f t="shared" si="5"/>
        <v>0</v>
      </c>
      <c r="AH72" s="96">
        <f t="shared" si="5"/>
        <v>0</v>
      </c>
      <c r="AI72" s="96">
        <f t="shared" si="5"/>
        <v>0</v>
      </c>
      <c r="AJ72" s="28" t="str">
        <f t="shared" si="6"/>
        <v>IG_OFF</v>
      </c>
      <c r="AK72" s="41"/>
      <c r="AL72" s="41" t="str">
        <f t="shared" ref="AL72:AL134" si="9">BIN2HEX(AB72&amp;AC72&amp;AD72&amp;AE72&amp;AF72&amp;AG72&amp;AH72&amp;AI72,2)</f>
        <v>10</v>
      </c>
      <c r="AM72" s="41" t="str">
        <f t="shared" ref="AM72:AM134" si="10">BIN2HEX(T72&amp;U72&amp;V72&amp;W72&amp;X72&amp;Y72&amp;Z72&amp;AA72,2)</f>
        <v>00</v>
      </c>
      <c r="AN72" s="41" t="str">
        <f t="shared" ref="AN72:AN134" si="11">BIN2HEX(L72&amp;M72&amp;N72&amp;O72&amp;P72&amp;Q72&amp;R72&amp;S72,2)</f>
        <v>00</v>
      </c>
      <c r="AO72" s="41" t="str">
        <f t="shared" ref="AO72:AO134" si="12">BIN2HEX(D72&amp;E72&amp;F72&amp;G72&amp;H72&amp;I72&amp;J72&amp;K72,2)</f>
        <v>08</v>
      </c>
      <c r="AQ72" t="str">
        <f t="shared" si="7"/>
        <v xml:space="preserve">    (U4)0x08000010U,                                                           /* 01 IG_OFF                                          */</v>
      </c>
    </row>
    <row r="73" spans="1:46">
      <c r="B73" s="103"/>
      <c r="C73" s="28">
        <f t="shared" si="8"/>
        <v>2</v>
      </c>
      <c r="D73" s="96">
        <f t="shared" si="5"/>
        <v>0</v>
      </c>
      <c r="E73" s="96">
        <f t="shared" si="5"/>
        <v>0</v>
      </c>
      <c r="F73" s="96">
        <f t="shared" si="5"/>
        <v>0</v>
      </c>
      <c r="G73" s="96">
        <f t="shared" si="5"/>
        <v>0</v>
      </c>
      <c r="H73" s="96">
        <f t="shared" si="5"/>
        <v>1</v>
      </c>
      <c r="I73" s="96">
        <f t="shared" si="5"/>
        <v>0</v>
      </c>
      <c r="J73" s="96">
        <f t="shared" si="5"/>
        <v>0</v>
      </c>
      <c r="K73" s="96">
        <f t="shared" si="5"/>
        <v>0</v>
      </c>
      <c r="L73" s="96">
        <f t="shared" si="5"/>
        <v>0</v>
      </c>
      <c r="M73" s="96">
        <f t="shared" si="5"/>
        <v>0</v>
      </c>
      <c r="N73" s="96">
        <f t="shared" si="5"/>
        <v>0</v>
      </c>
      <c r="O73" s="96">
        <f t="shared" si="5"/>
        <v>0</v>
      </c>
      <c r="P73" s="96">
        <f t="shared" si="5"/>
        <v>0</v>
      </c>
      <c r="Q73" s="96">
        <f t="shared" si="5"/>
        <v>0</v>
      </c>
      <c r="R73" s="96">
        <f t="shared" si="5"/>
        <v>0</v>
      </c>
      <c r="S73" s="96">
        <f t="shared" si="5"/>
        <v>0</v>
      </c>
      <c r="T73" s="96">
        <f t="shared" si="5"/>
        <v>0</v>
      </c>
      <c r="U73" s="96">
        <f t="shared" si="5"/>
        <v>0</v>
      </c>
      <c r="V73" s="96">
        <f t="shared" si="5"/>
        <v>0</v>
      </c>
      <c r="W73" s="96">
        <f t="shared" si="5"/>
        <v>0</v>
      </c>
      <c r="X73" s="96">
        <f t="shared" si="5"/>
        <v>0</v>
      </c>
      <c r="Y73" s="96">
        <f t="shared" si="5"/>
        <v>0</v>
      </c>
      <c r="Z73" s="96">
        <f t="shared" si="5"/>
        <v>0</v>
      </c>
      <c r="AA73" s="96">
        <f t="shared" si="5"/>
        <v>0</v>
      </c>
      <c r="AB73" s="96">
        <f t="shared" si="5"/>
        <v>0</v>
      </c>
      <c r="AC73" s="96">
        <f t="shared" si="5"/>
        <v>0</v>
      </c>
      <c r="AD73" s="96">
        <f t="shared" si="5"/>
        <v>0</v>
      </c>
      <c r="AE73" s="96">
        <f t="shared" si="5"/>
        <v>0</v>
      </c>
      <c r="AF73" s="96">
        <f t="shared" si="5"/>
        <v>1</v>
      </c>
      <c r="AG73" s="96">
        <f t="shared" si="5"/>
        <v>0</v>
      </c>
      <c r="AH73" s="96">
        <f t="shared" si="5"/>
        <v>0</v>
      </c>
      <c r="AI73" s="96">
        <f t="shared" si="5"/>
        <v>0</v>
      </c>
      <c r="AJ73" s="28" t="str">
        <f t="shared" si="6"/>
        <v>IG_OFF_ON</v>
      </c>
      <c r="AK73" s="41"/>
      <c r="AL73" s="41" t="str">
        <f t="shared" si="9"/>
        <v>08</v>
      </c>
      <c r="AM73" s="41" t="str">
        <f t="shared" si="10"/>
        <v>00</v>
      </c>
      <c r="AN73" s="41" t="str">
        <f t="shared" si="11"/>
        <v>00</v>
      </c>
      <c r="AO73" s="41" t="str">
        <f t="shared" si="12"/>
        <v>08</v>
      </c>
      <c r="AQ73" t="str">
        <f t="shared" si="7"/>
        <v xml:space="preserve">    (U4)0x08000008U,                                                           /* 02 IG_OFF_ON                                       */</v>
      </c>
    </row>
    <row r="74" spans="1:46">
      <c r="B74" s="103"/>
      <c r="C74" s="28">
        <f t="shared" si="8"/>
        <v>3</v>
      </c>
      <c r="D74" s="96">
        <f t="shared" si="5"/>
        <v>0</v>
      </c>
      <c r="E74" s="96">
        <f t="shared" si="5"/>
        <v>0</v>
      </c>
      <c r="F74" s="96">
        <f t="shared" si="5"/>
        <v>0</v>
      </c>
      <c r="G74" s="96">
        <f t="shared" si="5"/>
        <v>0</v>
      </c>
      <c r="H74" s="96">
        <f t="shared" si="5"/>
        <v>1</v>
      </c>
      <c r="I74" s="96">
        <f t="shared" si="5"/>
        <v>0</v>
      </c>
      <c r="J74" s="96">
        <f t="shared" si="5"/>
        <v>0</v>
      </c>
      <c r="K74" s="96">
        <f t="shared" si="5"/>
        <v>0</v>
      </c>
      <c r="L74" s="96">
        <f t="shared" si="5"/>
        <v>0</v>
      </c>
      <c r="M74" s="96">
        <f t="shared" si="5"/>
        <v>0</v>
      </c>
      <c r="N74" s="96">
        <f t="shared" si="5"/>
        <v>0</v>
      </c>
      <c r="O74" s="96">
        <f t="shared" si="5"/>
        <v>0</v>
      </c>
      <c r="P74" s="96">
        <f t="shared" si="5"/>
        <v>0</v>
      </c>
      <c r="Q74" s="96">
        <f t="shared" si="5"/>
        <v>0</v>
      </c>
      <c r="R74" s="96">
        <f t="shared" si="5"/>
        <v>0</v>
      </c>
      <c r="S74" s="96">
        <f t="shared" si="5"/>
        <v>0</v>
      </c>
      <c r="T74" s="96">
        <f t="shared" si="5"/>
        <v>0</v>
      </c>
      <c r="U74" s="96">
        <f t="shared" si="5"/>
        <v>0</v>
      </c>
      <c r="V74" s="96">
        <f t="shared" si="5"/>
        <v>0</v>
      </c>
      <c r="W74" s="96">
        <f t="shared" si="5"/>
        <v>0</v>
      </c>
      <c r="X74" s="96">
        <f t="shared" si="5"/>
        <v>0</v>
      </c>
      <c r="Y74" s="96">
        <f t="shared" si="5"/>
        <v>0</v>
      </c>
      <c r="Z74" s="96">
        <f t="shared" si="5"/>
        <v>0</v>
      </c>
      <c r="AA74" s="96">
        <f t="shared" si="5"/>
        <v>0</v>
      </c>
      <c r="AB74" s="96">
        <f t="shared" si="5"/>
        <v>0</v>
      </c>
      <c r="AC74" s="96">
        <f t="shared" si="5"/>
        <v>0</v>
      </c>
      <c r="AD74" s="96">
        <f t="shared" si="5"/>
        <v>0</v>
      </c>
      <c r="AE74" s="96">
        <f t="shared" si="5"/>
        <v>0</v>
      </c>
      <c r="AF74" s="96">
        <f t="shared" si="5"/>
        <v>1</v>
      </c>
      <c r="AG74" s="96">
        <f t="shared" si="5"/>
        <v>0</v>
      </c>
      <c r="AH74" s="96">
        <f t="shared" si="5"/>
        <v>0</v>
      </c>
      <c r="AI74" s="96">
        <f t="shared" si="5"/>
        <v>1</v>
      </c>
      <c r="AJ74" s="28" t="str">
        <f t="shared" si="6"/>
        <v>ON</v>
      </c>
      <c r="AK74" s="41"/>
      <c r="AL74" s="41" t="str">
        <f t="shared" si="9"/>
        <v>09</v>
      </c>
      <c r="AM74" s="41" t="str">
        <f t="shared" si="10"/>
        <v>00</v>
      </c>
      <c r="AN74" s="41" t="str">
        <f t="shared" si="11"/>
        <v>00</v>
      </c>
      <c r="AO74" s="41" t="str">
        <f t="shared" si="12"/>
        <v>08</v>
      </c>
      <c r="AQ74" t="str">
        <f t="shared" si="7"/>
        <v xml:space="preserve">    (U4)0x08000009U,                                                           /* 03 ON                                              */</v>
      </c>
    </row>
    <row r="75" spans="1:46">
      <c r="B75" s="103"/>
      <c r="C75" s="28">
        <f t="shared" si="8"/>
        <v>4</v>
      </c>
      <c r="D75" s="96">
        <f t="shared" si="5"/>
        <v>0</v>
      </c>
      <c r="E75" s="96">
        <f t="shared" si="5"/>
        <v>0</v>
      </c>
      <c r="F75" s="96">
        <f t="shared" si="5"/>
        <v>0</v>
      </c>
      <c r="G75" s="96">
        <f t="shared" si="5"/>
        <v>0</v>
      </c>
      <c r="H75" s="96">
        <f t="shared" si="5"/>
        <v>1</v>
      </c>
      <c r="I75" s="96">
        <f t="shared" si="5"/>
        <v>0</v>
      </c>
      <c r="J75" s="96">
        <f t="shared" si="5"/>
        <v>0</v>
      </c>
      <c r="K75" s="96">
        <f t="shared" si="5"/>
        <v>0</v>
      </c>
      <c r="L75" s="96">
        <f t="shared" si="5"/>
        <v>0</v>
      </c>
      <c r="M75" s="96">
        <f t="shared" si="5"/>
        <v>0</v>
      </c>
      <c r="N75" s="96">
        <f t="shared" si="5"/>
        <v>0</v>
      </c>
      <c r="O75" s="96">
        <f t="shared" si="5"/>
        <v>0</v>
      </c>
      <c r="P75" s="96">
        <f t="shared" si="5"/>
        <v>0</v>
      </c>
      <c r="Q75" s="96">
        <f t="shared" si="5"/>
        <v>0</v>
      </c>
      <c r="R75" s="96">
        <f t="shared" si="5"/>
        <v>0</v>
      </c>
      <c r="S75" s="96">
        <f t="shared" si="5"/>
        <v>0</v>
      </c>
      <c r="T75" s="96">
        <f t="shared" si="5"/>
        <v>0</v>
      </c>
      <c r="U75" s="96">
        <f t="shared" si="5"/>
        <v>0</v>
      </c>
      <c r="V75" s="96">
        <f t="shared" si="5"/>
        <v>0</v>
      </c>
      <c r="W75" s="96">
        <f t="shared" si="5"/>
        <v>0</v>
      </c>
      <c r="X75" s="96">
        <f t="shared" si="5"/>
        <v>0</v>
      </c>
      <c r="Y75" s="96">
        <f t="shared" si="5"/>
        <v>0</v>
      </c>
      <c r="Z75" s="96">
        <f t="shared" si="5"/>
        <v>0</v>
      </c>
      <c r="AA75" s="96">
        <f t="shared" si="5"/>
        <v>0</v>
      </c>
      <c r="AB75" s="96">
        <f t="shared" si="5"/>
        <v>0</v>
      </c>
      <c r="AC75" s="96">
        <f t="shared" si="5"/>
        <v>0</v>
      </c>
      <c r="AD75" s="96">
        <f t="shared" si="5"/>
        <v>1</v>
      </c>
      <c r="AE75" s="96">
        <f t="shared" si="5"/>
        <v>0</v>
      </c>
      <c r="AF75" s="96">
        <f t="shared" si="5"/>
        <v>0</v>
      </c>
      <c r="AG75" s="96">
        <f t="shared" si="5"/>
        <v>0</v>
      </c>
      <c r="AH75" s="96">
        <f t="shared" si="5"/>
        <v>0</v>
      </c>
      <c r="AI75" s="96">
        <f t="shared" si="5"/>
        <v>0</v>
      </c>
      <c r="AJ75" s="28" t="str">
        <f t="shared" si="6"/>
        <v>IG_OFF</v>
      </c>
      <c r="AK75" s="41"/>
      <c r="AL75" s="41" t="str">
        <f t="shared" si="9"/>
        <v>20</v>
      </c>
      <c r="AM75" s="41" t="str">
        <f t="shared" si="10"/>
        <v>00</v>
      </c>
      <c r="AN75" s="41" t="str">
        <f t="shared" si="11"/>
        <v>00</v>
      </c>
      <c r="AO75" s="41" t="str">
        <f t="shared" si="12"/>
        <v>08</v>
      </c>
      <c r="AQ75" t="str">
        <f t="shared" si="7"/>
        <v xml:space="preserve">    (U4)0x08000020U,                                                           /* 04 IG_OFF                                          */</v>
      </c>
    </row>
    <row r="76" spans="1:46">
      <c r="B76" s="103"/>
      <c r="C76" s="28">
        <f t="shared" si="8"/>
        <v>5</v>
      </c>
      <c r="D76" s="96">
        <f t="shared" si="5"/>
        <v>0</v>
      </c>
      <c r="E76" s="96">
        <f t="shared" si="5"/>
        <v>0</v>
      </c>
      <c r="F76" s="96">
        <f t="shared" si="5"/>
        <v>0</v>
      </c>
      <c r="G76" s="96">
        <f t="shared" si="5"/>
        <v>0</v>
      </c>
      <c r="H76" s="96">
        <f t="shared" si="5"/>
        <v>1</v>
      </c>
      <c r="I76" s="96">
        <f t="shared" si="5"/>
        <v>0</v>
      </c>
      <c r="J76" s="96">
        <f t="shared" si="5"/>
        <v>0</v>
      </c>
      <c r="K76" s="96">
        <f t="shared" si="5"/>
        <v>0</v>
      </c>
      <c r="L76" s="96">
        <f t="shared" si="5"/>
        <v>0</v>
      </c>
      <c r="M76" s="96">
        <f t="shared" si="5"/>
        <v>0</v>
      </c>
      <c r="N76" s="96">
        <f t="shared" si="5"/>
        <v>0</v>
      </c>
      <c r="O76" s="96">
        <f t="shared" si="5"/>
        <v>0</v>
      </c>
      <c r="P76" s="96">
        <f t="shared" si="5"/>
        <v>0</v>
      </c>
      <c r="Q76" s="96">
        <f t="shared" si="5"/>
        <v>0</v>
      </c>
      <c r="R76" s="96">
        <f t="shared" si="5"/>
        <v>0</v>
      </c>
      <c r="S76" s="96">
        <f t="shared" si="5"/>
        <v>0</v>
      </c>
      <c r="T76" s="96">
        <f t="shared" si="5"/>
        <v>0</v>
      </c>
      <c r="U76" s="96">
        <f t="shared" si="5"/>
        <v>0</v>
      </c>
      <c r="V76" s="96">
        <f t="shared" si="5"/>
        <v>0</v>
      </c>
      <c r="W76" s="96">
        <f t="shared" si="5"/>
        <v>0</v>
      </c>
      <c r="X76" s="96">
        <f t="shared" si="5"/>
        <v>0</v>
      </c>
      <c r="Y76" s="96">
        <f t="shared" si="5"/>
        <v>0</v>
      </c>
      <c r="Z76" s="96">
        <f t="shared" si="5"/>
        <v>0</v>
      </c>
      <c r="AA76" s="96">
        <f t="shared" si="5"/>
        <v>0</v>
      </c>
      <c r="AB76" s="96">
        <f t="shared" si="5"/>
        <v>0</v>
      </c>
      <c r="AC76" s="96">
        <f t="shared" si="5"/>
        <v>0</v>
      </c>
      <c r="AD76" s="96">
        <f t="shared" si="5"/>
        <v>1</v>
      </c>
      <c r="AE76" s="96">
        <f t="shared" si="5"/>
        <v>0</v>
      </c>
      <c r="AF76" s="96">
        <f t="shared" si="5"/>
        <v>1</v>
      </c>
      <c r="AG76" s="96">
        <f t="shared" si="5"/>
        <v>0</v>
      </c>
      <c r="AH76" s="96">
        <f t="shared" si="5"/>
        <v>0</v>
      </c>
      <c r="AI76" s="96">
        <f t="shared" si="5"/>
        <v>0</v>
      </c>
      <c r="AJ76" s="28" t="str">
        <f t="shared" si="6"/>
        <v>IG_OFF_ON</v>
      </c>
      <c r="AK76" s="41"/>
      <c r="AL76" s="41" t="str">
        <f t="shared" si="9"/>
        <v>28</v>
      </c>
      <c r="AM76" s="41" t="str">
        <f t="shared" si="10"/>
        <v>00</v>
      </c>
      <c r="AN76" s="41" t="str">
        <f t="shared" si="11"/>
        <v>00</v>
      </c>
      <c r="AO76" s="41" t="str">
        <f t="shared" si="12"/>
        <v>08</v>
      </c>
      <c r="AQ76" t="str">
        <f t="shared" si="7"/>
        <v xml:space="preserve">    (U4)0x08000028U,                                                           /* 05 IG_OFF_ON                                       */</v>
      </c>
    </row>
    <row r="77" spans="1:46">
      <c r="B77" s="103"/>
      <c r="C77" s="28">
        <f t="shared" si="8"/>
        <v>6</v>
      </c>
      <c r="D77" s="96">
        <f t="shared" si="5"/>
        <v>0</v>
      </c>
      <c r="E77" s="96">
        <f t="shared" si="5"/>
        <v>0</v>
      </c>
      <c r="F77" s="96">
        <f t="shared" si="5"/>
        <v>0</v>
      </c>
      <c r="G77" s="96">
        <f t="shared" si="5"/>
        <v>0</v>
      </c>
      <c r="H77" s="96">
        <f t="shared" si="5"/>
        <v>1</v>
      </c>
      <c r="I77" s="96">
        <f t="shared" si="5"/>
        <v>0</v>
      </c>
      <c r="J77" s="96">
        <f t="shared" si="5"/>
        <v>0</v>
      </c>
      <c r="K77" s="96">
        <f t="shared" si="5"/>
        <v>0</v>
      </c>
      <c r="L77" s="96">
        <f t="shared" si="5"/>
        <v>0</v>
      </c>
      <c r="M77" s="96">
        <f t="shared" si="5"/>
        <v>0</v>
      </c>
      <c r="N77" s="96">
        <f t="shared" si="5"/>
        <v>0</v>
      </c>
      <c r="O77" s="96">
        <f t="shared" si="5"/>
        <v>0</v>
      </c>
      <c r="P77" s="96">
        <f t="shared" si="5"/>
        <v>0</v>
      </c>
      <c r="Q77" s="96">
        <f t="shared" si="5"/>
        <v>0</v>
      </c>
      <c r="R77" s="96">
        <f t="shared" si="5"/>
        <v>0</v>
      </c>
      <c r="S77" s="96">
        <f t="shared" si="5"/>
        <v>0</v>
      </c>
      <c r="T77" s="96">
        <f t="shared" si="5"/>
        <v>0</v>
      </c>
      <c r="U77" s="96">
        <f t="shared" si="5"/>
        <v>0</v>
      </c>
      <c r="V77" s="96">
        <f t="shared" si="5"/>
        <v>0</v>
      </c>
      <c r="W77" s="96">
        <f t="shared" si="5"/>
        <v>0</v>
      </c>
      <c r="X77" s="96">
        <f t="shared" si="5"/>
        <v>0</v>
      </c>
      <c r="Y77" s="96">
        <f t="shared" si="5"/>
        <v>0</v>
      </c>
      <c r="Z77" s="96">
        <f t="shared" si="5"/>
        <v>0</v>
      </c>
      <c r="AA77" s="96">
        <f t="shared" si="5"/>
        <v>0</v>
      </c>
      <c r="AB77" s="96">
        <f t="shared" si="5"/>
        <v>0</v>
      </c>
      <c r="AC77" s="96">
        <f t="shared" si="5"/>
        <v>0</v>
      </c>
      <c r="AD77" s="96">
        <f t="shared" si="5"/>
        <v>1</v>
      </c>
      <c r="AE77" s="96">
        <f t="shared" si="5"/>
        <v>0</v>
      </c>
      <c r="AF77" s="96">
        <f t="shared" si="5"/>
        <v>1</v>
      </c>
      <c r="AG77" s="96">
        <f t="shared" si="5"/>
        <v>0</v>
      </c>
      <c r="AH77" s="96">
        <f t="shared" si="5"/>
        <v>0</v>
      </c>
      <c r="AI77" s="96">
        <f t="shared" si="5"/>
        <v>1</v>
      </c>
      <c r="AJ77" s="28" t="str">
        <f t="shared" si="6"/>
        <v>ON</v>
      </c>
      <c r="AK77" s="41"/>
      <c r="AL77" s="41" t="str">
        <f t="shared" si="9"/>
        <v>29</v>
      </c>
      <c r="AM77" s="41" t="str">
        <f t="shared" si="10"/>
        <v>00</v>
      </c>
      <c r="AN77" s="41" t="str">
        <f t="shared" si="11"/>
        <v>00</v>
      </c>
      <c r="AO77" s="41" t="str">
        <f t="shared" si="12"/>
        <v>08</v>
      </c>
      <c r="AQ77" t="str">
        <f t="shared" si="7"/>
        <v xml:space="preserve">    (U4)0x08000029U,                                                           /* 06 ON                                              */</v>
      </c>
    </row>
    <row r="78" spans="1:46">
      <c r="B78" s="103"/>
      <c r="C78" s="28">
        <f t="shared" si="8"/>
        <v>7</v>
      </c>
      <c r="D78" s="96">
        <f t="shared" si="5"/>
        <v>0</v>
      </c>
      <c r="E78" s="96">
        <f t="shared" si="5"/>
        <v>0</v>
      </c>
      <c r="F78" s="96">
        <f t="shared" si="5"/>
        <v>0</v>
      </c>
      <c r="G78" s="96">
        <f t="shared" si="5"/>
        <v>1</v>
      </c>
      <c r="H78" s="96">
        <f t="shared" si="5"/>
        <v>0</v>
      </c>
      <c r="I78" s="96">
        <f t="shared" si="5"/>
        <v>0</v>
      </c>
      <c r="J78" s="96">
        <f t="shared" si="5"/>
        <v>0</v>
      </c>
      <c r="K78" s="96">
        <f t="shared" si="5"/>
        <v>0</v>
      </c>
      <c r="L78" s="96">
        <f t="shared" si="5"/>
        <v>0</v>
      </c>
      <c r="M78" s="96">
        <f t="shared" si="5"/>
        <v>0</v>
      </c>
      <c r="N78" s="96">
        <f t="shared" si="5"/>
        <v>0</v>
      </c>
      <c r="O78" s="96">
        <f t="shared" si="5"/>
        <v>0</v>
      </c>
      <c r="P78" s="96">
        <f t="shared" si="5"/>
        <v>0</v>
      </c>
      <c r="Q78" s="96">
        <f t="shared" si="5"/>
        <v>0</v>
      </c>
      <c r="R78" s="96">
        <f t="shared" si="5"/>
        <v>0</v>
      </c>
      <c r="S78" s="96">
        <f t="shared" si="5"/>
        <v>0</v>
      </c>
      <c r="T78" s="96">
        <f t="shared" si="5"/>
        <v>0</v>
      </c>
      <c r="U78" s="96">
        <f t="shared" si="5"/>
        <v>0</v>
      </c>
      <c r="V78" s="96">
        <f t="shared" si="5"/>
        <v>0</v>
      </c>
      <c r="W78" s="96">
        <f t="shared" si="5"/>
        <v>0</v>
      </c>
      <c r="X78" s="96">
        <f t="shared" si="5"/>
        <v>0</v>
      </c>
      <c r="Y78" s="96">
        <f t="shared" si="5"/>
        <v>0</v>
      </c>
      <c r="Z78" s="96">
        <f t="shared" si="5"/>
        <v>0</v>
      </c>
      <c r="AA78" s="96">
        <f t="shared" si="5"/>
        <v>0</v>
      </c>
      <c r="AB78" s="96">
        <f t="shared" si="5"/>
        <v>0</v>
      </c>
      <c r="AC78" s="96">
        <f t="shared" si="5"/>
        <v>0</v>
      </c>
      <c r="AD78" s="96">
        <f t="shared" si="5"/>
        <v>0</v>
      </c>
      <c r="AE78" s="96">
        <f t="shared" si="5"/>
        <v>0</v>
      </c>
      <c r="AF78" s="96">
        <f t="shared" si="5"/>
        <v>0</v>
      </c>
      <c r="AG78" s="96">
        <f t="shared" si="5"/>
        <v>1</v>
      </c>
      <c r="AH78" s="96">
        <f t="shared" si="5"/>
        <v>0</v>
      </c>
      <c r="AI78" s="96">
        <f>IF(AI13=1,1,0)</f>
        <v>0</v>
      </c>
      <c r="AJ78" s="28" t="str">
        <f t="shared" si="6"/>
        <v>STOP</v>
      </c>
      <c r="AK78" s="41"/>
      <c r="AL78" s="41" t="str">
        <f t="shared" si="9"/>
        <v>04</v>
      </c>
      <c r="AM78" s="41" t="str">
        <f t="shared" si="10"/>
        <v>00</v>
      </c>
      <c r="AN78" s="41" t="str">
        <f t="shared" si="11"/>
        <v>00</v>
      </c>
      <c r="AO78" s="41" t="str">
        <f t="shared" si="12"/>
        <v>10</v>
      </c>
      <c r="AQ78" t="str">
        <f t="shared" si="7"/>
        <v xml:space="preserve">    (U4)0x10000004U,                                                           /* 07 STOP                                            */</v>
      </c>
    </row>
    <row r="79" spans="1:46">
      <c r="B79" s="103"/>
      <c r="C79" s="28">
        <f t="shared" si="8"/>
        <v>8</v>
      </c>
      <c r="D79" s="96">
        <f t="shared" ref="D79:AI86" si="13">IF(D14=1,1,0)</f>
        <v>0</v>
      </c>
      <c r="E79" s="96">
        <f t="shared" si="13"/>
        <v>0</v>
      </c>
      <c r="F79" s="96">
        <f t="shared" si="13"/>
        <v>0</v>
      </c>
      <c r="G79" s="96">
        <f t="shared" si="13"/>
        <v>1</v>
      </c>
      <c r="H79" s="96">
        <f t="shared" si="13"/>
        <v>0</v>
      </c>
      <c r="I79" s="96">
        <f t="shared" si="13"/>
        <v>0</v>
      </c>
      <c r="J79" s="96">
        <f t="shared" si="13"/>
        <v>0</v>
      </c>
      <c r="K79" s="96">
        <f t="shared" si="13"/>
        <v>0</v>
      </c>
      <c r="L79" s="96">
        <f t="shared" si="13"/>
        <v>0</v>
      </c>
      <c r="M79" s="96">
        <f t="shared" si="13"/>
        <v>0</v>
      </c>
      <c r="N79" s="96">
        <f t="shared" si="13"/>
        <v>0</v>
      </c>
      <c r="O79" s="96">
        <f t="shared" si="13"/>
        <v>0</v>
      </c>
      <c r="P79" s="96">
        <f t="shared" si="13"/>
        <v>0</v>
      </c>
      <c r="Q79" s="96">
        <f t="shared" si="13"/>
        <v>0</v>
      </c>
      <c r="R79" s="96">
        <f t="shared" si="13"/>
        <v>0</v>
      </c>
      <c r="S79" s="96">
        <f t="shared" si="13"/>
        <v>0</v>
      </c>
      <c r="T79" s="96">
        <f t="shared" si="13"/>
        <v>0</v>
      </c>
      <c r="U79" s="96">
        <f t="shared" si="13"/>
        <v>0</v>
      </c>
      <c r="V79" s="96">
        <f t="shared" si="13"/>
        <v>0</v>
      </c>
      <c r="W79" s="96">
        <f t="shared" si="13"/>
        <v>0</v>
      </c>
      <c r="X79" s="96">
        <f t="shared" si="13"/>
        <v>0</v>
      </c>
      <c r="Y79" s="96">
        <f t="shared" si="13"/>
        <v>0</v>
      </c>
      <c r="Z79" s="96">
        <f t="shared" si="13"/>
        <v>0</v>
      </c>
      <c r="AA79" s="96">
        <f t="shared" si="13"/>
        <v>0</v>
      </c>
      <c r="AB79" s="96">
        <f t="shared" si="13"/>
        <v>0</v>
      </c>
      <c r="AC79" s="96">
        <f t="shared" si="13"/>
        <v>0</v>
      </c>
      <c r="AD79" s="96">
        <f t="shared" si="13"/>
        <v>0</v>
      </c>
      <c r="AE79" s="96">
        <f t="shared" si="13"/>
        <v>0</v>
      </c>
      <c r="AF79" s="96">
        <f t="shared" si="13"/>
        <v>0</v>
      </c>
      <c r="AG79" s="96">
        <f t="shared" si="13"/>
        <v>1</v>
      </c>
      <c r="AH79" s="96">
        <f t="shared" si="13"/>
        <v>1</v>
      </c>
      <c r="AI79" s="96">
        <f t="shared" si="13"/>
        <v>0</v>
      </c>
      <c r="AJ79" s="28" t="str">
        <f t="shared" si="6"/>
        <v>RUN</v>
      </c>
      <c r="AK79" s="41"/>
      <c r="AL79" s="41" t="str">
        <f t="shared" si="9"/>
        <v>06</v>
      </c>
      <c r="AM79" s="41" t="str">
        <f t="shared" si="10"/>
        <v>00</v>
      </c>
      <c r="AN79" s="41" t="str">
        <f t="shared" si="11"/>
        <v>00</v>
      </c>
      <c r="AO79" s="41" t="str">
        <f t="shared" si="12"/>
        <v>10</v>
      </c>
      <c r="AQ79" t="str">
        <f t="shared" si="7"/>
        <v xml:space="preserve">    (U4)0x10000006U,                                                           /* 08 RUN                                             */</v>
      </c>
    </row>
    <row r="80" spans="1:46">
      <c r="B80" s="103"/>
      <c r="C80" s="28">
        <f t="shared" si="8"/>
        <v>9</v>
      </c>
      <c r="D80" s="96">
        <f t="shared" si="13"/>
        <v>0</v>
      </c>
      <c r="E80" s="96">
        <f t="shared" si="13"/>
        <v>0</v>
      </c>
      <c r="F80" s="96">
        <f t="shared" si="13"/>
        <v>0</v>
      </c>
      <c r="G80" s="96">
        <f t="shared" si="13"/>
        <v>1</v>
      </c>
      <c r="H80" s="96">
        <f t="shared" si="13"/>
        <v>0</v>
      </c>
      <c r="I80" s="96">
        <f t="shared" si="13"/>
        <v>0</v>
      </c>
      <c r="J80" s="96">
        <f t="shared" si="13"/>
        <v>0</v>
      </c>
      <c r="K80" s="96">
        <f t="shared" si="13"/>
        <v>0</v>
      </c>
      <c r="L80" s="96">
        <f t="shared" si="13"/>
        <v>0</v>
      </c>
      <c r="M80" s="96">
        <f t="shared" si="13"/>
        <v>0</v>
      </c>
      <c r="N80" s="96">
        <f t="shared" si="13"/>
        <v>0</v>
      </c>
      <c r="O80" s="96">
        <f t="shared" si="13"/>
        <v>0</v>
      </c>
      <c r="P80" s="96">
        <f t="shared" si="13"/>
        <v>0</v>
      </c>
      <c r="Q80" s="96">
        <f t="shared" si="13"/>
        <v>0</v>
      </c>
      <c r="R80" s="96">
        <f t="shared" si="13"/>
        <v>0</v>
      </c>
      <c r="S80" s="96">
        <f t="shared" si="13"/>
        <v>0</v>
      </c>
      <c r="T80" s="96">
        <f t="shared" si="13"/>
        <v>0</v>
      </c>
      <c r="U80" s="96">
        <f t="shared" si="13"/>
        <v>0</v>
      </c>
      <c r="V80" s="96">
        <f t="shared" si="13"/>
        <v>0</v>
      </c>
      <c r="W80" s="96">
        <f t="shared" si="13"/>
        <v>0</v>
      </c>
      <c r="X80" s="96">
        <f t="shared" si="13"/>
        <v>0</v>
      </c>
      <c r="Y80" s="96">
        <f t="shared" si="13"/>
        <v>0</v>
      </c>
      <c r="Z80" s="96">
        <f t="shared" si="13"/>
        <v>0</v>
      </c>
      <c r="AA80" s="96">
        <f t="shared" si="13"/>
        <v>0</v>
      </c>
      <c r="AB80" s="96">
        <f t="shared" si="13"/>
        <v>0</v>
      </c>
      <c r="AC80" s="96">
        <f t="shared" si="13"/>
        <v>0</v>
      </c>
      <c r="AD80" s="96">
        <f t="shared" si="13"/>
        <v>0</v>
      </c>
      <c r="AE80" s="96">
        <f t="shared" si="13"/>
        <v>1</v>
      </c>
      <c r="AF80" s="96">
        <f t="shared" si="13"/>
        <v>0</v>
      </c>
      <c r="AG80" s="96">
        <f t="shared" si="13"/>
        <v>0</v>
      </c>
      <c r="AH80" s="96">
        <f t="shared" si="13"/>
        <v>0</v>
      </c>
      <c r="AI80" s="96">
        <f t="shared" si="13"/>
        <v>0</v>
      </c>
      <c r="AJ80" s="28" t="str">
        <f t="shared" si="6"/>
        <v>STOP</v>
      </c>
      <c r="AK80" s="41"/>
      <c r="AL80" s="41" t="str">
        <f t="shared" si="9"/>
        <v>10</v>
      </c>
      <c r="AM80" s="41" t="str">
        <f t="shared" si="10"/>
        <v>00</v>
      </c>
      <c r="AN80" s="41" t="str">
        <f t="shared" si="11"/>
        <v>00</v>
      </c>
      <c r="AO80" s="41" t="str">
        <f t="shared" si="12"/>
        <v>10</v>
      </c>
      <c r="AQ80" t="str">
        <f t="shared" si="7"/>
        <v xml:space="preserve">    (U4)0x10000010U,                                                           /* 09 STOP                                            */</v>
      </c>
    </row>
    <row r="81" spans="2:43">
      <c r="B81" s="103"/>
      <c r="C81" s="28">
        <f t="shared" si="8"/>
        <v>10</v>
      </c>
      <c r="D81" s="96">
        <f t="shared" si="13"/>
        <v>0</v>
      </c>
      <c r="E81" s="96">
        <f t="shared" si="13"/>
        <v>0</v>
      </c>
      <c r="F81" s="96">
        <f t="shared" si="13"/>
        <v>0</v>
      </c>
      <c r="G81" s="96">
        <f t="shared" si="13"/>
        <v>1</v>
      </c>
      <c r="H81" s="96">
        <f t="shared" si="13"/>
        <v>0</v>
      </c>
      <c r="I81" s="96">
        <f t="shared" si="13"/>
        <v>0</v>
      </c>
      <c r="J81" s="96">
        <f t="shared" si="13"/>
        <v>0</v>
      </c>
      <c r="K81" s="96">
        <f t="shared" si="13"/>
        <v>0</v>
      </c>
      <c r="L81" s="96">
        <f t="shared" si="13"/>
        <v>0</v>
      </c>
      <c r="M81" s="96">
        <f t="shared" si="13"/>
        <v>0</v>
      </c>
      <c r="N81" s="96">
        <f t="shared" si="13"/>
        <v>0</v>
      </c>
      <c r="O81" s="96">
        <f t="shared" si="13"/>
        <v>0</v>
      </c>
      <c r="P81" s="96">
        <f t="shared" si="13"/>
        <v>0</v>
      </c>
      <c r="Q81" s="96">
        <f t="shared" si="13"/>
        <v>0</v>
      </c>
      <c r="R81" s="96">
        <f t="shared" si="13"/>
        <v>0</v>
      </c>
      <c r="S81" s="96">
        <f t="shared" si="13"/>
        <v>0</v>
      </c>
      <c r="T81" s="96">
        <f t="shared" si="13"/>
        <v>0</v>
      </c>
      <c r="U81" s="96">
        <f t="shared" si="13"/>
        <v>0</v>
      </c>
      <c r="V81" s="96">
        <f t="shared" si="13"/>
        <v>0</v>
      </c>
      <c r="W81" s="96">
        <f t="shared" si="13"/>
        <v>0</v>
      </c>
      <c r="X81" s="96">
        <f t="shared" si="13"/>
        <v>0</v>
      </c>
      <c r="Y81" s="96">
        <f t="shared" si="13"/>
        <v>0</v>
      </c>
      <c r="Z81" s="96">
        <f t="shared" si="13"/>
        <v>0</v>
      </c>
      <c r="AA81" s="96">
        <f t="shared" si="13"/>
        <v>0</v>
      </c>
      <c r="AB81" s="96">
        <f t="shared" si="13"/>
        <v>0</v>
      </c>
      <c r="AC81" s="96">
        <f t="shared" si="13"/>
        <v>0</v>
      </c>
      <c r="AD81" s="96">
        <f t="shared" si="13"/>
        <v>0</v>
      </c>
      <c r="AE81" s="96">
        <f t="shared" si="13"/>
        <v>1</v>
      </c>
      <c r="AF81" s="96">
        <f t="shared" si="13"/>
        <v>0</v>
      </c>
      <c r="AG81" s="96">
        <f t="shared" si="13"/>
        <v>0</v>
      </c>
      <c r="AH81" s="96">
        <f t="shared" si="13"/>
        <v>1</v>
      </c>
      <c r="AI81" s="96">
        <f t="shared" si="13"/>
        <v>0</v>
      </c>
      <c r="AJ81" s="28" t="str">
        <f t="shared" si="6"/>
        <v>RUN</v>
      </c>
      <c r="AK81" s="41"/>
      <c r="AL81" s="41" t="str">
        <f t="shared" si="9"/>
        <v>12</v>
      </c>
      <c r="AM81" s="41" t="str">
        <f t="shared" si="10"/>
        <v>00</v>
      </c>
      <c r="AN81" s="41" t="str">
        <f t="shared" si="11"/>
        <v>00</v>
      </c>
      <c r="AO81" s="41" t="str">
        <f t="shared" si="12"/>
        <v>10</v>
      </c>
      <c r="AQ81" t="str">
        <f t="shared" si="7"/>
        <v xml:space="preserve">    (U4)0x10000012U,                                                           /* 10 RUN                                             */</v>
      </c>
    </row>
    <row r="82" spans="2:43">
      <c r="B82" s="103"/>
      <c r="C82" s="28">
        <f t="shared" si="8"/>
        <v>11</v>
      </c>
      <c r="D82" s="96">
        <f t="shared" si="13"/>
        <v>0</v>
      </c>
      <c r="E82" s="96">
        <f t="shared" si="13"/>
        <v>0</v>
      </c>
      <c r="F82" s="96">
        <f t="shared" si="13"/>
        <v>0</v>
      </c>
      <c r="G82" s="96">
        <f t="shared" si="13"/>
        <v>1</v>
      </c>
      <c r="H82" s="96">
        <f t="shared" si="13"/>
        <v>0</v>
      </c>
      <c r="I82" s="96">
        <f t="shared" si="13"/>
        <v>0</v>
      </c>
      <c r="J82" s="96">
        <f t="shared" si="13"/>
        <v>0</v>
      </c>
      <c r="K82" s="96">
        <f t="shared" si="13"/>
        <v>0</v>
      </c>
      <c r="L82" s="96">
        <f t="shared" si="13"/>
        <v>0</v>
      </c>
      <c r="M82" s="96">
        <f t="shared" si="13"/>
        <v>0</v>
      </c>
      <c r="N82" s="96">
        <f t="shared" si="13"/>
        <v>0</v>
      </c>
      <c r="O82" s="96">
        <f t="shared" si="13"/>
        <v>0</v>
      </c>
      <c r="P82" s="96">
        <f t="shared" si="13"/>
        <v>0</v>
      </c>
      <c r="Q82" s="96">
        <f t="shared" si="13"/>
        <v>0</v>
      </c>
      <c r="R82" s="96">
        <f t="shared" si="13"/>
        <v>0</v>
      </c>
      <c r="S82" s="96">
        <f t="shared" si="13"/>
        <v>0</v>
      </c>
      <c r="T82" s="96">
        <f t="shared" si="13"/>
        <v>0</v>
      </c>
      <c r="U82" s="96">
        <f t="shared" si="13"/>
        <v>0</v>
      </c>
      <c r="V82" s="96">
        <f t="shared" si="13"/>
        <v>0</v>
      </c>
      <c r="W82" s="96">
        <f t="shared" si="13"/>
        <v>0</v>
      </c>
      <c r="X82" s="96">
        <f t="shared" si="13"/>
        <v>0</v>
      </c>
      <c r="Y82" s="96">
        <f t="shared" si="13"/>
        <v>0</v>
      </c>
      <c r="Z82" s="96">
        <f t="shared" si="13"/>
        <v>0</v>
      </c>
      <c r="AA82" s="96">
        <f t="shared" si="13"/>
        <v>0</v>
      </c>
      <c r="AB82" s="96">
        <f t="shared" si="13"/>
        <v>0</v>
      </c>
      <c r="AC82" s="96">
        <f t="shared" si="13"/>
        <v>0</v>
      </c>
      <c r="AD82" s="96">
        <f t="shared" si="13"/>
        <v>1</v>
      </c>
      <c r="AE82" s="96">
        <f t="shared" si="13"/>
        <v>0</v>
      </c>
      <c r="AF82" s="96">
        <f t="shared" si="13"/>
        <v>0</v>
      </c>
      <c r="AG82" s="96">
        <f t="shared" si="13"/>
        <v>0</v>
      </c>
      <c r="AH82" s="96">
        <f t="shared" si="13"/>
        <v>0</v>
      </c>
      <c r="AI82" s="96">
        <f t="shared" si="13"/>
        <v>0</v>
      </c>
      <c r="AJ82" s="28" t="str">
        <f t="shared" si="6"/>
        <v>STOP</v>
      </c>
      <c r="AK82" s="41"/>
      <c r="AL82" s="41" t="str">
        <f t="shared" si="9"/>
        <v>20</v>
      </c>
      <c r="AM82" s="41" t="str">
        <f t="shared" si="10"/>
        <v>00</v>
      </c>
      <c r="AN82" s="41" t="str">
        <f t="shared" si="11"/>
        <v>00</v>
      </c>
      <c r="AO82" s="41" t="str">
        <f t="shared" si="12"/>
        <v>10</v>
      </c>
      <c r="AQ82" t="str">
        <f t="shared" si="7"/>
        <v xml:space="preserve">    (U4)0x10000020U,                                                           /* 11 STOP                                            */</v>
      </c>
    </row>
    <row r="83" spans="2:43">
      <c r="B83" s="103"/>
      <c r="C83" s="28">
        <f t="shared" si="8"/>
        <v>12</v>
      </c>
      <c r="D83" s="96">
        <f t="shared" si="13"/>
        <v>0</v>
      </c>
      <c r="E83" s="96">
        <f t="shared" si="13"/>
        <v>0</v>
      </c>
      <c r="F83" s="96">
        <f t="shared" si="13"/>
        <v>0</v>
      </c>
      <c r="G83" s="96">
        <f t="shared" si="13"/>
        <v>1</v>
      </c>
      <c r="H83" s="96">
        <f t="shared" si="13"/>
        <v>0</v>
      </c>
      <c r="I83" s="96">
        <f t="shared" si="13"/>
        <v>0</v>
      </c>
      <c r="J83" s="96">
        <f t="shared" si="13"/>
        <v>0</v>
      </c>
      <c r="K83" s="96">
        <f t="shared" si="13"/>
        <v>0</v>
      </c>
      <c r="L83" s="96">
        <f t="shared" si="13"/>
        <v>0</v>
      </c>
      <c r="M83" s="96">
        <f t="shared" si="13"/>
        <v>0</v>
      </c>
      <c r="N83" s="96">
        <f t="shared" si="13"/>
        <v>0</v>
      </c>
      <c r="O83" s="96">
        <f t="shared" si="13"/>
        <v>0</v>
      </c>
      <c r="P83" s="96">
        <f t="shared" si="13"/>
        <v>0</v>
      </c>
      <c r="Q83" s="96">
        <f t="shared" si="13"/>
        <v>0</v>
      </c>
      <c r="R83" s="96">
        <f t="shared" si="13"/>
        <v>0</v>
      </c>
      <c r="S83" s="96">
        <f t="shared" si="13"/>
        <v>0</v>
      </c>
      <c r="T83" s="96">
        <f t="shared" si="13"/>
        <v>0</v>
      </c>
      <c r="U83" s="96">
        <f t="shared" si="13"/>
        <v>0</v>
      </c>
      <c r="V83" s="96">
        <f t="shared" si="13"/>
        <v>0</v>
      </c>
      <c r="W83" s="96">
        <f t="shared" si="13"/>
        <v>0</v>
      </c>
      <c r="X83" s="96">
        <f t="shared" si="13"/>
        <v>0</v>
      </c>
      <c r="Y83" s="96">
        <f t="shared" si="13"/>
        <v>0</v>
      </c>
      <c r="Z83" s="96">
        <f t="shared" si="13"/>
        <v>0</v>
      </c>
      <c r="AA83" s="96">
        <f t="shared" si="13"/>
        <v>0</v>
      </c>
      <c r="AB83" s="96">
        <f t="shared" si="13"/>
        <v>0</v>
      </c>
      <c r="AC83" s="96">
        <f t="shared" si="13"/>
        <v>0</v>
      </c>
      <c r="AD83" s="96">
        <f t="shared" si="13"/>
        <v>1</v>
      </c>
      <c r="AE83" s="96">
        <f t="shared" si="13"/>
        <v>0</v>
      </c>
      <c r="AF83" s="96">
        <f t="shared" si="13"/>
        <v>0</v>
      </c>
      <c r="AG83" s="96">
        <f t="shared" si="13"/>
        <v>0</v>
      </c>
      <c r="AH83" s="96">
        <f t="shared" si="13"/>
        <v>1</v>
      </c>
      <c r="AI83" s="96">
        <f t="shared" si="13"/>
        <v>0</v>
      </c>
      <c r="AJ83" s="28" t="str">
        <f t="shared" si="6"/>
        <v>RUN</v>
      </c>
      <c r="AK83" s="41"/>
      <c r="AL83" s="41" t="str">
        <f t="shared" si="9"/>
        <v>22</v>
      </c>
      <c r="AM83" s="41" t="str">
        <f t="shared" si="10"/>
        <v>00</v>
      </c>
      <c r="AN83" s="41" t="str">
        <f t="shared" si="11"/>
        <v>00</v>
      </c>
      <c r="AO83" s="41" t="str">
        <f t="shared" si="12"/>
        <v>10</v>
      </c>
      <c r="AQ83" t="str">
        <f t="shared" si="7"/>
        <v xml:space="preserve">    (U4)0x10000022U,                                                           /* 12 RUN                                             */</v>
      </c>
    </row>
    <row r="84" spans="2:43">
      <c r="B84" s="103"/>
      <c r="C84" s="28">
        <f t="shared" si="8"/>
        <v>13</v>
      </c>
      <c r="D84" s="96">
        <f t="shared" si="13"/>
        <v>0</v>
      </c>
      <c r="E84" s="96">
        <f t="shared" si="13"/>
        <v>0</v>
      </c>
      <c r="F84" s="96">
        <f t="shared" si="13"/>
        <v>0</v>
      </c>
      <c r="G84" s="96">
        <f t="shared" si="13"/>
        <v>1</v>
      </c>
      <c r="H84" s="96">
        <f t="shared" si="13"/>
        <v>0</v>
      </c>
      <c r="I84" s="96">
        <f t="shared" si="13"/>
        <v>0</v>
      </c>
      <c r="J84" s="96">
        <f t="shared" si="13"/>
        <v>0</v>
      </c>
      <c r="K84" s="96">
        <f t="shared" si="13"/>
        <v>0</v>
      </c>
      <c r="L84" s="96">
        <f t="shared" si="13"/>
        <v>0</v>
      </c>
      <c r="M84" s="96">
        <f t="shared" si="13"/>
        <v>0</v>
      </c>
      <c r="N84" s="96">
        <f t="shared" si="13"/>
        <v>0</v>
      </c>
      <c r="O84" s="96">
        <f t="shared" si="13"/>
        <v>0</v>
      </c>
      <c r="P84" s="96">
        <f t="shared" si="13"/>
        <v>0</v>
      </c>
      <c r="Q84" s="96">
        <f t="shared" si="13"/>
        <v>0</v>
      </c>
      <c r="R84" s="96">
        <f t="shared" si="13"/>
        <v>0</v>
      </c>
      <c r="S84" s="96">
        <f t="shared" si="13"/>
        <v>0</v>
      </c>
      <c r="T84" s="96">
        <f t="shared" si="13"/>
        <v>0</v>
      </c>
      <c r="U84" s="96">
        <f t="shared" si="13"/>
        <v>0</v>
      </c>
      <c r="V84" s="96">
        <f t="shared" si="13"/>
        <v>0</v>
      </c>
      <c r="W84" s="96">
        <f t="shared" si="13"/>
        <v>0</v>
      </c>
      <c r="X84" s="96">
        <f t="shared" si="13"/>
        <v>0</v>
      </c>
      <c r="Y84" s="96">
        <f t="shared" si="13"/>
        <v>0</v>
      </c>
      <c r="Z84" s="96">
        <f t="shared" si="13"/>
        <v>0</v>
      </c>
      <c r="AA84" s="96">
        <f t="shared" si="13"/>
        <v>0</v>
      </c>
      <c r="AB84" s="96">
        <f t="shared" si="13"/>
        <v>0</v>
      </c>
      <c r="AC84" s="96">
        <f t="shared" si="13"/>
        <v>0</v>
      </c>
      <c r="AD84" s="96">
        <f t="shared" si="13"/>
        <v>0</v>
      </c>
      <c r="AE84" s="96">
        <f t="shared" si="13"/>
        <v>0</v>
      </c>
      <c r="AF84" s="96">
        <f t="shared" si="13"/>
        <v>1</v>
      </c>
      <c r="AG84" s="96">
        <f t="shared" si="13"/>
        <v>0</v>
      </c>
      <c r="AH84" s="96">
        <f t="shared" si="13"/>
        <v>0</v>
      </c>
      <c r="AI84" s="96">
        <f t="shared" si="13"/>
        <v>0</v>
      </c>
      <c r="AJ84" s="28" t="str">
        <f t="shared" si="6"/>
        <v>STOP_ON</v>
      </c>
      <c r="AK84" s="41"/>
      <c r="AL84" s="41" t="str">
        <f t="shared" si="9"/>
        <v>08</v>
      </c>
      <c r="AM84" s="41" t="str">
        <f t="shared" si="10"/>
        <v>00</v>
      </c>
      <c r="AN84" s="41" t="str">
        <f t="shared" si="11"/>
        <v>00</v>
      </c>
      <c r="AO84" s="41" t="str">
        <f t="shared" si="12"/>
        <v>10</v>
      </c>
      <c r="AQ84" t="str">
        <f t="shared" si="7"/>
        <v xml:space="preserve">    (U4)0x10000008U,                                                           /* 13 STOP_ON                                         */</v>
      </c>
    </row>
    <row r="85" spans="2:43">
      <c r="B85" s="103"/>
      <c r="C85" s="28">
        <f t="shared" si="8"/>
        <v>14</v>
      </c>
      <c r="D85" s="96">
        <f t="shared" si="13"/>
        <v>0</v>
      </c>
      <c r="E85" s="96">
        <f t="shared" si="13"/>
        <v>0</v>
      </c>
      <c r="F85" s="96">
        <f t="shared" si="13"/>
        <v>0</v>
      </c>
      <c r="G85" s="96">
        <f t="shared" si="13"/>
        <v>1</v>
      </c>
      <c r="H85" s="96">
        <f t="shared" si="13"/>
        <v>0</v>
      </c>
      <c r="I85" s="96">
        <f t="shared" si="13"/>
        <v>0</v>
      </c>
      <c r="J85" s="96">
        <f t="shared" si="13"/>
        <v>0</v>
      </c>
      <c r="K85" s="96">
        <f t="shared" si="13"/>
        <v>0</v>
      </c>
      <c r="L85" s="96">
        <f t="shared" si="13"/>
        <v>0</v>
      </c>
      <c r="M85" s="96">
        <f t="shared" si="13"/>
        <v>0</v>
      </c>
      <c r="N85" s="96">
        <f t="shared" si="13"/>
        <v>0</v>
      </c>
      <c r="O85" s="96">
        <f t="shared" si="13"/>
        <v>0</v>
      </c>
      <c r="P85" s="96">
        <f t="shared" si="13"/>
        <v>0</v>
      </c>
      <c r="Q85" s="96">
        <f t="shared" si="13"/>
        <v>0</v>
      </c>
      <c r="R85" s="96">
        <f t="shared" si="13"/>
        <v>0</v>
      </c>
      <c r="S85" s="96">
        <f t="shared" si="13"/>
        <v>0</v>
      </c>
      <c r="T85" s="96">
        <f t="shared" si="13"/>
        <v>0</v>
      </c>
      <c r="U85" s="96">
        <f t="shared" si="13"/>
        <v>0</v>
      </c>
      <c r="V85" s="96">
        <f t="shared" si="13"/>
        <v>0</v>
      </c>
      <c r="W85" s="96">
        <f t="shared" si="13"/>
        <v>0</v>
      </c>
      <c r="X85" s="96">
        <f t="shared" si="13"/>
        <v>0</v>
      </c>
      <c r="Y85" s="96">
        <f t="shared" si="13"/>
        <v>0</v>
      </c>
      <c r="Z85" s="96">
        <f t="shared" si="13"/>
        <v>0</v>
      </c>
      <c r="AA85" s="96">
        <f t="shared" si="13"/>
        <v>0</v>
      </c>
      <c r="AB85" s="96">
        <f t="shared" si="13"/>
        <v>0</v>
      </c>
      <c r="AC85" s="96">
        <f t="shared" si="13"/>
        <v>0</v>
      </c>
      <c r="AD85" s="96">
        <f t="shared" si="13"/>
        <v>0</v>
      </c>
      <c r="AE85" s="96">
        <f t="shared" si="13"/>
        <v>0</v>
      </c>
      <c r="AF85" s="96">
        <f t="shared" si="13"/>
        <v>1</v>
      </c>
      <c r="AG85" s="96">
        <f t="shared" si="13"/>
        <v>0</v>
      </c>
      <c r="AH85" s="96">
        <f t="shared" si="13"/>
        <v>1</v>
      </c>
      <c r="AI85" s="96">
        <f t="shared" si="13"/>
        <v>0</v>
      </c>
      <c r="AJ85" s="28" t="str">
        <f t="shared" si="6"/>
        <v>RUN_ON</v>
      </c>
      <c r="AK85" s="41"/>
      <c r="AL85" s="41" t="str">
        <f t="shared" si="9"/>
        <v>0A</v>
      </c>
      <c r="AM85" s="41" t="str">
        <f t="shared" si="10"/>
        <v>00</v>
      </c>
      <c r="AN85" s="41" t="str">
        <f t="shared" si="11"/>
        <v>00</v>
      </c>
      <c r="AO85" s="41" t="str">
        <f t="shared" si="12"/>
        <v>10</v>
      </c>
      <c r="AQ85" t="str">
        <f t="shared" si="7"/>
        <v xml:space="preserve">    (U4)0x1000000AU                                                            /* 14 RUN_ON                                          */</v>
      </c>
    </row>
    <row r="86" spans="2:43">
      <c r="B86" s="103"/>
      <c r="C86" s="28">
        <f t="shared" si="8"/>
        <v>15</v>
      </c>
      <c r="D86" s="96">
        <f t="shared" si="13"/>
        <v>0</v>
      </c>
      <c r="E86" s="96">
        <f t="shared" si="13"/>
        <v>0</v>
      </c>
      <c r="F86" s="96">
        <f t="shared" si="13"/>
        <v>0</v>
      </c>
      <c r="G86" s="96">
        <f t="shared" si="13"/>
        <v>0</v>
      </c>
      <c r="H86" s="96">
        <f t="shared" si="13"/>
        <v>0</v>
      </c>
      <c r="I86" s="96">
        <f t="shared" si="13"/>
        <v>0</v>
      </c>
      <c r="J86" s="96">
        <f t="shared" si="13"/>
        <v>0</v>
      </c>
      <c r="K86" s="96">
        <f t="shared" si="13"/>
        <v>0</v>
      </c>
      <c r="L86" s="96">
        <f t="shared" si="13"/>
        <v>0</v>
      </c>
      <c r="M86" s="96">
        <f t="shared" si="13"/>
        <v>0</v>
      </c>
      <c r="N86" s="96">
        <f t="shared" si="13"/>
        <v>0</v>
      </c>
      <c r="O86" s="96">
        <f t="shared" si="13"/>
        <v>0</v>
      </c>
      <c r="P86" s="96">
        <f t="shared" si="13"/>
        <v>0</v>
      </c>
      <c r="Q86" s="96">
        <f t="shared" si="13"/>
        <v>0</v>
      </c>
      <c r="R86" s="96">
        <f t="shared" si="13"/>
        <v>0</v>
      </c>
      <c r="S86" s="96">
        <f t="shared" si="13"/>
        <v>0</v>
      </c>
      <c r="T86" s="96">
        <f t="shared" si="13"/>
        <v>0</v>
      </c>
      <c r="U86" s="96">
        <f t="shared" si="13"/>
        <v>0</v>
      </c>
      <c r="V86" s="96">
        <f t="shared" si="13"/>
        <v>0</v>
      </c>
      <c r="W86" s="96">
        <f t="shared" si="13"/>
        <v>0</v>
      </c>
      <c r="X86" s="96">
        <f t="shared" si="13"/>
        <v>0</v>
      </c>
      <c r="Y86" s="96">
        <f t="shared" si="13"/>
        <v>0</v>
      </c>
      <c r="Z86" s="96">
        <f t="shared" si="13"/>
        <v>0</v>
      </c>
      <c r="AA86" s="96">
        <f t="shared" si="13"/>
        <v>0</v>
      </c>
      <c r="AB86" s="96">
        <f t="shared" si="13"/>
        <v>0</v>
      </c>
      <c r="AC86" s="96">
        <f t="shared" si="13"/>
        <v>0</v>
      </c>
      <c r="AD86" s="96">
        <f t="shared" si="13"/>
        <v>0</v>
      </c>
      <c r="AE86" s="96">
        <f t="shared" si="13"/>
        <v>0</v>
      </c>
      <c r="AF86" s="96">
        <f t="shared" si="13"/>
        <v>0</v>
      </c>
      <c r="AG86" s="96">
        <f t="shared" si="13"/>
        <v>0</v>
      </c>
      <c r="AH86" s="96">
        <f t="shared" si="13"/>
        <v>0</v>
      </c>
      <c r="AI86" s="96">
        <f>IF(AI21=1,1,0)</f>
        <v>0</v>
      </c>
      <c r="AJ86" s="28" t="str">
        <f t="shared" si="6"/>
        <v/>
      </c>
      <c r="AK86" s="41"/>
      <c r="AL86" s="41" t="str">
        <f t="shared" si="9"/>
        <v>00</v>
      </c>
      <c r="AM86" s="41" t="str">
        <f t="shared" si="10"/>
        <v>00</v>
      </c>
      <c r="AN86" s="41" t="str">
        <f t="shared" si="11"/>
        <v>00</v>
      </c>
      <c r="AO86" s="41" t="str">
        <f t="shared" si="12"/>
        <v>00</v>
      </c>
      <c r="AQ86" t="str">
        <f t="shared" si="7"/>
        <v/>
      </c>
    </row>
    <row r="87" spans="2:43">
      <c r="B87" s="103"/>
      <c r="C87" s="28">
        <f t="shared" si="8"/>
        <v>16</v>
      </c>
      <c r="D87" s="96">
        <f t="shared" ref="D87:AI94" si="14">IF(D22=1,1,0)</f>
        <v>0</v>
      </c>
      <c r="E87" s="96">
        <f t="shared" si="14"/>
        <v>0</v>
      </c>
      <c r="F87" s="96">
        <f t="shared" si="14"/>
        <v>0</v>
      </c>
      <c r="G87" s="96">
        <f t="shared" si="14"/>
        <v>0</v>
      </c>
      <c r="H87" s="96">
        <f t="shared" si="14"/>
        <v>0</v>
      </c>
      <c r="I87" s="96">
        <f t="shared" si="14"/>
        <v>0</v>
      </c>
      <c r="J87" s="96">
        <f t="shared" si="14"/>
        <v>0</v>
      </c>
      <c r="K87" s="96">
        <f t="shared" si="14"/>
        <v>0</v>
      </c>
      <c r="L87" s="96">
        <f t="shared" si="14"/>
        <v>0</v>
      </c>
      <c r="M87" s="96">
        <f t="shared" si="14"/>
        <v>0</v>
      </c>
      <c r="N87" s="96">
        <f t="shared" si="14"/>
        <v>0</v>
      </c>
      <c r="O87" s="96">
        <f t="shared" si="14"/>
        <v>0</v>
      </c>
      <c r="P87" s="96">
        <f t="shared" si="14"/>
        <v>0</v>
      </c>
      <c r="Q87" s="96">
        <f t="shared" si="14"/>
        <v>0</v>
      </c>
      <c r="R87" s="96">
        <f t="shared" si="14"/>
        <v>0</v>
      </c>
      <c r="S87" s="96">
        <f t="shared" si="14"/>
        <v>0</v>
      </c>
      <c r="T87" s="96">
        <f t="shared" si="14"/>
        <v>0</v>
      </c>
      <c r="U87" s="96">
        <f t="shared" si="14"/>
        <v>0</v>
      </c>
      <c r="V87" s="96">
        <f t="shared" si="14"/>
        <v>0</v>
      </c>
      <c r="W87" s="96">
        <f t="shared" si="14"/>
        <v>0</v>
      </c>
      <c r="X87" s="96">
        <f t="shared" si="14"/>
        <v>0</v>
      </c>
      <c r="Y87" s="96">
        <f t="shared" si="14"/>
        <v>0</v>
      </c>
      <c r="Z87" s="96">
        <f t="shared" si="14"/>
        <v>0</v>
      </c>
      <c r="AA87" s="96">
        <f t="shared" si="14"/>
        <v>0</v>
      </c>
      <c r="AB87" s="96">
        <f t="shared" si="14"/>
        <v>0</v>
      </c>
      <c r="AC87" s="96">
        <f t="shared" si="14"/>
        <v>0</v>
      </c>
      <c r="AD87" s="96">
        <f t="shared" si="14"/>
        <v>0</v>
      </c>
      <c r="AE87" s="96">
        <f t="shared" si="14"/>
        <v>0</v>
      </c>
      <c r="AF87" s="96">
        <f t="shared" si="14"/>
        <v>0</v>
      </c>
      <c r="AG87" s="96">
        <f t="shared" si="14"/>
        <v>0</v>
      </c>
      <c r="AH87" s="96">
        <f t="shared" si="14"/>
        <v>0</v>
      </c>
      <c r="AI87" s="96">
        <f t="shared" si="14"/>
        <v>0</v>
      </c>
      <c r="AJ87" s="28" t="str">
        <f t="shared" si="6"/>
        <v/>
      </c>
      <c r="AK87" s="41"/>
      <c r="AL87" s="41" t="str">
        <f t="shared" si="9"/>
        <v>00</v>
      </c>
      <c r="AM87" s="41" t="str">
        <f t="shared" si="10"/>
        <v>00</v>
      </c>
      <c r="AN87" s="41" t="str">
        <f t="shared" si="11"/>
        <v>00</v>
      </c>
      <c r="AO87" s="41" t="str">
        <f t="shared" si="12"/>
        <v>00</v>
      </c>
      <c r="AQ87" t="str">
        <f t="shared" si="7"/>
        <v/>
      </c>
    </row>
    <row r="88" spans="2:43">
      <c r="B88" s="103"/>
      <c r="C88" s="28">
        <f t="shared" si="8"/>
        <v>17</v>
      </c>
      <c r="D88" s="96">
        <f t="shared" si="14"/>
        <v>0</v>
      </c>
      <c r="E88" s="96">
        <f t="shared" si="14"/>
        <v>0</v>
      </c>
      <c r="F88" s="96">
        <f t="shared" si="14"/>
        <v>0</v>
      </c>
      <c r="G88" s="96">
        <f t="shared" si="14"/>
        <v>0</v>
      </c>
      <c r="H88" s="96">
        <f t="shared" si="14"/>
        <v>0</v>
      </c>
      <c r="I88" s="96">
        <f t="shared" si="14"/>
        <v>0</v>
      </c>
      <c r="J88" s="96">
        <f t="shared" si="14"/>
        <v>0</v>
      </c>
      <c r="K88" s="96">
        <f t="shared" si="14"/>
        <v>0</v>
      </c>
      <c r="L88" s="96">
        <f t="shared" si="14"/>
        <v>0</v>
      </c>
      <c r="M88" s="96">
        <f t="shared" si="14"/>
        <v>0</v>
      </c>
      <c r="N88" s="96">
        <f t="shared" si="14"/>
        <v>0</v>
      </c>
      <c r="O88" s="96">
        <f t="shared" si="14"/>
        <v>0</v>
      </c>
      <c r="P88" s="96">
        <f t="shared" si="14"/>
        <v>0</v>
      </c>
      <c r="Q88" s="96">
        <f t="shared" si="14"/>
        <v>0</v>
      </c>
      <c r="R88" s="96">
        <f t="shared" si="14"/>
        <v>0</v>
      </c>
      <c r="S88" s="96">
        <f t="shared" si="14"/>
        <v>0</v>
      </c>
      <c r="T88" s="96">
        <f t="shared" si="14"/>
        <v>0</v>
      </c>
      <c r="U88" s="96">
        <f t="shared" si="14"/>
        <v>0</v>
      </c>
      <c r="V88" s="96">
        <f t="shared" si="14"/>
        <v>0</v>
      </c>
      <c r="W88" s="96">
        <f t="shared" si="14"/>
        <v>0</v>
      </c>
      <c r="X88" s="96">
        <f t="shared" si="14"/>
        <v>0</v>
      </c>
      <c r="Y88" s="96">
        <f t="shared" si="14"/>
        <v>0</v>
      </c>
      <c r="Z88" s="96">
        <f t="shared" si="14"/>
        <v>0</v>
      </c>
      <c r="AA88" s="96">
        <f t="shared" si="14"/>
        <v>0</v>
      </c>
      <c r="AB88" s="96">
        <f t="shared" si="14"/>
        <v>0</v>
      </c>
      <c r="AC88" s="96">
        <f t="shared" si="14"/>
        <v>0</v>
      </c>
      <c r="AD88" s="96">
        <f t="shared" si="14"/>
        <v>0</v>
      </c>
      <c r="AE88" s="96">
        <f t="shared" si="14"/>
        <v>0</v>
      </c>
      <c r="AF88" s="96">
        <f t="shared" si="14"/>
        <v>0</v>
      </c>
      <c r="AG88" s="96">
        <f t="shared" si="14"/>
        <v>0</v>
      </c>
      <c r="AH88" s="96">
        <f t="shared" si="14"/>
        <v>0</v>
      </c>
      <c r="AI88" s="96">
        <f t="shared" si="14"/>
        <v>0</v>
      </c>
      <c r="AJ88" s="28" t="str">
        <f t="shared" si="6"/>
        <v/>
      </c>
      <c r="AK88" s="41"/>
      <c r="AL88" s="41" t="str">
        <f t="shared" si="9"/>
        <v>00</v>
      </c>
      <c r="AM88" s="41" t="str">
        <f t="shared" si="10"/>
        <v>00</v>
      </c>
      <c r="AN88" s="41" t="str">
        <f t="shared" si="11"/>
        <v>00</v>
      </c>
      <c r="AO88" s="41" t="str">
        <f t="shared" si="12"/>
        <v>00</v>
      </c>
      <c r="AQ88" t="str">
        <f t="shared" si="7"/>
        <v/>
      </c>
    </row>
    <row r="89" spans="2:43">
      <c r="B89" s="103"/>
      <c r="C89" s="28">
        <f t="shared" si="8"/>
        <v>18</v>
      </c>
      <c r="D89" s="96">
        <f t="shared" si="14"/>
        <v>0</v>
      </c>
      <c r="E89" s="96">
        <f t="shared" si="14"/>
        <v>0</v>
      </c>
      <c r="F89" s="96">
        <f t="shared" si="14"/>
        <v>0</v>
      </c>
      <c r="G89" s="96">
        <f t="shared" si="14"/>
        <v>0</v>
      </c>
      <c r="H89" s="96">
        <f t="shared" si="14"/>
        <v>0</v>
      </c>
      <c r="I89" s="96">
        <f t="shared" si="14"/>
        <v>0</v>
      </c>
      <c r="J89" s="96">
        <f t="shared" si="14"/>
        <v>0</v>
      </c>
      <c r="K89" s="96">
        <f t="shared" si="14"/>
        <v>0</v>
      </c>
      <c r="L89" s="96">
        <f t="shared" si="14"/>
        <v>0</v>
      </c>
      <c r="M89" s="96">
        <f t="shared" si="14"/>
        <v>0</v>
      </c>
      <c r="N89" s="96">
        <f t="shared" si="14"/>
        <v>0</v>
      </c>
      <c r="O89" s="96">
        <f t="shared" si="14"/>
        <v>0</v>
      </c>
      <c r="P89" s="96">
        <f t="shared" si="14"/>
        <v>0</v>
      </c>
      <c r="Q89" s="96">
        <f t="shared" si="14"/>
        <v>0</v>
      </c>
      <c r="R89" s="96">
        <f t="shared" si="14"/>
        <v>0</v>
      </c>
      <c r="S89" s="96">
        <f t="shared" si="14"/>
        <v>0</v>
      </c>
      <c r="T89" s="96">
        <f t="shared" si="14"/>
        <v>0</v>
      </c>
      <c r="U89" s="96">
        <f t="shared" si="14"/>
        <v>0</v>
      </c>
      <c r="V89" s="96">
        <f t="shared" si="14"/>
        <v>0</v>
      </c>
      <c r="W89" s="96">
        <f t="shared" si="14"/>
        <v>0</v>
      </c>
      <c r="X89" s="96">
        <f t="shared" si="14"/>
        <v>0</v>
      </c>
      <c r="Y89" s="96">
        <f t="shared" si="14"/>
        <v>0</v>
      </c>
      <c r="Z89" s="96">
        <f t="shared" si="14"/>
        <v>0</v>
      </c>
      <c r="AA89" s="96">
        <f t="shared" si="14"/>
        <v>0</v>
      </c>
      <c r="AB89" s="96">
        <f t="shared" si="14"/>
        <v>0</v>
      </c>
      <c r="AC89" s="96">
        <f t="shared" si="14"/>
        <v>0</v>
      </c>
      <c r="AD89" s="96">
        <f t="shared" si="14"/>
        <v>0</v>
      </c>
      <c r="AE89" s="96">
        <f t="shared" si="14"/>
        <v>0</v>
      </c>
      <c r="AF89" s="96">
        <f t="shared" si="14"/>
        <v>0</v>
      </c>
      <c r="AG89" s="96">
        <f t="shared" si="14"/>
        <v>0</v>
      </c>
      <c r="AH89" s="96">
        <f t="shared" si="14"/>
        <v>0</v>
      </c>
      <c r="AI89" s="96">
        <f t="shared" si="14"/>
        <v>0</v>
      </c>
      <c r="AJ89" s="28" t="str">
        <f t="shared" si="6"/>
        <v/>
      </c>
      <c r="AK89" s="41"/>
      <c r="AL89" s="41" t="str">
        <f t="shared" si="9"/>
        <v>00</v>
      </c>
      <c r="AM89" s="41" t="str">
        <f t="shared" si="10"/>
        <v>00</v>
      </c>
      <c r="AN89" s="41" t="str">
        <f t="shared" si="11"/>
        <v>00</v>
      </c>
      <c r="AO89" s="41" t="str">
        <f t="shared" si="12"/>
        <v>00</v>
      </c>
      <c r="AQ89" t="str">
        <f t="shared" si="7"/>
        <v/>
      </c>
    </row>
    <row r="90" spans="2:43">
      <c r="B90" s="103"/>
      <c r="C90" s="28">
        <f t="shared" si="8"/>
        <v>19</v>
      </c>
      <c r="D90" s="96">
        <f t="shared" si="14"/>
        <v>0</v>
      </c>
      <c r="E90" s="96">
        <f t="shared" si="14"/>
        <v>0</v>
      </c>
      <c r="F90" s="96">
        <f t="shared" si="14"/>
        <v>0</v>
      </c>
      <c r="G90" s="96">
        <f t="shared" si="14"/>
        <v>0</v>
      </c>
      <c r="H90" s="96">
        <f t="shared" si="14"/>
        <v>0</v>
      </c>
      <c r="I90" s="96">
        <f t="shared" si="14"/>
        <v>0</v>
      </c>
      <c r="J90" s="96">
        <f t="shared" si="14"/>
        <v>0</v>
      </c>
      <c r="K90" s="96">
        <f t="shared" si="14"/>
        <v>0</v>
      </c>
      <c r="L90" s="96">
        <f t="shared" si="14"/>
        <v>0</v>
      </c>
      <c r="M90" s="96">
        <f t="shared" si="14"/>
        <v>0</v>
      </c>
      <c r="N90" s="96">
        <f t="shared" si="14"/>
        <v>0</v>
      </c>
      <c r="O90" s="96">
        <f t="shared" si="14"/>
        <v>0</v>
      </c>
      <c r="P90" s="96">
        <f t="shared" si="14"/>
        <v>0</v>
      </c>
      <c r="Q90" s="96">
        <f t="shared" si="14"/>
        <v>0</v>
      </c>
      <c r="R90" s="96">
        <f t="shared" si="14"/>
        <v>0</v>
      </c>
      <c r="S90" s="96">
        <f t="shared" si="14"/>
        <v>0</v>
      </c>
      <c r="T90" s="96">
        <f t="shared" si="14"/>
        <v>0</v>
      </c>
      <c r="U90" s="96">
        <f t="shared" si="14"/>
        <v>0</v>
      </c>
      <c r="V90" s="96">
        <f t="shared" si="14"/>
        <v>0</v>
      </c>
      <c r="W90" s="96">
        <f t="shared" si="14"/>
        <v>0</v>
      </c>
      <c r="X90" s="96">
        <f t="shared" si="14"/>
        <v>0</v>
      </c>
      <c r="Y90" s="96">
        <f t="shared" si="14"/>
        <v>0</v>
      </c>
      <c r="Z90" s="96">
        <f t="shared" si="14"/>
        <v>0</v>
      </c>
      <c r="AA90" s="96">
        <f t="shared" si="14"/>
        <v>0</v>
      </c>
      <c r="AB90" s="96">
        <f t="shared" si="14"/>
        <v>0</v>
      </c>
      <c r="AC90" s="96">
        <f t="shared" si="14"/>
        <v>0</v>
      </c>
      <c r="AD90" s="96">
        <f t="shared" si="14"/>
        <v>0</v>
      </c>
      <c r="AE90" s="96">
        <f t="shared" si="14"/>
        <v>0</v>
      </c>
      <c r="AF90" s="96">
        <f t="shared" si="14"/>
        <v>0</v>
      </c>
      <c r="AG90" s="96">
        <f t="shared" si="14"/>
        <v>0</v>
      </c>
      <c r="AH90" s="96">
        <f t="shared" si="14"/>
        <v>0</v>
      </c>
      <c r="AI90" s="96">
        <f t="shared" si="14"/>
        <v>0</v>
      </c>
      <c r="AJ90" s="28" t="str">
        <f t="shared" si="6"/>
        <v/>
      </c>
      <c r="AK90" s="41"/>
      <c r="AL90" s="41" t="str">
        <f t="shared" si="9"/>
        <v>00</v>
      </c>
      <c r="AM90" s="41" t="str">
        <f t="shared" si="10"/>
        <v>00</v>
      </c>
      <c r="AN90" s="41" t="str">
        <f t="shared" si="11"/>
        <v>00</v>
      </c>
      <c r="AO90" s="41" t="str">
        <f t="shared" si="12"/>
        <v>00</v>
      </c>
      <c r="AQ90" t="str">
        <f t="shared" si="7"/>
        <v/>
      </c>
    </row>
    <row r="91" spans="2:43">
      <c r="B91" s="103"/>
      <c r="C91" s="28">
        <f t="shared" si="8"/>
        <v>20</v>
      </c>
      <c r="D91" s="96">
        <f t="shared" si="14"/>
        <v>0</v>
      </c>
      <c r="E91" s="96">
        <f t="shared" si="14"/>
        <v>0</v>
      </c>
      <c r="F91" s="96">
        <f t="shared" si="14"/>
        <v>0</v>
      </c>
      <c r="G91" s="96">
        <f t="shared" si="14"/>
        <v>0</v>
      </c>
      <c r="H91" s="96">
        <f t="shared" si="14"/>
        <v>0</v>
      </c>
      <c r="I91" s="96">
        <f t="shared" si="14"/>
        <v>0</v>
      </c>
      <c r="J91" s="96">
        <f t="shared" si="14"/>
        <v>0</v>
      </c>
      <c r="K91" s="96">
        <f t="shared" si="14"/>
        <v>0</v>
      </c>
      <c r="L91" s="96">
        <f t="shared" si="14"/>
        <v>0</v>
      </c>
      <c r="M91" s="96">
        <f t="shared" si="14"/>
        <v>0</v>
      </c>
      <c r="N91" s="96">
        <f t="shared" si="14"/>
        <v>0</v>
      </c>
      <c r="O91" s="96">
        <f t="shared" si="14"/>
        <v>0</v>
      </c>
      <c r="P91" s="96">
        <f t="shared" si="14"/>
        <v>0</v>
      </c>
      <c r="Q91" s="96">
        <f t="shared" si="14"/>
        <v>0</v>
      </c>
      <c r="R91" s="96">
        <f t="shared" si="14"/>
        <v>0</v>
      </c>
      <c r="S91" s="96">
        <f t="shared" si="14"/>
        <v>0</v>
      </c>
      <c r="T91" s="96">
        <f t="shared" si="14"/>
        <v>0</v>
      </c>
      <c r="U91" s="96">
        <f t="shared" si="14"/>
        <v>0</v>
      </c>
      <c r="V91" s="96">
        <f t="shared" si="14"/>
        <v>0</v>
      </c>
      <c r="W91" s="96">
        <f t="shared" si="14"/>
        <v>0</v>
      </c>
      <c r="X91" s="96">
        <f t="shared" si="14"/>
        <v>0</v>
      </c>
      <c r="Y91" s="96">
        <f t="shared" si="14"/>
        <v>0</v>
      </c>
      <c r="Z91" s="96">
        <f t="shared" si="14"/>
        <v>0</v>
      </c>
      <c r="AA91" s="96">
        <f t="shared" si="14"/>
        <v>0</v>
      </c>
      <c r="AB91" s="96">
        <f t="shared" si="14"/>
        <v>0</v>
      </c>
      <c r="AC91" s="96">
        <f t="shared" si="14"/>
        <v>0</v>
      </c>
      <c r="AD91" s="96">
        <f t="shared" si="14"/>
        <v>0</v>
      </c>
      <c r="AE91" s="96">
        <f t="shared" si="14"/>
        <v>0</v>
      </c>
      <c r="AF91" s="96">
        <f t="shared" si="14"/>
        <v>0</v>
      </c>
      <c r="AG91" s="96">
        <f t="shared" si="14"/>
        <v>0</v>
      </c>
      <c r="AH91" s="96">
        <f t="shared" si="14"/>
        <v>0</v>
      </c>
      <c r="AI91" s="96">
        <f t="shared" si="14"/>
        <v>0</v>
      </c>
      <c r="AJ91" s="28" t="str">
        <f t="shared" si="6"/>
        <v/>
      </c>
      <c r="AK91" s="41"/>
      <c r="AL91" s="41" t="str">
        <f t="shared" si="9"/>
        <v>00</v>
      </c>
      <c r="AM91" s="41" t="str">
        <f t="shared" si="10"/>
        <v>00</v>
      </c>
      <c r="AN91" s="41" t="str">
        <f t="shared" si="11"/>
        <v>00</v>
      </c>
      <c r="AO91" s="41" t="str">
        <f t="shared" si="12"/>
        <v>00</v>
      </c>
      <c r="AQ91" t="str">
        <f t="shared" si="7"/>
        <v/>
      </c>
    </row>
    <row r="92" spans="2:43">
      <c r="B92" s="103"/>
      <c r="C92" s="28">
        <f t="shared" si="8"/>
        <v>21</v>
      </c>
      <c r="D92" s="96">
        <f t="shared" si="14"/>
        <v>0</v>
      </c>
      <c r="E92" s="96">
        <f t="shared" si="14"/>
        <v>0</v>
      </c>
      <c r="F92" s="96">
        <f t="shared" si="14"/>
        <v>0</v>
      </c>
      <c r="G92" s="96">
        <f t="shared" si="14"/>
        <v>0</v>
      </c>
      <c r="H92" s="96">
        <f t="shared" si="14"/>
        <v>0</v>
      </c>
      <c r="I92" s="96">
        <f t="shared" si="14"/>
        <v>0</v>
      </c>
      <c r="J92" s="96">
        <f t="shared" si="14"/>
        <v>0</v>
      </c>
      <c r="K92" s="96">
        <f t="shared" si="14"/>
        <v>0</v>
      </c>
      <c r="L92" s="96">
        <f t="shared" si="14"/>
        <v>0</v>
      </c>
      <c r="M92" s="96">
        <f t="shared" si="14"/>
        <v>0</v>
      </c>
      <c r="N92" s="96">
        <f t="shared" si="14"/>
        <v>0</v>
      </c>
      <c r="O92" s="96">
        <f t="shared" si="14"/>
        <v>0</v>
      </c>
      <c r="P92" s="96">
        <f t="shared" si="14"/>
        <v>0</v>
      </c>
      <c r="Q92" s="96">
        <f t="shared" si="14"/>
        <v>0</v>
      </c>
      <c r="R92" s="96">
        <f t="shared" si="14"/>
        <v>0</v>
      </c>
      <c r="S92" s="96">
        <f t="shared" si="14"/>
        <v>0</v>
      </c>
      <c r="T92" s="96">
        <f t="shared" si="14"/>
        <v>0</v>
      </c>
      <c r="U92" s="96">
        <f t="shared" si="14"/>
        <v>0</v>
      </c>
      <c r="V92" s="96">
        <f t="shared" si="14"/>
        <v>0</v>
      </c>
      <c r="W92" s="96">
        <f t="shared" si="14"/>
        <v>0</v>
      </c>
      <c r="X92" s="96">
        <f t="shared" si="14"/>
        <v>0</v>
      </c>
      <c r="Y92" s="96">
        <f t="shared" si="14"/>
        <v>0</v>
      </c>
      <c r="Z92" s="96">
        <f t="shared" si="14"/>
        <v>0</v>
      </c>
      <c r="AA92" s="96">
        <f t="shared" si="14"/>
        <v>0</v>
      </c>
      <c r="AB92" s="96">
        <f t="shared" si="14"/>
        <v>0</v>
      </c>
      <c r="AC92" s="96">
        <f t="shared" si="14"/>
        <v>0</v>
      </c>
      <c r="AD92" s="96">
        <f t="shared" si="14"/>
        <v>0</v>
      </c>
      <c r="AE92" s="96">
        <f t="shared" si="14"/>
        <v>0</v>
      </c>
      <c r="AF92" s="96">
        <f t="shared" si="14"/>
        <v>0</v>
      </c>
      <c r="AG92" s="96">
        <f t="shared" si="14"/>
        <v>0</v>
      </c>
      <c r="AH92" s="96">
        <f t="shared" si="14"/>
        <v>0</v>
      </c>
      <c r="AI92" s="96">
        <f t="shared" si="14"/>
        <v>0</v>
      </c>
      <c r="AJ92" s="28" t="str">
        <f t="shared" si="6"/>
        <v/>
      </c>
      <c r="AK92" s="41"/>
      <c r="AL92" s="41" t="str">
        <f t="shared" si="9"/>
        <v>00</v>
      </c>
      <c r="AM92" s="41" t="str">
        <f t="shared" si="10"/>
        <v>00</v>
      </c>
      <c r="AN92" s="41" t="str">
        <f t="shared" si="11"/>
        <v>00</v>
      </c>
      <c r="AO92" s="41" t="str">
        <f t="shared" si="12"/>
        <v>00</v>
      </c>
      <c r="AQ92" t="str">
        <f t="shared" si="7"/>
        <v/>
      </c>
    </row>
    <row r="93" spans="2:43">
      <c r="B93" s="103"/>
      <c r="C93" s="28">
        <f t="shared" si="8"/>
        <v>22</v>
      </c>
      <c r="D93" s="96">
        <f t="shared" si="14"/>
        <v>0</v>
      </c>
      <c r="E93" s="96">
        <f t="shared" si="14"/>
        <v>0</v>
      </c>
      <c r="F93" s="96">
        <f t="shared" si="14"/>
        <v>0</v>
      </c>
      <c r="G93" s="96">
        <f t="shared" si="14"/>
        <v>0</v>
      </c>
      <c r="H93" s="96">
        <f t="shared" si="14"/>
        <v>0</v>
      </c>
      <c r="I93" s="96">
        <f t="shared" si="14"/>
        <v>0</v>
      </c>
      <c r="J93" s="96">
        <f t="shared" si="14"/>
        <v>0</v>
      </c>
      <c r="K93" s="96">
        <f t="shared" si="14"/>
        <v>0</v>
      </c>
      <c r="L93" s="96">
        <f t="shared" si="14"/>
        <v>0</v>
      </c>
      <c r="M93" s="96">
        <f t="shared" si="14"/>
        <v>0</v>
      </c>
      <c r="N93" s="96">
        <f t="shared" si="14"/>
        <v>0</v>
      </c>
      <c r="O93" s="96">
        <f t="shared" si="14"/>
        <v>0</v>
      </c>
      <c r="P93" s="96">
        <f t="shared" si="14"/>
        <v>0</v>
      </c>
      <c r="Q93" s="96">
        <f t="shared" si="14"/>
        <v>0</v>
      </c>
      <c r="R93" s="96">
        <f t="shared" si="14"/>
        <v>0</v>
      </c>
      <c r="S93" s="96">
        <f t="shared" si="14"/>
        <v>0</v>
      </c>
      <c r="T93" s="96">
        <f t="shared" si="14"/>
        <v>0</v>
      </c>
      <c r="U93" s="96">
        <f t="shared" si="14"/>
        <v>0</v>
      </c>
      <c r="V93" s="96">
        <f t="shared" si="14"/>
        <v>0</v>
      </c>
      <c r="W93" s="96">
        <f t="shared" si="14"/>
        <v>0</v>
      </c>
      <c r="X93" s="96">
        <f t="shared" si="14"/>
        <v>0</v>
      </c>
      <c r="Y93" s="96">
        <f t="shared" si="14"/>
        <v>0</v>
      </c>
      <c r="Z93" s="96">
        <f t="shared" si="14"/>
        <v>0</v>
      </c>
      <c r="AA93" s="96">
        <f t="shared" si="14"/>
        <v>0</v>
      </c>
      <c r="AB93" s="96">
        <f t="shared" si="14"/>
        <v>0</v>
      </c>
      <c r="AC93" s="96">
        <f t="shared" si="14"/>
        <v>0</v>
      </c>
      <c r="AD93" s="96">
        <f t="shared" si="14"/>
        <v>0</v>
      </c>
      <c r="AE93" s="96">
        <f t="shared" si="14"/>
        <v>0</v>
      </c>
      <c r="AF93" s="96">
        <f t="shared" si="14"/>
        <v>0</v>
      </c>
      <c r="AG93" s="96">
        <f t="shared" si="14"/>
        <v>0</v>
      </c>
      <c r="AH93" s="96">
        <f t="shared" si="14"/>
        <v>0</v>
      </c>
      <c r="AI93" s="96">
        <f t="shared" si="14"/>
        <v>0</v>
      </c>
      <c r="AJ93" s="28" t="str">
        <f t="shared" si="6"/>
        <v/>
      </c>
      <c r="AK93" s="41"/>
      <c r="AL93" s="41" t="str">
        <f t="shared" si="9"/>
        <v>00</v>
      </c>
      <c r="AM93" s="41" t="str">
        <f t="shared" si="10"/>
        <v>00</v>
      </c>
      <c r="AN93" s="41" t="str">
        <f t="shared" si="11"/>
        <v>00</v>
      </c>
      <c r="AO93" s="41" t="str">
        <f t="shared" si="12"/>
        <v>00</v>
      </c>
      <c r="AQ93" t="str">
        <f t="shared" si="7"/>
        <v/>
      </c>
    </row>
    <row r="94" spans="2:43">
      <c r="B94" s="103"/>
      <c r="C94" s="28">
        <f t="shared" si="8"/>
        <v>23</v>
      </c>
      <c r="D94" s="96">
        <f t="shared" si="14"/>
        <v>0</v>
      </c>
      <c r="E94" s="96">
        <f t="shared" si="14"/>
        <v>0</v>
      </c>
      <c r="F94" s="96">
        <f t="shared" si="14"/>
        <v>0</v>
      </c>
      <c r="G94" s="96">
        <f t="shared" si="14"/>
        <v>0</v>
      </c>
      <c r="H94" s="96">
        <f t="shared" si="14"/>
        <v>0</v>
      </c>
      <c r="I94" s="96">
        <f t="shared" si="14"/>
        <v>0</v>
      </c>
      <c r="J94" s="96">
        <f t="shared" si="14"/>
        <v>0</v>
      </c>
      <c r="K94" s="96">
        <f t="shared" si="14"/>
        <v>0</v>
      </c>
      <c r="L94" s="96">
        <f t="shared" si="14"/>
        <v>0</v>
      </c>
      <c r="M94" s="96">
        <f t="shared" si="14"/>
        <v>0</v>
      </c>
      <c r="N94" s="96">
        <f t="shared" si="14"/>
        <v>0</v>
      </c>
      <c r="O94" s="96">
        <f t="shared" si="14"/>
        <v>0</v>
      </c>
      <c r="P94" s="96">
        <f t="shared" si="14"/>
        <v>0</v>
      </c>
      <c r="Q94" s="96">
        <f t="shared" si="14"/>
        <v>0</v>
      </c>
      <c r="R94" s="96">
        <f t="shared" si="14"/>
        <v>0</v>
      </c>
      <c r="S94" s="96">
        <f t="shared" si="14"/>
        <v>0</v>
      </c>
      <c r="T94" s="96">
        <f t="shared" si="14"/>
        <v>0</v>
      </c>
      <c r="U94" s="96">
        <f t="shared" si="14"/>
        <v>0</v>
      </c>
      <c r="V94" s="96">
        <f t="shared" si="14"/>
        <v>0</v>
      </c>
      <c r="W94" s="96">
        <f t="shared" si="14"/>
        <v>0</v>
      </c>
      <c r="X94" s="96">
        <f t="shared" si="14"/>
        <v>0</v>
      </c>
      <c r="Y94" s="96">
        <f t="shared" si="14"/>
        <v>0</v>
      </c>
      <c r="Z94" s="96">
        <f t="shared" si="14"/>
        <v>0</v>
      </c>
      <c r="AA94" s="96">
        <f t="shared" si="14"/>
        <v>0</v>
      </c>
      <c r="AB94" s="96">
        <f t="shared" si="14"/>
        <v>0</v>
      </c>
      <c r="AC94" s="96">
        <f t="shared" si="14"/>
        <v>0</v>
      </c>
      <c r="AD94" s="96">
        <f t="shared" si="14"/>
        <v>0</v>
      </c>
      <c r="AE94" s="96">
        <f t="shared" si="14"/>
        <v>0</v>
      </c>
      <c r="AF94" s="96">
        <f t="shared" si="14"/>
        <v>0</v>
      </c>
      <c r="AG94" s="96">
        <f t="shared" si="14"/>
        <v>0</v>
      </c>
      <c r="AH94" s="96">
        <f t="shared" si="14"/>
        <v>0</v>
      </c>
      <c r="AI94" s="96">
        <f>IF(AI29=1,1,0)</f>
        <v>0</v>
      </c>
      <c r="AJ94" s="28" t="str">
        <f t="shared" si="6"/>
        <v/>
      </c>
      <c r="AK94" s="41"/>
      <c r="AL94" s="41" t="str">
        <f t="shared" si="9"/>
        <v>00</v>
      </c>
      <c r="AM94" s="41" t="str">
        <f t="shared" si="10"/>
        <v>00</v>
      </c>
      <c r="AN94" s="41" t="str">
        <f t="shared" si="11"/>
        <v>00</v>
      </c>
      <c r="AO94" s="41" t="str">
        <f t="shared" si="12"/>
        <v>00</v>
      </c>
      <c r="AQ94" t="str">
        <f t="shared" si="7"/>
        <v/>
      </c>
    </row>
    <row r="95" spans="2:43">
      <c r="B95" s="103"/>
      <c r="C95" s="28">
        <f t="shared" si="8"/>
        <v>24</v>
      </c>
      <c r="D95" s="96">
        <f t="shared" ref="D95:AI102" si="15">IF(D30=1,1,0)</f>
        <v>0</v>
      </c>
      <c r="E95" s="96">
        <f t="shared" si="15"/>
        <v>0</v>
      </c>
      <c r="F95" s="96">
        <f t="shared" si="15"/>
        <v>0</v>
      </c>
      <c r="G95" s="96">
        <f t="shared" si="15"/>
        <v>0</v>
      </c>
      <c r="H95" s="96">
        <f t="shared" si="15"/>
        <v>0</v>
      </c>
      <c r="I95" s="96">
        <f t="shared" si="15"/>
        <v>0</v>
      </c>
      <c r="J95" s="96">
        <f t="shared" si="15"/>
        <v>0</v>
      </c>
      <c r="K95" s="96">
        <f t="shared" si="15"/>
        <v>0</v>
      </c>
      <c r="L95" s="96">
        <f t="shared" si="15"/>
        <v>0</v>
      </c>
      <c r="M95" s="96">
        <f t="shared" si="15"/>
        <v>0</v>
      </c>
      <c r="N95" s="96">
        <f t="shared" si="15"/>
        <v>0</v>
      </c>
      <c r="O95" s="96">
        <f t="shared" si="15"/>
        <v>0</v>
      </c>
      <c r="P95" s="96">
        <f t="shared" si="15"/>
        <v>0</v>
      </c>
      <c r="Q95" s="96">
        <f t="shared" si="15"/>
        <v>0</v>
      </c>
      <c r="R95" s="96">
        <f t="shared" si="15"/>
        <v>0</v>
      </c>
      <c r="S95" s="96">
        <f t="shared" si="15"/>
        <v>0</v>
      </c>
      <c r="T95" s="96">
        <f t="shared" si="15"/>
        <v>0</v>
      </c>
      <c r="U95" s="96">
        <f t="shared" si="15"/>
        <v>0</v>
      </c>
      <c r="V95" s="96">
        <f t="shared" si="15"/>
        <v>0</v>
      </c>
      <c r="W95" s="96">
        <f t="shared" si="15"/>
        <v>0</v>
      </c>
      <c r="X95" s="96">
        <f t="shared" si="15"/>
        <v>0</v>
      </c>
      <c r="Y95" s="96">
        <f t="shared" si="15"/>
        <v>0</v>
      </c>
      <c r="Z95" s="96">
        <f t="shared" si="15"/>
        <v>0</v>
      </c>
      <c r="AA95" s="96">
        <f t="shared" si="15"/>
        <v>0</v>
      </c>
      <c r="AB95" s="96">
        <f t="shared" si="15"/>
        <v>0</v>
      </c>
      <c r="AC95" s="96">
        <f t="shared" si="15"/>
        <v>0</v>
      </c>
      <c r="AD95" s="96">
        <f t="shared" si="15"/>
        <v>0</v>
      </c>
      <c r="AE95" s="96">
        <f t="shared" si="15"/>
        <v>0</v>
      </c>
      <c r="AF95" s="96">
        <f t="shared" si="15"/>
        <v>0</v>
      </c>
      <c r="AG95" s="96">
        <f t="shared" si="15"/>
        <v>0</v>
      </c>
      <c r="AH95" s="96">
        <f t="shared" si="15"/>
        <v>0</v>
      </c>
      <c r="AI95" s="96">
        <f t="shared" si="15"/>
        <v>0</v>
      </c>
      <c r="AJ95" s="28" t="str">
        <f t="shared" si="6"/>
        <v/>
      </c>
      <c r="AK95" s="41"/>
      <c r="AL95" s="41" t="str">
        <f t="shared" si="9"/>
        <v>00</v>
      </c>
      <c r="AM95" s="41" t="str">
        <f t="shared" si="10"/>
        <v>00</v>
      </c>
      <c r="AN95" s="41" t="str">
        <f t="shared" si="11"/>
        <v>00</v>
      </c>
      <c r="AO95" s="41" t="str">
        <f t="shared" si="12"/>
        <v>00</v>
      </c>
      <c r="AQ95" t="str">
        <f t="shared" si="7"/>
        <v/>
      </c>
    </row>
    <row r="96" spans="2:43">
      <c r="B96" s="103"/>
      <c r="C96" s="28">
        <f t="shared" si="8"/>
        <v>25</v>
      </c>
      <c r="D96" s="96">
        <f t="shared" si="15"/>
        <v>0</v>
      </c>
      <c r="E96" s="96">
        <f t="shared" si="15"/>
        <v>0</v>
      </c>
      <c r="F96" s="96">
        <f t="shared" si="15"/>
        <v>0</v>
      </c>
      <c r="G96" s="96">
        <f t="shared" si="15"/>
        <v>0</v>
      </c>
      <c r="H96" s="96">
        <f t="shared" si="15"/>
        <v>0</v>
      </c>
      <c r="I96" s="96">
        <f t="shared" si="15"/>
        <v>0</v>
      </c>
      <c r="J96" s="96">
        <f t="shared" si="15"/>
        <v>0</v>
      </c>
      <c r="K96" s="96">
        <f t="shared" si="15"/>
        <v>0</v>
      </c>
      <c r="L96" s="96">
        <f t="shared" si="15"/>
        <v>0</v>
      </c>
      <c r="M96" s="96">
        <f t="shared" si="15"/>
        <v>0</v>
      </c>
      <c r="N96" s="96">
        <f t="shared" si="15"/>
        <v>0</v>
      </c>
      <c r="O96" s="96">
        <f t="shared" si="15"/>
        <v>0</v>
      </c>
      <c r="P96" s="96">
        <f t="shared" si="15"/>
        <v>0</v>
      </c>
      <c r="Q96" s="96">
        <f t="shared" si="15"/>
        <v>0</v>
      </c>
      <c r="R96" s="96">
        <f t="shared" si="15"/>
        <v>0</v>
      </c>
      <c r="S96" s="96">
        <f t="shared" si="15"/>
        <v>0</v>
      </c>
      <c r="T96" s="96">
        <f t="shared" si="15"/>
        <v>0</v>
      </c>
      <c r="U96" s="96">
        <f t="shared" si="15"/>
        <v>0</v>
      </c>
      <c r="V96" s="96">
        <f t="shared" si="15"/>
        <v>0</v>
      </c>
      <c r="W96" s="96">
        <f t="shared" si="15"/>
        <v>0</v>
      </c>
      <c r="X96" s="96">
        <f t="shared" si="15"/>
        <v>0</v>
      </c>
      <c r="Y96" s="96">
        <f t="shared" si="15"/>
        <v>0</v>
      </c>
      <c r="Z96" s="96">
        <f t="shared" si="15"/>
        <v>0</v>
      </c>
      <c r="AA96" s="96">
        <f t="shared" si="15"/>
        <v>0</v>
      </c>
      <c r="AB96" s="96">
        <f t="shared" si="15"/>
        <v>0</v>
      </c>
      <c r="AC96" s="96">
        <f t="shared" si="15"/>
        <v>0</v>
      </c>
      <c r="AD96" s="96">
        <f t="shared" si="15"/>
        <v>0</v>
      </c>
      <c r="AE96" s="96">
        <f t="shared" si="15"/>
        <v>0</v>
      </c>
      <c r="AF96" s="96">
        <f t="shared" si="15"/>
        <v>0</v>
      </c>
      <c r="AG96" s="96">
        <f t="shared" si="15"/>
        <v>0</v>
      </c>
      <c r="AH96" s="96">
        <f t="shared" si="15"/>
        <v>0</v>
      </c>
      <c r="AI96" s="96">
        <f t="shared" si="15"/>
        <v>0</v>
      </c>
      <c r="AJ96" s="28" t="str">
        <f t="shared" si="6"/>
        <v/>
      </c>
      <c r="AK96" s="41"/>
      <c r="AL96" s="41" t="str">
        <f t="shared" si="9"/>
        <v>00</v>
      </c>
      <c r="AM96" s="41" t="str">
        <f t="shared" si="10"/>
        <v>00</v>
      </c>
      <c r="AN96" s="41" t="str">
        <f t="shared" si="11"/>
        <v>00</v>
      </c>
      <c r="AO96" s="41" t="str">
        <f t="shared" si="12"/>
        <v>00</v>
      </c>
      <c r="AQ96" t="str">
        <f t="shared" si="7"/>
        <v/>
      </c>
    </row>
    <row r="97" spans="2:43">
      <c r="B97" s="103"/>
      <c r="C97" s="28">
        <f t="shared" si="8"/>
        <v>26</v>
      </c>
      <c r="D97" s="96">
        <f t="shared" si="15"/>
        <v>0</v>
      </c>
      <c r="E97" s="96">
        <f t="shared" si="15"/>
        <v>0</v>
      </c>
      <c r="F97" s="96">
        <f t="shared" si="15"/>
        <v>0</v>
      </c>
      <c r="G97" s="96">
        <f t="shared" si="15"/>
        <v>0</v>
      </c>
      <c r="H97" s="96">
        <f t="shared" si="15"/>
        <v>0</v>
      </c>
      <c r="I97" s="96">
        <f t="shared" si="15"/>
        <v>0</v>
      </c>
      <c r="J97" s="96">
        <f t="shared" si="15"/>
        <v>0</v>
      </c>
      <c r="K97" s="96">
        <f t="shared" si="15"/>
        <v>0</v>
      </c>
      <c r="L97" s="96">
        <f t="shared" si="15"/>
        <v>0</v>
      </c>
      <c r="M97" s="96">
        <f t="shared" si="15"/>
        <v>0</v>
      </c>
      <c r="N97" s="96">
        <f t="shared" si="15"/>
        <v>0</v>
      </c>
      <c r="O97" s="96">
        <f t="shared" si="15"/>
        <v>0</v>
      </c>
      <c r="P97" s="96">
        <f t="shared" si="15"/>
        <v>0</v>
      </c>
      <c r="Q97" s="96">
        <f t="shared" si="15"/>
        <v>0</v>
      </c>
      <c r="R97" s="96">
        <f t="shared" si="15"/>
        <v>0</v>
      </c>
      <c r="S97" s="96">
        <f t="shared" si="15"/>
        <v>0</v>
      </c>
      <c r="T97" s="96">
        <f t="shared" si="15"/>
        <v>0</v>
      </c>
      <c r="U97" s="96">
        <f t="shared" si="15"/>
        <v>0</v>
      </c>
      <c r="V97" s="96">
        <f t="shared" si="15"/>
        <v>0</v>
      </c>
      <c r="W97" s="96">
        <f t="shared" si="15"/>
        <v>0</v>
      </c>
      <c r="X97" s="96">
        <f t="shared" si="15"/>
        <v>0</v>
      </c>
      <c r="Y97" s="96">
        <f t="shared" si="15"/>
        <v>0</v>
      </c>
      <c r="Z97" s="96">
        <f t="shared" si="15"/>
        <v>0</v>
      </c>
      <c r="AA97" s="96">
        <f t="shared" si="15"/>
        <v>0</v>
      </c>
      <c r="AB97" s="96">
        <f t="shared" si="15"/>
        <v>0</v>
      </c>
      <c r="AC97" s="96">
        <f t="shared" si="15"/>
        <v>0</v>
      </c>
      <c r="AD97" s="96">
        <f t="shared" si="15"/>
        <v>0</v>
      </c>
      <c r="AE97" s="96">
        <f t="shared" si="15"/>
        <v>0</v>
      </c>
      <c r="AF97" s="96">
        <f t="shared" si="15"/>
        <v>0</v>
      </c>
      <c r="AG97" s="96">
        <f t="shared" si="15"/>
        <v>0</v>
      </c>
      <c r="AH97" s="96">
        <f t="shared" si="15"/>
        <v>0</v>
      </c>
      <c r="AI97" s="96">
        <f t="shared" si="15"/>
        <v>0</v>
      </c>
      <c r="AJ97" s="28" t="str">
        <f t="shared" si="6"/>
        <v/>
      </c>
      <c r="AK97" s="41"/>
      <c r="AL97" s="41" t="str">
        <f t="shared" si="9"/>
        <v>00</v>
      </c>
      <c r="AM97" s="41" t="str">
        <f t="shared" si="10"/>
        <v>00</v>
      </c>
      <c r="AN97" s="41" t="str">
        <f t="shared" si="11"/>
        <v>00</v>
      </c>
      <c r="AO97" s="41" t="str">
        <f t="shared" si="12"/>
        <v>00</v>
      </c>
      <c r="AQ97" t="str">
        <f t="shared" si="7"/>
        <v/>
      </c>
    </row>
    <row r="98" spans="2:43">
      <c r="B98" s="103"/>
      <c r="C98" s="28">
        <f t="shared" si="8"/>
        <v>27</v>
      </c>
      <c r="D98" s="96">
        <f t="shared" si="15"/>
        <v>0</v>
      </c>
      <c r="E98" s="96">
        <f t="shared" si="15"/>
        <v>0</v>
      </c>
      <c r="F98" s="96">
        <f t="shared" si="15"/>
        <v>0</v>
      </c>
      <c r="G98" s="96">
        <f t="shared" si="15"/>
        <v>0</v>
      </c>
      <c r="H98" s="96">
        <f t="shared" si="15"/>
        <v>0</v>
      </c>
      <c r="I98" s="96">
        <f t="shared" si="15"/>
        <v>0</v>
      </c>
      <c r="J98" s="96">
        <f t="shared" si="15"/>
        <v>0</v>
      </c>
      <c r="K98" s="96">
        <f t="shared" si="15"/>
        <v>0</v>
      </c>
      <c r="L98" s="96">
        <f t="shared" si="15"/>
        <v>0</v>
      </c>
      <c r="M98" s="96">
        <f t="shared" si="15"/>
        <v>0</v>
      </c>
      <c r="N98" s="96">
        <f t="shared" si="15"/>
        <v>0</v>
      </c>
      <c r="O98" s="96">
        <f t="shared" si="15"/>
        <v>0</v>
      </c>
      <c r="P98" s="96">
        <f t="shared" si="15"/>
        <v>0</v>
      </c>
      <c r="Q98" s="96">
        <f t="shared" si="15"/>
        <v>0</v>
      </c>
      <c r="R98" s="96">
        <f t="shared" si="15"/>
        <v>0</v>
      </c>
      <c r="S98" s="96">
        <f t="shared" si="15"/>
        <v>0</v>
      </c>
      <c r="T98" s="96">
        <f t="shared" si="15"/>
        <v>0</v>
      </c>
      <c r="U98" s="96">
        <f t="shared" si="15"/>
        <v>0</v>
      </c>
      <c r="V98" s="96">
        <f t="shared" si="15"/>
        <v>0</v>
      </c>
      <c r="W98" s="96">
        <f t="shared" si="15"/>
        <v>0</v>
      </c>
      <c r="X98" s="96">
        <f t="shared" si="15"/>
        <v>0</v>
      </c>
      <c r="Y98" s="96">
        <f t="shared" si="15"/>
        <v>0</v>
      </c>
      <c r="Z98" s="96">
        <f t="shared" si="15"/>
        <v>0</v>
      </c>
      <c r="AA98" s="96">
        <f t="shared" si="15"/>
        <v>0</v>
      </c>
      <c r="AB98" s="96">
        <f t="shared" si="15"/>
        <v>0</v>
      </c>
      <c r="AC98" s="96">
        <f t="shared" si="15"/>
        <v>0</v>
      </c>
      <c r="AD98" s="96">
        <f t="shared" si="15"/>
        <v>0</v>
      </c>
      <c r="AE98" s="96">
        <f t="shared" si="15"/>
        <v>0</v>
      </c>
      <c r="AF98" s="96">
        <f t="shared" si="15"/>
        <v>0</v>
      </c>
      <c r="AG98" s="96">
        <f t="shared" si="15"/>
        <v>0</v>
      </c>
      <c r="AH98" s="96">
        <f t="shared" si="15"/>
        <v>0</v>
      </c>
      <c r="AI98" s="96">
        <f t="shared" si="15"/>
        <v>0</v>
      </c>
      <c r="AJ98" s="28" t="str">
        <f t="shared" si="6"/>
        <v/>
      </c>
      <c r="AK98" s="41"/>
      <c r="AL98" s="41" t="str">
        <f t="shared" si="9"/>
        <v>00</v>
      </c>
      <c r="AM98" s="41" t="str">
        <f t="shared" si="10"/>
        <v>00</v>
      </c>
      <c r="AN98" s="41" t="str">
        <f t="shared" si="11"/>
        <v>00</v>
      </c>
      <c r="AO98" s="41" t="str">
        <f t="shared" si="12"/>
        <v>00</v>
      </c>
      <c r="AQ98" t="str">
        <f t="shared" si="7"/>
        <v/>
      </c>
    </row>
    <row r="99" spans="2:43">
      <c r="B99" s="103"/>
      <c r="C99" s="28">
        <f t="shared" si="8"/>
        <v>28</v>
      </c>
      <c r="D99" s="96">
        <f t="shared" si="15"/>
        <v>0</v>
      </c>
      <c r="E99" s="96">
        <f t="shared" si="15"/>
        <v>0</v>
      </c>
      <c r="F99" s="96">
        <f t="shared" si="15"/>
        <v>0</v>
      </c>
      <c r="G99" s="96">
        <f t="shared" si="15"/>
        <v>0</v>
      </c>
      <c r="H99" s="96">
        <f t="shared" si="15"/>
        <v>0</v>
      </c>
      <c r="I99" s="96">
        <f t="shared" si="15"/>
        <v>0</v>
      </c>
      <c r="J99" s="96">
        <f t="shared" si="15"/>
        <v>0</v>
      </c>
      <c r="K99" s="96">
        <f t="shared" si="15"/>
        <v>0</v>
      </c>
      <c r="L99" s="96">
        <f t="shared" si="15"/>
        <v>0</v>
      </c>
      <c r="M99" s="96">
        <f t="shared" si="15"/>
        <v>0</v>
      </c>
      <c r="N99" s="96">
        <f t="shared" si="15"/>
        <v>0</v>
      </c>
      <c r="O99" s="96">
        <f t="shared" si="15"/>
        <v>0</v>
      </c>
      <c r="P99" s="96">
        <f t="shared" si="15"/>
        <v>0</v>
      </c>
      <c r="Q99" s="96">
        <f t="shared" si="15"/>
        <v>0</v>
      </c>
      <c r="R99" s="96">
        <f t="shared" si="15"/>
        <v>0</v>
      </c>
      <c r="S99" s="96">
        <f t="shared" si="15"/>
        <v>0</v>
      </c>
      <c r="T99" s="96">
        <f t="shared" si="15"/>
        <v>0</v>
      </c>
      <c r="U99" s="96">
        <f t="shared" si="15"/>
        <v>0</v>
      </c>
      <c r="V99" s="96">
        <f t="shared" si="15"/>
        <v>0</v>
      </c>
      <c r="W99" s="96">
        <f t="shared" si="15"/>
        <v>0</v>
      </c>
      <c r="X99" s="96">
        <f t="shared" si="15"/>
        <v>0</v>
      </c>
      <c r="Y99" s="96">
        <f t="shared" si="15"/>
        <v>0</v>
      </c>
      <c r="Z99" s="96">
        <f t="shared" si="15"/>
        <v>0</v>
      </c>
      <c r="AA99" s="96">
        <f t="shared" si="15"/>
        <v>0</v>
      </c>
      <c r="AB99" s="96">
        <f t="shared" si="15"/>
        <v>0</v>
      </c>
      <c r="AC99" s="96">
        <f t="shared" si="15"/>
        <v>0</v>
      </c>
      <c r="AD99" s="96">
        <f t="shared" si="15"/>
        <v>0</v>
      </c>
      <c r="AE99" s="96">
        <f t="shared" si="15"/>
        <v>0</v>
      </c>
      <c r="AF99" s="96">
        <f t="shared" si="15"/>
        <v>0</v>
      </c>
      <c r="AG99" s="96">
        <f t="shared" si="15"/>
        <v>0</v>
      </c>
      <c r="AH99" s="96">
        <f t="shared" si="15"/>
        <v>0</v>
      </c>
      <c r="AI99" s="96">
        <f t="shared" si="15"/>
        <v>0</v>
      </c>
      <c r="AJ99" s="28" t="str">
        <f t="shared" si="6"/>
        <v/>
      </c>
      <c r="AK99" s="41"/>
      <c r="AL99" s="41" t="str">
        <f t="shared" si="9"/>
        <v>00</v>
      </c>
      <c r="AM99" s="41" t="str">
        <f t="shared" si="10"/>
        <v>00</v>
      </c>
      <c r="AN99" s="41" t="str">
        <f t="shared" si="11"/>
        <v>00</v>
      </c>
      <c r="AO99" s="41" t="str">
        <f t="shared" si="12"/>
        <v>00</v>
      </c>
      <c r="AQ99" t="str">
        <f t="shared" si="7"/>
        <v/>
      </c>
    </row>
    <row r="100" spans="2:43">
      <c r="B100" s="103"/>
      <c r="C100" s="28">
        <f t="shared" si="8"/>
        <v>29</v>
      </c>
      <c r="D100" s="96">
        <f t="shared" si="15"/>
        <v>0</v>
      </c>
      <c r="E100" s="96">
        <f t="shared" si="15"/>
        <v>0</v>
      </c>
      <c r="F100" s="96">
        <f t="shared" si="15"/>
        <v>0</v>
      </c>
      <c r="G100" s="96">
        <f t="shared" si="15"/>
        <v>0</v>
      </c>
      <c r="H100" s="96">
        <f t="shared" si="15"/>
        <v>0</v>
      </c>
      <c r="I100" s="96">
        <f t="shared" si="15"/>
        <v>0</v>
      </c>
      <c r="J100" s="96">
        <f t="shared" si="15"/>
        <v>0</v>
      </c>
      <c r="K100" s="96">
        <f t="shared" si="15"/>
        <v>0</v>
      </c>
      <c r="L100" s="96">
        <f t="shared" si="15"/>
        <v>0</v>
      </c>
      <c r="M100" s="96">
        <f t="shared" si="15"/>
        <v>0</v>
      </c>
      <c r="N100" s="96">
        <f t="shared" si="15"/>
        <v>0</v>
      </c>
      <c r="O100" s="96">
        <f t="shared" si="15"/>
        <v>0</v>
      </c>
      <c r="P100" s="96">
        <f t="shared" si="15"/>
        <v>0</v>
      </c>
      <c r="Q100" s="96">
        <f t="shared" si="15"/>
        <v>0</v>
      </c>
      <c r="R100" s="96">
        <f t="shared" si="15"/>
        <v>0</v>
      </c>
      <c r="S100" s="96">
        <f t="shared" si="15"/>
        <v>0</v>
      </c>
      <c r="T100" s="96">
        <f t="shared" si="15"/>
        <v>0</v>
      </c>
      <c r="U100" s="96">
        <f t="shared" si="15"/>
        <v>0</v>
      </c>
      <c r="V100" s="96">
        <f t="shared" si="15"/>
        <v>0</v>
      </c>
      <c r="W100" s="96">
        <f t="shared" si="15"/>
        <v>0</v>
      </c>
      <c r="X100" s="96">
        <f t="shared" si="15"/>
        <v>0</v>
      </c>
      <c r="Y100" s="96">
        <f t="shared" si="15"/>
        <v>0</v>
      </c>
      <c r="Z100" s="96">
        <f t="shared" si="15"/>
        <v>0</v>
      </c>
      <c r="AA100" s="96">
        <f t="shared" si="15"/>
        <v>0</v>
      </c>
      <c r="AB100" s="96">
        <f t="shared" si="15"/>
        <v>0</v>
      </c>
      <c r="AC100" s="96">
        <f t="shared" si="15"/>
        <v>0</v>
      </c>
      <c r="AD100" s="96">
        <f t="shared" si="15"/>
        <v>0</v>
      </c>
      <c r="AE100" s="96">
        <f t="shared" si="15"/>
        <v>0</v>
      </c>
      <c r="AF100" s="96">
        <f t="shared" si="15"/>
        <v>0</v>
      </c>
      <c r="AG100" s="96">
        <f t="shared" si="15"/>
        <v>0</v>
      </c>
      <c r="AH100" s="96">
        <f t="shared" si="15"/>
        <v>0</v>
      </c>
      <c r="AI100" s="96">
        <f t="shared" si="15"/>
        <v>0</v>
      </c>
      <c r="AJ100" s="28" t="str">
        <f t="shared" si="6"/>
        <v/>
      </c>
      <c r="AK100" s="41"/>
      <c r="AL100" s="41" t="str">
        <f t="shared" si="9"/>
        <v>00</v>
      </c>
      <c r="AM100" s="41" t="str">
        <f t="shared" si="10"/>
        <v>00</v>
      </c>
      <c r="AN100" s="41" t="str">
        <f t="shared" si="11"/>
        <v>00</v>
      </c>
      <c r="AO100" s="41" t="str">
        <f t="shared" si="12"/>
        <v>00</v>
      </c>
      <c r="AQ100" t="str">
        <f t="shared" si="7"/>
        <v/>
      </c>
    </row>
    <row r="101" spans="2:43">
      <c r="B101" s="103"/>
      <c r="C101" s="28">
        <f t="shared" si="8"/>
        <v>30</v>
      </c>
      <c r="D101" s="96">
        <f t="shared" si="15"/>
        <v>0</v>
      </c>
      <c r="E101" s="96">
        <f t="shared" si="15"/>
        <v>0</v>
      </c>
      <c r="F101" s="96">
        <f t="shared" si="15"/>
        <v>0</v>
      </c>
      <c r="G101" s="96">
        <f t="shared" si="15"/>
        <v>0</v>
      </c>
      <c r="H101" s="96">
        <f t="shared" si="15"/>
        <v>0</v>
      </c>
      <c r="I101" s="96">
        <f t="shared" si="15"/>
        <v>0</v>
      </c>
      <c r="J101" s="96">
        <f t="shared" si="15"/>
        <v>0</v>
      </c>
      <c r="K101" s="96">
        <f t="shared" si="15"/>
        <v>0</v>
      </c>
      <c r="L101" s="96">
        <f t="shared" si="15"/>
        <v>0</v>
      </c>
      <c r="M101" s="96">
        <f t="shared" si="15"/>
        <v>0</v>
      </c>
      <c r="N101" s="96">
        <f t="shared" si="15"/>
        <v>0</v>
      </c>
      <c r="O101" s="96">
        <f t="shared" si="15"/>
        <v>0</v>
      </c>
      <c r="P101" s="96">
        <f t="shared" si="15"/>
        <v>0</v>
      </c>
      <c r="Q101" s="96">
        <f t="shared" si="15"/>
        <v>0</v>
      </c>
      <c r="R101" s="96">
        <f t="shared" si="15"/>
        <v>0</v>
      </c>
      <c r="S101" s="96">
        <f t="shared" si="15"/>
        <v>0</v>
      </c>
      <c r="T101" s="96">
        <f t="shared" si="15"/>
        <v>0</v>
      </c>
      <c r="U101" s="96">
        <f t="shared" si="15"/>
        <v>0</v>
      </c>
      <c r="V101" s="96">
        <f t="shared" si="15"/>
        <v>0</v>
      </c>
      <c r="W101" s="96">
        <f t="shared" si="15"/>
        <v>0</v>
      </c>
      <c r="X101" s="96">
        <f t="shared" si="15"/>
        <v>0</v>
      </c>
      <c r="Y101" s="96">
        <f t="shared" si="15"/>
        <v>0</v>
      </c>
      <c r="Z101" s="96">
        <f t="shared" si="15"/>
        <v>0</v>
      </c>
      <c r="AA101" s="96">
        <f t="shared" si="15"/>
        <v>0</v>
      </c>
      <c r="AB101" s="96">
        <f t="shared" si="15"/>
        <v>0</v>
      </c>
      <c r="AC101" s="96">
        <f t="shared" si="15"/>
        <v>0</v>
      </c>
      <c r="AD101" s="96">
        <f t="shared" si="15"/>
        <v>0</v>
      </c>
      <c r="AE101" s="96">
        <f t="shared" si="15"/>
        <v>0</v>
      </c>
      <c r="AF101" s="96">
        <f t="shared" si="15"/>
        <v>0</v>
      </c>
      <c r="AG101" s="96">
        <f t="shared" si="15"/>
        <v>0</v>
      </c>
      <c r="AH101" s="96">
        <f t="shared" si="15"/>
        <v>0</v>
      </c>
      <c r="AI101" s="96">
        <f t="shared" si="15"/>
        <v>0</v>
      </c>
      <c r="AJ101" s="28" t="str">
        <f t="shared" si="6"/>
        <v/>
      </c>
      <c r="AK101" s="41"/>
      <c r="AL101" s="41" t="str">
        <f t="shared" si="9"/>
        <v>00</v>
      </c>
      <c r="AM101" s="41" t="str">
        <f t="shared" si="10"/>
        <v>00</v>
      </c>
      <c r="AN101" s="41" t="str">
        <f t="shared" si="11"/>
        <v>00</v>
      </c>
      <c r="AO101" s="41" t="str">
        <f t="shared" si="12"/>
        <v>00</v>
      </c>
      <c r="AQ101" t="str">
        <f t="shared" si="7"/>
        <v/>
      </c>
    </row>
    <row r="102" spans="2:43">
      <c r="B102" s="103"/>
      <c r="C102" s="28">
        <f t="shared" si="8"/>
        <v>31</v>
      </c>
      <c r="D102" s="96">
        <f t="shared" si="15"/>
        <v>0</v>
      </c>
      <c r="E102" s="96">
        <f t="shared" si="15"/>
        <v>0</v>
      </c>
      <c r="F102" s="96">
        <f t="shared" si="15"/>
        <v>0</v>
      </c>
      <c r="G102" s="96">
        <f t="shared" si="15"/>
        <v>0</v>
      </c>
      <c r="H102" s="96">
        <f t="shared" si="15"/>
        <v>0</v>
      </c>
      <c r="I102" s="96">
        <f t="shared" si="15"/>
        <v>0</v>
      </c>
      <c r="J102" s="96">
        <f t="shared" si="15"/>
        <v>0</v>
      </c>
      <c r="K102" s="96">
        <f t="shared" si="15"/>
        <v>0</v>
      </c>
      <c r="L102" s="96">
        <f t="shared" si="15"/>
        <v>0</v>
      </c>
      <c r="M102" s="96">
        <f t="shared" si="15"/>
        <v>0</v>
      </c>
      <c r="N102" s="96">
        <f t="shared" si="15"/>
        <v>0</v>
      </c>
      <c r="O102" s="96">
        <f t="shared" si="15"/>
        <v>0</v>
      </c>
      <c r="P102" s="96">
        <f t="shared" si="15"/>
        <v>0</v>
      </c>
      <c r="Q102" s="96">
        <f t="shared" si="15"/>
        <v>0</v>
      </c>
      <c r="R102" s="96">
        <f t="shared" si="15"/>
        <v>0</v>
      </c>
      <c r="S102" s="96">
        <f t="shared" si="15"/>
        <v>0</v>
      </c>
      <c r="T102" s="96">
        <f t="shared" si="15"/>
        <v>0</v>
      </c>
      <c r="U102" s="96">
        <f t="shared" si="15"/>
        <v>0</v>
      </c>
      <c r="V102" s="96">
        <f t="shared" si="15"/>
        <v>0</v>
      </c>
      <c r="W102" s="96">
        <f t="shared" si="15"/>
        <v>0</v>
      </c>
      <c r="X102" s="96">
        <f t="shared" si="15"/>
        <v>0</v>
      </c>
      <c r="Y102" s="96">
        <f t="shared" si="15"/>
        <v>0</v>
      </c>
      <c r="Z102" s="96">
        <f t="shared" si="15"/>
        <v>0</v>
      </c>
      <c r="AA102" s="96">
        <f t="shared" si="15"/>
        <v>0</v>
      </c>
      <c r="AB102" s="96">
        <f t="shared" si="15"/>
        <v>0</v>
      </c>
      <c r="AC102" s="96">
        <f t="shared" si="15"/>
        <v>0</v>
      </c>
      <c r="AD102" s="96">
        <f t="shared" si="15"/>
        <v>0</v>
      </c>
      <c r="AE102" s="96">
        <f t="shared" si="15"/>
        <v>0</v>
      </c>
      <c r="AF102" s="96">
        <f t="shared" si="15"/>
        <v>0</v>
      </c>
      <c r="AG102" s="96">
        <f t="shared" si="15"/>
        <v>0</v>
      </c>
      <c r="AH102" s="96">
        <f t="shared" si="15"/>
        <v>0</v>
      </c>
      <c r="AI102" s="96">
        <f>IF(AI37=1,1,0)</f>
        <v>0</v>
      </c>
      <c r="AJ102" s="28" t="str">
        <f t="shared" si="6"/>
        <v/>
      </c>
      <c r="AK102" s="41"/>
      <c r="AL102" s="41" t="str">
        <f t="shared" si="9"/>
        <v>00</v>
      </c>
      <c r="AM102" s="41" t="str">
        <f t="shared" si="10"/>
        <v>00</v>
      </c>
      <c r="AN102" s="41" t="str">
        <f t="shared" si="11"/>
        <v>00</v>
      </c>
      <c r="AO102" s="41" t="str">
        <f t="shared" si="12"/>
        <v>00</v>
      </c>
      <c r="AQ102" t="str">
        <f t="shared" si="7"/>
        <v/>
      </c>
    </row>
    <row r="103" spans="2:43">
      <c r="B103" s="103"/>
      <c r="C103" s="28">
        <f t="shared" si="8"/>
        <v>32</v>
      </c>
      <c r="D103" s="96">
        <f t="shared" ref="D103:AI110" si="16">IF(D38=1,1,0)</f>
        <v>0</v>
      </c>
      <c r="E103" s="96">
        <f t="shared" si="16"/>
        <v>0</v>
      </c>
      <c r="F103" s="96">
        <f t="shared" si="16"/>
        <v>0</v>
      </c>
      <c r="G103" s="96">
        <f t="shared" si="16"/>
        <v>0</v>
      </c>
      <c r="H103" s="96">
        <f t="shared" si="16"/>
        <v>0</v>
      </c>
      <c r="I103" s="96">
        <f t="shared" si="16"/>
        <v>0</v>
      </c>
      <c r="J103" s="96">
        <f t="shared" si="16"/>
        <v>0</v>
      </c>
      <c r="K103" s="96">
        <f t="shared" si="16"/>
        <v>0</v>
      </c>
      <c r="L103" s="96">
        <f t="shared" si="16"/>
        <v>0</v>
      </c>
      <c r="M103" s="96">
        <f t="shared" si="16"/>
        <v>0</v>
      </c>
      <c r="N103" s="96">
        <f t="shared" si="16"/>
        <v>0</v>
      </c>
      <c r="O103" s="96">
        <f t="shared" si="16"/>
        <v>0</v>
      </c>
      <c r="P103" s="96">
        <f t="shared" si="16"/>
        <v>0</v>
      </c>
      <c r="Q103" s="96">
        <f t="shared" si="16"/>
        <v>0</v>
      </c>
      <c r="R103" s="96">
        <f t="shared" si="16"/>
        <v>0</v>
      </c>
      <c r="S103" s="96">
        <f t="shared" si="16"/>
        <v>0</v>
      </c>
      <c r="T103" s="96">
        <f t="shared" si="16"/>
        <v>0</v>
      </c>
      <c r="U103" s="96">
        <f t="shared" si="16"/>
        <v>0</v>
      </c>
      <c r="V103" s="96">
        <f t="shared" si="16"/>
        <v>0</v>
      </c>
      <c r="W103" s="96">
        <f t="shared" si="16"/>
        <v>0</v>
      </c>
      <c r="X103" s="96">
        <f t="shared" si="16"/>
        <v>0</v>
      </c>
      <c r="Y103" s="96">
        <f t="shared" si="16"/>
        <v>0</v>
      </c>
      <c r="Z103" s="96">
        <f t="shared" si="16"/>
        <v>0</v>
      </c>
      <c r="AA103" s="96">
        <f t="shared" si="16"/>
        <v>0</v>
      </c>
      <c r="AB103" s="96">
        <f t="shared" si="16"/>
        <v>0</v>
      </c>
      <c r="AC103" s="96">
        <f t="shared" si="16"/>
        <v>0</v>
      </c>
      <c r="AD103" s="96">
        <f t="shared" si="16"/>
        <v>0</v>
      </c>
      <c r="AE103" s="96">
        <f t="shared" si="16"/>
        <v>0</v>
      </c>
      <c r="AF103" s="96">
        <f t="shared" si="16"/>
        <v>0</v>
      </c>
      <c r="AG103" s="96">
        <f t="shared" si="16"/>
        <v>0</v>
      </c>
      <c r="AH103" s="96">
        <f t="shared" si="16"/>
        <v>0</v>
      </c>
      <c r="AI103" s="96">
        <f t="shared" si="16"/>
        <v>0</v>
      </c>
      <c r="AJ103" s="28" t="str">
        <f t="shared" si="6"/>
        <v/>
      </c>
      <c r="AK103" s="41"/>
      <c r="AL103" s="41" t="str">
        <f t="shared" si="9"/>
        <v>00</v>
      </c>
      <c r="AM103" s="41" t="str">
        <f t="shared" si="10"/>
        <v>00</v>
      </c>
      <c r="AN103" s="41" t="str">
        <f t="shared" si="11"/>
        <v>00</v>
      </c>
      <c r="AO103" s="41" t="str">
        <f t="shared" si="12"/>
        <v>00</v>
      </c>
      <c r="AQ103" t="str">
        <f t="shared" si="7"/>
        <v/>
      </c>
    </row>
    <row r="104" spans="2:43">
      <c r="B104" s="103"/>
      <c r="C104" s="28">
        <f t="shared" si="8"/>
        <v>33</v>
      </c>
      <c r="D104" s="96">
        <f t="shared" si="16"/>
        <v>0</v>
      </c>
      <c r="E104" s="96">
        <f t="shared" si="16"/>
        <v>0</v>
      </c>
      <c r="F104" s="96">
        <f t="shared" si="16"/>
        <v>0</v>
      </c>
      <c r="G104" s="96">
        <f t="shared" si="16"/>
        <v>0</v>
      </c>
      <c r="H104" s="96">
        <f t="shared" si="16"/>
        <v>0</v>
      </c>
      <c r="I104" s="96">
        <f t="shared" si="16"/>
        <v>0</v>
      </c>
      <c r="J104" s="96">
        <f t="shared" si="16"/>
        <v>0</v>
      </c>
      <c r="K104" s="96">
        <f t="shared" si="16"/>
        <v>0</v>
      </c>
      <c r="L104" s="96">
        <f t="shared" si="16"/>
        <v>0</v>
      </c>
      <c r="M104" s="96">
        <f t="shared" si="16"/>
        <v>0</v>
      </c>
      <c r="N104" s="96">
        <f t="shared" si="16"/>
        <v>0</v>
      </c>
      <c r="O104" s="96">
        <f t="shared" si="16"/>
        <v>0</v>
      </c>
      <c r="P104" s="96">
        <f t="shared" si="16"/>
        <v>0</v>
      </c>
      <c r="Q104" s="96">
        <f t="shared" si="16"/>
        <v>0</v>
      </c>
      <c r="R104" s="96">
        <f t="shared" si="16"/>
        <v>0</v>
      </c>
      <c r="S104" s="96">
        <f t="shared" si="16"/>
        <v>0</v>
      </c>
      <c r="T104" s="96">
        <f t="shared" si="16"/>
        <v>0</v>
      </c>
      <c r="U104" s="96">
        <f t="shared" si="16"/>
        <v>0</v>
      </c>
      <c r="V104" s="96">
        <f t="shared" si="16"/>
        <v>0</v>
      </c>
      <c r="W104" s="96">
        <f t="shared" si="16"/>
        <v>0</v>
      </c>
      <c r="X104" s="96">
        <f t="shared" si="16"/>
        <v>0</v>
      </c>
      <c r="Y104" s="96">
        <f t="shared" si="16"/>
        <v>0</v>
      </c>
      <c r="Z104" s="96">
        <f t="shared" si="16"/>
        <v>0</v>
      </c>
      <c r="AA104" s="96">
        <f t="shared" si="16"/>
        <v>0</v>
      </c>
      <c r="AB104" s="96">
        <f t="shared" si="16"/>
        <v>0</v>
      </c>
      <c r="AC104" s="96">
        <f t="shared" si="16"/>
        <v>0</v>
      </c>
      <c r="AD104" s="96">
        <f t="shared" si="16"/>
        <v>0</v>
      </c>
      <c r="AE104" s="96">
        <f t="shared" si="16"/>
        <v>0</v>
      </c>
      <c r="AF104" s="96">
        <f t="shared" si="16"/>
        <v>0</v>
      </c>
      <c r="AG104" s="96">
        <f t="shared" si="16"/>
        <v>0</v>
      </c>
      <c r="AH104" s="96">
        <f t="shared" si="16"/>
        <v>0</v>
      </c>
      <c r="AI104" s="96">
        <f t="shared" si="16"/>
        <v>0</v>
      </c>
      <c r="AJ104" s="28" t="str">
        <f t="shared" si="6"/>
        <v/>
      </c>
      <c r="AK104" s="41"/>
      <c r="AL104" s="41" t="str">
        <f t="shared" si="9"/>
        <v>00</v>
      </c>
      <c r="AM104" s="41" t="str">
        <f t="shared" si="10"/>
        <v>00</v>
      </c>
      <c r="AN104" s="41" t="str">
        <f t="shared" si="11"/>
        <v>00</v>
      </c>
      <c r="AO104" s="41" t="str">
        <f t="shared" si="12"/>
        <v>00</v>
      </c>
      <c r="AQ104" t="str">
        <f t="shared" si="7"/>
        <v/>
      </c>
    </row>
    <row r="105" spans="2:43">
      <c r="B105" s="103"/>
      <c r="C105" s="28">
        <f t="shared" si="8"/>
        <v>34</v>
      </c>
      <c r="D105" s="96">
        <f t="shared" si="16"/>
        <v>0</v>
      </c>
      <c r="E105" s="96">
        <f t="shared" si="16"/>
        <v>0</v>
      </c>
      <c r="F105" s="96">
        <f t="shared" si="16"/>
        <v>0</v>
      </c>
      <c r="G105" s="96">
        <f t="shared" si="16"/>
        <v>0</v>
      </c>
      <c r="H105" s="96">
        <f t="shared" si="16"/>
        <v>0</v>
      </c>
      <c r="I105" s="96">
        <f t="shared" si="16"/>
        <v>0</v>
      </c>
      <c r="J105" s="96">
        <f t="shared" si="16"/>
        <v>0</v>
      </c>
      <c r="K105" s="96">
        <f t="shared" si="16"/>
        <v>0</v>
      </c>
      <c r="L105" s="96">
        <f t="shared" si="16"/>
        <v>0</v>
      </c>
      <c r="M105" s="96">
        <f t="shared" si="16"/>
        <v>0</v>
      </c>
      <c r="N105" s="96">
        <f t="shared" si="16"/>
        <v>0</v>
      </c>
      <c r="O105" s="96">
        <f t="shared" si="16"/>
        <v>0</v>
      </c>
      <c r="P105" s="96">
        <f t="shared" si="16"/>
        <v>0</v>
      </c>
      <c r="Q105" s="96">
        <f t="shared" si="16"/>
        <v>0</v>
      </c>
      <c r="R105" s="96">
        <f t="shared" si="16"/>
        <v>0</v>
      </c>
      <c r="S105" s="96">
        <f t="shared" si="16"/>
        <v>0</v>
      </c>
      <c r="T105" s="96">
        <f t="shared" si="16"/>
        <v>0</v>
      </c>
      <c r="U105" s="96">
        <f t="shared" si="16"/>
        <v>0</v>
      </c>
      <c r="V105" s="96">
        <f t="shared" si="16"/>
        <v>0</v>
      </c>
      <c r="W105" s="96">
        <f t="shared" si="16"/>
        <v>0</v>
      </c>
      <c r="X105" s="96">
        <f t="shared" si="16"/>
        <v>0</v>
      </c>
      <c r="Y105" s="96">
        <f t="shared" si="16"/>
        <v>0</v>
      </c>
      <c r="Z105" s="96">
        <f t="shared" si="16"/>
        <v>0</v>
      </c>
      <c r="AA105" s="96">
        <f t="shared" si="16"/>
        <v>0</v>
      </c>
      <c r="AB105" s="96">
        <f t="shared" si="16"/>
        <v>0</v>
      </c>
      <c r="AC105" s="96">
        <f t="shared" si="16"/>
        <v>0</v>
      </c>
      <c r="AD105" s="96">
        <f t="shared" si="16"/>
        <v>0</v>
      </c>
      <c r="AE105" s="96">
        <f t="shared" si="16"/>
        <v>0</v>
      </c>
      <c r="AF105" s="96">
        <f t="shared" si="16"/>
        <v>0</v>
      </c>
      <c r="AG105" s="96">
        <f t="shared" si="16"/>
        <v>0</v>
      </c>
      <c r="AH105" s="96">
        <f t="shared" si="16"/>
        <v>0</v>
      </c>
      <c r="AI105" s="96">
        <f t="shared" si="16"/>
        <v>0</v>
      </c>
      <c r="AJ105" s="28" t="str">
        <f t="shared" si="6"/>
        <v/>
      </c>
      <c r="AK105" s="41"/>
      <c r="AL105" s="41" t="str">
        <f t="shared" si="9"/>
        <v>00</v>
      </c>
      <c r="AM105" s="41" t="str">
        <f t="shared" si="10"/>
        <v>00</v>
      </c>
      <c r="AN105" s="41" t="str">
        <f t="shared" si="11"/>
        <v>00</v>
      </c>
      <c r="AO105" s="41" t="str">
        <f t="shared" si="12"/>
        <v>00</v>
      </c>
      <c r="AQ105" t="str">
        <f t="shared" si="7"/>
        <v/>
      </c>
    </row>
    <row r="106" spans="2:43">
      <c r="B106" s="103"/>
      <c r="C106" s="28">
        <f t="shared" si="8"/>
        <v>35</v>
      </c>
      <c r="D106" s="96">
        <f t="shared" si="16"/>
        <v>0</v>
      </c>
      <c r="E106" s="96">
        <f t="shared" si="16"/>
        <v>0</v>
      </c>
      <c r="F106" s="96">
        <f t="shared" si="16"/>
        <v>0</v>
      </c>
      <c r="G106" s="96">
        <f t="shared" si="16"/>
        <v>0</v>
      </c>
      <c r="H106" s="96">
        <f t="shared" si="16"/>
        <v>0</v>
      </c>
      <c r="I106" s="96">
        <f t="shared" si="16"/>
        <v>0</v>
      </c>
      <c r="J106" s="96">
        <f t="shared" si="16"/>
        <v>0</v>
      </c>
      <c r="K106" s="96">
        <f t="shared" si="16"/>
        <v>0</v>
      </c>
      <c r="L106" s="96">
        <f t="shared" si="16"/>
        <v>0</v>
      </c>
      <c r="M106" s="96">
        <f t="shared" si="16"/>
        <v>0</v>
      </c>
      <c r="N106" s="96">
        <f t="shared" si="16"/>
        <v>0</v>
      </c>
      <c r="O106" s="96">
        <f t="shared" si="16"/>
        <v>0</v>
      </c>
      <c r="P106" s="96">
        <f t="shared" si="16"/>
        <v>0</v>
      </c>
      <c r="Q106" s="96">
        <f t="shared" si="16"/>
        <v>0</v>
      </c>
      <c r="R106" s="96">
        <f t="shared" si="16"/>
        <v>0</v>
      </c>
      <c r="S106" s="96">
        <f t="shared" si="16"/>
        <v>0</v>
      </c>
      <c r="T106" s="96">
        <f t="shared" si="16"/>
        <v>0</v>
      </c>
      <c r="U106" s="96">
        <f t="shared" si="16"/>
        <v>0</v>
      </c>
      <c r="V106" s="96">
        <f t="shared" si="16"/>
        <v>0</v>
      </c>
      <c r="W106" s="96">
        <f t="shared" si="16"/>
        <v>0</v>
      </c>
      <c r="X106" s="96">
        <f t="shared" si="16"/>
        <v>0</v>
      </c>
      <c r="Y106" s="96">
        <f t="shared" si="16"/>
        <v>0</v>
      </c>
      <c r="Z106" s="96">
        <f t="shared" si="16"/>
        <v>0</v>
      </c>
      <c r="AA106" s="96">
        <f t="shared" si="16"/>
        <v>0</v>
      </c>
      <c r="AB106" s="96">
        <f t="shared" si="16"/>
        <v>0</v>
      </c>
      <c r="AC106" s="96">
        <f t="shared" si="16"/>
        <v>0</v>
      </c>
      <c r="AD106" s="96">
        <f t="shared" si="16"/>
        <v>0</v>
      </c>
      <c r="AE106" s="96">
        <f t="shared" si="16"/>
        <v>0</v>
      </c>
      <c r="AF106" s="96">
        <f t="shared" si="16"/>
        <v>0</v>
      </c>
      <c r="AG106" s="96">
        <f t="shared" si="16"/>
        <v>0</v>
      </c>
      <c r="AH106" s="96">
        <f t="shared" si="16"/>
        <v>0</v>
      </c>
      <c r="AI106" s="96">
        <f t="shared" si="16"/>
        <v>0</v>
      </c>
      <c r="AJ106" s="28" t="str">
        <f t="shared" si="6"/>
        <v/>
      </c>
      <c r="AK106" s="41"/>
      <c r="AL106" s="41" t="str">
        <f t="shared" si="9"/>
        <v>00</v>
      </c>
      <c r="AM106" s="41" t="str">
        <f t="shared" si="10"/>
        <v>00</v>
      </c>
      <c r="AN106" s="41" t="str">
        <f t="shared" si="11"/>
        <v>00</v>
      </c>
      <c r="AO106" s="41" t="str">
        <f t="shared" si="12"/>
        <v>00</v>
      </c>
      <c r="AQ106" t="str">
        <f t="shared" si="7"/>
        <v/>
      </c>
    </row>
    <row r="107" spans="2:43">
      <c r="B107" s="103"/>
      <c r="C107" s="28">
        <f t="shared" si="8"/>
        <v>36</v>
      </c>
      <c r="D107" s="96">
        <f t="shared" si="16"/>
        <v>0</v>
      </c>
      <c r="E107" s="96">
        <f t="shared" si="16"/>
        <v>0</v>
      </c>
      <c r="F107" s="96">
        <f t="shared" si="16"/>
        <v>0</v>
      </c>
      <c r="G107" s="96">
        <f t="shared" si="16"/>
        <v>0</v>
      </c>
      <c r="H107" s="96">
        <f t="shared" si="16"/>
        <v>0</v>
      </c>
      <c r="I107" s="96">
        <f t="shared" si="16"/>
        <v>0</v>
      </c>
      <c r="J107" s="96">
        <f t="shared" si="16"/>
        <v>0</v>
      </c>
      <c r="K107" s="96">
        <f t="shared" si="16"/>
        <v>0</v>
      </c>
      <c r="L107" s="96">
        <f t="shared" si="16"/>
        <v>0</v>
      </c>
      <c r="M107" s="96">
        <f t="shared" si="16"/>
        <v>0</v>
      </c>
      <c r="N107" s="96">
        <f t="shared" si="16"/>
        <v>0</v>
      </c>
      <c r="O107" s="96">
        <f t="shared" si="16"/>
        <v>0</v>
      </c>
      <c r="P107" s="96">
        <f t="shared" si="16"/>
        <v>0</v>
      </c>
      <c r="Q107" s="96">
        <f t="shared" si="16"/>
        <v>0</v>
      </c>
      <c r="R107" s="96">
        <f t="shared" si="16"/>
        <v>0</v>
      </c>
      <c r="S107" s="96">
        <f t="shared" si="16"/>
        <v>0</v>
      </c>
      <c r="T107" s="96">
        <f t="shared" si="16"/>
        <v>0</v>
      </c>
      <c r="U107" s="96">
        <f t="shared" si="16"/>
        <v>0</v>
      </c>
      <c r="V107" s="96">
        <f t="shared" si="16"/>
        <v>0</v>
      </c>
      <c r="W107" s="96">
        <f t="shared" si="16"/>
        <v>0</v>
      </c>
      <c r="X107" s="96">
        <f t="shared" si="16"/>
        <v>0</v>
      </c>
      <c r="Y107" s="96">
        <f t="shared" si="16"/>
        <v>0</v>
      </c>
      <c r="Z107" s="96">
        <f t="shared" si="16"/>
        <v>0</v>
      </c>
      <c r="AA107" s="96">
        <f t="shared" si="16"/>
        <v>0</v>
      </c>
      <c r="AB107" s="96">
        <f t="shared" si="16"/>
        <v>0</v>
      </c>
      <c r="AC107" s="96">
        <f t="shared" si="16"/>
        <v>0</v>
      </c>
      <c r="AD107" s="96">
        <f t="shared" si="16"/>
        <v>0</v>
      </c>
      <c r="AE107" s="96">
        <f t="shared" si="16"/>
        <v>0</v>
      </c>
      <c r="AF107" s="96">
        <f t="shared" si="16"/>
        <v>0</v>
      </c>
      <c r="AG107" s="96">
        <f t="shared" si="16"/>
        <v>0</v>
      </c>
      <c r="AH107" s="96">
        <f t="shared" si="16"/>
        <v>0</v>
      </c>
      <c r="AI107" s="96">
        <f t="shared" si="16"/>
        <v>0</v>
      </c>
      <c r="AJ107" s="28" t="str">
        <f t="shared" si="6"/>
        <v/>
      </c>
      <c r="AK107" s="41"/>
      <c r="AL107" s="41" t="str">
        <f t="shared" si="9"/>
        <v>00</v>
      </c>
      <c r="AM107" s="41" t="str">
        <f t="shared" si="10"/>
        <v>00</v>
      </c>
      <c r="AN107" s="41" t="str">
        <f t="shared" si="11"/>
        <v>00</v>
      </c>
      <c r="AO107" s="41" t="str">
        <f t="shared" si="12"/>
        <v>00</v>
      </c>
      <c r="AQ107" t="str">
        <f t="shared" si="7"/>
        <v/>
      </c>
    </row>
    <row r="108" spans="2:43">
      <c r="B108" s="103"/>
      <c r="C108" s="28">
        <f t="shared" si="8"/>
        <v>37</v>
      </c>
      <c r="D108" s="96">
        <f t="shared" si="16"/>
        <v>0</v>
      </c>
      <c r="E108" s="96">
        <f t="shared" si="16"/>
        <v>0</v>
      </c>
      <c r="F108" s="96">
        <f t="shared" si="16"/>
        <v>0</v>
      </c>
      <c r="G108" s="96">
        <f t="shared" si="16"/>
        <v>0</v>
      </c>
      <c r="H108" s="96">
        <f t="shared" si="16"/>
        <v>0</v>
      </c>
      <c r="I108" s="96">
        <f t="shared" si="16"/>
        <v>0</v>
      </c>
      <c r="J108" s="96">
        <f t="shared" si="16"/>
        <v>0</v>
      </c>
      <c r="K108" s="96">
        <f t="shared" si="16"/>
        <v>0</v>
      </c>
      <c r="L108" s="96">
        <f t="shared" si="16"/>
        <v>0</v>
      </c>
      <c r="M108" s="96">
        <f t="shared" si="16"/>
        <v>0</v>
      </c>
      <c r="N108" s="96">
        <f t="shared" si="16"/>
        <v>0</v>
      </c>
      <c r="O108" s="96">
        <f t="shared" si="16"/>
        <v>0</v>
      </c>
      <c r="P108" s="96">
        <f t="shared" si="16"/>
        <v>0</v>
      </c>
      <c r="Q108" s="96">
        <f t="shared" si="16"/>
        <v>0</v>
      </c>
      <c r="R108" s="96">
        <f t="shared" si="16"/>
        <v>0</v>
      </c>
      <c r="S108" s="96">
        <f t="shared" si="16"/>
        <v>0</v>
      </c>
      <c r="T108" s="96">
        <f t="shared" si="16"/>
        <v>0</v>
      </c>
      <c r="U108" s="96">
        <f t="shared" si="16"/>
        <v>0</v>
      </c>
      <c r="V108" s="96">
        <f t="shared" si="16"/>
        <v>0</v>
      </c>
      <c r="W108" s="96">
        <f t="shared" si="16"/>
        <v>0</v>
      </c>
      <c r="X108" s="96">
        <f t="shared" si="16"/>
        <v>0</v>
      </c>
      <c r="Y108" s="96">
        <f t="shared" si="16"/>
        <v>0</v>
      </c>
      <c r="Z108" s="96">
        <f t="shared" si="16"/>
        <v>0</v>
      </c>
      <c r="AA108" s="96">
        <f t="shared" si="16"/>
        <v>0</v>
      </c>
      <c r="AB108" s="96">
        <f t="shared" si="16"/>
        <v>0</v>
      </c>
      <c r="AC108" s="96">
        <f t="shared" si="16"/>
        <v>0</v>
      </c>
      <c r="AD108" s="96">
        <f t="shared" si="16"/>
        <v>0</v>
      </c>
      <c r="AE108" s="96">
        <f t="shared" si="16"/>
        <v>0</v>
      </c>
      <c r="AF108" s="96">
        <f t="shared" si="16"/>
        <v>0</v>
      </c>
      <c r="AG108" s="96">
        <f t="shared" si="16"/>
        <v>0</v>
      </c>
      <c r="AH108" s="96">
        <f t="shared" si="16"/>
        <v>0</v>
      </c>
      <c r="AI108" s="96">
        <f t="shared" si="16"/>
        <v>0</v>
      </c>
      <c r="AJ108" s="28" t="str">
        <f t="shared" si="6"/>
        <v/>
      </c>
      <c r="AK108" s="41"/>
      <c r="AL108" s="41" t="str">
        <f t="shared" si="9"/>
        <v>00</v>
      </c>
      <c r="AM108" s="41" t="str">
        <f t="shared" si="10"/>
        <v>00</v>
      </c>
      <c r="AN108" s="41" t="str">
        <f t="shared" si="11"/>
        <v>00</v>
      </c>
      <c r="AO108" s="41" t="str">
        <f t="shared" si="12"/>
        <v>00</v>
      </c>
      <c r="AQ108" t="str">
        <f t="shared" si="7"/>
        <v/>
      </c>
    </row>
    <row r="109" spans="2:43">
      <c r="B109" s="103"/>
      <c r="C109" s="28">
        <f t="shared" si="8"/>
        <v>38</v>
      </c>
      <c r="D109" s="96">
        <f t="shared" si="16"/>
        <v>0</v>
      </c>
      <c r="E109" s="96">
        <f t="shared" si="16"/>
        <v>0</v>
      </c>
      <c r="F109" s="96">
        <f t="shared" si="16"/>
        <v>0</v>
      </c>
      <c r="G109" s="96">
        <f t="shared" si="16"/>
        <v>0</v>
      </c>
      <c r="H109" s="96">
        <f t="shared" si="16"/>
        <v>0</v>
      </c>
      <c r="I109" s="96">
        <f t="shared" si="16"/>
        <v>0</v>
      </c>
      <c r="J109" s="96">
        <f t="shared" si="16"/>
        <v>0</v>
      </c>
      <c r="K109" s="96">
        <f t="shared" si="16"/>
        <v>0</v>
      </c>
      <c r="L109" s="96">
        <f t="shared" si="16"/>
        <v>0</v>
      </c>
      <c r="M109" s="96">
        <f t="shared" si="16"/>
        <v>0</v>
      </c>
      <c r="N109" s="96">
        <f t="shared" si="16"/>
        <v>0</v>
      </c>
      <c r="O109" s="96">
        <f t="shared" si="16"/>
        <v>0</v>
      </c>
      <c r="P109" s="96">
        <f t="shared" si="16"/>
        <v>0</v>
      </c>
      <c r="Q109" s="96">
        <f t="shared" si="16"/>
        <v>0</v>
      </c>
      <c r="R109" s="96">
        <f t="shared" si="16"/>
        <v>0</v>
      </c>
      <c r="S109" s="96">
        <f t="shared" si="16"/>
        <v>0</v>
      </c>
      <c r="T109" s="96">
        <f t="shared" si="16"/>
        <v>0</v>
      </c>
      <c r="U109" s="96">
        <f t="shared" si="16"/>
        <v>0</v>
      </c>
      <c r="V109" s="96">
        <f t="shared" si="16"/>
        <v>0</v>
      </c>
      <c r="W109" s="96">
        <f t="shared" si="16"/>
        <v>0</v>
      </c>
      <c r="X109" s="96">
        <f t="shared" si="16"/>
        <v>0</v>
      </c>
      <c r="Y109" s="96">
        <f t="shared" si="16"/>
        <v>0</v>
      </c>
      <c r="Z109" s="96">
        <f t="shared" si="16"/>
        <v>0</v>
      </c>
      <c r="AA109" s="96">
        <f t="shared" si="16"/>
        <v>0</v>
      </c>
      <c r="AB109" s="96">
        <f t="shared" si="16"/>
        <v>0</v>
      </c>
      <c r="AC109" s="96">
        <f t="shared" si="16"/>
        <v>0</v>
      </c>
      <c r="AD109" s="96">
        <f t="shared" si="16"/>
        <v>0</v>
      </c>
      <c r="AE109" s="96">
        <f t="shared" si="16"/>
        <v>0</v>
      </c>
      <c r="AF109" s="96">
        <f t="shared" si="16"/>
        <v>0</v>
      </c>
      <c r="AG109" s="96">
        <f t="shared" si="16"/>
        <v>0</v>
      </c>
      <c r="AH109" s="96">
        <f t="shared" si="16"/>
        <v>0</v>
      </c>
      <c r="AI109" s="96">
        <f t="shared" si="16"/>
        <v>0</v>
      </c>
      <c r="AJ109" s="28" t="str">
        <f t="shared" si="6"/>
        <v/>
      </c>
      <c r="AK109" s="41"/>
      <c r="AL109" s="41" t="str">
        <f t="shared" si="9"/>
        <v>00</v>
      </c>
      <c r="AM109" s="41" t="str">
        <f t="shared" si="10"/>
        <v>00</v>
      </c>
      <c r="AN109" s="41" t="str">
        <f t="shared" si="11"/>
        <v>00</v>
      </c>
      <c r="AO109" s="41" t="str">
        <f t="shared" si="12"/>
        <v>00</v>
      </c>
      <c r="AQ109" t="str">
        <f t="shared" si="7"/>
        <v/>
      </c>
    </row>
    <row r="110" spans="2:43">
      <c r="B110" s="103"/>
      <c r="C110" s="28">
        <f t="shared" si="8"/>
        <v>39</v>
      </c>
      <c r="D110" s="96">
        <f t="shared" si="16"/>
        <v>0</v>
      </c>
      <c r="E110" s="96">
        <f t="shared" si="16"/>
        <v>0</v>
      </c>
      <c r="F110" s="96">
        <f t="shared" si="16"/>
        <v>0</v>
      </c>
      <c r="G110" s="96">
        <f t="shared" si="16"/>
        <v>0</v>
      </c>
      <c r="H110" s="96">
        <f t="shared" si="16"/>
        <v>0</v>
      </c>
      <c r="I110" s="96">
        <f t="shared" si="16"/>
        <v>0</v>
      </c>
      <c r="J110" s="96">
        <f t="shared" si="16"/>
        <v>0</v>
      </c>
      <c r="K110" s="96">
        <f t="shared" si="16"/>
        <v>0</v>
      </c>
      <c r="L110" s="96">
        <f t="shared" si="16"/>
        <v>0</v>
      </c>
      <c r="M110" s="96">
        <f t="shared" si="16"/>
        <v>0</v>
      </c>
      <c r="N110" s="96">
        <f t="shared" si="16"/>
        <v>0</v>
      </c>
      <c r="O110" s="96">
        <f t="shared" si="16"/>
        <v>0</v>
      </c>
      <c r="P110" s="96">
        <f t="shared" si="16"/>
        <v>0</v>
      </c>
      <c r="Q110" s="96">
        <f t="shared" si="16"/>
        <v>0</v>
      </c>
      <c r="R110" s="96">
        <f t="shared" si="16"/>
        <v>0</v>
      </c>
      <c r="S110" s="96">
        <f t="shared" si="16"/>
        <v>0</v>
      </c>
      <c r="T110" s="96">
        <f t="shared" si="16"/>
        <v>0</v>
      </c>
      <c r="U110" s="96">
        <f t="shared" si="16"/>
        <v>0</v>
      </c>
      <c r="V110" s="96">
        <f t="shared" si="16"/>
        <v>0</v>
      </c>
      <c r="W110" s="96">
        <f t="shared" si="16"/>
        <v>0</v>
      </c>
      <c r="X110" s="96">
        <f t="shared" si="16"/>
        <v>0</v>
      </c>
      <c r="Y110" s="96">
        <f t="shared" si="16"/>
        <v>0</v>
      </c>
      <c r="Z110" s="96">
        <f t="shared" si="16"/>
        <v>0</v>
      </c>
      <c r="AA110" s="96">
        <f t="shared" si="16"/>
        <v>0</v>
      </c>
      <c r="AB110" s="96">
        <f t="shared" si="16"/>
        <v>0</v>
      </c>
      <c r="AC110" s="96">
        <f t="shared" si="16"/>
        <v>0</v>
      </c>
      <c r="AD110" s="96">
        <f t="shared" si="16"/>
        <v>0</v>
      </c>
      <c r="AE110" s="96">
        <f t="shared" si="16"/>
        <v>0</v>
      </c>
      <c r="AF110" s="96">
        <f t="shared" si="16"/>
        <v>0</v>
      </c>
      <c r="AG110" s="96">
        <f t="shared" si="16"/>
        <v>0</v>
      </c>
      <c r="AH110" s="96">
        <f t="shared" si="16"/>
        <v>0</v>
      </c>
      <c r="AI110" s="96">
        <f>IF(AI45=1,1,0)</f>
        <v>0</v>
      </c>
      <c r="AJ110" s="28" t="str">
        <f t="shared" si="6"/>
        <v/>
      </c>
      <c r="AK110" s="41"/>
      <c r="AL110" s="41" t="str">
        <f t="shared" si="9"/>
        <v>00</v>
      </c>
      <c r="AM110" s="41" t="str">
        <f t="shared" si="10"/>
        <v>00</v>
      </c>
      <c r="AN110" s="41" t="str">
        <f t="shared" si="11"/>
        <v>00</v>
      </c>
      <c r="AO110" s="41" t="str">
        <f t="shared" si="12"/>
        <v>00</v>
      </c>
      <c r="AQ110" t="str">
        <f t="shared" si="7"/>
        <v/>
      </c>
    </row>
    <row r="111" spans="2:43">
      <c r="B111" s="103"/>
      <c r="C111" s="28">
        <f t="shared" si="8"/>
        <v>40</v>
      </c>
      <c r="D111" s="96">
        <f t="shared" ref="D111:AI118" si="17">IF(D46=1,1,0)</f>
        <v>0</v>
      </c>
      <c r="E111" s="96">
        <f t="shared" si="17"/>
        <v>0</v>
      </c>
      <c r="F111" s="96">
        <f t="shared" si="17"/>
        <v>0</v>
      </c>
      <c r="G111" s="96">
        <f t="shared" si="17"/>
        <v>0</v>
      </c>
      <c r="H111" s="96">
        <f t="shared" si="17"/>
        <v>0</v>
      </c>
      <c r="I111" s="96">
        <f t="shared" si="17"/>
        <v>0</v>
      </c>
      <c r="J111" s="96">
        <f t="shared" si="17"/>
        <v>0</v>
      </c>
      <c r="K111" s="96">
        <f t="shared" si="17"/>
        <v>0</v>
      </c>
      <c r="L111" s="96">
        <f t="shared" si="17"/>
        <v>0</v>
      </c>
      <c r="M111" s="96">
        <f t="shared" si="17"/>
        <v>0</v>
      </c>
      <c r="N111" s="96">
        <f t="shared" si="17"/>
        <v>0</v>
      </c>
      <c r="O111" s="96">
        <f t="shared" si="17"/>
        <v>0</v>
      </c>
      <c r="P111" s="96">
        <f t="shared" si="17"/>
        <v>0</v>
      </c>
      <c r="Q111" s="96">
        <f t="shared" si="17"/>
        <v>0</v>
      </c>
      <c r="R111" s="96">
        <f t="shared" si="17"/>
        <v>0</v>
      </c>
      <c r="S111" s="96">
        <f t="shared" si="17"/>
        <v>0</v>
      </c>
      <c r="T111" s="96">
        <f t="shared" si="17"/>
        <v>0</v>
      </c>
      <c r="U111" s="96">
        <f t="shared" si="17"/>
        <v>0</v>
      </c>
      <c r="V111" s="96">
        <f t="shared" si="17"/>
        <v>0</v>
      </c>
      <c r="W111" s="96">
        <f t="shared" si="17"/>
        <v>0</v>
      </c>
      <c r="X111" s="96">
        <f t="shared" si="17"/>
        <v>0</v>
      </c>
      <c r="Y111" s="96">
        <f t="shared" si="17"/>
        <v>0</v>
      </c>
      <c r="Z111" s="96">
        <f t="shared" si="17"/>
        <v>0</v>
      </c>
      <c r="AA111" s="96">
        <f t="shared" si="17"/>
        <v>0</v>
      </c>
      <c r="AB111" s="96">
        <f t="shared" si="17"/>
        <v>0</v>
      </c>
      <c r="AC111" s="96">
        <f t="shared" si="17"/>
        <v>0</v>
      </c>
      <c r="AD111" s="96">
        <f t="shared" si="17"/>
        <v>0</v>
      </c>
      <c r="AE111" s="96">
        <f t="shared" si="17"/>
        <v>0</v>
      </c>
      <c r="AF111" s="96">
        <f t="shared" si="17"/>
        <v>0</v>
      </c>
      <c r="AG111" s="96">
        <f t="shared" si="17"/>
        <v>0</v>
      </c>
      <c r="AH111" s="96">
        <f t="shared" si="17"/>
        <v>0</v>
      </c>
      <c r="AI111" s="96">
        <f t="shared" si="17"/>
        <v>0</v>
      </c>
      <c r="AJ111" s="28" t="str">
        <f t="shared" si="6"/>
        <v/>
      </c>
      <c r="AK111" s="41"/>
      <c r="AL111" s="41" t="str">
        <f t="shared" si="9"/>
        <v>00</v>
      </c>
      <c r="AM111" s="41" t="str">
        <f t="shared" si="10"/>
        <v>00</v>
      </c>
      <c r="AN111" s="41" t="str">
        <f t="shared" si="11"/>
        <v>00</v>
      </c>
      <c r="AO111" s="41" t="str">
        <f t="shared" si="12"/>
        <v>00</v>
      </c>
      <c r="AQ111" t="str">
        <f t="shared" si="7"/>
        <v/>
      </c>
    </row>
    <row r="112" spans="2:43">
      <c r="B112" s="103"/>
      <c r="C112" s="28">
        <f t="shared" si="8"/>
        <v>41</v>
      </c>
      <c r="D112" s="96">
        <f t="shared" si="17"/>
        <v>0</v>
      </c>
      <c r="E112" s="96">
        <f t="shared" si="17"/>
        <v>0</v>
      </c>
      <c r="F112" s="96">
        <f t="shared" si="17"/>
        <v>0</v>
      </c>
      <c r="G112" s="96">
        <f t="shared" si="17"/>
        <v>0</v>
      </c>
      <c r="H112" s="96">
        <f t="shared" si="17"/>
        <v>0</v>
      </c>
      <c r="I112" s="96">
        <f t="shared" si="17"/>
        <v>0</v>
      </c>
      <c r="J112" s="96">
        <f t="shared" si="17"/>
        <v>0</v>
      </c>
      <c r="K112" s="96">
        <f t="shared" si="17"/>
        <v>0</v>
      </c>
      <c r="L112" s="96">
        <f t="shared" si="17"/>
        <v>0</v>
      </c>
      <c r="M112" s="96">
        <f t="shared" si="17"/>
        <v>0</v>
      </c>
      <c r="N112" s="96">
        <f t="shared" si="17"/>
        <v>0</v>
      </c>
      <c r="O112" s="96">
        <f t="shared" si="17"/>
        <v>0</v>
      </c>
      <c r="P112" s="96">
        <f t="shared" si="17"/>
        <v>0</v>
      </c>
      <c r="Q112" s="96">
        <f t="shared" si="17"/>
        <v>0</v>
      </c>
      <c r="R112" s="96">
        <f t="shared" si="17"/>
        <v>0</v>
      </c>
      <c r="S112" s="96">
        <f t="shared" si="17"/>
        <v>0</v>
      </c>
      <c r="T112" s="96">
        <f t="shared" si="17"/>
        <v>0</v>
      </c>
      <c r="U112" s="96">
        <f t="shared" si="17"/>
        <v>0</v>
      </c>
      <c r="V112" s="96">
        <f t="shared" si="17"/>
        <v>0</v>
      </c>
      <c r="W112" s="96">
        <f t="shared" si="17"/>
        <v>0</v>
      </c>
      <c r="X112" s="96">
        <f t="shared" si="17"/>
        <v>0</v>
      </c>
      <c r="Y112" s="96">
        <f t="shared" si="17"/>
        <v>0</v>
      </c>
      <c r="Z112" s="96">
        <f t="shared" si="17"/>
        <v>0</v>
      </c>
      <c r="AA112" s="96">
        <f t="shared" si="17"/>
        <v>0</v>
      </c>
      <c r="AB112" s="96">
        <f t="shared" si="17"/>
        <v>0</v>
      </c>
      <c r="AC112" s="96">
        <f t="shared" si="17"/>
        <v>0</v>
      </c>
      <c r="AD112" s="96">
        <f t="shared" si="17"/>
        <v>0</v>
      </c>
      <c r="AE112" s="96">
        <f t="shared" si="17"/>
        <v>0</v>
      </c>
      <c r="AF112" s="96">
        <f t="shared" si="17"/>
        <v>0</v>
      </c>
      <c r="AG112" s="96">
        <f t="shared" si="17"/>
        <v>0</v>
      </c>
      <c r="AH112" s="96">
        <f t="shared" si="17"/>
        <v>0</v>
      </c>
      <c r="AI112" s="96">
        <f t="shared" si="17"/>
        <v>0</v>
      </c>
      <c r="AJ112" s="28" t="str">
        <f t="shared" si="6"/>
        <v/>
      </c>
      <c r="AK112" s="41"/>
      <c r="AL112" s="41" t="str">
        <f t="shared" si="9"/>
        <v>00</v>
      </c>
      <c r="AM112" s="41" t="str">
        <f t="shared" si="10"/>
        <v>00</v>
      </c>
      <c r="AN112" s="41" t="str">
        <f t="shared" si="11"/>
        <v>00</v>
      </c>
      <c r="AO112" s="41" t="str">
        <f t="shared" si="12"/>
        <v>00</v>
      </c>
      <c r="AQ112" t="str">
        <f t="shared" si="7"/>
        <v/>
      </c>
    </row>
    <row r="113" spans="2:43">
      <c r="B113" s="103"/>
      <c r="C113" s="28">
        <f t="shared" si="8"/>
        <v>42</v>
      </c>
      <c r="D113" s="96">
        <f t="shared" si="17"/>
        <v>0</v>
      </c>
      <c r="E113" s="96">
        <f t="shared" si="17"/>
        <v>0</v>
      </c>
      <c r="F113" s="96">
        <f t="shared" si="17"/>
        <v>0</v>
      </c>
      <c r="G113" s="96">
        <f t="shared" si="17"/>
        <v>0</v>
      </c>
      <c r="H113" s="96">
        <f t="shared" si="17"/>
        <v>0</v>
      </c>
      <c r="I113" s="96">
        <f t="shared" si="17"/>
        <v>0</v>
      </c>
      <c r="J113" s="96">
        <f t="shared" si="17"/>
        <v>0</v>
      </c>
      <c r="K113" s="96">
        <f t="shared" si="17"/>
        <v>0</v>
      </c>
      <c r="L113" s="96">
        <f t="shared" si="17"/>
        <v>0</v>
      </c>
      <c r="M113" s="96">
        <f t="shared" si="17"/>
        <v>0</v>
      </c>
      <c r="N113" s="96">
        <f t="shared" si="17"/>
        <v>0</v>
      </c>
      <c r="O113" s="96">
        <f t="shared" si="17"/>
        <v>0</v>
      </c>
      <c r="P113" s="96">
        <f t="shared" si="17"/>
        <v>0</v>
      </c>
      <c r="Q113" s="96">
        <f t="shared" si="17"/>
        <v>0</v>
      </c>
      <c r="R113" s="96">
        <f t="shared" si="17"/>
        <v>0</v>
      </c>
      <c r="S113" s="96">
        <f t="shared" si="17"/>
        <v>0</v>
      </c>
      <c r="T113" s="96">
        <f t="shared" si="17"/>
        <v>0</v>
      </c>
      <c r="U113" s="96">
        <f t="shared" si="17"/>
        <v>0</v>
      </c>
      <c r="V113" s="96">
        <f t="shared" si="17"/>
        <v>0</v>
      </c>
      <c r="W113" s="96">
        <f t="shared" si="17"/>
        <v>0</v>
      </c>
      <c r="X113" s="96">
        <f t="shared" si="17"/>
        <v>0</v>
      </c>
      <c r="Y113" s="96">
        <f t="shared" si="17"/>
        <v>0</v>
      </c>
      <c r="Z113" s="96">
        <f t="shared" si="17"/>
        <v>0</v>
      </c>
      <c r="AA113" s="96">
        <f t="shared" si="17"/>
        <v>0</v>
      </c>
      <c r="AB113" s="96">
        <f t="shared" si="17"/>
        <v>0</v>
      </c>
      <c r="AC113" s="96">
        <f t="shared" si="17"/>
        <v>0</v>
      </c>
      <c r="AD113" s="96">
        <f t="shared" si="17"/>
        <v>0</v>
      </c>
      <c r="AE113" s="96">
        <f t="shared" si="17"/>
        <v>0</v>
      </c>
      <c r="AF113" s="96">
        <f t="shared" si="17"/>
        <v>0</v>
      </c>
      <c r="AG113" s="96">
        <f t="shared" si="17"/>
        <v>0</v>
      </c>
      <c r="AH113" s="96">
        <f t="shared" si="17"/>
        <v>0</v>
      </c>
      <c r="AI113" s="96">
        <f t="shared" si="17"/>
        <v>0</v>
      </c>
      <c r="AJ113" s="28" t="str">
        <f t="shared" si="6"/>
        <v/>
      </c>
      <c r="AK113" s="41"/>
      <c r="AL113" s="41" t="str">
        <f t="shared" si="9"/>
        <v>00</v>
      </c>
      <c r="AM113" s="41" t="str">
        <f t="shared" si="10"/>
        <v>00</v>
      </c>
      <c r="AN113" s="41" t="str">
        <f t="shared" si="11"/>
        <v>00</v>
      </c>
      <c r="AO113" s="41" t="str">
        <f t="shared" si="12"/>
        <v>00</v>
      </c>
      <c r="AQ113" t="str">
        <f t="shared" si="7"/>
        <v/>
      </c>
    </row>
    <row r="114" spans="2:43">
      <c r="B114" s="103"/>
      <c r="C114" s="28">
        <f t="shared" si="8"/>
        <v>43</v>
      </c>
      <c r="D114" s="96">
        <f t="shared" si="17"/>
        <v>0</v>
      </c>
      <c r="E114" s="96">
        <f t="shared" si="17"/>
        <v>0</v>
      </c>
      <c r="F114" s="96">
        <f t="shared" si="17"/>
        <v>0</v>
      </c>
      <c r="G114" s="96">
        <f t="shared" si="17"/>
        <v>0</v>
      </c>
      <c r="H114" s="96">
        <f t="shared" si="17"/>
        <v>0</v>
      </c>
      <c r="I114" s="96">
        <f t="shared" si="17"/>
        <v>0</v>
      </c>
      <c r="J114" s="96">
        <f t="shared" si="17"/>
        <v>0</v>
      </c>
      <c r="K114" s="96">
        <f t="shared" si="17"/>
        <v>0</v>
      </c>
      <c r="L114" s="96">
        <f t="shared" si="17"/>
        <v>0</v>
      </c>
      <c r="M114" s="96">
        <f t="shared" si="17"/>
        <v>0</v>
      </c>
      <c r="N114" s="96">
        <f t="shared" si="17"/>
        <v>0</v>
      </c>
      <c r="O114" s="96">
        <f t="shared" si="17"/>
        <v>0</v>
      </c>
      <c r="P114" s="96">
        <f t="shared" si="17"/>
        <v>0</v>
      </c>
      <c r="Q114" s="96">
        <f t="shared" si="17"/>
        <v>0</v>
      </c>
      <c r="R114" s="96">
        <f t="shared" si="17"/>
        <v>0</v>
      </c>
      <c r="S114" s="96">
        <f t="shared" si="17"/>
        <v>0</v>
      </c>
      <c r="T114" s="96">
        <f t="shared" si="17"/>
        <v>0</v>
      </c>
      <c r="U114" s="96">
        <f t="shared" si="17"/>
        <v>0</v>
      </c>
      <c r="V114" s="96">
        <f t="shared" si="17"/>
        <v>0</v>
      </c>
      <c r="W114" s="96">
        <f t="shared" si="17"/>
        <v>0</v>
      </c>
      <c r="X114" s="96">
        <f t="shared" si="17"/>
        <v>0</v>
      </c>
      <c r="Y114" s="96">
        <f t="shared" si="17"/>
        <v>0</v>
      </c>
      <c r="Z114" s="96">
        <f t="shared" si="17"/>
        <v>0</v>
      </c>
      <c r="AA114" s="96">
        <f t="shared" si="17"/>
        <v>0</v>
      </c>
      <c r="AB114" s="96">
        <f t="shared" si="17"/>
        <v>0</v>
      </c>
      <c r="AC114" s="96">
        <f t="shared" si="17"/>
        <v>0</v>
      </c>
      <c r="AD114" s="96">
        <f t="shared" si="17"/>
        <v>0</v>
      </c>
      <c r="AE114" s="96">
        <f t="shared" si="17"/>
        <v>0</v>
      </c>
      <c r="AF114" s="96">
        <f t="shared" si="17"/>
        <v>0</v>
      </c>
      <c r="AG114" s="96">
        <f t="shared" si="17"/>
        <v>0</v>
      </c>
      <c r="AH114" s="96">
        <f t="shared" si="17"/>
        <v>0</v>
      </c>
      <c r="AI114" s="96">
        <f t="shared" si="17"/>
        <v>0</v>
      </c>
      <c r="AJ114" s="28" t="str">
        <f t="shared" si="6"/>
        <v/>
      </c>
      <c r="AK114" s="41"/>
      <c r="AL114" s="41" t="str">
        <f t="shared" si="9"/>
        <v>00</v>
      </c>
      <c r="AM114" s="41" t="str">
        <f t="shared" si="10"/>
        <v>00</v>
      </c>
      <c r="AN114" s="41" t="str">
        <f t="shared" si="11"/>
        <v>00</v>
      </c>
      <c r="AO114" s="41" t="str">
        <f t="shared" si="12"/>
        <v>00</v>
      </c>
      <c r="AQ114" t="str">
        <f t="shared" si="7"/>
        <v/>
      </c>
    </row>
    <row r="115" spans="2:43">
      <c r="B115" s="103"/>
      <c r="C115" s="28">
        <f t="shared" si="8"/>
        <v>44</v>
      </c>
      <c r="D115" s="96">
        <f t="shared" si="17"/>
        <v>0</v>
      </c>
      <c r="E115" s="96">
        <f t="shared" si="17"/>
        <v>0</v>
      </c>
      <c r="F115" s="96">
        <f t="shared" si="17"/>
        <v>0</v>
      </c>
      <c r="G115" s="96">
        <f t="shared" si="17"/>
        <v>0</v>
      </c>
      <c r="H115" s="96">
        <f t="shared" si="17"/>
        <v>0</v>
      </c>
      <c r="I115" s="96">
        <f t="shared" si="17"/>
        <v>0</v>
      </c>
      <c r="J115" s="96">
        <f t="shared" si="17"/>
        <v>0</v>
      </c>
      <c r="K115" s="96">
        <f t="shared" si="17"/>
        <v>0</v>
      </c>
      <c r="L115" s="96">
        <f t="shared" si="17"/>
        <v>0</v>
      </c>
      <c r="M115" s="96">
        <f t="shared" si="17"/>
        <v>0</v>
      </c>
      <c r="N115" s="96">
        <f t="shared" si="17"/>
        <v>0</v>
      </c>
      <c r="O115" s="96">
        <f t="shared" si="17"/>
        <v>0</v>
      </c>
      <c r="P115" s="96">
        <f t="shared" si="17"/>
        <v>0</v>
      </c>
      <c r="Q115" s="96">
        <f t="shared" si="17"/>
        <v>0</v>
      </c>
      <c r="R115" s="96">
        <f t="shared" si="17"/>
        <v>0</v>
      </c>
      <c r="S115" s="96">
        <f t="shared" si="17"/>
        <v>0</v>
      </c>
      <c r="T115" s="96">
        <f t="shared" si="17"/>
        <v>0</v>
      </c>
      <c r="U115" s="96">
        <f t="shared" si="17"/>
        <v>0</v>
      </c>
      <c r="V115" s="96">
        <f t="shared" si="17"/>
        <v>0</v>
      </c>
      <c r="W115" s="96">
        <f t="shared" si="17"/>
        <v>0</v>
      </c>
      <c r="X115" s="96">
        <f t="shared" si="17"/>
        <v>0</v>
      </c>
      <c r="Y115" s="96">
        <f t="shared" si="17"/>
        <v>0</v>
      </c>
      <c r="Z115" s="96">
        <f t="shared" si="17"/>
        <v>0</v>
      </c>
      <c r="AA115" s="96">
        <f t="shared" si="17"/>
        <v>0</v>
      </c>
      <c r="AB115" s="96">
        <f t="shared" si="17"/>
        <v>0</v>
      </c>
      <c r="AC115" s="96">
        <f t="shared" si="17"/>
        <v>0</v>
      </c>
      <c r="AD115" s="96">
        <f t="shared" si="17"/>
        <v>0</v>
      </c>
      <c r="AE115" s="96">
        <f t="shared" si="17"/>
        <v>0</v>
      </c>
      <c r="AF115" s="96">
        <f t="shared" si="17"/>
        <v>0</v>
      </c>
      <c r="AG115" s="96">
        <f t="shared" si="17"/>
        <v>0</v>
      </c>
      <c r="AH115" s="96">
        <f t="shared" si="17"/>
        <v>0</v>
      </c>
      <c r="AI115" s="96">
        <f t="shared" si="17"/>
        <v>0</v>
      </c>
      <c r="AJ115" s="28" t="str">
        <f t="shared" si="6"/>
        <v/>
      </c>
      <c r="AK115" s="41"/>
      <c r="AL115" s="41" t="str">
        <f t="shared" si="9"/>
        <v>00</v>
      </c>
      <c r="AM115" s="41" t="str">
        <f t="shared" si="10"/>
        <v>00</v>
      </c>
      <c r="AN115" s="41" t="str">
        <f t="shared" si="11"/>
        <v>00</v>
      </c>
      <c r="AO115" s="41" t="str">
        <f t="shared" si="12"/>
        <v>00</v>
      </c>
      <c r="AQ115" t="str">
        <f t="shared" si="7"/>
        <v/>
      </c>
    </row>
    <row r="116" spans="2:43">
      <c r="B116" s="103"/>
      <c r="C116" s="28">
        <f t="shared" si="8"/>
        <v>45</v>
      </c>
      <c r="D116" s="96">
        <f t="shared" si="17"/>
        <v>0</v>
      </c>
      <c r="E116" s="96">
        <f t="shared" si="17"/>
        <v>0</v>
      </c>
      <c r="F116" s="96">
        <f t="shared" si="17"/>
        <v>0</v>
      </c>
      <c r="G116" s="96">
        <f t="shared" si="17"/>
        <v>0</v>
      </c>
      <c r="H116" s="96">
        <f t="shared" si="17"/>
        <v>0</v>
      </c>
      <c r="I116" s="96">
        <f t="shared" si="17"/>
        <v>0</v>
      </c>
      <c r="J116" s="96">
        <f t="shared" si="17"/>
        <v>0</v>
      </c>
      <c r="K116" s="96">
        <f t="shared" si="17"/>
        <v>0</v>
      </c>
      <c r="L116" s="96">
        <f t="shared" si="17"/>
        <v>0</v>
      </c>
      <c r="M116" s="96">
        <f t="shared" si="17"/>
        <v>0</v>
      </c>
      <c r="N116" s="96">
        <f t="shared" si="17"/>
        <v>0</v>
      </c>
      <c r="O116" s="96">
        <f t="shared" si="17"/>
        <v>0</v>
      </c>
      <c r="P116" s="96">
        <f t="shared" si="17"/>
        <v>0</v>
      </c>
      <c r="Q116" s="96">
        <f t="shared" si="17"/>
        <v>0</v>
      </c>
      <c r="R116" s="96">
        <f t="shared" si="17"/>
        <v>0</v>
      </c>
      <c r="S116" s="96">
        <f t="shared" si="17"/>
        <v>0</v>
      </c>
      <c r="T116" s="96">
        <f t="shared" si="17"/>
        <v>0</v>
      </c>
      <c r="U116" s="96">
        <f t="shared" si="17"/>
        <v>0</v>
      </c>
      <c r="V116" s="96">
        <f t="shared" si="17"/>
        <v>0</v>
      </c>
      <c r="W116" s="96">
        <f t="shared" si="17"/>
        <v>0</v>
      </c>
      <c r="X116" s="96">
        <f t="shared" si="17"/>
        <v>0</v>
      </c>
      <c r="Y116" s="96">
        <f t="shared" si="17"/>
        <v>0</v>
      </c>
      <c r="Z116" s="96">
        <f t="shared" si="17"/>
        <v>0</v>
      </c>
      <c r="AA116" s="96">
        <f t="shared" si="17"/>
        <v>0</v>
      </c>
      <c r="AB116" s="96">
        <f t="shared" si="17"/>
        <v>0</v>
      </c>
      <c r="AC116" s="96">
        <f t="shared" si="17"/>
        <v>0</v>
      </c>
      <c r="AD116" s="96">
        <f t="shared" si="17"/>
        <v>0</v>
      </c>
      <c r="AE116" s="96">
        <f t="shared" si="17"/>
        <v>0</v>
      </c>
      <c r="AF116" s="96">
        <f t="shared" si="17"/>
        <v>0</v>
      </c>
      <c r="AG116" s="96">
        <f t="shared" si="17"/>
        <v>0</v>
      </c>
      <c r="AH116" s="96">
        <f t="shared" si="17"/>
        <v>0</v>
      </c>
      <c r="AI116" s="96">
        <f t="shared" si="17"/>
        <v>0</v>
      </c>
      <c r="AJ116" s="28" t="str">
        <f t="shared" si="6"/>
        <v/>
      </c>
      <c r="AK116" s="41"/>
      <c r="AL116" s="41" t="str">
        <f t="shared" si="9"/>
        <v>00</v>
      </c>
      <c r="AM116" s="41" t="str">
        <f t="shared" si="10"/>
        <v>00</v>
      </c>
      <c r="AN116" s="41" t="str">
        <f t="shared" si="11"/>
        <v>00</v>
      </c>
      <c r="AO116" s="41" t="str">
        <f t="shared" si="12"/>
        <v>00</v>
      </c>
      <c r="AQ116" t="str">
        <f t="shared" si="7"/>
        <v/>
      </c>
    </row>
    <row r="117" spans="2:43">
      <c r="B117" s="103"/>
      <c r="C117" s="28">
        <f t="shared" si="8"/>
        <v>46</v>
      </c>
      <c r="D117" s="96">
        <f t="shared" si="17"/>
        <v>0</v>
      </c>
      <c r="E117" s="96">
        <f t="shared" si="17"/>
        <v>0</v>
      </c>
      <c r="F117" s="96">
        <f t="shared" si="17"/>
        <v>0</v>
      </c>
      <c r="G117" s="96">
        <f t="shared" si="17"/>
        <v>0</v>
      </c>
      <c r="H117" s="96">
        <f t="shared" si="17"/>
        <v>0</v>
      </c>
      <c r="I117" s="96">
        <f t="shared" si="17"/>
        <v>0</v>
      </c>
      <c r="J117" s="96">
        <f t="shared" si="17"/>
        <v>0</v>
      </c>
      <c r="K117" s="96">
        <f t="shared" si="17"/>
        <v>0</v>
      </c>
      <c r="L117" s="96">
        <f t="shared" si="17"/>
        <v>0</v>
      </c>
      <c r="M117" s="96">
        <f t="shared" si="17"/>
        <v>0</v>
      </c>
      <c r="N117" s="96">
        <f t="shared" si="17"/>
        <v>0</v>
      </c>
      <c r="O117" s="96">
        <f t="shared" si="17"/>
        <v>0</v>
      </c>
      <c r="P117" s="96">
        <f t="shared" si="17"/>
        <v>0</v>
      </c>
      <c r="Q117" s="96">
        <f t="shared" si="17"/>
        <v>0</v>
      </c>
      <c r="R117" s="96">
        <f t="shared" si="17"/>
        <v>0</v>
      </c>
      <c r="S117" s="96">
        <f t="shared" si="17"/>
        <v>0</v>
      </c>
      <c r="T117" s="96">
        <f t="shared" si="17"/>
        <v>0</v>
      </c>
      <c r="U117" s="96">
        <f t="shared" si="17"/>
        <v>0</v>
      </c>
      <c r="V117" s="96">
        <f t="shared" si="17"/>
        <v>0</v>
      </c>
      <c r="W117" s="96">
        <f t="shared" si="17"/>
        <v>0</v>
      </c>
      <c r="X117" s="96">
        <f t="shared" si="17"/>
        <v>0</v>
      </c>
      <c r="Y117" s="96">
        <f t="shared" si="17"/>
        <v>0</v>
      </c>
      <c r="Z117" s="96">
        <f t="shared" si="17"/>
        <v>0</v>
      </c>
      <c r="AA117" s="96">
        <f t="shared" si="17"/>
        <v>0</v>
      </c>
      <c r="AB117" s="96">
        <f t="shared" si="17"/>
        <v>0</v>
      </c>
      <c r="AC117" s="96">
        <f t="shared" si="17"/>
        <v>0</v>
      </c>
      <c r="AD117" s="96">
        <f t="shared" si="17"/>
        <v>0</v>
      </c>
      <c r="AE117" s="96">
        <f t="shared" si="17"/>
        <v>0</v>
      </c>
      <c r="AF117" s="96">
        <f t="shared" si="17"/>
        <v>0</v>
      </c>
      <c r="AG117" s="96">
        <f t="shared" si="17"/>
        <v>0</v>
      </c>
      <c r="AH117" s="96">
        <f t="shared" si="17"/>
        <v>0</v>
      </c>
      <c r="AI117" s="96">
        <f t="shared" si="17"/>
        <v>0</v>
      </c>
      <c r="AJ117" s="28" t="str">
        <f t="shared" si="6"/>
        <v/>
      </c>
      <c r="AK117" s="41"/>
      <c r="AL117" s="41" t="str">
        <f t="shared" si="9"/>
        <v>00</v>
      </c>
      <c r="AM117" s="41" t="str">
        <f t="shared" si="10"/>
        <v>00</v>
      </c>
      <c r="AN117" s="41" t="str">
        <f t="shared" si="11"/>
        <v>00</v>
      </c>
      <c r="AO117" s="41" t="str">
        <f t="shared" si="12"/>
        <v>00</v>
      </c>
      <c r="AQ117" t="str">
        <f t="shared" si="7"/>
        <v/>
      </c>
    </row>
    <row r="118" spans="2:43">
      <c r="B118" s="103"/>
      <c r="C118" s="28">
        <f t="shared" si="8"/>
        <v>47</v>
      </c>
      <c r="D118" s="96">
        <f t="shared" si="17"/>
        <v>0</v>
      </c>
      <c r="E118" s="96">
        <f t="shared" si="17"/>
        <v>0</v>
      </c>
      <c r="F118" s="96">
        <f t="shared" si="17"/>
        <v>0</v>
      </c>
      <c r="G118" s="96">
        <f t="shared" si="17"/>
        <v>0</v>
      </c>
      <c r="H118" s="96">
        <f t="shared" si="17"/>
        <v>0</v>
      </c>
      <c r="I118" s="96">
        <f t="shared" si="17"/>
        <v>0</v>
      </c>
      <c r="J118" s="96">
        <f t="shared" si="17"/>
        <v>0</v>
      </c>
      <c r="K118" s="96">
        <f t="shared" si="17"/>
        <v>0</v>
      </c>
      <c r="L118" s="96">
        <f t="shared" si="17"/>
        <v>0</v>
      </c>
      <c r="M118" s="96">
        <f t="shared" si="17"/>
        <v>0</v>
      </c>
      <c r="N118" s="96">
        <f t="shared" si="17"/>
        <v>0</v>
      </c>
      <c r="O118" s="96">
        <f t="shared" si="17"/>
        <v>0</v>
      </c>
      <c r="P118" s="96">
        <f t="shared" si="17"/>
        <v>0</v>
      </c>
      <c r="Q118" s="96">
        <f t="shared" si="17"/>
        <v>0</v>
      </c>
      <c r="R118" s="96">
        <f t="shared" si="17"/>
        <v>0</v>
      </c>
      <c r="S118" s="96">
        <f t="shared" si="17"/>
        <v>0</v>
      </c>
      <c r="T118" s="96">
        <f t="shared" si="17"/>
        <v>0</v>
      </c>
      <c r="U118" s="96">
        <f t="shared" si="17"/>
        <v>0</v>
      </c>
      <c r="V118" s="96">
        <f t="shared" si="17"/>
        <v>0</v>
      </c>
      <c r="W118" s="96">
        <f t="shared" si="17"/>
        <v>0</v>
      </c>
      <c r="X118" s="96">
        <f t="shared" si="17"/>
        <v>0</v>
      </c>
      <c r="Y118" s="96">
        <f t="shared" si="17"/>
        <v>0</v>
      </c>
      <c r="Z118" s="96">
        <f t="shared" si="17"/>
        <v>0</v>
      </c>
      <c r="AA118" s="96">
        <f t="shared" si="17"/>
        <v>0</v>
      </c>
      <c r="AB118" s="96">
        <f t="shared" si="17"/>
        <v>0</v>
      </c>
      <c r="AC118" s="96">
        <f t="shared" si="17"/>
        <v>0</v>
      </c>
      <c r="AD118" s="96">
        <f t="shared" si="17"/>
        <v>0</v>
      </c>
      <c r="AE118" s="96">
        <f t="shared" si="17"/>
        <v>0</v>
      </c>
      <c r="AF118" s="96">
        <f t="shared" si="17"/>
        <v>0</v>
      </c>
      <c r="AG118" s="96">
        <f t="shared" si="17"/>
        <v>0</v>
      </c>
      <c r="AH118" s="96">
        <f t="shared" si="17"/>
        <v>0</v>
      </c>
      <c r="AI118" s="96">
        <f>IF(AI53=1,1,0)</f>
        <v>0</v>
      </c>
      <c r="AJ118" s="28" t="str">
        <f t="shared" si="6"/>
        <v/>
      </c>
      <c r="AK118" s="41"/>
      <c r="AL118" s="41" t="str">
        <f t="shared" si="9"/>
        <v>00</v>
      </c>
      <c r="AM118" s="41" t="str">
        <f t="shared" si="10"/>
        <v>00</v>
      </c>
      <c r="AN118" s="41" t="str">
        <f t="shared" si="11"/>
        <v>00</v>
      </c>
      <c r="AO118" s="41" t="str">
        <f t="shared" si="12"/>
        <v>00</v>
      </c>
      <c r="AQ118" t="str">
        <f t="shared" si="7"/>
        <v/>
      </c>
    </row>
    <row r="119" spans="2:43">
      <c r="B119" s="103"/>
      <c r="C119" s="28">
        <f t="shared" si="8"/>
        <v>48</v>
      </c>
      <c r="D119" s="96">
        <f t="shared" ref="D119:AI126" si="18">IF(D54=1,1,0)</f>
        <v>0</v>
      </c>
      <c r="E119" s="96">
        <f t="shared" si="18"/>
        <v>0</v>
      </c>
      <c r="F119" s="96">
        <f t="shared" si="18"/>
        <v>0</v>
      </c>
      <c r="G119" s="96">
        <f t="shared" si="18"/>
        <v>0</v>
      </c>
      <c r="H119" s="96">
        <f t="shared" si="18"/>
        <v>0</v>
      </c>
      <c r="I119" s="96">
        <f t="shared" si="18"/>
        <v>0</v>
      </c>
      <c r="J119" s="96">
        <f t="shared" si="18"/>
        <v>0</v>
      </c>
      <c r="K119" s="96">
        <f t="shared" si="18"/>
        <v>0</v>
      </c>
      <c r="L119" s="96">
        <f t="shared" si="18"/>
        <v>0</v>
      </c>
      <c r="M119" s="96">
        <f t="shared" si="18"/>
        <v>0</v>
      </c>
      <c r="N119" s="96">
        <f t="shared" si="18"/>
        <v>0</v>
      </c>
      <c r="O119" s="96">
        <f t="shared" si="18"/>
        <v>0</v>
      </c>
      <c r="P119" s="96">
        <f t="shared" si="18"/>
        <v>0</v>
      </c>
      <c r="Q119" s="96">
        <f t="shared" si="18"/>
        <v>0</v>
      </c>
      <c r="R119" s="96">
        <f t="shared" si="18"/>
        <v>0</v>
      </c>
      <c r="S119" s="96">
        <f t="shared" si="18"/>
        <v>0</v>
      </c>
      <c r="T119" s="96">
        <f t="shared" si="18"/>
        <v>0</v>
      </c>
      <c r="U119" s="96">
        <f t="shared" si="18"/>
        <v>0</v>
      </c>
      <c r="V119" s="96">
        <f t="shared" si="18"/>
        <v>0</v>
      </c>
      <c r="W119" s="96">
        <f t="shared" si="18"/>
        <v>0</v>
      </c>
      <c r="X119" s="96">
        <f t="shared" si="18"/>
        <v>0</v>
      </c>
      <c r="Y119" s="96">
        <f t="shared" si="18"/>
        <v>0</v>
      </c>
      <c r="Z119" s="96">
        <f t="shared" si="18"/>
        <v>0</v>
      </c>
      <c r="AA119" s="96">
        <f t="shared" si="18"/>
        <v>0</v>
      </c>
      <c r="AB119" s="96">
        <f t="shared" si="18"/>
        <v>0</v>
      </c>
      <c r="AC119" s="96">
        <f t="shared" si="18"/>
        <v>0</v>
      </c>
      <c r="AD119" s="96">
        <f t="shared" si="18"/>
        <v>0</v>
      </c>
      <c r="AE119" s="96">
        <f t="shared" si="18"/>
        <v>0</v>
      </c>
      <c r="AF119" s="96">
        <f t="shared" si="18"/>
        <v>0</v>
      </c>
      <c r="AG119" s="96">
        <f t="shared" si="18"/>
        <v>0</v>
      </c>
      <c r="AH119" s="96">
        <f t="shared" si="18"/>
        <v>0</v>
      </c>
      <c r="AI119" s="96">
        <f t="shared" si="18"/>
        <v>0</v>
      </c>
      <c r="AJ119" s="28" t="str">
        <f t="shared" si="6"/>
        <v/>
      </c>
      <c r="AK119" s="41"/>
      <c r="AL119" s="41" t="str">
        <f t="shared" si="9"/>
        <v>00</v>
      </c>
      <c r="AM119" s="41" t="str">
        <f t="shared" si="10"/>
        <v>00</v>
      </c>
      <c r="AN119" s="41" t="str">
        <f t="shared" si="11"/>
        <v>00</v>
      </c>
      <c r="AO119" s="41" t="str">
        <f t="shared" si="12"/>
        <v>00</v>
      </c>
      <c r="AQ119" t="str">
        <f t="shared" si="7"/>
        <v/>
      </c>
    </row>
    <row r="120" spans="2:43">
      <c r="B120" s="103"/>
      <c r="C120" s="28">
        <f t="shared" si="8"/>
        <v>49</v>
      </c>
      <c r="D120" s="96">
        <f t="shared" si="18"/>
        <v>0</v>
      </c>
      <c r="E120" s="96">
        <f t="shared" si="18"/>
        <v>0</v>
      </c>
      <c r="F120" s="96">
        <f t="shared" si="18"/>
        <v>0</v>
      </c>
      <c r="G120" s="96">
        <f t="shared" si="18"/>
        <v>0</v>
      </c>
      <c r="H120" s="96">
        <f t="shared" si="18"/>
        <v>0</v>
      </c>
      <c r="I120" s="96">
        <f t="shared" si="18"/>
        <v>0</v>
      </c>
      <c r="J120" s="96">
        <f t="shared" si="18"/>
        <v>0</v>
      </c>
      <c r="K120" s="96">
        <f t="shared" si="18"/>
        <v>0</v>
      </c>
      <c r="L120" s="96">
        <f t="shared" si="18"/>
        <v>0</v>
      </c>
      <c r="M120" s="96">
        <f t="shared" si="18"/>
        <v>0</v>
      </c>
      <c r="N120" s="96">
        <f t="shared" si="18"/>
        <v>0</v>
      </c>
      <c r="O120" s="96">
        <f t="shared" si="18"/>
        <v>0</v>
      </c>
      <c r="P120" s="96">
        <f t="shared" si="18"/>
        <v>0</v>
      </c>
      <c r="Q120" s="96">
        <f t="shared" si="18"/>
        <v>0</v>
      </c>
      <c r="R120" s="96">
        <f t="shared" si="18"/>
        <v>0</v>
      </c>
      <c r="S120" s="96">
        <f t="shared" si="18"/>
        <v>0</v>
      </c>
      <c r="T120" s="96">
        <f t="shared" si="18"/>
        <v>0</v>
      </c>
      <c r="U120" s="96">
        <f t="shared" si="18"/>
        <v>0</v>
      </c>
      <c r="V120" s="96">
        <f t="shared" si="18"/>
        <v>0</v>
      </c>
      <c r="W120" s="96">
        <f t="shared" si="18"/>
        <v>0</v>
      </c>
      <c r="X120" s="96">
        <f t="shared" si="18"/>
        <v>0</v>
      </c>
      <c r="Y120" s="96">
        <f t="shared" si="18"/>
        <v>0</v>
      </c>
      <c r="Z120" s="96">
        <f t="shared" si="18"/>
        <v>0</v>
      </c>
      <c r="AA120" s="96">
        <f t="shared" si="18"/>
        <v>0</v>
      </c>
      <c r="AB120" s="96">
        <f t="shared" si="18"/>
        <v>0</v>
      </c>
      <c r="AC120" s="96">
        <f t="shared" si="18"/>
        <v>0</v>
      </c>
      <c r="AD120" s="96">
        <f t="shared" si="18"/>
        <v>0</v>
      </c>
      <c r="AE120" s="96">
        <f t="shared" si="18"/>
        <v>0</v>
      </c>
      <c r="AF120" s="96">
        <f t="shared" si="18"/>
        <v>0</v>
      </c>
      <c r="AG120" s="96">
        <f t="shared" si="18"/>
        <v>0</v>
      </c>
      <c r="AH120" s="96">
        <f t="shared" si="18"/>
        <v>0</v>
      </c>
      <c r="AI120" s="96">
        <f t="shared" si="18"/>
        <v>0</v>
      </c>
      <c r="AJ120" s="28" t="str">
        <f t="shared" si="6"/>
        <v/>
      </c>
      <c r="AK120" s="41"/>
      <c r="AL120" s="41" t="str">
        <f t="shared" si="9"/>
        <v>00</v>
      </c>
      <c r="AM120" s="41" t="str">
        <f t="shared" si="10"/>
        <v>00</v>
      </c>
      <c r="AN120" s="41" t="str">
        <f t="shared" si="11"/>
        <v>00</v>
      </c>
      <c r="AO120" s="41" t="str">
        <f t="shared" si="12"/>
        <v>00</v>
      </c>
      <c r="AQ120" t="str">
        <f t="shared" si="7"/>
        <v/>
      </c>
    </row>
    <row r="121" spans="2:43">
      <c r="B121" s="103"/>
      <c r="C121" s="28">
        <f t="shared" si="8"/>
        <v>50</v>
      </c>
      <c r="D121" s="96">
        <f t="shared" si="18"/>
        <v>0</v>
      </c>
      <c r="E121" s="96">
        <f t="shared" si="18"/>
        <v>0</v>
      </c>
      <c r="F121" s="96">
        <f t="shared" si="18"/>
        <v>0</v>
      </c>
      <c r="G121" s="96">
        <f t="shared" si="18"/>
        <v>0</v>
      </c>
      <c r="H121" s="96">
        <f t="shared" si="18"/>
        <v>0</v>
      </c>
      <c r="I121" s="96">
        <f t="shared" si="18"/>
        <v>0</v>
      </c>
      <c r="J121" s="96">
        <f t="shared" si="18"/>
        <v>0</v>
      </c>
      <c r="K121" s="96">
        <f t="shared" si="18"/>
        <v>0</v>
      </c>
      <c r="L121" s="96">
        <f t="shared" si="18"/>
        <v>0</v>
      </c>
      <c r="M121" s="96">
        <f t="shared" si="18"/>
        <v>0</v>
      </c>
      <c r="N121" s="96">
        <f t="shared" si="18"/>
        <v>0</v>
      </c>
      <c r="O121" s="96">
        <f t="shared" si="18"/>
        <v>0</v>
      </c>
      <c r="P121" s="96">
        <f t="shared" si="18"/>
        <v>0</v>
      </c>
      <c r="Q121" s="96">
        <f t="shared" si="18"/>
        <v>0</v>
      </c>
      <c r="R121" s="96">
        <f t="shared" si="18"/>
        <v>0</v>
      </c>
      <c r="S121" s="96">
        <f t="shared" si="18"/>
        <v>0</v>
      </c>
      <c r="T121" s="96">
        <f t="shared" si="18"/>
        <v>0</v>
      </c>
      <c r="U121" s="96">
        <f t="shared" si="18"/>
        <v>0</v>
      </c>
      <c r="V121" s="96">
        <f t="shared" si="18"/>
        <v>0</v>
      </c>
      <c r="W121" s="96">
        <f t="shared" si="18"/>
        <v>0</v>
      </c>
      <c r="X121" s="96">
        <f t="shared" si="18"/>
        <v>0</v>
      </c>
      <c r="Y121" s="96">
        <f t="shared" si="18"/>
        <v>0</v>
      </c>
      <c r="Z121" s="96">
        <f t="shared" si="18"/>
        <v>0</v>
      </c>
      <c r="AA121" s="96">
        <f t="shared" si="18"/>
        <v>0</v>
      </c>
      <c r="AB121" s="96">
        <f t="shared" si="18"/>
        <v>0</v>
      </c>
      <c r="AC121" s="96">
        <f t="shared" si="18"/>
        <v>0</v>
      </c>
      <c r="AD121" s="96">
        <f t="shared" si="18"/>
        <v>0</v>
      </c>
      <c r="AE121" s="96">
        <f t="shared" si="18"/>
        <v>0</v>
      </c>
      <c r="AF121" s="96">
        <f t="shared" si="18"/>
        <v>0</v>
      </c>
      <c r="AG121" s="96">
        <f t="shared" si="18"/>
        <v>0</v>
      </c>
      <c r="AH121" s="96">
        <f t="shared" si="18"/>
        <v>0</v>
      </c>
      <c r="AI121" s="96">
        <f t="shared" si="18"/>
        <v>0</v>
      </c>
      <c r="AJ121" s="28" t="str">
        <f t="shared" si="6"/>
        <v/>
      </c>
      <c r="AK121" s="41"/>
      <c r="AL121" s="41" t="str">
        <f t="shared" si="9"/>
        <v>00</v>
      </c>
      <c r="AM121" s="41" t="str">
        <f t="shared" si="10"/>
        <v>00</v>
      </c>
      <c r="AN121" s="41" t="str">
        <f t="shared" si="11"/>
        <v>00</v>
      </c>
      <c r="AO121" s="41" t="str">
        <f t="shared" si="12"/>
        <v>00</v>
      </c>
      <c r="AQ121" t="str">
        <f t="shared" si="7"/>
        <v/>
      </c>
    </row>
    <row r="122" spans="2:43">
      <c r="B122" s="103"/>
      <c r="C122" s="28">
        <f t="shared" si="8"/>
        <v>51</v>
      </c>
      <c r="D122" s="96">
        <f t="shared" si="18"/>
        <v>0</v>
      </c>
      <c r="E122" s="96">
        <f t="shared" si="18"/>
        <v>0</v>
      </c>
      <c r="F122" s="96">
        <f t="shared" si="18"/>
        <v>0</v>
      </c>
      <c r="G122" s="96">
        <f t="shared" si="18"/>
        <v>0</v>
      </c>
      <c r="H122" s="96">
        <f t="shared" si="18"/>
        <v>0</v>
      </c>
      <c r="I122" s="96">
        <f t="shared" si="18"/>
        <v>0</v>
      </c>
      <c r="J122" s="96">
        <f t="shared" si="18"/>
        <v>0</v>
      </c>
      <c r="K122" s="96">
        <f t="shared" si="18"/>
        <v>0</v>
      </c>
      <c r="L122" s="96">
        <f t="shared" si="18"/>
        <v>0</v>
      </c>
      <c r="M122" s="96">
        <f t="shared" si="18"/>
        <v>0</v>
      </c>
      <c r="N122" s="96">
        <f t="shared" si="18"/>
        <v>0</v>
      </c>
      <c r="O122" s="96">
        <f t="shared" si="18"/>
        <v>0</v>
      </c>
      <c r="P122" s="96">
        <f t="shared" si="18"/>
        <v>0</v>
      </c>
      <c r="Q122" s="96">
        <f t="shared" si="18"/>
        <v>0</v>
      </c>
      <c r="R122" s="96">
        <f t="shared" si="18"/>
        <v>0</v>
      </c>
      <c r="S122" s="96">
        <f t="shared" si="18"/>
        <v>0</v>
      </c>
      <c r="T122" s="96">
        <f t="shared" si="18"/>
        <v>0</v>
      </c>
      <c r="U122" s="96">
        <f t="shared" si="18"/>
        <v>0</v>
      </c>
      <c r="V122" s="96">
        <f t="shared" si="18"/>
        <v>0</v>
      </c>
      <c r="W122" s="96">
        <f t="shared" si="18"/>
        <v>0</v>
      </c>
      <c r="X122" s="96">
        <f t="shared" si="18"/>
        <v>0</v>
      </c>
      <c r="Y122" s="96">
        <f t="shared" si="18"/>
        <v>0</v>
      </c>
      <c r="Z122" s="96">
        <f t="shared" si="18"/>
        <v>0</v>
      </c>
      <c r="AA122" s="96">
        <f t="shared" si="18"/>
        <v>0</v>
      </c>
      <c r="AB122" s="96">
        <f t="shared" si="18"/>
        <v>0</v>
      </c>
      <c r="AC122" s="96">
        <f t="shared" si="18"/>
        <v>0</v>
      </c>
      <c r="AD122" s="96">
        <f t="shared" si="18"/>
        <v>0</v>
      </c>
      <c r="AE122" s="96">
        <f t="shared" si="18"/>
        <v>0</v>
      </c>
      <c r="AF122" s="96">
        <f t="shared" si="18"/>
        <v>0</v>
      </c>
      <c r="AG122" s="96">
        <f t="shared" si="18"/>
        <v>0</v>
      </c>
      <c r="AH122" s="96">
        <f t="shared" si="18"/>
        <v>0</v>
      </c>
      <c r="AI122" s="96">
        <f t="shared" si="18"/>
        <v>0</v>
      </c>
      <c r="AJ122" s="28" t="str">
        <f t="shared" si="6"/>
        <v/>
      </c>
      <c r="AK122" s="41"/>
      <c r="AL122" s="41" t="str">
        <f t="shared" si="9"/>
        <v>00</v>
      </c>
      <c r="AM122" s="41" t="str">
        <f t="shared" si="10"/>
        <v>00</v>
      </c>
      <c r="AN122" s="41" t="str">
        <f t="shared" si="11"/>
        <v>00</v>
      </c>
      <c r="AO122" s="41" t="str">
        <f t="shared" si="12"/>
        <v>00</v>
      </c>
      <c r="AQ122" t="str">
        <f t="shared" si="7"/>
        <v/>
      </c>
    </row>
    <row r="123" spans="2:43">
      <c r="B123" s="103"/>
      <c r="C123" s="28">
        <f t="shared" si="8"/>
        <v>52</v>
      </c>
      <c r="D123" s="96">
        <f t="shared" si="18"/>
        <v>0</v>
      </c>
      <c r="E123" s="96">
        <f t="shared" si="18"/>
        <v>0</v>
      </c>
      <c r="F123" s="96">
        <f t="shared" si="18"/>
        <v>0</v>
      </c>
      <c r="G123" s="96">
        <f t="shared" si="18"/>
        <v>0</v>
      </c>
      <c r="H123" s="96">
        <f t="shared" si="18"/>
        <v>0</v>
      </c>
      <c r="I123" s="96">
        <f t="shared" si="18"/>
        <v>0</v>
      </c>
      <c r="J123" s="96">
        <f t="shared" si="18"/>
        <v>0</v>
      </c>
      <c r="K123" s="96">
        <f t="shared" si="18"/>
        <v>0</v>
      </c>
      <c r="L123" s="96">
        <f t="shared" si="18"/>
        <v>0</v>
      </c>
      <c r="M123" s="96">
        <f t="shared" si="18"/>
        <v>0</v>
      </c>
      <c r="N123" s="96">
        <f t="shared" si="18"/>
        <v>0</v>
      </c>
      <c r="O123" s="96">
        <f t="shared" si="18"/>
        <v>0</v>
      </c>
      <c r="P123" s="96">
        <f t="shared" si="18"/>
        <v>0</v>
      </c>
      <c r="Q123" s="96">
        <f t="shared" si="18"/>
        <v>0</v>
      </c>
      <c r="R123" s="96">
        <f t="shared" si="18"/>
        <v>0</v>
      </c>
      <c r="S123" s="96">
        <f t="shared" si="18"/>
        <v>0</v>
      </c>
      <c r="T123" s="96">
        <f t="shared" si="18"/>
        <v>0</v>
      </c>
      <c r="U123" s="96">
        <f t="shared" si="18"/>
        <v>0</v>
      </c>
      <c r="V123" s="96">
        <f t="shared" si="18"/>
        <v>0</v>
      </c>
      <c r="W123" s="96">
        <f t="shared" si="18"/>
        <v>0</v>
      </c>
      <c r="X123" s="96">
        <f t="shared" si="18"/>
        <v>0</v>
      </c>
      <c r="Y123" s="96">
        <f t="shared" si="18"/>
        <v>0</v>
      </c>
      <c r="Z123" s="96">
        <f t="shared" si="18"/>
        <v>0</v>
      </c>
      <c r="AA123" s="96">
        <f t="shared" si="18"/>
        <v>0</v>
      </c>
      <c r="AB123" s="96">
        <f t="shared" si="18"/>
        <v>0</v>
      </c>
      <c r="AC123" s="96">
        <f t="shared" si="18"/>
        <v>0</v>
      </c>
      <c r="AD123" s="96">
        <f t="shared" si="18"/>
        <v>0</v>
      </c>
      <c r="AE123" s="96">
        <f t="shared" si="18"/>
        <v>0</v>
      </c>
      <c r="AF123" s="96">
        <f t="shared" si="18"/>
        <v>0</v>
      </c>
      <c r="AG123" s="96">
        <f t="shared" si="18"/>
        <v>0</v>
      </c>
      <c r="AH123" s="96">
        <f t="shared" si="18"/>
        <v>0</v>
      </c>
      <c r="AI123" s="96">
        <f t="shared" si="18"/>
        <v>0</v>
      </c>
      <c r="AJ123" s="28" t="str">
        <f t="shared" si="6"/>
        <v/>
      </c>
      <c r="AK123" s="41"/>
      <c r="AL123" s="41" t="str">
        <f t="shared" si="9"/>
        <v>00</v>
      </c>
      <c r="AM123" s="41" t="str">
        <f t="shared" si="10"/>
        <v>00</v>
      </c>
      <c r="AN123" s="41" t="str">
        <f t="shared" si="11"/>
        <v>00</v>
      </c>
      <c r="AO123" s="41" t="str">
        <f t="shared" si="12"/>
        <v>00</v>
      </c>
      <c r="AQ123" t="str">
        <f t="shared" si="7"/>
        <v/>
      </c>
    </row>
    <row r="124" spans="2:43">
      <c r="B124" s="103"/>
      <c r="C124" s="28">
        <f t="shared" si="8"/>
        <v>53</v>
      </c>
      <c r="D124" s="96">
        <f t="shared" si="18"/>
        <v>0</v>
      </c>
      <c r="E124" s="96">
        <f t="shared" si="18"/>
        <v>0</v>
      </c>
      <c r="F124" s="96">
        <f t="shared" si="18"/>
        <v>0</v>
      </c>
      <c r="G124" s="96">
        <f t="shared" si="18"/>
        <v>0</v>
      </c>
      <c r="H124" s="96">
        <f t="shared" si="18"/>
        <v>0</v>
      </c>
      <c r="I124" s="96">
        <f t="shared" si="18"/>
        <v>0</v>
      </c>
      <c r="J124" s="96">
        <f t="shared" si="18"/>
        <v>0</v>
      </c>
      <c r="K124" s="96">
        <f t="shared" si="18"/>
        <v>0</v>
      </c>
      <c r="L124" s="96">
        <f t="shared" si="18"/>
        <v>0</v>
      </c>
      <c r="M124" s="96">
        <f t="shared" si="18"/>
        <v>0</v>
      </c>
      <c r="N124" s="96">
        <f t="shared" si="18"/>
        <v>0</v>
      </c>
      <c r="O124" s="96">
        <f t="shared" si="18"/>
        <v>0</v>
      </c>
      <c r="P124" s="96">
        <f t="shared" si="18"/>
        <v>0</v>
      </c>
      <c r="Q124" s="96">
        <f t="shared" si="18"/>
        <v>0</v>
      </c>
      <c r="R124" s="96">
        <f t="shared" si="18"/>
        <v>0</v>
      </c>
      <c r="S124" s="96">
        <f t="shared" si="18"/>
        <v>0</v>
      </c>
      <c r="T124" s="96">
        <f t="shared" si="18"/>
        <v>0</v>
      </c>
      <c r="U124" s="96">
        <f t="shared" si="18"/>
        <v>0</v>
      </c>
      <c r="V124" s="96">
        <f t="shared" si="18"/>
        <v>0</v>
      </c>
      <c r="W124" s="96">
        <f t="shared" si="18"/>
        <v>0</v>
      </c>
      <c r="X124" s="96">
        <f t="shared" si="18"/>
        <v>0</v>
      </c>
      <c r="Y124" s="96">
        <f t="shared" si="18"/>
        <v>0</v>
      </c>
      <c r="Z124" s="96">
        <f t="shared" si="18"/>
        <v>0</v>
      </c>
      <c r="AA124" s="96">
        <f t="shared" si="18"/>
        <v>0</v>
      </c>
      <c r="AB124" s="96">
        <f t="shared" si="18"/>
        <v>0</v>
      </c>
      <c r="AC124" s="96">
        <f t="shared" si="18"/>
        <v>0</v>
      </c>
      <c r="AD124" s="96">
        <f t="shared" si="18"/>
        <v>0</v>
      </c>
      <c r="AE124" s="96">
        <f t="shared" si="18"/>
        <v>0</v>
      </c>
      <c r="AF124" s="96">
        <f t="shared" si="18"/>
        <v>0</v>
      </c>
      <c r="AG124" s="96">
        <f t="shared" si="18"/>
        <v>0</v>
      </c>
      <c r="AH124" s="96">
        <f t="shared" si="18"/>
        <v>0</v>
      </c>
      <c r="AI124" s="96">
        <f t="shared" si="18"/>
        <v>0</v>
      </c>
      <c r="AJ124" s="28" t="str">
        <f t="shared" si="6"/>
        <v/>
      </c>
      <c r="AK124" s="41"/>
      <c r="AL124" s="41" t="str">
        <f t="shared" si="9"/>
        <v>00</v>
      </c>
      <c r="AM124" s="41" t="str">
        <f t="shared" si="10"/>
        <v>00</v>
      </c>
      <c r="AN124" s="41" t="str">
        <f t="shared" si="11"/>
        <v>00</v>
      </c>
      <c r="AO124" s="41" t="str">
        <f t="shared" si="12"/>
        <v>00</v>
      </c>
      <c r="AQ124" t="str">
        <f t="shared" si="7"/>
        <v/>
      </c>
    </row>
    <row r="125" spans="2:43">
      <c r="B125" s="103"/>
      <c r="C125" s="28">
        <f t="shared" si="8"/>
        <v>54</v>
      </c>
      <c r="D125" s="96">
        <f t="shared" si="18"/>
        <v>0</v>
      </c>
      <c r="E125" s="96">
        <f t="shared" si="18"/>
        <v>0</v>
      </c>
      <c r="F125" s="96">
        <f t="shared" si="18"/>
        <v>0</v>
      </c>
      <c r="G125" s="96">
        <f t="shared" si="18"/>
        <v>0</v>
      </c>
      <c r="H125" s="96">
        <f t="shared" si="18"/>
        <v>0</v>
      </c>
      <c r="I125" s="96">
        <f t="shared" si="18"/>
        <v>0</v>
      </c>
      <c r="J125" s="96">
        <f t="shared" si="18"/>
        <v>0</v>
      </c>
      <c r="K125" s="96">
        <f t="shared" si="18"/>
        <v>0</v>
      </c>
      <c r="L125" s="96">
        <f t="shared" si="18"/>
        <v>0</v>
      </c>
      <c r="M125" s="96">
        <f t="shared" si="18"/>
        <v>0</v>
      </c>
      <c r="N125" s="96">
        <f t="shared" si="18"/>
        <v>0</v>
      </c>
      <c r="O125" s="96">
        <f t="shared" si="18"/>
        <v>0</v>
      </c>
      <c r="P125" s="96">
        <f t="shared" si="18"/>
        <v>0</v>
      </c>
      <c r="Q125" s="96">
        <f t="shared" si="18"/>
        <v>0</v>
      </c>
      <c r="R125" s="96">
        <f t="shared" si="18"/>
        <v>0</v>
      </c>
      <c r="S125" s="96">
        <f t="shared" si="18"/>
        <v>0</v>
      </c>
      <c r="T125" s="96">
        <f t="shared" si="18"/>
        <v>0</v>
      </c>
      <c r="U125" s="96">
        <f t="shared" si="18"/>
        <v>0</v>
      </c>
      <c r="V125" s="96">
        <f t="shared" si="18"/>
        <v>0</v>
      </c>
      <c r="W125" s="96">
        <f t="shared" si="18"/>
        <v>0</v>
      </c>
      <c r="X125" s="96">
        <f t="shared" si="18"/>
        <v>0</v>
      </c>
      <c r="Y125" s="96">
        <f t="shared" si="18"/>
        <v>0</v>
      </c>
      <c r="Z125" s="96">
        <f t="shared" si="18"/>
        <v>0</v>
      </c>
      <c r="AA125" s="96">
        <f t="shared" si="18"/>
        <v>0</v>
      </c>
      <c r="AB125" s="96">
        <f t="shared" si="18"/>
        <v>0</v>
      </c>
      <c r="AC125" s="96">
        <f t="shared" si="18"/>
        <v>0</v>
      </c>
      <c r="AD125" s="96">
        <f t="shared" si="18"/>
        <v>0</v>
      </c>
      <c r="AE125" s="96">
        <f t="shared" si="18"/>
        <v>0</v>
      </c>
      <c r="AF125" s="96">
        <f t="shared" si="18"/>
        <v>0</v>
      </c>
      <c r="AG125" s="96">
        <f t="shared" si="18"/>
        <v>0</v>
      </c>
      <c r="AH125" s="96">
        <f t="shared" si="18"/>
        <v>0</v>
      </c>
      <c r="AI125" s="96">
        <f t="shared" si="18"/>
        <v>0</v>
      </c>
      <c r="AJ125" s="28" t="str">
        <f t="shared" si="6"/>
        <v/>
      </c>
      <c r="AK125" s="41"/>
      <c r="AL125" s="41" t="str">
        <f t="shared" si="9"/>
        <v>00</v>
      </c>
      <c r="AM125" s="41" t="str">
        <f t="shared" si="10"/>
        <v>00</v>
      </c>
      <c r="AN125" s="41" t="str">
        <f t="shared" si="11"/>
        <v>00</v>
      </c>
      <c r="AO125" s="41" t="str">
        <f t="shared" si="12"/>
        <v>00</v>
      </c>
      <c r="AQ125" t="str">
        <f t="shared" si="7"/>
        <v/>
      </c>
    </row>
    <row r="126" spans="2:43">
      <c r="B126" s="103"/>
      <c r="C126" s="28">
        <f t="shared" si="8"/>
        <v>55</v>
      </c>
      <c r="D126" s="96">
        <f t="shared" si="18"/>
        <v>0</v>
      </c>
      <c r="E126" s="96">
        <f t="shared" si="18"/>
        <v>0</v>
      </c>
      <c r="F126" s="96">
        <f t="shared" si="18"/>
        <v>0</v>
      </c>
      <c r="G126" s="96">
        <f t="shared" si="18"/>
        <v>0</v>
      </c>
      <c r="H126" s="96">
        <f t="shared" si="18"/>
        <v>0</v>
      </c>
      <c r="I126" s="96">
        <f t="shared" si="18"/>
        <v>0</v>
      </c>
      <c r="J126" s="96">
        <f t="shared" si="18"/>
        <v>0</v>
      </c>
      <c r="K126" s="96">
        <f t="shared" si="18"/>
        <v>0</v>
      </c>
      <c r="L126" s="96">
        <f t="shared" si="18"/>
        <v>0</v>
      </c>
      <c r="M126" s="96">
        <f t="shared" si="18"/>
        <v>0</v>
      </c>
      <c r="N126" s="96">
        <f t="shared" si="18"/>
        <v>0</v>
      </c>
      <c r="O126" s="96">
        <f t="shared" si="18"/>
        <v>0</v>
      </c>
      <c r="P126" s="96">
        <f t="shared" si="18"/>
        <v>0</v>
      </c>
      <c r="Q126" s="96">
        <f t="shared" si="18"/>
        <v>0</v>
      </c>
      <c r="R126" s="96">
        <f t="shared" si="18"/>
        <v>0</v>
      </c>
      <c r="S126" s="96">
        <f t="shared" si="18"/>
        <v>0</v>
      </c>
      <c r="T126" s="96">
        <f t="shared" si="18"/>
        <v>0</v>
      </c>
      <c r="U126" s="96">
        <f t="shared" si="18"/>
        <v>0</v>
      </c>
      <c r="V126" s="96">
        <f t="shared" si="18"/>
        <v>0</v>
      </c>
      <c r="W126" s="96">
        <f t="shared" si="18"/>
        <v>0</v>
      </c>
      <c r="X126" s="96">
        <f t="shared" si="18"/>
        <v>0</v>
      </c>
      <c r="Y126" s="96">
        <f t="shared" si="18"/>
        <v>0</v>
      </c>
      <c r="Z126" s="96">
        <f t="shared" si="18"/>
        <v>0</v>
      </c>
      <c r="AA126" s="96">
        <f t="shared" si="18"/>
        <v>0</v>
      </c>
      <c r="AB126" s="96">
        <f t="shared" si="18"/>
        <v>0</v>
      </c>
      <c r="AC126" s="96">
        <f t="shared" si="18"/>
        <v>0</v>
      </c>
      <c r="AD126" s="96">
        <f t="shared" si="18"/>
        <v>0</v>
      </c>
      <c r="AE126" s="96">
        <f t="shared" si="18"/>
        <v>0</v>
      </c>
      <c r="AF126" s="96">
        <f t="shared" si="18"/>
        <v>0</v>
      </c>
      <c r="AG126" s="96">
        <f t="shared" si="18"/>
        <v>0</v>
      </c>
      <c r="AH126" s="96">
        <f t="shared" si="18"/>
        <v>0</v>
      </c>
      <c r="AI126" s="96">
        <f>IF(AI61=1,1,0)</f>
        <v>0</v>
      </c>
      <c r="AJ126" s="28" t="str">
        <f t="shared" si="6"/>
        <v/>
      </c>
      <c r="AK126" s="41"/>
      <c r="AL126" s="41" t="str">
        <f t="shared" si="9"/>
        <v>00</v>
      </c>
      <c r="AM126" s="41" t="str">
        <f t="shared" si="10"/>
        <v>00</v>
      </c>
      <c r="AN126" s="41" t="str">
        <f t="shared" si="11"/>
        <v>00</v>
      </c>
      <c r="AO126" s="41" t="str">
        <f t="shared" si="12"/>
        <v>00</v>
      </c>
      <c r="AQ126" t="str">
        <f t="shared" si="7"/>
        <v/>
      </c>
    </row>
    <row r="127" spans="2:43">
      <c r="B127" s="103"/>
      <c r="C127" s="28">
        <f t="shared" si="8"/>
        <v>56</v>
      </c>
      <c r="D127" s="96">
        <f t="shared" ref="D127:AI134" si="19">IF(D62=1,1,0)</f>
        <v>0</v>
      </c>
      <c r="E127" s="96">
        <f t="shared" si="19"/>
        <v>0</v>
      </c>
      <c r="F127" s="96">
        <f t="shared" si="19"/>
        <v>0</v>
      </c>
      <c r="G127" s="96">
        <f t="shared" si="19"/>
        <v>0</v>
      </c>
      <c r="H127" s="96">
        <f t="shared" si="19"/>
        <v>0</v>
      </c>
      <c r="I127" s="96">
        <f t="shared" si="19"/>
        <v>0</v>
      </c>
      <c r="J127" s="96">
        <f t="shared" si="19"/>
        <v>0</v>
      </c>
      <c r="K127" s="96">
        <f t="shared" si="19"/>
        <v>0</v>
      </c>
      <c r="L127" s="96">
        <f t="shared" si="19"/>
        <v>0</v>
      </c>
      <c r="M127" s="96">
        <f t="shared" si="19"/>
        <v>0</v>
      </c>
      <c r="N127" s="96">
        <f t="shared" si="19"/>
        <v>0</v>
      </c>
      <c r="O127" s="96">
        <f t="shared" si="19"/>
        <v>0</v>
      </c>
      <c r="P127" s="96">
        <f t="shared" si="19"/>
        <v>0</v>
      </c>
      <c r="Q127" s="96">
        <f t="shared" si="19"/>
        <v>0</v>
      </c>
      <c r="R127" s="96">
        <f t="shared" si="19"/>
        <v>0</v>
      </c>
      <c r="S127" s="96">
        <f t="shared" si="19"/>
        <v>0</v>
      </c>
      <c r="T127" s="96">
        <f t="shared" si="19"/>
        <v>0</v>
      </c>
      <c r="U127" s="96">
        <f t="shared" si="19"/>
        <v>0</v>
      </c>
      <c r="V127" s="96">
        <f t="shared" si="19"/>
        <v>0</v>
      </c>
      <c r="W127" s="96">
        <f t="shared" si="19"/>
        <v>0</v>
      </c>
      <c r="X127" s="96">
        <f t="shared" si="19"/>
        <v>0</v>
      </c>
      <c r="Y127" s="96">
        <f t="shared" si="19"/>
        <v>0</v>
      </c>
      <c r="Z127" s="96">
        <f t="shared" si="19"/>
        <v>0</v>
      </c>
      <c r="AA127" s="96">
        <f t="shared" si="19"/>
        <v>0</v>
      </c>
      <c r="AB127" s="96">
        <f t="shared" si="19"/>
        <v>0</v>
      </c>
      <c r="AC127" s="96">
        <f t="shared" si="19"/>
        <v>0</v>
      </c>
      <c r="AD127" s="96">
        <f t="shared" si="19"/>
        <v>0</v>
      </c>
      <c r="AE127" s="96">
        <f t="shared" si="19"/>
        <v>0</v>
      </c>
      <c r="AF127" s="96">
        <f t="shared" si="19"/>
        <v>0</v>
      </c>
      <c r="AG127" s="96">
        <f t="shared" si="19"/>
        <v>0</v>
      </c>
      <c r="AH127" s="96">
        <f t="shared" si="19"/>
        <v>0</v>
      </c>
      <c r="AI127" s="96">
        <f t="shared" si="19"/>
        <v>0</v>
      </c>
      <c r="AJ127" s="28" t="str">
        <f t="shared" si="6"/>
        <v/>
      </c>
      <c r="AK127" s="41"/>
      <c r="AL127" s="41" t="str">
        <f t="shared" si="9"/>
        <v>00</v>
      </c>
      <c r="AM127" s="41" t="str">
        <f t="shared" si="10"/>
        <v>00</v>
      </c>
      <c r="AN127" s="41" t="str">
        <f t="shared" si="11"/>
        <v>00</v>
      </c>
      <c r="AO127" s="41" t="str">
        <f t="shared" si="12"/>
        <v>00</v>
      </c>
      <c r="AQ127" t="str">
        <f t="shared" si="7"/>
        <v/>
      </c>
    </row>
    <row r="128" spans="2:43">
      <c r="B128" s="103"/>
      <c r="C128" s="28">
        <f t="shared" si="8"/>
        <v>57</v>
      </c>
      <c r="D128" s="96">
        <f t="shared" si="19"/>
        <v>0</v>
      </c>
      <c r="E128" s="96">
        <f t="shared" si="19"/>
        <v>0</v>
      </c>
      <c r="F128" s="96">
        <f t="shared" si="19"/>
        <v>0</v>
      </c>
      <c r="G128" s="96">
        <f t="shared" si="19"/>
        <v>0</v>
      </c>
      <c r="H128" s="96">
        <f t="shared" si="19"/>
        <v>0</v>
      </c>
      <c r="I128" s="96">
        <f t="shared" si="19"/>
        <v>0</v>
      </c>
      <c r="J128" s="96">
        <f t="shared" si="19"/>
        <v>0</v>
      </c>
      <c r="K128" s="96">
        <f t="shared" si="19"/>
        <v>0</v>
      </c>
      <c r="L128" s="96">
        <f t="shared" si="19"/>
        <v>0</v>
      </c>
      <c r="M128" s="96">
        <f t="shared" si="19"/>
        <v>0</v>
      </c>
      <c r="N128" s="96">
        <f t="shared" si="19"/>
        <v>0</v>
      </c>
      <c r="O128" s="96">
        <f t="shared" si="19"/>
        <v>0</v>
      </c>
      <c r="P128" s="96">
        <f t="shared" si="19"/>
        <v>0</v>
      </c>
      <c r="Q128" s="96">
        <f t="shared" si="19"/>
        <v>0</v>
      </c>
      <c r="R128" s="96">
        <f t="shared" si="19"/>
        <v>0</v>
      </c>
      <c r="S128" s="96">
        <f t="shared" si="19"/>
        <v>0</v>
      </c>
      <c r="T128" s="96">
        <f t="shared" si="19"/>
        <v>0</v>
      </c>
      <c r="U128" s="96">
        <f t="shared" si="19"/>
        <v>0</v>
      </c>
      <c r="V128" s="96">
        <f t="shared" si="19"/>
        <v>0</v>
      </c>
      <c r="W128" s="96">
        <f t="shared" si="19"/>
        <v>0</v>
      </c>
      <c r="X128" s="96">
        <f t="shared" si="19"/>
        <v>0</v>
      </c>
      <c r="Y128" s="96">
        <f t="shared" si="19"/>
        <v>0</v>
      </c>
      <c r="Z128" s="96">
        <f t="shared" si="19"/>
        <v>0</v>
      </c>
      <c r="AA128" s="96">
        <f t="shared" si="19"/>
        <v>0</v>
      </c>
      <c r="AB128" s="96">
        <f t="shared" si="19"/>
        <v>0</v>
      </c>
      <c r="AC128" s="96">
        <f t="shared" si="19"/>
        <v>0</v>
      </c>
      <c r="AD128" s="96">
        <f t="shared" si="19"/>
        <v>0</v>
      </c>
      <c r="AE128" s="96">
        <f t="shared" si="19"/>
        <v>0</v>
      </c>
      <c r="AF128" s="96">
        <f t="shared" si="19"/>
        <v>0</v>
      </c>
      <c r="AG128" s="96">
        <f t="shared" si="19"/>
        <v>0</v>
      </c>
      <c r="AH128" s="96">
        <f t="shared" si="19"/>
        <v>0</v>
      </c>
      <c r="AI128" s="96">
        <f t="shared" si="19"/>
        <v>0</v>
      </c>
      <c r="AJ128" s="28" t="str">
        <f t="shared" si="6"/>
        <v/>
      </c>
      <c r="AK128" s="41"/>
      <c r="AL128" s="41" t="str">
        <f t="shared" si="9"/>
        <v>00</v>
      </c>
      <c r="AM128" s="41" t="str">
        <f t="shared" si="10"/>
        <v>00</v>
      </c>
      <c r="AN128" s="41" t="str">
        <f t="shared" si="11"/>
        <v>00</v>
      </c>
      <c r="AO128" s="41" t="str">
        <f t="shared" si="12"/>
        <v>00</v>
      </c>
      <c r="AQ128" t="str">
        <f t="shared" si="7"/>
        <v/>
      </c>
    </row>
    <row r="129" spans="1:43">
      <c r="B129" s="103"/>
      <c r="C129" s="28">
        <f t="shared" si="8"/>
        <v>58</v>
      </c>
      <c r="D129" s="96">
        <f t="shared" si="19"/>
        <v>0</v>
      </c>
      <c r="E129" s="96">
        <f t="shared" si="19"/>
        <v>0</v>
      </c>
      <c r="F129" s="96">
        <f t="shared" si="19"/>
        <v>0</v>
      </c>
      <c r="G129" s="96">
        <f t="shared" si="19"/>
        <v>0</v>
      </c>
      <c r="H129" s="96">
        <f t="shared" si="19"/>
        <v>0</v>
      </c>
      <c r="I129" s="96">
        <f t="shared" si="19"/>
        <v>0</v>
      </c>
      <c r="J129" s="96">
        <f t="shared" si="19"/>
        <v>0</v>
      </c>
      <c r="K129" s="96">
        <f t="shared" si="19"/>
        <v>0</v>
      </c>
      <c r="L129" s="96">
        <f t="shared" si="19"/>
        <v>0</v>
      </c>
      <c r="M129" s="96">
        <f t="shared" si="19"/>
        <v>0</v>
      </c>
      <c r="N129" s="96">
        <f t="shared" si="19"/>
        <v>0</v>
      </c>
      <c r="O129" s="96">
        <f t="shared" si="19"/>
        <v>0</v>
      </c>
      <c r="P129" s="96">
        <f t="shared" si="19"/>
        <v>0</v>
      </c>
      <c r="Q129" s="96">
        <f t="shared" si="19"/>
        <v>0</v>
      </c>
      <c r="R129" s="96">
        <f t="shared" si="19"/>
        <v>0</v>
      </c>
      <c r="S129" s="96">
        <f t="shared" si="19"/>
        <v>0</v>
      </c>
      <c r="T129" s="96">
        <f t="shared" si="19"/>
        <v>0</v>
      </c>
      <c r="U129" s="96">
        <f t="shared" si="19"/>
        <v>0</v>
      </c>
      <c r="V129" s="96">
        <f t="shared" si="19"/>
        <v>0</v>
      </c>
      <c r="W129" s="96">
        <f t="shared" si="19"/>
        <v>0</v>
      </c>
      <c r="X129" s="96">
        <f t="shared" si="19"/>
        <v>0</v>
      </c>
      <c r="Y129" s="96">
        <f t="shared" si="19"/>
        <v>0</v>
      </c>
      <c r="Z129" s="96">
        <f t="shared" si="19"/>
        <v>0</v>
      </c>
      <c r="AA129" s="96">
        <f t="shared" si="19"/>
        <v>0</v>
      </c>
      <c r="AB129" s="96">
        <f t="shared" si="19"/>
        <v>0</v>
      </c>
      <c r="AC129" s="96">
        <f t="shared" si="19"/>
        <v>0</v>
      </c>
      <c r="AD129" s="96">
        <f t="shared" si="19"/>
        <v>0</v>
      </c>
      <c r="AE129" s="96">
        <f t="shared" si="19"/>
        <v>0</v>
      </c>
      <c r="AF129" s="96">
        <f t="shared" si="19"/>
        <v>0</v>
      </c>
      <c r="AG129" s="96">
        <f t="shared" si="19"/>
        <v>0</v>
      </c>
      <c r="AH129" s="96">
        <f t="shared" si="19"/>
        <v>0</v>
      </c>
      <c r="AI129" s="96">
        <f t="shared" si="19"/>
        <v>0</v>
      </c>
      <c r="AJ129" s="28" t="str">
        <f t="shared" si="6"/>
        <v/>
      </c>
      <c r="AK129" s="41"/>
      <c r="AL129" s="41" t="str">
        <f t="shared" si="9"/>
        <v>00</v>
      </c>
      <c r="AM129" s="41" t="str">
        <f t="shared" si="10"/>
        <v>00</v>
      </c>
      <c r="AN129" s="41" t="str">
        <f t="shared" si="11"/>
        <v>00</v>
      </c>
      <c r="AO129" s="41" t="str">
        <f t="shared" si="12"/>
        <v>00</v>
      </c>
      <c r="AQ129" t="str">
        <f t="shared" si="7"/>
        <v/>
      </c>
    </row>
    <row r="130" spans="1:43">
      <c r="B130" s="103"/>
      <c r="C130" s="28">
        <f t="shared" si="8"/>
        <v>59</v>
      </c>
      <c r="D130" s="96">
        <f t="shared" si="19"/>
        <v>0</v>
      </c>
      <c r="E130" s="96">
        <f t="shared" si="19"/>
        <v>0</v>
      </c>
      <c r="F130" s="96">
        <f t="shared" si="19"/>
        <v>0</v>
      </c>
      <c r="G130" s="96">
        <f t="shared" si="19"/>
        <v>0</v>
      </c>
      <c r="H130" s="96">
        <f t="shared" si="19"/>
        <v>0</v>
      </c>
      <c r="I130" s="96">
        <f t="shared" si="19"/>
        <v>0</v>
      </c>
      <c r="J130" s="96">
        <f t="shared" si="19"/>
        <v>0</v>
      </c>
      <c r="K130" s="96">
        <f t="shared" si="19"/>
        <v>0</v>
      </c>
      <c r="L130" s="96">
        <f t="shared" si="19"/>
        <v>0</v>
      </c>
      <c r="M130" s="96">
        <f t="shared" si="19"/>
        <v>0</v>
      </c>
      <c r="N130" s="96">
        <f t="shared" si="19"/>
        <v>0</v>
      </c>
      <c r="O130" s="96">
        <f t="shared" si="19"/>
        <v>0</v>
      </c>
      <c r="P130" s="96">
        <f t="shared" si="19"/>
        <v>0</v>
      </c>
      <c r="Q130" s="96">
        <f t="shared" si="19"/>
        <v>0</v>
      </c>
      <c r="R130" s="96">
        <f t="shared" si="19"/>
        <v>0</v>
      </c>
      <c r="S130" s="96">
        <f t="shared" si="19"/>
        <v>0</v>
      </c>
      <c r="T130" s="96">
        <f t="shared" si="19"/>
        <v>0</v>
      </c>
      <c r="U130" s="96">
        <f t="shared" si="19"/>
        <v>0</v>
      </c>
      <c r="V130" s="96">
        <f t="shared" si="19"/>
        <v>0</v>
      </c>
      <c r="W130" s="96">
        <f t="shared" si="19"/>
        <v>0</v>
      </c>
      <c r="X130" s="96">
        <f t="shared" si="19"/>
        <v>0</v>
      </c>
      <c r="Y130" s="96">
        <f t="shared" si="19"/>
        <v>0</v>
      </c>
      <c r="Z130" s="96">
        <f t="shared" si="19"/>
        <v>0</v>
      </c>
      <c r="AA130" s="96">
        <f t="shared" si="19"/>
        <v>0</v>
      </c>
      <c r="AB130" s="96">
        <f t="shared" si="19"/>
        <v>0</v>
      </c>
      <c r="AC130" s="96">
        <f t="shared" si="19"/>
        <v>0</v>
      </c>
      <c r="AD130" s="96">
        <f t="shared" si="19"/>
        <v>0</v>
      </c>
      <c r="AE130" s="96">
        <f t="shared" si="19"/>
        <v>0</v>
      </c>
      <c r="AF130" s="96">
        <f t="shared" si="19"/>
        <v>0</v>
      </c>
      <c r="AG130" s="96">
        <f t="shared" si="19"/>
        <v>0</v>
      </c>
      <c r="AH130" s="96">
        <f t="shared" si="19"/>
        <v>0</v>
      </c>
      <c r="AI130" s="96">
        <f t="shared" si="19"/>
        <v>0</v>
      </c>
      <c r="AJ130" s="28" t="str">
        <f t="shared" si="6"/>
        <v/>
      </c>
      <c r="AK130" s="41"/>
      <c r="AL130" s="41" t="str">
        <f t="shared" si="9"/>
        <v>00</v>
      </c>
      <c r="AM130" s="41" t="str">
        <f t="shared" si="10"/>
        <v>00</v>
      </c>
      <c r="AN130" s="41" t="str">
        <f t="shared" si="11"/>
        <v>00</v>
      </c>
      <c r="AO130" s="41" t="str">
        <f t="shared" si="12"/>
        <v>00</v>
      </c>
      <c r="AQ130" t="str">
        <f t="shared" si="7"/>
        <v/>
      </c>
    </row>
    <row r="131" spans="1:43">
      <c r="B131" s="103"/>
      <c r="C131" s="28">
        <f t="shared" si="8"/>
        <v>60</v>
      </c>
      <c r="D131" s="96">
        <f t="shared" si="19"/>
        <v>0</v>
      </c>
      <c r="E131" s="96">
        <f t="shared" si="19"/>
        <v>0</v>
      </c>
      <c r="F131" s="96">
        <f t="shared" si="19"/>
        <v>0</v>
      </c>
      <c r="G131" s="96">
        <f t="shared" si="19"/>
        <v>0</v>
      </c>
      <c r="H131" s="96">
        <f t="shared" si="19"/>
        <v>0</v>
      </c>
      <c r="I131" s="96">
        <f t="shared" si="19"/>
        <v>0</v>
      </c>
      <c r="J131" s="96">
        <f t="shared" si="19"/>
        <v>0</v>
      </c>
      <c r="K131" s="96">
        <f t="shared" si="19"/>
        <v>0</v>
      </c>
      <c r="L131" s="96">
        <f t="shared" si="19"/>
        <v>0</v>
      </c>
      <c r="M131" s="96">
        <f t="shared" si="19"/>
        <v>0</v>
      </c>
      <c r="N131" s="96">
        <f t="shared" si="19"/>
        <v>0</v>
      </c>
      <c r="O131" s="96">
        <f t="shared" si="19"/>
        <v>0</v>
      </c>
      <c r="P131" s="96">
        <f t="shared" si="19"/>
        <v>0</v>
      </c>
      <c r="Q131" s="96">
        <f t="shared" si="19"/>
        <v>0</v>
      </c>
      <c r="R131" s="96">
        <f t="shared" si="19"/>
        <v>0</v>
      </c>
      <c r="S131" s="96">
        <f t="shared" si="19"/>
        <v>0</v>
      </c>
      <c r="T131" s="96">
        <f t="shared" si="19"/>
        <v>0</v>
      </c>
      <c r="U131" s="96">
        <f t="shared" si="19"/>
        <v>0</v>
      </c>
      <c r="V131" s="96">
        <f t="shared" si="19"/>
        <v>0</v>
      </c>
      <c r="W131" s="96">
        <f t="shared" si="19"/>
        <v>0</v>
      </c>
      <c r="X131" s="96">
        <f t="shared" si="19"/>
        <v>0</v>
      </c>
      <c r="Y131" s="96">
        <f t="shared" si="19"/>
        <v>0</v>
      </c>
      <c r="Z131" s="96">
        <f t="shared" si="19"/>
        <v>0</v>
      </c>
      <c r="AA131" s="96">
        <f t="shared" si="19"/>
        <v>0</v>
      </c>
      <c r="AB131" s="96">
        <f t="shared" si="19"/>
        <v>0</v>
      </c>
      <c r="AC131" s="96">
        <f t="shared" si="19"/>
        <v>0</v>
      </c>
      <c r="AD131" s="96">
        <f t="shared" si="19"/>
        <v>0</v>
      </c>
      <c r="AE131" s="96">
        <f t="shared" si="19"/>
        <v>0</v>
      </c>
      <c r="AF131" s="96">
        <f t="shared" si="19"/>
        <v>0</v>
      </c>
      <c r="AG131" s="96">
        <f t="shared" si="19"/>
        <v>0</v>
      </c>
      <c r="AH131" s="96">
        <f t="shared" si="19"/>
        <v>0</v>
      </c>
      <c r="AI131" s="96">
        <f t="shared" si="19"/>
        <v>0</v>
      </c>
      <c r="AJ131" s="28" t="str">
        <f t="shared" si="6"/>
        <v/>
      </c>
      <c r="AK131" s="41"/>
      <c r="AL131" s="41" t="str">
        <f t="shared" si="9"/>
        <v>00</v>
      </c>
      <c r="AM131" s="41" t="str">
        <f t="shared" si="10"/>
        <v>00</v>
      </c>
      <c r="AN131" s="41" t="str">
        <f t="shared" si="11"/>
        <v>00</v>
      </c>
      <c r="AO131" s="41" t="str">
        <f t="shared" si="12"/>
        <v>00</v>
      </c>
      <c r="AQ131" t="str">
        <f t="shared" si="7"/>
        <v/>
      </c>
    </row>
    <row r="132" spans="1:43">
      <c r="B132" s="103"/>
      <c r="C132" s="28">
        <f t="shared" si="8"/>
        <v>61</v>
      </c>
      <c r="D132" s="96">
        <f t="shared" si="19"/>
        <v>0</v>
      </c>
      <c r="E132" s="96">
        <f t="shared" si="19"/>
        <v>0</v>
      </c>
      <c r="F132" s="96">
        <f t="shared" si="19"/>
        <v>0</v>
      </c>
      <c r="G132" s="96">
        <f t="shared" si="19"/>
        <v>0</v>
      </c>
      <c r="H132" s="96">
        <f t="shared" si="19"/>
        <v>0</v>
      </c>
      <c r="I132" s="96">
        <f t="shared" si="19"/>
        <v>0</v>
      </c>
      <c r="J132" s="96">
        <f t="shared" si="19"/>
        <v>0</v>
      </c>
      <c r="K132" s="96">
        <f t="shared" si="19"/>
        <v>0</v>
      </c>
      <c r="L132" s="96">
        <f t="shared" si="19"/>
        <v>0</v>
      </c>
      <c r="M132" s="96">
        <f t="shared" si="19"/>
        <v>0</v>
      </c>
      <c r="N132" s="96">
        <f t="shared" si="19"/>
        <v>0</v>
      </c>
      <c r="O132" s="96">
        <f t="shared" si="19"/>
        <v>0</v>
      </c>
      <c r="P132" s="96">
        <f t="shared" si="19"/>
        <v>0</v>
      </c>
      <c r="Q132" s="96">
        <f t="shared" si="19"/>
        <v>0</v>
      </c>
      <c r="R132" s="96">
        <f t="shared" si="19"/>
        <v>0</v>
      </c>
      <c r="S132" s="96">
        <f t="shared" si="19"/>
        <v>0</v>
      </c>
      <c r="T132" s="96">
        <f t="shared" si="19"/>
        <v>0</v>
      </c>
      <c r="U132" s="96">
        <f t="shared" si="19"/>
        <v>0</v>
      </c>
      <c r="V132" s="96">
        <f t="shared" si="19"/>
        <v>0</v>
      </c>
      <c r="W132" s="96">
        <f t="shared" si="19"/>
        <v>0</v>
      </c>
      <c r="X132" s="96">
        <f t="shared" si="19"/>
        <v>0</v>
      </c>
      <c r="Y132" s="96">
        <f t="shared" si="19"/>
        <v>0</v>
      </c>
      <c r="Z132" s="96">
        <f t="shared" si="19"/>
        <v>0</v>
      </c>
      <c r="AA132" s="96">
        <f t="shared" si="19"/>
        <v>0</v>
      </c>
      <c r="AB132" s="96">
        <f t="shared" si="19"/>
        <v>0</v>
      </c>
      <c r="AC132" s="96">
        <f t="shared" si="19"/>
        <v>0</v>
      </c>
      <c r="AD132" s="96">
        <f t="shared" si="19"/>
        <v>0</v>
      </c>
      <c r="AE132" s="96">
        <f t="shared" si="19"/>
        <v>0</v>
      </c>
      <c r="AF132" s="96">
        <f t="shared" si="19"/>
        <v>0</v>
      </c>
      <c r="AG132" s="96">
        <f t="shared" si="19"/>
        <v>0</v>
      </c>
      <c r="AH132" s="96">
        <f t="shared" si="19"/>
        <v>0</v>
      </c>
      <c r="AI132" s="96">
        <f t="shared" si="19"/>
        <v>0</v>
      </c>
      <c r="AJ132" s="28" t="str">
        <f t="shared" si="6"/>
        <v/>
      </c>
      <c r="AK132" s="41"/>
      <c r="AL132" s="41" t="str">
        <f t="shared" si="9"/>
        <v>00</v>
      </c>
      <c r="AM132" s="41" t="str">
        <f t="shared" si="10"/>
        <v>00</v>
      </c>
      <c r="AN132" s="41" t="str">
        <f t="shared" si="11"/>
        <v>00</v>
      </c>
      <c r="AO132" s="41" t="str">
        <f t="shared" si="12"/>
        <v>00</v>
      </c>
      <c r="AQ132" t="str">
        <f t="shared" si="7"/>
        <v/>
      </c>
    </row>
    <row r="133" spans="1:43">
      <c r="B133" s="103"/>
      <c r="C133" s="28">
        <f t="shared" si="8"/>
        <v>62</v>
      </c>
      <c r="D133" s="96">
        <f t="shared" si="19"/>
        <v>0</v>
      </c>
      <c r="E133" s="96">
        <f t="shared" si="19"/>
        <v>0</v>
      </c>
      <c r="F133" s="96">
        <f t="shared" si="19"/>
        <v>0</v>
      </c>
      <c r="G133" s="96">
        <f t="shared" si="19"/>
        <v>0</v>
      </c>
      <c r="H133" s="96">
        <f t="shared" si="19"/>
        <v>0</v>
      </c>
      <c r="I133" s="96">
        <f t="shared" si="19"/>
        <v>0</v>
      </c>
      <c r="J133" s="96">
        <f t="shared" si="19"/>
        <v>0</v>
      </c>
      <c r="K133" s="96">
        <f t="shared" si="19"/>
        <v>0</v>
      </c>
      <c r="L133" s="96">
        <f t="shared" si="19"/>
        <v>0</v>
      </c>
      <c r="M133" s="96">
        <f t="shared" si="19"/>
        <v>0</v>
      </c>
      <c r="N133" s="96">
        <f t="shared" si="19"/>
        <v>0</v>
      </c>
      <c r="O133" s="96">
        <f t="shared" si="19"/>
        <v>0</v>
      </c>
      <c r="P133" s="96">
        <f t="shared" si="19"/>
        <v>0</v>
      </c>
      <c r="Q133" s="96">
        <f t="shared" si="19"/>
        <v>0</v>
      </c>
      <c r="R133" s="96">
        <f t="shared" si="19"/>
        <v>0</v>
      </c>
      <c r="S133" s="96">
        <f t="shared" si="19"/>
        <v>0</v>
      </c>
      <c r="T133" s="96">
        <f t="shared" si="19"/>
        <v>0</v>
      </c>
      <c r="U133" s="96">
        <f t="shared" si="19"/>
        <v>0</v>
      </c>
      <c r="V133" s="96">
        <f t="shared" si="19"/>
        <v>0</v>
      </c>
      <c r="W133" s="96">
        <f t="shared" si="19"/>
        <v>0</v>
      </c>
      <c r="X133" s="96">
        <f t="shared" si="19"/>
        <v>0</v>
      </c>
      <c r="Y133" s="96">
        <f t="shared" si="19"/>
        <v>0</v>
      </c>
      <c r="Z133" s="96">
        <f t="shared" si="19"/>
        <v>0</v>
      </c>
      <c r="AA133" s="96">
        <f t="shared" si="19"/>
        <v>0</v>
      </c>
      <c r="AB133" s="96">
        <f t="shared" si="19"/>
        <v>0</v>
      </c>
      <c r="AC133" s="96">
        <f t="shared" si="19"/>
        <v>0</v>
      </c>
      <c r="AD133" s="96">
        <f t="shared" si="19"/>
        <v>0</v>
      </c>
      <c r="AE133" s="96">
        <f t="shared" si="19"/>
        <v>0</v>
      </c>
      <c r="AF133" s="96">
        <f t="shared" si="19"/>
        <v>0</v>
      </c>
      <c r="AG133" s="96">
        <f t="shared" si="19"/>
        <v>0</v>
      </c>
      <c r="AH133" s="96">
        <f t="shared" si="19"/>
        <v>0</v>
      </c>
      <c r="AI133" s="96">
        <f t="shared" si="19"/>
        <v>0</v>
      </c>
      <c r="AJ133" s="28" t="str">
        <f t="shared" si="6"/>
        <v/>
      </c>
      <c r="AK133" s="41"/>
      <c r="AL133" s="41" t="str">
        <f t="shared" si="9"/>
        <v>00</v>
      </c>
      <c r="AM133" s="41" t="str">
        <f t="shared" si="10"/>
        <v>00</v>
      </c>
      <c r="AN133" s="41" t="str">
        <f t="shared" si="11"/>
        <v>00</v>
      </c>
      <c r="AO133" s="41" t="str">
        <f t="shared" si="12"/>
        <v>00</v>
      </c>
      <c r="AQ133" t="str">
        <f t="shared" si="7"/>
        <v/>
      </c>
    </row>
    <row r="134" spans="1:43">
      <c r="B134" s="104"/>
      <c r="C134" s="28">
        <f t="shared" si="8"/>
        <v>63</v>
      </c>
      <c r="D134" s="96">
        <f t="shared" si="19"/>
        <v>0</v>
      </c>
      <c r="E134" s="96">
        <f t="shared" si="19"/>
        <v>0</v>
      </c>
      <c r="F134" s="96">
        <f t="shared" si="19"/>
        <v>0</v>
      </c>
      <c r="G134" s="96">
        <f t="shared" si="19"/>
        <v>0</v>
      </c>
      <c r="H134" s="96">
        <f t="shared" si="19"/>
        <v>0</v>
      </c>
      <c r="I134" s="96">
        <f t="shared" si="19"/>
        <v>0</v>
      </c>
      <c r="J134" s="96">
        <f t="shared" si="19"/>
        <v>0</v>
      </c>
      <c r="K134" s="96">
        <f t="shared" si="19"/>
        <v>0</v>
      </c>
      <c r="L134" s="96">
        <f t="shared" si="19"/>
        <v>0</v>
      </c>
      <c r="M134" s="96">
        <f t="shared" si="19"/>
        <v>0</v>
      </c>
      <c r="N134" s="96">
        <f t="shared" si="19"/>
        <v>0</v>
      </c>
      <c r="O134" s="96">
        <f t="shared" si="19"/>
        <v>0</v>
      </c>
      <c r="P134" s="96">
        <f t="shared" si="19"/>
        <v>0</v>
      </c>
      <c r="Q134" s="96">
        <f t="shared" si="19"/>
        <v>0</v>
      </c>
      <c r="R134" s="96">
        <f t="shared" si="19"/>
        <v>0</v>
      </c>
      <c r="S134" s="96">
        <f t="shared" si="19"/>
        <v>0</v>
      </c>
      <c r="T134" s="96">
        <f t="shared" si="19"/>
        <v>0</v>
      </c>
      <c r="U134" s="96">
        <f t="shared" si="19"/>
        <v>0</v>
      </c>
      <c r="V134" s="96">
        <f t="shared" si="19"/>
        <v>0</v>
      </c>
      <c r="W134" s="96">
        <f t="shared" si="19"/>
        <v>0</v>
      </c>
      <c r="X134" s="96">
        <f t="shared" si="19"/>
        <v>0</v>
      </c>
      <c r="Y134" s="96">
        <f t="shared" si="19"/>
        <v>0</v>
      </c>
      <c r="Z134" s="96">
        <f t="shared" si="19"/>
        <v>0</v>
      </c>
      <c r="AA134" s="96">
        <f t="shared" si="19"/>
        <v>0</v>
      </c>
      <c r="AB134" s="96">
        <f t="shared" si="19"/>
        <v>0</v>
      </c>
      <c r="AC134" s="96">
        <f t="shared" si="19"/>
        <v>0</v>
      </c>
      <c r="AD134" s="96">
        <f t="shared" si="19"/>
        <v>0</v>
      </c>
      <c r="AE134" s="96">
        <f t="shared" si="19"/>
        <v>0</v>
      </c>
      <c r="AF134" s="96">
        <f t="shared" si="19"/>
        <v>0</v>
      </c>
      <c r="AG134" s="96">
        <f t="shared" si="19"/>
        <v>0</v>
      </c>
      <c r="AH134" s="96">
        <f t="shared" si="19"/>
        <v>0</v>
      </c>
      <c r="AI134" s="96">
        <f>IF(AI69=1,1,0)</f>
        <v>0</v>
      </c>
      <c r="AJ134" s="28" t="str">
        <f t="shared" si="6"/>
        <v/>
      </c>
      <c r="AK134" s="41"/>
      <c r="AL134" s="41" t="str">
        <f t="shared" si="9"/>
        <v>00</v>
      </c>
      <c r="AM134" s="41" t="str">
        <f t="shared" si="10"/>
        <v>00</v>
      </c>
      <c r="AN134" s="41" t="str">
        <f t="shared" si="11"/>
        <v>00</v>
      </c>
      <c r="AO134" s="41" t="str">
        <f t="shared" si="12"/>
        <v>00</v>
      </c>
      <c r="AQ134" t="str">
        <f t="shared" si="7"/>
        <v/>
      </c>
    </row>
    <row r="135" spans="1:43">
      <c r="A135" s="37" t="s">
        <v>66</v>
      </c>
      <c r="B135" s="38"/>
      <c r="C135" s="38"/>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38"/>
    </row>
    <row r="136" spans="1:43">
      <c r="B136" s="105" t="str">
        <f ca="1">IF(B6&lt;&gt;"",B6,"")</f>
        <v>Table B_TDOOR</v>
      </c>
      <c r="C136" s="28">
        <f>IF(C6&lt;&gt;"",C6,"")</f>
        <v>0</v>
      </c>
      <c r="D136" s="96">
        <f t="shared" ref="D136:AI143" si="20">IF(OR(D6=0,D6=1),1,0)</f>
        <v>0</v>
      </c>
      <c r="E136" s="96">
        <f t="shared" si="20"/>
        <v>0</v>
      </c>
      <c r="F136" s="96">
        <f t="shared" si="20"/>
        <v>0</v>
      </c>
      <c r="G136" s="96">
        <f t="shared" si="20"/>
        <v>1</v>
      </c>
      <c r="H136" s="96">
        <f t="shared" si="20"/>
        <v>1</v>
      </c>
      <c r="I136" s="96">
        <f t="shared" si="20"/>
        <v>0</v>
      </c>
      <c r="J136" s="96">
        <f t="shared" si="20"/>
        <v>0</v>
      </c>
      <c r="K136" s="96">
        <f t="shared" si="20"/>
        <v>0</v>
      </c>
      <c r="L136" s="96">
        <f t="shared" si="20"/>
        <v>0</v>
      </c>
      <c r="M136" s="96">
        <f t="shared" si="20"/>
        <v>0</v>
      </c>
      <c r="N136" s="96">
        <f t="shared" si="20"/>
        <v>0</v>
      </c>
      <c r="O136" s="96">
        <f t="shared" si="20"/>
        <v>0</v>
      </c>
      <c r="P136" s="96">
        <f t="shared" si="20"/>
        <v>0</v>
      </c>
      <c r="Q136" s="96">
        <f t="shared" si="20"/>
        <v>0</v>
      </c>
      <c r="R136" s="96">
        <f t="shared" si="20"/>
        <v>0</v>
      </c>
      <c r="S136" s="96">
        <f t="shared" si="20"/>
        <v>0</v>
      </c>
      <c r="T136" s="96">
        <f t="shared" si="20"/>
        <v>0</v>
      </c>
      <c r="U136" s="96">
        <f t="shared" si="20"/>
        <v>0</v>
      </c>
      <c r="V136" s="96">
        <f t="shared" si="20"/>
        <v>0</v>
      </c>
      <c r="W136" s="96">
        <f t="shared" si="20"/>
        <v>0</v>
      </c>
      <c r="X136" s="96">
        <f t="shared" si="20"/>
        <v>0</v>
      </c>
      <c r="Y136" s="96">
        <f t="shared" si="20"/>
        <v>0</v>
      </c>
      <c r="Z136" s="96">
        <f t="shared" si="20"/>
        <v>0</v>
      </c>
      <c r="AA136" s="96">
        <f t="shared" si="20"/>
        <v>0</v>
      </c>
      <c r="AB136" s="96">
        <f t="shared" si="20"/>
        <v>0</v>
      </c>
      <c r="AC136" s="96">
        <f t="shared" si="20"/>
        <v>0</v>
      </c>
      <c r="AD136" s="96">
        <f t="shared" si="20"/>
        <v>1</v>
      </c>
      <c r="AE136" s="96">
        <f t="shared" si="20"/>
        <v>1</v>
      </c>
      <c r="AF136" s="96">
        <f t="shared" si="20"/>
        <v>1</v>
      </c>
      <c r="AG136" s="96">
        <f t="shared" si="20"/>
        <v>1</v>
      </c>
      <c r="AH136" s="96">
        <f t="shared" si="20"/>
        <v>0</v>
      </c>
      <c r="AI136" s="96">
        <f t="shared" si="20"/>
        <v>1</v>
      </c>
      <c r="AJ136" s="28" t="str">
        <f t="shared" ref="AJ136:AJ199" si="21">IF(AJ6&lt;&gt;"",AJ6,"")</f>
        <v>IG_OFF</v>
      </c>
      <c r="AK136" s="41"/>
      <c r="AL136" s="41" t="str">
        <f>BIN2HEX(AB136&amp;AC136&amp;AD136&amp;AE136&amp;AF136&amp;AG136&amp;AH136&amp;AI136,2)</f>
        <v>3D</v>
      </c>
      <c r="AM136" s="41" t="str">
        <f>BIN2HEX(T136&amp;U136&amp;V136&amp;W136&amp;X136&amp;Y136&amp;Z136&amp;AA136,2)</f>
        <v>00</v>
      </c>
      <c r="AN136" s="41" t="str">
        <f>BIN2HEX(L136&amp;M136&amp;N136&amp;O136&amp;P136&amp;Q136&amp;R136&amp;S136,2)</f>
        <v>00</v>
      </c>
      <c r="AO136" s="41" t="str">
        <f>BIN2HEX(D136&amp;E136&amp;F136&amp;G136&amp;H136&amp;I136&amp;J136&amp;K136,2)</f>
        <v>18</v>
      </c>
      <c r="AQ136" t="str">
        <f t="shared" ref="AQ136:AQ199" si="22">IF(AJ136="","","    (U4)0x"&amp;AO136&amp;AN136&amp;AM136&amp;AL136&amp;"U"&amp;IF(AJ137=""," ",",")&amp;REPT(" ",59)&amp;"/* "&amp;IF(C136&lt;10,"0"&amp;C136,C136)&amp;" "&amp;AJ136&amp;REPT(" ",47-LEN(AJ136))&amp;" */")</f>
        <v xml:space="preserve">    (U4)0x1800003DU,                                                           /* 00 IG_OFF                                          */</v>
      </c>
    </row>
    <row r="137" spans="1:43">
      <c r="B137" s="103"/>
      <c r="C137" s="28">
        <f t="shared" ref="C137:C199" si="23">IF(C7&lt;&gt;"",C7,"")</f>
        <v>1</v>
      </c>
      <c r="D137" s="96">
        <f t="shared" si="20"/>
        <v>0</v>
      </c>
      <c r="E137" s="96">
        <f t="shared" si="20"/>
        <v>0</v>
      </c>
      <c r="F137" s="96">
        <f t="shared" si="20"/>
        <v>0</v>
      </c>
      <c r="G137" s="96">
        <f t="shared" si="20"/>
        <v>1</v>
      </c>
      <c r="H137" s="96">
        <f t="shared" si="20"/>
        <v>1</v>
      </c>
      <c r="I137" s="96">
        <f t="shared" si="20"/>
        <v>0</v>
      </c>
      <c r="J137" s="96">
        <f t="shared" si="20"/>
        <v>0</v>
      </c>
      <c r="K137" s="96">
        <f t="shared" si="20"/>
        <v>0</v>
      </c>
      <c r="L137" s="96">
        <f t="shared" si="20"/>
        <v>0</v>
      </c>
      <c r="M137" s="96">
        <f t="shared" si="20"/>
        <v>0</v>
      </c>
      <c r="N137" s="96">
        <f t="shared" si="20"/>
        <v>0</v>
      </c>
      <c r="O137" s="96">
        <f t="shared" si="20"/>
        <v>0</v>
      </c>
      <c r="P137" s="96">
        <f t="shared" si="20"/>
        <v>0</v>
      </c>
      <c r="Q137" s="96">
        <f t="shared" si="20"/>
        <v>0</v>
      </c>
      <c r="R137" s="96">
        <f t="shared" si="20"/>
        <v>0</v>
      </c>
      <c r="S137" s="96">
        <f t="shared" si="20"/>
        <v>0</v>
      </c>
      <c r="T137" s="96">
        <f t="shared" si="20"/>
        <v>0</v>
      </c>
      <c r="U137" s="96">
        <f t="shared" si="20"/>
        <v>0</v>
      </c>
      <c r="V137" s="96">
        <f t="shared" si="20"/>
        <v>0</v>
      </c>
      <c r="W137" s="96">
        <f t="shared" si="20"/>
        <v>0</v>
      </c>
      <c r="X137" s="96">
        <f t="shared" si="20"/>
        <v>0</v>
      </c>
      <c r="Y137" s="96">
        <f t="shared" si="20"/>
        <v>0</v>
      </c>
      <c r="Z137" s="96">
        <f t="shared" si="20"/>
        <v>0</v>
      </c>
      <c r="AA137" s="96">
        <f t="shared" si="20"/>
        <v>0</v>
      </c>
      <c r="AB137" s="96">
        <f t="shared" si="20"/>
        <v>0</v>
      </c>
      <c r="AC137" s="96">
        <f t="shared" si="20"/>
        <v>0</v>
      </c>
      <c r="AD137" s="96">
        <f t="shared" si="20"/>
        <v>1</v>
      </c>
      <c r="AE137" s="96">
        <f t="shared" si="20"/>
        <v>1</v>
      </c>
      <c r="AF137" s="96">
        <f t="shared" si="20"/>
        <v>1</v>
      </c>
      <c r="AG137" s="96">
        <f t="shared" si="20"/>
        <v>0</v>
      </c>
      <c r="AH137" s="96">
        <f t="shared" si="20"/>
        <v>0</v>
      </c>
      <c r="AI137" s="96">
        <f t="shared" si="20"/>
        <v>1</v>
      </c>
      <c r="AJ137" s="28" t="str">
        <f t="shared" si="21"/>
        <v>IG_OFF</v>
      </c>
      <c r="AK137" s="41"/>
      <c r="AL137" s="41" t="str">
        <f t="shared" ref="AL137:AL199" si="24">BIN2HEX(AB137&amp;AC137&amp;AD137&amp;AE137&amp;AF137&amp;AG137&amp;AH137&amp;AI137,2)</f>
        <v>39</v>
      </c>
      <c r="AM137" s="41" t="str">
        <f t="shared" ref="AM137:AM199" si="25">BIN2HEX(T137&amp;U137&amp;V137&amp;W137&amp;X137&amp;Y137&amp;Z137&amp;AA137,2)</f>
        <v>00</v>
      </c>
      <c r="AN137" s="41" t="str">
        <f t="shared" ref="AN137:AN199" si="26">BIN2HEX(L137&amp;M137&amp;N137&amp;O137&amp;P137&amp;Q137&amp;R137&amp;S137,2)</f>
        <v>00</v>
      </c>
      <c r="AO137" s="41" t="str">
        <f t="shared" ref="AO137:AO199" si="27">BIN2HEX(D137&amp;E137&amp;F137&amp;G137&amp;H137&amp;I137&amp;J137&amp;K137,2)</f>
        <v>18</v>
      </c>
      <c r="AQ137" t="str">
        <f t="shared" si="22"/>
        <v xml:space="preserve">    (U4)0x18000039U,                                                           /* 01 IG_OFF                                          */</v>
      </c>
    </row>
    <row r="138" spans="1:43">
      <c r="B138" s="103"/>
      <c r="C138" s="28">
        <f t="shared" si="23"/>
        <v>2</v>
      </c>
      <c r="D138" s="96">
        <f t="shared" si="20"/>
        <v>0</v>
      </c>
      <c r="E138" s="96">
        <f t="shared" si="20"/>
        <v>0</v>
      </c>
      <c r="F138" s="96">
        <f t="shared" si="20"/>
        <v>0</v>
      </c>
      <c r="G138" s="96">
        <f t="shared" si="20"/>
        <v>1</v>
      </c>
      <c r="H138" s="96">
        <f t="shared" si="20"/>
        <v>1</v>
      </c>
      <c r="I138" s="96">
        <f t="shared" si="20"/>
        <v>0</v>
      </c>
      <c r="J138" s="96">
        <f t="shared" si="20"/>
        <v>0</v>
      </c>
      <c r="K138" s="96">
        <f t="shared" si="20"/>
        <v>0</v>
      </c>
      <c r="L138" s="96">
        <f t="shared" si="20"/>
        <v>0</v>
      </c>
      <c r="M138" s="96">
        <f t="shared" si="20"/>
        <v>0</v>
      </c>
      <c r="N138" s="96">
        <f t="shared" si="20"/>
        <v>0</v>
      </c>
      <c r="O138" s="96">
        <f t="shared" si="20"/>
        <v>0</v>
      </c>
      <c r="P138" s="96">
        <f t="shared" si="20"/>
        <v>0</v>
      </c>
      <c r="Q138" s="96">
        <f t="shared" si="20"/>
        <v>0</v>
      </c>
      <c r="R138" s="96">
        <f t="shared" si="20"/>
        <v>0</v>
      </c>
      <c r="S138" s="96">
        <f t="shared" si="20"/>
        <v>0</v>
      </c>
      <c r="T138" s="96">
        <f t="shared" si="20"/>
        <v>0</v>
      </c>
      <c r="U138" s="96">
        <f t="shared" si="20"/>
        <v>0</v>
      </c>
      <c r="V138" s="96">
        <f t="shared" si="20"/>
        <v>0</v>
      </c>
      <c r="W138" s="96">
        <f t="shared" si="20"/>
        <v>0</v>
      </c>
      <c r="X138" s="96">
        <f t="shared" si="20"/>
        <v>0</v>
      </c>
      <c r="Y138" s="96">
        <f t="shared" si="20"/>
        <v>0</v>
      </c>
      <c r="Z138" s="96">
        <f t="shared" si="20"/>
        <v>0</v>
      </c>
      <c r="AA138" s="96">
        <f t="shared" si="20"/>
        <v>0</v>
      </c>
      <c r="AB138" s="96">
        <f t="shared" si="20"/>
        <v>0</v>
      </c>
      <c r="AC138" s="96">
        <f t="shared" si="20"/>
        <v>0</v>
      </c>
      <c r="AD138" s="96">
        <f t="shared" si="20"/>
        <v>1</v>
      </c>
      <c r="AE138" s="96">
        <f t="shared" si="20"/>
        <v>0</v>
      </c>
      <c r="AF138" s="96">
        <f t="shared" si="20"/>
        <v>1</v>
      </c>
      <c r="AG138" s="96">
        <f t="shared" si="20"/>
        <v>0</v>
      </c>
      <c r="AH138" s="96">
        <f t="shared" si="20"/>
        <v>0</v>
      </c>
      <c r="AI138" s="96">
        <f t="shared" si="20"/>
        <v>1</v>
      </c>
      <c r="AJ138" s="28" t="str">
        <f t="shared" si="21"/>
        <v>IG_OFF_ON</v>
      </c>
      <c r="AK138" s="41"/>
      <c r="AL138" s="41" t="str">
        <f t="shared" si="24"/>
        <v>29</v>
      </c>
      <c r="AM138" s="41" t="str">
        <f t="shared" si="25"/>
        <v>00</v>
      </c>
      <c r="AN138" s="41" t="str">
        <f t="shared" si="26"/>
        <v>00</v>
      </c>
      <c r="AO138" s="41" t="str">
        <f t="shared" si="27"/>
        <v>18</v>
      </c>
      <c r="AQ138" t="str">
        <f t="shared" si="22"/>
        <v xml:space="preserve">    (U4)0x18000029U,                                                           /* 02 IG_OFF_ON                                       */</v>
      </c>
    </row>
    <row r="139" spans="1:43">
      <c r="B139" s="103"/>
      <c r="C139" s="28">
        <f t="shared" si="23"/>
        <v>3</v>
      </c>
      <c r="D139" s="96">
        <f t="shared" si="20"/>
        <v>0</v>
      </c>
      <c r="E139" s="96">
        <f t="shared" si="20"/>
        <v>0</v>
      </c>
      <c r="F139" s="96">
        <f t="shared" si="20"/>
        <v>0</v>
      </c>
      <c r="G139" s="96">
        <f t="shared" si="20"/>
        <v>1</v>
      </c>
      <c r="H139" s="96">
        <f t="shared" si="20"/>
        <v>1</v>
      </c>
      <c r="I139" s="96">
        <f t="shared" si="20"/>
        <v>0</v>
      </c>
      <c r="J139" s="96">
        <f t="shared" si="20"/>
        <v>0</v>
      </c>
      <c r="K139" s="96">
        <f t="shared" si="20"/>
        <v>0</v>
      </c>
      <c r="L139" s="96">
        <f t="shared" si="20"/>
        <v>0</v>
      </c>
      <c r="M139" s="96">
        <f t="shared" si="20"/>
        <v>0</v>
      </c>
      <c r="N139" s="96">
        <f t="shared" si="20"/>
        <v>0</v>
      </c>
      <c r="O139" s="96">
        <f t="shared" si="20"/>
        <v>0</v>
      </c>
      <c r="P139" s="96">
        <f t="shared" si="20"/>
        <v>0</v>
      </c>
      <c r="Q139" s="96">
        <f t="shared" si="20"/>
        <v>0</v>
      </c>
      <c r="R139" s="96">
        <f t="shared" si="20"/>
        <v>0</v>
      </c>
      <c r="S139" s="96">
        <f t="shared" si="20"/>
        <v>0</v>
      </c>
      <c r="T139" s="96">
        <f t="shared" si="20"/>
        <v>0</v>
      </c>
      <c r="U139" s="96">
        <f t="shared" si="20"/>
        <v>0</v>
      </c>
      <c r="V139" s="96">
        <f t="shared" si="20"/>
        <v>0</v>
      </c>
      <c r="W139" s="96">
        <f t="shared" si="20"/>
        <v>0</v>
      </c>
      <c r="X139" s="96">
        <f t="shared" si="20"/>
        <v>0</v>
      </c>
      <c r="Y139" s="96">
        <f t="shared" si="20"/>
        <v>0</v>
      </c>
      <c r="Z139" s="96">
        <f t="shared" si="20"/>
        <v>0</v>
      </c>
      <c r="AA139" s="96">
        <f t="shared" si="20"/>
        <v>0</v>
      </c>
      <c r="AB139" s="96">
        <f t="shared" si="20"/>
        <v>0</v>
      </c>
      <c r="AC139" s="96">
        <f t="shared" si="20"/>
        <v>0</v>
      </c>
      <c r="AD139" s="96">
        <f t="shared" si="20"/>
        <v>1</v>
      </c>
      <c r="AE139" s="96">
        <f t="shared" si="20"/>
        <v>0</v>
      </c>
      <c r="AF139" s="96">
        <f t="shared" si="20"/>
        <v>1</v>
      </c>
      <c r="AG139" s="96">
        <f t="shared" si="20"/>
        <v>0</v>
      </c>
      <c r="AH139" s="96">
        <f t="shared" si="20"/>
        <v>0</v>
      </c>
      <c r="AI139" s="96">
        <f t="shared" si="20"/>
        <v>1</v>
      </c>
      <c r="AJ139" s="28" t="str">
        <f t="shared" si="21"/>
        <v>ON</v>
      </c>
      <c r="AK139" s="41"/>
      <c r="AL139" s="41" t="str">
        <f t="shared" si="24"/>
        <v>29</v>
      </c>
      <c r="AM139" s="41" t="str">
        <f t="shared" si="25"/>
        <v>00</v>
      </c>
      <c r="AN139" s="41" t="str">
        <f t="shared" si="26"/>
        <v>00</v>
      </c>
      <c r="AO139" s="41" t="str">
        <f t="shared" si="27"/>
        <v>18</v>
      </c>
      <c r="AQ139" t="str">
        <f t="shared" si="22"/>
        <v xml:space="preserve">    (U4)0x18000029U,                                                           /* 03 ON                                              */</v>
      </c>
    </row>
    <row r="140" spans="1:43">
      <c r="B140" s="103"/>
      <c r="C140" s="28">
        <f t="shared" si="23"/>
        <v>4</v>
      </c>
      <c r="D140" s="96">
        <f t="shared" si="20"/>
        <v>0</v>
      </c>
      <c r="E140" s="96">
        <f t="shared" si="20"/>
        <v>0</v>
      </c>
      <c r="F140" s="96">
        <f t="shared" si="20"/>
        <v>0</v>
      </c>
      <c r="G140" s="96">
        <f t="shared" si="20"/>
        <v>1</v>
      </c>
      <c r="H140" s="96">
        <f t="shared" si="20"/>
        <v>1</v>
      </c>
      <c r="I140" s="96">
        <f t="shared" si="20"/>
        <v>0</v>
      </c>
      <c r="J140" s="96">
        <f t="shared" si="20"/>
        <v>0</v>
      </c>
      <c r="K140" s="96">
        <f t="shared" si="20"/>
        <v>0</v>
      </c>
      <c r="L140" s="96">
        <f t="shared" si="20"/>
        <v>0</v>
      </c>
      <c r="M140" s="96">
        <f t="shared" si="20"/>
        <v>0</v>
      </c>
      <c r="N140" s="96">
        <f t="shared" si="20"/>
        <v>0</v>
      </c>
      <c r="O140" s="96">
        <f t="shared" si="20"/>
        <v>0</v>
      </c>
      <c r="P140" s="96">
        <f t="shared" si="20"/>
        <v>0</v>
      </c>
      <c r="Q140" s="96">
        <f t="shared" si="20"/>
        <v>0</v>
      </c>
      <c r="R140" s="96">
        <f t="shared" si="20"/>
        <v>0</v>
      </c>
      <c r="S140" s="96">
        <f t="shared" si="20"/>
        <v>0</v>
      </c>
      <c r="T140" s="96">
        <f t="shared" si="20"/>
        <v>0</v>
      </c>
      <c r="U140" s="96">
        <f t="shared" si="20"/>
        <v>0</v>
      </c>
      <c r="V140" s="96">
        <f t="shared" si="20"/>
        <v>0</v>
      </c>
      <c r="W140" s="96">
        <f t="shared" si="20"/>
        <v>0</v>
      </c>
      <c r="X140" s="96">
        <f t="shared" si="20"/>
        <v>0</v>
      </c>
      <c r="Y140" s="96">
        <f t="shared" si="20"/>
        <v>0</v>
      </c>
      <c r="Z140" s="96">
        <f t="shared" si="20"/>
        <v>0</v>
      </c>
      <c r="AA140" s="96">
        <f t="shared" si="20"/>
        <v>0</v>
      </c>
      <c r="AB140" s="96">
        <f t="shared" si="20"/>
        <v>0</v>
      </c>
      <c r="AC140" s="96">
        <f t="shared" si="20"/>
        <v>0</v>
      </c>
      <c r="AD140" s="96">
        <f t="shared" si="20"/>
        <v>1</v>
      </c>
      <c r="AE140" s="96">
        <f t="shared" si="20"/>
        <v>0</v>
      </c>
      <c r="AF140" s="96">
        <f t="shared" si="20"/>
        <v>1</v>
      </c>
      <c r="AG140" s="96">
        <f t="shared" si="20"/>
        <v>0</v>
      </c>
      <c r="AH140" s="96">
        <f t="shared" si="20"/>
        <v>0</v>
      </c>
      <c r="AI140" s="96">
        <f t="shared" si="20"/>
        <v>1</v>
      </c>
      <c r="AJ140" s="28" t="str">
        <f t="shared" si="21"/>
        <v>IG_OFF</v>
      </c>
      <c r="AK140" s="41"/>
      <c r="AL140" s="41" t="str">
        <f t="shared" si="24"/>
        <v>29</v>
      </c>
      <c r="AM140" s="41" t="str">
        <f t="shared" si="25"/>
        <v>00</v>
      </c>
      <c r="AN140" s="41" t="str">
        <f t="shared" si="26"/>
        <v>00</v>
      </c>
      <c r="AO140" s="41" t="str">
        <f t="shared" si="27"/>
        <v>18</v>
      </c>
      <c r="AQ140" t="str">
        <f t="shared" si="22"/>
        <v xml:space="preserve">    (U4)0x18000029U,                                                           /* 04 IG_OFF                                          */</v>
      </c>
    </row>
    <row r="141" spans="1:43">
      <c r="B141" s="103"/>
      <c r="C141" s="28">
        <f t="shared" si="23"/>
        <v>5</v>
      </c>
      <c r="D141" s="96">
        <f t="shared" si="20"/>
        <v>0</v>
      </c>
      <c r="E141" s="96">
        <f t="shared" si="20"/>
        <v>0</v>
      </c>
      <c r="F141" s="96">
        <f t="shared" si="20"/>
        <v>0</v>
      </c>
      <c r="G141" s="96">
        <f t="shared" si="20"/>
        <v>1</v>
      </c>
      <c r="H141" s="96">
        <f t="shared" si="20"/>
        <v>1</v>
      </c>
      <c r="I141" s="96">
        <f t="shared" si="20"/>
        <v>0</v>
      </c>
      <c r="J141" s="96">
        <f t="shared" si="20"/>
        <v>0</v>
      </c>
      <c r="K141" s="96">
        <f t="shared" si="20"/>
        <v>0</v>
      </c>
      <c r="L141" s="96">
        <f t="shared" si="20"/>
        <v>0</v>
      </c>
      <c r="M141" s="96">
        <f t="shared" si="20"/>
        <v>0</v>
      </c>
      <c r="N141" s="96">
        <f t="shared" si="20"/>
        <v>0</v>
      </c>
      <c r="O141" s="96">
        <f t="shared" si="20"/>
        <v>0</v>
      </c>
      <c r="P141" s="96">
        <f t="shared" si="20"/>
        <v>0</v>
      </c>
      <c r="Q141" s="96">
        <f t="shared" si="20"/>
        <v>0</v>
      </c>
      <c r="R141" s="96">
        <f t="shared" si="20"/>
        <v>0</v>
      </c>
      <c r="S141" s="96">
        <f t="shared" si="20"/>
        <v>0</v>
      </c>
      <c r="T141" s="96">
        <f t="shared" si="20"/>
        <v>0</v>
      </c>
      <c r="U141" s="96">
        <f t="shared" si="20"/>
        <v>0</v>
      </c>
      <c r="V141" s="96">
        <f t="shared" si="20"/>
        <v>0</v>
      </c>
      <c r="W141" s="96">
        <f t="shared" si="20"/>
        <v>0</v>
      </c>
      <c r="X141" s="96">
        <f t="shared" si="20"/>
        <v>0</v>
      </c>
      <c r="Y141" s="96">
        <f t="shared" si="20"/>
        <v>0</v>
      </c>
      <c r="Z141" s="96">
        <f t="shared" si="20"/>
        <v>0</v>
      </c>
      <c r="AA141" s="96">
        <f t="shared" si="20"/>
        <v>0</v>
      </c>
      <c r="AB141" s="96">
        <f t="shared" si="20"/>
        <v>0</v>
      </c>
      <c r="AC141" s="96">
        <f t="shared" si="20"/>
        <v>0</v>
      </c>
      <c r="AD141" s="96">
        <f t="shared" si="20"/>
        <v>1</v>
      </c>
      <c r="AE141" s="96">
        <f t="shared" si="20"/>
        <v>0</v>
      </c>
      <c r="AF141" s="96">
        <f t="shared" si="20"/>
        <v>1</v>
      </c>
      <c r="AG141" s="96">
        <f t="shared" si="20"/>
        <v>0</v>
      </c>
      <c r="AH141" s="96">
        <f t="shared" si="20"/>
        <v>0</v>
      </c>
      <c r="AI141" s="96">
        <f t="shared" si="20"/>
        <v>1</v>
      </c>
      <c r="AJ141" s="28" t="str">
        <f t="shared" si="21"/>
        <v>IG_OFF_ON</v>
      </c>
      <c r="AK141" s="41"/>
      <c r="AL141" s="41" t="str">
        <f t="shared" si="24"/>
        <v>29</v>
      </c>
      <c r="AM141" s="41" t="str">
        <f t="shared" si="25"/>
        <v>00</v>
      </c>
      <c r="AN141" s="41" t="str">
        <f t="shared" si="26"/>
        <v>00</v>
      </c>
      <c r="AO141" s="41" t="str">
        <f t="shared" si="27"/>
        <v>18</v>
      </c>
      <c r="AQ141" t="str">
        <f t="shared" si="22"/>
        <v xml:space="preserve">    (U4)0x18000029U,                                                           /* 05 IG_OFF_ON                                       */</v>
      </c>
    </row>
    <row r="142" spans="1:43">
      <c r="B142" s="103"/>
      <c r="C142" s="28">
        <f t="shared" si="23"/>
        <v>6</v>
      </c>
      <c r="D142" s="96">
        <f t="shared" si="20"/>
        <v>0</v>
      </c>
      <c r="E142" s="96">
        <f t="shared" si="20"/>
        <v>0</v>
      </c>
      <c r="F142" s="96">
        <f t="shared" si="20"/>
        <v>0</v>
      </c>
      <c r="G142" s="96">
        <f t="shared" si="20"/>
        <v>1</v>
      </c>
      <c r="H142" s="96">
        <f t="shared" si="20"/>
        <v>1</v>
      </c>
      <c r="I142" s="96">
        <f t="shared" si="20"/>
        <v>0</v>
      </c>
      <c r="J142" s="96">
        <f t="shared" si="20"/>
        <v>0</v>
      </c>
      <c r="K142" s="96">
        <f t="shared" si="20"/>
        <v>0</v>
      </c>
      <c r="L142" s="96">
        <f t="shared" si="20"/>
        <v>0</v>
      </c>
      <c r="M142" s="96">
        <f t="shared" si="20"/>
        <v>0</v>
      </c>
      <c r="N142" s="96">
        <f t="shared" si="20"/>
        <v>0</v>
      </c>
      <c r="O142" s="96">
        <f t="shared" si="20"/>
        <v>0</v>
      </c>
      <c r="P142" s="96">
        <f t="shared" si="20"/>
        <v>0</v>
      </c>
      <c r="Q142" s="96">
        <f t="shared" si="20"/>
        <v>0</v>
      </c>
      <c r="R142" s="96">
        <f t="shared" si="20"/>
        <v>0</v>
      </c>
      <c r="S142" s="96">
        <f t="shared" si="20"/>
        <v>0</v>
      </c>
      <c r="T142" s="96">
        <f t="shared" si="20"/>
        <v>0</v>
      </c>
      <c r="U142" s="96">
        <f t="shared" si="20"/>
        <v>0</v>
      </c>
      <c r="V142" s="96">
        <f t="shared" si="20"/>
        <v>0</v>
      </c>
      <c r="W142" s="96">
        <f t="shared" si="20"/>
        <v>0</v>
      </c>
      <c r="X142" s="96">
        <f t="shared" si="20"/>
        <v>0</v>
      </c>
      <c r="Y142" s="96">
        <f t="shared" si="20"/>
        <v>0</v>
      </c>
      <c r="Z142" s="96">
        <f t="shared" si="20"/>
        <v>0</v>
      </c>
      <c r="AA142" s="96">
        <f t="shared" si="20"/>
        <v>0</v>
      </c>
      <c r="AB142" s="96">
        <f t="shared" si="20"/>
        <v>0</v>
      </c>
      <c r="AC142" s="96">
        <f t="shared" si="20"/>
        <v>0</v>
      </c>
      <c r="AD142" s="96">
        <f t="shared" si="20"/>
        <v>1</v>
      </c>
      <c r="AE142" s="96">
        <f t="shared" si="20"/>
        <v>0</v>
      </c>
      <c r="AF142" s="96">
        <f t="shared" si="20"/>
        <v>1</v>
      </c>
      <c r="AG142" s="96">
        <f t="shared" si="20"/>
        <v>0</v>
      </c>
      <c r="AH142" s="96">
        <f t="shared" si="20"/>
        <v>0</v>
      </c>
      <c r="AI142" s="96">
        <f t="shared" si="20"/>
        <v>1</v>
      </c>
      <c r="AJ142" s="28" t="str">
        <f t="shared" si="21"/>
        <v>ON</v>
      </c>
      <c r="AK142" s="41"/>
      <c r="AL142" s="41" t="str">
        <f t="shared" si="24"/>
        <v>29</v>
      </c>
      <c r="AM142" s="41" t="str">
        <f t="shared" si="25"/>
        <v>00</v>
      </c>
      <c r="AN142" s="41" t="str">
        <f t="shared" si="26"/>
        <v>00</v>
      </c>
      <c r="AO142" s="41" t="str">
        <f t="shared" si="27"/>
        <v>18</v>
      </c>
      <c r="AQ142" t="str">
        <f t="shared" si="22"/>
        <v xml:space="preserve">    (U4)0x18000029U,                                                           /* 06 ON                                              */</v>
      </c>
    </row>
    <row r="143" spans="1:43">
      <c r="B143" s="103"/>
      <c r="C143" s="28">
        <f t="shared" si="23"/>
        <v>7</v>
      </c>
      <c r="D143" s="96">
        <f t="shared" si="20"/>
        <v>0</v>
      </c>
      <c r="E143" s="96">
        <f t="shared" si="20"/>
        <v>0</v>
      </c>
      <c r="F143" s="96">
        <f t="shared" si="20"/>
        <v>0</v>
      </c>
      <c r="G143" s="96">
        <f t="shared" si="20"/>
        <v>1</v>
      </c>
      <c r="H143" s="96">
        <f t="shared" si="20"/>
        <v>0</v>
      </c>
      <c r="I143" s="96">
        <f t="shared" si="20"/>
        <v>0</v>
      </c>
      <c r="J143" s="96">
        <f t="shared" si="20"/>
        <v>0</v>
      </c>
      <c r="K143" s="96">
        <f t="shared" si="20"/>
        <v>0</v>
      </c>
      <c r="L143" s="96">
        <f t="shared" si="20"/>
        <v>0</v>
      </c>
      <c r="M143" s="96">
        <f t="shared" si="20"/>
        <v>0</v>
      </c>
      <c r="N143" s="96">
        <f t="shared" si="20"/>
        <v>0</v>
      </c>
      <c r="O143" s="96">
        <f t="shared" si="20"/>
        <v>0</v>
      </c>
      <c r="P143" s="96">
        <f t="shared" si="20"/>
        <v>0</v>
      </c>
      <c r="Q143" s="96">
        <f t="shared" si="20"/>
        <v>0</v>
      </c>
      <c r="R143" s="96">
        <f t="shared" si="20"/>
        <v>0</v>
      </c>
      <c r="S143" s="96">
        <f t="shared" si="20"/>
        <v>0</v>
      </c>
      <c r="T143" s="96">
        <f t="shared" si="20"/>
        <v>0</v>
      </c>
      <c r="U143" s="96">
        <f t="shared" si="20"/>
        <v>0</v>
      </c>
      <c r="V143" s="96">
        <f t="shared" si="20"/>
        <v>0</v>
      </c>
      <c r="W143" s="96">
        <f t="shared" si="20"/>
        <v>0</v>
      </c>
      <c r="X143" s="96">
        <f t="shared" si="20"/>
        <v>0</v>
      </c>
      <c r="Y143" s="96">
        <f t="shared" si="20"/>
        <v>0</v>
      </c>
      <c r="Z143" s="96">
        <f t="shared" si="20"/>
        <v>0</v>
      </c>
      <c r="AA143" s="96">
        <f t="shared" si="20"/>
        <v>0</v>
      </c>
      <c r="AB143" s="96">
        <f t="shared" si="20"/>
        <v>0</v>
      </c>
      <c r="AC143" s="96">
        <f t="shared" si="20"/>
        <v>0</v>
      </c>
      <c r="AD143" s="96">
        <f t="shared" si="20"/>
        <v>1</v>
      </c>
      <c r="AE143" s="96">
        <f t="shared" si="20"/>
        <v>1</v>
      </c>
      <c r="AF143" s="96">
        <f t="shared" si="20"/>
        <v>1</v>
      </c>
      <c r="AG143" s="96">
        <f t="shared" si="20"/>
        <v>1</v>
      </c>
      <c r="AH143" s="96">
        <f t="shared" si="20"/>
        <v>1</v>
      </c>
      <c r="AI143" s="96">
        <f>IF(OR(AI13=0,AI13=1),1,0)</f>
        <v>0</v>
      </c>
      <c r="AJ143" s="28" t="str">
        <f t="shared" si="21"/>
        <v>STOP</v>
      </c>
      <c r="AK143" s="41"/>
      <c r="AL143" s="41" t="str">
        <f t="shared" si="24"/>
        <v>3E</v>
      </c>
      <c r="AM143" s="41" t="str">
        <f t="shared" si="25"/>
        <v>00</v>
      </c>
      <c r="AN143" s="41" t="str">
        <f t="shared" si="26"/>
        <v>00</v>
      </c>
      <c r="AO143" s="41" t="str">
        <f t="shared" si="27"/>
        <v>10</v>
      </c>
      <c r="AQ143" t="str">
        <f t="shared" si="22"/>
        <v xml:space="preserve">    (U4)0x1000003EU,                                                           /* 07 STOP                                            */</v>
      </c>
    </row>
    <row r="144" spans="1:43">
      <c r="B144" s="103"/>
      <c r="C144" s="28">
        <f t="shared" si="23"/>
        <v>8</v>
      </c>
      <c r="D144" s="96">
        <f t="shared" ref="D144:AI151" si="28">IF(OR(D14=0,D14=1),1,0)</f>
        <v>0</v>
      </c>
      <c r="E144" s="96">
        <f t="shared" si="28"/>
        <v>0</v>
      </c>
      <c r="F144" s="96">
        <f t="shared" si="28"/>
        <v>0</v>
      </c>
      <c r="G144" s="96">
        <f t="shared" si="28"/>
        <v>1</v>
      </c>
      <c r="H144" s="96">
        <f t="shared" si="28"/>
        <v>0</v>
      </c>
      <c r="I144" s="96">
        <f t="shared" si="28"/>
        <v>0</v>
      </c>
      <c r="J144" s="96">
        <f t="shared" si="28"/>
        <v>0</v>
      </c>
      <c r="K144" s="96">
        <f t="shared" si="28"/>
        <v>0</v>
      </c>
      <c r="L144" s="96">
        <f t="shared" si="28"/>
        <v>0</v>
      </c>
      <c r="M144" s="96">
        <f t="shared" si="28"/>
        <v>0</v>
      </c>
      <c r="N144" s="96">
        <f t="shared" si="28"/>
        <v>0</v>
      </c>
      <c r="O144" s="96">
        <f t="shared" si="28"/>
        <v>0</v>
      </c>
      <c r="P144" s="96">
        <f t="shared" si="28"/>
        <v>0</v>
      </c>
      <c r="Q144" s="96">
        <f t="shared" si="28"/>
        <v>0</v>
      </c>
      <c r="R144" s="96">
        <f t="shared" si="28"/>
        <v>0</v>
      </c>
      <c r="S144" s="96">
        <f t="shared" si="28"/>
        <v>0</v>
      </c>
      <c r="T144" s="96">
        <f t="shared" si="28"/>
        <v>0</v>
      </c>
      <c r="U144" s="96">
        <f t="shared" si="28"/>
        <v>0</v>
      </c>
      <c r="V144" s="96">
        <f t="shared" si="28"/>
        <v>0</v>
      </c>
      <c r="W144" s="96">
        <f t="shared" si="28"/>
        <v>0</v>
      </c>
      <c r="X144" s="96">
        <f t="shared" si="28"/>
        <v>0</v>
      </c>
      <c r="Y144" s="96">
        <f t="shared" si="28"/>
        <v>0</v>
      </c>
      <c r="Z144" s="96">
        <f t="shared" si="28"/>
        <v>0</v>
      </c>
      <c r="AA144" s="96">
        <f t="shared" si="28"/>
        <v>0</v>
      </c>
      <c r="AB144" s="96">
        <f t="shared" si="28"/>
        <v>0</v>
      </c>
      <c r="AC144" s="96">
        <f t="shared" si="28"/>
        <v>0</v>
      </c>
      <c r="AD144" s="96">
        <f t="shared" si="28"/>
        <v>1</v>
      </c>
      <c r="AE144" s="96">
        <f t="shared" si="28"/>
        <v>1</v>
      </c>
      <c r="AF144" s="96">
        <f t="shared" si="28"/>
        <v>1</v>
      </c>
      <c r="AG144" s="96">
        <f t="shared" si="28"/>
        <v>1</v>
      </c>
      <c r="AH144" s="96">
        <f t="shared" si="28"/>
        <v>1</v>
      </c>
      <c r="AI144" s="96">
        <f t="shared" si="28"/>
        <v>0</v>
      </c>
      <c r="AJ144" s="28" t="str">
        <f t="shared" si="21"/>
        <v>RUN</v>
      </c>
      <c r="AK144" s="41"/>
      <c r="AL144" s="41" t="str">
        <f t="shared" si="24"/>
        <v>3E</v>
      </c>
      <c r="AM144" s="41" t="str">
        <f t="shared" si="25"/>
        <v>00</v>
      </c>
      <c r="AN144" s="41" t="str">
        <f t="shared" si="26"/>
        <v>00</v>
      </c>
      <c r="AO144" s="41" t="str">
        <f t="shared" si="27"/>
        <v>10</v>
      </c>
      <c r="AQ144" t="str">
        <f t="shared" si="22"/>
        <v xml:space="preserve">    (U4)0x1000003EU,                                                           /* 08 RUN                                             */</v>
      </c>
    </row>
    <row r="145" spans="2:43">
      <c r="B145" s="103"/>
      <c r="C145" s="28">
        <f t="shared" si="23"/>
        <v>9</v>
      </c>
      <c r="D145" s="96">
        <f t="shared" si="28"/>
        <v>0</v>
      </c>
      <c r="E145" s="96">
        <f t="shared" si="28"/>
        <v>0</v>
      </c>
      <c r="F145" s="96">
        <f t="shared" si="28"/>
        <v>0</v>
      </c>
      <c r="G145" s="96">
        <f t="shared" si="28"/>
        <v>1</v>
      </c>
      <c r="H145" s="96">
        <f t="shared" si="28"/>
        <v>0</v>
      </c>
      <c r="I145" s="96">
        <f t="shared" si="28"/>
        <v>0</v>
      </c>
      <c r="J145" s="96">
        <f t="shared" si="28"/>
        <v>0</v>
      </c>
      <c r="K145" s="96">
        <f t="shared" si="28"/>
        <v>0</v>
      </c>
      <c r="L145" s="96">
        <f t="shared" si="28"/>
        <v>0</v>
      </c>
      <c r="M145" s="96">
        <f t="shared" si="28"/>
        <v>0</v>
      </c>
      <c r="N145" s="96">
        <f t="shared" si="28"/>
        <v>0</v>
      </c>
      <c r="O145" s="96">
        <f t="shared" si="28"/>
        <v>0</v>
      </c>
      <c r="P145" s="96">
        <f t="shared" si="28"/>
        <v>0</v>
      </c>
      <c r="Q145" s="96">
        <f t="shared" si="28"/>
        <v>0</v>
      </c>
      <c r="R145" s="96">
        <f t="shared" si="28"/>
        <v>0</v>
      </c>
      <c r="S145" s="96">
        <f t="shared" si="28"/>
        <v>0</v>
      </c>
      <c r="T145" s="96">
        <f t="shared" si="28"/>
        <v>0</v>
      </c>
      <c r="U145" s="96">
        <f t="shared" si="28"/>
        <v>0</v>
      </c>
      <c r="V145" s="96">
        <f t="shared" si="28"/>
        <v>0</v>
      </c>
      <c r="W145" s="96">
        <f t="shared" si="28"/>
        <v>0</v>
      </c>
      <c r="X145" s="96">
        <f t="shared" si="28"/>
        <v>0</v>
      </c>
      <c r="Y145" s="96">
        <f t="shared" si="28"/>
        <v>0</v>
      </c>
      <c r="Z145" s="96">
        <f t="shared" si="28"/>
        <v>0</v>
      </c>
      <c r="AA145" s="96">
        <f t="shared" si="28"/>
        <v>0</v>
      </c>
      <c r="AB145" s="96">
        <f t="shared" si="28"/>
        <v>0</v>
      </c>
      <c r="AC145" s="96">
        <f t="shared" si="28"/>
        <v>0</v>
      </c>
      <c r="AD145" s="96">
        <f t="shared" si="28"/>
        <v>1</v>
      </c>
      <c r="AE145" s="96">
        <f t="shared" si="28"/>
        <v>1</v>
      </c>
      <c r="AF145" s="96">
        <f t="shared" si="28"/>
        <v>1</v>
      </c>
      <c r="AG145" s="96">
        <f t="shared" si="28"/>
        <v>0</v>
      </c>
      <c r="AH145" s="96">
        <f t="shared" si="28"/>
        <v>1</v>
      </c>
      <c r="AI145" s="96">
        <f t="shared" si="28"/>
        <v>0</v>
      </c>
      <c r="AJ145" s="28" t="str">
        <f t="shared" si="21"/>
        <v>STOP</v>
      </c>
      <c r="AK145" s="41"/>
      <c r="AL145" s="41" t="str">
        <f t="shared" si="24"/>
        <v>3A</v>
      </c>
      <c r="AM145" s="41" t="str">
        <f t="shared" si="25"/>
        <v>00</v>
      </c>
      <c r="AN145" s="41" t="str">
        <f t="shared" si="26"/>
        <v>00</v>
      </c>
      <c r="AO145" s="41" t="str">
        <f t="shared" si="27"/>
        <v>10</v>
      </c>
      <c r="AQ145" t="str">
        <f t="shared" si="22"/>
        <v xml:space="preserve">    (U4)0x1000003AU,                                                           /* 09 STOP                                            */</v>
      </c>
    </row>
    <row r="146" spans="2:43">
      <c r="B146" s="103"/>
      <c r="C146" s="28">
        <f t="shared" si="23"/>
        <v>10</v>
      </c>
      <c r="D146" s="96">
        <f t="shared" si="28"/>
        <v>0</v>
      </c>
      <c r="E146" s="96">
        <f t="shared" si="28"/>
        <v>0</v>
      </c>
      <c r="F146" s="96">
        <f t="shared" si="28"/>
        <v>0</v>
      </c>
      <c r="G146" s="96">
        <f t="shared" si="28"/>
        <v>1</v>
      </c>
      <c r="H146" s="96">
        <f t="shared" si="28"/>
        <v>0</v>
      </c>
      <c r="I146" s="96">
        <f t="shared" si="28"/>
        <v>0</v>
      </c>
      <c r="J146" s="96">
        <f t="shared" si="28"/>
        <v>0</v>
      </c>
      <c r="K146" s="96">
        <f t="shared" si="28"/>
        <v>0</v>
      </c>
      <c r="L146" s="96">
        <f t="shared" si="28"/>
        <v>0</v>
      </c>
      <c r="M146" s="96">
        <f t="shared" si="28"/>
        <v>0</v>
      </c>
      <c r="N146" s="96">
        <f t="shared" si="28"/>
        <v>0</v>
      </c>
      <c r="O146" s="96">
        <f t="shared" si="28"/>
        <v>0</v>
      </c>
      <c r="P146" s="96">
        <f t="shared" si="28"/>
        <v>0</v>
      </c>
      <c r="Q146" s="96">
        <f t="shared" si="28"/>
        <v>0</v>
      </c>
      <c r="R146" s="96">
        <f t="shared" si="28"/>
        <v>0</v>
      </c>
      <c r="S146" s="96">
        <f t="shared" si="28"/>
        <v>0</v>
      </c>
      <c r="T146" s="96">
        <f t="shared" si="28"/>
        <v>0</v>
      </c>
      <c r="U146" s="96">
        <f t="shared" si="28"/>
        <v>0</v>
      </c>
      <c r="V146" s="96">
        <f t="shared" si="28"/>
        <v>0</v>
      </c>
      <c r="W146" s="96">
        <f t="shared" si="28"/>
        <v>0</v>
      </c>
      <c r="X146" s="96">
        <f t="shared" si="28"/>
        <v>0</v>
      </c>
      <c r="Y146" s="96">
        <f t="shared" si="28"/>
        <v>0</v>
      </c>
      <c r="Z146" s="96">
        <f t="shared" si="28"/>
        <v>0</v>
      </c>
      <c r="AA146" s="96">
        <f t="shared" si="28"/>
        <v>0</v>
      </c>
      <c r="AB146" s="96">
        <f t="shared" si="28"/>
        <v>0</v>
      </c>
      <c r="AC146" s="96">
        <f t="shared" si="28"/>
        <v>0</v>
      </c>
      <c r="AD146" s="96">
        <f t="shared" si="28"/>
        <v>1</v>
      </c>
      <c r="AE146" s="96">
        <f t="shared" si="28"/>
        <v>1</v>
      </c>
      <c r="AF146" s="96">
        <f t="shared" si="28"/>
        <v>1</v>
      </c>
      <c r="AG146" s="96">
        <f t="shared" si="28"/>
        <v>0</v>
      </c>
      <c r="AH146" s="96">
        <f t="shared" si="28"/>
        <v>1</v>
      </c>
      <c r="AI146" s="96">
        <f t="shared" si="28"/>
        <v>0</v>
      </c>
      <c r="AJ146" s="28" t="str">
        <f t="shared" si="21"/>
        <v>RUN</v>
      </c>
      <c r="AK146" s="41"/>
      <c r="AL146" s="41" t="str">
        <f t="shared" si="24"/>
        <v>3A</v>
      </c>
      <c r="AM146" s="41" t="str">
        <f t="shared" si="25"/>
        <v>00</v>
      </c>
      <c r="AN146" s="41" t="str">
        <f t="shared" si="26"/>
        <v>00</v>
      </c>
      <c r="AO146" s="41" t="str">
        <f t="shared" si="27"/>
        <v>10</v>
      </c>
      <c r="AQ146" t="str">
        <f t="shared" si="22"/>
        <v xml:space="preserve">    (U4)0x1000003AU,                                                           /* 10 RUN                                             */</v>
      </c>
    </row>
    <row r="147" spans="2:43">
      <c r="B147" s="103"/>
      <c r="C147" s="28">
        <f t="shared" si="23"/>
        <v>11</v>
      </c>
      <c r="D147" s="96">
        <f t="shared" si="28"/>
        <v>0</v>
      </c>
      <c r="E147" s="96">
        <f t="shared" si="28"/>
        <v>0</v>
      </c>
      <c r="F147" s="96">
        <f t="shared" si="28"/>
        <v>0</v>
      </c>
      <c r="G147" s="96">
        <f t="shared" si="28"/>
        <v>1</v>
      </c>
      <c r="H147" s="96">
        <f t="shared" si="28"/>
        <v>0</v>
      </c>
      <c r="I147" s="96">
        <f t="shared" si="28"/>
        <v>0</v>
      </c>
      <c r="J147" s="96">
        <f t="shared" si="28"/>
        <v>0</v>
      </c>
      <c r="K147" s="96">
        <f t="shared" si="28"/>
        <v>0</v>
      </c>
      <c r="L147" s="96">
        <f t="shared" si="28"/>
        <v>0</v>
      </c>
      <c r="M147" s="96">
        <f t="shared" si="28"/>
        <v>0</v>
      </c>
      <c r="N147" s="96">
        <f t="shared" si="28"/>
        <v>0</v>
      </c>
      <c r="O147" s="96">
        <f t="shared" si="28"/>
        <v>0</v>
      </c>
      <c r="P147" s="96">
        <f t="shared" si="28"/>
        <v>0</v>
      </c>
      <c r="Q147" s="96">
        <f t="shared" si="28"/>
        <v>0</v>
      </c>
      <c r="R147" s="96">
        <f t="shared" si="28"/>
        <v>0</v>
      </c>
      <c r="S147" s="96">
        <f t="shared" si="28"/>
        <v>0</v>
      </c>
      <c r="T147" s="96">
        <f t="shared" si="28"/>
        <v>0</v>
      </c>
      <c r="U147" s="96">
        <f t="shared" si="28"/>
        <v>0</v>
      </c>
      <c r="V147" s="96">
        <f t="shared" si="28"/>
        <v>0</v>
      </c>
      <c r="W147" s="96">
        <f t="shared" si="28"/>
        <v>0</v>
      </c>
      <c r="X147" s="96">
        <f t="shared" si="28"/>
        <v>0</v>
      </c>
      <c r="Y147" s="96">
        <f t="shared" si="28"/>
        <v>0</v>
      </c>
      <c r="Z147" s="96">
        <f t="shared" si="28"/>
        <v>0</v>
      </c>
      <c r="AA147" s="96">
        <f t="shared" si="28"/>
        <v>0</v>
      </c>
      <c r="AB147" s="96">
        <f t="shared" si="28"/>
        <v>0</v>
      </c>
      <c r="AC147" s="96">
        <f t="shared" si="28"/>
        <v>0</v>
      </c>
      <c r="AD147" s="96">
        <f t="shared" si="28"/>
        <v>1</v>
      </c>
      <c r="AE147" s="96">
        <f t="shared" si="28"/>
        <v>0</v>
      </c>
      <c r="AF147" s="96">
        <f t="shared" si="28"/>
        <v>1</v>
      </c>
      <c r="AG147" s="96">
        <f t="shared" si="28"/>
        <v>0</v>
      </c>
      <c r="AH147" s="96">
        <f t="shared" si="28"/>
        <v>1</v>
      </c>
      <c r="AI147" s="96">
        <f t="shared" si="28"/>
        <v>0</v>
      </c>
      <c r="AJ147" s="28" t="str">
        <f t="shared" si="21"/>
        <v>STOP</v>
      </c>
      <c r="AK147" s="41"/>
      <c r="AL147" s="41" t="str">
        <f t="shared" si="24"/>
        <v>2A</v>
      </c>
      <c r="AM147" s="41" t="str">
        <f t="shared" si="25"/>
        <v>00</v>
      </c>
      <c r="AN147" s="41" t="str">
        <f t="shared" si="26"/>
        <v>00</v>
      </c>
      <c r="AO147" s="41" t="str">
        <f t="shared" si="27"/>
        <v>10</v>
      </c>
      <c r="AQ147" t="str">
        <f t="shared" si="22"/>
        <v xml:space="preserve">    (U4)0x1000002AU,                                                           /* 11 STOP                                            */</v>
      </c>
    </row>
    <row r="148" spans="2:43">
      <c r="B148" s="103"/>
      <c r="C148" s="28">
        <f t="shared" si="23"/>
        <v>12</v>
      </c>
      <c r="D148" s="96">
        <f t="shared" si="28"/>
        <v>0</v>
      </c>
      <c r="E148" s="96">
        <f t="shared" si="28"/>
        <v>0</v>
      </c>
      <c r="F148" s="96">
        <f t="shared" si="28"/>
        <v>0</v>
      </c>
      <c r="G148" s="96">
        <f t="shared" si="28"/>
        <v>1</v>
      </c>
      <c r="H148" s="96">
        <f t="shared" si="28"/>
        <v>0</v>
      </c>
      <c r="I148" s="96">
        <f t="shared" si="28"/>
        <v>0</v>
      </c>
      <c r="J148" s="96">
        <f t="shared" si="28"/>
        <v>0</v>
      </c>
      <c r="K148" s="96">
        <f t="shared" si="28"/>
        <v>0</v>
      </c>
      <c r="L148" s="96">
        <f t="shared" si="28"/>
        <v>0</v>
      </c>
      <c r="M148" s="96">
        <f t="shared" si="28"/>
        <v>0</v>
      </c>
      <c r="N148" s="96">
        <f t="shared" si="28"/>
        <v>0</v>
      </c>
      <c r="O148" s="96">
        <f t="shared" si="28"/>
        <v>0</v>
      </c>
      <c r="P148" s="96">
        <f t="shared" si="28"/>
        <v>0</v>
      </c>
      <c r="Q148" s="96">
        <f t="shared" si="28"/>
        <v>0</v>
      </c>
      <c r="R148" s="96">
        <f t="shared" si="28"/>
        <v>0</v>
      </c>
      <c r="S148" s="96">
        <f t="shared" si="28"/>
        <v>0</v>
      </c>
      <c r="T148" s="96">
        <f t="shared" si="28"/>
        <v>0</v>
      </c>
      <c r="U148" s="96">
        <f t="shared" si="28"/>
        <v>0</v>
      </c>
      <c r="V148" s="96">
        <f t="shared" si="28"/>
        <v>0</v>
      </c>
      <c r="W148" s="96">
        <f t="shared" si="28"/>
        <v>0</v>
      </c>
      <c r="X148" s="96">
        <f t="shared" si="28"/>
        <v>0</v>
      </c>
      <c r="Y148" s="96">
        <f t="shared" si="28"/>
        <v>0</v>
      </c>
      <c r="Z148" s="96">
        <f t="shared" si="28"/>
        <v>0</v>
      </c>
      <c r="AA148" s="96">
        <f t="shared" si="28"/>
        <v>0</v>
      </c>
      <c r="AB148" s="96">
        <f t="shared" si="28"/>
        <v>0</v>
      </c>
      <c r="AC148" s="96">
        <f t="shared" si="28"/>
        <v>0</v>
      </c>
      <c r="AD148" s="96">
        <f t="shared" si="28"/>
        <v>1</v>
      </c>
      <c r="AE148" s="96">
        <f t="shared" si="28"/>
        <v>0</v>
      </c>
      <c r="AF148" s="96">
        <f t="shared" si="28"/>
        <v>1</v>
      </c>
      <c r="AG148" s="96">
        <f t="shared" si="28"/>
        <v>0</v>
      </c>
      <c r="AH148" s="96">
        <f t="shared" si="28"/>
        <v>1</v>
      </c>
      <c r="AI148" s="96">
        <f t="shared" si="28"/>
        <v>0</v>
      </c>
      <c r="AJ148" s="28" t="str">
        <f t="shared" si="21"/>
        <v>RUN</v>
      </c>
      <c r="AK148" s="41"/>
      <c r="AL148" s="41" t="str">
        <f t="shared" si="24"/>
        <v>2A</v>
      </c>
      <c r="AM148" s="41" t="str">
        <f t="shared" si="25"/>
        <v>00</v>
      </c>
      <c r="AN148" s="41" t="str">
        <f t="shared" si="26"/>
        <v>00</v>
      </c>
      <c r="AO148" s="41" t="str">
        <f t="shared" si="27"/>
        <v>10</v>
      </c>
      <c r="AQ148" t="str">
        <f t="shared" si="22"/>
        <v xml:space="preserve">    (U4)0x1000002AU,                                                           /* 12 RUN                                             */</v>
      </c>
    </row>
    <row r="149" spans="2:43">
      <c r="B149" s="103"/>
      <c r="C149" s="28">
        <f t="shared" si="23"/>
        <v>13</v>
      </c>
      <c r="D149" s="96">
        <f t="shared" si="28"/>
        <v>0</v>
      </c>
      <c r="E149" s="96">
        <f t="shared" si="28"/>
        <v>0</v>
      </c>
      <c r="F149" s="96">
        <f t="shared" si="28"/>
        <v>0</v>
      </c>
      <c r="G149" s="96">
        <f t="shared" si="28"/>
        <v>1</v>
      </c>
      <c r="H149" s="96">
        <f t="shared" si="28"/>
        <v>0</v>
      </c>
      <c r="I149" s="96">
        <f t="shared" si="28"/>
        <v>0</v>
      </c>
      <c r="J149" s="96">
        <f t="shared" si="28"/>
        <v>0</v>
      </c>
      <c r="K149" s="96">
        <f t="shared" si="28"/>
        <v>0</v>
      </c>
      <c r="L149" s="96">
        <f t="shared" si="28"/>
        <v>0</v>
      </c>
      <c r="M149" s="96">
        <f t="shared" si="28"/>
        <v>0</v>
      </c>
      <c r="N149" s="96">
        <f t="shared" si="28"/>
        <v>0</v>
      </c>
      <c r="O149" s="96">
        <f t="shared" si="28"/>
        <v>0</v>
      </c>
      <c r="P149" s="96">
        <f t="shared" si="28"/>
        <v>0</v>
      </c>
      <c r="Q149" s="96">
        <f t="shared" si="28"/>
        <v>0</v>
      </c>
      <c r="R149" s="96">
        <f t="shared" si="28"/>
        <v>0</v>
      </c>
      <c r="S149" s="96">
        <f t="shared" si="28"/>
        <v>0</v>
      </c>
      <c r="T149" s="96">
        <f t="shared" si="28"/>
        <v>0</v>
      </c>
      <c r="U149" s="96">
        <f t="shared" si="28"/>
        <v>0</v>
      </c>
      <c r="V149" s="96">
        <f t="shared" si="28"/>
        <v>0</v>
      </c>
      <c r="W149" s="96">
        <f t="shared" si="28"/>
        <v>0</v>
      </c>
      <c r="X149" s="96">
        <f t="shared" si="28"/>
        <v>0</v>
      </c>
      <c r="Y149" s="96">
        <f t="shared" si="28"/>
        <v>0</v>
      </c>
      <c r="Z149" s="96">
        <f t="shared" si="28"/>
        <v>0</v>
      </c>
      <c r="AA149" s="96">
        <f t="shared" si="28"/>
        <v>0</v>
      </c>
      <c r="AB149" s="96">
        <f t="shared" si="28"/>
        <v>0</v>
      </c>
      <c r="AC149" s="96">
        <f t="shared" si="28"/>
        <v>0</v>
      </c>
      <c r="AD149" s="96">
        <f t="shared" si="28"/>
        <v>0</v>
      </c>
      <c r="AE149" s="96">
        <f t="shared" si="28"/>
        <v>0</v>
      </c>
      <c r="AF149" s="96">
        <f t="shared" si="28"/>
        <v>1</v>
      </c>
      <c r="AG149" s="96">
        <f t="shared" si="28"/>
        <v>0</v>
      </c>
      <c r="AH149" s="96">
        <f t="shared" si="28"/>
        <v>1</v>
      </c>
      <c r="AI149" s="96">
        <f t="shared" si="28"/>
        <v>0</v>
      </c>
      <c r="AJ149" s="28" t="str">
        <f t="shared" si="21"/>
        <v>STOP_ON</v>
      </c>
      <c r="AK149" s="41"/>
      <c r="AL149" s="41" t="str">
        <f t="shared" si="24"/>
        <v>0A</v>
      </c>
      <c r="AM149" s="41" t="str">
        <f t="shared" si="25"/>
        <v>00</v>
      </c>
      <c r="AN149" s="41" t="str">
        <f t="shared" si="26"/>
        <v>00</v>
      </c>
      <c r="AO149" s="41" t="str">
        <f t="shared" si="27"/>
        <v>10</v>
      </c>
      <c r="AQ149" t="str">
        <f t="shared" si="22"/>
        <v xml:space="preserve">    (U4)0x1000000AU,                                                           /* 13 STOP_ON                                         */</v>
      </c>
    </row>
    <row r="150" spans="2:43">
      <c r="B150" s="103"/>
      <c r="C150" s="28">
        <f t="shared" si="23"/>
        <v>14</v>
      </c>
      <c r="D150" s="96">
        <f t="shared" si="28"/>
        <v>0</v>
      </c>
      <c r="E150" s="96">
        <f t="shared" si="28"/>
        <v>0</v>
      </c>
      <c r="F150" s="96">
        <f t="shared" si="28"/>
        <v>0</v>
      </c>
      <c r="G150" s="96">
        <f t="shared" si="28"/>
        <v>1</v>
      </c>
      <c r="H150" s="96">
        <f t="shared" si="28"/>
        <v>0</v>
      </c>
      <c r="I150" s="96">
        <f t="shared" si="28"/>
        <v>0</v>
      </c>
      <c r="J150" s="96">
        <f t="shared" si="28"/>
        <v>0</v>
      </c>
      <c r="K150" s="96">
        <f t="shared" si="28"/>
        <v>0</v>
      </c>
      <c r="L150" s="96">
        <f t="shared" si="28"/>
        <v>0</v>
      </c>
      <c r="M150" s="96">
        <f t="shared" si="28"/>
        <v>0</v>
      </c>
      <c r="N150" s="96">
        <f t="shared" si="28"/>
        <v>0</v>
      </c>
      <c r="O150" s="96">
        <f t="shared" si="28"/>
        <v>0</v>
      </c>
      <c r="P150" s="96">
        <f t="shared" si="28"/>
        <v>0</v>
      </c>
      <c r="Q150" s="96">
        <f t="shared" si="28"/>
        <v>0</v>
      </c>
      <c r="R150" s="96">
        <f t="shared" si="28"/>
        <v>0</v>
      </c>
      <c r="S150" s="96">
        <f t="shared" si="28"/>
        <v>0</v>
      </c>
      <c r="T150" s="96">
        <f t="shared" si="28"/>
        <v>0</v>
      </c>
      <c r="U150" s="96">
        <f t="shared" si="28"/>
        <v>0</v>
      </c>
      <c r="V150" s="96">
        <f t="shared" si="28"/>
        <v>0</v>
      </c>
      <c r="W150" s="96">
        <f t="shared" si="28"/>
        <v>0</v>
      </c>
      <c r="X150" s="96">
        <f t="shared" si="28"/>
        <v>0</v>
      </c>
      <c r="Y150" s="96">
        <f t="shared" si="28"/>
        <v>0</v>
      </c>
      <c r="Z150" s="96">
        <f t="shared" si="28"/>
        <v>0</v>
      </c>
      <c r="AA150" s="96">
        <f t="shared" si="28"/>
        <v>0</v>
      </c>
      <c r="AB150" s="96">
        <f t="shared" si="28"/>
        <v>0</v>
      </c>
      <c r="AC150" s="96">
        <f t="shared" si="28"/>
        <v>0</v>
      </c>
      <c r="AD150" s="96">
        <f t="shared" si="28"/>
        <v>0</v>
      </c>
      <c r="AE150" s="96">
        <f t="shared" si="28"/>
        <v>0</v>
      </c>
      <c r="AF150" s="96">
        <f t="shared" si="28"/>
        <v>1</v>
      </c>
      <c r="AG150" s="96">
        <f t="shared" si="28"/>
        <v>0</v>
      </c>
      <c r="AH150" s="96">
        <f t="shared" si="28"/>
        <v>1</v>
      </c>
      <c r="AI150" s="96">
        <f t="shared" si="28"/>
        <v>0</v>
      </c>
      <c r="AJ150" s="28" t="str">
        <f t="shared" si="21"/>
        <v>RUN_ON</v>
      </c>
      <c r="AK150" s="41"/>
      <c r="AL150" s="41" t="str">
        <f t="shared" si="24"/>
        <v>0A</v>
      </c>
      <c r="AM150" s="41" t="str">
        <f t="shared" si="25"/>
        <v>00</v>
      </c>
      <c r="AN150" s="41" t="str">
        <f t="shared" si="26"/>
        <v>00</v>
      </c>
      <c r="AO150" s="41" t="str">
        <f t="shared" si="27"/>
        <v>10</v>
      </c>
      <c r="AQ150" t="str">
        <f t="shared" si="22"/>
        <v xml:space="preserve">    (U4)0x1000000AU                                                            /* 14 RUN_ON                                          */</v>
      </c>
    </row>
    <row r="151" spans="2:43">
      <c r="B151" s="103"/>
      <c r="C151" s="28">
        <f t="shared" si="23"/>
        <v>15</v>
      </c>
      <c r="D151" s="96">
        <f t="shared" si="28"/>
        <v>0</v>
      </c>
      <c r="E151" s="96">
        <f t="shared" si="28"/>
        <v>0</v>
      </c>
      <c r="F151" s="96">
        <f t="shared" si="28"/>
        <v>0</v>
      </c>
      <c r="G151" s="96">
        <f t="shared" si="28"/>
        <v>0</v>
      </c>
      <c r="H151" s="96">
        <f t="shared" si="28"/>
        <v>0</v>
      </c>
      <c r="I151" s="96">
        <f t="shared" si="28"/>
        <v>0</v>
      </c>
      <c r="J151" s="96">
        <f t="shared" si="28"/>
        <v>0</v>
      </c>
      <c r="K151" s="96">
        <f t="shared" si="28"/>
        <v>0</v>
      </c>
      <c r="L151" s="96">
        <f t="shared" si="28"/>
        <v>0</v>
      </c>
      <c r="M151" s="96">
        <f t="shared" si="28"/>
        <v>0</v>
      </c>
      <c r="N151" s="96">
        <f t="shared" si="28"/>
        <v>0</v>
      </c>
      <c r="O151" s="96">
        <f t="shared" si="28"/>
        <v>0</v>
      </c>
      <c r="P151" s="96">
        <f t="shared" si="28"/>
        <v>0</v>
      </c>
      <c r="Q151" s="96">
        <f t="shared" si="28"/>
        <v>0</v>
      </c>
      <c r="R151" s="96">
        <f t="shared" si="28"/>
        <v>0</v>
      </c>
      <c r="S151" s="96">
        <f t="shared" si="28"/>
        <v>0</v>
      </c>
      <c r="T151" s="96">
        <f t="shared" si="28"/>
        <v>0</v>
      </c>
      <c r="U151" s="96">
        <f t="shared" si="28"/>
        <v>0</v>
      </c>
      <c r="V151" s="96">
        <f t="shared" si="28"/>
        <v>0</v>
      </c>
      <c r="W151" s="96">
        <f t="shared" si="28"/>
        <v>0</v>
      </c>
      <c r="X151" s="96">
        <f t="shared" si="28"/>
        <v>0</v>
      </c>
      <c r="Y151" s="96">
        <f t="shared" si="28"/>
        <v>0</v>
      </c>
      <c r="Z151" s="96">
        <f t="shared" si="28"/>
        <v>0</v>
      </c>
      <c r="AA151" s="96">
        <f t="shared" si="28"/>
        <v>0</v>
      </c>
      <c r="AB151" s="96">
        <f t="shared" si="28"/>
        <v>0</v>
      </c>
      <c r="AC151" s="96">
        <f t="shared" si="28"/>
        <v>0</v>
      </c>
      <c r="AD151" s="96">
        <f t="shared" si="28"/>
        <v>0</v>
      </c>
      <c r="AE151" s="96">
        <f t="shared" si="28"/>
        <v>0</v>
      </c>
      <c r="AF151" s="96">
        <f t="shared" si="28"/>
        <v>0</v>
      </c>
      <c r="AG151" s="96">
        <f t="shared" si="28"/>
        <v>0</v>
      </c>
      <c r="AH151" s="96">
        <f t="shared" si="28"/>
        <v>0</v>
      </c>
      <c r="AI151" s="96">
        <f>IF(OR(AI21=0,AI21=1),1,0)</f>
        <v>0</v>
      </c>
      <c r="AJ151" s="28" t="str">
        <f t="shared" si="21"/>
        <v/>
      </c>
      <c r="AK151" s="41"/>
      <c r="AL151" s="41" t="str">
        <f t="shared" si="24"/>
        <v>00</v>
      </c>
      <c r="AM151" s="41" t="str">
        <f t="shared" si="25"/>
        <v>00</v>
      </c>
      <c r="AN151" s="41" t="str">
        <f t="shared" si="26"/>
        <v>00</v>
      </c>
      <c r="AO151" s="41" t="str">
        <f t="shared" si="27"/>
        <v>00</v>
      </c>
      <c r="AQ151" t="str">
        <f t="shared" si="22"/>
        <v/>
      </c>
    </row>
    <row r="152" spans="2:43">
      <c r="B152" s="103"/>
      <c r="C152" s="28">
        <f t="shared" si="23"/>
        <v>16</v>
      </c>
      <c r="D152" s="96">
        <f t="shared" ref="D152:AI159" si="29">IF(OR(D22=0,D22=1),1,0)</f>
        <v>0</v>
      </c>
      <c r="E152" s="96">
        <f t="shared" si="29"/>
        <v>0</v>
      </c>
      <c r="F152" s="96">
        <f t="shared" si="29"/>
        <v>0</v>
      </c>
      <c r="G152" s="96">
        <f t="shared" si="29"/>
        <v>0</v>
      </c>
      <c r="H152" s="96">
        <f t="shared" si="29"/>
        <v>0</v>
      </c>
      <c r="I152" s="96">
        <f t="shared" si="29"/>
        <v>0</v>
      </c>
      <c r="J152" s="96">
        <f t="shared" si="29"/>
        <v>0</v>
      </c>
      <c r="K152" s="96">
        <f t="shared" si="29"/>
        <v>0</v>
      </c>
      <c r="L152" s="96">
        <f t="shared" si="29"/>
        <v>0</v>
      </c>
      <c r="M152" s="96">
        <f t="shared" si="29"/>
        <v>0</v>
      </c>
      <c r="N152" s="96">
        <f t="shared" si="29"/>
        <v>0</v>
      </c>
      <c r="O152" s="96">
        <f t="shared" si="29"/>
        <v>0</v>
      </c>
      <c r="P152" s="96">
        <f t="shared" si="29"/>
        <v>0</v>
      </c>
      <c r="Q152" s="96">
        <f t="shared" si="29"/>
        <v>0</v>
      </c>
      <c r="R152" s="96">
        <f t="shared" si="29"/>
        <v>0</v>
      </c>
      <c r="S152" s="96">
        <f t="shared" si="29"/>
        <v>0</v>
      </c>
      <c r="T152" s="96">
        <f t="shared" si="29"/>
        <v>0</v>
      </c>
      <c r="U152" s="96">
        <f t="shared" si="29"/>
        <v>0</v>
      </c>
      <c r="V152" s="96">
        <f t="shared" si="29"/>
        <v>0</v>
      </c>
      <c r="W152" s="96">
        <f t="shared" si="29"/>
        <v>0</v>
      </c>
      <c r="X152" s="96">
        <f t="shared" si="29"/>
        <v>0</v>
      </c>
      <c r="Y152" s="96">
        <f t="shared" si="29"/>
        <v>0</v>
      </c>
      <c r="Z152" s="96">
        <f t="shared" si="29"/>
        <v>0</v>
      </c>
      <c r="AA152" s="96">
        <f t="shared" si="29"/>
        <v>0</v>
      </c>
      <c r="AB152" s="96">
        <f t="shared" si="29"/>
        <v>0</v>
      </c>
      <c r="AC152" s="96">
        <f t="shared" si="29"/>
        <v>0</v>
      </c>
      <c r="AD152" s="96">
        <f t="shared" si="29"/>
        <v>0</v>
      </c>
      <c r="AE152" s="96">
        <f t="shared" si="29"/>
        <v>0</v>
      </c>
      <c r="AF152" s="96">
        <f t="shared" si="29"/>
        <v>0</v>
      </c>
      <c r="AG152" s="96">
        <f t="shared" si="29"/>
        <v>0</v>
      </c>
      <c r="AH152" s="96">
        <f t="shared" si="29"/>
        <v>0</v>
      </c>
      <c r="AI152" s="96">
        <f t="shared" si="29"/>
        <v>0</v>
      </c>
      <c r="AJ152" s="28" t="str">
        <f t="shared" si="21"/>
        <v/>
      </c>
      <c r="AK152" s="41"/>
      <c r="AL152" s="41" t="str">
        <f t="shared" si="24"/>
        <v>00</v>
      </c>
      <c r="AM152" s="41" t="str">
        <f t="shared" si="25"/>
        <v>00</v>
      </c>
      <c r="AN152" s="41" t="str">
        <f t="shared" si="26"/>
        <v>00</v>
      </c>
      <c r="AO152" s="41" t="str">
        <f t="shared" si="27"/>
        <v>00</v>
      </c>
      <c r="AQ152" t="str">
        <f t="shared" si="22"/>
        <v/>
      </c>
    </row>
    <row r="153" spans="2:43">
      <c r="B153" s="103"/>
      <c r="C153" s="28">
        <f t="shared" si="23"/>
        <v>17</v>
      </c>
      <c r="D153" s="96">
        <f t="shared" si="29"/>
        <v>0</v>
      </c>
      <c r="E153" s="96">
        <f t="shared" si="29"/>
        <v>0</v>
      </c>
      <c r="F153" s="96">
        <f t="shared" si="29"/>
        <v>0</v>
      </c>
      <c r="G153" s="96">
        <f t="shared" si="29"/>
        <v>0</v>
      </c>
      <c r="H153" s="96">
        <f t="shared" si="29"/>
        <v>0</v>
      </c>
      <c r="I153" s="96">
        <f t="shared" si="29"/>
        <v>0</v>
      </c>
      <c r="J153" s="96">
        <f t="shared" si="29"/>
        <v>0</v>
      </c>
      <c r="K153" s="96">
        <f t="shared" si="29"/>
        <v>0</v>
      </c>
      <c r="L153" s="96">
        <f t="shared" si="29"/>
        <v>0</v>
      </c>
      <c r="M153" s="96">
        <f t="shared" si="29"/>
        <v>0</v>
      </c>
      <c r="N153" s="96">
        <f t="shared" si="29"/>
        <v>0</v>
      </c>
      <c r="O153" s="96">
        <f t="shared" si="29"/>
        <v>0</v>
      </c>
      <c r="P153" s="96">
        <f t="shared" si="29"/>
        <v>0</v>
      </c>
      <c r="Q153" s="96">
        <f t="shared" si="29"/>
        <v>0</v>
      </c>
      <c r="R153" s="96">
        <f t="shared" si="29"/>
        <v>0</v>
      </c>
      <c r="S153" s="96">
        <f t="shared" si="29"/>
        <v>0</v>
      </c>
      <c r="T153" s="96">
        <f t="shared" si="29"/>
        <v>0</v>
      </c>
      <c r="U153" s="96">
        <f t="shared" si="29"/>
        <v>0</v>
      </c>
      <c r="V153" s="96">
        <f t="shared" si="29"/>
        <v>0</v>
      </c>
      <c r="W153" s="96">
        <f t="shared" si="29"/>
        <v>0</v>
      </c>
      <c r="X153" s="96">
        <f t="shared" si="29"/>
        <v>0</v>
      </c>
      <c r="Y153" s="96">
        <f t="shared" si="29"/>
        <v>0</v>
      </c>
      <c r="Z153" s="96">
        <f t="shared" si="29"/>
        <v>0</v>
      </c>
      <c r="AA153" s="96">
        <f t="shared" si="29"/>
        <v>0</v>
      </c>
      <c r="AB153" s="96">
        <f t="shared" si="29"/>
        <v>0</v>
      </c>
      <c r="AC153" s="96">
        <f t="shared" si="29"/>
        <v>0</v>
      </c>
      <c r="AD153" s="96">
        <f t="shared" si="29"/>
        <v>0</v>
      </c>
      <c r="AE153" s="96">
        <f t="shared" si="29"/>
        <v>0</v>
      </c>
      <c r="AF153" s="96">
        <f t="shared" si="29"/>
        <v>0</v>
      </c>
      <c r="AG153" s="96">
        <f t="shared" si="29"/>
        <v>0</v>
      </c>
      <c r="AH153" s="96">
        <f t="shared" si="29"/>
        <v>0</v>
      </c>
      <c r="AI153" s="96">
        <f t="shared" si="29"/>
        <v>0</v>
      </c>
      <c r="AJ153" s="28" t="str">
        <f t="shared" si="21"/>
        <v/>
      </c>
      <c r="AK153" s="41"/>
      <c r="AL153" s="41" t="str">
        <f t="shared" si="24"/>
        <v>00</v>
      </c>
      <c r="AM153" s="41" t="str">
        <f t="shared" si="25"/>
        <v>00</v>
      </c>
      <c r="AN153" s="41" t="str">
        <f t="shared" si="26"/>
        <v>00</v>
      </c>
      <c r="AO153" s="41" t="str">
        <f t="shared" si="27"/>
        <v>00</v>
      </c>
      <c r="AQ153" t="str">
        <f t="shared" si="22"/>
        <v/>
      </c>
    </row>
    <row r="154" spans="2:43">
      <c r="B154" s="103"/>
      <c r="C154" s="28">
        <f t="shared" si="23"/>
        <v>18</v>
      </c>
      <c r="D154" s="96">
        <f t="shared" si="29"/>
        <v>0</v>
      </c>
      <c r="E154" s="96">
        <f t="shared" si="29"/>
        <v>0</v>
      </c>
      <c r="F154" s="96">
        <f t="shared" si="29"/>
        <v>0</v>
      </c>
      <c r="G154" s="96">
        <f t="shared" si="29"/>
        <v>0</v>
      </c>
      <c r="H154" s="96">
        <f t="shared" si="29"/>
        <v>0</v>
      </c>
      <c r="I154" s="96">
        <f t="shared" si="29"/>
        <v>0</v>
      </c>
      <c r="J154" s="96">
        <f t="shared" si="29"/>
        <v>0</v>
      </c>
      <c r="K154" s="96">
        <f t="shared" si="29"/>
        <v>0</v>
      </c>
      <c r="L154" s="96">
        <f t="shared" si="29"/>
        <v>0</v>
      </c>
      <c r="M154" s="96">
        <f t="shared" si="29"/>
        <v>0</v>
      </c>
      <c r="N154" s="96">
        <f t="shared" si="29"/>
        <v>0</v>
      </c>
      <c r="O154" s="96">
        <f t="shared" si="29"/>
        <v>0</v>
      </c>
      <c r="P154" s="96">
        <f t="shared" si="29"/>
        <v>0</v>
      </c>
      <c r="Q154" s="96">
        <f t="shared" si="29"/>
        <v>0</v>
      </c>
      <c r="R154" s="96">
        <f t="shared" si="29"/>
        <v>0</v>
      </c>
      <c r="S154" s="96">
        <f t="shared" si="29"/>
        <v>0</v>
      </c>
      <c r="T154" s="96">
        <f t="shared" si="29"/>
        <v>0</v>
      </c>
      <c r="U154" s="96">
        <f t="shared" si="29"/>
        <v>0</v>
      </c>
      <c r="V154" s="96">
        <f t="shared" si="29"/>
        <v>0</v>
      </c>
      <c r="W154" s="96">
        <f t="shared" si="29"/>
        <v>0</v>
      </c>
      <c r="X154" s="96">
        <f t="shared" si="29"/>
        <v>0</v>
      </c>
      <c r="Y154" s="96">
        <f t="shared" si="29"/>
        <v>0</v>
      </c>
      <c r="Z154" s="96">
        <f t="shared" si="29"/>
        <v>0</v>
      </c>
      <c r="AA154" s="96">
        <f t="shared" si="29"/>
        <v>0</v>
      </c>
      <c r="AB154" s="96">
        <f t="shared" si="29"/>
        <v>0</v>
      </c>
      <c r="AC154" s="96">
        <f t="shared" si="29"/>
        <v>0</v>
      </c>
      <c r="AD154" s="96">
        <f t="shared" si="29"/>
        <v>0</v>
      </c>
      <c r="AE154" s="96">
        <f t="shared" si="29"/>
        <v>0</v>
      </c>
      <c r="AF154" s="96">
        <f t="shared" si="29"/>
        <v>0</v>
      </c>
      <c r="AG154" s="96">
        <f t="shared" si="29"/>
        <v>0</v>
      </c>
      <c r="AH154" s="96">
        <f t="shared" si="29"/>
        <v>0</v>
      </c>
      <c r="AI154" s="96">
        <f t="shared" si="29"/>
        <v>0</v>
      </c>
      <c r="AJ154" s="28" t="str">
        <f t="shared" si="21"/>
        <v/>
      </c>
      <c r="AK154" s="41"/>
      <c r="AL154" s="41" t="str">
        <f t="shared" si="24"/>
        <v>00</v>
      </c>
      <c r="AM154" s="41" t="str">
        <f t="shared" si="25"/>
        <v>00</v>
      </c>
      <c r="AN154" s="41" t="str">
        <f t="shared" si="26"/>
        <v>00</v>
      </c>
      <c r="AO154" s="41" t="str">
        <f t="shared" si="27"/>
        <v>00</v>
      </c>
      <c r="AQ154" t="str">
        <f t="shared" si="22"/>
        <v/>
      </c>
    </row>
    <row r="155" spans="2:43">
      <c r="B155" s="103"/>
      <c r="C155" s="28">
        <f t="shared" si="23"/>
        <v>19</v>
      </c>
      <c r="D155" s="96">
        <f t="shared" si="29"/>
        <v>0</v>
      </c>
      <c r="E155" s="96">
        <f t="shared" si="29"/>
        <v>0</v>
      </c>
      <c r="F155" s="96">
        <f t="shared" si="29"/>
        <v>0</v>
      </c>
      <c r="G155" s="96">
        <f t="shared" si="29"/>
        <v>0</v>
      </c>
      <c r="H155" s="96">
        <f t="shared" si="29"/>
        <v>0</v>
      </c>
      <c r="I155" s="96">
        <f t="shared" si="29"/>
        <v>0</v>
      </c>
      <c r="J155" s="96">
        <f t="shared" si="29"/>
        <v>0</v>
      </c>
      <c r="K155" s="96">
        <f t="shared" si="29"/>
        <v>0</v>
      </c>
      <c r="L155" s="96">
        <f t="shared" si="29"/>
        <v>0</v>
      </c>
      <c r="M155" s="96">
        <f t="shared" si="29"/>
        <v>0</v>
      </c>
      <c r="N155" s="96">
        <f t="shared" si="29"/>
        <v>0</v>
      </c>
      <c r="O155" s="96">
        <f t="shared" si="29"/>
        <v>0</v>
      </c>
      <c r="P155" s="96">
        <f t="shared" si="29"/>
        <v>0</v>
      </c>
      <c r="Q155" s="96">
        <f t="shared" si="29"/>
        <v>0</v>
      </c>
      <c r="R155" s="96">
        <f t="shared" si="29"/>
        <v>0</v>
      </c>
      <c r="S155" s="96">
        <f t="shared" si="29"/>
        <v>0</v>
      </c>
      <c r="T155" s="96">
        <f t="shared" si="29"/>
        <v>0</v>
      </c>
      <c r="U155" s="96">
        <f t="shared" si="29"/>
        <v>0</v>
      </c>
      <c r="V155" s="96">
        <f t="shared" si="29"/>
        <v>0</v>
      </c>
      <c r="W155" s="96">
        <f t="shared" si="29"/>
        <v>0</v>
      </c>
      <c r="X155" s="96">
        <f t="shared" si="29"/>
        <v>0</v>
      </c>
      <c r="Y155" s="96">
        <f t="shared" si="29"/>
        <v>0</v>
      </c>
      <c r="Z155" s="96">
        <f t="shared" si="29"/>
        <v>0</v>
      </c>
      <c r="AA155" s="96">
        <f t="shared" si="29"/>
        <v>0</v>
      </c>
      <c r="AB155" s="96">
        <f t="shared" si="29"/>
        <v>0</v>
      </c>
      <c r="AC155" s="96">
        <f t="shared" si="29"/>
        <v>0</v>
      </c>
      <c r="AD155" s="96">
        <f t="shared" si="29"/>
        <v>0</v>
      </c>
      <c r="AE155" s="96">
        <f t="shared" si="29"/>
        <v>0</v>
      </c>
      <c r="AF155" s="96">
        <f t="shared" si="29"/>
        <v>0</v>
      </c>
      <c r="AG155" s="96">
        <f t="shared" si="29"/>
        <v>0</v>
      </c>
      <c r="AH155" s="96">
        <f t="shared" si="29"/>
        <v>0</v>
      </c>
      <c r="AI155" s="96">
        <f t="shared" si="29"/>
        <v>0</v>
      </c>
      <c r="AJ155" s="28" t="str">
        <f t="shared" si="21"/>
        <v/>
      </c>
      <c r="AK155" s="41"/>
      <c r="AL155" s="41" t="str">
        <f t="shared" si="24"/>
        <v>00</v>
      </c>
      <c r="AM155" s="41" t="str">
        <f t="shared" si="25"/>
        <v>00</v>
      </c>
      <c r="AN155" s="41" t="str">
        <f t="shared" si="26"/>
        <v>00</v>
      </c>
      <c r="AO155" s="41" t="str">
        <f t="shared" si="27"/>
        <v>00</v>
      </c>
      <c r="AQ155" t="str">
        <f t="shared" si="22"/>
        <v/>
      </c>
    </row>
    <row r="156" spans="2:43">
      <c r="B156" s="103"/>
      <c r="C156" s="28">
        <f t="shared" si="23"/>
        <v>20</v>
      </c>
      <c r="D156" s="96">
        <f t="shared" si="29"/>
        <v>0</v>
      </c>
      <c r="E156" s="96">
        <f t="shared" si="29"/>
        <v>0</v>
      </c>
      <c r="F156" s="96">
        <f t="shared" si="29"/>
        <v>0</v>
      </c>
      <c r="G156" s="96">
        <f t="shared" si="29"/>
        <v>0</v>
      </c>
      <c r="H156" s="96">
        <f t="shared" si="29"/>
        <v>0</v>
      </c>
      <c r="I156" s="96">
        <f t="shared" si="29"/>
        <v>0</v>
      </c>
      <c r="J156" s="96">
        <f t="shared" si="29"/>
        <v>0</v>
      </c>
      <c r="K156" s="96">
        <f t="shared" si="29"/>
        <v>0</v>
      </c>
      <c r="L156" s="96">
        <f t="shared" si="29"/>
        <v>0</v>
      </c>
      <c r="M156" s="96">
        <f t="shared" si="29"/>
        <v>0</v>
      </c>
      <c r="N156" s="96">
        <f t="shared" si="29"/>
        <v>0</v>
      </c>
      <c r="O156" s="96">
        <f t="shared" si="29"/>
        <v>0</v>
      </c>
      <c r="P156" s="96">
        <f t="shared" si="29"/>
        <v>0</v>
      </c>
      <c r="Q156" s="96">
        <f t="shared" si="29"/>
        <v>0</v>
      </c>
      <c r="R156" s="96">
        <f t="shared" si="29"/>
        <v>0</v>
      </c>
      <c r="S156" s="96">
        <f t="shared" si="29"/>
        <v>0</v>
      </c>
      <c r="T156" s="96">
        <f t="shared" si="29"/>
        <v>0</v>
      </c>
      <c r="U156" s="96">
        <f t="shared" si="29"/>
        <v>0</v>
      </c>
      <c r="V156" s="96">
        <f t="shared" si="29"/>
        <v>0</v>
      </c>
      <c r="W156" s="96">
        <f t="shared" si="29"/>
        <v>0</v>
      </c>
      <c r="X156" s="96">
        <f t="shared" si="29"/>
        <v>0</v>
      </c>
      <c r="Y156" s="96">
        <f t="shared" si="29"/>
        <v>0</v>
      </c>
      <c r="Z156" s="96">
        <f t="shared" si="29"/>
        <v>0</v>
      </c>
      <c r="AA156" s="96">
        <f t="shared" si="29"/>
        <v>0</v>
      </c>
      <c r="AB156" s="96">
        <f t="shared" si="29"/>
        <v>0</v>
      </c>
      <c r="AC156" s="96">
        <f t="shared" si="29"/>
        <v>0</v>
      </c>
      <c r="AD156" s="96">
        <f t="shared" si="29"/>
        <v>0</v>
      </c>
      <c r="AE156" s="96">
        <f t="shared" si="29"/>
        <v>0</v>
      </c>
      <c r="AF156" s="96">
        <f t="shared" si="29"/>
        <v>0</v>
      </c>
      <c r="AG156" s="96">
        <f t="shared" si="29"/>
        <v>0</v>
      </c>
      <c r="AH156" s="96">
        <f t="shared" si="29"/>
        <v>0</v>
      </c>
      <c r="AI156" s="96">
        <f t="shared" si="29"/>
        <v>0</v>
      </c>
      <c r="AJ156" s="28" t="str">
        <f t="shared" si="21"/>
        <v/>
      </c>
      <c r="AK156" s="41"/>
      <c r="AL156" s="41" t="str">
        <f t="shared" si="24"/>
        <v>00</v>
      </c>
      <c r="AM156" s="41" t="str">
        <f t="shared" si="25"/>
        <v>00</v>
      </c>
      <c r="AN156" s="41" t="str">
        <f t="shared" si="26"/>
        <v>00</v>
      </c>
      <c r="AO156" s="41" t="str">
        <f t="shared" si="27"/>
        <v>00</v>
      </c>
      <c r="AQ156" t="str">
        <f t="shared" si="22"/>
        <v/>
      </c>
    </row>
    <row r="157" spans="2:43">
      <c r="B157" s="103"/>
      <c r="C157" s="28">
        <f t="shared" si="23"/>
        <v>21</v>
      </c>
      <c r="D157" s="96">
        <f t="shared" si="29"/>
        <v>0</v>
      </c>
      <c r="E157" s="96">
        <f t="shared" si="29"/>
        <v>0</v>
      </c>
      <c r="F157" s="96">
        <f t="shared" si="29"/>
        <v>0</v>
      </c>
      <c r="G157" s="96">
        <f t="shared" si="29"/>
        <v>0</v>
      </c>
      <c r="H157" s="96">
        <f t="shared" si="29"/>
        <v>0</v>
      </c>
      <c r="I157" s="96">
        <f t="shared" si="29"/>
        <v>0</v>
      </c>
      <c r="J157" s="96">
        <f t="shared" si="29"/>
        <v>0</v>
      </c>
      <c r="K157" s="96">
        <f t="shared" si="29"/>
        <v>0</v>
      </c>
      <c r="L157" s="96">
        <f t="shared" si="29"/>
        <v>0</v>
      </c>
      <c r="M157" s="96">
        <f t="shared" si="29"/>
        <v>0</v>
      </c>
      <c r="N157" s="96">
        <f t="shared" si="29"/>
        <v>0</v>
      </c>
      <c r="O157" s="96">
        <f t="shared" si="29"/>
        <v>0</v>
      </c>
      <c r="P157" s="96">
        <f t="shared" si="29"/>
        <v>0</v>
      </c>
      <c r="Q157" s="96">
        <f t="shared" si="29"/>
        <v>0</v>
      </c>
      <c r="R157" s="96">
        <f t="shared" si="29"/>
        <v>0</v>
      </c>
      <c r="S157" s="96">
        <f t="shared" si="29"/>
        <v>0</v>
      </c>
      <c r="T157" s="96">
        <f t="shared" si="29"/>
        <v>0</v>
      </c>
      <c r="U157" s="96">
        <f t="shared" si="29"/>
        <v>0</v>
      </c>
      <c r="V157" s="96">
        <f t="shared" si="29"/>
        <v>0</v>
      </c>
      <c r="W157" s="96">
        <f t="shared" si="29"/>
        <v>0</v>
      </c>
      <c r="X157" s="96">
        <f t="shared" si="29"/>
        <v>0</v>
      </c>
      <c r="Y157" s="96">
        <f t="shared" si="29"/>
        <v>0</v>
      </c>
      <c r="Z157" s="96">
        <f t="shared" si="29"/>
        <v>0</v>
      </c>
      <c r="AA157" s="96">
        <f t="shared" si="29"/>
        <v>0</v>
      </c>
      <c r="AB157" s="96">
        <f t="shared" si="29"/>
        <v>0</v>
      </c>
      <c r="AC157" s="96">
        <f t="shared" si="29"/>
        <v>0</v>
      </c>
      <c r="AD157" s="96">
        <f t="shared" si="29"/>
        <v>0</v>
      </c>
      <c r="AE157" s="96">
        <f t="shared" si="29"/>
        <v>0</v>
      </c>
      <c r="AF157" s="96">
        <f t="shared" si="29"/>
        <v>0</v>
      </c>
      <c r="AG157" s="96">
        <f t="shared" si="29"/>
        <v>0</v>
      </c>
      <c r="AH157" s="96">
        <f t="shared" si="29"/>
        <v>0</v>
      </c>
      <c r="AI157" s="96">
        <f t="shared" si="29"/>
        <v>0</v>
      </c>
      <c r="AJ157" s="28" t="str">
        <f t="shared" si="21"/>
        <v/>
      </c>
      <c r="AK157" s="41"/>
      <c r="AL157" s="41" t="str">
        <f t="shared" si="24"/>
        <v>00</v>
      </c>
      <c r="AM157" s="41" t="str">
        <f t="shared" si="25"/>
        <v>00</v>
      </c>
      <c r="AN157" s="41" t="str">
        <f t="shared" si="26"/>
        <v>00</v>
      </c>
      <c r="AO157" s="41" t="str">
        <f t="shared" si="27"/>
        <v>00</v>
      </c>
      <c r="AQ157" t="str">
        <f t="shared" si="22"/>
        <v/>
      </c>
    </row>
    <row r="158" spans="2:43">
      <c r="B158" s="103"/>
      <c r="C158" s="28">
        <f t="shared" si="23"/>
        <v>22</v>
      </c>
      <c r="D158" s="96">
        <f t="shared" si="29"/>
        <v>0</v>
      </c>
      <c r="E158" s="96">
        <f t="shared" si="29"/>
        <v>0</v>
      </c>
      <c r="F158" s="96">
        <f t="shared" si="29"/>
        <v>0</v>
      </c>
      <c r="G158" s="96">
        <f t="shared" si="29"/>
        <v>0</v>
      </c>
      <c r="H158" s="96">
        <f t="shared" si="29"/>
        <v>0</v>
      </c>
      <c r="I158" s="96">
        <f t="shared" si="29"/>
        <v>0</v>
      </c>
      <c r="J158" s="96">
        <f t="shared" si="29"/>
        <v>0</v>
      </c>
      <c r="K158" s="96">
        <f t="shared" si="29"/>
        <v>0</v>
      </c>
      <c r="L158" s="96">
        <f t="shared" si="29"/>
        <v>0</v>
      </c>
      <c r="M158" s="96">
        <f t="shared" si="29"/>
        <v>0</v>
      </c>
      <c r="N158" s="96">
        <f t="shared" si="29"/>
        <v>0</v>
      </c>
      <c r="O158" s="96">
        <f t="shared" si="29"/>
        <v>0</v>
      </c>
      <c r="P158" s="96">
        <f t="shared" si="29"/>
        <v>0</v>
      </c>
      <c r="Q158" s="96">
        <f t="shared" si="29"/>
        <v>0</v>
      </c>
      <c r="R158" s="96">
        <f t="shared" si="29"/>
        <v>0</v>
      </c>
      <c r="S158" s="96">
        <f t="shared" si="29"/>
        <v>0</v>
      </c>
      <c r="T158" s="96">
        <f t="shared" si="29"/>
        <v>0</v>
      </c>
      <c r="U158" s="96">
        <f t="shared" si="29"/>
        <v>0</v>
      </c>
      <c r="V158" s="96">
        <f t="shared" si="29"/>
        <v>0</v>
      </c>
      <c r="W158" s="96">
        <f t="shared" si="29"/>
        <v>0</v>
      </c>
      <c r="X158" s="96">
        <f t="shared" si="29"/>
        <v>0</v>
      </c>
      <c r="Y158" s="96">
        <f t="shared" si="29"/>
        <v>0</v>
      </c>
      <c r="Z158" s="96">
        <f t="shared" si="29"/>
        <v>0</v>
      </c>
      <c r="AA158" s="96">
        <f t="shared" si="29"/>
        <v>0</v>
      </c>
      <c r="AB158" s="96">
        <f t="shared" si="29"/>
        <v>0</v>
      </c>
      <c r="AC158" s="96">
        <f t="shared" si="29"/>
        <v>0</v>
      </c>
      <c r="AD158" s="96">
        <f t="shared" si="29"/>
        <v>0</v>
      </c>
      <c r="AE158" s="96">
        <f t="shared" si="29"/>
        <v>0</v>
      </c>
      <c r="AF158" s="96">
        <f t="shared" si="29"/>
        <v>0</v>
      </c>
      <c r="AG158" s="96">
        <f t="shared" si="29"/>
        <v>0</v>
      </c>
      <c r="AH158" s="96">
        <f t="shared" si="29"/>
        <v>0</v>
      </c>
      <c r="AI158" s="96">
        <f t="shared" si="29"/>
        <v>0</v>
      </c>
      <c r="AJ158" s="28" t="str">
        <f t="shared" si="21"/>
        <v/>
      </c>
      <c r="AK158" s="41"/>
      <c r="AL158" s="41" t="str">
        <f t="shared" si="24"/>
        <v>00</v>
      </c>
      <c r="AM158" s="41" t="str">
        <f t="shared" si="25"/>
        <v>00</v>
      </c>
      <c r="AN158" s="41" t="str">
        <f t="shared" si="26"/>
        <v>00</v>
      </c>
      <c r="AO158" s="41" t="str">
        <f t="shared" si="27"/>
        <v>00</v>
      </c>
      <c r="AQ158" t="str">
        <f t="shared" si="22"/>
        <v/>
      </c>
    </row>
    <row r="159" spans="2:43">
      <c r="B159" s="103"/>
      <c r="C159" s="28">
        <f t="shared" si="23"/>
        <v>23</v>
      </c>
      <c r="D159" s="96">
        <f t="shared" si="29"/>
        <v>0</v>
      </c>
      <c r="E159" s="96">
        <f t="shared" si="29"/>
        <v>0</v>
      </c>
      <c r="F159" s="96">
        <f t="shared" si="29"/>
        <v>0</v>
      </c>
      <c r="G159" s="96">
        <f t="shared" si="29"/>
        <v>0</v>
      </c>
      <c r="H159" s="96">
        <f t="shared" si="29"/>
        <v>0</v>
      </c>
      <c r="I159" s="96">
        <f t="shared" si="29"/>
        <v>0</v>
      </c>
      <c r="J159" s="96">
        <f t="shared" si="29"/>
        <v>0</v>
      </c>
      <c r="K159" s="96">
        <f t="shared" si="29"/>
        <v>0</v>
      </c>
      <c r="L159" s="96">
        <f t="shared" si="29"/>
        <v>0</v>
      </c>
      <c r="M159" s="96">
        <f t="shared" si="29"/>
        <v>0</v>
      </c>
      <c r="N159" s="96">
        <f t="shared" si="29"/>
        <v>0</v>
      </c>
      <c r="O159" s="96">
        <f t="shared" si="29"/>
        <v>0</v>
      </c>
      <c r="P159" s="96">
        <f t="shared" si="29"/>
        <v>0</v>
      </c>
      <c r="Q159" s="96">
        <f t="shared" si="29"/>
        <v>0</v>
      </c>
      <c r="R159" s="96">
        <f t="shared" si="29"/>
        <v>0</v>
      </c>
      <c r="S159" s="96">
        <f t="shared" si="29"/>
        <v>0</v>
      </c>
      <c r="T159" s="96">
        <f t="shared" si="29"/>
        <v>0</v>
      </c>
      <c r="U159" s="96">
        <f t="shared" si="29"/>
        <v>0</v>
      </c>
      <c r="V159" s="96">
        <f t="shared" si="29"/>
        <v>0</v>
      </c>
      <c r="W159" s="96">
        <f t="shared" si="29"/>
        <v>0</v>
      </c>
      <c r="X159" s="96">
        <f t="shared" si="29"/>
        <v>0</v>
      </c>
      <c r="Y159" s="96">
        <f t="shared" si="29"/>
        <v>0</v>
      </c>
      <c r="Z159" s="96">
        <f t="shared" si="29"/>
        <v>0</v>
      </c>
      <c r="AA159" s="96">
        <f t="shared" si="29"/>
        <v>0</v>
      </c>
      <c r="AB159" s="96">
        <f t="shared" si="29"/>
        <v>0</v>
      </c>
      <c r="AC159" s="96">
        <f t="shared" si="29"/>
        <v>0</v>
      </c>
      <c r="AD159" s="96">
        <f t="shared" si="29"/>
        <v>0</v>
      </c>
      <c r="AE159" s="96">
        <f t="shared" si="29"/>
        <v>0</v>
      </c>
      <c r="AF159" s="96">
        <f t="shared" si="29"/>
        <v>0</v>
      </c>
      <c r="AG159" s="96">
        <f t="shared" si="29"/>
        <v>0</v>
      </c>
      <c r="AH159" s="96">
        <f t="shared" si="29"/>
        <v>0</v>
      </c>
      <c r="AI159" s="96">
        <f>IF(OR(AI29=0,AI29=1),1,0)</f>
        <v>0</v>
      </c>
      <c r="AJ159" s="28" t="str">
        <f t="shared" si="21"/>
        <v/>
      </c>
      <c r="AK159" s="41"/>
      <c r="AL159" s="41" t="str">
        <f t="shared" si="24"/>
        <v>00</v>
      </c>
      <c r="AM159" s="41" t="str">
        <f t="shared" si="25"/>
        <v>00</v>
      </c>
      <c r="AN159" s="41" t="str">
        <f t="shared" si="26"/>
        <v>00</v>
      </c>
      <c r="AO159" s="41" t="str">
        <f t="shared" si="27"/>
        <v>00</v>
      </c>
      <c r="AQ159" t="str">
        <f t="shared" si="22"/>
        <v/>
      </c>
    </row>
    <row r="160" spans="2:43">
      <c r="B160" s="103"/>
      <c r="C160" s="28">
        <f t="shared" si="23"/>
        <v>24</v>
      </c>
      <c r="D160" s="96">
        <f t="shared" ref="D160:AI167" si="30">IF(OR(D30=0,D30=1),1,0)</f>
        <v>0</v>
      </c>
      <c r="E160" s="96">
        <f t="shared" si="30"/>
        <v>0</v>
      </c>
      <c r="F160" s="96">
        <f t="shared" si="30"/>
        <v>0</v>
      </c>
      <c r="G160" s="96">
        <f t="shared" si="30"/>
        <v>0</v>
      </c>
      <c r="H160" s="96">
        <f t="shared" si="30"/>
        <v>0</v>
      </c>
      <c r="I160" s="96">
        <f t="shared" si="30"/>
        <v>0</v>
      </c>
      <c r="J160" s="96">
        <f t="shared" si="30"/>
        <v>0</v>
      </c>
      <c r="K160" s="96">
        <f t="shared" si="30"/>
        <v>0</v>
      </c>
      <c r="L160" s="96">
        <f t="shared" si="30"/>
        <v>0</v>
      </c>
      <c r="M160" s="96">
        <f t="shared" si="30"/>
        <v>0</v>
      </c>
      <c r="N160" s="96">
        <f t="shared" si="30"/>
        <v>0</v>
      </c>
      <c r="O160" s="96">
        <f t="shared" si="30"/>
        <v>0</v>
      </c>
      <c r="P160" s="96">
        <f t="shared" si="30"/>
        <v>0</v>
      </c>
      <c r="Q160" s="96">
        <f t="shared" si="30"/>
        <v>0</v>
      </c>
      <c r="R160" s="96">
        <f t="shared" si="30"/>
        <v>0</v>
      </c>
      <c r="S160" s="96">
        <f t="shared" si="30"/>
        <v>0</v>
      </c>
      <c r="T160" s="96">
        <f t="shared" si="30"/>
        <v>0</v>
      </c>
      <c r="U160" s="96">
        <f t="shared" si="30"/>
        <v>0</v>
      </c>
      <c r="V160" s="96">
        <f t="shared" si="30"/>
        <v>0</v>
      </c>
      <c r="W160" s="96">
        <f t="shared" si="30"/>
        <v>0</v>
      </c>
      <c r="X160" s="96">
        <f t="shared" si="30"/>
        <v>0</v>
      </c>
      <c r="Y160" s="96">
        <f t="shared" si="30"/>
        <v>0</v>
      </c>
      <c r="Z160" s="96">
        <f t="shared" si="30"/>
        <v>0</v>
      </c>
      <c r="AA160" s="96">
        <f t="shared" si="30"/>
        <v>0</v>
      </c>
      <c r="AB160" s="96">
        <f t="shared" si="30"/>
        <v>0</v>
      </c>
      <c r="AC160" s="96">
        <f t="shared" si="30"/>
        <v>0</v>
      </c>
      <c r="AD160" s="96">
        <f t="shared" si="30"/>
        <v>0</v>
      </c>
      <c r="AE160" s="96">
        <f t="shared" si="30"/>
        <v>0</v>
      </c>
      <c r="AF160" s="96">
        <f t="shared" si="30"/>
        <v>0</v>
      </c>
      <c r="AG160" s="96">
        <f t="shared" si="30"/>
        <v>0</v>
      </c>
      <c r="AH160" s="96">
        <f t="shared" si="30"/>
        <v>0</v>
      </c>
      <c r="AI160" s="96">
        <f t="shared" si="30"/>
        <v>0</v>
      </c>
      <c r="AJ160" s="28" t="str">
        <f t="shared" si="21"/>
        <v/>
      </c>
      <c r="AK160" s="41"/>
      <c r="AL160" s="41" t="str">
        <f t="shared" si="24"/>
        <v>00</v>
      </c>
      <c r="AM160" s="41" t="str">
        <f t="shared" si="25"/>
        <v>00</v>
      </c>
      <c r="AN160" s="41" t="str">
        <f t="shared" si="26"/>
        <v>00</v>
      </c>
      <c r="AO160" s="41" t="str">
        <f t="shared" si="27"/>
        <v>00</v>
      </c>
      <c r="AQ160" t="str">
        <f t="shared" si="22"/>
        <v/>
      </c>
    </row>
    <row r="161" spans="2:43">
      <c r="B161" s="103"/>
      <c r="C161" s="28">
        <f t="shared" si="23"/>
        <v>25</v>
      </c>
      <c r="D161" s="96">
        <f t="shared" si="30"/>
        <v>0</v>
      </c>
      <c r="E161" s="96">
        <f t="shared" si="30"/>
        <v>0</v>
      </c>
      <c r="F161" s="96">
        <f t="shared" si="30"/>
        <v>0</v>
      </c>
      <c r="G161" s="96">
        <f t="shared" si="30"/>
        <v>0</v>
      </c>
      <c r="H161" s="96">
        <f t="shared" si="30"/>
        <v>0</v>
      </c>
      <c r="I161" s="96">
        <f t="shared" si="30"/>
        <v>0</v>
      </c>
      <c r="J161" s="96">
        <f t="shared" si="30"/>
        <v>0</v>
      </c>
      <c r="K161" s="96">
        <f t="shared" si="30"/>
        <v>0</v>
      </c>
      <c r="L161" s="96">
        <f t="shared" si="30"/>
        <v>0</v>
      </c>
      <c r="M161" s="96">
        <f t="shared" si="30"/>
        <v>0</v>
      </c>
      <c r="N161" s="96">
        <f t="shared" si="30"/>
        <v>0</v>
      </c>
      <c r="O161" s="96">
        <f t="shared" si="30"/>
        <v>0</v>
      </c>
      <c r="P161" s="96">
        <f t="shared" si="30"/>
        <v>0</v>
      </c>
      <c r="Q161" s="96">
        <f t="shared" si="30"/>
        <v>0</v>
      </c>
      <c r="R161" s="96">
        <f t="shared" si="30"/>
        <v>0</v>
      </c>
      <c r="S161" s="96">
        <f t="shared" si="30"/>
        <v>0</v>
      </c>
      <c r="T161" s="96">
        <f t="shared" si="30"/>
        <v>0</v>
      </c>
      <c r="U161" s="96">
        <f t="shared" si="30"/>
        <v>0</v>
      </c>
      <c r="V161" s="96">
        <f t="shared" si="30"/>
        <v>0</v>
      </c>
      <c r="W161" s="96">
        <f t="shared" si="30"/>
        <v>0</v>
      </c>
      <c r="X161" s="96">
        <f t="shared" si="30"/>
        <v>0</v>
      </c>
      <c r="Y161" s="96">
        <f t="shared" si="30"/>
        <v>0</v>
      </c>
      <c r="Z161" s="96">
        <f t="shared" si="30"/>
        <v>0</v>
      </c>
      <c r="AA161" s="96">
        <f t="shared" si="30"/>
        <v>0</v>
      </c>
      <c r="AB161" s="96">
        <f t="shared" si="30"/>
        <v>0</v>
      </c>
      <c r="AC161" s="96">
        <f t="shared" si="30"/>
        <v>0</v>
      </c>
      <c r="AD161" s="96">
        <f t="shared" si="30"/>
        <v>0</v>
      </c>
      <c r="AE161" s="96">
        <f t="shared" si="30"/>
        <v>0</v>
      </c>
      <c r="AF161" s="96">
        <f t="shared" si="30"/>
        <v>0</v>
      </c>
      <c r="AG161" s="96">
        <f t="shared" si="30"/>
        <v>0</v>
      </c>
      <c r="AH161" s="96">
        <f t="shared" si="30"/>
        <v>0</v>
      </c>
      <c r="AI161" s="96">
        <f t="shared" si="30"/>
        <v>0</v>
      </c>
      <c r="AJ161" s="28" t="str">
        <f t="shared" si="21"/>
        <v/>
      </c>
      <c r="AK161" s="41"/>
      <c r="AL161" s="41" t="str">
        <f t="shared" si="24"/>
        <v>00</v>
      </c>
      <c r="AM161" s="41" t="str">
        <f t="shared" si="25"/>
        <v>00</v>
      </c>
      <c r="AN161" s="41" t="str">
        <f t="shared" si="26"/>
        <v>00</v>
      </c>
      <c r="AO161" s="41" t="str">
        <f t="shared" si="27"/>
        <v>00</v>
      </c>
      <c r="AQ161" t="str">
        <f t="shared" si="22"/>
        <v/>
      </c>
    </row>
    <row r="162" spans="2:43">
      <c r="B162" s="103"/>
      <c r="C162" s="28">
        <f t="shared" si="23"/>
        <v>26</v>
      </c>
      <c r="D162" s="96">
        <f t="shared" si="30"/>
        <v>0</v>
      </c>
      <c r="E162" s="96">
        <f t="shared" si="30"/>
        <v>0</v>
      </c>
      <c r="F162" s="96">
        <f t="shared" si="30"/>
        <v>0</v>
      </c>
      <c r="G162" s="96">
        <f t="shared" si="30"/>
        <v>0</v>
      </c>
      <c r="H162" s="96">
        <f t="shared" si="30"/>
        <v>0</v>
      </c>
      <c r="I162" s="96">
        <f t="shared" si="30"/>
        <v>0</v>
      </c>
      <c r="J162" s="96">
        <f t="shared" si="30"/>
        <v>0</v>
      </c>
      <c r="K162" s="96">
        <f t="shared" si="30"/>
        <v>0</v>
      </c>
      <c r="L162" s="96">
        <f t="shared" si="30"/>
        <v>0</v>
      </c>
      <c r="M162" s="96">
        <f t="shared" si="30"/>
        <v>0</v>
      </c>
      <c r="N162" s="96">
        <f t="shared" si="30"/>
        <v>0</v>
      </c>
      <c r="O162" s="96">
        <f t="shared" si="30"/>
        <v>0</v>
      </c>
      <c r="P162" s="96">
        <f t="shared" si="30"/>
        <v>0</v>
      </c>
      <c r="Q162" s="96">
        <f t="shared" si="30"/>
        <v>0</v>
      </c>
      <c r="R162" s="96">
        <f t="shared" si="30"/>
        <v>0</v>
      </c>
      <c r="S162" s="96">
        <f t="shared" si="30"/>
        <v>0</v>
      </c>
      <c r="T162" s="96">
        <f t="shared" si="30"/>
        <v>0</v>
      </c>
      <c r="U162" s="96">
        <f t="shared" si="30"/>
        <v>0</v>
      </c>
      <c r="V162" s="96">
        <f t="shared" si="30"/>
        <v>0</v>
      </c>
      <c r="W162" s="96">
        <f t="shared" si="30"/>
        <v>0</v>
      </c>
      <c r="X162" s="96">
        <f t="shared" si="30"/>
        <v>0</v>
      </c>
      <c r="Y162" s="96">
        <f t="shared" si="30"/>
        <v>0</v>
      </c>
      <c r="Z162" s="96">
        <f t="shared" si="30"/>
        <v>0</v>
      </c>
      <c r="AA162" s="96">
        <f t="shared" si="30"/>
        <v>0</v>
      </c>
      <c r="AB162" s="96">
        <f t="shared" si="30"/>
        <v>0</v>
      </c>
      <c r="AC162" s="96">
        <f t="shared" si="30"/>
        <v>0</v>
      </c>
      <c r="AD162" s="96">
        <f t="shared" si="30"/>
        <v>0</v>
      </c>
      <c r="AE162" s="96">
        <f t="shared" si="30"/>
        <v>0</v>
      </c>
      <c r="AF162" s="96">
        <f t="shared" si="30"/>
        <v>0</v>
      </c>
      <c r="AG162" s="96">
        <f t="shared" si="30"/>
        <v>0</v>
      </c>
      <c r="AH162" s="96">
        <f t="shared" si="30"/>
        <v>0</v>
      </c>
      <c r="AI162" s="96">
        <f t="shared" si="30"/>
        <v>0</v>
      </c>
      <c r="AJ162" s="28" t="str">
        <f t="shared" si="21"/>
        <v/>
      </c>
      <c r="AK162" s="41"/>
      <c r="AL162" s="41" t="str">
        <f t="shared" si="24"/>
        <v>00</v>
      </c>
      <c r="AM162" s="41" t="str">
        <f t="shared" si="25"/>
        <v>00</v>
      </c>
      <c r="AN162" s="41" t="str">
        <f t="shared" si="26"/>
        <v>00</v>
      </c>
      <c r="AO162" s="41" t="str">
        <f t="shared" si="27"/>
        <v>00</v>
      </c>
      <c r="AQ162" t="str">
        <f t="shared" si="22"/>
        <v/>
      </c>
    </row>
    <row r="163" spans="2:43">
      <c r="B163" s="103"/>
      <c r="C163" s="28">
        <f t="shared" si="23"/>
        <v>27</v>
      </c>
      <c r="D163" s="96">
        <f t="shared" si="30"/>
        <v>0</v>
      </c>
      <c r="E163" s="96">
        <f t="shared" si="30"/>
        <v>0</v>
      </c>
      <c r="F163" s="96">
        <f t="shared" si="30"/>
        <v>0</v>
      </c>
      <c r="G163" s="96">
        <f t="shared" si="30"/>
        <v>0</v>
      </c>
      <c r="H163" s="96">
        <f t="shared" si="30"/>
        <v>0</v>
      </c>
      <c r="I163" s="96">
        <f t="shared" si="30"/>
        <v>0</v>
      </c>
      <c r="J163" s="96">
        <f t="shared" si="30"/>
        <v>0</v>
      </c>
      <c r="K163" s="96">
        <f t="shared" si="30"/>
        <v>0</v>
      </c>
      <c r="L163" s="96">
        <f t="shared" si="30"/>
        <v>0</v>
      </c>
      <c r="M163" s="96">
        <f t="shared" si="30"/>
        <v>0</v>
      </c>
      <c r="N163" s="96">
        <f t="shared" si="30"/>
        <v>0</v>
      </c>
      <c r="O163" s="96">
        <f t="shared" si="30"/>
        <v>0</v>
      </c>
      <c r="P163" s="96">
        <f t="shared" si="30"/>
        <v>0</v>
      </c>
      <c r="Q163" s="96">
        <f t="shared" si="30"/>
        <v>0</v>
      </c>
      <c r="R163" s="96">
        <f t="shared" si="30"/>
        <v>0</v>
      </c>
      <c r="S163" s="96">
        <f t="shared" si="30"/>
        <v>0</v>
      </c>
      <c r="T163" s="96">
        <f t="shared" si="30"/>
        <v>0</v>
      </c>
      <c r="U163" s="96">
        <f t="shared" si="30"/>
        <v>0</v>
      </c>
      <c r="V163" s="96">
        <f t="shared" si="30"/>
        <v>0</v>
      </c>
      <c r="W163" s="96">
        <f t="shared" si="30"/>
        <v>0</v>
      </c>
      <c r="X163" s="96">
        <f t="shared" si="30"/>
        <v>0</v>
      </c>
      <c r="Y163" s="96">
        <f t="shared" si="30"/>
        <v>0</v>
      </c>
      <c r="Z163" s="96">
        <f t="shared" si="30"/>
        <v>0</v>
      </c>
      <c r="AA163" s="96">
        <f t="shared" si="30"/>
        <v>0</v>
      </c>
      <c r="AB163" s="96">
        <f t="shared" si="30"/>
        <v>0</v>
      </c>
      <c r="AC163" s="96">
        <f t="shared" si="30"/>
        <v>0</v>
      </c>
      <c r="AD163" s="96">
        <f t="shared" si="30"/>
        <v>0</v>
      </c>
      <c r="AE163" s="96">
        <f t="shared" si="30"/>
        <v>0</v>
      </c>
      <c r="AF163" s="96">
        <f t="shared" si="30"/>
        <v>0</v>
      </c>
      <c r="AG163" s="96">
        <f t="shared" si="30"/>
        <v>0</v>
      </c>
      <c r="AH163" s="96">
        <f t="shared" si="30"/>
        <v>0</v>
      </c>
      <c r="AI163" s="96">
        <f t="shared" si="30"/>
        <v>0</v>
      </c>
      <c r="AJ163" s="28" t="str">
        <f t="shared" si="21"/>
        <v/>
      </c>
      <c r="AK163" s="41"/>
      <c r="AL163" s="41" t="str">
        <f t="shared" si="24"/>
        <v>00</v>
      </c>
      <c r="AM163" s="41" t="str">
        <f t="shared" si="25"/>
        <v>00</v>
      </c>
      <c r="AN163" s="41" t="str">
        <f t="shared" si="26"/>
        <v>00</v>
      </c>
      <c r="AO163" s="41" t="str">
        <f t="shared" si="27"/>
        <v>00</v>
      </c>
      <c r="AQ163" t="str">
        <f t="shared" si="22"/>
        <v/>
      </c>
    </row>
    <row r="164" spans="2:43">
      <c r="B164" s="103"/>
      <c r="C164" s="28">
        <f t="shared" si="23"/>
        <v>28</v>
      </c>
      <c r="D164" s="96">
        <f t="shared" si="30"/>
        <v>0</v>
      </c>
      <c r="E164" s="96">
        <f t="shared" si="30"/>
        <v>0</v>
      </c>
      <c r="F164" s="96">
        <f t="shared" si="30"/>
        <v>0</v>
      </c>
      <c r="G164" s="96">
        <f t="shared" si="30"/>
        <v>0</v>
      </c>
      <c r="H164" s="96">
        <f t="shared" si="30"/>
        <v>0</v>
      </c>
      <c r="I164" s="96">
        <f t="shared" si="30"/>
        <v>0</v>
      </c>
      <c r="J164" s="96">
        <f t="shared" si="30"/>
        <v>0</v>
      </c>
      <c r="K164" s="96">
        <f t="shared" si="30"/>
        <v>0</v>
      </c>
      <c r="L164" s="96">
        <f t="shared" si="30"/>
        <v>0</v>
      </c>
      <c r="M164" s="96">
        <f t="shared" si="30"/>
        <v>0</v>
      </c>
      <c r="N164" s="96">
        <f t="shared" si="30"/>
        <v>0</v>
      </c>
      <c r="O164" s="96">
        <f t="shared" si="30"/>
        <v>0</v>
      </c>
      <c r="P164" s="96">
        <f t="shared" si="30"/>
        <v>0</v>
      </c>
      <c r="Q164" s="96">
        <f t="shared" si="30"/>
        <v>0</v>
      </c>
      <c r="R164" s="96">
        <f t="shared" si="30"/>
        <v>0</v>
      </c>
      <c r="S164" s="96">
        <f t="shared" si="30"/>
        <v>0</v>
      </c>
      <c r="T164" s="96">
        <f t="shared" si="30"/>
        <v>0</v>
      </c>
      <c r="U164" s="96">
        <f t="shared" si="30"/>
        <v>0</v>
      </c>
      <c r="V164" s="96">
        <f t="shared" si="30"/>
        <v>0</v>
      </c>
      <c r="W164" s="96">
        <f t="shared" si="30"/>
        <v>0</v>
      </c>
      <c r="X164" s="96">
        <f t="shared" si="30"/>
        <v>0</v>
      </c>
      <c r="Y164" s="96">
        <f t="shared" si="30"/>
        <v>0</v>
      </c>
      <c r="Z164" s="96">
        <f t="shared" si="30"/>
        <v>0</v>
      </c>
      <c r="AA164" s="96">
        <f t="shared" si="30"/>
        <v>0</v>
      </c>
      <c r="AB164" s="96">
        <f t="shared" si="30"/>
        <v>0</v>
      </c>
      <c r="AC164" s="96">
        <f t="shared" si="30"/>
        <v>0</v>
      </c>
      <c r="AD164" s="96">
        <f t="shared" si="30"/>
        <v>0</v>
      </c>
      <c r="AE164" s="96">
        <f t="shared" si="30"/>
        <v>0</v>
      </c>
      <c r="AF164" s="96">
        <f t="shared" si="30"/>
        <v>0</v>
      </c>
      <c r="AG164" s="96">
        <f t="shared" si="30"/>
        <v>0</v>
      </c>
      <c r="AH164" s="96">
        <f t="shared" si="30"/>
        <v>0</v>
      </c>
      <c r="AI164" s="96">
        <f t="shared" si="30"/>
        <v>0</v>
      </c>
      <c r="AJ164" s="28" t="str">
        <f t="shared" si="21"/>
        <v/>
      </c>
      <c r="AK164" s="41"/>
      <c r="AL164" s="41" t="str">
        <f t="shared" si="24"/>
        <v>00</v>
      </c>
      <c r="AM164" s="41" t="str">
        <f t="shared" si="25"/>
        <v>00</v>
      </c>
      <c r="AN164" s="41" t="str">
        <f t="shared" si="26"/>
        <v>00</v>
      </c>
      <c r="AO164" s="41" t="str">
        <f t="shared" si="27"/>
        <v>00</v>
      </c>
      <c r="AQ164" t="str">
        <f t="shared" si="22"/>
        <v/>
      </c>
    </row>
    <row r="165" spans="2:43">
      <c r="B165" s="103"/>
      <c r="C165" s="28">
        <f t="shared" si="23"/>
        <v>29</v>
      </c>
      <c r="D165" s="96">
        <f t="shared" si="30"/>
        <v>0</v>
      </c>
      <c r="E165" s="96">
        <f t="shared" si="30"/>
        <v>0</v>
      </c>
      <c r="F165" s="96">
        <f t="shared" si="30"/>
        <v>0</v>
      </c>
      <c r="G165" s="96">
        <f t="shared" si="30"/>
        <v>0</v>
      </c>
      <c r="H165" s="96">
        <f t="shared" si="30"/>
        <v>0</v>
      </c>
      <c r="I165" s="96">
        <f t="shared" si="30"/>
        <v>0</v>
      </c>
      <c r="J165" s="96">
        <f t="shared" si="30"/>
        <v>0</v>
      </c>
      <c r="K165" s="96">
        <f t="shared" si="30"/>
        <v>0</v>
      </c>
      <c r="L165" s="96">
        <f t="shared" si="30"/>
        <v>0</v>
      </c>
      <c r="M165" s="96">
        <f t="shared" si="30"/>
        <v>0</v>
      </c>
      <c r="N165" s="96">
        <f t="shared" si="30"/>
        <v>0</v>
      </c>
      <c r="O165" s="96">
        <f t="shared" si="30"/>
        <v>0</v>
      </c>
      <c r="P165" s="96">
        <f t="shared" si="30"/>
        <v>0</v>
      </c>
      <c r="Q165" s="96">
        <f t="shared" si="30"/>
        <v>0</v>
      </c>
      <c r="R165" s="96">
        <f t="shared" si="30"/>
        <v>0</v>
      </c>
      <c r="S165" s="96">
        <f t="shared" si="30"/>
        <v>0</v>
      </c>
      <c r="T165" s="96">
        <f t="shared" si="30"/>
        <v>0</v>
      </c>
      <c r="U165" s="96">
        <f t="shared" si="30"/>
        <v>0</v>
      </c>
      <c r="V165" s="96">
        <f t="shared" si="30"/>
        <v>0</v>
      </c>
      <c r="W165" s="96">
        <f t="shared" si="30"/>
        <v>0</v>
      </c>
      <c r="X165" s="96">
        <f t="shared" si="30"/>
        <v>0</v>
      </c>
      <c r="Y165" s="96">
        <f t="shared" si="30"/>
        <v>0</v>
      </c>
      <c r="Z165" s="96">
        <f t="shared" si="30"/>
        <v>0</v>
      </c>
      <c r="AA165" s="96">
        <f t="shared" si="30"/>
        <v>0</v>
      </c>
      <c r="AB165" s="96">
        <f t="shared" si="30"/>
        <v>0</v>
      </c>
      <c r="AC165" s="96">
        <f t="shared" si="30"/>
        <v>0</v>
      </c>
      <c r="AD165" s="96">
        <f t="shared" si="30"/>
        <v>0</v>
      </c>
      <c r="AE165" s="96">
        <f t="shared" si="30"/>
        <v>0</v>
      </c>
      <c r="AF165" s="96">
        <f t="shared" si="30"/>
        <v>0</v>
      </c>
      <c r="AG165" s="96">
        <f t="shared" si="30"/>
        <v>0</v>
      </c>
      <c r="AH165" s="96">
        <f t="shared" si="30"/>
        <v>0</v>
      </c>
      <c r="AI165" s="96">
        <f t="shared" si="30"/>
        <v>0</v>
      </c>
      <c r="AJ165" s="28" t="str">
        <f t="shared" si="21"/>
        <v/>
      </c>
      <c r="AK165" s="41"/>
      <c r="AL165" s="41" t="str">
        <f t="shared" si="24"/>
        <v>00</v>
      </c>
      <c r="AM165" s="41" t="str">
        <f t="shared" si="25"/>
        <v>00</v>
      </c>
      <c r="AN165" s="41" t="str">
        <f t="shared" si="26"/>
        <v>00</v>
      </c>
      <c r="AO165" s="41" t="str">
        <f t="shared" si="27"/>
        <v>00</v>
      </c>
      <c r="AQ165" t="str">
        <f t="shared" si="22"/>
        <v/>
      </c>
    </row>
    <row r="166" spans="2:43">
      <c r="B166" s="103"/>
      <c r="C166" s="28">
        <f t="shared" si="23"/>
        <v>30</v>
      </c>
      <c r="D166" s="96">
        <f t="shared" si="30"/>
        <v>0</v>
      </c>
      <c r="E166" s="96">
        <f t="shared" si="30"/>
        <v>0</v>
      </c>
      <c r="F166" s="96">
        <f t="shared" si="30"/>
        <v>0</v>
      </c>
      <c r="G166" s="96">
        <f t="shared" si="30"/>
        <v>0</v>
      </c>
      <c r="H166" s="96">
        <f t="shared" si="30"/>
        <v>0</v>
      </c>
      <c r="I166" s="96">
        <f t="shared" si="30"/>
        <v>0</v>
      </c>
      <c r="J166" s="96">
        <f t="shared" si="30"/>
        <v>0</v>
      </c>
      <c r="K166" s="96">
        <f t="shared" si="30"/>
        <v>0</v>
      </c>
      <c r="L166" s="96">
        <f t="shared" si="30"/>
        <v>0</v>
      </c>
      <c r="M166" s="96">
        <f t="shared" si="30"/>
        <v>0</v>
      </c>
      <c r="N166" s="96">
        <f t="shared" si="30"/>
        <v>0</v>
      </c>
      <c r="O166" s="96">
        <f t="shared" si="30"/>
        <v>0</v>
      </c>
      <c r="P166" s="96">
        <f t="shared" si="30"/>
        <v>0</v>
      </c>
      <c r="Q166" s="96">
        <f t="shared" si="30"/>
        <v>0</v>
      </c>
      <c r="R166" s="96">
        <f t="shared" si="30"/>
        <v>0</v>
      </c>
      <c r="S166" s="96">
        <f t="shared" si="30"/>
        <v>0</v>
      </c>
      <c r="T166" s="96">
        <f t="shared" si="30"/>
        <v>0</v>
      </c>
      <c r="U166" s="96">
        <f t="shared" si="30"/>
        <v>0</v>
      </c>
      <c r="V166" s="96">
        <f t="shared" si="30"/>
        <v>0</v>
      </c>
      <c r="W166" s="96">
        <f t="shared" si="30"/>
        <v>0</v>
      </c>
      <c r="X166" s="96">
        <f t="shared" si="30"/>
        <v>0</v>
      </c>
      <c r="Y166" s="96">
        <f t="shared" si="30"/>
        <v>0</v>
      </c>
      <c r="Z166" s="96">
        <f t="shared" si="30"/>
        <v>0</v>
      </c>
      <c r="AA166" s="96">
        <f t="shared" si="30"/>
        <v>0</v>
      </c>
      <c r="AB166" s="96">
        <f t="shared" si="30"/>
        <v>0</v>
      </c>
      <c r="AC166" s="96">
        <f t="shared" si="30"/>
        <v>0</v>
      </c>
      <c r="AD166" s="96">
        <f t="shared" si="30"/>
        <v>0</v>
      </c>
      <c r="AE166" s="96">
        <f t="shared" si="30"/>
        <v>0</v>
      </c>
      <c r="AF166" s="96">
        <f t="shared" si="30"/>
        <v>0</v>
      </c>
      <c r="AG166" s="96">
        <f t="shared" si="30"/>
        <v>0</v>
      </c>
      <c r="AH166" s="96">
        <f t="shared" si="30"/>
        <v>0</v>
      </c>
      <c r="AI166" s="96">
        <f t="shared" si="30"/>
        <v>0</v>
      </c>
      <c r="AJ166" s="28" t="str">
        <f t="shared" si="21"/>
        <v/>
      </c>
      <c r="AK166" s="41"/>
      <c r="AL166" s="41" t="str">
        <f t="shared" si="24"/>
        <v>00</v>
      </c>
      <c r="AM166" s="41" t="str">
        <f t="shared" si="25"/>
        <v>00</v>
      </c>
      <c r="AN166" s="41" t="str">
        <f t="shared" si="26"/>
        <v>00</v>
      </c>
      <c r="AO166" s="41" t="str">
        <f t="shared" si="27"/>
        <v>00</v>
      </c>
      <c r="AQ166" t="str">
        <f t="shared" si="22"/>
        <v/>
      </c>
    </row>
    <row r="167" spans="2:43">
      <c r="B167" s="103"/>
      <c r="C167" s="28">
        <f t="shared" si="23"/>
        <v>31</v>
      </c>
      <c r="D167" s="96">
        <f t="shared" si="30"/>
        <v>0</v>
      </c>
      <c r="E167" s="96">
        <f t="shared" si="30"/>
        <v>0</v>
      </c>
      <c r="F167" s="96">
        <f t="shared" si="30"/>
        <v>0</v>
      </c>
      <c r="G167" s="96">
        <f t="shared" si="30"/>
        <v>0</v>
      </c>
      <c r="H167" s="96">
        <f t="shared" si="30"/>
        <v>0</v>
      </c>
      <c r="I167" s="96">
        <f t="shared" si="30"/>
        <v>0</v>
      </c>
      <c r="J167" s="96">
        <f t="shared" si="30"/>
        <v>0</v>
      </c>
      <c r="K167" s="96">
        <f t="shared" si="30"/>
        <v>0</v>
      </c>
      <c r="L167" s="96">
        <f t="shared" si="30"/>
        <v>0</v>
      </c>
      <c r="M167" s="96">
        <f t="shared" si="30"/>
        <v>0</v>
      </c>
      <c r="N167" s="96">
        <f t="shared" si="30"/>
        <v>0</v>
      </c>
      <c r="O167" s="96">
        <f t="shared" si="30"/>
        <v>0</v>
      </c>
      <c r="P167" s="96">
        <f t="shared" si="30"/>
        <v>0</v>
      </c>
      <c r="Q167" s="96">
        <f t="shared" si="30"/>
        <v>0</v>
      </c>
      <c r="R167" s="96">
        <f t="shared" si="30"/>
        <v>0</v>
      </c>
      <c r="S167" s="96">
        <f t="shared" si="30"/>
        <v>0</v>
      </c>
      <c r="T167" s="96">
        <f t="shared" si="30"/>
        <v>0</v>
      </c>
      <c r="U167" s="96">
        <f t="shared" si="30"/>
        <v>0</v>
      </c>
      <c r="V167" s="96">
        <f t="shared" si="30"/>
        <v>0</v>
      </c>
      <c r="W167" s="96">
        <f t="shared" si="30"/>
        <v>0</v>
      </c>
      <c r="X167" s="96">
        <f t="shared" si="30"/>
        <v>0</v>
      </c>
      <c r="Y167" s="96">
        <f t="shared" si="30"/>
        <v>0</v>
      </c>
      <c r="Z167" s="96">
        <f t="shared" si="30"/>
        <v>0</v>
      </c>
      <c r="AA167" s="96">
        <f t="shared" si="30"/>
        <v>0</v>
      </c>
      <c r="AB167" s="96">
        <f t="shared" si="30"/>
        <v>0</v>
      </c>
      <c r="AC167" s="96">
        <f t="shared" si="30"/>
        <v>0</v>
      </c>
      <c r="AD167" s="96">
        <f t="shared" si="30"/>
        <v>0</v>
      </c>
      <c r="AE167" s="96">
        <f t="shared" si="30"/>
        <v>0</v>
      </c>
      <c r="AF167" s="96">
        <f t="shared" si="30"/>
        <v>0</v>
      </c>
      <c r="AG167" s="96">
        <f t="shared" si="30"/>
        <v>0</v>
      </c>
      <c r="AH167" s="96">
        <f t="shared" si="30"/>
        <v>0</v>
      </c>
      <c r="AI167" s="96">
        <f>IF(OR(AI37=0,AI37=1),1,0)</f>
        <v>0</v>
      </c>
      <c r="AJ167" s="28" t="str">
        <f t="shared" si="21"/>
        <v/>
      </c>
      <c r="AK167" s="41"/>
      <c r="AL167" s="41" t="str">
        <f t="shared" si="24"/>
        <v>00</v>
      </c>
      <c r="AM167" s="41" t="str">
        <f t="shared" si="25"/>
        <v>00</v>
      </c>
      <c r="AN167" s="41" t="str">
        <f t="shared" si="26"/>
        <v>00</v>
      </c>
      <c r="AO167" s="41" t="str">
        <f t="shared" si="27"/>
        <v>00</v>
      </c>
      <c r="AQ167" t="str">
        <f t="shared" si="22"/>
        <v/>
      </c>
    </row>
    <row r="168" spans="2:43">
      <c r="B168" s="103"/>
      <c r="C168" s="28">
        <f t="shared" si="23"/>
        <v>32</v>
      </c>
      <c r="D168" s="96">
        <f t="shared" ref="D168:AI175" si="31">IF(OR(D38=0,D38=1),1,0)</f>
        <v>0</v>
      </c>
      <c r="E168" s="96">
        <f t="shared" si="31"/>
        <v>0</v>
      </c>
      <c r="F168" s="96">
        <f t="shared" si="31"/>
        <v>0</v>
      </c>
      <c r="G168" s="96">
        <f t="shared" si="31"/>
        <v>0</v>
      </c>
      <c r="H168" s="96">
        <f t="shared" si="31"/>
        <v>0</v>
      </c>
      <c r="I168" s="96">
        <f t="shared" si="31"/>
        <v>0</v>
      </c>
      <c r="J168" s="96">
        <f t="shared" si="31"/>
        <v>0</v>
      </c>
      <c r="K168" s="96">
        <f t="shared" si="31"/>
        <v>0</v>
      </c>
      <c r="L168" s="96">
        <f t="shared" si="31"/>
        <v>0</v>
      </c>
      <c r="M168" s="96">
        <f t="shared" si="31"/>
        <v>0</v>
      </c>
      <c r="N168" s="96">
        <f t="shared" si="31"/>
        <v>0</v>
      </c>
      <c r="O168" s="96">
        <f t="shared" si="31"/>
        <v>0</v>
      </c>
      <c r="P168" s="96">
        <f t="shared" si="31"/>
        <v>0</v>
      </c>
      <c r="Q168" s="96">
        <f t="shared" si="31"/>
        <v>0</v>
      </c>
      <c r="R168" s="96">
        <f t="shared" si="31"/>
        <v>0</v>
      </c>
      <c r="S168" s="96">
        <f t="shared" si="31"/>
        <v>0</v>
      </c>
      <c r="T168" s="96">
        <f t="shared" si="31"/>
        <v>0</v>
      </c>
      <c r="U168" s="96">
        <f t="shared" si="31"/>
        <v>0</v>
      </c>
      <c r="V168" s="96">
        <f t="shared" si="31"/>
        <v>0</v>
      </c>
      <c r="W168" s="96">
        <f t="shared" si="31"/>
        <v>0</v>
      </c>
      <c r="X168" s="96">
        <f t="shared" si="31"/>
        <v>0</v>
      </c>
      <c r="Y168" s="96">
        <f t="shared" si="31"/>
        <v>0</v>
      </c>
      <c r="Z168" s="96">
        <f t="shared" si="31"/>
        <v>0</v>
      </c>
      <c r="AA168" s="96">
        <f t="shared" si="31"/>
        <v>0</v>
      </c>
      <c r="AB168" s="96">
        <f t="shared" si="31"/>
        <v>0</v>
      </c>
      <c r="AC168" s="96">
        <f t="shared" si="31"/>
        <v>0</v>
      </c>
      <c r="AD168" s="96">
        <f t="shared" si="31"/>
        <v>0</v>
      </c>
      <c r="AE168" s="96">
        <f t="shared" si="31"/>
        <v>0</v>
      </c>
      <c r="AF168" s="96">
        <f t="shared" si="31"/>
        <v>0</v>
      </c>
      <c r="AG168" s="96">
        <f t="shared" si="31"/>
        <v>0</v>
      </c>
      <c r="AH168" s="96">
        <f t="shared" si="31"/>
        <v>0</v>
      </c>
      <c r="AI168" s="96">
        <f t="shared" si="31"/>
        <v>0</v>
      </c>
      <c r="AJ168" s="28" t="str">
        <f t="shared" si="21"/>
        <v/>
      </c>
      <c r="AK168" s="41"/>
      <c r="AL168" s="41" t="str">
        <f t="shared" si="24"/>
        <v>00</v>
      </c>
      <c r="AM168" s="41" t="str">
        <f t="shared" si="25"/>
        <v>00</v>
      </c>
      <c r="AN168" s="41" t="str">
        <f t="shared" si="26"/>
        <v>00</v>
      </c>
      <c r="AO168" s="41" t="str">
        <f t="shared" si="27"/>
        <v>00</v>
      </c>
      <c r="AQ168" t="str">
        <f t="shared" si="22"/>
        <v/>
      </c>
    </row>
    <row r="169" spans="2:43">
      <c r="B169" s="103"/>
      <c r="C169" s="28">
        <f t="shared" si="23"/>
        <v>33</v>
      </c>
      <c r="D169" s="96">
        <f t="shared" si="31"/>
        <v>0</v>
      </c>
      <c r="E169" s="96">
        <f t="shared" si="31"/>
        <v>0</v>
      </c>
      <c r="F169" s="96">
        <f t="shared" si="31"/>
        <v>0</v>
      </c>
      <c r="G169" s="96">
        <f t="shared" si="31"/>
        <v>0</v>
      </c>
      <c r="H169" s="96">
        <f t="shared" si="31"/>
        <v>0</v>
      </c>
      <c r="I169" s="96">
        <f t="shared" si="31"/>
        <v>0</v>
      </c>
      <c r="J169" s="96">
        <f t="shared" si="31"/>
        <v>0</v>
      </c>
      <c r="K169" s="96">
        <f t="shared" si="31"/>
        <v>0</v>
      </c>
      <c r="L169" s="96">
        <f t="shared" si="31"/>
        <v>0</v>
      </c>
      <c r="M169" s="96">
        <f t="shared" si="31"/>
        <v>0</v>
      </c>
      <c r="N169" s="96">
        <f t="shared" si="31"/>
        <v>0</v>
      </c>
      <c r="O169" s="96">
        <f t="shared" si="31"/>
        <v>0</v>
      </c>
      <c r="P169" s="96">
        <f t="shared" si="31"/>
        <v>0</v>
      </c>
      <c r="Q169" s="96">
        <f t="shared" si="31"/>
        <v>0</v>
      </c>
      <c r="R169" s="96">
        <f t="shared" si="31"/>
        <v>0</v>
      </c>
      <c r="S169" s="96">
        <f t="shared" si="31"/>
        <v>0</v>
      </c>
      <c r="T169" s="96">
        <f t="shared" si="31"/>
        <v>0</v>
      </c>
      <c r="U169" s="96">
        <f t="shared" si="31"/>
        <v>0</v>
      </c>
      <c r="V169" s="96">
        <f t="shared" si="31"/>
        <v>0</v>
      </c>
      <c r="W169" s="96">
        <f t="shared" si="31"/>
        <v>0</v>
      </c>
      <c r="X169" s="96">
        <f t="shared" si="31"/>
        <v>0</v>
      </c>
      <c r="Y169" s="96">
        <f t="shared" si="31"/>
        <v>0</v>
      </c>
      <c r="Z169" s="96">
        <f t="shared" si="31"/>
        <v>0</v>
      </c>
      <c r="AA169" s="96">
        <f t="shared" si="31"/>
        <v>0</v>
      </c>
      <c r="AB169" s="96">
        <f t="shared" si="31"/>
        <v>0</v>
      </c>
      <c r="AC169" s="96">
        <f t="shared" si="31"/>
        <v>0</v>
      </c>
      <c r="AD169" s="96">
        <f t="shared" si="31"/>
        <v>0</v>
      </c>
      <c r="AE169" s="96">
        <f t="shared" si="31"/>
        <v>0</v>
      </c>
      <c r="AF169" s="96">
        <f t="shared" si="31"/>
        <v>0</v>
      </c>
      <c r="AG169" s="96">
        <f t="shared" si="31"/>
        <v>0</v>
      </c>
      <c r="AH169" s="96">
        <f t="shared" si="31"/>
        <v>0</v>
      </c>
      <c r="AI169" s="96">
        <f t="shared" si="31"/>
        <v>0</v>
      </c>
      <c r="AJ169" s="28" t="str">
        <f t="shared" si="21"/>
        <v/>
      </c>
      <c r="AK169" s="41"/>
      <c r="AL169" s="41" t="str">
        <f t="shared" si="24"/>
        <v>00</v>
      </c>
      <c r="AM169" s="41" t="str">
        <f t="shared" si="25"/>
        <v>00</v>
      </c>
      <c r="AN169" s="41" t="str">
        <f t="shared" si="26"/>
        <v>00</v>
      </c>
      <c r="AO169" s="41" t="str">
        <f t="shared" si="27"/>
        <v>00</v>
      </c>
      <c r="AQ169" t="str">
        <f t="shared" si="22"/>
        <v/>
      </c>
    </row>
    <row r="170" spans="2:43">
      <c r="B170" s="103"/>
      <c r="C170" s="28">
        <f t="shared" si="23"/>
        <v>34</v>
      </c>
      <c r="D170" s="96">
        <f t="shared" si="31"/>
        <v>0</v>
      </c>
      <c r="E170" s="96">
        <f t="shared" si="31"/>
        <v>0</v>
      </c>
      <c r="F170" s="96">
        <f t="shared" si="31"/>
        <v>0</v>
      </c>
      <c r="G170" s="96">
        <f t="shared" si="31"/>
        <v>0</v>
      </c>
      <c r="H170" s="96">
        <f t="shared" si="31"/>
        <v>0</v>
      </c>
      <c r="I170" s="96">
        <f t="shared" si="31"/>
        <v>0</v>
      </c>
      <c r="J170" s="96">
        <f t="shared" si="31"/>
        <v>0</v>
      </c>
      <c r="K170" s="96">
        <f t="shared" si="31"/>
        <v>0</v>
      </c>
      <c r="L170" s="96">
        <f t="shared" si="31"/>
        <v>0</v>
      </c>
      <c r="M170" s="96">
        <f t="shared" si="31"/>
        <v>0</v>
      </c>
      <c r="N170" s="96">
        <f t="shared" si="31"/>
        <v>0</v>
      </c>
      <c r="O170" s="96">
        <f t="shared" si="31"/>
        <v>0</v>
      </c>
      <c r="P170" s="96">
        <f t="shared" si="31"/>
        <v>0</v>
      </c>
      <c r="Q170" s="96">
        <f t="shared" si="31"/>
        <v>0</v>
      </c>
      <c r="R170" s="96">
        <f t="shared" si="31"/>
        <v>0</v>
      </c>
      <c r="S170" s="96">
        <f t="shared" si="31"/>
        <v>0</v>
      </c>
      <c r="T170" s="96">
        <f t="shared" si="31"/>
        <v>0</v>
      </c>
      <c r="U170" s="96">
        <f t="shared" si="31"/>
        <v>0</v>
      </c>
      <c r="V170" s="96">
        <f t="shared" si="31"/>
        <v>0</v>
      </c>
      <c r="W170" s="96">
        <f t="shared" si="31"/>
        <v>0</v>
      </c>
      <c r="X170" s="96">
        <f t="shared" si="31"/>
        <v>0</v>
      </c>
      <c r="Y170" s="96">
        <f t="shared" si="31"/>
        <v>0</v>
      </c>
      <c r="Z170" s="96">
        <f t="shared" si="31"/>
        <v>0</v>
      </c>
      <c r="AA170" s="96">
        <f t="shared" si="31"/>
        <v>0</v>
      </c>
      <c r="AB170" s="96">
        <f t="shared" si="31"/>
        <v>0</v>
      </c>
      <c r="AC170" s="96">
        <f t="shared" si="31"/>
        <v>0</v>
      </c>
      <c r="AD170" s="96">
        <f t="shared" si="31"/>
        <v>0</v>
      </c>
      <c r="AE170" s="96">
        <f t="shared" si="31"/>
        <v>0</v>
      </c>
      <c r="AF170" s="96">
        <f t="shared" si="31"/>
        <v>0</v>
      </c>
      <c r="AG170" s="96">
        <f t="shared" si="31"/>
        <v>0</v>
      </c>
      <c r="AH170" s="96">
        <f t="shared" si="31"/>
        <v>0</v>
      </c>
      <c r="AI170" s="96">
        <f t="shared" si="31"/>
        <v>0</v>
      </c>
      <c r="AJ170" s="28" t="str">
        <f t="shared" si="21"/>
        <v/>
      </c>
      <c r="AK170" s="41"/>
      <c r="AL170" s="41" t="str">
        <f t="shared" si="24"/>
        <v>00</v>
      </c>
      <c r="AM170" s="41" t="str">
        <f t="shared" si="25"/>
        <v>00</v>
      </c>
      <c r="AN170" s="41" t="str">
        <f t="shared" si="26"/>
        <v>00</v>
      </c>
      <c r="AO170" s="41" t="str">
        <f t="shared" si="27"/>
        <v>00</v>
      </c>
      <c r="AQ170" t="str">
        <f t="shared" si="22"/>
        <v/>
      </c>
    </row>
    <row r="171" spans="2:43">
      <c r="B171" s="103"/>
      <c r="C171" s="28">
        <f t="shared" si="23"/>
        <v>35</v>
      </c>
      <c r="D171" s="96">
        <f t="shared" si="31"/>
        <v>0</v>
      </c>
      <c r="E171" s="96">
        <f t="shared" si="31"/>
        <v>0</v>
      </c>
      <c r="F171" s="96">
        <f t="shared" si="31"/>
        <v>0</v>
      </c>
      <c r="G171" s="96">
        <f t="shared" si="31"/>
        <v>0</v>
      </c>
      <c r="H171" s="96">
        <f t="shared" si="31"/>
        <v>0</v>
      </c>
      <c r="I171" s="96">
        <f t="shared" si="31"/>
        <v>0</v>
      </c>
      <c r="J171" s="96">
        <f t="shared" si="31"/>
        <v>0</v>
      </c>
      <c r="K171" s="96">
        <f t="shared" si="31"/>
        <v>0</v>
      </c>
      <c r="L171" s="96">
        <f t="shared" si="31"/>
        <v>0</v>
      </c>
      <c r="M171" s="96">
        <f t="shared" si="31"/>
        <v>0</v>
      </c>
      <c r="N171" s="96">
        <f t="shared" si="31"/>
        <v>0</v>
      </c>
      <c r="O171" s="96">
        <f t="shared" si="31"/>
        <v>0</v>
      </c>
      <c r="P171" s="96">
        <f t="shared" si="31"/>
        <v>0</v>
      </c>
      <c r="Q171" s="96">
        <f t="shared" si="31"/>
        <v>0</v>
      </c>
      <c r="R171" s="96">
        <f t="shared" si="31"/>
        <v>0</v>
      </c>
      <c r="S171" s="96">
        <f t="shared" si="31"/>
        <v>0</v>
      </c>
      <c r="T171" s="96">
        <f t="shared" si="31"/>
        <v>0</v>
      </c>
      <c r="U171" s="96">
        <f t="shared" si="31"/>
        <v>0</v>
      </c>
      <c r="V171" s="96">
        <f t="shared" si="31"/>
        <v>0</v>
      </c>
      <c r="W171" s="96">
        <f t="shared" si="31"/>
        <v>0</v>
      </c>
      <c r="X171" s="96">
        <f t="shared" si="31"/>
        <v>0</v>
      </c>
      <c r="Y171" s="96">
        <f t="shared" si="31"/>
        <v>0</v>
      </c>
      <c r="Z171" s="96">
        <f t="shared" si="31"/>
        <v>0</v>
      </c>
      <c r="AA171" s="96">
        <f t="shared" si="31"/>
        <v>0</v>
      </c>
      <c r="AB171" s="96">
        <f t="shared" si="31"/>
        <v>0</v>
      </c>
      <c r="AC171" s="96">
        <f t="shared" si="31"/>
        <v>0</v>
      </c>
      <c r="AD171" s="96">
        <f t="shared" si="31"/>
        <v>0</v>
      </c>
      <c r="AE171" s="96">
        <f t="shared" si="31"/>
        <v>0</v>
      </c>
      <c r="AF171" s="96">
        <f t="shared" si="31"/>
        <v>0</v>
      </c>
      <c r="AG171" s="96">
        <f t="shared" si="31"/>
        <v>0</v>
      </c>
      <c r="AH171" s="96">
        <f t="shared" si="31"/>
        <v>0</v>
      </c>
      <c r="AI171" s="96">
        <f t="shared" si="31"/>
        <v>0</v>
      </c>
      <c r="AJ171" s="28" t="str">
        <f t="shared" si="21"/>
        <v/>
      </c>
      <c r="AK171" s="41"/>
      <c r="AL171" s="41" t="str">
        <f t="shared" si="24"/>
        <v>00</v>
      </c>
      <c r="AM171" s="41" t="str">
        <f t="shared" si="25"/>
        <v>00</v>
      </c>
      <c r="AN171" s="41" t="str">
        <f t="shared" si="26"/>
        <v>00</v>
      </c>
      <c r="AO171" s="41" t="str">
        <f t="shared" si="27"/>
        <v>00</v>
      </c>
      <c r="AQ171" t="str">
        <f t="shared" si="22"/>
        <v/>
      </c>
    </row>
    <row r="172" spans="2:43">
      <c r="B172" s="103"/>
      <c r="C172" s="28">
        <f t="shared" si="23"/>
        <v>36</v>
      </c>
      <c r="D172" s="96">
        <f t="shared" si="31"/>
        <v>0</v>
      </c>
      <c r="E172" s="96">
        <f t="shared" si="31"/>
        <v>0</v>
      </c>
      <c r="F172" s="96">
        <f t="shared" si="31"/>
        <v>0</v>
      </c>
      <c r="G172" s="96">
        <f t="shared" si="31"/>
        <v>0</v>
      </c>
      <c r="H172" s="96">
        <f t="shared" si="31"/>
        <v>0</v>
      </c>
      <c r="I172" s="96">
        <f t="shared" si="31"/>
        <v>0</v>
      </c>
      <c r="J172" s="96">
        <f t="shared" si="31"/>
        <v>0</v>
      </c>
      <c r="K172" s="96">
        <f t="shared" si="31"/>
        <v>0</v>
      </c>
      <c r="L172" s="96">
        <f t="shared" si="31"/>
        <v>0</v>
      </c>
      <c r="M172" s="96">
        <f t="shared" si="31"/>
        <v>0</v>
      </c>
      <c r="N172" s="96">
        <f t="shared" si="31"/>
        <v>0</v>
      </c>
      <c r="O172" s="96">
        <f t="shared" si="31"/>
        <v>0</v>
      </c>
      <c r="P172" s="96">
        <f t="shared" si="31"/>
        <v>0</v>
      </c>
      <c r="Q172" s="96">
        <f t="shared" si="31"/>
        <v>0</v>
      </c>
      <c r="R172" s="96">
        <f t="shared" si="31"/>
        <v>0</v>
      </c>
      <c r="S172" s="96">
        <f t="shared" si="31"/>
        <v>0</v>
      </c>
      <c r="T172" s="96">
        <f t="shared" si="31"/>
        <v>0</v>
      </c>
      <c r="U172" s="96">
        <f t="shared" si="31"/>
        <v>0</v>
      </c>
      <c r="V172" s="96">
        <f t="shared" si="31"/>
        <v>0</v>
      </c>
      <c r="W172" s="96">
        <f t="shared" si="31"/>
        <v>0</v>
      </c>
      <c r="X172" s="96">
        <f t="shared" si="31"/>
        <v>0</v>
      </c>
      <c r="Y172" s="96">
        <f t="shared" si="31"/>
        <v>0</v>
      </c>
      <c r="Z172" s="96">
        <f t="shared" si="31"/>
        <v>0</v>
      </c>
      <c r="AA172" s="96">
        <f t="shared" si="31"/>
        <v>0</v>
      </c>
      <c r="AB172" s="96">
        <f t="shared" si="31"/>
        <v>0</v>
      </c>
      <c r="AC172" s="96">
        <f t="shared" si="31"/>
        <v>0</v>
      </c>
      <c r="AD172" s="96">
        <f t="shared" si="31"/>
        <v>0</v>
      </c>
      <c r="AE172" s="96">
        <f t="shared" si="31"/>
        <v>0</v>
      </c>
      <c r="AF172" s="96">
        <f t="shared" si="31"/>
        <v>0</v>
      </c>
      <c r="AG172" s="96">
        <f t="shared" si="31"/>
        <v>0</v>
      </c>
      <c r="AH172" s="96">
        <f t="shared" si="31"/>
        <v>0</v>
      </c>
      <c r="AI172" s="96">
        <f t="shared" si="31"/>
        <v>0</v>
      </c>
      <c r="AJ172" s="28" t="str">
        <f t="shared" si="21"/>
        <v/>
      </c>
      <c r="AK172" s="41"/>
      <c r="AL172" s="41" t="str">
        <f t="shared" si="24"/>
        <v>00</v>
      </c>
      <c r="AM172" s="41" t="str">
        <f t="shared" si="25"/>
        <v>00</v>
      </c>
      <c r="AN172" s="41" t="str">
        <f t="shared" si="26"/>
        <v>00</v>
      </c>
      <c r="AO172" s="41" t="str">
        <f t="shared" si="27"/>
        <v>00</v>
      </c>
      <c r="AQ172" t="str">
        <f t="shared" si="22"/>
        <v/>
      </c>
    </row>
    <row r="173" spans="2:43">
      <c r="B173" s="103"/>
      <c r="C173" s="28">
        <f t="shared" si="23"/>
        <v>37</v>
      </c>
      <c r="D173" s="96">
        <f t="shared" si="31"/>
        <v>0</v>
      </c>
      <c r="E173" s="96">
        <f t="shared" si="31"/>
        <v>0</v>
      </c>
      <c r="F173" s="96">
        <f t="shared" si="31"/>
        <v>0</v>
      </c>
      <c r="G173" s="96">
        <f t="shared" si="31"/>
        <v>0</v>
      </c>
      <c r="H173" s="96">
        <f t="shared" si="31"/>
        <v>0</v>
      </c>
      <c r="I173" s="96">
        <f t="shared" si="31"/>
        <v>0</v>
      </c>
      <c r="J173" s="96">
        <f t="shared" si="31"/>
        <v>0</v>
      </c>
      <c r="K173" s="96">
        <f t="shared" si="31"/>
        <v>0</v>
      </c>
      <c r="L173" s="96">
        <f t="shared" si="31"/>
        <v>0</v>
      </c>
      <c r="M173" s="96">
        <f t="shared" si="31"/>
        <v>0</v>
      </c>
      <c r="N173" s="96">
        <f t="shared" si="31"/>
        <v>0</v>
      </c>
      <c r="O173" s="96">
        <f t="shared" si="31"/>
        <v>0</v>
      </c>
      <c r="P173" s="96">
        <f t="shared" si="31"/>
        <v>0</v>
      </c>
      <c r="Q173" s="96">
        <f t="shared" si="31"/>
        <v>0</v>
      </c>
      <c r="R173" s="96">
        <f t="shared" si="31"/>
        <v>0</v>
      </c>
      <c r="S173" s="96">
        <f t="shared" si="31"/>
        <v>0</v>
      </c>
      <c r="T173" s="96">
        <f t="shared" si="31"/>
        <v>0</v>
      </c>
      <c r="U173" s="96">
        <f t="shared" si="31"/>
        <v>0</v>
      </c>
      <c r="V173" s="96">
        <f t="shared" si="31"/>
        <v>0</v>
      </c>
      <c r="W173" s="96">
        <f t="shared" si="31"/>
        <v>0</v>
      </c>
      <c r="X173" s="96">
        <f t="shared" si="31"/>
        <v>0</v>
      </c>
      <c r="Y173" s="96">
        <f t="shared" si="31"/>
        <v>0</v>
      </c>
      <c r="Z173" s="96">
        <f t="shared" si="31"/>
        <v>0</v>
      </c>
      <c r="AA173" s="96">
        <f t="shared" si="31"/>
        <v>0</v>
      </c>
      <c r="AB173" s="96">
        <f t="shared" si="31"/>
        <v>0</v>
      </c>
      <c r="AC173" s="96">
        <f t="shared" si="31"/>
        <v>0</v>
      </c>
      <c r="AD173" s="96">
        <f t="shared" si="31"/>
        <v>0</v>
      </c>
      <c r="AE173" s="96">
        <f t="shared" si="31"/>
        <v>0</v>
      </c>
      <c r="AF173" s="96">
        <f t="shared" si="31"/>
        <v>0</v>
      </c>
      <c r="AG173" s="96">
        <f t="shared" si="31"/>
        <v>0</v>
      </c>
      <c r="AH173" s="96">
        <f t="shared" si="31"/>
        <v>0</v>
      </c>
      <c r="AI173" s="96">
        <f t="shared" si="31"/>
        <v>0</v>
      </c>
      <c r="AJ173" s="28" t="str">
        <f t="shared" si="21"/>
        <v/>
      </c>
      <c r="AK173" s="41"/>
      <c r="AL173" s="41" t="str">
        <f t="shared" si="24"/>
        <v>00</v>
      </c>
      <c r="AM173" s="41" t="str">
        <f t="shared" si="25"/>
        <v>00</v>
      </c>
      <c r="AN173" s="41" t="str">
        <f t="shared" si="26"/>
        <v>00</v>
      </c>
      <c r="AO173" s="41" t="str">
        <f t="shared" si="27"/>
        <v>00</v>
      </c>
      <c r="AQ173" t="str">
        <f t="shared" si="22"/>
        <v/>
      </c>
    </row>
    <row r="174" spans="2:43">
      <c r="B174" s="103"/>
      <c r="C174" s="28">
        <f t="shared" si="23"/>
        <v>38</v>
      </c>
      <c r="D174" s="96">
        <f t="shared" si="31"/>
        <v>0</v>
      </c>
      <c r="E174" s="96">
        <f t="shared" si="31"/>
        <v>0</v>
      </c>
      <c r="F174" s="96">
        <f t="shared" si="31"/>
        <v>0</v>
      </c>
      <c r="G174" s="96">
        <f t="shared" si="31"/>
        <v>0</v>
      </c>
      <c r="H174" s="96">
        <f t="shared" si="31"/>
        <v>0</v>
      </c>
      <c r="I174" s="96">
        <f t="shared" si="31"/>
        <v>0</v>
      </c>
      <c r="J174" s="96">
        <f t="shared" si="31"/>
        <v>0</v>
      </c>
      <c r="K174" s="96">
        <f t="shared" si="31"/>
        <v>0</v>
      </c>
      <c r="L174" s="96">
        <f t="shared" si="31"/>
        <v>0</v>
      </c>
      <c r="M174" s="96">
        <f t="shared" si="31"/>
        <v>0</v>
      </c>
      <c r="N174" s="96">
        <f t="shared" si="31"/>
        <v>0</v>
      </c>
      <c r="O174" s="96">
        <f t="shared" si="31"/>
        <v>0</v>
      </c>
      <c r="P174" s="96">
        <f t="shared" si="31"/>
        <v>0</v>
      </c>
      <c r="Q174" s="96">
        <f t="shared" si="31"/>
        <v>0</v>
      </c>
      <c r="R174" s="96">
        <f t="shared" si="31"/>
        <v>0</v>
      </c>
      <c r="S174" s="96">
        <f t="shared" si="31"/>
        <v>0</v>
      </c>
      <c r="T174" s="96">
        <f t="shared" si="31"/>
        <v>0</v>
      </c>
      <c r="U174" s="96">
        <f t="shared" si="31"/>
        <v>0</v>
      </c>
      <c r="V174" s="96">
        <f t="shared" si="31"/>
        <v>0</v>
      </c>
      <c r="W174" s="96">
        <f t="shared" si="31"/>
        <v>0</v>
      </c>
      <c r="X174" s="96">
        <f t="shared" si="31"/>
        <v>0</v>
      </c>
      <c r="Y174" s="96">
        <f t="shared" si="31"/>
        <v>0</v>
      </c>
      <c r="Z174" s="96">
        <f t="shared" si="31"/>
        <v>0</v>
      </c>
      <c r="AA174" s="96">
        <f t="shared" si="31"/>
        <v>0</v>
      </c>
      <c r="AB174" s="96">
        <f t="shared" si="31"/>
        <v>0</v>
      </c>
      <c r="AC174" s="96">
        <f t="shared" si="31"/>
        <v>0</v>
      </c>
      <c r="AD174" s="96">
        <f t="shared" si="31"/>
        <v>0</v>
      </c>
      <c r="AE174" s="96">
        <f t="shared" si="31"/>
        <v>0</v>
      </c>
      <c r="AF174" s="96">
        <f t="shared" si="31"/>
        <v>0</v>
      </c>
      <c r="AG174" s="96">
        <f t="shared" si="31"/>
        <v>0</v>
      </c>
      <c r="AH174" s="96">
        <f t="shared" si="31"/>
        <v>0</v>
      </c>
      <c r="AI174" s="96">
        <f t="shared" si="31"/>
        <v>0</v>
      </c>
      <c r="AJ174" s="28" t="str">
        <f t="shared" si="21"/>
        <v/>
      </c>
      <c r="AK174" s="41"/>
      <c r="AL174" s="41" t="str">
        <f t="shared" si="24"/>
        <v>00</v>
      </c>
      <c r="AM174" s="41" t="str">
        <f t="shared" si="25"/>
        <v>00</v>
      </c>
      <c r="AN174" s="41" t="str">
        <f t="shared" si="26"/>
        <v>00</v>
      </c>
      <c r="AO174" s="41" t="str">
        <f t="shared" si="27"/>
        <v>00</v>
      </c>
      <c r="AQ174" t="str">
        <f t="shared" si="22"/>
        <v/>
      </c>
    </row>
    <row r="175" spans="2:43">
      <c r="B175" s="103"/>
      <c r="C175" s="28">
        <f t="shared" si="23"/>
        <v>39</v>
      </c>
      <c r="D175" s="96">
        <f t="shared" si="31"/>
        <v>0</v>
      </c>
      <c r="E175" s="96">
        <f t="shared" si="31"/>
        <v>0</v>
      </c>
      <c r="F175" s="96">
        <f t="shared" si="31"/>
        <v>0</v>
      </c>
      <c r="G175" s="96">
        <f t="shared" si="31"/>
        <v>0</v>
      </c>
      <c r="H175" s="96">
        <f t="shared" si="31"/>
        <v>0</v>
      </c>
      <c r="I175" s="96">
        <f t="shared" si="31"/>
        <v>0</v>
      </c>
      <c r="J175" s="96">
        <f t="shared" si="31"/>
        <v>0</v>
      </c>
      <c r="K175" s="96">
        <f t="shared" si="31"/>
        <v>0</v>
      </c>
      <c r="L175" s="96">
        <f t="shared" si="31"/>
        <v>0</v>
      </c>
      <c r="M175" s="96">
        <f t="shared" si="31"/>
        <v>0</v>
      </c>
      <c r="N175" s="96">
        <f t="shared" si="31"/>
        <v>0</v>
      </c>
      <c r="O175" s="96">
        <f t="shared" si="31"/>
        <v>0</v>
      </c>
      <c r="P175" s="96">
        <f t="shared" si="31"/>
        <v>0</v>
      </c>
      <c r="Q175" s="96">
        <f t="shared" si="31"/>
        <v>0</v>
      </c>
      <c r="R175" s="96">
        <f t="shared" si="31"/>
        <v>0</v>
      </c>
      <c r="S175" s="96">
        <f t="shared" si="31"/>
        <v>0</v>
      </c>
      <c r="T175" s="96">
        <f t="shared" si="31"/>
        <v>0</v>
      </c>
      <c r="U175" s="96">
        <f t="shared" si="31"/>
        <v>0</v>
      </c>
      <c r="V175" s="96">
        <f t="shared" si="31"/>
        <v>0</v>
      </c>
      <c r="W175" s="96">
        <f t="shared" si="31"/>
        <v>0</v>
      </c>
      <c r="X175" s="96">
        <f t="shared" si="31"/>
        <v>0</v>
      </c>
      <c r="Y175" s="96">
        <f t="shared" si="31"/>
        <v>0</v>
      </c>
      <c r="Z175" s="96">
        <f t="shared" si="31"/>
        <v>0</v>
      </c>
      <c r="AA175" s="96">
        <f t="shared" si="31"/>
        <v>0</v>
      </c>
      <c r="AB175" s="96">
        <f t="shared" si="31"/>
        <v>0</v>
      </c>
      <c r="AC175" s="96">
        <f t="shared" si="31"/>
        <v>0</v>
      </c>
      <c r="AD175" s="96">
        <f t="shared" si="31"/>
        <v>0</v>
      </c>
      <c r="AE175" s="96">
        <f t="shared" si="31"/>
        <v>0</v>
      </c>
      <c r="AF175" s="96">
        <f t="shared" si="31"/>
        <v>0</v>
      </c>
      <c r="AG175" s="96">
        <f t="shared" si="31"/>
        <v>0</v>
      </c>
      <c r="AH175" s="96">
        <f t="shared" si="31"/>
        <v>0</v>
      </c>
      <c r="AI175" s="96">
        <f>IF(OR(AI45=0,AI45=1),1,0)</f>
        <v>0</v>
      </c>
      <c r="AJ175" s="28" t="str">
        <f t="shared" si="21"/>
        <v/>
      </c>
      <c r="AK175" s="41"/>
      <c r="AL175" s="41" t="str">
        <f t="shared" si="24"/>
        <v>00</v>
      </c>
      <c r="AM175" s="41" t="str">
        <f t="shared" si="25"/>
        <v>00</v>
      </c>
      <c r="AN175" s="41" t="str">
        <f t="shared" si="26"/>
        <v>00</v>
      </c>
      <c r="AO175" s="41" t="str">
        <f t="shared" si="27"/>
        <v>00</v>
      </c>
      <c r="AQ175" t="str">
        <f t="shared" si="22"/>
        <v/>
      </c>
    </row>
    <row r="176" spans="2:43">
      <c r="B176" s="103"/>
      <c r="C176" s="28">
        <f t="shared" si="23"/>
        <v>40</v>
      </c>
      <c r="D176" s="96">
        <f t="shared" ref="D176:AI183" si="32">IF(OR(D46=0,D46=1),1,0)</f>
        <v>0</v>
      </c>
      <c r="E176" s="96">
        <f t="shared" si="32"/>
        <v>0</v>
      </c>
      <c r="F176" s="96">
        <f t="shared" si="32"/>
        <v>0</v>
      </c>
      <c r="G176" s="96">
        <f t="shared" si="32"/>
        <v>0</v>
      </c>
      <c r="H176" s="96">
        <f t="shared" si="32"/>
        <v>0</v>
      </c>
      <c r="I176" s="96">
        <f t="shared" si="32"/>
        <v>0</v>
      </c>
      <c r="J176" s="96">
        <f t="shared" si="32"/>
        <v>0</v>
      </c>
      <c r="K176" s="96">
        <f t="shared" si="32"/>
        <v>0</v>
      </c>
      <c r="L176" s="96">
        <f t="shared" si="32"/>
        <v>0</v>
      </c>
      <c r="M176" s="96">
        <f t="shared" si="32"/>
        <v>0</v>
      </c>
      <c r="N176" s="96">
        <f t="shared" si="32"/>
        <v>0</v>
      </c>
      <c r="O176" s="96">
        <f t="shared" si="32"/>
        <v>0</v>
      </c>
      <c r="P176" s="96">
        <f t="shared" si="32"/>
        <v>0</v>
      </c>
      <c r="Q176" s="96">
        <f t="shared" si="32"/>
        <v>0</v>
      </c>
      <c r="R176" s="96">
        <f t="shared" si="32"/>
        <v>0</v>
      </c>
      <c r="S176" s="96">
        <f t="shared" si="32"/>
        <v>0</v>
      </c>
      <c r="T176" s="96">
        <f t="shared" si="32"/>
        <v>0</v>
      </c>
      <c r="U176" s="96">
        <f t="shared" si="32"/>
        <v>0</v>
      </c>
      <c r="V176" s="96">
        <f t="shared" si="32"/>
        <v>0</v>
      </c>
      <c r="W176" s="96">
        <f t="shared" si="32"/>
        <v>0</v>
      </c>
      <c r="X176" s="96">
        <f t="shared" si="32"/>
        <v>0</v>
      </c>
      <c r="Y176" s="96">
        <f t="shared" si="32"/>
        <v>0</v>
      </c>
      <c r="Z176" s="96">
        <f t="shared" si="32"/>
        <v>0</v>
      </c>
      <c r="AA176" s="96">
        <f t="shared" si="32"/>
        <v>0</v>
      </c>
      <c r="AB176" s="96">
        <f t="shared" si="32"/>
        <v>0</v>
      </c>
      <c r="AC176" s="96">
        <f t="shared" si="32"/>
        <v>0</v>
      </c>
      <c r="AD176" s="96">
        <f t="shared" si="32"/>
        <v>0</v>
      </c>
      <c r="AE176" s="96">
        <f t="shared" si="32"/>
        <v>0</v>
      </c>
      <c r="AF176" s="96">
        <f t="shared" si="32"/>
        <v>0</v>
      </c>
      <c r="AG176" s="96">
        <f t="shared" si="32"/>
        <v>0</v>
      </c>
      <c r="AH176" s="96">
        <f t="shared" si="32"/>
        <v>0</v>
      </c>
      <c r="AI176" s="96">
        <f t="shared" si="32"/>
        <v>0</v>
      </c>
      <c r="AJ176" s="28" t="str">
        <f t="shared" si="21"/>
        <v/>
      </c>
      <c r="AK176" s="41"/>
      <c r="AL176" s="41" t="str">
        <f t="shared" si="24"/>
        <v>00</v>
      </c>
      <c r="AM176" s="41" t="str">
        <f t="shared" si="25"/>
        <v>00</v>
      </c>
      <c r="AN176" s="41" t="str">
        <f t="shared" si="26"/>
        <v>00</v>
      </c>
      <c r="AO176" s="41" t="str">
        <f t="shared" si="27"/>
        <v>00</v>
      </c>
      <c r="AQ176" t="str">
        <f t="shared" si="22"/>
        <v/>
      </c>
    </row>
    <row r="177" spans="2:43">
      <c r="B177" s="103"/>
      <c r="C177" s="28">
        <f t="shared" si="23"/>
        <v>41</v>
      </c>
      <c r="D177" s="96">
        <f t="shared" si="32"/>
        <v>0</v>
      </c>
      <c r="E177" s="96">
        <f t="shared" si="32"/>
        <v>0</v>
      </c>
      <c r="F177" s="96">
        <f t="shared" si="32"/>
        <v>0</v>
      </c>
      <c r="G177" s="96">
        <f t="shared" si="32"/>
        <v>0</v>
      </c>
      <c r="H177" s="96">
        <f t="shared" si="32"/>
        <v>0</v>
      </c>
      <c r="I177" s="96">
        <f t="shared" si="32"/>
        <v>0</v>
      </c>
      <c r="J177" s="96">
        <f t="shared" si="32"/>
        <v>0</v>
      </c>
      <c r="K177" s="96">
        <f t="shared" si="32"/>
        <v>0</v>
      </c>
      <c r="L177" s="96">
        <f t="shared" si="32"/>
        <v>0</v>
      </c>
      <c r="M177" s="96">
        <f t="shared" si="32"/>
        <v>0</v>
      </c>
      <c r="N177" s="96">
        <f t="shared" si="32"/>
        <v>0</v>
      </c>
      <c r="O177" s="96">
        <f t="shared" si="32"/>
        <v>0</v>
      </c>
      <c r="P177" s="96">
        <f t="shared" si="32"/>
        <v>0</v>
      </c>
      <c r="Q177" s="96">
        <f t="shared" si="32"/>
        <v>0</v>
      </c>
      <c r="R177" s="96">
        <f t="shared" si="32"/>
        <v>0</v>
      </c>
      <c r="S177" s="96">
        <f t="shared" si="32"/>
        <v>0</v>
      </c>
      <c r="T177" s="96">
        <f t="shared" si="32"/>
        <v>0</v>
      </c>
      <c r="U177" s="96">
        <f t="shared" si="32"/>
        <v>0</v>
      </c>
      <c r="V177" s="96">
        <f t="shared" si="32"/>
        <v>0</v>
      </c>
      <c r="W177" s="96">
        <f t="shared" si="32"/>
        <v>0</v>
      </c>
      <c r="X177" s="96">
        <f t="shared" si="32"/>
        <v>0</v>
      </c>
      <c r="Y177" s="96">
        <f t="shared" si="32"/>
        <v>0</v>
      </c>
      <c r="Z177" s="96">
        <f t="shared" si="32"/>
        <v>0</v>
      </c>
      <c r="AA177" s="96">
        <f t="shared" si="32"/>
        <v>0</v>
      </c>
      <c r="AB177" s="96">
        <f t="shared" si="32"/>
        <v>0</v>
      </c>
      <c r="AC177" s="96">
        <f t="shared" si="32"/>
        <v>0</v>
      </c>
      <c r="AD177" s="96">
        <f t="shared" si="32"/>
        <v>0</v>
      </c>
      <c r="AE177" s="96">
        <f t="shared" si="32"/>
        <v>0</v>
      </c>
      <c r="AF177" s="96">
        <f t="shared" si="32"/>
        <v>0</v>
      </c>
      <c r="AG177" s="96">
        <f t="shared" si="32"/>
        <v>0</v>
      </c>
      <c r="AH177" s="96">
        <f t="shared" si="32"/>
        <v>0</v>
      </c>
      <c r="AI177" s="96">
        <f t="shared" si="32"/>
        <v>0</v>
      </c>
      <c r="AJ177" s="28" t="str">
        <f t="shared" si="21"/>
        <v/>
      </c>
      <c r="AK177" s="41"/>
      <c r="AL177" s="41" t="str">
        <f t="shared" si="24"/>
        <v>00</v>
      </c>
      <c r="AM177" s="41" t="str">
        <f t="shared" si="25"/>
        <v>00</v>
      </c>
      <c r="AN177" s="41" t="str">
        <f t="shared" si="26"/>
        <v>00</v>
      </c>
      <c r="AO177" s="41" t="str">
        <f t="shared" si="27"/>
        <v>00</v>
      </c>
      <c r="AQ177" t="str">
        <f t="shared" si="22"/>
        <v/>
      </c>
    </row>
    <row r="178" spans="2:43">
      <c r="B178" s="103"/>
      <c r="C178" s="28">
        <f t="shared" si="23"/>
        <v>42</v>
      </c>
      <c r="D178" s="96">
        <f t="shared" si="32"/>
        <v>0</v>
      </c>
      <c r="E178" s="96">
        <f t="shared" si="32"/>
        <v>0</v>
      </c>
      <c r="F178" s="96">
        <f t="shared" si="32"/>
        <v>0</v>
      </c>
      <c r="G178" s="96">
        <f t="shared" si="32"/>
        <v>0</v>
      </c>
      <c r="H178" s="96">
        <f t="shared" si="32"/>
        <v>0</v>
      </c>
      <c r="I178" s="96">
        <f t="shared" si="32"/>
        <v>0</v>
      </c>
      <c r="J178" s="96">
        <f t="shared" si="32"/>
        <v>0</v>
      </c>
      <c r="K178" s="96">
        <f t="shared" si="32"/>
        <v>0</v>
      </c>
      <c r="L178" s="96">
        <f t="shared" si="32"/>
        <v>0</v>
      </c>
      <c r="M178" s="96">
        <f t="shared" si="32"/>
        <v>0</v>
      </c>
      <c r="N178" s="96">
        <f t="shared" si="32"/>
        <v>0</v>
      </c>
      <c r="O178" s="96">
        <f t="shared" si="32"/>
        <v>0</v>
      </c>
      <c r="P178" s="96">
        <f t="shared" si="32"/>
        <v>0</v>
      </c>
      <c r="Q178" s="96">
        <f t="shared" si="32"/>
        <v>0</v>
      </c>
      <c r="R178" s="96">
        <f t="shared" si="32"/>
        <v>0</v>
      </c>
      <c r="S178" s="96">
        <f t="shared" si="32"/>
        <v>0</v>
      </c>
      <c r="T178" s="96">
        <f t="shared" si="32"/>
        <v>0</v>
      </c>
      <c r="U178" s="96">
        <f t="shared" si="32"/>
        <v>0</v>
      </c>
      <c r="V178" s="96">
        <f t="shared" si="32"/>
        <v>0</v>
      </c>
      <c r="W178" s="96">
        <f t="shared" si="32"/>
        <v>0</v>
      </c>
      <c r="X178" s="96">
        <f t="shared" si="32"/>
        <v>0</v>
      </c>
      <c r="Y178" s="96">
        <f t="shared" si="32"/>
        <v>0</v>
      </c>
      <c r="Z178" s="96">
        <f t="shared" si="32"/>
        <v>0</v>
      </c>
      <c r="AA178" s="96">
        <f t="shared" si="32"/>
        <v>0</v>
      </c>
      <c r="AB178" s="96">
        <f t="shared" si="32"/>
        <v>0</v>
      </c>
      <c r="AC178" s="96">
        <f t="shared" si="32"/>
        <v>0</v>
      </c>
      <c r="AD178" s="96">
        <f t="shared" si="32"/>
        <v>0</v>
      </c>
      <c r="AE178" s="96">
        <f t="shared" si="32"/>
        <v>0</v>
      </c>
      <c r="AF178" s="96">
        <f t="shared" si="32"/>
        <v>0</v>
      </c>
      <c r="AG178" s="96">
        <f t="shared" si="32"/>
        <v>0</v>
      </c>
      <c r="AH178" s="96">
        <f t="shared" si="32"/>
        <v>0</v>
      </c>
      <c r="AI178" s="96">
        <f t="shared" si="32"/>
        <v>0</v>
      </c>
      <c r="AJ178" s="28" t="str">
        <f t="shared" si="21"/>
        <v/>
      </c>
      <c r="AK178" s="41"/>
      <c r="AL178" s="41" t="str">
        <f t="shared" si="24"/>
        <v>00</v>
      </c>
      <c r="AM178" s="41" t="str">
        <f t="shared" si="25"/>
        <v>00</v>
      </c>
      <c r="AN178" s="41" t="str">
        <f t="shared" si="26"/>
        <v>00</v>
      </c>
      <c r="AO178" s="41" t="str">
        <f t="shared" si="27"/>
        <v>00</v>
      </c>
      <c r="AQ178" t="str">
        <f t="shared" si="22"/>
        <v/>
      </c>
    </row>
    <row r="179" spans="2:43">
      <c r="B179" s="103"/>
      <c r="C179" s="28">
        <f t="shared" si="23"/>
        <v>43</v>
      </c>
      <c r="D179" s="96">
        <f t="shared" si="32"/>
        <v>0</v>
      </c>
      <c r="E179" s="96">
        <f t="shared" si="32"/>
        <v>0</v>
      </c>
      <c r="F179" s="96">
        <f t="shared" si="32"/>
        <v>0</v>
      </c>
      <c r="G179" s="96">
        <f t="shared" si="32"/>
        <v>0</v>
      </c>
      <c r="H179" s="96">
        <f t="shared" si="32"/>
        <v>0</v>
      </c>
      <c r="I179" s="96">
        <f t="shared" si="32"/>
        <v>0</v>
      </c>
      <c r="J179" s="96">
        <f t="shared" si="32"/>
        <v>0</v>
      </c>
      <c r="K179" s="96">
        <f t="shared" si="32"/>
        <v>0</v>
      </c>
      <c r="L179" s="96">
        <f t="shared" si="32"/>
        <v>0</v>
      </c>
      <c r="M179" s="96">
        <f t="shared" si="32"/>
        <v>0</v>
      </c>
      <c r="N179" s="96">
        <f t="shared" si="32"/>
        <v>0</v>
      </c>
      <c r="O179" s="96">
        <f t="shared" si="32"/>
        <v>0</v>
      </c>
      <c r="P179" s="96">
        <f t="shared" si="32"/>
        <v>0</v>
      </c>
      <c r="Q179" s="96">
        <f t="shared" si="32"/>
        <v>0</v>
      </c>
      <c r="R179" s="96">
        <f t="shared" si="32"/>
        <v>0</v>
      </c>
      <c r="S179" s="96">
        <f t="shared" si="32"/>
        <v>0</v>
      </c>
      <c r="T179" s="96">
        <f t="shared" si="32"/>
        <v>0</v>
      </c>
      <c r="U179" s="96">
        <f t="shared" si="32"/>
        <v>0</v>
      </c>
      <c r="V179" s="96">
        <f t="shared" si="32"/>
        <v>0</v>
      </c>
      <c r="W179" s="96">
        <f t="shared" si="32"/>
        <v>0</v>
      </c>
      <c r="X179" s="96">
        <f t="shared" si="32"/>
        <v>0</v>
      </c>
      <c r="Y179" s="96">
        <f t="shared" si="32"/>
        <v>0</v>
      </c>
      <c r="Z179" s="96">
        <f t="shared" si="32"/>
        <v>0</v>
      </c>
      <c r="AA179" s="96">
        <f t="shared" si="32"/>
        <v>0</v>
      </c>
      <c r="AB179" s="96">
        <f t="shared" si="32"/>
        <v>0</v>
      </c>
      <c r="AC179" s="96">
        <f t="shared" si="32"/>
        <v>0</v>
      </c>
      <c r="AD179" s="96">
        <f t="shared" si="32"/>
        <v>0</v>
      </c>
      <c r="AE179" s="96">
        <f t="shared" si="32"/>
        <v>0</v>
      </c>
      <c r="AF179" s="96">
        <f t="shared" si="32"/>
        <v>0</v>
      </c>
      <c r="AG179" s="96">
        <f t="shared" si="32"/>
        <v>0</v>
      </c>
      <c r="AH179" s="96">
        <f t="shared" si="32"/>
        <v>0</v>
      </c>
      <c r="AI179" s="96">
        <f t="shared" si="32"/>
        <v>0</v>
      </c>
      <c r="AJ179" s="28" t="str">
        <f t="shared" si="21"/>
        <v/>
      </c>
      <c r="AK179" s="41"/>
      <c r="AL179" s="41" t="str">
        <f t="shared" si="24"/>
        <v>00</v>
      </c>
      <c r="AM179" s="41" t="str">
        <f t="shared" si="25"/>
        <v>00</v>
      </c>
      <c r="AN179" s="41" t="str">
        <f t="shared" si="26"/>
        <v>00</v>
      </c>
      <c r="AO179" s="41" t="str">
        <f t="shared" si="27"/>
        <v>00</v>
      </c>
      <c r="AQ179" t="str">
        <f t="shared" si="22"/>
        <v/>
      </c>
    </row>
    <row r="180" spans="2:43">
      <c r="B180" s="103"/>
      <c r="C180" s="28">
        <f t="shared" si="23"/>
        <v>44</v>
      </c>
      <c r="D180" s="96">
        <f t="shared" si="32"/>
        <v>0</v>
      </c>
      <c r="E180" s="96">
        <f t="shared" si="32"/>
        <v>0</v>
      </c>
      <c r="F180" s="96">
        <f t="shared" si="32"/>
        <v>0</v>
      </c>
      <c r="G180" s="96">
        <f t="shared" si="32"/>
        <v>0</v>
      </c>
      <c r="H180" s="96">
        <f t="shared" si="32"/>
        <v>0</v>
      </c>
      <c r="I180" s="96">
        <f t="shared" si="32"/>
        <v>0</v>
      </c>
      <c r="J180" s="96">
        <f t="shared" si="32"/>
        <v>0</v>
      </c>
      <c r="K180" s="96">
        <f t="shared" si="32"/>
        <v>0</v>
      </c>
      <c r="L180" s="96">
        <f t="shared" si="32"/>
        <v>0</v>
      </c>
      <c r="M180" s="96">
        <f t="shared" si="32"/>
        <v>0</v>
      </c>
      <c r="N180" s="96">
        <f t="shared" si="32"/>
        <v>0</v>
      </c>
      <c r="O180" s="96">
        <f t="shared" si="32"/>
        <v>0</v>
      </c>
      <c r="P180" s="96">
        <f t="shared" si="32"/>
        <v>0</v>
      </c>
      <c r="Q180" s="96">
        <f t="shared" si="32"/>
        <v>0</v>
      </c>
      <c r="R180" s="96">
        <f t="shared" si="32"/>
        <v>0</v>
      </c>
      <c r="S180" s="96">
        <f t="shared" si="32"/>
        <v>0</v>
      </c>
      <c r="T180" s="96">
        <f t="shared" si="32"/>
        <v>0</v>
      </c>
      <c r="U180" s="96">
        <f t="shared" si="32"/>
        <v>0</v>
      </c>
      <c r="V180" s="96">
        <f t="shared" si="32"/>
        <v>0</v>
      </c>
      <c r="W180" s="96">
        <f t="shared" si="32"/>
        <v>0</v>
      </c>
      <c r="X180" s="96">
        <f t="shared" si="32"/>
        <v>0</v>
      </c>
      <c r="Y180" s="96">
        <f t="shared" si="32"/>
        <v>0</v>
      </c>
      <c r="Z180" s="96">
        <f t="shared" si="32"/>
        <v>0</v>
      </c>
      <c r="AA180" s="96">
        <f t="shared" si="32"/>
        <v>0</v>
      </c>
      <c r="AB180" s="96">
        <f t="shared" si="32"/>
        <v>0</v>
      </c>
      <c r="AC180" s="96">
        <f t="shared" si="32"/>
        <v>0</v>
      </c>
      <c r="AD180" s="96">
        <f t="shared" si="32"/>
        <v>0</v>
      </c>
      <c r="AE180" s="96">
        <f t="shared" si="32"/>
        <v>0</v>
      </c>
      <c r="AF180" s="96">
        <f t="shared" si="32"/>
        <v>0</v>
      </c>
      <c r="AG180" s="96">
        <f t="shared" si="32"/>
        <v>0</v>
      </c>
      <c r="AH180" s="96">
        <f t="shared" si="32"/>
        <v>0</v>
      </c>
      <c r="AI180" s="96">
        <f t="shared" si="32"/>
        <v>0</v>
      </c>
      <c r="AJ180" s="28" t="str">
        <f t="shared" si="21"/>
        <v/>
      </c>
      <c r="AK180" s="41"/>
      <c r="AL180" s="41" t="str">
        <f t="shared" si="24"/>
        <v>00</v>
      </c>
      <c r="AM180" s="41" t="str">
        <f t="shared" si="25"/>
        <v>00</v>
      </c>
      <c r="AN180" s="41" t="str">
        <f t="shared" si="26"/>
        <v>00</v>
      </c>
      <c r="AO180" s="41" t="str">
        <f t="shared" si="27"/>
        <v>00</v>
      </c>
      <c r="AQ180" t="str">
        <f t="shared" si="22"/>
        <v/>
      </c>
    </row>
    <row r="181" spans="2:43">
      <c r="B181" s="103"/>
      <c r="C181" s="28">
        <f t="shared" si="23"/>
        <v>45</v>
      </c>
      <c r="D181" s="96">
        <f t="shared" si="32"/>
        <v>0</v>
      </c>
      <c r="E181" s="96">
        <f t="shared" si="32"/>
        <v>0</v>
      </c>
      <c r="F181" s="96">
        <f t="shared" si="32"/>
        <v>0</v>
      </c>
      <c r="G181" s="96">
        <f t="shared" si="32"/>
        <v>0</v>
      </c>
      <c r="H181" s="96">
        <f t="shared" si="32"/>
        <v>0</v>
      </c>
      <c r="I181" s="96">
        <f t="shared" si="32"/>
        <v>0</v>
      </c>
      <c r="J181" s="96">
        <f t="shared" si="32"/>
        <v>0</v>
      </c>
      <c r="K181" s="96">
        <f t="shared" si="32"/>
        <v>0</v>
      </c>
      <c r="L181" s="96">
        <f t="shared" si="32"/>
        <v>0</v>
      </c>
      <c r="M181" s="96">
        <f t="shared" si="32"/>
        <v>0</v>
      </c>
      <c r="N181" s="96">
        <f t="shared" si="32"/>
        <v>0</v>
      </c>
      <c r="O181" s="96">
        <f t="shared" si="32"/>
        <v>0</v>
      </c>
      <c r="P181" s="96">
        <f t="shared" si="32"/>
        <v>0</v>
      </c>
      <c r="Q181" s="96">
        <f t="shared" si="32"/>
        <v>0</v>
      </c>
      <c r="R181" s="96">
        <f t="shared" si="32"/>
        <v>0</v>
      </c>
      <c r="S181" s="96">
        <f t="shared" si="32"/>
        <v>0</v>
      </c>
      <c r="T181" s="96">
        <f t="shared" si="32"/>
        <v>0</v>
      </c>
      <c r="U181" s="96">
        <f t="shared" si="32"/>
        <v>0</v>
      </c>
      <c r="V181" s="96">
        <f t="shared" si="32"/>
        <v>0</v>
      </c>
      <c r="W181" s="96">
        <f t="shared" si="32"/>
        <v>0</v>
      </c>
      <c r="X181" s="96">
        <f t="shared" si="32"/>
        <v>0</v>
      </c>
      <c r="Y181" s="96">
        <f t="shared" si="32"/>
        <v>0</v>
      </c>
      <c r="Z181" s="96">
        <f t="shared" si="32"/>
        <v>0</v>
      </c>
      <c r="AA181" s="96">
        <f t="shared" si="32"/>
        <v>0</v>
      </c>
      <c r="AB181" s="96">
        <f t="shared" si="32"/>
        <v>0</v>
      </c>
      <c r="AC181" s="96">
        <f t="shared" si="32"/>
        <v>0</v>
      </c>
      <c r="AD181" s="96">
        <f t="shared" si="32"/>
        <v>0</v>
      </c>
      <c r="AE181" s="96">
        <f t="shared" si="32"/>
        <v>0</v>
      </c>
      <c r="AF181" s="96">
        <f t="shared" si="32"/>
        <v>0</v>
      </c>
      <c r="AG181" s="96">
        <f t="shared" si="32"/>
        <v>0</v>
      </c>
      <c r="AH181" s="96">
        <f t="shared" si="32"/>
        <v>0</v>
      </c>
      <c r="AI181" s="96">
        <f t="shared" si="32"/>
        <v>0</v>
      </c>
      <c r="AJ181" s="28" t="str">
        <f t="shared" si="21"/>
        <v/>
      </c>
      <c r="AK181" s="41"/>
      <c r="AL181" s="41" t="str">
        <f t="shared" si="24"/>
        <v>00</v>
      </c>
      <c r="AM181" s="41" t="str">
        <f t="shared" si="25"/>
        <v>00</v>
      </c>
      <c r="AN181" s="41" t="str">
        <f t="shared" si="26"/>
        <v>00</v>
      </c>
      <c r="AO181" s="41" t="str">
        <f t="shared" si="27"/>
        <v>00</v>
      </c>
      <c r="AQ181" t="str">
        <f t="shared" si="22"/>
        <v/>
      </c>
    </row>
    <row r="182" spans="2:43">
      <c r="B182" s="103"/>
      <c r="C182" s="28">
        <f t="shared" si="23"/>
        <v>46</v>
      </c>
      <c r="D182" s="96">
        <f t="shared" si="32"/>
        <v>0</v>
      </c>
      <c r="E182" s="96">
        <f t="shared" si="32"/>
        <v>0</v>
      </c>
      <c r="F182" s="96">
        <f t="shared" si="32"/>
        <v>0</v>
      </c>
      <c r="G182" s="96">
        <f t="shared" si="32"/>
        <v>0</v>
      </c>
      <c r="H182" s="96">
        <f t="shared" si="32"/>
        <v>0</v>
      </c>
      <c r="I182" s="96">
        <f t="shared" si="32"/>
        <v>0</v>
      </c>
      <c r="J182" s="96">
        <f t="shared" si="32"/>
        <v>0</v>
      </c>
      <c r="K182" s="96">
        <f t="shared" si="32"/>
        <v>0</v>
      </c>
      <c r="L182" s="96">
        <f t="shared" si="32"/>
        <v>0</v>
      </c>
      <c r="M182" s="96">
        <f t="shared" si="32"/>
        <v>0</v>
      </c>
      <c r="N182" s="96">
        <f t="shared" si="32"/>
        <v>0</v>
      </c>
      <c r="O182" s="96">
        <f t="shared" si="32"/>
        <v>0</v>
      </c>
      <c r="P182" s="96">
        <f t="shared" si="32"/>
        <v>0</v>
      </c>
      <c r="Q182" s="96">
        <f t="shared" si="32"/>
        <v>0</v>
      </c>
      <c r="R182" s="96">
        <f t="shared" si="32"/>
        <v>0</v>
      </c>
      <c r="S182" s="96">
        <f t="shared" si="32"/>
        <v>0</v>
      </c>
      <c r="T182" s="96">
        <f t="shared" si="32"/>
        <v>0</v>
      </c>
      <c r="U182" s="96">
        <f t="shared" si="32"/>
        <v>0</v>
      </c>
      <c r="V182" s="96">
        <f t="shared" si="32"/>
        <v>0</v>
      </c>
      <c r="W182" s="96">
        <f t="shared" si="32"/>
        <v>0</v>
      </c>
      <c r="X182" s="96">
        <f t="shared" si="32"/>
        <v>0</v>
      </c>
      <c r="Y182" s="96">
        <f t="shared" si="32"/>
        <v>0</v>
      </c>
      <c r="Z182" s="96">
        <f t="shared" si="32"/>
        <v>0</v>
      </c>
      <c r="AA182" s="96">
        <f t="shared" si="32"/>
        <v>0</v>
      </c>
      <c r="AB182" s="96">
        <f t="shared" si="32"/>
        <v>0</v>
      </c>
      <c r="AC182" s="96">
        <f t="shared" si="32"/>
        <v>0</v>
      </c>
      <c r="AD182" s="96">
        <f t="shared" si="32"/>
        <v>0</v>
      </c>
      <c r="AE182" s="96">
        <f t="shared" si="32"/>
        <v>0</v>
      </c>
      <c r="AF182" s="96">
        <f t="shared" si="32"/>
        <v>0</v>
      </c>
      <c r="AG182" s="96">
        <f t="shared" si="32"/>
        <v>0</v>
      </c>
      <c r="AH182" s="96">
        <f t="shared" si="32"/>
        <v>0</v>
      </c>
      <c r="AI182" s="96">
        <f t="shared" si="32"/>
        <v>0</v>
      </c>
      <c r="AJ182" s="28" t="str">
        <f t="shared" si="21"/>
        <v/>
      </c>
      <c r="AK182" s="41"/>
      <c r="AL182" s="41" t="str">
        <f t="shared" si="24"/>
        <v>00</v>
      </c>
      <c r="AM182" s="41" t="str">
        <f t="shared" si="25"/>
        <v>00</v>
      </c>
      <c r="AN182" s="41" t="str">
        <f t="shared" si="26"/>
        <v>00</v>
      </c>
      <c r="AO182" s="41" t="str">
        <f t="shared" si="27"/>
        <v>00</v>
      </c>
      <c r="AQ182" t="str">
        <f t="shared" si="22"/>
        <v/>
      </c>
    </row>
    <row r="183" spans="2:43">
      <c r="B183" s="103"/>
      <c r="C183" s="28">
        <f t="shared" si="23"/>
        <v>47</v>
      </c>
      <c r="D183" s="96">
        <f t="shared" si="32"/>
        <v>0</v>
      </c>
      <c r="E183" s="96">
        <f t="shared" si="32"/>
        <v>0</v>
      </c>
      <c r="F183" s="96">
        <f t="shared" si="32"/>
        <v>0</v>
      </c>
      <c r="G183" s="96">
        <f t="shared" si="32"/>
        <v>0</v>
      </c>
      <c r="H183" s="96">
        <f t="shared" si="32"/>
        <v>0</v>
      </c>
      <c r="I183" s="96">
        <f t="shared" si="32"/>
        <v>0</v>
      </c>
      <c r="J183" s="96">
        <f t="shared" si="32"/>
        <v>0</v>
      </c>
      <c r="K183" s="96">
        <f t="shared" si="32"/>
        <v>0</v>
      </c>
      <c r="L183" s="96">
        <f t="shared" si="32"/>
        <v>0</v>
      </c>
      <c r="M183" s="96">
        <f t="shared" si="32"/>
        <v>0</v>
      </c>
      <c r="N183" s="96">
        <f t="shared" si="32"/>
        <v>0</v>
      </c>
      <c r="O183" s="96">
        <f t="shared" si="32"/>
        <v>0</v>
      </c>
      <c r="P183" s="96">
        <f t="shared" si="32"/>
        <v>0</v>
      </c>
      <c r="Q183" s="96">
        <f t="shared" si="32"/>
        <v>0</v>
      </c>
      <c r="R183" s="96">
        <f t="shared" si="32"/>
        <v>0</v>
      </c>
      <c r="S183" s="96">
        <f t="shared" si="32"/>
        <v>0</v>
      </c>
      <c r="T183" s="96">
        <f t="shared" si="32"/>
        <v>0</v>
      </c>
      <c r="U183" s="96">
        <f t="shared" si="32"/>
        <v>0</v>
      </c>
      <c r="V183" s="96">
        <f t="shared" si="32"/>
        <v>0</v>
      </c>
      <c r="W183" s="96">
        <f t="shared" si="32"/>
        <v>0</v>
      </c>
      <c r="X183" s="96">
        <f t="shared" si="32"/>
        <v>0</v>
      </c>
      <c r="Y183" s="96">
        <f t="shared" si="32"/>
        <v>0</v>
      </c>
      <c r="Z183" s="96">
        <f t="shared" si="32"/>
        <v>0</v>
      </c>
      <c r="AA183" s="96">
        <f t="shared" si="32"/>
        <v>0</v>
      </c>
      <c r="AB183" s="96">
        <f t="shared" si="32"/>
        <v>0</v>
      </c>
      <c r="AC183" s="96">
        <f t="shared" si="32"/>
        <v>0</v>
      </c>
      <c r="AD183" s="96">
        <f t="shared" si="32"/>
        <v>0</v>
      </c>
      <c r="AE183" s="96">
        <f t="shared" si="32"/>
        <v>0</v>
      </c>
      <c r="AF183" s="96">
        <f t="shared" si="32"/>
        <v>0</v>
      </c>
      <c r="AG183" s="96">
        <f t="shared" si="32"/>
        <v>0</v>
      </c>
      <c r="AH183" s="96">
        <f t="shared" si="32"/>
        <v>0</v>
      </c>
      <c r="AI183" s="96">
        <f>IF(OR(AI53=0,AI53=1),1,0)</f>
        <v>0</v>
      </c>
      <c r="AJ183" s="28" t="str">
        <f t="shared" si="21"/>
        <v/>
      </c>
      <c r="AK183" s="41"/>
      <c r="AL183" s="41" t="str">
        <f t="shared" si="24"/>
        <v>00</v>
      </c>
      <c r="AM183" s="41" t="str">
        <f t="shared" si="25"/>
        <v>00</v>
      </c>
      <c r="AN183" s="41" t="str">
        <f t="shared" si="26"/>
        <v>00</v>
      </c>
      <c r="AO183" s="41" t="str">
        <f t="shared" si="27"/>
        <v>00</v>
      </c>
      <c r="AQ183" t="str">
        <f t="shared" si="22"/>
        <v/>
      </c>
    </row>
    <row r="184" spans="2:43">
      <c r="B184" s="103"/>
      <c r="C184" s="28">
        <f t="shared" si="23"/>
        <v>48</v>
      </c>
      <c r="D184" s="96">
        <f t="shared" ref="D184:AI191" si="33">IF(OR(D54=0,D54=1),1,0)</f>
        <v>0</v>
      </c>
      <c r="E184" s="96">
        <f t="shared" si="33"/>
        <v>0</v>
      </c>
      <c r="F184" s="96">
        <f t="shared" si="33"/>
        <v>0</v>
      </c>
      <c r="G184" s="96">
        <f t="shared" si="33"/>
        <v>0</v>
      </c>
      <c r="H184" s="96">
        <f t="shared" si="33"/>
        <v>0</v>
      </c>
      <c r="I184" s="96">
        <f t="shared" si="33"/>
        <v>0</v>
      </c>
      <c r="J184" s="96">
        <f t="shared" si="33"/>
        <v>0</v>
      </c>
      <c r="K184" s="96">
        <f t="shared" si="33"/>
        <v>0</v>
      </c>
      <c r="L184" s="96">
        <f t="shared" si="33"/>
        <v>0</v>
      </c>
      <c r="M184" s="96">
        <f t="shared" si="33"/>
        <v>0</v>
      </c>
      <c r="N184" s="96">
        <f t="shared" si="33"/>
        <v>0</v>
      </c>
      <c r="O184" s="96">
        <f t="shared" si="33"/>
        <v>0</v>
      </c>
      <c r="P184" s="96">
        <f t="shared" si="33"/>
        <v>0</v>
      </c>
      <c r="Q184" s="96">
        <f t="shared" si="33"/>
        <v>0</v>
      </c>
      <c r="R184" s="96">
        <f t="shared" si="33"/>
        <v>0</v>
      </c>
      <c r="S184" s="96">
        <f t="shared" si="33"/>
        <v>0</v>
      </c>
      <c r="T184" s="96">
        <f t="shared" si="33"/>
        <v>0</v>
      </c>
      <c r="U184" s="96">
        <f t="shared" si="33"/>
        <v>0</v>
      </c>
      <c r="V184" s="96">
        <f t="shared" si="33"/>
        <v>0</v>
      </c>
      <c r="W184" s="96">
        <f t="shared" si="33"/>
        <v>0</v>
      </c>
      <c r="X184" s="96">
        <f t="shared" si="33"/>
        <v>0</v>
      </c>
      <c r="Y184" s="96">
        <f t="shared" si="33"/>
        <v>0</v>
      </c>
      <c r="Z184" s="96">
        <f t="shared" si="33"/>
        <v>0</v>
      </c>
      <c r="AA184" s="96">
        <f t="shared" si="33"/>
        <v>0</v>
      </c>
      <c r="AB184" s="96">
        <f t="shared" si="33"/>
        <v>0</v>
      </c>
      <c r="AC184" s="96">
        <f t="shared" si="33"/>
        <v>0</v>
      </c>
      <c r="AD184" s="96">
        <f t="shared" si="33"/>
        <v>0</v>
      </c>
      <c r="AE184" s="96">
        <f t="shared" si="33"/>
        <v>0</v>
      </c>
      <c r="AF184" s="96">
        <f t="shared" si="33"/>
        <v>0</v>
      </c>
      <c r="AG184" s="96">
        <f t="shared" si="33"/>
        <v>0</v>
      </c>
      <c r="AH184" s="96">
        <f t="shared" si="33"/>
        <v>0</v>
      </c>
      <c r="AI184" s="96">
        <f t="shared" si="33"/>
        <v>0</v>
      </c>
      <c r="AJ184" s="28" t="str">
        <f t="shared" si="21"/>
        <v/>
      </c>
      <c r="AK184" s="41"/>
      <c r="AL184" s="41" t="str">
        <f t="shared" si="24"/>
        <v>00</v>
      </c>
      <c r="AM184" s="41" t="str">
        <f t="shared" si="25"/>
        <v>00</v>
      </c>
      <c r="AN184" s="41" t="str">
        <f t="shared" si="26"/>
        <v>00</v>
      </c>
      <c r="AO184" s="41" t="str">
        <f t="shared" si="27"/>
        <v>00</v>
      </c>
      <c r="AQ184" t="str">
        <f t="shared" si="22"/>
        <v/>
      </c>
    </row>
    <row r="185" spans="2:43">
      <c r="B185" s="103"/>
      <c r="C185" s="28">
        <f t="shared" si="23"/>
        <v>49</v>
      </c>
      <c r="D185" s="96">
        <f t="shared" si="33"/>
        <v>0</v>
      </c>
      <c r="E185" s="96">
        <f t="shared" si="33"/>
        <v>0</v>
      </c>
      <c r="F185" s="96">
        <f t="shared" si="33"/>
        <v>0</v>
      </c>
      <c r="G185" s="96">
        <f t="shared" si="33"/>
        <v>0</v>
      </c>
      <c r="H185" s="96">
        <f t="shared" si="33"/>
        <v>0</v>
      </c>
      <c r="I185" s="96">
        <f t="shared" si="33"/>
        <v>0</v>
      </c>
      <c r="J185" s="96">
        <f t="shared" si="33"/>
        <v>0</v>
      </c>
      <c r="K185" s="96">
        <f t="shared" si="33"/>
        <v>0</v>
      </c>
      <c r="L185" s="96">
        <f t="shared" si="33"/>
        <v>0</v>
      </c>
      <c r="M185" s="96">
        <f t="shared" si="33"/>
        <v>0</v>
      </c>
      <c r="N185" s="96">
        <f t="shared" si="33"/>
        <v>0</v>
      </c>
      <c r="O185" s="96">
        <f t="shared" si="33"/>
        <v>0</v>
      </c>
      <c r="P185" s="96">
        <f t="shared" si="33"/>
        <v>0</v>
      </c>
      <c r="Q185" s="96">
        <f t="shared" si="33"/>
        <v>0</v>
      </c>
      <c r="R185" s="96">
        <f t="shared" si="33"/>
        <v>0</v>
      </c>
      <c r="S185" s="96">
        <f t="shared" si="33"/>
        <v>0</v>
      </c>
      <c r="T185" s="96">
        <f t="shared" si="33"/>
        <v>0</v>
      </c>
      <c r="U185" s="96">
        <f t="shared" si="33"/>
        <v>0</v>
      </c>
      <c r="V185" s="96">
        <f t="shared" si="33"/>
        <v>0</v>
      </c>
      <c r="W185" s="96">
        <f t="shared" si="33"/>
        <v>0</v>
      </c>
      <c r="X185" s="96">
        <f t="shared" si="33"/>
        <v>0</v>
      </c>
      <c r="Y185" s="96">
        <f t="shared" si="33"/>
        <v>0</v>
      </c>
      <c r="Z185" s="96">
        <f t="shared" si="33"/>
        <v>0</v>
      </c>
      <c r="AA185" s="96">
        <f t="shared" si="33"/>
        <v>0</v>
      </c>
      <c r="AB185" s="96">
        <f t="shared" si="33"/>
        <v>0</v>
      </c>
      <c r="AC185" s="96">
        <f t="shared" si="33"/>
        <v>0</v>
      </c>
      <c r="AD185" s="96">
        <f t="shared" si="33"/>
        <v>0</v>
      </c>
      <c r="AE185" s="96">
        <f t="shared" si="33"/>
        <v>0</v>
      </c>
      <c r="AF185" s="96">
        <f t="shared" si="33"/>
        <v>0</v>
      </c>
      <c r="AG185" s="96">
        <f t="shared" si="33"/>
        <v>0</v>
      </c>
      <c r="AH185" s="96">
        <f t="shared" si="33"/>
        <v>0</v>
      </c>
      <c r="AI185" s="96">
        <f t="shared" si="33"/>
        <v>0</v>
      </c>
      <c r="AJ185" s="28" t="str">
        <f t="shared" si="21"/>
        <v/>
      </c>
      <c r="AK185" s="41"/>
      <c r="AL185" s="41" t="str">
        <f t="shared" si="24"/>
        <v>00</v>
      </c>
      <c r="AM185" s="41" t="str">
        <f t="shared" si="25"/>
        <v>00</v>
      </c>
      <c r="AN185" s="41" t="str">
        <f t="shared" si="26"/>
        <v>00</v>
      </c>
      <c r="AO185" s="41" t="str">
        <f t="shared" si="27"/>
        <v>00</v>
      </c>
      <c r="AQ185" t="str">
        <f t="shared" si="22"/>
        <v/>
      </c>
    </row>
    <row r="186" spans="2:43">
      <c r="B186" s="103"/>
      <c r="C186" s="28">
        <f t="shared" si="23"/>
        <v>50</v>
      </c>
      <c r="D186" s="96">
        <f t="shared" si="33"/>
        <v>0</v>
      </c>
      <c r="E186" s="96">
        <f t="shared" si="33"/>
        <v>0</v>
      </c>
      <c r="F186" s="96">
        <f t="shared" si="33"/>
        <v>0</v>
      </c>
      <c r="G186" s="96">
        <f t="shared" si="33"/>
        <v>0</v>
      </c>
      <c r="H186" s="96">
        <f t="shared" si="33"/>
        <v>0</v>
      </c>
      <c r="I186" s="96">
        <f t="shared" si="33"/>
        <v>0</v>
      </c>
      <c r="J186" s="96">
        <f t="shared" si="33"/>
        <v>0</v>
      </c>
      <c r="K186" s="96">
        <f t="shared" si="33"/>
        <v>0</v>
      </c>
      <c r="L186" s="96">
        <f t="shared" si="33"/>
        <v>0</v>
      </c>
      <c r="M186" s="96">
        <f t="shared" si="33"/>
        <v>0</v>
      </c>
      <c r="N186" s="96">
        <f t="shared" si="33"/>
        <v>0</v>
      </c>
      <c r="O186" s="96">
        <f t="shared" si="33"/>
        <v>0</v>
      </c>
      <c r="P186" s="96">
        <f t="shared" si="33"/>
        <v>0</v>
      </c>
      <c r="Q186" s="96">
        <f t="shared" si="33"/>
        <v>0</v>
      </c>
      <c r="R186" s="96">
        <f t="shared" si="33"/>
        <v>0</v>
      </c>
      <c r="S186" s="96">
        <f t="shared" si="33"/>
        <v>0</v>
      </c>
      <c r="T186" s="96">
        <f t="shared" si="33"/>
        <v>0</v>
      </c>
      <c r="U186" s="96">
        <f t="shared" si="33"/>
        <v>0</v>
      </c>
      <c r="V186" s="96">
        <f t="shared" si="33"/>
        <v>0</v>
      </c>
      <c r="W186" s="96">
        <f t="shared" si="33"/>
        <v>0</v>
      </c>
      <c r="X186" s="96">
        <f t="shared" si="33"/>
        <v>0</v>
      </c>
      <c r="Y186" s="96">
        <f t="shared" si="33"/>
        <v>0</v>
      </c>
      <c r="Z186" s="96">
        <f t="shared" si="33"/>
        <v>0</v>
      </c>
      <c r="AA186" s="96">
        <f t="shared" si="33"/>
        <v>0</v>
      </c>
      <c r="AB186" s="96">
        <f t="shared" si="33"/>
        <v>0</v>
      </c>
      <c r="AC186" s="96">
        <f t="shared" si="33"/>
        <v>0</v>
      </c>
      <c r="AD186" s="96">
        <f t="shared" si="33"/>
        <v>0</v>
      </c>
      <c r="AE186" s="96">
        <f t="shared" si="33"/>
        <v>0</v>
      </c>
      <c r="AF186" s="96">
        <f t="shared" si="33"/>
        <v>0</v>
      </c>
      <c r="AG186" s="96">
        <f t="shared" si="33"/>
        <v>0</v>
      </c>
      <c r="AH186" s="96">
        <f t="shared" si="33"/>
        <v>0</v>
      </c>
      <c r="AI186" s="96">
        <f t="shared" si="33"/>
        <v>0</v>
      </c>
      <c r="AJ186" s="28" t="str">
        <f t="shared" si="21"/>
        <v/>
      </c>
      <c r="AK186" s="41"/>
      <c r="AL186" s="41" t="str">
        <f t="shared" si="24"/>
        <v>00</v>
      </c>
      <c r="AM186" s="41" t="str">
        <f t="shared" si="25"/>
        <v>00</v>
      </c>
      <c r="AN186" s="41" t="str">
        <f t="shared" si="26"/>
        <v>00</v>
      </c>
      <c r="AO186" s="41" t="str">
        <f t="shared" si="27"/>
        <v>00</v>
      </c>
      <c r="AQ186" t="str">
        <f t="shared" si="22"/>
        <v/>
      </c>
    </row>
    <row r="187" spans="2:43">
      <c r="B187" s="103"/>
      <c r="C187" s="28">
        <f t="shared" si="23"/>
        <v>51</v>
      </c>
      <c r="D187" s="96">
        <f t="shared" si="33"/>
        <v>0</v>
      </c>
      <c r="E187" s="96">
        <f t="shared" si="33"/>
        <v>0</v>
      </c>
      <c r="F187" s="96">
        <f t="shared" si="33"/>
        <v>0</v>
      </c>
      <c r="G187" s="96">
        <f t="shared" si="33"/>
        <v>0</v>
      </c>
      <c r="H187" s="96">
        <f t="shared" si="33"/>
        <v>0</v>
      </c>
      <c r="I187" s="96">
        <f t="shared" si="33"/>
        <v>0</v>
      </c>
      <c r="J187" s="96">
        <f t="shared" si="33"/>
        <v>0</v>
      </c>
      <c r="K187" s="96">
        <f t="shared" si="33"/>
        <v>0</v>
      </c>
      <c r="L187" s="96">
        <f t="shared" si="33"/>
        <v>0</v>
      </c>
      <c r="M187" s="96">
        <f t="shared" si="33"/>
        <v>0</v>
      </c>
      <c r="N187" s="96">
        <f t="shared" si="33"/>
        <v>0</v>
      </c>
      <c r="O187" s="96">
        <f t="shared" si="33"/>
        <v>0</v>
      </c>
      <c r="P187" s="96">
        <f t="shared" si="33"/>
        <v>0</v>
      </c>
      <c r="Q187" s="96">
        <f t="shared" si="33"/>
        <v>0</v>
      </c>
      <c r="R187" s="96">
        <f t="shared" si="33"/>
        <v>0</v>
      </c>
      <c r="S187" s="96">
        <f t="shared" si="33"/>
        <v>0</v>
      </c>
      <c r="T187" s="96">
        <f t="shared" si="33"/>
        <v>0</v>
      </c>
      <c r="U187" s="96">
        <f t="shared" si="33"/>
        <v>0</v>
      </c>
      <c r="V187" s="96">
        <f t="shared" si="33"/>
        <v>0</v>
      </c>
      <c r="W187" s="96">
        <f t="shared" si="33"/>
        <v>0</v>
      </c>
      <c r="X187" s="96">
        <f t="shared" si="33"/>
        <v>0</v>
      </c>
      <c r="Y187" s="96">
        <f t="shared" si="33"/>
        <v>0</v>
      </c>
      <c r="Z187" s="96">
        <f t="shared" si="33"/>
        <v>0</v>
      </c>
      <c r="AA187" s="96">
        <f t="shared" si="33"/>
        <v>0</v>
      </c>
      <c r="AB187" s="96">
        <f t="shared" si="33"/>
        <v>0</v>
      </c>
      <c r="AC187" s="96">
        <f t="shared" si="33"/>
        <v>0</v>
      </c>
      <c r="AD187" s="96">
        <f t="shared" si="33"/>
        <v>0</v>
      </c>
      <c r="AE187" s="96">
        <f t="shared" si="33"/>
        <v>0</v>
      </c>
      <c r="AF187" s="96">
        <f t="shared" si="33"/>
        <v>0</v>
      </c>
      <c r="AG187" s="96">
        <f t="shared" si="33"/>
        <v>0</v>
      </c>
      <c r="AH187" s="96">
        <f t="shared" si="33"/>
        <v>0</v>
      </c>
      <c r="AI187" s="96">
        <f t="shared" si="33"/>
        <v>0</v>
      </c>
      <c r="AJ187" s="28" t="str">
        <f t="shared" si="21"/>
        <v/>
      </c>
      <c r="AK187" s="41"/>
      <c r="AL187" s="41" t="str">
        <f t="shared" si="24"/>
        <v>00</v>
      </c>
      <c r="AM187" s="41" t="str">
        <f t="shared" si="25"/>
        <v>00</v>
      </c>
      <c r="AN187" s="41" t="str">
        <f t="shared" si="26"/>
        <v>00</v>
      </c>
      <c r="AO187" s="41" t="str">
        <f t="shared" si="27"/>
        <v>00</v>
      </c>
      <c r="AQ187" t="str">
        <f t="shared" si="22"/>
        <v/>
      </c>
    </row>
    <row r="188" spans="2:43">
      <c r="B188" s="103"/>
      <c r="C188" s="28">
        <f t="shared" si="23"/>
        <v>52</v>
      </c>
      <c r="D188" s="96">
        <f t="shared" si="33"/>
        <v>0</v>
      </c>
      <c r="E188" s="96">
        <f t="shared" si="33"/>
        <v>0</v>
      </c>
      <c r="F188" s="96">
        <f t="shared" si="33"/>
        <v>0</v>
      </c>
      <c r="G188" s="96">
        <f t="shared" si="33"/>
        <v>0</v>
      </c>
      <c r="H188" s="96">
        <f t="shared" si="33"/>
        <v>0</v>
      </c>
      <c r="I188" s="96">
        <f t="shared" si="33"/>
        <v>0</v>
      </c>
      <c r="J188" s="96">
        <f t="shared" si="33"/>
        <v>0</v>
      </c>
      <c r="K188" s="96">
        <f t="shared" si="33"/>
        <v>0</v>
      </c>
      <c r="L188" s="96">
        <f t="shared" si="33"/>
        <v>0</v>
      </c>
      <c r="M188" s="96">
        <f t="shared" si="33"/>
        <v>0</v>
      </c>
      <c r="N188" s="96">
        <f t="shared" si="33"/>
        <v>0</v>
      </c>
      <c r="O188" s="96">
        <f t="shared" si="33"/>
        <v>0</v>
      </c>
      <c r="P188" s="96">
        <f t="shared" si="33"/>
        <v>0</v>
      </c>
      <c r="Q188" s="96">
        <f t="shared" si="33"/>
        <v>0</v>
      </c>
      <c r="R188" s="96">
        <f t="shared" si="33"/>
        <v>0</v>
      </c>
      <c r="S188" s="96">
        <f t="shared" si="33"/>
        <v>0</v>
      </c>
      <c r="T188" s="96">
        <f t="shared" si="33"/>
        <v>0</v>
      </c>
      <c r="U188" s="96">
        <f t="shared" si="33"/>
        <v>0</v>
      </c>
      <c r="V188" s="96">
        <f t="shared" si="33"/>
        <v>0</v>
      </c>
      <c r="W188" s="96">
        <f t="shared" si="33"/>
        <v>0</v>
      </c>
      <c r="X188" s="96">
        <f t="shared" si="33"/>
        <v>0</v>
      </c>
      <c r="Y188" s="96">
        <f t="shared" si="33"/>
        <v>0</v>
      </c>
      <c r="Z188" s="96">
        <f t="shared" si="33"/>
        <v>0</v>
      </c>
      <c r="AA188" s="96">
        <f t="shared" si="33"/>
        <v>0</v>
      </c>
      <c r="AB188" s="96">
        <f t="shared" si="33"/>
        <v>0</v>
      </c>
      <c r="AC188" s="96">
        <f t="shared" si="33"/>
        <v>0</v>
      </c>
      <c r="AD188" s="96">
        <f t="shared" si="33"/>
        <v>0</v>
      </c>
      <c r="AE188" s="96">
        <f t="shared" si="33"/>
        <v>0</v>
      </c>
      <c r="AF188" s="96">
        <f t="shared" si="33"/>
        <v>0</v>
      </c>
      <c r="AG188" s="96">
        <f t="shared" si="33"/>
        <v>0</v>
      </c>
      <c r="AH188" s="96">
        <f t="shared" si="33"/>
        <v>0</v>
      </c>
      <c r="AI188" s="96">
        <f t="shared" si="33"/>
        <v>0</v>
      </c>
      <c r="AJ188" s="28" t="str">
        <f t="shared" si="21"/>
        <v/>
      </c>
      <c r="AK188" s="41"/>
      <c r="AL188" s="41" t="str">
        <f t="shared" si="24"/>
        <v>00</v>
      </c>
      <c r="AM188" s="41" t="str">
        <f t="shared" si="25"/>
        <v>00</v>
      </c>
      <c r="AN188" s="41" t="str">
        <f t="shared" si="26"/>
        <v>00</v>
      </c>
      <c r="AO188" s="41" t="str">
        <f t="shared" si="27"/>
        <v>00</v>
      </c>
      <c r="AQ188" t="str">
        <f t="shared" si="22"/>
        <v/>
      </c>
    </row>
    <row r="189" spans="2:43">
      <c r="B189" s="103"/>
      <c r="C189" s="28">
        <f t="shared" si="23"/>
        <v>53</v>
      </c>
      <c r="D189" s="96">
        <f t="shared" si="33"/>
        <v>0</v>
      </c>
      <c r="E189" s="96">
        <f t="shared" si="33"/>
        <v>0</v>
      </c>
      <c r="F189" s="96">
        <f t="shared" si="33"/>
        <v>0</v>
      </c>
      <c r="G189" s="96">
        <f t="shared" si="33"/>
        <v>0</v>
      </c>
      <c r="H189" s="96">
        <f t="shared" si="33"/>
        <v>0</v>
      </c>
      <c r="I189" s="96">
        <f t="shared" si="33"/>
        <v>0</v>
      </c>
      <c r="J189" s="96">
        <f t="shared" si="33"/>
        <v>0</v>
      </c>
      <c r="K189" s="96">
        <f t="shared" si="33"/>
        <v>0</v>
      </c>
      <c r="L189" s="96">
        <f t="shared" si="33"/>
        <v>0</v>
      </c>
      <c r="M189" s="96">
        <f t="shared" si="33"/>
        <v>0</v>
      </c>
      <c r="N189" s="96">
        <f t="shared" si="33"/>
        <v>0</v>
      </c>
      <c r="O189" s="96">
        <f t="shared" si="33"/>
        <v>0</v>
      </c>
      <c r="P189" s="96">
        <f t="shared" si="33"/>
        <v>0</v>
      </c>
      <c r="Q189" s="96">
        <f t="shared" si="33"/>
        <v>0</v>
      </c>
      <c r="R189" s="96">
        <f t="shared" si="33"/>
        <v>0</v>
      </c>
      <c r="S189" s="96">
        <f t="shared" si="33"/>
        <v>0</v>
      </c>
      <c r="T189" s="96">
        <f t="shared" si="33"/>
        <v>0</v>
      </c>
      <c r="U189" s="96">
        <f t="shared" si="33"/>
        <v>0</v>
      </c>
      <c r="V189" s="96">
        <f t="shared" si="33"/>
        <v>0</v>
      </c>
      <c r="W189" s="96">
        <f t="shared" si="33"/>
        <v>0</v>
      </c>
      <c r="X189" s="96">
        <f t="shared" si="33"/>
        <v>0</v>
      </c>
      <c r="Y189" s="96">
        <f t="shared" si="33"/>
        <v>0</v>
      </c>
      <c r="Z189" s="96">
        <f t="shared" si="33"/>
        <v>0</v>
      </c>
      <c r="AA189" s="96">
        <f t="shared" si="33"/>
        <v>0</v>
      </c>
      <c r="AB189" s="96">
        <f t="shared" si="33"/>
        <v>0</v>
      </c>
      <c r="AC189" s="96">
        <f t="shared" si="33"/>
        <v>0</v>
      </c>
      <c r="AD189" s="96">
        <f t="shared" si="33"/>
        <v>0</v>
      </c>
      <c r="AE189" s="96">
        <f t="shared" si="33"/>
        <v>0</v>
      </c>
      <c r="AF189" s="96">
        <f t="shared" si="33"/>
        <v>0</v>
      </c>
      <c r="AG189" s="96">
        <f t="shared" si="33"/>
        <v>0</v>
      </c>
      <c r="AH189" s="96">
        <f t="shared" si="33"/>
        <v>0</v>
      </c>
      <c r="AI189" s="96">
        <f t="shared" si="33"/>
        <v>0</v>
      </c>
      <c r="AJ189" s="28" t="str">
        <f t="shared" si="21"/>
        <v/>
      </c>
      <c r="AK189" s="41"/>
      <c r="AL189" s="41" t="str">
        <f t="shared" si="24"/>
        <v>00</v>
      </c>
      <c r="AM189" s="41" t="str">
        <f t="shared" si="25"/>
        <v>00</v>
      </c>
      <c r="AN189" s="41" t="str">
        <f t="shared" si="26"/>
        <v>00</v>
      </c>
      <c r="AO189" s="41" t="str">
        <f t="shared" si="27"/>
        <v>00</v>
      </c>
      <c r="AQ189" t="str">
        <f t="shared" si="22"/>
        <v/>
      </c>
    </row>
    <row r="190" spans="2:43">
      <c r="B190" s="103"/>
      <c r="C190" s="28">
        <f t="shared" si="23"/>
        <v>54</v>
      </c>
      <c r="D190" s="96">
        <f t="shared" si="33"/>
        <v>0</v>
      </c>
      <c r="E190" s="96">
        <f t="shared" si="33"/>
        <v>0</v>
      </c>
      <c r="F190" s="96">
        <f t="shared" si="33"/>
        <v>0</v>
      </c>
      <c r="G190" s="96">
        <f t="shared" si="33"/>
        <v>0</v>
      </c>
      <c r="H190" s="96">
        <f t="shared" si="33"/>
        <v>0</v>
      </c>
      <c r="I190" s="96">
        <f t="shared" si="33"/>
        <v>0</v>
      </c>
      <c r="J190" s="96">
        <f t="shared" si="33"/>
        <v>0</v>
      </c>
      <c r="K190" s="96">
        <f t="shared" si="33"/>
        <v>0</v>
      </c>
      <c r="L190" s="96">
        <f t="shared" si="33"/>
        <v>0</v>
      </c>
      <c r="M190" s="96">
        <f t="shared" si="33"/>
        <v>0</v>
      </c>
      <c r="N190" s="96">
        <f t="shared" si="33"/>
        <v>0</v>
      </c>
      <c r="O190" s="96">
        <f t="shared" si="33"/>
        <v>0</v>
      </c>
      <c r="P190" s="96">
        <f t="shared" si="33"/>
        <v>0</v>
      </c>
      <c r="Q190" s="96">
        <f t="shared" si="33"/>
        <v>0</v>
      </c>
      <c r="R190" s="96">
        <f t="shared" si="33"/>
        <v>0</v>
      </c>
      <c r="S190" s="96">
        <f t="shared" si="33"/>
        <v>0</v>
      </c>
      <c r="T190" s="96">
        <f t="shared" si="33"/>
        <v>0</v>
      </c>
      <c r="U190" s="96">
        <f t="shared" si="33"/>
        <v>0</v>
      </c>
      <c r="V190" s="96">
        <f t="shared" si="33"/>
        <v>0</v>
      </c>
      <c r="W190" s="96">
        <f t="shared" si="33"/>
        <v>0</v>
      </c>
      <c r="X190" s="96">
        <f t="shared" si="33"/>
        <v>0</v>
      </c>
      <c r="Y190" s="96">
        <f t="shared" si="33"/>
        <v>0</v>
      </c>
      <c r="Z190" s="96">
        <f t="shared" si="33"/>
        <v>0</v>
      </c>
      <c r="AA190" s="96">
        <f t="shared" si="33"/>
        <v>0</v>
      </c>
      <c r="AB190" s="96">
        <f t="shared" si="33"/>
        <v>0</v>
      </c>
      <c r="AC190" s="96">
        <f t="shared" si="33"/>
        <v>0</v>
      </c>
      <c r="AD190" s="96">
        <f t="shared" si="33"/>
        <v>0</v>
      </c>
      <c r="AE190" s="96">
        <f t="shared" si="33"/>
        <v>0</v>
      </c>
      <c r="AF190" s="96">
        <f t="shared" si="33"/>
        <v>0</v>
      </c>
      <c r="AG190" s="96">
        <f t="shared" si="33"/>
        <v>0</v>
      </c>
      <c r="AH190" s="96">
        <f t="shared" si="33"/>
        <v>0</v>
      </c>
      <c r="AI190" s="96">
        <f t="shared" si="33"/>
        <v>0</v>
      </c>
      <c r="AJ190" s="28" t="str">
        <f t="shared" si="21"/>
        <v/>
      </c>
      <c r="AK190" s="41"/>
      <c r="AL190" s="41" t="str">
        <f t="shared" si="24"/>
        <v>00</v>
      </c>
      <c r="AM190" s="41" t="str">
        <f t="shared" si="25"/>
        <v>00</v>
      </c>
      <c r="AN190" s="41" t="str">
        <f t="shared" si="26"/>
        <v>00</v>
      </c>
      <c r="AO190" s="41" t="str">
        <f t="shared" si="27"/>
        <v>00</v>
      </c>
      <c r="AQ190" t="str">
        <f t="shared" si="22"/>
        <v/>
      </c>
    </row>
    <row r="191" spans="2:43">
      <c r="B191" s="103"/>
      <c r="C191" s="28">
        <f t="shared" si="23"/>
        <v>55</v>
      </c>
      <c r="D191" s="96">
        <f t="shared" si="33"/>
        <v>0</v>
      </c>
      <c r="E191" s="96">
        <f t="shared" si="33"/>
        <v>0</v>
      </c>
      <c r="F191" s="96">
        <f t="shared" si="33"/>
        <v>0</v>
      </c>
      <c r="G191" s="96">
        <f t="shared" si="33"/>
        <v>0</v>
      </c>
      <c r="H191" s="96">
        <f t="shared" si="33"/>
        <v>0</v>
      </c>
      <c r="I191" s="96">
        <f t="shared" si="33"/>
        <v>0</v>
      </c>
      <c r="J191" s="96">
        <f t="shared" si="33"/>
        <v>0</v>
      </c>
      <c r="K191" s="96">
        <f t="shared" si="33"/>
        <v>0</v>
      </c>
      <c r="L191" s="96">
        <f t="shared" si="33"/>
        <v>0</v>
      </c>
      <c r="M191" s="96">
        <f t="shared" si="33"/>
        <v>0</v>
      </c>
      <c r="N191" s="96">
        <f t="shared" si="33"/>
        <v>0</v>
      </c>
      <c r="O191" s="96">
        <f t="shared" si="33"/>
        <v>0</v>
      </c>
      <c r="P191" s="96">
        <f t="shared" si="33"/>
        <v>0</v>
      </c>
      <c r="Q191" s="96">
        <f t="shared" si="33"/>
        <v>0</v>
      </c>
      <c r="R191" s="96">
        <f t="shared" si="33"/>
        <v>0</v>
      </c>
      <c r="S191" s="96">
        <f t="shared" si="33"/>
        <v>0</v>
      </c>
      <c r="T191" s="96">
        <f t="shared" si="33"/>
        <v>0</v>
      </c>
      <c r="U191" s="96">
        <f t="shared" si="33"/>
        <v>0</v>
      </c>
      <c r="V191" s="96">
        <f t="shared" si="33"/>
        <v>0</v>
      </c>
      <c r="W191" s="96">
        <f t="shared" si="33"/>
        <v>0</v>
      </c>
      <c r="X191" s="96">
        <f t="shared" si="33"/>
        <v>0</v>
      </c>
      <c r="Y191" s="96">
        <f t="shared" si="33"/>
        <v>0</v>
      </c>
      <c r="Z191" s="96">
        <f t="shared" si="33"/>
        <v>0</v>
      </c>
      <c r="AA191" s="96">
        <f t="shared" si="33"/>
        <v>0</v>
      </c>
      <c r="AB191" s="96">
        <f t="shared" si="33"/>
        <v>0</v>
      </c>
      <c r="AC191" s="96">
        <f t="shared" si="33"/>
        <v>0</v>
      </c>
      <c r="AD191" s="96">
        <f t="shared" si="33"/>
        <v>0</v>
      </c>
      <c r="AE191" s="96">
        <f t="shared" si="33"/>
        <v>0</v>
      </c>
      <c r="AF191" s="96">
        <f t="shared" si="33"/>
        <v>0</v>
      </c>
      <c r="AG191" s="96">
        <f t="shared" si="33"/>
        <v>0</v>
      </c>
      <c r="AH191" s="96">
        <f t="shared" si="33"/>
        <v>0</v>
      </c>
      <c r="AI191" s="96">
        <f>IF(OR(AI61=0,AI61=1),1,0)</f>
        <v>0</v>
      </c>
      <c r="AJ191" s="28" t="str">
        <f t="shared" si="21"/>
        <v/>
      </c>
      <c r="AK191" s="41"/>
      <c r="AL191" s="41" t="str">
        <f t="shared" si="24"/>
        <v>00</v>
      </c>
      <c r="AM191" s="41" t="str">
        <f t="shared" si="25"/>
        <v>00</v>
      </c>
      <c r="AN191" s="41" t="str">
        <f t="shared" si="26"/>
        <v>00</v>
      </c>
      <c r="AO191" s="41" t="str">
        <f t="shared" si="27"/>
        <v>00</v>
      </c>
      <c r="AQ191" t="str">
        <f t="shared" si="22"/>
        <v/>
      </c>
    </row>
    <row r="192" spans="2:43">
      <c r="B192" s="103"/>
      <c r="C192" s="28">
        <f t="shared" si="23"/>
        <v>56</v>
      </c>
      <c r="D192" s="96">
        <f t="shared" ref="D192:AI199" si="34">IF(OR(D62=0,D62=1),1,0)</f>
        <v>0</v>
      </c>
      <c r="E192" s="96">
        <f t="shared" si="34"/>
        <v>0</v>
      </c>
      <c r="F192" s="96">
        <f t="shared" si="34"/>
        <v>0</v>
      </c>
      <c r="G192" s="96">
        <f t="shared" si="34"/>
        <v>0</v>
      </c>
      <c r="H192" s="96">
        <f t="shared" si="34"/>
        <v>0</v>
      </c>
      <c r="I192" s="96">
        <f t="shared" si="34"/>
        <v>0</v>
      </c>
      <c r="J192" s="96">
        <f t="shared" si="34"/>
        <v>0</v>
      </c>
      <c r="K192" s="96">
        <f t="shared" si="34"/>
        <v>0</v>
      </c>
      <c r="L192" s="96">
        <f t="shared" si="34"/>
        <v>0</v>
      </c>
      <c r="M192" s="96">
        <f t="shared" si="34"/>
        <v>0</v>
      </c>
      <c r="N192" s="96">
        <f t="shared" si="34"/>
        <v>0</v>
      </c>
      <c r="O192" s="96">
        <f t="shared" si="34"/>
        <v>0</v>
      </c>
      <c r="P192" s="96">
        <f t="shared" si="34"/>
        <v>0</v>
      </c>
      <c r="Q192" s="96">
        <f t="shared" si="34"/>
        <v>0</v>
      </c>
      <c r="R192" s="96">
        <f t="shared" si="34"/>
        <v>0</v>
      </c>
      <c r="S192" s="96">
        <f t="shared" si="34"/>
        <v>0</v>
      </c>
      <c r="T192" s="96">
        <f t="shared" si="34"/>
        <v>0</v>
      </c>
      <c r="U192" s="96">
        <f t="shared" si="34"/>
        <v>0</v>
      </c>
      <c r="V192" s="96">
        <f t="shared" si="34"/>
        <v>0</v>
      </c>
      <c r="W192" s="96">
        <f t="shared" si="34"/>
        <v>0</v>
      </c>
      <c r="X192" s="96">
        <f t="shared" si="34"/>
        <v>0</v>
      </c>
      <c r="Y192" s="96">
        <f t="shared" si="34"/>
        <v>0</v>
      </c>
      <c r="Z192" s="96">
        <f t="shared" si="34"/>
        <v>0</v>
      </c>
      <c r="AA192" s="96">
        <f t="shared" si="34"/>
        <v>0</v>
      </c>
      <c r="AB192" s="96">
        <f t="shared" si="34"/>
        <v>0</v>
      </c>
      <c r="AC192" s="96">
        <f t="shared" si="34"/>
        <v>0</v>
      </c>
      <c r="AD192" s="96">
        <f t="shared" si="34"/>
        <v>0</v>
      </c>
      <c r="AE192" s="96">
        <f t="shared" si="34"/>
        <v>0</v>
      </c>
      <c r="AF192" s="96">
        <f t="shared" si="34"/>
        <v>0</v>
      </c>
      <c r="AG192" s="96">
        <f t="shared" si="34"/>
        <v>0</v>
      </c>
      <c r="AH192" s="96">
        <f t="shared" si="34"/>
        <v>0</v>
      </c>
      <c r="AI192" s="96">
        <f t="shared" si="34"/>
        <v>0</v>
      </c>
      <c r="AJ192" s="28" t="str">
        <f t="shared" si="21"/>
        <v/>
      </c>
      <c r="AK192" s="41"/>
      <c r="AL192" s="41" t="str">
        <f t="shared" si="24"/>
        <v>00</v>
      </c>
      <c r="AM192" s="41" t="str">
        <f t="shared" si="25"/>
        <v>00</v>
      </c>
      <c r="AN192" s="41" t="str">
        <f t="shared" si="26"/>
        <v>00</v>
      </c>
      <c r="AO192" s="41" t="str">
        <f t="shared" si="27"/>
        <v>00</v>
      </c>
      <c r="AQ192" t="str">
        <f t="shared" si="22"/>
        <v/>
      </c>
    </row>
    <row r="193" spans="2:43">
      <c r="B193" s="103"/>
      <c r="C193" s="28">
        <f t="shared" si="23"/>
        <v>57</v>
      </c>
      <c r="D193" s="96">
        <f t="shared" si="34"/>
        <v>0</v>
      </c>
      <c r="E193" s="96">
        <f t="shared" si="34"/>
        <v>0</v>
      </c>
      <c r="F193" s="96">
        <f t="shared" si="34"/>
        <v>0</v>
      </c>
      <c r="G193" s="96">
        <f t="shared" si="34"/>
        <v>0</v>
      </c>
      <c r="H193" s="96">
        <f t="shared" si="34"/>
        <v>0</v>
      </c>
      <c r="I193" s="96">
        <f t="shared" si="34"/>
        <v>0</v>
      </c>
      <c r="J193" s="96">
        <f t="shared" si="34"/>
        <v>0</v>
      </c>
      <c r="K193" s="96">
        <f t="shared" si="34"/>
        <v>0</v>
      </c>
      <c r="L193" s="96">
        <f t="shared" si="34"/>
        <v>0</v>
      </c>
      <c r="M193" s="96">
        <f t="shared" si="34"/>
        <v>0</v>
      </c>
      <c r="N193" s="96">
        <f t="shared" si="34"/>
        <v>0</v>
      </c>
      <c r="O193" s="96">
        <f t="shared" si="34"/>
        <v>0</v>
      </c>
      <c r="P193" s="96">
        <f t="shared" si="34"/>
        <v>0</v>
      </c>
      <c r="Q193" s="96">
        <f t="shared" si="34"/>
        <v>0</v>
      </c>
      <c r="R193" s="96">
        <f t="shared" si="34"/>
        <v>0</v>
      </c>
      <c r="S193" s="96">
        <f t="shared" si="34"/>
        <v>0</v>
      </c>
      <c r="T193" s="96">
        <f t="shared" si="34"/>
        <v>0</v>
      </c>
      <c r="U193" s="96">
        <f t="shared" si="34"/>
        <v>0</v>
      </c>
      <c r="V193" s="96">
        <f t="shared" si="34"/>
        <v>0</v>
      </c>
      <c r="W193" s="96">
        <f t="shared" si="34"/>
        <v>0</v>
      </c>
      <c r="X193" s="96">
        <f t="shared" si="34"/>
        <v>0</v>
      </c>
      <c r="Y193" s="96">
        <f t="shared" si="34"/>
        <v>0</v>
      </c>
      <c r="Z193" s="96">
        <f t="shared" si="34"/>
        <v>0</v>
      </c>
      <c r="AA193" s="96">
        <f t="shared" si="34"/>
        <v>0</v>
      </c>
      <c r="AB193" s="96">
        <f t="shared" si="34"/>
        <v>0</v>
      </c>
      <c r="AC193" s="96">
        <f t="shared" si="34"/>
        <v>0</v>
      </c>
      <c r="AD193" s="96">
        <f t="shared" si="34"/>
        <v>0</v>
      </c>
      <c r="AE193" s="96">
        <f t="shared" si="34"/>
        <v>0</v>
      </c>
      <c r="AF193" s="96">
        <f t="shared" si="34"/>
        <v>0</v>
      </c>
      <c r="AG193" s="96">
        <f t="shared" si="34"/>
        <v>0</v>
      </c>
      <c r="AH193" s="96">
        <f t="shared" si="34"/>
        <v>0</v>
      </c>
      <c r="AI193" s="96">
        <f t="shared" si="34"/>
        <v>0</v>
      </c>
      <c r="AJ193" s="28" t="str">
        <f t="shared" si="21"/>
        <v/>
      </c>
      <c r="AK193" s="41"/>
      <c r="AL193" s="41" t="str">
        <f t="shared" si="24"/>
        <v>00</v>
      </c>
      <c r="AM193" s="41" t="str">
        <f t="shared" si="25"/>
        <v>00</v>
      </c>
      <c r="AN193" s="41" t="str">
        <f t="shared" si="26"/>
        <v>00</v>
      </c>
      <c r="AO193" s="41" t="str">
        <f t="shared" si="27"/>
        <v>00</v>
      </c>
      <c r="AQ193" t="str">
        <f t="shared" si="22"/>
        <v/>
      </c>
    </row>
    <row r="194" spans="2:43">
      <c r="B194" s="103"/>
      <c r="C194" s="28">
        <f t="shared" si="23"/>
        <v>58</v>
      </c>
      <c r="D194" s="96">
        <f t="shared" si="34"/>
        <v>0</v>
      </c>
      <c r="E194" s="96">
        <f t="shared" si="34"/>
        <v>0</v>
      </c>
      <c r="F194" s="96">
        <f t="shared" si="34"/>
        <v>0</v>
      </c>
      <c r="G194" s="96">
        <f t="shared" si="34"/>
        <v>0</v>
      </c>
      <c r="H194" s="96">
        <f t="shared" si="34"/>
        <v>0</v>
      </c>
      <c r="I194" s="96">
        <f t="shared" si="34"/>
        <v>0</v>
      </c>
      <c r="J194" s="96">
        <f t="shared" si="34"/>
        <v>0</v>
      </c>
      <c r="K194" s="96">
        <f t="shared" si="34"/>
        <v>0</v>
      </c>
      <c r="L194" s="96">
        <f t="shared" si="34"/>
        <v>0</v>
      </c>
      <c r="M194" s="96">
        <f t="shared" si="34"/>
        <v>0</v>
      </c>
      <c r="N194" s="96">
        <f t="shared" si="34"/>
        <v>0</v>
      </c>
      <c r="O194" s="96">
        <f t="shared" si="34"/>
        <v>0</v>
      </c>
      <c r="P194" s="96">
        <f t="shared" si="34"/>
        <v>0</v>
      </c>
      <c r="Q194" s="96">
        <f t="shared" si="34"/>
        <v>0</v>
      </c>
      <c r="R194" s="96">
        <f t="shared" si="34"/>
        <v>0</v>
      </c>
      <c r="S194" s="96">
        <f t="shared" si="34"/>
        <v>0</v>
      </c>
      <c r="T194" s="96">
        <f t="shared" si="34"/>
        <v>0</v>
      </c>
      <c r="U194" s="96">
        <f t="shared" si="34"/>
        <v>0</v>
      </c>
      <c r="V194" s="96">
        <f t="shared" si="34"/>
        <v>0</v>
      </c>
      <c r="W194" s="96">
        <f t="shared" si="34"/>
        <v>0</v>
      </c>
      <c r="X194" s="96">
        <f t="shared" si="34"/>
        <v>0</v>
      </c>
      <c r="Y194" s="96">
        <f t="shared" si="34"/>
        <v>0</v>
      </c>
      <c r="Z194" s="96">
        <f t="shared" si="34"/>
        <v>0</v>
      </c>
      <c r="AA194" s="96">
        <f t="shared" si="34"/>
        <v>0</v>
      </c>
      <c r="AB194" s="96">
        <f t="shared" si="34"/>
        <v>0</v>
      </c>
      <c r="AC194" s="96">
        <f t="shared" si="34"/>
        <v>0</v>
      </c>
      <c r="AD194" s="96">
        <f t="shared" si="34"/>
        <v>0</v>
      </c>
      <c r="AE194" s="96">
        <f t="shared" si="34"/>
        <v>0</v>
      </c>
      <c r="AF194" s="96">
        <f t="shared" si="34"/>
        <v>0</v>
      </c>
      <c r="AG194" s="96">
        <f t="shared" si="34"/>
        <v>0</v>
      </c>
      <c r="AH194" s="96">
        <f t="shared" si="34"/>
        <v>0</v>
      </c>
      <c r="AI194" s="96">
        <f t="shared" si="34"/>
        <v>0</v>
      </c>
      <c r="AJ194" s="28" t="str">
        <f t="shared" si="21"/>
        <v/>
      </c>
      <c r="AK194" s="41"/>
      <c r="AL194" s="41" t="str">
        <f t="shared" si="24"/>
        <v>00</v>
      </c>
      <c r="AM194" s="41" t="str">
        <f t="shared" si="25"/>
        <v>00</v>
      </c>
      <c r="AN194" s="41" t="str">
        <f t="shared" si="26"/>
        <v>00</v>
      </c>
      <c r="AO194" s="41" t="str">
        <f t="shared" si="27"/>
        <v>00</v>
      </c>
      <c r="AQ194" t="str">
        <f t="shared" si="22"/>
        <v/>
      </c>
    </row>
    <row r="195" spans="2:43">
      <c r="B195" s="103"/>
      <c r="C195" s="28">
        <f t="shared" si="23"/>
        <v>59</v>
      </c>
      <c r="D195" s="96">
        <f t="shared" si="34"/>
        <v>0</v>
      </c>
      <c r="E195" s="96">
        <f t="shared" si="34"/>
        <v>0</v>
      </c>
      <c r="F195" s="96">
        <f t="shared" si="34"/>
        <v>0</v>
      </c>
      <c r="G195" s="96">
        <f t="shared" si="34"/>
        <v>0</v>
      </c>
      <c r="H195" s="96">
        <f t="shared" si="34"/>
        <v>0</v>
      </c>
      <c r="I195" s="96">
        <f t="shared" si="34"/>
        <v>0</v>
      </c>
      <c r="J195" s="96">
        <f t="shared" si="34"/>
        <v>0</v>
      </c>
      <c r="K195" s="96">
        <f t="shared" si="34"/>
        <v>0</v>
      </c>
      <c r="L195" s="96">
        <f t="shared" si="34"/>
        <v>0</v>
      </c>
      <c r="M195" s="96">
        <f t="shared" si="34"/>
        <v>0</v>
      </c>
      <c r="N195" s="96">
        <f t="shared" si="34"/>
        <v>0</v>
      </c>
      <c r="O195" s="96">
        <f t="shared" si="34"/>
        <v>0</v>
      </c>
      <c r="P195" s="96">
        <f t="shared" si="34"/>
        <v>0</v>
      </c>
      <c r="Q195" s="96">
        <f t="shared" si="34"/>
        <v>0</v>
      </c>
      <c r="R195" s="96">
        <f t="shared" si="34"/>
        <v>0</v>
      </c>
      <c r="S195" s="96">
        <f t="shared" si="34"/>
        <v>0</v>
      </c>
      <c r="T195" s="96">
        <f t="shared" si="34"/>
        <v>0</v>
      </c>
      <c r="U195" s="96">
        <f t="shared" si="34"/>
        <v>0</v>
      </c>
      <c r="V195" s="96">
        <f t="shared" si="34"/>
        <v>0</v>
      </c>
      <c r="W195" s="96">
        <f t="shared" si="34"/>
        <v>0</v>
      </c>
      <c r="X195" s="96">
        <f t="shared" si="34"/>
        <v>0</v>
      </c>
      <c r="Y195" s="96">
        <f t="shared" si="34"/>
        <v>0</v>
      </c>
      <c r="Z195" s="96">
        <f t="shared" si="34"/>
        <v>0</v>
      </c>
      <c r="AA195" s="96">
        <f t="shared" si="34"/>
        <v>0</v>
      </c>
      <c r="AB195" s="96">
        <f t="shared" si="34"/>
        <v>0</v>
      </c>
      <c r="AC195" s="96">
        <f t="shared" si="34"/>
        <v>0</v>
      </c>
      <c r="AD195" s="96">
        <f t="shared" si="34"/>
        <v>0</v>
      </c>
      <c r="AE195" s="96">
        <f t="shared" si="34"/>
        <v>0</v>
      </c>
      <c r="AF195" s="96">
        <f t="shared" si="34"/>
        <v>0</v>
      </c>
      <c r="AG195" s="96">
        <f t="shared" si="34"/>
        <v>0</v>
      </c>
      <c r="AH195" s="96">
        <f t="shared" si="34"/>
        <v>0</v>
      </c>
      <c r="AI195" s="96">
        <f t="shared" si="34"/>
        <v>0</v>
      </c>
      <c r="AJ195" s="28" t="str">
        <f t="shared" si="21"/>
        <v/>
      </c>
      <c r="AK195" s="41"/>
      <c r="AL195" s="41" t="str">
        <f t="shared" si="24"/>
        <v>00</v>
      </c>
      <c r="AM195" s="41" t="str">
        <f t="shared" si="25"/>
        <v>00</v>
      </c>
      <c r="AN195" s="41" t="str">
        <f t="shared" si="26"/>
        <v>00</v>
      </c>
      <c r="AO195" s="41" t="str">
        <f t="shared" si="27"/>
        <v>00</v>
      </c>
      <c r="AQ195" t="str">
        <f t="shared" si="22"/>
        <v/>
      </c>
    </row>
    <row r="196" spans="2:43">
      <c r="B196" s="103"/>
      <c r="C196" s="28">
        <f t="shared" si="23"/>
        <v>60</v>
      </c>
      <c r="D196" s="96">
        <f t="shared" si="34"/>
        <v>0</v>
      </c>
      <c r="E196" s="96">
        <f t="shared" si="34"/>
        <v>0</v>
      </c>
      <c r="F196" s="96">
        <f t="shared" si="34"/>
        <v>0</v>
      </c>
      <c r="G196" s="96">
        <f t="shared" si="34"/>
        <v>0</v>
      </c>
      <c r="H196" s="96">
        <f t="shared" si="34"/>
        <v>0</v>
      </c>
      <c r="I196" s="96">
        <f t="shared" si="34"/>
        <v>0</v>
      </c>
      <c r="J196" s="96">
        <f t="shared" si="34"/>
        <v>0</v>
      </c>
      <c r="K196" s="96">
        <f t="shared" si="34"/>
        <v>0</v>
      </c>
      <c r="L196" s="96">
        <f t="shared" si="34"/>
        <v>0</v>
      </c>
      <c r="M196" s="96">
        <f t="shared" si="34"/>
        <v>0</v>
      </c>
      <c r="N196" s="96">
        <f t="shared" si="34"/>
        <v>0</v>
      </c>
      <c r="O196" s="96">
        <f t="shared" si="34"/>
        <v>0</v>
      </c>
      <c r="P196" s="96">
        <f t="shared" si="34"/>
        <v>0</v>
      </c>
      <c r="Q196" s="96">
        <f t="shared" si="34"/>
        <v>0</v>
      </c>
      <c r="R196" s="96">
        <f t="shared" si="34"/>
        <v>0</v>
      </c>
      <c r="S196" s="96">
        <f t="shared" si="34"/>
        <v>0</v>
      </c>
      <c r="T196" s="96">
        <f t="shared" si="34"/>
        <v>0</v>
      </c>
      <c r="U196" s="96">
        <f t="shared" si="34"/>
        <v>0</v>
      </c>
      <c r="V196" s="96">
        <f t="shared" si="34"/>
        <v>0</v>
      </c>
      <c r="W196" s="96">
        <f t="shared" si="34"/>
        <v>0</v>
      </c>
      <c r="X196" s="96">
        <f t="shared" si="34"/>
        <v>0</v>
      </c>
      <c r="Y196" s="96">
        <f t="shared" si="34"/>
        <v>0</v>
      </c>
      <c r="Z196" s="96">
        <f t="shared" si="34"/>
        <v>0</v>
      </c>
      <c r="AA196" s="96">
        <f t="shared" si="34"/>
        <v>0</v>
      </c>
      <c r="AB196" s="96">
        <f t="shared" si="34"/>
        <v>0</v>
      </c>
      <c r="AC196" s="96">
        <f t="shared" si="34"/>
        <v>0</v>
      </c>
      <c r="AD196" s="96">
        <f t="shared" si="34"/>
        <v>0</v>
      </c>
      <c r="AE196" s="96">
        <f t="shared" si="34"/>
        <v>0</v>
      </c>
      <c r="AF196" s="96">
        <f t="shared" si="34"/>
        <v>0</v>
      </c>
      <c r="AG196" s="96">
        <f t="shared" si="34"/>
        <v>0</v>
      </c>
      <c r="AH196" s="96">
        <f t="shared" si="34"/>
        <v>0</v>
      </c>
      <c r="AI196" s="96">
        <f t="shared" si="34"/>
        <v>0</v>
      </c>
      <c r="AJ196" s="28" t="str">
        <f t="shared" si="21"/>
        <v/>
      </c>
      <c r="AK196" s="41"/>
      <c r="AL196" s="41" t="str">
        <f t="shared" si="24"/>
        <v>00</v>
      </c>
      <c r="AM196" s="41" t="str">
        <f t="shared" si="25"/>
        <v>00</v>
      </c>
      <c r="AN196" s="41" t="str">
        <f t="shared" si="26"/>
        <v>00</v>
      </c>
      <c r="AO196" s="41" t="str">
        <f t="shared" si="27"/>
        <v>00</v>
      </c>
      <c r="AQ196" t="str">
        <f t="shared" si="22"/>
        <v/>
      </c>
    </row>
    <row r="197" spans="2:43">
      <c r="B197" s="103"/>
      <c r="C197" s="28">
        <f t="shared" si="23"/>
        <v>61</v>
      </c>
      <c r="D197" s="96">
        <f t="shared" si="34"/>
        <v>0</v>
      </c>
      <c r="E197" s="96">
        <f t="shared" si="34"/>
        <v>0</v>
      </c>
      <c r="F197" s="96">
        <f t="shared" si="34"/>
        <v>0</v>
      </c>
      <c r="G197" s="96">
        <f t="shared" si="34"/>
        <v>0</v>
      </c>
      <c r="H197" s="96">
        <f t="shared" si="34"/>
        <v>0</v>
      </c>
      <c r="I197" s="96">
        <f t="shared" si="34"/>
        <v>0</v>
      </c>
      <c r="J197" s="96">
        <f t="shared" si="34"/>
        <v>0</v>
      </c>
      <c r="K197" s="96">
        <f t="shared" si="34"/>
        <v>0</v>
      </c>
      <c r="L197" s="96">
        <f t="shared" si="34"/>
        <v>0</v>
      </c>
      <c r="M197" s="96">
        <f t="shared" si="34"/>
        <v>0</v>
      </c>
      <c r="N197" s="96">
        <f t="shared" si="34"/>
        <v>0</v>
      </c>
      <c r="O197" s="96">
        <f t="shared" si="34"/>
        <v>0</v>
      </c>
      <c r="P197" s="96">
        <f t="shared" si="34"/>
        <v>0</v>
      </c>
      <c r="Q197" s="96">
        <f t="shared" si="34"/>
        <v>0</v>
      </c>
      <c r="R197" s="96">
        <f t="shared" si="34"/>
        <v>0</v>
      </c>
      <c r="S197" s="96">
        <f t="shared" si="34"/>
        <v>0</v>
      </c>
      <c r="T197" s="96">
        <f t="shared" si="34"/>
        <v>0</v>
      </c>
      <c r="U197" s="96">
        <f t="shared" si="34"/>
        <v>0</v>
      </c>
      <c r="V197" s="96">
        <f t="shared" si="34"/>
        <v>0</v>
      </c>
      <c r="W197" s="96">
        <f t="shared" si="34"/>
        <v>0</v>
      </c>
      <c r="X197" s="96">
        <f t="shared" si="34"/>
        <v>0</v>
      </c>
      <c r="Y197" s="96">
        <f t="shared" si="34"/>
        <v>0</v>
      </c>
      <c r="Z197" s="96">
        <f t="shared" si="34"/>
        <v>0</v>
      </c>
      <c r="AA197" s="96">
        <f t="shared" si="34"/>
        <v>0</v>
      </c>
      <c r="AB197" s="96">
        <f t="shared" si="34"/>
        <v>0</v>
      </c>
      <c r="AC197" s="96">
        <f t="shared" si="34"/>
        <v>0</v>
      </c>
      <c r="AD197" s="96">
        <f t="shared" si="34"/>
        <v>0</v>
      </c>
      <c r="AE197" s="96">
        <f t="shared" si="34"/>
        <v>0</v>
      </c>
      <c r="AF197" s="96">
        <f t="shared" si="34"/>
        <v>0</v>
      </c>
      <c r="AG197" s="96">
        <f t="shared" si="34"/>
        <v>0</v>
      </c>
      <c r="AH197" s="96">
        <f t="shared" si="34"/>
        <v>0</v>
      </c>
      <c r="AI197" s="96">
        <f t="shared" si="34"/>
        <v>0</v>
      </c>
      <c r="AJ197" s="28" t="str">
        <f t="shared" si="21"/>
        <v/>
      </c>
      <c r="AK197" s="41"/>
      <c r="AL197" s="41" t="str">
        <f t="shared" si="24"/>
        <v>00</v>
      </c>
      <c r="AM197" s="41" t="str">
        <f t="shared" si="25"/>
        <v>00</v>
      </c>
      <c r="AN197" s="41" t="str">
        <f t="shared" si="26"/>
        <v>00</v>
      </c>
      <c r="AO197" s="41" t="str">
        <f t="shared" si="27"/>
        <v>00</v>
      </c>
      <c r="AQ197" t="str">
        <f t="shared" si="22"/>
        <v/>
      </c>
    </row>
    <row r="198" spans="2:43">
      <c r="B198" s="103"/>
      <c r="C198" s="28">
        <f t="shared" si="23"/>
        <v>62</v>
      </c>
      <c r="D198" s="96">
        <f t="shared" si="34"/>
        <v>0</v>
      </c>
      <c r="E198" s="96">
        <f t="shared" si="34"/>
        <v>0</v>
      </c>
      <c r="F198" s="96">
        <f t="shared" si="34"/>
        <v>0</v>
      </c>
      <c r="G198" s="96">
        <f t="shared" si="34"/>
        <v>0</v>
      </c>
      <c r="H198" s="96">
        <f t="shared" si="34"/>
        <v>0</v>
      </c>
      <c r="I198" s="96">
        <f t="shared" si="34"/>
        <v>0</v>
      </c>
      <c r="J198" s="96">
        <f t="shared" si="34"/>
        <v>0</v>
      </c>
      <c r="K198" s="96">
        <f t="shared" si="34"/>
        <v>0</v>
      </c>
      <c r="L198" s="96">
        <f t="shared" si="34"/>
        <v>0</v>
      </c>
      <c r="M198" s="96">
        <f t="shared" si="34"/>
        <v>0</v>
      </c>
      <c r="N198" s="96">
        <f t="shared" si="34"/>
        <v>0</v>
      </c>
      <c r="O198" s="96">
        <f t="shared" si="34"/>
        <v>0</v>
      </c>
      <c r="P198" s="96">
        <f t="shared" si="34"/>
        <v>0</v>
      </c>
      <c r="Q198" s="96">
        <f t="shared" si="34"/>
        <v>0</v>
      </c>
      <c r="R198" s="96">
        <f t="shared" si="34"/>
        <v>0</v>
      </c>
      <c r="S198" s="96">
        <f t="shared" si="34"/>
        <v>0</v>
      </c>
      <c r="T198" s="96">
        <f t="shared" si="34"/>
        <v>0</v>
      </c>
      <c r="U198" s="96">
        <f t="shared" si="34"/>
        <v>0</v>
      </c>
      <c r="V198" s="96">
        <f t="shared" si="34"/>
        <v>0</v>
      </c>
      <c r="W198" s="96">
        <f t="shared" si="34"/>
        <v>0</v>
      </c>
      <c r="X198" s="96">
        <f t="shared" si="34"/>
        <v>0</v>
      </c>
      <c r="Y198" s="96">
        <f t="shared" si="34"/>
        <v>0</v>
      </c>
      <c r="Z198" s="96">
        <f t="shared" si="34"/>
        <v>0</v>
      </c>
      <c r="AA198" s="96">
        <f t="shared" si="34"/>
        <v>0</v>
      </c>
      <c r="AB198" s="96">
        <f t="shared" si="34"/>
        <v>0</v>
      </c>
      <c r="AC198" s="96">
        <f t="shared" si="34"/>
        <v>0</v>
      </c>
      <c r="AD198" s="96">
        <f t="shared" si="34"/>
        <v>0</v>
      </c>
      <c r="AE198" s="96">
        <f t="shared" si="34"/>
        <v>0</v>
      </c>
      <c r="AF198" s="96">
        <f t="shared" si="34"/>
        <v>0</v>
      </c>
      <c r="AG198" s="96">
        <f t="shared" si="34"/>
        <v>0</v>
      </c>
      <c r="AH198" s="96">
        <f t="shared" si="34"/>
        <v>0</v>
      </c>
      <c r="AI198" s="96">
        <f t="shared" si="34"/>
        <v>0</v>
      </c>
      <c r="AJ198" s="28" t="str">
        <f t="shared" si="21"/>
        <v/>
      </c>
      <c r="AK198" s="41"/>
      <c r="AL198" s="41" t="str">
        <f t="shared" si="24"/>
        <v>00</v>
      </c>
      <c r="AM198" s="41" t="str">
        <f t="shared" si="25"/>
        <v>00</v>
      </c>
      <c r="AN198" s="41" t="str">
        <f t="shared" si="26"/>
        <v>00</v>
      </c>
      <c r="AO198" s="41" t="str">
        <f t="shared" si="27"/>
        <v>00</v>
      </c>
      <c r="AQ198" t="str">
        <f t="shared" si="22"/>
        <v/>
      </c>
    </row>
    <row r="199" spans="2:43">
      <c r="B199" s="104"/>
      <c r="C199" s="28">
        <f t="shared" si="23"/>
        <v>63</v>
      </c>
      <c r="D199" s="96">
        <f t="shared" si="34"/>
        <v>0</v>
      </c>
      <c r="E199" s="96">
        <f t="shared" si="34"/>
        <v>0</v>
      </c>
      <c r="F199" s="96">
        <f t="shared" si="34"/>
        <v>0</v>
      </c>
      <c r="G199" s="96">
        <f t="shared" si="34"/>
        <v>0</v>
      </c>
      <c r="H199" s="96">
        <f t="shared" si="34"/>
        <v>0</v>
      </c>
      <c r="I199" s="96">
        <f t="shared" si="34"/>
        <v>0</v>
      </c>
      <c r="J199" s="96">
        <f t="shared" si="34"/>
        <v>0</v>
      </c>
      <c r="K199" s="96">
        <f t="shared" si="34"/>
        <v>0</v>
      </c>
      <c r="L199" s="96">
        <f t="shared" si="34"/>
        <v>0</v>
      </c>
      <c r="M199" s="96">
        <f t="shared" si="34"/>
        <v>0</v>
      </c>
      <c r="N199" s="96">
        <f t="shared" si="34"/>
        <v>0</v>
      </c>
      <c r="O199" s="96">
        <f t="shared" si="34"/>
        <v>0</v>
      </c>
      <c r="P199" s="96">
        <f t="shared" si="34"/>
        <v>0</v>
      </c>
      <c r="Q199" s="96">
        <f t="shared" si="34"/>
        <v>0</v>
      </c>
      <c r="R199" s="96">
        <f t="shared" si="34"/>
        <v>0</v>
      </c>
      <c r="S199" s="96">
        <f t="shared" si="34"/>
        <v>0</v>
      </c>
      <c r="T199" s="96">
        <f t="shared" si="34"/>
        <v>0</v>
      </c>
      <c r="U199" s="96">
        <f t="shared" si="34"/>
        <v>0</v>
      </c>
      <c r="V199" s="96">
        <f t="shared" si="34"/>
        <v>0</v>
      </c>
      <c r="W199" s="96">
        <f t="shared" si="34"/>
        <v>0</v>
      </c>
      <c r="X199" s="96">
        <f t="shared" si="34"/>
        <v>0</v>
      </c>
      <c r="Y199" s="96">
        <f t="shared" si="34"/>
        <v>0</v>
      </c>
      <c r="Z199" s="96">
        <f t="shared" si="34"/>
        <v>0</v>
      </c>
      <c r="AA199" s="96">
        <f t="shared" si="34"/>
        <v>0</v>
      </c>
      <c r="AB199" s="96">
        <f t="shared" si="34"/>
        <v>0</v>
      </c>
      <c r="AC199" s="96">
        <f t="shared" si="34"/>
        <v>0</v>
      </c>
      <c r="AD199" s="96">
        <f t="shared" si="34"/>
        <v>0</v>
      </c>
      <c r="AE199" s="96">
        <f t="shared" si="34"/>
        <v>0</v>
      </c>
      <c r="AF199" s="96">
        <f t="shared" si="34"/>
        <v>0</v>
      </c>
      <c r="AG199" s="96">
        <f t="shared" si="34"/>
        <v>0</v>
      </c>
      <c r="AH199" s="96">
        <f t="shared" si="34"/>
        <v>0</v>
      </c>
      <c r="AI199" s="96">
        <f>IF(OR(AI69=0,AI69=1),1,0)</f>
        <v>0</v>
      </c>
      <c r="AJ199" s="28" t="str">
        <f t="shared" si="21"/>
        <v/>
      </c>
      <c r="AK199" s="41"/>
      <c r="AL199" s="41" t="str">
        <f t="shared" si="24"/>
        <v>00</v>
      </c>
      <c r="AM199" s="41" t="str">
        <f t="shared" si="25"/>
        <v>00</v>
      </c>
      <c r="AN199" s="41" t="str">
        <f t="shared" si="26"/>
        <v>00</v>
      </c>
      <c r="AO199" s="41" t="str">
        <f t="shared" si="27"/>
        <v>00</v>
      </c>
      <c r="AQ199" t="str">
        <f t="shared" si="22"/>
        <v/>
      </c>
    </row>
  </sheetData>
  <protectedRanges>
    <protectedRange sqref="L3:AC3 D6:AJ69" name="Table作成編集範囲"/>
    <protectedRange sqref="AD3:AI3" name="Table作成編集範囲_3"/>
    <protectedRange sqref="B3" name="Table作成編集範囲_2"/>
  </protectedRanges>
  <mergeCells count="3">
    <mergeCell ref="C2:C3"/>
    <mergeCell ref="AJ2:AJ3"/>
    <mergeCell ref="A4:B5"/>
  </mergeCells>
  <phoneticPr fontId="2"/>
  <conditionalFormatting sqref="D29:F32 D67:AB69 D53:F66 D49:F50 D51:AH52 D47:AH48 D37:E38 D35:F36 D33:E34 D41:F46 D39:AH40 D27:E28 D24:AB24 D25:F26 D6:AB12 D16:F23 D15:AB15 D13:F14">
    <cfRule type="cellIs" dxfId="50" priority="64" operator="equal">
      <formula>1</formula>
    </cfRule>
    <cfRule type="cellIs" dxfId="49" priority="65" operator="equal">
      <formula>"×"</formula>
    </cfRule>
  </conditionalFormatting>
  <conditionalFormatting sqref="AR5:AS70">
    <cfRule type="expression" dxfId="48" priority="63">
      <formula>$B$3="Index Table"</formula>
    </cfRule>
  </conditionalFormatting>
  <conditionalFormatting sqref="AC67:AI69 AI53:AI66 AE51:AI52 AC51:AC52 G47:AI48 AE39:AI40 AC39:AC40 AI43:AI46 G24:AI24 G9:AI10 G12:AI12 F16 AC6:AI12 F15:AI15">
    <cfRule type="cellIs" dxfId="47" priority="59" operator="equal">
      <formula>1</formula>
    </cfRule>
    <cfRule type="cellIs" dxfId="46" priority="60" operator="equal">
      <formula>"×"</formula>
    </cfRule>
  </conditionalFormatting>
  <conditionalFormatting sqref="AD39:AD40">
    <cfRule type="cellIs" dxfId="45" priority="55" operator="equal">
      <formula>1</formula>
    </cfRule>
    <cfRule type="cellIs" dxfId="44" priority="56" operator="equal">
      <formula>"×"</formula>
    </cfRule>
  </conditionalFormatting>
  <conditionalFormatting sqref="G59:AH66 G53:AH54">
    <cfRule type="cellIs" dxfId="43" priority="53" operator="equal">
      <formula>1</formula>
    </cfRule>
    <cfRule type="cellIs" dxfId="42" priority="54" operator="equal">
      <formula>"×"</formula>
    </cfRule>
  </conditionalFormatting>
  <conditionalFormatting sqref="AD47:AD48 AD51:AD54">
    <cfRule type="cellIs" dxfId="41" priority="51" operator="equal">
      <formula>1</formula>
    </cfRule>
    <cfRule type="cellIs" dxfId="40" priority="52" operator="equal">
      <formula>"×"</formula>
    </cfRule>
  </conditionalFormatting>
  <conditionalFormatting sqref="G57:AH58">
    <cfRule type="cellIs" dxfId="39" priority="47" operator="equal">
      <formula>1</formula>
    </cfRule>
    <cfRule type="cellIs" dxfId="38" priority="48" operator="equal">
      <formula>"×"</formula>
    </cfRule>
  </conditionalFormatting>
  <conditionalFormatting sqref="G55:AH56">
    <cfRule type="cellIs" dxfId="37" priority="45" operator="equal">
      <formula>1</formula>
    </cfRule>
    <cfRule type="cellIs" dxfId="36" priority="46" operator="equal">
      <formula>"×"</formula>
    </cfRule>
  </conditionalFormatting>
  <conditionalFormatting sqref="G49:AI50">
    <cfRule type="cellIs" dxfId="35" priority="43" operator="equal">
      <formula>1</formula>
    </cfRule>
    <cfRule type="cellIs" dxfId="34" priority="44" operator="equal">
      <formula>"×"</formula>
    </cfRule>
  </conditionalFormatting>
  <conditionalFormatting sqref="G49:AI50">
    <cfRule type="cellIs" dxfId="33" priority="41" operator="equal">
      <formula>1</formula>
    </cfRule>
    <cfRule type="cellIs" dxfId="32" priority="42" operator="equal">
      <formula>"×"</formula>
    </cfRule>
  </conditionalFormatting>
  <conditionalFormatting sqref="G41:AI42">
    <cfRule type="cellIs" dxfId="31" priority="37" operator="equal">
      <formula>1</formula>
    </cfRule>
    <cfRule type="cellIs" dxfId="30" priority="38" operator="equal">
      <formula>"×"</formula>
    </cfRule>
  </conditionalFormatting>
  <conditionalFormatting sqref="F37:AI38">
    <cfRule type="cellIs" dxfId="29" priority="35" operator="equal">
      <formula>1</formula>
    </cfRule>
    <cfRule type="cellIs" dxfId="28" priority="36" operator="equal">
      <formula>"×"</formula>
    </cfRule>
  </conditionalFormatting>
  <conditionalFormatting sqref="F33:F34">
    <cfRule type="cellIs" dxfId="27" priority="33" operator="equal">
      <formula>1</formula>
    </cfRule>
    <cfRule type="cellIs" dxfId="26" priority="34" operator="equal">
      <formula>"×"</formula>
    </cfRule>
  </conditionalFormatting>
  <conditionalFormatting sqref="G43:AH46">
    <cfRule type="cellIs" dxfId="25" priority="31" operator="equal">
      <formula>1</formula>
    </cfRule>
    <cfRule type="cellIs" dxfId="24" priority="32" operator="equal">
      <formula>"×"</formula>
    </cfRule>
  </conditionalFormatting>
  <conditionalFormatting sqref="F27:AI28">
    <cfRule type="cellIs" dxfId="23" priority="27" operator="equal">
      <formula>1</formula>
    </cfRule>
    <cfRule type="cellIs" dxfId="22" priority="28" operator="equal">
      <formula>"×"</formula>
    </cfRule>
  </conditionalFormatting>
  <conditionalFormatting sqref="G23:AI23">
    <cfRule type="cellIs" dxfId="21" priority="23" operator="equal">
      <formula>1</formula>
    </cfRule>
    <cfRule type="cellIs" dxfId="20" priority="24" operator="equal">
      <formula>"×"</formula>
    </cfRule>
  </conditionalFormatting>
  <conditionalFormatting sqref="G23:AI23">
    <cfRule type="cellIs" dxfId="19" priority="21" operator="equal">
      <formula>1</formula>
    </cfRule>
    <cfRule type="cellIs" dxfId="18" priority="22" operator="equal">
      <formula>"×"</formula>
    </cfRule>
  </conditionalFormatting>
  <conditionalFormatting sqref="G25:AI26">
    <cfRule type="cellIs" dxfId="17" priority="19" operator="equal">
      <formula>1</formula>
    </cfRule>
    <cfRule type="cellIs" dxfId="16" priority="20" operator="equal">
      <formula>"×"</formula>
    </cfRule>
  </conditionalFormatting>
  <conditionalFormatting sqref="G25:AI26">
    <cfRule type="cellIs" dxfId="15" priority="17" operator="equal">
      <formula>1</formula>
    </cfRule>
    <cfRule type="cellIs" dxfId="14" priority="18" operator="equal">
      <formula>"×"</formula>
    </cfRule>
  </conditionalFormatting>
  <conditionalFormatting sqref="G21:AI22">
    <cfRule type="cellIs" dxfId="13" priority="13" operator="equal">
      <formula>1</formula>
    </cfRule>
    <cfRule type="cellIs" dxfId="12" priority="14" operator="equal">
      <formula>"×"</formula>
    </cfRule>
  </conditionalFormatting>
  <conditionalFormatting sqref="G20:AI20">
    <cfRule type="cellIs" dxfId="11" priority="11" operator="equal">
      <formula>1</formula>
    </cfRule>
    <cfRule type="cellIs" dxfId="10" priority="12" operator="equal">
      <formula>"×"</formula>
    </cfRule>
  </conditionalFormatting>
  <conditionalFormatting sqref="G18:AI19">
    <cfRule type="cellIs" dxfId="9" priority="9" operator="equal">
      <formula>1</formula>
    </cfRule>
    <cfRule type="cellIs" dxfId="8" priority="10" operator="equal">
      <formula>"×"</formula>
    </cfRule>
  </conditionalFormatting>
  <conditionalFormatting sqref="G16:AI17">
    <cfRule type="cellIs" dxfId="7" priority="7" operator="equal">
      <formula>1</formula>
    </cfRule>
    <cfRule type="cellIs" dxfId="6" priority="8" operator="equal">
      <formula>"×"</formula>
    </cfRule>
  </conditionalFormatting>
  <conditionalFormatting sqref="G13:AI14">
    <cfRule type="cellIs" dxfId="5" priority="5" operator="equal">
      <formula>1</formula>
    </cfRule>
    <cfRule type="cellIs" dxfId="4" priority="6" operator="equal">
      <formula>"×"</formula>
    </cfRule>
  </conditionalFormatting>
  <conditionalFormatting sqref="G29:AI36">
    <cfRule type="cellIs" dxfId="3" priority="3" operator="equal">
      <formula>1</formula>
    </cfRule>
    <cfRule type="cellIs" dxfId="2" priority="4" operator="equal">
      <formula>"×"</formula>
    </cfRule>
  </conditionalFormatting>
  <conditionalFormatting sqref="G29:AI36">
    <cfRule type="cellIs" dxfId="1" priority="1" operator="equal">
      <formula>1</formula>
    </cfRule>
    <cfRule type="cellIs" dxfId="0" priority="2" operator="equal">
      <formula>"×"</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U108"/>
  <sheetViews>
    <sheetView zoomScale="85" zoomScaleNormal="85" workbookViewId="0"/>
  </sheetViews>
  <sheetFormatPr defaultColWidth="8.875" defaultRowHeight="13.5"/>
  <cols>
    <col min="1" max="1" width="8.875" style="194"/>
    <col min="2" max="2" width="72.125" style="194" customWidth="1"/>
    <col min="3" max="10" width="3.375" style="194" customWidth="1"/>
    <col min="11" max="12" width="23" style="194" bestFit="1" customWidth="1"/>
    <col min="13" max="14" width="23" style="194" customWidth="1"/>
    <col min="15" max="15" width="17.5" style="194" customWidth="1"/>
    <col min="16" max="16" width="25.375" style="194" bestFit="1" customWidth="1"/>
    <col min="17" max="17" width="20.875" style="194" customWidth="1"/>
    <col min="18" max="18" width="10.875" style="194" customWidth="1"/>
    <col min="19" max="19" width="23.75" style="194" bestFit="1" customWidth="1"/>
    <col min="20" max="21" width="10.875" style="194" customWidth="1"/>
    <col min="22" max="16384" width="8.875" style="194"/>
  </cols>
  <sheetData>
    <row r="4" spans="2:21" ht="15" thickBot="1">
      <c r="B4" s="284" t="s">
        <v>210</v>
      </c>
    </row>
    <row r="5" spans="2:21" ht="15" thickBot="1">
      <c r="B5" s="195" t="s">
        <v>124</v>
      </c>
      <c r="C5" s="345" t="s">
        <v>359</v>
      </c>
      <c r="D5" s="346"/>
      <c r="E5" s="346"/>
      <c r="F5" s="346"/>
      <c r="G5" s="346"/>
      <c r="H5" s="346"/>
      <c r="I5" s="346"/>
      <c r="J5" s="347"/>
      <c r="K5" s="196"/>
      <c r="L5" s="196"/>
      <c r="M5" s="196"/>
      <c r="N5" s="196"/>
      <c r="O5" s="196"/>
      <c r="P5" s="196"/>
      <c r="Q5" s="197"/>
      <c r="R5" s="251"/>
      <c r="S5" s="251"/>
      <c r="T5" s="251"/>
      <c r="U5" s="252"/>
    </row>
    <row r="6" spans="2:21">
      <c r="B6" s="198"/>
      <c r="C6" s="199" t="s">
        <v>211</v>
      </c>
      <c r="D6" s="199"/>
      <c r="E6" s="199"/>
      <c r="F6" s="199"/>
      <c r="G6" s="199"/>
      <c r="H6" s="199"/>
      <c r="I6" s="199"/>
      <c r="J6" s="199"/>
      <c r="K6" s="199"/>
      <c r="L6" s="199"/>
      <c r="M6" s="199"/>
      <c r="N6" s="199"/>
      <c r="O6" s="199"/>
      <c r="P6" s="253"/>
      <c r="Q6" s="200" t="s">
        <v>52</v>
      </c>
      <c r="R6" s="254" t="s">
        <v>21</v>
      </c>
      <c r="S6" s="255"/>
      <c r="T6" s="255"/>
      <c r="U6" s="256"/>
    </row>
    <row r="7" spans="2:21">
      <c r="B7" s="201" t="s">
        <v>22</v>
      </c>
      <c r="C7" s="348" t="s">
        <v>212</v>
      </c>
      <c r="D7" s="349"/>
      <c r="E7" s="349"/>
      <c r="F7" s="349"/>
      <c r="G7" s="349"/>
      <c r="H7" s="349"/>
      <c r="I7" s="349"/>
      <c r="J7" s="350"/>
      <c r="K7" s="257" t="s">
        <v>257</v>
      </c>
      <c r="L7" s="257"/>
      <c r="M7" s="257"/>
      <c r="N7" s="257"/>
      <c r="O7" s="257"/>
      <c r="P7" s="258"/>
      <c r="Q7" s="180" t="s">
        <v>235</v>
      </c>
      <c r="R7" s="259" t="s">
        <v>24</v>
      </c>
      <c r="S7" s="208" t="s">
        <v>25</v>
      </c>
      <c r="T7" s="135" t="s">
        <v>26</v>
      </c>
      <c r="U7" s="139" t="s">
        <v>27</v>
      </c>
    </row>
    <row r="8" spans="2:21">
      <c r="B8" s="201" t="s">
        <v>34</v>
      </c>
      <c r="C8" s="204" t="s">
        <v>127</v>
      </c>
      <c r="D8" s="204" t="s">
        <v>127</v>
      </c>
      <c r="E8" s="204" t="s">
        <v>127</v>
      </c>
      <c r="F8" s="204" t="s">
        <v>127</v>
      </c>
      <c r="G8" s="204" t="s">
        <v>127</v>
      </c>
      <c r="H8" s="204" t="s">
        <v>127</v>
      </c>
      <c r="I8" s="204" t="s">
        <v>127</v>
      </c>
      <c r="J8" s="204" t="s">
        <v>127</v>
      </c>
      <c r="K8" s="206" t="s">
        <v>127</v>
      </c>
      <c r="L8" s="206" t="s">
        <v>127</v>
      </c>
      <c r="M8" s="206" t="s">
        <v>311</v>
      </c>
      <c r="N8" s="206" t="s">
        <v>32</v>
      </c>
      <c r="O8" s="206" t="s">
        <v>32</v>
      </c>
      <c r="P8" s="206" t="s">
        <v>32</v>
      </c>
      <c r="Q8" s="180" t="s">
        <v>194</v>
      </c>
      <c r="R8" s="260"/>
      <c r="S8" s="261"/>
      <c r="T8" s="261"/>
      <c r="U8" s="139"/>
    </row>
    <row r="9" spans="2:21" ht="27">
      <c r="B9" s="207" t="s">
        <v>28</v>
      </c>
      <c r="C9" s="351" t="s">
        <v>36</v>
      </c>
      <c r="D9" s="349"/>
      <c r="E9" s="349"/>
      <c r="F9" s="349"/>
      <c r="G9" s="349"/>
      <c r="H9" s="349"/>
      <c r="I9" s="349"/>
      <c r="J9" s="350"/>
      <c r="K9" s="202" t="s">
        <v>127</v>
      </c>
      <c r="L9" s="202" t="s">
        <v>312</v>
      </c>
      <c r="M9" s="202" t="s">
        <v>313</v>
      </c>
      <c r="N9" s="202" t="s">
        <v>32</v>
      </c>
      <c r="O9" s="202" t="s">
        <v>32</v>
      </c>
      <c r="P9" s="202" t="s">
        <v>32</v>
      </c>
      <c r="Q9" s="209"/>
      <c r="R9" s="260"/>
      <c r="S9" s="261"/>
      <c r="T9" s="261"/>
      <c r="U9" s="139"/>
    </row>
    <row r="10" spans="2:21" ht="136.5">
      <c r="B10" s="201" t="s">
        <v>29</v>
      </c>
      <c r="C10" s="262" t="s">
        <v>216</v>
      </c>
      <c r="D10" s="262" t="s">
        <v>63</v>
      </c>
      <c r="E10" s="262" t="s">
        <v>217</v>
      </c>
      <c r="F10" s="262" t="s">
        <v>218</v>
      </c>
      <c r="G10" s="262" t="s">
        <v>219</v>
      </c>
      <c r="H10" s="262" t="s">
        <v>196</v>
      </c>
      <c r="I10" s="262" t="s">
        <v>220</v>
      </c>
      <c r="J10" s="262" t="s">
        <v>221</v>
      </c>
      <c r="K10" s="211" t="s">
        <v>589</v>
      </c>
      <c r="L10" s="211" t="s">
        <v>590</v>
      </c>
      <c r="M10" s="211" t="s">
        <v>591</v>
      </c>
      <c r="N10" s="211" t="s">
        <v>592</v>
      </c>
      <c r="O10" s="211" t="s">
        <v>593</v>
      </c>
      <c r="P10" s="202" t="s">
        <v>226</v>
      </c>
      <c r="Q10" s="180" t="s">
        <v>30</v>
      </c>
      <c r="R10" s="260"/>
      <c r="S10" s="261"/>
      <c r="T10" s="261"/>
      <c r="U10" s="139"/>
    </row>
    <row r="11" spans="2:21" ht="108.75" thickBot="1">
      <c r="B11" s="212" t="s">
        <v>31</v>
      </c>
      <c r="C11" s="213" t="s">
        <v>200</v>
      </c>
      <c r="D11" s="213" t="s">
        <v>127</v>
      </c>
      <c r="E11" s="213" t="s">
        <v>200</v>
      </c>
      <c r="F11" s="213" t="s">
        <v>200</v>
      </c>
      <c r="G11" s="213" t="s">
        <v>200</v>
      </c>
      <c r="H11" s="213" t="s">
        <v>200</v>
      </c>
      <c r="I11" s="213" t="s">
        <v>200</v>
      </c>
      <c r="J11" s="213" t="s">
        <v>200</v>
      </c>
      <c r="K11" s="216" t="s">
        <v>293</v>
      </c>
      <c r="L11" s="216" t="s">
        <v>293</v>
      </c>
      <c r="M11" s="216" t="s">
        <v>293</v>
      </c>
      <c r="N11" s="216" t="s">
        <v>304</v>
      </c>
      <c r="O11" s="216" t="s">
        <v>304</v>
      </c>
      <c r="P11" s="216" t="s">
        <v>232</v>
      </c>
      <c r="Q11" s="263" t="s">
        <v>318</v>
      </c>
      <c r="R11" s="264" t="s">
        <v>236</v>
      </c>
      <c r="S11" s="215" t="s">
        <v>326</v>
      </c>
      <c r="T11" s="265"/>
      <c r="U11" s="266"/>
    </row>
    <row r="12" spans="2:21" ht="14.25" thickTop="1">
      <c r="B12" s="218" t="s">
        <v>253</v>
      </c>
      <c r="C12" s="219" t="s">
        <v>158</v>
      </c>
      <c r="D12" s="219" t="s">
        <v>158</v>
      </c>
      <c r="E12" s="219" t="s">
        <v>158</v>
      </c>
      <c r="F12" s="220">
        <v>0</v>
      </c>
      <c r="G12" s="220">
        <v>0</v>
      </c>
      <c r="H12" s="219" t="s">
        <v>158</v>
      </c>
      <c r="I12" s="219" t="s">
        <v>158</v>
      </c>
      <c r="J12" s="219" t="s">
        <v>158</v>
      </c>
      <c r="K12" s="221" t="s">
        <v>254</v>
      </c>
      <c r="L12" s="221" t="s">
        <v>254</v>
      </c>
      <c r="M12" s="221" t="s">
        <v>254</v>
      </c>
      <c r="N12" s="221" t="s">
        <v>356</v>
      </c>
      <c r="O12" s="267" t="s">
        <v>199</v>
      </c>
      <c r="P12" s="221" t="s">
        <v>254</v>
      </c>
      <c r="Q12" s="268" t="s">
        <v>33</v>
      </c>
      <c r="R12" s="220" t="s">
        <v>127</v>
      </c>
      <c r="S12" s="182" t="s">
        <v>32</v>
      </c>
      <c r="T12" s="269"/>
      <c r="U12" s="270"/>
    </row>
    <row r="13" spans="2:21">
      <c r="B13" s="224" t="s">
        <v>594</v>
      </c>
      <c r="C13" s="225" t="s">
        <v>158</v>
      </c>
      <c r="D13" s="225" t="s">
        <v>158</v>
      </c>
      <c r="E13" s="225" t="s">
        <v>158</v>
      </c>
      <c r="F13" s="226">
        <v>0</v>
      </c>
      <c r="G13" s="226">
        <v>1</v>
      </c>
      <c r="H13" s="225" t="s">
        <v>158</v>
      </c>
      <c r="I13" s="225" t="s">
        <v>158</v>
      </c>
      <c r="J13" s="225" t="s">
        <v>158</v>
      </c>
      <c r="K13" s="227" t="s">
        <v>233</v>
      </c>
      <c r="L13" s="227" t="s">
        <v>233</v>
      </c>
      <c r="M13" s="227" t="s">
        <v>197</v>
      </c>
      <c r="N13" s="227" t="s">
        <v>197</v>
      </c>
      <c r="O13" s="271" t="s">
        <v>199</v>
      </c>
      <c r="P13" s="227" t="s">
        <v>197</v>
      </c>
      <c r="Q13" s="230" t="s">
        <v>33</v>
      </c>
      <c r="R13" s="226" t="s">
        <v>127</v>
      </c>
      <c r="S13" s="183" t="s">
        <v>32</v>
      </c>
      <c r="T13" s="272"/>
      <c r="U13" s="273"/>
    </row>
    <row r="14" spans="2:21">
      <c r="B14" s="224" t="s">
        <v>595</v>
      </c>
      <c r="C14" s="225" t="s">
        <v>158</v>
      </c>
      <c r="D14" s="225" t="s">
        <v>158</v>
      </c>
      <c r="E14" s="225" t="s">
        <v>158</v>
      </c>
      <c r="F14" s="226">
        <v>0</v>
      </c>
      <c r="G14" s="226">
        <v>1</v>
      </c>
      <c r="H14" s="225" t="s">
        <v>158</v>
      </c>
      <c r="I14" s="225" t="s">
        <v>158</v>
      </c>
      <c r="J14" s="225" t="s">
        <v>158</v>
      </c>
      <c r="K14" s="227" t="s">
        <v>197</v>
      </c>
      <c r="L14" s="227" t="s">
        <v>197</v>
      </c>
      <c r="M14" s="227" t="s">
        <v>197</v>
      </c>
      <c r="N14" s="227" t="s">
        <v>233</v>
      </c>
      <c r="O14" s="271" t="s">
        <v>199</v>
      </c>
      <c r="P14" s="227" t="s">
        <v>198</v>
      </c>
      <c r="Q14" s="230" t="s">
        <v>33</v>
      </c>
      <c r="R14" s="226" t="s">
        <v>127</v>
      </c>
      <c r="S14" s="183" t="s">
        <v>32</v>
      </c>
      <c r="T14" s="272"/>
      <c r="U14" s="273"/>
    </row>
    <row r="15" spans="2:21">
      <c r="B15" s="224" t="s">
        <v>596</v>
      </c>
      <c r="C15" s="225" t="s">
        <v>158</v>
      </c>
      <c r="D15" s="225" t="s">
        <v>158</v>
      </c>
      <c r="E15" s="225" t="s">
        <v>158</v>
      </c>
      <c r="F15" s="226">
        <v>0</v>
      </c>
      <c r="G15" s="226">
        <v>1</v>
      </c>
      <c r="H15" s="225" t="s">
        <v>158</v>
      </c>
      <c r="I15" s="225" t="s">
        <v>158</v>
      </c>
      <c r="J15" s="225" t="s">
        <v>158</v>
      </c>
      <c r="K15" s="227" t="s">
        <v>233</v>
      </c>
      <c r="L15" s="227" t="s">
        <v>233</v>
      </c>
      <c r="M15" s="227" t="s">
        <v>233</v>
      </c>
      <c r="N15" s="274" t="s">
        <v>201</v>
      </c>
      <c r="O15" s="271" t="s">
        <v>199</v>
      </c>
      <c r="P15" s="227" t="s">
        <v>197</v>
      </c>
      <c r="Q15" s="230" t="s">
        <v>317</v>
      </c>
      <c r="R15" s="226" t="s">
        <v>127</v>
      </c>
      <c r="S15" s="183" t="s">
        <v>325</v>
      </c>
      <c r="T15" s="272"/>
      <c r="U15" s="273"/>
    </row>
    <row r="16" spans="2:21">
      <c r="B16" s="224" t="s">
        <v>597</v>
      </c>
      <c r="C16" s="225" t="s">
        <v>158</v>
      </c>
      <c r="D16" s="225" t="s">
        <v>158</v>
      </c>
      <c r="E16" s="225" t="s">
        <v>158</v>
      </c>
      <c r="F16" s="226">
        <v>0</v>
      </c>
      <c r="G16" s="226">
        <v>1</v>
      </c>
      <c r="H16" s="225" t="s">
        <v>158</v>
      </c>
      <c r="I16" s="225" t="s">
        <v>158</v>
      </c>
      <c r="J16" s="225" t="s">
        <v>158</v>
      </c>
      <c r="K16" s="227" t="s">
        <v>233</v>
      </c>
      <c r="L16" s="227" t="s">
        <v>233</v>
      </c>
      <c r="M16" s="227" t="s">
        <v>233</v>
      </c>
      <c r="N16" s="274" t="s">
        <v>201</v>
      </c>
      <c r="O16" s="271" t="s">
        <v>199</v>
      </c>
      <c r="P16" s="227" t="s">
        <v>198</v>
      </c>
      <c r="Q16" s="230" t="s">
        <v>109</v>
      </c>
      <c r="R16" s="226" t="s">
        <v>127</v>
      </c>
      <c r="S16" s="183" t="s">
        <v>32</v>
      </c>
      <c r="T16" s="272"/>
      <c r="U16" s="273"/>
    </row>
    <row r="17" spans="2:21">
      <c r="B17" s="224" t="s">
        <v>598</v>
      </c>
      <c r="C17" s="225" t="s">
        <v>158</v>
      </c>
      <c r="D17" s="225" t="s">
        <v>158</v>
      </c>
      <c r="E17" s="225" t="s">
        <v>158</v>
      </c>
      <c r="F17" s="226">
        <v>0</v>
      </c>
      <c r="G17" s="226">
        <v>1</v>
      </c>
      <c r="H17" s="225" t="s">
        <v>158</v>
      </c>
      <c r="I17" s="225" t="s">
        <v>158</v>
      </c>
      <c r="J17" s="225" t="s">
        <v>158</v>
      </c>
      <c r="K17" s="227" t="s">
        <v>233</v>
      </c>
      <c r="L17" s="227" t="s">
        <v>233</v>
      </c>
      <c r="M17" s="275" t="s">
        <v>201</v>
      </c>
      <c r="N17" s="227" t="s">
        <v>233</v>
      </c>
      <c r="O17" s="271" t="s">
        <v>199</v>
      </c>
      <c r="P17" s="227" t="s">
        <v>197</v>
      </c>
      <c r="Q17" s="230" t="s">
        <v>239</v>
      </c>
      <c r="R17" s="226" t="s">
        <v>237</v>
      </c>
      <c r="S17" s="183" t="s">
        <v>325</v>
      </c>
      <c r="T17" s="272"/>
      <c r="U17" s="273"/>
    </row>
    <row r="18" spans="2:21">
      <c r="B18" s="224" t="s">
        <v>599</v>
      </c>
      <c r="C18" s="225" t="s">
        <v>158</v>
      </c>
      <c r="D18" s="225" t="s">
        <v>158</v>
      </c>
      <c r="E18" s="225" t="s">
        <v>158</v>
      </c>
      <c r="F18" s="226">
        <v>0</v>
      </c>
      <c r="G18" s="226">
        <v>1</v>
      </c>
      <c r="H18" s="225" t="s">
        <v>158</v>
      </c>
      <c r="I18" s="225" t="s">
        <v>158</v>
      </c>
      <c r="J18" s="225" t="s">
        <v>158</v>
      </c>
      <c r="K18" s="227" t="s">
        <v>233</v>
      </c>
      <c r="L18" s="227" t="s">
        <v>233</v>
      </c>
      <c r="M18" s="275" t="s">
        <v>201</v>
      </c>
      <c r="N18" s="227" t="s">
        <v>233</v>
      </c>
      <c r="O18" s="271" t="s">
        <v>199</v>
      </c>
      <c r="P18" s="227" t="s">
        <v>198</v>
      </c>
      <c r="Q18" s="230" t="s">
        <v>240</v>
      </c>
      <c r="R18" s="226" t="s">
        <v>237</v>
      </c>
      <c r="S18" s="183" t="s">
        <v>32</v>
      </c>
      <c r="T18" s="272"/>
      <c r="U18" s="273"/>
    </row>
    <row r="19" spans="2:21">
      <c r="B19" s="224" t="s">
        <v>600</v>
      </c>
      <c r="C19" s="225" t="s">
        <v>158</v>
      </c>
      <c r="D19" s="225" t="s">
        <v>158</v>
      </c>
      <c r="E19" s="225" t="s">
        <v>158</v>
      </c>
      <c r="F19" s="226">
        <v>0</v>
      </c>
      <c r="G19" s="226">
        <v>1</v>
      </c>
      <c r="H19" s="225" t="s">
        <v>158</v>
      </c>
      <c r="I19" s="225" t="s">
        <v>158</v>
      </c>
      <c r="J19" s="225" t="s">
        <v>158</v>
      </c>
      <c r="K19" s="227" t="s">
        <v>233</v>
      </c>
      <c r="L19" s="227" t="s">
        <v>233</v>
      </c>
      <c r="M19" s="275" t="s">
        <v>201</v>
      </c>
      <c r="N19" s="274" t="s">
        <v>201</v>
      </c>
      <c r="O19" s="271" t="s">
        <v>199</v>
      </c>
      <c r="P19" s="227" t="s">
        <v>197</v>
      </c>
      <c r="Q19" s="230" t="s">
        <v>239</v>
      </c>
      <c r="R19" s="226" t="s">
        <v>237</v>
      </c>
      <c r="S19" s="183" t="s">
        <v>325</v>
      </c>
      <c r="T19" s="272"/>
      <c r="U19" s="273"/>
    </row>
    <row r="20" spans="2:21">
      <c r="B20" s="224" t="s">
        <v>601</v>
      </c>
      <c r="C20" s="225" t="s">
        <v>158</v>
      </c>
      <c r="D20" s="225" t="s">
        <v>158</v>
      </c>
      <c r="E20" s="225" t="s">
        <v>158</v>
      </c>
      <c r="F20" s="226">
        <v>0</v>
      </c>
      <c r="G20" s="226">
        <v>1</v>
      </c>
      <c r="H20" s="225" t="s">
        <v>158</v>
      </c>
      <c r="I20" s="225" t="s">
        <v>158</v>
      </c>
      <c r="J20" s="225" t="s">
        <v>158</v>
      </c>
      <c r="K20" s="227" t="s">
        <v>233</v>
      </c>
      <c r="L20" s="227" t="s">
        <v>233</v>
      </c>
      <c r="M20" s="275" t="s">
        <v>201</v>
      </c>
      <c r="N20" s="274" t="s">
        <v>201</v>
      </c>
      <c r="O20" s="271" t="s">
        <v>199</v>
      </c>
      <c r="P20" s="227" t="s">
        <v>198</v>
      </c>
      <c r="Q20" s="230" t="s">
        <v>240</v>
      </c>
      <c r="R20" s="226" t="s">
        <v>237</v>
      </c>
      <c r="S20" s="183" t="s">
        <v>32</v>
      </c>
      <c r="T20" s="272"/>
      <c r="U20" s="273"/>
    </row>
    <row r="21" spans="2:21">
      <c r="B21" s="224" t="s">
        <v>602</v>
      </c>
      <c r="C21" s="225" t="s">
        <v>158</v>
      </c>
      <c r="D21" s="225" t="s">
        <v>158</v>
      </c>
      <c r="E21" s="225" t="s">
        <v>158</v>
      </c>
      <c r="F21" s="226">
        <v>0</v>
      </c>
      <c r="G21" s="226">
        <v>1</v>
      </c>
      <c r="H21" s="225" t="s">
        <v>158</v>
      </c>
      <c r="I21" s="225" t="s">
        <v>158</v>
      </c>
      <c r="J21" s="225" t="s">
        <v>158</v>
      </c>
      <c r="K21" s="227" t="s">
        <v>197</v>
      </c>
      <c r="L21" s="274" t="s">
        <v>201</v>
      </c>
      <c r="M21" s="227" t="s">
        <v>233</v>
      </c>
      <c r="N21" s="227" t="s">
        <v>233</v>
      </c>
      <c r="O21" s="271" t="s">
        <v>199</v>
      </c>
      <c r="P21" s="227" t="s">
        <v>197</v>
      </c>
      <c r="Q21" s="230" t="s">
        <v>317</v>
      </c>
      <c r="R21" s="226" t="s">
        <v>127</v>
      </c>
      <c r="S21" s="183" t="s">
        <v>325</v>
      </c>
      <c r="T21" s="272"/>
      <c r="U21" s="273"/>
    </row>
    <row r="22" spans="2:21">
      <c r="B22" s="224" t="s">
        <v>603</v>
      </c>
      <c r="C22" s="225" t="s">
        <v>158</v>
      </c>
      <c r="D22" s="225" t="s">
        <v>158</v>
      </c>
      <c r="E22" s="225" t="s">
        <v>158</v>
      </c>
      <c r="F22" s="226">
        <v>0</v>
      </c>
      <c r="G22" s="226">
        <v>1</v>
      </c>
      <c r="H22" s="225" t="s">
        <v>158</v>
      </c>
      <c r="I22" s="225" t="s">
        <v>158</v>
      </c>
      <c r="J22" s="225" t="s">
        <v>158</v>
      </c>
      <c r="K22" s="227" t="s">
        <v>197</v>
      </c>
      <c r="L22" s="274" t="s">
        <v>201</v>
      </c>
      <c r="M22" s="227" t="s">
        <v>233</v>
      </c>
      <c r="N22" s="227" t="s">
        <v>233</v>
      </c>
      <c r="O22" s="271" t="s">
        <v>199</v>
      </c>
      <c r="P22" s="227" t="s">
        <v>198</v>
      </c>
      <c r="Q22" s="230" t="s">
        <v>109</v>
      </c>
      <c r="R22" s="226" t="s">
        <v>127</v>
      </c>
      <c r="S22" s="183" t="s">
        <v>32</v>
      </c>
      <c r="T22" s="272"/>
      <c r="U22" s="273"/>
    </row>
    <row r="23" spans="2:21">
      <c r="B23" s="224" t="s">
        <v>604</v>
      </c>
      <c r="C23" s="225" t="s">
        <v>158</v>
      </c>
      <c r="D23" s="225" t="s">
        <v>158</v>
      </c>
      <c r="E23" s="225" t="s">
        <v>158</v>
      </c>
      <c r="F23" s="226">
        <v>0</v>
      </c>
      <c r="G23" s="226">
        <v>1</v>
      </c>
      <c r="H23" s="225" t="s">
        <v>158</v>
      </c>
      <c r="I23" s="225" t="s">
        <v>158</v>
      </c>
      <c r="J23" s="225" t="s">
        <v>158</v>
      </c>
      <c r="K23" s="227" t="s">
        <v>197</v>
      </c>
      <c r="L23" s="274" t="s">
        <v>201</v>
      </c>
      <c r="M23" s="227" t="s">
        <v>233</v>
      </c>
      <c r="N23" s="274" t="s">
        <v>201</v>
      </c>
      <c r="O23" s="271" t="s">
        <v>199</v>
      </c>
      <c r="P23" s="227" t="s">
        <v>197</v>
      </c>
      <c r="Q23" s="230" t="s">
        <v>317</v>
      </c>
      <c r="R23" s="226" t="s">
        <v>127</v>
      </c>
      <c r="S23" s="183" t="s">
        <v>325</v>
      </c>
      <c r="T23" s="272"/>
      <c r="U23" s="273"/>
    </row>
    <row r="24" spans="2:21">
      <c r="B24" s="224" t="s">
        <v>605</v>
      </c>
      <c r="C24" s="225" t="s">
        <v>158</v>
      </c>
      <c r="D24" s="225" t="s">
        <v>158</v>
      </c>
      <c r="E24" s="225" t="s">
        <v>158</v>
      </c>
      <c r="F24" s="226">
        <v>0</v>
      </c>
      <c r="G24" s="226">
        <v>1</v>
      </c>
      <c r="H24" s="225" t="s">
        <v>158</v>
      </c>
      <c r="I24" s="225" t="s">
        <v>158</v>
      </c>
      <c r="J24" s="225" t="s">
        <v>158</v>
      </c>
      <c r="K24" s="227" t="s">
        <v>197</v>
      </c>
      <c r="L24" s="274" t="s">
        <v>201</v>
      </c>
      <c r="M24" s="227" t="s">
        <v>233</v>
      </c>
      <c r="N24" s="274" t="s">
        <v>201</v>
      </c>
      <c r="O24" s="271" t="s">
        <v>199</v>
      </c>
      <c r="P24" s="227" t="s">
        <v>198</v>
      </c>
      <c r="Q24" s="230" t="s">
        <v>109</v>
      </c>
      <c r="R24" s="226" t="s">
        <v>127</v>
      </c>
      <c r="S24" s="183" t="s">
        <v>32</v>
      </c>
      <c r="T24" s="272"/>
      <c r="U24" s="273"/>
    </row>
    <row r="25" spans="2:21">
      <c r="B25" s="224" t="s">
        <v>606</v>
      </c>
      <c r="C25" s="225" t="s">
        <v>158</v>
      </c>
      <c r="D25" s="225" t="s">
        <v>158</v>
      </c>
      <c r="E25" s="225" t="s">
        <v>158</v>
      </c>
      <c r="F25" s="226">
        <v>0</v>
      </c>
      <c r="G25" s="226">
        <v>1</v>
      </c>
      <c r="H25" s="225" t="s">
        <v>158</v>
      </c>
      <c r="I25" s="225" t="s">
        <v>158</v>
      </c>
      <c r="J25" s="225" t="s">
        <v>158</v>
      </c>
      <c r="K25" s="227" t="s">
        <v>197</v>
      </c>
      <c r="L25" s="274" t="s">
        <v>201</v>
      </c>
      <c r="M25" s="275" t="s">
        <v>201</v>
      </c>
      <c r="N25" s="227" t="s">
        <v>233</v>
      </c>
      <c r="O25" s="271" t="s">
        <v>199</v>
      </c>
      <c r="P25" s="227" t="s">
        <v>197</v>
      </c>
      <c r="Q25" s="230" t="s">
        <v>239</v>
      </c>
      <c r="R25" s="226" t="s">
        <v>237</v>
      </c>
      <c r="S25" s="183" t="s">
        <v>325</v>
      </c>
      <c r="T25" s="272"/>
      <c r="U25" s="273"/>
    </row>
    <row r="26" spans="2:21">
      <c r="B26" s="224" t="s">
        <v>607</v>
      </c>
      <c r="C26" s="225" t="s">
        <v>158</v>
      </c>
      <c r="D26" s="225" t="s">
        <v>158</v>
      </c>
      <c r="E26" s="225" t="s">
        <v>158</v>
      </c>
      <c r="F26" s="226">
        <v>0</v>
      </c>
      <c r="G26" s="226">
        <v>1</v>
      </c>
      <c r="H26" s="225" t="s">
        <v>158</v>
      </c>
      <c r="I26" s="225" t="s">
        <v>158</v>
      </c>
      <c r="J26" s="225" t="s">
        <v>158</v>
      </c>
      <c r="K26" s="227" t="s">
        <v>197</v>
      </c>
      <c r="L26" s="274" t="s">
        <v>201</v>
      </c>
      <c r="M26" s="275" t="s">
        <v>201</v>
      </c>
      <c r="N26" s="227" t="s">
        <v>233</v>
      </c>
      <c r="O26" s="271" t="s">
        <v>199</v>
      </c>
      <c r="P26" s="227" t="s">
        <v>198</v>
      </c>
      <c r="Q26" s="230" t="s">
        <v>240</v>
      </c>
      <c r="R26" s="226" t="s">
        <v>237</v>
      </c>
      <c r="S26" s="183" t="s">
        <v>32</v>
      </c>
      <c r="T26" s="272"/>
      <c r="U26" s="273"/>
    </row>
    <row r="27" spans="2:21">
      <c r="B27" s="224" t="s">
        <v>608</v>
      </c>
      <c r="C27" s="225" t="s">
        <v>158</v>
      </c>
      <c r="D27" s="225" t="s">
        <v>158</v>
      </c>
      <c r="E27" s="225" t="s">
        <v>158</v>
      </c>
      <c r="F27" s="226">
        <v>0</v>
      </c>
      <c r="G27" s="226">
        <v>1</v>
      </c>
      <c r="H27" s="225" t="s">
        <v>158</v>
      </c>
      <c r="I27" s="225" t="s">
        <v>158</v>
      </c>
      <c r="J27" s="225" t="s">
        <v>158</v>
      </c>
      <c r="K27" s="227" t="s">
        <v>197</v>
      </c>
      <c r="L27" s="274" t="s">
        <v>201</v>
      </c>
      <c r="M27" s="275" t="s">
        <v>201</v>
      </c>
      <c r="N27" s="274" t="s">
        <v>201</v>
      </c>
      <c r="O27" s="271" t="s">
        <v>199</v>
      </c>
      <c r="P27" s="227" t="s">
        <v>197</v>
      </c>
      <c r="Q27" s="230" t="s">
        <v>239</v>
      </c>
      <c r="R27" s="226" t="s">
        <v>237</v>
      </c>
      <c r="S27" s="183" t="s">
        <v>325</v>
      </c>
      <c r="T27" s="272"/>
      <c r="U27" s="273"/>
    </row>
    <row r="28" spans="2:21">
      <c r="B28" s="224" t="s">
        <v>609</v>
      </c>
      <c r="C28" s="225" t="s">
        <v>158</v>
      </c>
      <c r="D28" s="225" t="s">
        <v>158</v>
      </c>
      <c r="E28" s="225" t="s">
        <v>158</v>
      </c>
      <c r="F28" s="226">
        <v>0</v>
      </c>
      <c r="G28" s="226">
        <v>1</v>
      </c>
      <c r="H28" s="225" t="s">
        <v>158</v>
      </c>
      <c r="I28" s="225" t="s">
        <v>158</v>
      </c>
      <c r="J28" s="225" t="s">
        <v>158</v>
      </c>
      <c r="K28" s="227" t="s">
        <v>197</v>
      </c>
      <c r="L28" s="274" t="s">
        <v>201</v>
      </c>
      <c r="M28" s="275" t="s">
        <v>201</v>
      </c>
      <c r="N28" s="274" t="s">
        <v>201</v>
      </c>
      <c r="O28" s="271" t="s">
        <v>199</v>
      </c>
      <c r="P28" s="227" t="s">
        <v>198</v>
      </c>
      <c r="Q28" s="230" t="s">
        <v>240</v>
      </c>
      <c r="R28" s="226" t="s">
        <v>237</v>
      </c>
      <c r="S28" s="183" t="s">
        <v>32</v>
      </c>
      <c r="T28" s="272"/>
      <c r="U28" s="273"/>
    </row>
    <row r="29" spans="2:21">
      <c r="B29" s="224" t="s">
        <v>610</v>
      </c>
      <c r="C29" s="225" t="s">
        <v>158</v>
      </c>
      <c r="D29" s="225" t="s">
        <v>158</v>
      </c>
      <c r="E29" s="225" t="s">
        <v>158</v>
      </c>
      <c r="F29" s="226">
        <v>0</v>
      </c>
      <c r="G29" s="226">
        <v>1</v>
      </c>
      <c r="H29" s="225" t="s">
        <v>158</v>
      </c>
      <c r="I29" s="225" t="s">
        <v>158</v>
      </c>
      <c r="J29" s="225" t="s">
        <v>158</v>
      </c>
      <c r="K29" s="274" t="s">
        <v>201</v>
      </c>
      <c r="L29" s="227" t="s">
        <v>233</v>
      </c>
      <c r="M29" s="227" t="s">
        <v>197</v>
      </c>
      <c r="N29" s="227" t="s">
        <v>197</v>
      </c>
      <c r="O29" s="271" t="s">
        <v>199</v>
      </c>
      <c r="P29" s="227" t="s">
        <v>197</v>
      </c>
      <c r="Q29" s="230" t="s">
        <v>207</v>
      </c>
      <c r="R29" s="226" t="s">
        <v>32</v>
      </c>
      <c r="S29" s="183" t="s">
        <v>325</v>
      </c>
      <c r="T29" s="272"/>
      <c r="U29" s="273"/>
    </row>
    <row r="30" spans="2:21">
      <c r="B30" s="224" t="s">
        <v>611</v>
      </c>
      <c r="C30" s="225" t="s">
        <v>158</v>
      </c>
      <c r="D30" s="225" t="s">
        <v>158</v>
      </c>
      <c r="E30" s="225" t="s">
        <v>158</v>
      </c>
      <c r="F30" s="226">
        <v>0</v>
      </c>
      <c r="G30" s="226">
        <v>1</v>
      </c>
      <c r="H30" s="225" t="s">
        <v>158</v>
      </c>
      <c r="I30" s="225" t="s">
        <v>158</v>
      </c>
      <c r="J30" s="225" t="s">
        <v>158</v>
      </c>
      <c r="K30" s="274" t="s">
        <v>201</v>
      </c>
      <c r="L30" s="227" t="s">
        <v>197</v>
      </c>
      <c r="M30" s="227" t="s">
        <v>197</v>
      </c>
      <c r="N30" s="227" t="s">
        <v>233</v>
      </c>
      <c r="O30" s="271" t="s">
        <v>199</v>
      </c>
      <c r="P30" s="227" t="s">
        <v>198</v>
      </c>
      <c r="Q30" s="230" t="s">
        <v>33</v>
      </c>
      <c r="R30" s="226" t="s">
        <v>32</v>
      </c>
      <c r="S30" s="183" t="s">
        <v>32</v>
      </c>
      <c r="T30" s="272"/>
      <c r="U30" s="273"/>
    </row>
    <row r="31" spans="2:21">
      <c r="B31" s="224" t="s">
        <v>612</v>
      </c>
      <c r="C31" s="225" t="s">
        <v>158</v>
      </c>
      <c r="D31" s="225" t="s">
        <v>158</v>
      </c>
      <c r="E31" s="225" t="s">
        <v>158</v>
      </c>
      <c r="F31" s="226">
        <v>0</v>
      </c>
      <c r="G31" s="226">
        <v>1</v>
      </c>
      <c r="H31" s="225" t="s">
        <v>158</v>
      </c>
      <c r="I31" s="225" t="s">
        <v>158</v>
      </c>
      <c r="J31" s="225" t="s">
        <v>158</v>
      </c>
      <c r="K31" s="274" t="s">
        <v>201</v>
      </c>
      <c r="L31" s="227" t="s">
        <v>356</v>
      </c>
      <c r="M31" s="227" t="s">
        <v>356</v>
      </c>
      <c r="N31" s="274" t="s">
        <v>357</v>
      </c>
      <c r="O31" s="271" t="s">
        <v>199</v>
      </c>
      <c r="P31" s="227" t="s">
        <v>197</v>
      </c>
      <c r="Q31" s="230" t="s">
        <v>207</v>
      </c>
      <c r="R31" s="226" t="s">
        <v>32</v>
      </c>
      <c r="S31" s="183" t="s">
        <v>325</v>
      </c>
      <c r="T31" s="272"/>
      <c r="U31" s="273"/>
    </row>
    <row r="32" spans="2:21">
      <c r="B32" s="224" t="s">
        <v>613</v>
      </c>
      <c r="C32" s="225" t="s">
        <v>158</v>
      </c>
      <c r="D32" s="225" t="s">
        <v>158</v>
      </c>
      <c r="E32" s="225" t="s">
        <v>158</v>
      </c>
      <c r="F32" s="226">
        <v>0</v>
      </c>
      <c r="G32" s="226">
        <v>1</v>
      </c>
      <c r="H32" s="225" t="s">
        <v>158</v>
      </c>
      <c r="I32" s="225" t="s">
        <v>158</v>
      </c>
      <c r="J32" s="225" t="s">
        <v>158</v>
      </c>
      <c r="K32" s="274" t="s">
        <v>201</v>
      </c>
      <c r="L32" s="227" t="s">
        <v>356</v>
      </c>
      <c r="M32" s="227" t="s">
        <v>356</v>
      </c>
      <c r="N32" s="274" t="s">
        <v>357</v>
      </c>
      <c r="O32" s="271" t="s">
        <v>199</v>
      </c>
      <c r="P32" s="227" t="s">
        <v>198</v>
      </c>
      <c r="Q32" s="230" t="s">
        <v>33</v>
      </c>
      <c r="R32" s="226" t="s">
        <v>32</v>
      </c>
      <c r="S32" s="183" t="s">
        <v>32</v>
      </c>
      <c r="T32" s="272"/>
      <c r="U32" s="273"/>
    </row>
    <row r="33" spans="2:21">
      <c r="B33" s="224" t="s">
        <v>614</v>
      </c>
      <c r="C33" s="225" t="s">
        <v>158</v>
      </c>
      <c r="D33" s="225" t="s">
        <v>158</v>
      </c>
      <c r="E33" s="225" t="s">
        <v>158</v>
      </c>
      <c r="F33" s="226">
        <v>0</v>
      </c>
      <c r="G33" s="226">
        <v>1</v>
      </c>
      <c r="H33" s="225" t="s">
        <v>158</v>
      </c>
      <c r="I33" s="225" t="s">
        <v>158</v>
      </c>
      <c r="J33" s="225" t="s">
        <v>158</v>
      </c>
      <c r="K33" s="274" t="s">
        <v>201</v>
      </c>
      <c r="L33" s="227" t="s">
        <v>356</v>
      </c>
      <c r="M33" s="275" t="s">
        <v>357</v>
      </c>
      <c r="N33" s="227" t="s">
        <v>356</v>
      </c>
      <c r="O33" s="271" t="s">
        <v>199</v>
      </c>
      <c r="P33" s="227" t="s">
        <v>197</v>
      </c>
      <c r="Q33" s="230" t="s">
        <v>249</v>
      </c>
      <c r="R33" s="226" t="s">
        <v>237</v>
      </c>
      <c r="S33" s="183" t="s">
        <v>325</v>
      </c>
      <c r="T33" s="272"/>
      <c r="U33" s="273"/>
    </row>
    <row r="34" spans="2:21">
      <c r="B34" s="224" t="s">
        <v>615</v>
      </c>
      <c r="C34" s="225" t="s">
        <v>158</v>
      </c>
      <c r="D34" s="225" t="s">
        <v>158</v>
      </c>
      <c r="E34" s="225" t="s">
        <v>158</v>
      </c>
      <c r="F34" s="226">
        <v>0</v>
      </c>
      <c r="G34" s="226">
        <v>1</v>
      </c>
      <c r="H34" s="225" t="s">
        <v>158</v>
      </c>
      <c r="I34" s="225" t="s">
        <v>158</v>
      </c>
      <c r="J34" s="225" t="s">
        <v>158</v>
      </c>
      <c r="K34" s="274" t="s">
        <v>201</v>
      </c>
      <c r="L34" s="227" t="s">
        <v>356</v>
      </c>
      <c r="M34" s="275" t="s">
        <v>357</v>
      </c>
      <c r="N34" s="227" t="s">
        <v>356</v>
      </c>
      <c r="O34" s="271" t="s">
        <v>199</v>
      </c>
      <c r="P34" s="227" t="s">
        <v>198</v>
      </c>
      <c r="Q34" s="230" t="s">
        <v>248</v>
      </c>
      <c r="R34" s="226" t="s">
        <v>237</v>
      </c>
      <c r="S34" s="183" t="s">
        <v>32</v>
      </c>
      <c r="T34" s="272"/>
      <c r="U34" s="273"/>
    </row>
    <row r="35" spans="2:21">
      <c r="B35" s="224" t="s">
        <v>616</v>
      </c>
      <c r="C35" s="225" t="s">
        <v>158</v>
      </c>
      <c r="D35" s="225" t="s">
        <v>158</v>
      </c>
      <c r="E35" s="225" t="s">
        <v>158</v>
      </c>
      <c r="F35" s="226">
        <v>0</v>
      </c>
      <c r="G35" s="226">
        <v>1</v>
      </c>
      <c r="H35" s="225" t="s">
        <v>158</v>
      </c>
      <c r="I35" s="225" t="s">
        <v>158</v>
      </c>
      <c r="J35" s="225" t="s">
        <v>158</v>
      </c>
      <c r="K35" s="274" t="s">
        <v>201</v>
      </c>
      <c r="L35" s="227" t="s">
        <v>356</v>
      </c>
      <c r="M35" s="275" t="s">
        <v>357</v>
      </c>
      <c r="N35" s="274" t="s">
        <v>357</v>
      </c>
      <c r="O35" s="271" t="s">
        <v>199</v>
      </c>
      <c r="P35" s="227" t="s">
        <v>197</v>
      </c>
      <c r="Q35" s="230" t="s">
        <v>249</v>
      </c>
      <c r="R35" s="226" t="s">
        <v>237</v>
      </c>
      <c r="S35" s="183" t="s">
        <v>325</v>
      </c>
      <c r="T35" s="272"/>
      <c r="U35" s="273"/>
    </row>
    <row r="36" spans="2:21">
      <c r="B36" s="224" t="s">
        <v>617</v>
      </c>
      <c r="C36" s="225" t="s">
        <v>158</v>
      </c>
      <c r="D36" s="225" t="s">
        <v>158</v>
      </c>
      <c r="E36" s="225" t="s">
        <v>158</v>
      </c>
      <c r="F36" s="226">
        <v>0</v>
      </c>
      <c r="G36" s="226">
        <v>1</v>
      </c>
      <c r="H36" s="225" t="s">
        <v>158</v>
      </c>
      <c r="I36" s="225" t="s">
        <v>158</v>
      </c>
      <c r="J36" s="225" t="s">
        <v>158</v>
      </c>
      <c r="K36" s="274" t="s">
        <v>201</v>
      </c>
      <c r="L36" s="227" t="s">
        <v>356</v>
      </c>
      <c r="M36" s="275" t="s">
        <v>357</v>
      </c>
      <c r="N36" s="274" t="s">
        <v>357</v>
      </c>
      <c r="O36" s="271" t="s">
        <v>199</v>
      </c>
      <c r="P36" s="227" t="s">
        <v>198</v>
      </c>
      <c r="Q36" s="230" t="s">
        <v>248</v>
      </c>
      <c r="R36" s="226" t="s">
        <v>237</v>
      </c>
      <c r="S36" s="183" t="s">
        <v>32</v>
      </c>
      <c r="T36" s="272"/>
      <c r="U36" s="273"/>
    </row>
    <row r="37" spans="2:21">
      <c r="B37" s="224" t="s">
        <v>618</v>
      </c>
      <c r="C37" s="225" t="s">
        <v>158</v>
      </c>
      <c r="D37" s="225" t="s">
        <v>158</v>
      </c>
      <c r="E37" s="225" t="s">
        <v>158</v>
      </c>
      <c r="F37" s="226">
        <v>0</v>
      </c>
      <c r="G37" s="226">
        <v>1</v>
      </c>
      <c r="H37" s="225" t="s">
        <v>158</v>
      </c>
      <c r="I37" s="225" t="s">
        <v>158</v>
      </c>
      <c r="J37" s="225" t="s">
        <v>158</v>
      </c>
      <c r="K37" s="274" t="s">
        <v>201</v>
      </c>
      <c r="L37" s="274" t="s">
        <v>357</v>
      </c>
      <c r="M37" s="227" t="s">
        <v>356</v>
      </c>
      <c r="N37" s="227" t="s">
        <v>356</v>
      </c>
      <c r="O37" s="271" t="s">
        <v>199</v>
      </c>
      <c r="P37" s="227" t="s">
        <v>197</v>
      </c>
      <c r="Q37" s="230" t="s">
        <v>317</v>
      </c>
      <c r="R37" s="226" t="s">
        <v>127</v>
      </c>
      <c r="S37" s="183" t="s">
        <v>325</v>
      </c>
      <c r="T37" s="272"/>
      <c r="U37" s="273"/>
    </row>
    <row r="38" spans="2:21">
      <c r="B38" s="224" t="s">
        <v>619</v>
      </c>
      <c r="C38" s="225" t="s">
        <v>158</v>
      </c>
      <c r="D38" s="225" t="s">
        <v>158</v>
      </c>
      <c r="E38" s="225" t="s">
        <v>158</v>
      </c>
      <c r="F38" s="226">
        <v>0</v>
      </c>
      <c r="G38" s="226">
        <v>1</v>
      </c>
      <c r="H38" s="225" t="s">
        <v>158</v>
      </c>
      <c r="I38" s="225" t="s">
        <v>158</v>
      </c>
      <c r="J38" s="225" t="s">
        <v>158</v>
      </c>
      <c r="K38" s="274" t="s">
        <v>201</v>
      </c>
      <c r="L38" s="274" t="s">
        <v>357</v>
      </c>
      <c r="M38" s="227" t="s">
        <v>356</v>
      </c>
      <c r="N38" s="227" t="s">
        <v>356</v>
      </c>
      <c r="O38" s="271" t="s">
        <v>199</v>
      </c>
      <c r="P38" s="227" t="s">
        <v>198</v>
      </c>
      <c r="Q38" s="230" t="s">
        <v>109</v>
      </c>
      <c r="R38" s="226" t="s">
        <v>127</v>
      </c>
      <c r="S38" s="183" t="s">
        <v>32</v>
      </c>
      <c r="T38" s="272"/>
      <c r="U38" s="273"/>
    </row>
    <row r="39" spans="2:21">
      <c r="B39" s="224" t="s">
        <v>620</v>
      </c>
      <c r="C39" s="225" t="s">
        <v>158</v>
      </c>
      <c r="D39" s="225" t="s">
        <v>158</v>
      </c>
      <c r="E39" s="225" t="s">
        <v>158</v>
      </c>
      <c r="F39" s="226">
        <v>0</v>
      </c>
      <c r="G39" s="226">
        <v>1</v>
      </c>
      <c r="H39" s="225" t="s">
        <v>158</v>
      </c>
      <c r="I39" s="225" t="s">
        <v>158</v>
      </c>
      <c r="J39" s="225" t="s">
        <v>158</v>
      </c>
      <c r="K39" s="274" t="s">
        <v>201</v>
      </c>
      <c r="L39" s="274" t="s">
        <v>357</v>
      </c>
      <c r="M39" s="227" t="s">
        <v>356</v>
      </c>
      <c r="N39" s="274" t="s">
        <v>357</v>
      </c>
      <c r="O39" s="271" t="s">
        <v>199</v>
      </c>
      <c r="P39" s="227" t="s">
        <v>197</v>
      </c>
      <c r="Q39" s="230" t="s">
        <v>317</v>
      </c>
      <c r="R39" s="226" t="s">
        <v>127</v>
      </c>
      <c r="S39" s="183" t="s">
        <v>325</v>
      </c>
      <c r="T39" s="272"/>
      <c r="U39" s="273"/>
    </row>
    <row r="40" spans="2:21">
      <c r="B40" s="224" t="s">
        <v>621</v>
      </c>
      <c r="C40" s="225" t="s">
        <v>158</v>
      </c>
      <c r="D40" s="225" t="s">
        <v>158</v>
      </c>
      <c r="E40" s="225" t="s">
        <v>158</v>
      </c>
      <c r="F40" s="226">
        <v>0</v>
      </c>
      <c r="G40" s="226">
        <v>1</v>
      </c>
      <c r="H40" s="225" t="s">
        <v>158</v>
      </c>
      <c r="I40" s="225" t="s">
        <v>158</v>
      </c>
      <c r="J40" s="225" t="s">
        <v>158</v>
      </c>
      <c r="K40" s="274" t="s">
        <v>201</v>
      </c>
      <c r="L40" s="274" t="s">
        <v>357</v>
      </c>
      <c r="M40" s="227" t="s">
        <v>356</v>
      </c>
      <c r="N40" s="274" t="s">
        <v>357</v>
      </c>
      <c r="O40" s="271" t="s">
        <v>199</v>
      </c>
      <c r="P40" s="227" t="s">
        <v>198</v>
      </c>
      <c r="Q40" s="230" t="s">
        <v>109</v>
      </c>
      <c r="R40" s="226" t="s">
        <v>127</v>
      </c>
      <c r="S40" s="183" t="s">
        <v>32</v>
      </c>
      <c r="T40" s="272"/>
      <c r="U40" s="273"/>
    </row>
    <row r="41" spans="2:21">
      <c r="B41" s="224" t="s">
        <v>622</v>
      </c>
      <c r="C41" s="225" t="s">
        <v>158</v>
      </c>
      <c r="D41" s="225" t="s">
        <v>158</v>
      </c>
      <c r="E41" s="225" t="s">
        <v>158</v>
      </c>
      <c r="F41" s="226">
        <v>0</v>
      </c>
      <c r="G41" s="226">
        <v>1</v>
      </c>
      <c r="H41" s="225" t="s">
        <v>158</v>
      </c>
      <c r="I41" s="225" t="s">
        <v>158</v>
      </c>
      <c r="J41" s="225" t="s">
        <v>158</v>
      </c>
      <c r="K41" s="274" t="s">
        <v>201</v>
      </c>
      <c r="L41" s="274" t="s">
        <v>357</v>
      </c>
      <c r="M41" s="275" t="s">
        <v>357</v>
      </c>
      <c r="N41" s="227" t="s">
        <v>356</v>
      </c>
      <c r="O41" s="271" t="s">
        <v>199</v>
      </c>
      <c r="P41" s="227" t="s">
        <v>197</v>
      </c>
      <c r="Q41" s="230" t="s">
        <v>239</v>
      </c>
      <c r="R41" s="226" t="s">
        <v>237</v>
      </c>
      <c r="S41" s="183" t="s">
        <v>325</v>
      </c>
      <c r="T41" s="272"/>
      <c r="U41" s="273"/>
    </row>
    <row r="42" spans="2:21">
      <c r="B42" s="224" t="s">
        <v>623</v>
      </c>
      <c r="C42" s="225" t="s">
        <v>158</v>
      </c>
      <c r="D42" s="225" t="s">
        <v>158</v>
      </c>
      <c r="E42" s="225" t="s">
        <v>158</v>
      </c>
      <c r="F42" s="226">
        <v>0</v>
      </c>
      <c r="G42" s="226">
        <v>1</v>
      </c>
      <c r="H42" s="225" t="s">
        <v>158</v>
      </c>
      <c r="I42" s="225" t="s">
        <v>158</v>
      </c>
      <c r="J42" s="225" t="s">
        <v>158</v>
      </c>
      <c r="K42" s="274" t="s">
        <v>201</v>
      </c>
      <c r="L42" s="274" t="s">
        <v>357</v>
      </c>
      <c r="M42" s="275" t="s">
        <v>357</v>
      </c>
      <c r="N42" s="227" t="s">
        <v>356</v>
      </c>
      <c r="O42" s="271" t="s">
        <v>199</v>
      </c>
      <c r="P42" s="227" t="s">
        <v>198</v>
      </c>
      <c r="Q42" s="230" t="s">
        <v>240</v>
      </c>
      <c r="R42" s="226" t="s">
        <v>237</v>
      </c>
      <c r="S42" s="183" t="s">
        <v>32</v>
      </c>
      <c r="T42" s="272"/>
      <c r="U42" s="273"/>
    </row>
    <row r="43" spans="2:21">
      <c r="B43" s="224" t="s">
        <v>624</v>
      </c>
      <c r="C43" s="225" t="s">
        <v>158</v>
      </c>
      <c r="D43" s="225" t="s">
        <v>158</v>
      </c>
      <c r="E43" s="225" t="s">
        <v>158</v>
      </c>
      <c r="F43" s="226">
        <v>0</v>
      </c>
      <c r="G43" s="226">
        <v>1</v>
      </c>
      <c r="H43" s="225" t="s">
        <v>158</v>
      </c>
      <c r="I43" s="225" t="s">
        <v>158</v>
      </c>
      <c r="J43" s="225" t="s">
        <v>158</v>
      </c>
      <c r="K43" s="274" t="s">
        <v>201</v>
      </c>
      <c r="L43" s="274" t="s">
        <v>357</v>
      </c>
      <c r="M43" s="275" t="s">
        <v>357</v>
      </c>
      <c r="N43" s="274" t="s">
        <v>357</v>
      </c>
      <c r="O43" s="271" t="s">
        <v>199</v>
      </c>
      <c r="P43" s="227" t="s">
        <v>197</v>
      </c>
      <c r="Q43" s="230" t="s">
        <v>239</v>
      </c>
      <c r="R43" s="226" t="s">
        <v>237</v>
      </c>
      <c r="S43" s="183" t="s">
        <v>325</v>
      </c>
      <c r="T43" s="272"/>
      <c r="U43" s="273"/>
    </row>
    <row r="44" spans="2:21">
      <c r="B44" s="224" t="s">
        <v>625</v>
      </c>
      <c r="C44" s="225" t="s">
        <v>158</v>
      </c>
      <c r="D44" s="225" t="s">
        <v>158</v>
      </c>
      <c r="E44" s="225" t="s">
        <v>158</v>
      </c>
      <c r="F44" s="226">
        <v>0</v>
      </c>
      <c r="G44" s="226">
        <v>1</v>
      </c>
      <c r="H44" s="225" t="s">
        <v>158</v>
      </c>
      <c r="I44" s="225" t="s">
        <v>158</v>
      </c>
      <c r="J44" s="225" t="s">
        <v>158</v>
      </c>
      <c r="K44" s="274" t="s">
        <v>201</v>
      </c>
      <c r="L44" s="274" t="s">
        <v>357</v>
      </c>
      <c r="M44" s="275" t="s">
        <v>357</v>
      </c>
      <c r="N44" s="274" t="s">
        <v>357</v>
      </c>
      <c r="O44" s="271" t="s">
        <v>199</v>
      </c>
      <c r="P44" s="227" t="s">
        <v>198</v>
      </c>
      <c r="Q44" s="230" t="s">
        <v>240</v>
      </c>
      <c r="R44" s="226" t="s">
        <v>237</v>
      </c>
      <c r="S44" s="183" t="s">
        <v>32</v>
      </c>
      <c r="T44" s="272"/>
      <c r="U44" s="273"/>
    </row>
    <row r="45" spans="2:21">
      <c r="B45" s="224" t="s">
        <v>626</v>
      </c>
      <c r="C45" s="225" t="s">
        <v>158</v>
      </c>
      <c r="D45" s="225" t="s">
        <v>158</v>
      </c>
      <c r="E45" s="225" t="s">
        <v>158</v>
      </c>
      <c r="F45" s="226">
        <v>1</v>
      </c>
      <c r="G45" s="226">
        <v>0</v>
      </c>
      <c r="H45" s="225" t="s">
        <v>158</v>
      </c>
      <c r="I45" s="225" t="s">
        <v>158</v>
      </c>
      <c r="J45" s="225" t="s">
        <v>158</v>
      </c>
      <c r="K45" s="227" t="s">
        <v>233</v>
      </c>
      <c r="L45" s="227" t="s">
        <v>233</v>
      </c>
      <c r="M45" s="227" t="s">
        <v>197</v>
      </c>
      <c r="N45" s="227" t="s">
        <v>197</v>
      </c>
      <c r="O45" s="227" t="s">
        <v>197</v>
      </c>
      <c r="P45" s="271" t="s">
        <v>199</v>
      </c>
      <c r="Q45" s="230" t="s">
        <v>33</v>
      </c>
      <c r="R45" s="183" t="s">
        <v>32</v>
      </c>
      <c r="S45" s="183" t="s">
        <v>32</v>
      </c>
      <c r="T45" s="272"/>
      <c r="U45" s="273"/>
    </row>
    <row r="46" spans="2:21">
      <c r="B46" s="224" t="s">
        <v>627</v>
      </c>
      <c r="C46" s="225" t="s">
        <v>158</v>
      </c>
      <c r="D46" s="225" t="s">
        <v>158</v>
      </c>
      <c r="E46" s="225" t="s">
        <v>158</v>
      </c>
      <c r="F46" s="226">
        <v>1</v>
      </c>
      <c r="G46" s="226">
        <v>0</v>
      </c>
      <c r="H46" s="225" t="s">
        <v>158</v>
      </c>
      <c r="I46" s="225" t="s">
        <v>158</v>
      </c>
      <c r="J46" s="225" t="s">
        <v>158</v>
      </c>
      <c r="K46" s="227" t="s">
        <v>197</v>
      </c>
      <c r="L46" s="227" t="s">
        <v>197</v>
      </c>
      <c r="M46" s="227" t="s">
        <v>197</v>
      </c>
      <c r="N46" s="227" t="s">
        <v>233</v>
      </c>
      <c r="O46" s="227" t="s">
        <v>201</v>
      </c>
      <c r="P46" s="271" t="s">
        <v>199</v>
      </c>
      <c r="Q46" s="230" t="s">
        <v>33</v>
      </c>
      <c r="R46" s="183" t="s">
        <v>32</v>
      </c>
      <c r="S46" s="183" t="s">
        <v>32</v>
      </c>
      <c r="T46" s="272"/>
      <c r="U46" s="273"/>
    </row>
    <row r="47" spans="2:21">
      <c r="B47" s="224" t="s">
        <v>628</v>
      </c>
      <c r="C47" s="225" t="s">
        <v>158</v>
      </c>
      <c r="D47" s="225" t="s">
        <v>158</v>
      </c>
      <c r="E47" s="225" t="s">
        <v>158</v>
      </c>
      <c r="F47" s="226">
        <v>1</v>
      </c>
      <c r="G47" s="226">
        <v>0</v>
      </c>
      <c r="H47" s="225" t="s">
        <v>158</v>
      </c>
      <c r="I47" s="225" t="s">
        <v>158</v>
      </c>
      <c r="J47" s="225" t="s">
        <v>158</v>
      </c>
      <c r="K47" s="227" t="s">
        <v>233</v>
      </c>
      <c r="L47" s="227" t="s">
        <v>233</v>
      </c>
      <c r="M47" s="227" t="s">
        <v>233</v>
      </c>
      <c r="N47" s="274" t="s">
        <v>201</v>
      </c>
      <c r="O47" s="227" t="s">
        <v>233</v>
      </c>
      <c r="P47" s="271" t="s">
        <v>199</v>
      </c>
      <c r="Q47" s="230" t="s">
        <v>315</v>
      </c>
      <c r="R47" s="226" t="s">
        <v>127</v>
      </c>
      <c r="S47" s="183" t="s">
        <v>324</v>
      </c>
      <c r="T47" s="272"/>
      <c r="U47" s="273"/>
    </row>
    <row r="48" spans="2:21">
      <c r="B48" s="224" t="s">
        <v>629</v>
      </c>
      <c r="C48" s="225" t="s">
        <v>158</v>
      </c>
      <c r="D48" s="225" t="s">
        <v>158</v>
      </c>
      <c r="E48" s="225" t="s">
        <v>158</v>
      </c>
      <c r="F48" s="226">
        <v>1</v>
      </c>
      <c r="G48" s="226">
        <v>0</v>
      </c>
      <c r="H48" s="225" t="s">
        <v>158</v>
      </c>
      <c r="I48" s="225" t="s">
        <v>158</v>
      </c>
      <c r="J48" s="225" t="s">
        <v>158</v>
      </c>
      <c r="K48" s="227" t="s">
        <v>233</v>
      </c>
      <c r="L48" s="227" t="s">
        <v>233</v>
      </c>
      <c r="M48" s="227" t="s">
        <v>233</v>
      </c>
      <c r="N48" s="274" t="s">
        <v>201</v>
      </c>
      <c r="O48" s="227" t="s">
        <v>201</v>
      </c>
      <c r="P48" s="271" t="s">
        <v>199</v>
      </c>
      <c r="Q48" s="230" t="s">
        <v>316</v>
      </c>
      <c r="R48" s="226" t="s">
        <v>127</v>
      </c>
      <c r="S48" s="183" t="s">
        <v>323</v>
      </c>
      <c r="T48" s="272"/>
      <c r="U48" s="273"/>
    </row>
    <row r="49" spans="2:21">
      <c r="B49" s="224" t="s">
        <v>630</v>
      </c>
      <c r="C49" s="225" t="s">
        <v>158</v>
      </c>
      <c r="D49" s="225" t="s">
        <v>158</v>
      </c>
      <c r="E49" s="225" t="s">
        <v>158</v>
      </c>
      <c r="F49" s="226">
        <v>1</v>
      </c>
      <c r="G49" s="226">
        <v>0</v>
      </c>
      <c r="H49" s="225" t="s">
        <v>158</v>
      </c>
      <c r="I49" s="225" t="s">
        <v>158</v>
      </c>
      <c r="J49" s="225" t="s">
        <v>158</v>
      </c>
      <c r="K49" s="227" t="s">
        <v>233</v>
      </c>
      <c r="L49" s="227" t="s">
        <v>233</v>
      </c>
      <c r="M49" s="275" t="s">
        <v>201</v>
      </c>
      <c r="N49" s="227" t="s">
        <v>233</v>
      </c>
      <c r="O49" s="227" t="s">
        <v>233</v>
      </c>
      <c r="P49" s="271" t="s">
        <v>199</v>
      </c>
      <c r="Q49" s="230" t="s">
        <v>238</v>
      </c>
      <c r="R49" s="226" t="s">
        <v>237</v>
      </c>
      <c r="S49" s="183" t="s">
        <v>324</v>
      </c>
      <c r="T49" s="272"/>
      <c r="U49" s="273"/>
    </row>
    <row r="50" spans="2:21">
      <c r="B50" s="224" t="s">
        <v>631</v>
      </c>
      <c r="C50" s="225" t="s">
        <v>158</v>
      </c>
      <c r="D50" s="225" t="s">
        <v>158</v>
      </c>
      <c r="E50" s="225" t="s">
        <v>158</v>
      </c>
      <c r="F50" s="226">
        <v>1</v>
      </c>
      <c r="G50" s="226">
        <v>0</v>
      </c>
      <c r="H50" s="225" t="s">
        <v>158</v>
      </c>
      <c r="I50" s="225" t="s">
        <v>158</v>
      </c>
      <c r="J50" s="225" t="s">
        <v>158</v>
      </c>
      <c r="K50" s="227" t="s">
        <v>233</v>
      </c>
      <c r="L50" s="227" t="s">
        <v>233</v>
      </c>
      <c r="M50" s="275" t="s">
        <v>201</v>
      </c>
      <c r="N50" s="227" t="s">
        <v>233</v>
      </c>
      <c r="O50" s="227" t="s">
        <v>201</v>
      </c>
      <c r="P50" s="271" t="s">
        <v>199</v>
      </c>
      <c r="Q50" s="230" t="s">
        <v>242</v>
      </c>
      <c r="R50" s="226" t="s">
        <v>237</v>
      </c>
      <c r="S50" s="183" t="s">
        <v>323</v>
      </c>
      <c r="T50" s="272"/>
      <c r="U50" s="273"/>
    </row>
    <row r="51" spans="2:21">
      <c r="B51" s="224" t="s">
        <v>632</v>
      </c>
      <c r="C51" s="225" t="s">
        <v>158</v>
      </c>
      <c r="D51" s="225" t="s">
        <v>158</v>
      </c>
      <c r="E51" s="225" t="s">
        <v>158</v>
      </c>
      <c r="F51" s="226">
        <v>1</v>
      </c>
      <c r="G51" s="226">
        <v>0</v>
      </c>
      <c r="H51" s="225" t="s">
        <v>158</v>
      </c>
      <c r="I51" s="225" t="s">
        <v>158</v>
      </c>
      <c r="J51" s="225" t="s">
        <v>158</v>
      </c>
      <c r="K51" s="227" t="s">
        <v>233</v>
      </c>
      <c r="L51" s="227" t="s">
        <v>233</v>
      </c>
      <c r="M51" s="275" t="s">
        <v>201</v>
      </c>
      <c r="N51" s="274" t="s">
        <v>201</v>
      </c>
      <c r="O51" s="227" t="s">
        <v>233</v>
      </c>
      <c r="P51" s="271" t="s">
        <v>199</v>
      </c>
      <c r="Q51" s="230" t="s">
        <v>238</v>
      </c>
      <c r="R51" s="226" t="s">
        <v>237</v>
      </c>
      <c r="S51" s="183" t="s">
        <v>324</v>
      </c>
      <c r="T51" s="272"/>
      <c r="U51" s="273"/>
    </row>
    <row r="52" spans="2:21">
      <c r="B52" s="224" t="s">
        <v>633</v>
      </c>
      <c r="C52" s="225" t="s">
        <v>158</v>
      </c>
      <c r="D52" s="225" t="s">
        <v>158</v>
      </c>
      <c r="E52" s="225" t="s">
        <v>158</v>
      </c>
      <c r="F52" s="226">
        <v>1</v>
      </c>
      <c r="G52" s="226">
        <v>0</v>
      </c>
      <c r="H52" s="225" t="s">
        <v>158</v>
      </c>
      <c r="I52" s="225" t="s">
        <v>158</v>
      </c>
      <c r="J52" s="225" t="s">
        <v>158</v>
      </c>
      <c r="K52" s="227" t="s">
        <v>233</v>
      </c>
      <c r="L52" s="227" t="s">
        <v>233</v>
      </c>
      <c r="M52" s="275" t="s">
        <v>201</v>
      </c>
      <c r="N52" s="274" t="s">
        <v>201</v>
      </c>
      <c r="O52" s="227" t="s">
        <v>201</v>
      </c>
      <c r="P52" s="271" t="s">
        <v>199</v>
      </c>
      <c r="Q52" s="230" t="s">
        <v>242</v>
      </c>
      <c r="R52" s="226" t="s">
        <v>237</v>
      </c>
      <c r="S52" s="183" t="s">
        <v>323</v>
      </c>
      <c r="T52" s="272"/>
      <c r="U52" s="273"/>
    </row>
    <row r="53" spans="2:21">
      <c r="B53" s="224" t="s">
        <v>634</v>
      </c>
      <c r="C53" s="225" t="s">
        <v>158</v>
      </c>
      <c r="D53" s="225" t="s">
        <v>158</v>
      </c>
      <c r="E53" s="225" t="s">
        <v>158</v>
      </c>
      <c r="F53" s="226">
        <v>1</v>
      </c>
      <c r="G53" s="226">
        <v>0</v>
      </c>
      <c r="H53" s="225" t="s">
        <v>158</v>
      </c>
      <c r="I53" s="225" t="s">
        <v>158</v>
      </c>
      <c r="J53" s="225" t="s">
        <v>158</v>
      </c>
      <c r="K53" s="227" t="s">
        <v>197</v>
      </c>
      <c r="L53" s="274" t="s">
        <v>201</v>
      </c>
      <c r="M53" s="227" t="s">
        <v>233</v>
      </c>
      <c r="N53" s="227" t="s">
        <v>233</v>
      </c>
      <c r="O53" s="227" t="s">
        <v>233</v>
      </c>
      <c r="P53" s="271" t="s">
        <v>199</v>
      </c>
      <c r="Q53" s="230" t="s">
        <v>315</v>
      </c>
      <c r="R53" s="226" t="s">
        <v>127</v>
      </c>
      <c r="S53" s="183" t="s">
        <v>324</v>
      </c>
      <c r="T53" s="272"/>
      <c r="U53" s="273"/>
    </row>
    <row r="54" spans="2:21">
      <c r="B54" s="224" t="s">
        <v>635</v>
      </c>
      <c r="C54" s="225" t="s">
        <v>158</v>
      </c>
      <c r="D54" s="225" t="s">
        <v>158</v>
      </c>
      <c r="E54" s="225" t="s">
        <v>158</v>
      </c>
      <c r="F54" s="226">
        <v>1</v>
      </c>
      <c r="G54" s="226">
        <v>0</v>
      </c>
      <c r="H54" s="225" t="s">
        <v>158</v>
      </c>
      <c r="I54" s="225" t="s">
        <v>158</v>
      </c>
      <c r="J54" s="225" t="s">
        <v>158</v>
      </c>
      <c r="K54" s="227" t="s">
        <v>197</v>
      </c>
      <c r="L54" s="274" t="s">
        <v>201</v>
      </c>
      <c r="M54" s="227" t="s">
        <v>233</v>
      </c>
      <c r="N54" s="227" t="s">
        <v>233</v>
      </c>
      <c r="O54" s="227" t="s">
        <v>201</v>
      </c>
      <c r="P54" s="271" t="s">
        <v>199</v>
      </c>
      <c r="Q54" s="230" t="s">
        <v>316</v>
      </c>
      <c r="R54" s="226" t="s">
        <v>127</v>
      </c>
      <c r="S54" s="183" t="s">
        <v>323</v>
      </c>
      <c r="T54" s="272"/>
      <c r="U54" s="273"/>
    </row>
    <row r="55" spans="2:21">
      <c r="B55" s="224" t="s">
        <v>636</v>
      </c>
      <c r="C55" s="225" t="s">
        <v>158</v>
      </c>
      <c r="D55" s="225" t="s">
        <v>158</v>
      </c>
      <c r="E55" s="225" t="s">
        <v>158</v>
      </c>
      <c r="F55" s="226">
        <v>1</v>
      </c>
      <c r="G55" s="226">
        <v>0</v>
      </c>
      <c r="H55" s="225" t="s">
        <v>158</v>
      </c>
      <c r="I55" s="225" t="s">
        <v>158</v>
      </c>
      <c r="J55" s="225" t="s">
        <v>158</v>
      </c>
      <c r="K55" s="227" t="s">
        <v>197</v>
      </c>
      <c r="L55" s="274" t="s">
        <v>201</v>
      </c>
      <c r="M55" s="227" t="s">
        <v>233</v>
      </c>
      <c r="N55" s="274" t="s">
        <v>201</v>
      </c>
      <c r="O55" s="227" t="s">
        <v>233</v>
      </c>
      <c r="P55" s="271" t="s">
        <v>199</v>
      </c>
      <c r="Q55" s="230" t="s">
        <v>315</v>
      </c>
      <c r="R55" s="226" t="s">
        <v>127</v>
      </c>
      <c r="S55" s="183" t="s">
        <v>324</v>
      </c>
      <c r="T55" s="272"/>
      <c r="U55" s="273"/>
    </row>
    <row r="56" spans="2:21">
      <c r="B56" s="224" t="s">
        <v>637</v>
      </c>
      <c r="C56" s="225" t="s">
        <v>158</v>
      </c>
      <c r="D56" s="225" t="s">
        <v>158</v>
      </c>
      <c r="E56" s="225" t="s">
        <v>158</v>
      </c>
      <c r="F56" s="226">
        <v>1</v>
      </c>
      <c r="G56" s="226">
        <v>0</v>
      </c>
      <c r="H56" s="225" t="s">
        <v>158</v>
      </c>
      <c r="I56" s="225" t="s">
        <v>158</v>
      </c>
      <c r="J56" s="225" t="s">
        <v>158</v>
      </c>
      <c r="K56" s="227" t="s">
        <v>197</v>
      </c>
      <c r="L56" s="274" t="s">
        <v>201</v>
      </c>
      <c r="M56" s="227" t="s">
        <v>233</v>
      </c>
      <c r="N56" s="274" t="s">
        <v>201</v>
      </c>
      <c r="O56" s="227" t="s">
        <v>201</v>
      </c>
      <c r="P56" s="271" t="s">
        <v>199</v>
      </c>
      <c r="Q56" s="230" t="s">
        <v>316</v>
      </c>
      <c r="R56" s="226" t="s">
        <v>127</v>
      </c>
      <c r="S56" s="183" t="s">
        <v>323</v>
      </c>
      <c r="T56" s="272"/>
      <c r="U56" s="273"/>
    </row>
    <row r="57" spans="2:21">
      <c r="B57" s="224" t="s">
        <v>638</v>
      </c>
      <c r="C57" s="225" t="s">
        <v>158</v>
      </c>
      <c r="D57" s="225" t="s">
        <v>158</v>
      </c>
      <c r="E57" s="225" t="s">
        <v>158</v>
      </c>
      <c r="F57" s="226">
        <v>1</v>
      </c>
      <c r="G57" s="226">
        <v>0</v>
      </c>
      <c r="H57" s="225" t="s">
        <v>158</v>
      </c>
      <c r="I57" s="225" t="s">
        <v>158</v>
      </c>
      <c r="J57" s="225" t="s">
        <v>158</v>
      </c>
      <c r="K57" s="227" t="s">
        <v>197</v>
      </c>
      <c r="L57" s="274" t="s">
        <v>201</v>
      </c>
      <c r="M57" s="275" t="s">
        <v>201</v>
      </c>
      <c r="N57" s="227" t="s">
        <v>233</v>
      </c>
      <c r="O57" s="227" t="s">
        <v>233</v>
      </c>
      <c r="P57" s="271" t="s">
        <v>199</v>
      </c>
      <c r="Q57" s="230" t="s">
        <v>238</v>
      </c>
      <c r="R57" s="226" t="s">
        <v>237</v>
      </c>
      <c r="S57" s="183" t="s">
        <v>324</v>
      </c>
      <c r="T57" s="272"/>
      <c r="U57" s="273"/>
    </row>
    <row r="58" spans="2:21">
      <c r="B58" s="224" t="s">
        <v>639</v>
      </c>
      <c r="C58" s="225" t="s">
        <v>158</v>
      </c>
      <c r="D58" s="225" t="s">
        <v>158</v>
      </c>
      <c r="E58" s="225" t="s">
        <v>158</v>
      </c>
      <c r="F58" s="226">
        <v>1</v>
      </c>
      <c r="G58" s="226">
        <v>0</v>
      </c>
      <c r="H58" s="225" t="s">
        <v>158</v>
      </c>
      <c r="I58" s="225" t="s">
        <v>158</v>
      </c>
      <c r="J58" s="225" t="s">
        <v>158</v>
      </c>
      <c r="K58" s="227" t="s">
        <v>197</v>
      </c>
      <c r="L58" s="274" t="s">
        <v>201</v>
      </c>
      <c r="M58" s="275" t="s">
        <v>201</v>
      </c>
      <c r="N58" s="227" t="s">
        <v>233</v>
      </c>
      <c r="O58" s="227" t="s">
        <v>201</v>
      </c>
      <c r="P58" s="271" t="s">
        <v>199</v>
      </c>
      <c r="Q58" s="230" t="s">
        <v>242</v>
      </c>
      <c r="R58" s="226" t="s">
        <v>237</v>
      </c>
      <c r="S58" s="183" t="s">
        <v>323</v>
      </c>
      <c r="T58" s="272"/>
      <c r="U58" s="273"/>
    </row>
    <row r="59" spans="2:21">
      <c r="B59" s="224" t="s">
        <v>640</v>
      </c>
      <c r="C59" s="225" t="s">
        <v>158</v>
      </c>
      <c r="D59" s="225" t="s">
        <v>158</v>
      </c>
      <c r="E59" s="225" t="s">
        <v>158</v>
      </c>
      <c r="F59" s="226">
        <v>1</v>
      </c>
      <c r="G59" s="226">
        <v>0</v>
      </c>
      <c r="H59" s="225" t="s">
        <v>158</v>
      </c>
      <c r="I59" s="225" t="s">
        <v>158</v>
      </c>
      <c r="J59" s="225" t="s">
        <v>158</v>
      </c>
      <c r="K59" s="227" t="s">
        <v>197</v>
      </c>
      <c r="L59" s="274" t="s">
        <v>201</v>
      </c>
      <c r="M59" s="275" t="s">
        <v>201</v>
      </c>
      <c r="N59" s="274" t="s">
        <v>201</v>
      </c>
      <c r="O59" s="227" t="s">
        <v>233</v>
      </c>
      <c r="P59" s="271" t="s">
        <v>199</v>
      </c>
      <c r="Q59" s="230" t="s">
        <v>238</v>
      </c>
      <c r="R59" s="226" t="s">
        <v>237</v>
      </c>
      <c r="S59" s="183" t="s">
        <v>324</v>
      </c>
      <c r="T59" s="272"/>
      <c r="U59" s="273"/>
    </row>
    <row r="60" spans="2:21">
      <c r="B60" s="244" t="s">
        <v>641</v>
      </c>
      <c r="C60" s="245" t="s">
        <v>158</v>
      </c>
      <c r="D60" s="245" t="s">
        <v>158</v>
      </c>
      <c r="E60" s="245" t="s">
        <v>158</v>
      </c>
      <c r="F60" s="246">
        <v>1</v>
      </c>
      <c r="G60" s="246">
        <v>0</v>
      </c>
      <c r="H60" s="245" t="s">
        <v>158</v>
      </c>
      <c r="I60" s="245" t="s">
        <v>158</v>
      </c>
      <c r="J60" s="245" t="s">
        <v>158</v>
      </c>
      <c r="K60" s="227" t="s">
        <v>197</v>
      </c>
      <c r="L60" s="276" t="s">
        <v>201</v>
      </c>
      <c r="M60" s="277" t="s">
        <v>201</v>
      </c>
      <c r="N60" s="276" t="s">
        <v>201</v>
      </c>
      <c r="O60" s="247" t="s">
        <v>201</v>
      </c>
      <c r="P60" s="278" t="s">
        <v>199</v>
      </c>
      <c r="Q60" s="249" t="s">
        <v>242</v>
      </c>
      <c r="R60" s="246" t="s">
        <v>237</v>
      </c>
      <c r="S60" s="184" t="s">
        <v>323</v>
      </c>
      <c r="T60" s="279"/>
      <c r="U60" s="280"/>
    </row>
    <row r="61" spans="2:21">
      <c r="B61" s="224" t="s">
        <v>642</v>
      </c>
      <c r="C61" s="225" t="s">
        <v>158</v>
      </c>
      <c r="D61" s="225" t="s">
        <v>158</v>
      </c>
      <c r="E61" s="225" t="s">
        <v>158</v>
      </c>
      <c r="F61" s="226">
        <v>1</v>
      </c>
      <c r="G61" s="226">
        <v>0</v>
      </c>
      <c r="H61" s="225" t="s">
        <v>158</v>
      </c>
      <c r="I61" s="225" t="s">
        <v>158</v>
      </c>
      <c r="J61" s="225" t="s">
        <v>158</v>
      </c>
      <c r="K61" s="274" t="s">
        <v>201</v>
      </c>
      <c r="L61" s="227" t="s">
        <v>233</v>
      </c>
      <c r="M61" s="227" t="s">
        <v>197</v>
      </c>
      <c r="N61" s="227" t="s">
        <v>197</v>
      </c>
      <c r="O61" s="227" t="s">
        <v>197</v>
      </c>
      <c r="P61" s="271" t="s">
        <v>199</v>
      </c>
      <c r="Q61" s="230" t="s">
        <v>206</v>
      </c>
      <c r="R61" s="183" t="s">
        <v>32</v>
      </c>
      <c r="S61" s="183" t="s">
        <v>324</v>
      </c>
      <c r="T61" s="272"/>
      <c r="U61" s="273"/>
    </row>
    <row r="62" spans="2:21">
      <c r="B62" s="224" t="s">
        <v>643</v>
      </c>
      <c r="C62" s="225" t="s">
        <v>158</v>
      </c>
      <c r="D62" s="225" t="s">
        <v>158</v>
      </c>
      <c r="E62" s="225" t="s">
        <v>158</v>
      </c>
      <c r="F62" s="226">
        <v>1</v>
      </c>
      <c r="G62" s="226">
        <v>0</v>
      </c>
      <c r="H62" s="225" t="s">
        <v>158</v>
      </c>
      <c r="I62" s="225" t="s">
        <v>158</v>
      </c>
      <c r="J62" s="225" t="s">
        <v>158</v>
      </c>
      <c r="K62" s="274" t="s">
        <v>201</v>
      </c>
      <c r="L62" s="227" t="s">
        <v>197</v>
      </c>
      <c r="M62" s="227" t="s">
        <v>197</v>
      </c>
      <c r="N62" s="227" t="s">
        <v>233</v>
      </c>
      <c r="O62" s="227" t="s">
        <v>201</v>
      </c>
      <c r="P62" s="271" t="s">
        <v>199</v>
      </c>
      <c r="Q62" s="230" t="s">
        <v>205</v>
      </c>
      <c r="R62" s="183" t="s">
        <v>32</v>
      </c>
      <c r="S62" s="183" t="s">
        <v>323</v>
      </c>
      <c r="T62" s="272"/>
      <c r="U62" s="273"/>
    </row>
    <row r="63" spans="2:21">
      <c r="B63" s="224" t="s">
        <v>644</v>
      </c>
      <c r="C63" s="225" t="s">
        <v>158</v>
      </c>
      <c r="D63" s="225" t="s">
        <v>158</v>
      </c>
      <c r="E63" s="225" t="s">
        <v>158</v>
      </c>
      <c r="F63" s="226">
        <v>1</v>
      </c>
      <c r="G63" s="226">
        <v>0</v>
      </c>
      <c r="H63" s="225" t="s">
        <v>158</v>
      </c>
      <c r="I63" s="225" t="s">
        <v>158</v>
      </c>
      <c r="J63" s="225" t="s">
        <v>158</v>
      </c>
      <c r="K63" s="274" t="s">
        <v>201</v>
      </c>
      <c r="L63" s="227" t="s">
        <v>356</v>
      </c>
      <c r="M63" s="227" t="s">
        <v>356</v>
      </c>
      <c r="N63" s="274" t="s">
        <v>357</v>
      </c>
      <c r="O63" s="227" t="s">
        <v>356</v>
      </c>
      <c r="P63" s="271" t="s">
        <v>199</v>
      </c>
      <c r="Q63" s="230" t="s">
        <v>206</v>
      </c>
      <c r="R63" s="226" t="s">
        <v>32</v>
      </c>
      <c r="S63" s="183" t="s">
        <v>324</v>
      </c>
      <c r="T63" s="272"/>
      <c r="U63" s="273"/>
    </row>
    <row r="64" spans="2:21">
      <c r="B64" s="224" t="s">
        <v>645</v>
      </c>
      <c r="C64" s="225" t="s">
        <v>158</v>
      </c>
      <c r="D64" s="225" t="s">
        <v>158</v>
      </c>
      <c r="E64" s="225" t="s">
        <v>158</v>
      </c>
      <c r="F64" s="226">
        <v>1</v>
      </c>
      <c r="G64" s="226">
        <v>0</v>
      </c>
      <c r="H64" s="225" t="s">
        <v>158</v>
      </c>
      <c r="I64" s="225" t="s">
        <v>158</v>
      </c>
      <c r="J64" s="225" t="s">
        <v>158</v>
      </c>
      <c r="K64" s="274" t="s">
        <v>201</v>
      </c>
      <c r="L64" s="227" t="s">
        <v>356</v>
      </c>
      <c r="M64" s="227" t="s">
        <v>356</v>
      </c>
      <c r="N64" s="274" t="s">
        <v>357</v>
      </c>
      <c r="O64" s="227" t="s">
        <v>357</v>
      </c>
      <c r="P64" s="271" t="s">
        <v>199</v>
      </c>
      <c r="Q64" s="230" t="s">
        <v>205</v>
      </c>
      <c r="R64" s="226" t="s">
        <v>32</v>
      </c>
      <c r="S64" s="183" t="s">
        <v>323</v>
      </c>
      <c r="T64" s="272"/>
      <c r="U64" s="273"/>
    </row>
    <row r="65" spans="2:21">
      <c r="B65" s="224" t="s">
        <v>646</v>
      </c>
      <c r="C65" s="225" t="s">
        <v>158</v>
      </c>
      <c r="D65" s="225" t="s">
        <v>158</v>
      </c>
      <c r="E65" s="225" t="s">
        <v>158</v>
      </c>
      <c r="F65" s="226">
        <v>1</v>
      </c>
      <c r="G65" s="226">
        <v>0</v>
      </c>
      <c r="H65" s="225" t="s">
        <v>158</v>
      </c>
      <c r="I65" s="225" t="s">
        <v>158</v>
      </c>
      <c r="J65" s="225" t="s">
        <v>158</v>
      </c>
      <c r="K65" s="274" t="s">
        <v>201</v>
      </c>
      <c r="L65" s="227" t="s">
        <v>356</v>
      </c>
      <c r="M65" s="275" t="s">
        <v>357</v>
      </c>
      <c r="N65" s="227" t="s">
        <v>356</v>
      </c>
      <c r="O65" s="227" t="s">
        <v>356</v>
      </c>
      <c r="P65" s="271" t="s">
        <v>199</v>
      </c>
      <c r="Q65" s="230" t="s">
        <v>251</v>
      </c>
      <c r="R65" s="226" t="s">
        <v>237</v>
      </c>
      <c r="S65" s="183" t="s">
        <v>324</v>
      </c>
      <c r="T65" s="272"/>
      <c r="U65" s="273"/>
    </row>
    <row r="66" spans="2:21">
      <c r="B66" s="224" t="s">
        <v>647</v>
      </c>
      <c r="C66" s="225" t="s">
        <v>158</v>
      </c>
      <c r="D66" s="225" t="s">
        <v>158</v>
      </c>
      <c r="E66" s="225" t="s">
        <v>158</v>
      </c>
      <c r="F66" s="226">
        <v>1</v>
      </c>
      <c r="G66" s="226">
        <v>0</v>
      </c>
      <c r="H66" s="225" t="s">
        <v>158</v>
      </c>
      <c r="I66" s="225" t="s">
        <v>158</v>
      </c>
      <c r="J66" s="225" t="s">
        <v>158</v>
      </c>
      <c r="K66" s="274" t="s">
        <v>201</v>
      </c>
      <c r="L66" s="227" t="s">
        <v>356</v>
      </c>
      <c r="M66" s="275" t="s">
        <v>357</v>
      </c>
      <c r="N66" s="227" t="s">
        <v>356</v>
      </c>
      <c r="O66" s="227" t="s">
        <v>357</v>
      </c>
      <c r="P66" s="271" t="s">
        <v>199</v>
      </c>
      <c r="Q66" s="230" t="s">
        <v>250</v>
      </c>
      <c r="R66" s="226" t="s">
        <v>237</v>
      </c>
      <c r="S66" s="183" t="s">
        <v>323</v>
      </c>
      <c r="T66" s="272"/>
      <c r="U66" s="273"/>
    </row>
    <row r="67" spans="2:21">
      <c r="B67" s="224" t="s">
        <v>648</v>
      </c>
      <c r="C67" s="225" t="s">
        <v>158</v>
      </c>
      <c r="D67" s="225" t="s">
        <v>158</v>
      </c>
      <c r="E67" s="225" t="s">
        <v>158</v>
      </c>
      <c r="F67" s="226">
        <v>1</v>
      </c>
      <c r="G67" s="226">
        <v>0</v>
      </c>
      <c r="H67" s="225" t="s">
        <v>158</v>
      </c>
      <c r="I67" s="225" t="s">
        <v>158</v>
      </c>
      <c r="J67" s="225" t="s">
        <v>158</v>
      </c>
      <c r="K67" s="274" t="s">
        <v>201</v>
      </c>
      <c r="L67" s="227" t="s">
        <v>356</v>
      </c>
      <c r="M67" s="275" t="s">
        <v>357</v>
      </c>
      <c r="N67" s="274" t="s">
        <v>357</v>
      </c>
      <c r="O67" s="227" t="s">
        <v>356</v>
      </c>
      <c r="P67" s="271" t="s">
        <v>199</v>
      </c>
      <c r="Q67" s="230" t="s">
        <v>251</v>
      </c>
      <c r="R67" s="226" t="s">
        <v>237</v>
      </c>
      <c r="S67" s="183" t="s">
        <v>324</v>
      </c>
      <c r="T67" s="272"/>
      <c r="U67" s="273"/>
    </row>
    <row r="68" spans="2:21">
      <c r="B68" s="224" t="s">
        <v>649</v>
      </c>
      <c r="C68" s="225" t="s">
        <v>158</v>
      </c>
      <c r="D68" s="225" t="s">
        <v>158</v>
      </c>
      <c r="E68" s="225" t="s">
        <v>158</v>
      </c>
      <c r="F68" s="226">
        <v>1</v>
      </c>
      <c r="G68" s="226">
        <v>0</v>
      </c>
      <c r="H68" s="225" t="s">
        <v>158</v>
      </c>
      <c r="I68" s="225" t="s">
        <v>158</v>
      </c>
      <c r="J68" s="225" t="s">
        <v>158</v>
      </c>
      <c r="K68" s="274" t="s">
        <v>201</v>
      </c>
      <c r="L68" s="227" t="s">
        <v>356</v>
      </c>
      <c r="M68" s="275" t="s">
        <v>357</v>
      </c>
      <c r="N68" s="274" t="s">
        <v>357</v>
      </c>
      <c r="O68" s="227" t="s">
        <v>357</v>
      </c>
      <c r="P68" s="271" t="s">
        <v>199</v>
      </c>
      <c r="Q68" s="230" t="s">
        <v>250</v>
      </c>
      <c r="R68" s="226" t="s">
        <v>237</v>
      </c>
      <c r="S68" s="183" t="s">
        <v>323</v>
      </c>
      <c r="T68" s="272"/>
      <c r="U68" s="273"/>
    </row>
    <row r="69" spans="2:21">
      <c r="B69" s="224" t="s">
        <v>650</v>
      </c>
      <c r="C69" s="225" t="s">
        <v>158</v>
      </c>
      <c r="D69" s="225" t="s">
        <v>158</v>
      </c>
      <c r="E69" s="225" t="s">
        <v>158</v>
      </c>
      <c r="F69" s="226">
        <v>1</v>
      </c>
      <c r="G69" s="226">
        <v>0</v>
      </c>
      <c r="H69" s="225" t="s">
        <v>158</v>
      </c>
      <c r="I69" s="225" t="s">
        <v>158</v>
      </c>
      <c r="J69" s="225" t="s">
        <v>158</v>
      </c>
      <c r="K69" s="274" t="s">
        <v>201</v>
      </c>
      <c r="L69" s="274" t="s">
        <v>357</v>
      </c>
      <c r="M69" s="227" t="s">
        <v>356</v>
      </c>
      <c r="N69" s="227" t="s">
        <v>356</v>
      </c>
      <c r="O69" s="227" t="s">
        <v>356</v>
      </c>
      <c r="P69" s="271" t="s">
        <v>199</v>
      </c>
      <c r="Q69" s="230" t="s">
        <v>315</v>
      </c>
      <c r="R69" s="226" t="s">
        <v>358</v>
      </c>
      <c r="S69" s="183" t="s">
        <v>324</v>
      </c>
      <c r="T69" s="272"/>
      <c r="U69" s="273"/>
    </row>
    <row r="70" spans="2:21">
      <c r="B70" s="224" t="s">
        <v>651</v>
      </c>
      <c r="C70" s="225" t="s">
        <v>158</v>
      </c>
      <c r="D70" s="225" t="s">
        <v>158</v>
      </c>
      <c r="E70" s="225" t="s">
        <v>158</v>
      </c>
      <c r="F70" s="226">
        <v>1</v>
      </c>
      <c r="G70" s="226">
        <v>0</v>
      </c>
      <c r="H70" s="225" t="s">
        <v>158</v>
      </c>
      <c r="I70" s="225" t="s">
        <v>158</v>
      </c>
      <c r="J70" s="225" t="s">
        <v>158</v>
      </c>
      <c r="K70" s="274" t="s">
        <v>201</v>
      </c>
      <c r="L70" s="274" t="s">
        <v>357</v>
      </c>
      <c r="M70" s="227" t="s">
        <v>356</v>
      </c>
      <c r="N70" s="227" t="s">
        <v>356</v>
      </c>
      <c r="O70" s="227" t="s">
        <v>357</v>
      </c>
      <c r="P70" s="271" t="s">
        <v>199</v>
      </c>
      <c r="Q70" s="230" t="s">
        <v>316</v>
      </c>
      <c r="R70" s="226" t="s">
        <v>127</v>
      </c>
      <c r="S70" s="183" t="s">
        <v>323</v>
      </c>
      <c r="T70" s="272"/>
      <c r="U70" s="273"/>
    </row>
    <row r="71" spans="2:21">
      <c r="B71" s="224" t="s">
        <v>652</v>
      </c>
      <c r="C71" s="225" t="s">
        <v>158</v>
      </c>
      <c r="D71" s="225" t="s">
        <v>158</v>
      </c>
      <c r="E71" s="225" t="s">
        <v>158</v>
      </c>
      <c r="F71" s="226">
        <v>1</v>
      </c>
      <c r="G71" s="226">
        <v>0</v>
      </c>
      <c r="H71" s="225" t="s">
        <v>158</v>
      </c>
      <c r="I71" s="225" t="s">
        <v>158</v>
      </c>
      <c r="J71" s="225" t="s">
        <v>158</v>
      </c>
      <c r="K71" s="274" t="s">
        <v>201</v>
      </c>
      <c r="L71" s="274" t="s">
        <v>357</v>
      </c>
      <c r="M71" s="227" t="s">
        <v>356</v>
      </c>
      <c r="N71" s="274" t="s">
        <v>357</v>
      </c>
      <c r="O71" s="227" t="s">
        <v>356</v>
      </c>
      <c r="P71" s="271" t="s">
        <v>199</v>
      </c>
      <c r="Q71" s="230" t="s">
        <v>315</v>
      </c>
      <c r="R71" s="226" t="s">
        <v>358</v>
      </c>
      <c r="S71" s="183" t="s">
        <v>324</v>
      </c>
      <c r="T71" s="272"/>
      <c r="U71" s="273"/>
    </row>
    <row r="72" spans="2:21">
      <c r="B72" s="224" t="s">
        <v>653</v>
      </c>
      <c r="C72" s="225" t="s">
        <v>158</v>
      </c>
      <c r="D72" s="225" t="s">
        <v>158</v>
      </c>
      <c r="E72" s="225" t="s">
        <v>158</v>
      </c>
      <c r="F72" s="226">
        <v>1</v>
      </c>
      <c r="G72" s="226">
        <v>0</v>
      </c>
      <c r="H72" s="225" t="s">
        <v>158</v>
      </c>
      <c r="I72" s="225" t="s">
        <v>158</v>
      </c>
      <c r="J72" s="225" t="s">
        <v>158</v>
      </c>
      <c r="K72" s="274" t="s">
        <v>201</v>
      </c>
      <c r="L72" s="274" t="s">
        <v>357</v>
      </c>
      <c r="M72" s="227" t="s">
        <v>356</v>
      </c>
      <c r="N72" s="274" t="s">
        <v>357</v>
      </c>
      <c r="O72" s="227" t="s">
        <v>357</v>
      </c>
      <c r="P72" s="271" t="s">
        <v>199</v>
      </c>
      <c r="Q72" s="230" t="s">
        <v>316</v>
      </c>
      <c r="R72" s="226" t="s">
        <v>127</v>
      </c>
      <c r="S72" s="183" t="s">
        <v>323</v>
      </c>
      <c r="T72" s="272"/>
      <c r="U72" s="273"/>
    </row>
    <row r="73" spans="2:21">
      <c r="B73" s="224" t="s">
        <v>654</v>
      </c>
      <c r="C73" s="225" t="s">
        <v>158</v>
      </c>
      <c r="D73" s="225" t="s">
        <v>158</v>
      </c>
      <c r="E73" s="225" t="s">
        <v>158</v>
      </c>
      <c r="F73" s="226">
        <v>1</v>
      </c>
      <c r="G73" s="226">
        <v>0</v>
      </c>
      <c r="H73" s="225" t="s">
        <v>158</v>
      </c>
      <c r="I73" s="225" t="s">
        <v>158</v>
      </c>
      <c r="J73" s="225" t="s">
        <v>158</v>
      </c>
      <c r="K73" s="274" t="s">
        <v>201</v>
      </c>
      <c r="L73" s="274" t="s">
        <v>357</v>
      </c>
      <c r="M73" s="275" t="s">
        <v>357</v>
      </c>
      <c r="N73" s="227" t="s">
        <v>356</v>
      </c>
      <c r="O73" s="227" t="s">
        <v>356</v>
      </c>
      <c r="P73" s="271" t="s">
        <v>199</v>
      </c>
      <c r="Q73" s="230" t="s">
        <v>238</v>
      </c>
      <c r="R73" s="226" t="s">
        <v>237</v>
      </c>
      <c r="S73" s="183" t="s">
        <v>324</v>
      </c>
      <c r="T73" s="272"/>
      <c r="U73" s="273"/>
    </row>
    <row r="74" spans="2:21">
      <c r="B74" s="224" t="s">
        <v>655</v>
      </c>
      <c r="C74" s="225" t="s">
        <v>158</v>
      </c>
      <c r="D74" s="225" t="s">
        <v>158</v>
      </c>
      <c r="E74" s="225" t="s">
        <v>158</v>
      </c>
      <c r="F74" s="226">
        <v>1</v>
      </c>
      <c r="G74" s="226">
        <v>0</v>
      </c>
      <c r="H74" s="225" t="s">
        <v>158</v>
      </c>
      <c r="I74" s="225" t="s">
        <v>158</v>
      </c>
      <c r="J74" s="225" t="s">
        <v>158</v>
      </c>
      <c r="K74" s="274" t="s">
        <v>201</v>
      </c>
      <c r="L74" s="274" t="s">
        <v>357</v>
      </c>
      <c r="M74" s="275" t="s">
        <v>357</v>
      </c>
      <c r="N74" s="227" t="s">
        <v>356</v>
      </c>
      <c r="O74" s="227" t="s">
        <v>357</v>
      </c>
      <c r="P74" s="271" t="s">
        <v>199</v>
      </c>
      <c r="Q74" s="230" t="s">
        <v>242</v>
      </c>
      <c r="R74" s="226" t="s">
        <v>237</v>
      </c>
      <c r="S74" s="183" t="s">
        <v>323</v>
      </c>
      <c r="T74" s="272"/>
      <c r="U74" s="273"/>
    </row>
    <row r="75" spans="2:21">
      <c r="B75" s="224" t="s">
        <v>656</v>
      </c>
      <c r="C75" s="225" t="s">
        <v>158</v>
      </c>
      <c r="D75" s="225" t="s">
        <v>158</v>
      </c>
      <c r="E75" s="225" t="s">
        <v>158</v>
      </c>
      <c r="F75" s="226">
        <v>1</v>
      </c>
      <c r="G75" s="226">
        <v>0</v>
      </c>
      <c r="H75" s="225" t="s">
        <v>158</v>
      </c>
      <c r="I75" s="225" t="s">
        <v>158</v>
      </c>
      <c r="J75" s="225" t="s">
        <v>158</v>
      </c>
      <c r="K75" s="274" t="s">
        <v>201</v>
      </c>
      <c r="L75" s="274" t="s">
        <v>357</v>
      </c>
      <c r="M75" s="275" t="s">
        <v>357</v>
      </c>
      <c r="N75" s="274" t="s">
        <v>357</v>
      </c>
      <c r="O75" s="227" t="s">
        <v>356</v>
      </c>
      <c r="P75" s="271" t="s">
        <v>199</v>
      </c>
      <c r="Q75" s="230" t="s">
        <v>238</v>
      </c>
      <c r="R75" s="226" t="s">
        <v>237</v>
      </c>
      <c r="S75" s="183" t="s">
        <v>324</v>
      </c>
      <c r="T75" s="272"/>
      <c r="U75" s="273"/>
    </row>
    <row r="76" spans="2:21">
      <c r="B76" s="244" t="s">
        <v>657</v>
      </c>
      <c r="C76" s="245" t="s">
        <v>158</v>
      </c>
      <c r="D76" s="245" t="s">
        <v>158</v>
      </c>
      <c r="E76" s="245" t="s">
        <v>158</v>
      </c>
      <c r="F76" s="246">
        <v>1</v>
      </c>
      <c r="G76" s="246">
        <v>0</v>
      </c>
      <c r="H76" s="245" t="s">
        <v>158</v>
      </c>
      <c r="I76" s="245" t="s">
        <v>158</v>
      </c>
      <c r="J76" s="245" t="s">
        <v>158</v>
      </c>
      <c r="K76" s="274" t="s">
        <v>201</v>
      </c>
      <c r="L76" s="276" t="s">
        <v>357</v>
      </c>
      <c r="M76" s="277" t="s">
        <v>357</v>
      </c>
      <c r="N76" s="276" t="s">
        <v>357</v>
      </c>
      <c r="O76" s="247" t="s">
        <v>357</v>
      </c>
      <c r="P76" s="278" t="s">
        <v>199</v>
      </c>
      <c r="Q76" s="249" t="s">
        <v>242</v>
      </c>
      <c r="R76" s="246" t="s">
        <v>237</v>
      </c>
      <c r="S76" s="184" t="s">
        <v>323</v>
      </c>
      <c r="T76" s="279"/>
      <c r="U76" s="280"/>
    </row>
    <row r="77" spans="2:21">
      <c r="B77" s="224" t="s">
        <v>658</v>
      </c>
      <c r="C77" s="225" t="s">
        <v>158</v>
      </c>
      <c r="D77" s="225" t="s">
        <v>158</v>
      </c>
      <c r="E77" s="225" t="s">
        <v>158</v>
      </c>
      <c r="F77" s="226">
        <v>1</v>
      </c>
      <c r="G77" s="226">
        <v>1</v>
      </c>
      <c r="H77" s="225" t="s">
        <v>158</v>
      </c>
      <c r="I77" s="225" t="s">
        <v>158</v>
      </c>
      <c r="J77" s="225" t="s">
        <v>158</v>
      </c>
      <c r="K77" s="227" t="s">
        <v>233</v>
      </c>
      <c r="L77" s="227" t="s">
        <v>233</v>
      </c>
      <c r="M77" s="227" t="s">
        <v>197</v>
      </c>
      <c r="N77" s="227" t="s">
        <v>197</v>
      </c>
      <c r="O77" s="227" t="s">
        <v>197</v>
      </c>
      <c r="P77" s="271" t="s">
        <v>199</v>
      </c>
      <c r="Q77" s="230" t="s">
        <v>33</v>
      </c>
      <c r="R77" s="183" t="s">
        <v>32</v>
      </c>
      <c r="S77" s="183" t="s">
        <v>32</v>
      </c>
      <c r="T77" s="272"/>
      <c r="U77" s="273"/>
    </row>
    <row r="78" spans="2:21">
      <c r="B78" s="224" t="s">
        <v>659</v>
      </c>
      <c r="C78" s="225" t="s">
        <v>158</v>
      </c>
      <c r="D78" s="225" t="s">
        <v>158</v>
      </c>
      <c r="E78" s="225" t="s">
        <v>158</v>
      </c>
      <c r="F78" s="226">
        <v>1</v>
      </c>
      <c r="G78" s="226">
        <v>1</v>
      </c>
      <c r="H78" s="225" t="s">
        <v>158</v>
      </c>
      <c r="I78" s="225" t="s">
        <v>158</v>
      </c>
      <c r="J78" s="225" t="s">
        <v>158</v>
      </c>
      <c r="K78" s="227" t="s">
        <v>197</v>
      </c>
      <c r="L78" s="227" t="s">
        <v>197</v>
      </c>
      <c r="M78" s="227" t="s">
        <v>197</v>
      </c>
      <c r="N78" s="227" t="s">
        <v>233</v>
      </c>
      <c r="O78" s="227" t="s">
        <v>201</v>
      </c>
      <c r="P78" s="271" t="s">
        <v>199</v>
      </c>
      <c r="Q78" s="230" t="s">
        <v>33</v>
      </c>
      <c r="R78" s="183" t="s">
        <v>32</v>
      </c>
      <c r="S78" s="183" t="s">
        <v>32</v>
      </c>
      <c r="T78" s="272"/>
      <c r="U78" s="273"/>
    </row>
    <row r="79" spans="2:21">
      <c r="B79" s="224" t="s">
        <v>660</v>
      </c>
      <c r="C79" s="225" t="s">
        <v>158</v>
      </c>
      <c r="D79" s="225" t="s">
        <v>158</v>
      </c>
      <c r="E79" s="225" t="s">
        <v>158</v>
      </c>
      <c r="F79" s="226">
        <v>1</v>
      </c>
      <c r="G79" s="226">
        <v>1</v>
      </c>
      <c r="H79" s="225" t="s">
        <v>158</v>
      </c>
      <c r="I79" s="225" t="s">
        <v>158</v>
      </c>
      <c r="J79" s="225" t="s">
        <v>158</v>
      </c>
      <c r="K79" s="227" t="s">
        <v>233</v>
      </c>
      <c r="L79" s="227" t="s">
        <v>233</v>
      </c>
      <c r="M79" s="227" t="s">
        <v>233</v>
      </c>
      <c r="N79" s="274" t="s">
        <v>201</v>
      </c>
      <c r="O79" s="227" t="s">
        <v>233</v>
      </c>
      <c r="P79" s="271" t="s">
        <v>199</v>
      </c>
      <c r="Q79" s="230" t="s">
        <v>315</v>
      </c>
      <c r="R79" s="226" t="s">
        <v>127</v>
      </c>
      <c r="S79" s="183" t="s">
        <v>324</v>
      </c>
      <c r="T79" s="272"/>
      <c r="U79" s="273"/>
    </row>
    <row r="80" spans="2:21">
      <c r="B80" s="224" t="s">
        <v>661</v>
      </c>
      <c r="C80" s="225" t="s">
        <v>158</v>
      </c>
      <c r="D80" s="225" t="s">
        <v>158</v>
      </c>
      <c r="E80" s="225" t="s">
        <v>158</v>
      </c>
      <c r="F80" s="226">
        <v>1</v>
      </c>
      <c r="G80" s="226">
        <v>1</v>
      </c>
      <c r="H80" s="225" t="s">
        <v>158</v>
      </c>
      <c r="I80" s="225" t="s">
        <v>158</v>
      </c>
      <c r="J80" s="225" t="s">
        <v>158</v>
      </c>
      <c r="K80" s="227" t="s">
        <v>233</v>
      </c>
      <c r="L80" s="227" t="s">
        <v>233</v>
      </c>
      <c r="M80" s="227" t="s">
        <v>233</v>
      </c>
      <c r="N80" s="274" t="s">
        <v>201</v>
      </c>
      <c r="O80" s="227" t="s">
        <v>201</v>
      </c>
      <c r="P80" s="271" t="s">
        <v>199</v>
      </c>
      <c r="Q80" s="230" t="s">
        <v>316</v>
      </c>
      <c r="R80" s="226" t="s">
        <v>127</v>
      </c>
      <c r="S80" s="183" t="s">
        <v>323</v>
      </c>
      <c r="T80" s="272"/>
      <c r="U80" s="273"/>
    </row>
    <row r="81" spans="2:21">
      <c r="B81" s="224" t="s">
        <v>662</v>
      </c>
      <c r="C81" s="225" t="s">
        <v>158</v>
      </c>
      <c r="D81" s="225" t="s">
        <v>158</v>
      </c>
      <c r="E81" s="225" t="s">
        <v>158</v>
      </c>
      <c r="F81" s="226">
        <v>1</v>
      </c>
      <c r="G81" s="226">
        <v>1</v>
      </c>
      <c r="H81" s="225" t="s">
        <v>158</v>
      </c>
      <c r="I81" s="225" t="s">
        <v>158</v>
      </c>
      <c r="J81" s="225" t="s">
        <v>158</v>
      </c>
      <c r="K81" s="227" t="s">
        <v>233</v>
      </c>
      <c r="L81" s="227" t="s">
        <v>233</v>
      </c>
      <c r="M81" s="275" t="s">
        <v>201</v>
      </c>
      <c r="N81" s="227" t="s">
        <v>233</v>
      </c>
      <c r="O81" s="227" t="s">
        <v>233</v>
      </c>
      <c r="P81" s="271" t="s">
        <v>199</v>
      </c>
      <c r="Q81" s="230" t="s">
        <v>238</v>
      </c>
      <c r="R81" s="226" t="s">
        <v>237</v>
      </c>
      <c r="S81" s="183" t="s">
        <v>324</v>
      </c>
      <c r="T81" s="272"/>
      <c r="U81" s="273"/>
    </row>
    <row r="82" spans="2:21">
      <c r="B82" s="224" t="s">
        <v>663</v>
      </c>
      <c r="C82" s="225" t="s">
        <v>158</v>
      </c>
      <c r="D82" s="225" t="s">
        <v>158</v>
      </c>
      <c r="E82" s="225" t="s">
        <v>158</v>
      </c>
      <c r="F82" s="226">
        <v>1</v>
      </c>
      <c r="G82" s="226">
        <v>1</v>
      </c>
      <c r="H82" s="225" t="s">
        <v>158</v>
      </c>
      <c r="I82" s="225" t="s">
        <v>158</v>
      </c>
      <c r="J82" s="225" t="s">
        <v>158</v>
      </c>
      <c r="K82" s="227" t="s">
        <v>233</v>
      </c>
      <c r="L82" s="227" t="s">
        <v>233</v>
      </c>
      <c r="M82" s="275" t="s">
        <v>201</v>
      </c>
      <c r="N82" s="227" t="s">
        <v>233</v>
      </c>
      <c r="O82" s="227" t="s">
        <v>201</v>
      </c>
      <c r="P82" s="271" t="s">
        <v>199</v>
      </c>
      <c r="Q82" s="230" t="s">
        <v>242</v>
      </c>
      <c r="R82" s="226" t="s">
        <v>237</v>
      </c>
      <c r="S82" s="183" t="s">
        <v>323</v>
      </c>
      <c r="T82" s="272"/>
      <c r="U82" s="273"/>
    </row>
    <row r="83" spans="2:21">
      <c r="B83" s="224" t="s">
        <v>664</v>
      </c>
      <c r="C83" s="225" t="s">
        <v>158</v>
      </c>
      <c r="D83" s="225" t="s">
        <v>158</v>
      </c>
      <c r="E83" s="225" t="s">
        <v>158</v>
      </c>
      <c r="F83" s="226">
        <v>1</v>
      </c>
      <c r="G83" s="226">
        <v>1</v>
      </c>
      <c r="H83" s="225" t="s">
        <v>158</v>
      </c>
      <c r="I83" s="225" t="s">
        <v>158</v>
      </c>
      <c r="J83" s="225" t="s">
        <v>158</v>
      </c>
      <c r="K83" s="227" t="s">
        <v>233</v>
      </c>
      <c r="L83" s="227" t="s">
        <v>233</v>
      </c>
      <c r="M83" s="275" t="s">
        <v>201</v>
      </c>
      <c r="N83" s="274" t="s">
        <v>201</v>
      </c>
      <c r="O83" s="227" t="s">
        <v>233</v>
      </c>
      <c r="P83" s="271" t="s">
        <v>199</v>
      </c>
      <c r="Q83" s="230" t="s">
        <v>238</v>
      </c>
      <c r="R83" s="226" t="s">
        <v>237</v>
      </c>
      <c r="S83" s="183" t="s">
        <v>324</v>
      </c>
      <c r="T83" s="272"/>
      <c r="U83" s="273"/>
    </row>
    <row r="84" spans="2:21">
      <c r="B84" s="224" t="s">
        <v>665</v>
      </c>
      <c r="C84" s="225" t="s">
        <v>158</v>
      </c>
      <c r="D84" s="225" t="s">
        <v>158</v>
      </c>
      <c r="E84" s="225" t="s">
        <v>158</v>
      </c>
      <c r="F84" s="226">
        <v>1</v>
      </c>
      <c r="G84" s="226">
        <v>1</v>
      </c>
      <c r="H84" s="225" t="s">
        <v>158</v>
      </c>
      <c r="I84" s="225" t="s">
        <v>158</v>
      </c>
      <c r="J84" s="225" t="s">
        <v>158</v>
      </c>
      <c r="K84" s="227" t="s">
        <v>233</v>
      </c>
      <c r="L84" s="227" t="s">
        <v>233</v>
      </c>
      <c r="M84" s="275" t="s">
        <v>201</v>
      </c>
      <c r="N84" s="274" t="s">
        <v>201</v>
      </c>
      <c r="O84" s="227" t="s">
        <v>201</v>
      </c>
      <c r="P84" s="271" t="s">
        <v>199</v>
      </c>
      <c r="Q84" s="230" t="s">
        <v>242</v>
      </c>
      <c r="R84" s="226" t="s">
        <v>237</v>
      </c>
      <c r="S84" s="183" t="s">
        <v>323</v>
      </c>
      <c r="T84" s="272"/>
      <c r="U84" s="273"/>
    </row>
    <row r="85" spans="2:21">
      <c r="B85" s="224" t="s">
        <v>666</v>
      </c>
      <c r="C85" s="225" t="s">
        <v>158</v>
      </c>
      <c r="D85" s="225" t="s">
        <v>158</v>
      </c>
      <c r="E85" s="225" t="s">
        <v>158</v>
      </c>
      <c r="F85" s="226">
        <v>1</v>
      </c>
      <c r="G85" s="226">
        <v>1</v>
      </c>
      <c r="H85" s="225" t="s">
        <v>158</v>
      </c>
      <c r="I85" s="225" t="s">
        <v>158</v>
      </c>
      <c r="J85" s="225" t="s">
        <v>158</v>
      </c>
      <c r="K85" s="227" t="s">
        <v>197</v>
      </c>
      <c r="L85" s="274" t="s">
        <v>201</v>
      </c>
      <c r="M85" s="227" t="s">
        <v>233</v>
      </c>
      <c r="N85" s="227" t="s">
        <v>233</v>
      </c>
      <c r="O85" s="227" t="s">
        <v>233</v>
      </c>
      <c r="P85" s="271" t="s">
        <v>199</v>
      </c>
      <c r="Q85" s="230" t="s">
        <v>315</v>
      </c>
      <c r="R85" s="226" t="s">
        <v>127</v>
      </c>
      <c r="S85" s="183" t="s">
        <v>324</v>
      </c>
      <c r="T85" s="272"/>
      <c r="U85" s="273"/>
    </row>
    <row r="86" spans="2:21">
      <c r="B86" s="224" t="s">
        <v>667</v>
      </c>
      <c r="C86" s="225" t="s">
        <v>158</v>
      </c>
      <c r="D86" s="225" t="s">
        <v>158</v>
      </c>
      <c r="E86" s="225" t="s">
        <v>158</v>
      </c>
      <c r="F86" s="226">
        <v>1</v>
      </c>
      <c r="G86" s="226">
        <v>1</v>
      </c>
      <c r="H86" s="225" t="s">
        <v>158</v>
      </c>
      <c r="I86" s="225" t="s">
        <v>158</v>
      </c>
      <c r="J86" s="225" t="s">
        <v>158</v>
      </c>
      <c r="K86" s="227" t="s">
        <v>197</v>
      </c>
      <c r="L86" s="274" t="s">
        <v>201</v>
      </c>
      <c r="M86" s="227" t="s">
        <v>233</v>
      </c>
      <c r="N86" s="227" t="s">
        <v>233</v>
      </c>
      <c r="O86" s="227" t="s">
        <v>201</v>
      </c>
      <c r="P86" s="271" t="s">
        <v>199</v>
      </c>
      <c r="Q86" s="230" t="s">
        <v>316</v>
      </c>
      <c r="R86" s="226" t="s">
        <v>127</v>
      </c>
      <c r="S86" s="183" t="s">
        <v>323</v>
      </c>
      <c r="T86" s="272"/>
      <c r="U86" s="273"/>
    </row>
    <row r="87" spans="2:21">
      <c r="B87" s="224" t="s">
        <v>668</v>
      </c>
      <c r="C87" s="225" t="s">
        <v>158</v>
      </c>
      <c r="D87" s="225" t="s">
        <v>158</v>
      </c>
      <c r="E87" s="225" t="s">
        <v>158</v>
      </c>
      <c r="F87" s="226">
        <v>1</v>
      </c>
      <c r="G87" s="226">
        <v>1</v>
      </c>
      <c r="H87" s="225" t="s">
        <v>158</v>
      </c>
      <c r="I87" s="225" t="s">
        <v>158</v>
      </c>
      <c r="J87" s="225" t="s">
        <v>158</v>
      </c>
      <c r="K87" s="227" t="s">
        <v>197</v>
      </c>
      <c r="L87" s="274" t="s">
        <v>201</v>
      </c>
      <c r="M87" s="227" t="s">
        <v>233</v>
      </c>
      <c r="N87" s="274" t="s">
        <v>201</v>
      </c>
      <c r="O87" s="227" t="s">
        <v>233</v>
      </c>
      <c r="P87" s="271" t="s">
        <v>199</v>
      </c>
      <c r="Q87" s="230" t="s">
        <v>315</v>
      </c>
      <c r="R87" s="226" t="s">
        <v>127</v>
      </c>
      <c r="S87" s="183" t="s">
        <v>324</v>
      </c>
      <c r="T87" s="272"/>
      <c r="U87" s="273"/>
    </row>
    <row r="88" spans="2:21">
      <c r="B88" s="224" t="s">
        <v>669</v>
      </c>
      <c r="C88" s="225" t="s">
        <v>158</v>
      </c>
      <c r="D88" s="225" t="s">
        <v>158</v>
      </c>
      <c r="E88" s="225" t="s">
        <v>158</v>
      </c>
      <c r="F88" s="226">
        <v>1</v>
      </c>
      <c r="G88" s="226">
        <v>1</v>
      </c>
      <c r="H88" s="225" t="s">
        <v>158</v>
      </c>
      <c r="I88" s="225" t="s">
        <v>158</v>
      </c>
      <c r="J88" s="225" t="s">
        <v>158</v>
      </c>
      <c r="K88" s="227" t="s">
        <v>197</v>
      </c>
      <c r="L88" s="274" t="s">
        <v>201</v>
      </c>
      <c r="M88" s="227" t="s">
        <v>233</v>
      </c>
      <c r="N88" s="274" t="s">
        <v>201</v>
      </c>
      <c r="O88" s="227" t="s">
        <v>201</v>
      </c>
      <c r="P88" s="271" t="s">
        <v>199</v>
      </c>
      <c r="Q88" s="230" t="s">
        <v>316</v>
      </c>
      <c r="R88" s="226" t="s">
        <v>127</v>
      </c>
      <c r="S88" s="183" t="s">
        <v>323</v>
      </c>
      <c r="T88" s="272"/>
      <c r="U88" s="273"/>
    </row>
    <row r="89" spans="2:21">
      <c r="B89" s="224" t="s">
        <v>670</v>
      </c>
      <c r="C89" s="225" t="s">
        <v>158</v>
      </c>
      <c r="D89" s="225" t="s">
        <v>158</v>
      </c>
      <c r="E89" s="225" t="s">
        <v>158</v>
      </c>
      <c r="F89" s="226">
        <v>1</v>
      </c>
      <c r="G89" s="226">
        <v>1</v>
      </c>
      <c r="H89" s="225" t="s">
        <v>158</v>
      </c>
      <c r="I89" s="225" t="s">
        <v>158</v>
      </c>
      <c r="J89" s="225" t="s">
        <v>158</v>
      </c>
      <c r="K89" s="227" t="s">
        <v>197</v>
      </c>
      <c r="L89" s="274" t="s">
        <v>201</v>
      </c>
      <c r="M89" s="275" t="s">
        <v>201</v>
      </c>
      <c r="N89" s="227" t="s">
        <v>233</v>
      </c>
      <c r="O89" s="227" t="s">
        <v>233</v>
      </c>
      <c r="P89" s="271" t="s">
        <v>199</v>
      </c>
      <c r="Q89" s="230" t="s">
        <v>238</v>
      </c>
      <c r="R89" s="226" t="s">
        <v>237</v>
      </c>
      <c r="S89" s="183" t="s">
        <v>324</v>
      </c>
      <c r="T89" s="272"/>
      <c r="U89" s="273"/>
    </row>
    <row r="90" spans="2:21">
      <c r="B90" s="224" t="s">
        <v>671</v>
      </c>
      <c r="C90" s="225" t="s">
        <v>158</v>
      </c>
      <c r="D90" s="225" t="s">
        <v>158</v>
      </c>
      <c r="E90" s="225" t="s">
        <v>158</v>
      </c>
      <c r="F90" s="226">
        <v>1</v>
      </c>
      <c r="G90" s="226">
        <v>1</v>
      </c>
      <c r="H90" s="225" t="s">
        <v>158</v>
      </c>
      <c r="I90" s="225" t="s">
        <v>158</v>
      </c>
      <c r="J90" s="225" t="s">
        <v>158</v>
      </c>
      <c r="K90" s="227" t="s">
        <v>197</v>
      </c>
      <c r="L90" s="274" t="s">
        <v>201</v>
      </c>
      <c r="M90" s="275" t="s">
        <v>201</v>
      </c>
      <c r="N90" s="227" t="s">
        <v>233</v>
      </c>
      <c r="O90" s="227" t="s">
        <v>201</v>
      </c>
      <c r="P90" s="271" t="s">
        <v>199</v>
      </c>
      <c r="Q90" s="230" t="s">
        <v>242</v>
      </c>
      <c r="R90" s="226" t="s">
        <v>237</v>
      </c>
      <c r="S90" s="183" t="s">
        <v>323</v>
      </c>
      <c r="T90" s="272"/>
      <c r="U90" s="273"/>
    </row>
    <row r="91" spans="2:21">
      <c r="B91" s="224" t="s">
        <v>672</v>
      </c>
      <c r="C91" s="225" t="s">
        <v>158</v>
      </c>
      <c r="D91" s="225" t="s">
        <v>158</v>
      </c>
      <c r="E91" s="225" t="s">
        <v>158</v>
      </c>
      <c r="F91" s="226">
        <v>1</v>
      </c>
      <c r="G91" s="226">
        <v>1</v>
      </c>
      <c r="H91" s="225" t="s">
        <v>158</v>
      </c>
      <c r="I91" s="225" t="s">
        <v>158</v>
      </c>
      <c r="J91" s="225" t="s">
        <v>158</v>
      </c>
      <c r="K91" s="227" t="s">
        <v>197</v>
      </c>
      <c r="L91" s="274" t="s">
        <v>201</v>
      </c>
      <c r="M91" s="275" t="s">
        <v>201</v>
      </c>
      <c r="N91" s="274" t="s">
        <v>201</v>
      </c>
      <c r="O91" s="227" t="s">
        <v>233</v>
      </c>
      <c r="P91" s="271" t="s">
        <v>199</v>
      </c>
      <c r="Q91" s="230" t="s">
        <v>238</v>
      </c>
      <c r="R91" s="226" t="s">
        <v>237</v>
      </c>
      <c r="S91" s="183" t="s">
        <v>324</v>
      </c>
      <c r="T91" s="272"/>
      <c r="U91" s="273"/>
    </row>
    <row r="92" spans="2:21">
      <c r="B92" s="224" t="s">
        <v>673</v>
      </c>
      <c r="C92" s="225" t="s">
        <v>158</v>
      </c>
      <c r="D92" s="225" t="s">
        <v>158</v>
      </c>
      <c r="E92" s="225" t="s">
        <v>158</v>
      </c>
      <c r="F92" s="226">
        <v>1</v>
      </c>
      <c r="G92" s="226">
        <v>1</v>
      </c>
      <c r="H92" s="225" t="s">
        <v>158</v>
      </c>
      <c r="I92" s="225" t="s">
        <v>158</v>
      </c>
      <c r="J92" s="225" t="s">
        <v>158</v>
      </c>
      <c r="K92" s="227" t="s">
        <v>197</v>
      </c>
      <c r="L92" s="274" t="s">
        <v>201</v>
      </c>
      <c r="M92" s="275" t="s">
        <v>201</v>
      </c>
      <c r="N92" s="274" t="s">
        <v>201</v>
      </c>
      <c r="O92" s="227" t="s">
        <v>201</v>
      </c>
      <c r="P92" s="271" t="s">
        <v>199</v>
      </c>
      <c r="Q92" s="230" t="s">
        <v>242</v>
      </c>
      <c r="R92" s="226" t="s">
        <v>237</v>
      </c>
      <c r="S92" s="183" t="s">
        <v>323</v>
      </c>
      <c r="T92" s="272"/>
      <c r="U92" s="273"/>
    </row>
    <row r="93" spans="2:21">
      <c r="B93" s="224" t="s">
        <v>674</v>
      </c>
      <c r="C93" s="225" t="s">
        <v>158</v>
      </c>
      <c r="D93" s="225" t="s">
        <v>158</v>
      </c>
      <c r="E93" s="225" t="s">
        <v>158</v>
      </c>
      <c r="F93" s="226">
        <v>1</v>
      </c>
      <c r="G93" s="226">
        <v>1</v>
      </c>
      <c r="H93" s="225" t="s">
        <v>158</v>
      </c>
      <c r="I93" s="225" t="s">
        <v>158</v>
      </c>
      <c r="J93" s="225" t="s">
        <v>158</v>
      </c>
      <c r="K93" s="274" t="s">
        <v>201</v>
      </c>
      <c r="L93" s="227" t="s">
        <v>233</v>
      </c>
      <c r="M93" s="227" t="s">
        <v>197</v>
      </c>
      <c r="N93" s="227" t="s">
        <v>197</v>
      </c>
      <c r="O93" s="227" t="s">
        <v>197</v>
      </c>
      <c r="P93" s="271" t="s">
        <v>199</v>
      </c>
      <c r="Q93" s="230" t="s">
        <v>206</v>
      </c>
      <c r="R93" s="183" t="s">
        <v>32</v>
      </c>
      <c r="S93" s="183" t="s">
        <v>324</v>
      </c>
      <c r="T93" s="272"/>
      <c r="U93" s="273"/>
    </row>
    <row r="94" spans="2:21">
      <c r="B94" s="224" t="s">
        <v>675</v>
      </c>
      <c r="C94" s="225" t="s">
        <v>158</v>
      </c>
      <c r="D94" s="225" t="s">
        <v>158</v>
      </c>
      <c r="E94" s="225" t="s">
        <v>158</v>
      </c>
      <c r="F94" s="226">
        <v>1</v>
      </c>
      <c r="G94" s="226">
        <v>1</v>
      </c>
      <c r="H94" s="225" t="s">
        <v>158</v>
      </c>
      <c r="I94" s="225" t="s">
        <v>158</v>
      </c>
      <c r="J94" s="225" t="s">
        <v>158</v>
      </c>
      <c r="K94" s="274" t="s">
        <v>201</v>
      </c>
      <c r="L94" s="227" t="s">
        <v>197</v>
      </c>
      <c r="M94" s="227" t="s">
        <v>197</v>
      </c>
      <c r="N94" s="227" t="s">
        <v>233</v>
      </c>
      <c r="O94" s="227" t="s">
        <v>201</v>
      </c>
      <c r="P94" s="271" t="s">
        <v>199</v>
      </c>
      <c r="Q94" s="230" t="s">
        <v>205</v>
      </c>
      <c r="R94" s="183" t="s">
        <v>32</v>
      </c>
      <c r="S94" s="183" t="s">
        <v>323</v>
      </c>
      <c r="T94" s="272"/>
      <c r="U94" s="273"/>
    </row>
    <row r="95" spans="2:21">
      <c r="B95" s="224" t="s">
        <v>676</v>
      </c>
      <c r="C95" s="225" t="s">
        <v>158</v>
      </c>
      <c r="D95" s="225" t="s">
        <v>158</v>
      </c>
      <c r="E95" s="225" t="s">
        <v>158</v>
      </c>
      <c r="F95" s="226">
        <v>1</v>
      </c>
      <c r="G95" s="226">
        <v>1</v>
      </c>
      <c r="H95" s="225" t="s">
        <v>158</v>
      </c>
      <c r="I95" s="225" t="s">
        <v>158</v>
      </c>
      <c r="J95" s="225" t="s">
        <v>158</v>
      </c>
      <c r="K95" s="274" t="s">
        <v>201</v>
      </c>
      <c r="L95" s="227" t="s">
        <v>233</v>
      </c>
      <c r="M95" s="227" t="s">
        <v>233</v>
      </c>
      <c r="N95" s="274" t="s">
        <v>201</v>
      </c>
      <c r="O95" s="227" t="s">
        <v>233</v>
      </c>
      <c r="P95" s="271" t="s">
        <v>199</v>
      </c>
      <c r="Q95" s="230" t="s">
        <v>206</v>
      </c>
      <c r="R95" s="226" t="s">
        <v>32</v>
      </c>
      <c r="S95" s="183" t="s">
        <v>324</v>
      </c>
      <c r="T95" s="272"/>
      <c r="U95" s="273"/>
    </row>
    <row r="96" spans="2:21">
      <c r="B96" s="224" t="s">
        <v>677</v>
      </c>
      <c r="C96" s="225" t="s">
        <v>158</v>
      </c>
      <c r="D96" s="225" t="s">
        <v>158</v>
      </c>
      <c r="E96" s="225" t="s">
        <v>158</v>
      </c>
      <c r="F96" s="226">
        <v>1</v>
      </c>
      <c r="G96" s="226">
        <v>1</v>
      </c>
      <c r="H96" s="225" t="s">
        <v>158</v>
      </c>
      <c r="I96" s="225" t="s">
        <v>158</v>
      </c>
      <c r="J96" s="225" t="s">
        <v>158</v>
      </c>
      <c r="K96" s="274" t="s">
        <v>201</v>
      </c>
      <c r="L96" s="227" t="s">
        <v>233</v>
      </c>
      <c r="M96" s="227" t="s">
        <v>233</v>
      </c>
      <c r="N96" s="274" t="s">
        <v>201</v>
      </c>
      <c r="O96" s="227" t="s">
        <v>201</v>
      </c>
      <c r="P96" s="271" t="s">
        <v>199</v>
      </c>
      <c r="Q96" s="230" t="s">
        <v>205</v>
      </c>
      <c r="R96" s="226" t="s">
        <v>32</v>
      </c>
      <c r="S96" s="183" t="s">
        <v>323</v>
      </c>
      <c r="T96" s="272"/>
      <c r="U96" s="273"/>
    </row>
    <row r="97" spans="2:21">
      <c r="B97" s="224" t="s">
        <v>678</v>
      </c>
      <c r="C97" s="225" t="s">
        <v>158</v>
      </c>
      <c r="D97" s="225" t="s">
        <v>158</v>
      </c>
      <c r="E97" s="225" t="s">
        <v>158</v>
      </c>
      <c r="F97" s="226">
        <v>1</v>
      </c>
      <c r="G97" s="226">
        <v>1</v>
      </c>
      <c r="H97" s="225" t="s">
        <v>158</v>
      </c>
      <c r="I97" s="225" t="s">
        <v>158</v>
      </c>
      <c r="J97" s="225" t="s">
        <v>158</v>
      </c>
      <c r="K97" s="274" t="s">
        <v>201</v>
      </c>
      <c r="L97" s="227" t="s">
        <v>233</v>
      </c>
      <c r="M97" s="275" t="s">
        <v>201</v>
      </c>
      <c r="N97" s="227" t="s">
        <v>233</v>
      </c>
      <c r="O97" s="227" t="s">
        <v>233</v>
      </c>
      <c r="P97" s="271" t="s">
        <v>199</v>
      </c>
      <c r="Q97" s="230" t="s">
        <v>251</v>
      </c>
      <c r="R97" s="226" t="s">
        <v>237</v>
      </c>
      <c r="S97" s="183" t="s">
        <v>324</v>
      </c>
      <c r="T97" s="272"/>
      <c r="U97" s="273"/>
    </row>
    <row r="98" spans="2:21">
      <c r="B98" s="224" t="s">
        <v>679</v>
      </c>
      <c r="C98" s="225" t="s">
        <v>158</v>
      </c>
      <c r="D98" s="225" t="s">
        <v>158</v>
      </c>
      <c r="E98" s="225" t="s">
        <v>158</v>
      </c>
      <c r="F98" s="226">
        <v>1</v>
      </c>
      <c r="G98" s="226">
        <v>1</v>
      </c>
      <c r="H98" s="225" t="s">
        <v>158</v>
      </c>
      <c r="I98" s="225" t="s">
        <v>158</v>
      </c>
      <c r="J98" s="225" t="s">
        <v>158</v>
      </c>
      <c r="K98" s="274" t="s">
        <v>201</v>
      </c>
      <c r="L98" s="227" t="s">
        <v>233</v>
      </c>
      <c r="M98" s="275" t="s">
        <v>201</v>
      </c>
      <c r="N98" s="227" t="s">
        <v>233</v>
      </c>
      <c r="O98" s="227" t="s">
        <v>201</v>
      </c>
      <c r="P98" s="271" t="s">
        <v>199</v>
      </c>
      <c r="Q98" s="230" t="s">
        <v>250</v>
      </c>
      <c r="R98" s="226" t="s">
        <v>237</v>
      </c>
      <c r="S98" s="183" t="s">
        <v>323</v>
      </c>
      <c r="T98" s="272"/>
      <c r="U98" s="273"/>
    </row>
    <row r="99" spans="2:21">
      <c r="B99" s="224" t="s">
        <v>680</v>
      </c>
      <c r="C99" s="225" t="s">
        <v>158</v>
      </c>
      <c r="D99" s="225" t="s">
        <v>158</v>
      </c>
      <c r="E99" s="225" t="s">
        <v>158</v>
      </c>
      <c r="F99" s="226">
        <v>1</v>
      </c>
      <c r="G99" s="226">
        <v>1</v>
      </c>
      <c r="H99" s="225" t="s">
        <v>158</v>
      </c>
      <c r="I99" s="225" t="s">
        <v>158</v>
      </c>
      <c r="J99" s="225" t="s">
        <v>158</v>
      </c>
      <c r="K99" s="274" t="s">
        <v>201</v>
      </c>
      <c r="L99" s="227" t="s">
        <v>233</v>
      </c>
      <c r="M99" s="275" t="s">
        <v>201</v>
      </c>
      <c r="N99" s="274" t="s">
        <v>201</v>
      </c>
      <c r="O99" s="227" t="s">
        <v>233</v>
      </c>
      <c r="P99" s="271" t="s">
        <v>199</v>
      </c>
      <c r="Q99" s="230" t="s">
        <v>251</v>
      </c>
      <c r="R99" s="226" t="s">
        <v>237</v>
      </c>
      <c r="S99" s="183" t="s">
        <v>324</v>
      </c>
      <c r="T99" s="272"/>
      <c r="U99" s="273"/>
    </row>
    <row r="100" spans="2:21">
      <c r="B100" s="224" t="s">
        <v>681</v>
      </c>
      <c r="C100" s="225" t="s">
        <v>158</v>
      </c>
      <c r="D100" s="225" t="s">
        <v>158</v>
      </c>
      <c r="E100" s="225" t="s">
        <v>158</v>
      </c>
      <c r="F100" s="226">
        <v>1</v>
      </c>
      <c r="G100" s="226">
        <v>1</v>
      </c>
      <c r="H100" s="225" t="s">
        <v>158</v>
      </c>
      <c r="I100" s="225" t="s">
        <v>158</v>
      </c>
      <c r="J100" s="225" t="s">
        <v>158</v>
      </c>
      <c r="K100" s="274" t="s">
        <v>201</v>
      </c>
      <c r="L100" s="227" t="s">
        <v>233</v>
      </c>
      <c r="M100" s="275" t="s">
        <v>201</v>
      </c>
      <c r="N100" s="274" t="s">
        <v>201</v>
      </c>
      <c r="O100" s="227" t="s">
        <v>201</v>
      </c>
      <c r="P100" s="271" t="s">
        <v>199</v>
      </c>
      <c r="Q100" s="230" t="s">
        <v>250</v>
      </c>
      <c r="R100" s="226" t="s">
        <v>237</v>
      </c>
      <c r="S100" s="183" t="s">
        <v>323</v>
      </c>
      <c r="T100" s="272"/>
      <c r="U100" s="273"/>
    </row>
    <row r="101" spans="2:21">
      <c r="B101" s="224" t="s">
        <v>682</v>
      </c>
      <c r="C101" s="225" t="s">
        <v>158</v>
      </c>
      <c r="D101" s="225" t="s">
        <v>158</v>
      </c>
      <c r="E101" s="225" t="s">
        <v>158</v>
      </c>
      <c r="F101" s="226">
        <v>1</v>
      </c>
      <c r="G101" s="226">
        <v>1</v>
      </c>
      <c r="H101" s="225" t="s">
        <v>158</v>
      </c>
      <c r="I101" s="225" t="s">
        <v>158</v>
      </c>
      <c r="J101" s="225" t="s">
        <v>158</v>
      </c>
      <c r="K101" s="274" t="s">
        <v>201</v>
      </c>
      <c r="L101" s="274" t="s">
        <v>201</v>
      </c>
      <c r="M101" s="227" t="s">
        <v>233</v>
      </c>
      <c r="N101" s="227" t="s">
        <v>233</v>
      </c>
      <c r="O101" s="227" t="s">
        <v>233</v>
      </c>
      <c r="P101" s="271" t="s">
        <v>199</v>
      </c>
      <c r="Q101" s="230" t="s">
        <v>315</v>
      </c>
      <c r="R101" s="226" t="s">
        <v>127</v>
      </c>
      <c r="S101" s="183" t="s">
        <v>324</v>
      </c>
      <c r="T101" s="272"/>
      <c r="U101" s="273"/>
    </row>
    <row r="102" spans="2:21">
      <c r="B102" s="224" t="s">
        <v>683</v>
      </c>
      <c r="C102" s="225" t="s">
        <v>158</v>
      </c>
      <c r="D102" s="225" t="s">
        <v>158</v>
      </c>
      <c r="E102" s="225" t="s">
        <v>158</v>
      </c>
      <c r="F102" s="226">
        <v>1</v>
      </c>
      <c r="G102" s="226">
        <v>1</v>
      </c>
      <c r="H102" s="225" t="s">
        <v>158</v>
      </c>
      <c r="I102" s="225" t="s">
        <v>158</v>
      </c>
      <c r="J102" s="225" t="s">
        <v>158</v>
      </c>
      <c r="K102" s="274" t="s">
        <v>201</v>
      </c>
      <c r="L102" s="274" t="s">
        <v>201</v>
      </c>
      <c r="M102" s="227" t="s">
        <v>233</v>
      </c>
      <c r="N102" s="227" t="s">
        <v>233</v>
      </c>
      <c r="O102" s="227" t="s">
        <v>201</v>
      </c>
      <c r="P102" s="271" t="s">
        <v>199</v>
      </c>
      <c r="Q102" s="230" t="s">
        <v>316</v>
      </c>
      <c r="R102" s="226" t="s">
        <v>127</v>
      </c>
      <c r="S102" s="183" t="s">
        <v>323</v>
      </c>
      <c r="T102" s="272"/>
      <c r="U102" s="273"/>
    </row>
    <row r="103" spans="2:21">
      <c r="B103" s="224" t="s">
        <v>684</v>
      </c>
      <c r="C103" s="225" t="s">
        <v>158</v>
      </c>
      <c r="D103" s="225" t="s">
        <v>158</v>
      </c>
      <c r="E103" s="225" t="s">
        <v>158</v>
      </c>
      <c r="F103" s="226">
        <v>1</v>
      </c>
      <c r="G103" s="226">
        <v>1</v>
      </c>
      <c r="H103" s="225" t="s">
        <v>158</v>
      </c>
      <c r="I103" s="225" t="s">
        <v>158</v>
      </c>
      <c r="J103" s="225" t="s">
        <v>158</v>
      </c>
      <c r="K103" s="274" t="s">
        <v>201</v>
      </c>
      <c r="L103" s="274" t="s">
        <v>201</v>
      </c>
      <c r="M103" s="227" t="s">
        <v>233</v>
      </c>
      <c r="N103" s="274" t="s">
        <v>201</v>
      </c>
      <c r="O103" s="227" t="s">
        <v>233</v>
      </c>
      <c r="P103" s="271" t="s">
        <v>199</v>
      </c>
      <c r="Q103" s="230" t="s">
        <v>315</v>
      </c>
      <c r="R103" s="226" t="s">
        <v>127</v>
      </c>
      <c r="S103" s="183" t="s">
        <v>324</v>
      </c>
      <c r="T103" s="272"/>
      <c r="U103" s="273"/>
    </row>
    <row r="104" spans="2:21">
      <c r="B104" s="224" t="s">
        <v>685</v>
      </c>
      <c r="C104" s="225" t="s">
        <v>158</v>
      </c>
      <c r="D104" s="225" t="s">
        <v>158</v>
      </c>
      <c r="E104" s="225" t="s">
        <v>158</v>
      </c>
      <c r="F104" s="226">
        <v>1</v>
      </c>
      <c r="G104" s="226">
        <v>1</v>
      </c>
      <c r="H104" s="225" t="s">
        <v>158</v>
      </c>
      <c r="I104" s="225" t="s">
        <v>158</v>
      </c>
      <c r="J104" s="225" t="s">
        <v>158</v>
      </c>
      <c r="K104" s="274" t="s">
        <v>201</v>
      </c>
      <c r="L104" s="274" t="s">
        <v>201</v>
      </c>
      <c r="M104" s="227" t="s">
        <v>233</v>
      </c>
      <c r="N104" s="274" t="s">
        <v>201</v>
      </c>
      <c r="O104" s="227" t="s">
        <v>201</v>
      </c>
      <c r="P104" s="271" t="s">
        <v>199</v>
      </c>
      <c r="Q104" s="230" t="s">
        <v>316</v>
      </c>
      <c r="R104" s="226" t="s">
        <v>127</v>
      </c>
      <c r="S104" s="183" t="s">
        <v>323</v>
      </c>
      <c r="T104" s="272"/>
      <c r="U104" s="273"/>
    </row>
    <row r="105" spans="2:21">
      <c r="B105" s="224" t="s">
        <v>686</v>
      </c>
      <c r="C105" s="225" t="s">
        <v>158</v>
      </c>
      <c r="D105" s="225" t="s">
        <v>158</v>
      </c>
      <c r="E105" s="225" t="s">
        <v>158</v>
      </c>
      <c r="F105" s="226">
        <v>1</v>
      </c>
      <c r="G105" s="226">
        <v>1</v>
      </c>
      <c r="H105" s="225" t="s">
        <v>158</v>
      </c>
      <c r="I105" s="225" t="s">
        <v>158</v>
      </c>
      <c r="J105" s="225" t="s">
        <v>158</v>
      </c>
      <c r="K105" s="274" t="s">
        <v>201</v>
      </c>
      <c r="L105" s="274" t="s">
        <v>201</v>
      </c>
      <c r="M105" s="275" t="s">
        <v>201</v>
      </c>
      <c r="N105" s="227" t="s">
        <v>233</v>
      </c>
      <c r="O105" s="227" t="s">
        <v>233</v>
      </c>
      <c r="P105" s="271" t="s">
        <v>199</v>
      </c>
      <c r="Q105" s="230" t="s">
        <v>238</v>
      </c>
      <c r="R105" s="226" t="s">
        <v>237</v>
      </c>
      <c r="S105" s="183" t="s">
        <v>324</v>
      </c>
      <c r="T105" s="272"/>
      <c r="U105" s="273"/>
    </row>
    <row r="106" spans="2:21">
      <c r="B106" s="224" t="s">
        <v>687</v>
      </c>
      <c r="C106" s="225" t="s">
        <v>158</v>
      </c>
      <c r="D106" s="225" t="s">
        <v>158</v>
      </c>
      <c r="E106" s="225" t="s">
        <v>158</v>
      </c>
      <c r="F106" s="226">
        <v>1</v>
      </c>
      <c r="G106" s="226">
        <v>1</v>
      </c>
      <c r="H106" s="225" t="s">
        <v>158</v>
      </c>
      <c r="I106" s="225" t="s">
        <v>158</v>
      </c>
      <c r="J106" s="225" t="s">
        <v>158</v>
      </c>
      <c r="K106" s="274" t="s">
        <v>201</v>
      </c>
      <c r="L106" s="274" t="s">
        <v>201</v>
      </c>
      <c r="M106" s="275" t="s">
        <v>201</v>
      </c>
      <c r="N106" s="227" t="s">
        <v>233</v>
      </c>
      <c r="O106" s="227" t="s">
        <v>201</v>
      </c>
      <c r="P106" s="271" t="s">
        <v>199</v>
      </c>
      <c r="Q106" s="230" t="s">
        <v>242</v>
      </c>
      <c r="R106" s="226" t="s">
        <v>237</v>
      </c>
      <c r="S106" s="183" t="s">
        <v>323</v>
      </c>
      <c r="T106" s="272"/>
      <c r="U106" s="273"/>
    </row>
    <row r="107" spans="2:21">
      <c r="B107" s="224" t="s">
        <v>688</v>
      </c>
      <c r="C107" s="225" t="s">
        <v>158</v>
      </c>
      <c r="D107" s="225" t="s">
        <v>158</v>
      </c>
      <c r="E107" s="225" t="s">
        <v>158</v>
      </c>
      <c r="F107" s="226">
        <v>1</v>
      </c>
      <c r="G107" s="226">
        <v>1</v>
      </c>
      <c r="H107" s="225" t="s">
        <v>158</v>
      </c>
      <c r="I107" s="225" t="s">
        <v>158</v>
      </c>
      <c r="J107" s="225" t="s">
        <v>158</v>
      </c>
      <c r="K107" s="274" t="s">
        <v>201</v>
      </c>
      <c r="L107" s="274" t="s">
        <v>201</v>
      </c>
      <c r="M107" s="275" t="s">
        <v>201</v>
      </c>
      <c r="N107" s="274" t="s">
        <v>201</v>
      </c>
      <c r="O107" s="227" t="s">
        <v>233</v>
      </c>
      <c r="P107" s="271" t="s">
        <v>199</v>
      </c>
      <c r="Q107" s="230" t="s">
        <v>238</v>
      </c>
      <c r="R107" s="226" t="s">
        <v>237</v>
      </c>
      <c r="S107" s="183" t="s">
        <v>324</v>
      </c>
      <c r="T107" s="272"/>
      <c r="U107" s="273"/>
    </row>
    <row r="108" spans="2:21" ht="14.25" thickBot="1">
      <c r="B108" s="231" t="s">
        <v>689</v>
      </c>
      <c r="C108" s="232" t="s">
        <v>158</v>
      </c>
      <c r="D108" s="232" t="s">
        <v>158</v>
      </c>
      <c r="E108" s="232" t="s">
        <v>158</v>
      </c>
      <c r="F108" s="233">
        <v>1</v>
      </c>
      <c r="G108" s="233">
        <v>1</v>
      </c>
      <c r="H108" s="232" t="s">
        <v>158</v>
      </c>
      <c r="I108" s="232" t="s">
        <v>158</v>
      </c>
      <c r="J108" s="232" t="s">
        <v>158</v>
      </c>
      <c r="K108" s="285" t="s">
        <v>201</v>
      </c>
      <c r="L108" s="285" t="s">
        <v>201</v>
      </c>
      <c r="M108" s="286" t="s">
        <v>201</v>
      </c>
      <c r="N108" s="285" t="s">
        <v>201</v>
      </c>
      <c r="O108" s="234" t="s">
        <v>201</v>
      </c>
      <c r="P108" s="287" t="s">
        <v>199</v>
      </c>
      <c r="Q108" s="236" t="s">
        <v>242</v>
      </c>
      <c r="R108" s="233" t="s">
        <v>237</v>
      </c>
      <c r="S108" s="237" t="s">
        <v>323</v>
      </c>
      <c r="T108" s="288"/>
      <c r="U108" s="289"/>
    </row>
  </sheetData>
  <mergeCells count="3">
    <mergeCell ref="C5:J5"/>
    <mergeCell ref="C7:J7"/>
    <mergeCell ref="C9:J9"/>
  </mergeCells>
  <phoneticPr fontId="2"/>
  <dataValidations disablePrompts="1" count="1">
    <dataValidation type="list" allowBlank="1" showInputMessage="1" showErrorMessage="1" sqref="C5"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282"/>
  <sheetViews>
    <sheetView zoomScale="85" zoomScaleNormal="85" workbookViewId="0"/>
  </sheetViews>
  <sheetFormatPr defaultColWidth="9" defaultRowHeight="13.5"/>
  <cols>
    <col min="1" max="1" width="9" style="148"/>
    <col min="2" max="2" width="90.75" style="148" bestFit="1" customWidth="1"/>
    <col min="3" max="10" width="3.375" style="148" customWidth="1"/>
    <col min="11" max="15" width="25.75" style="148" customWidth="1"/>
    <col min="16" max="16384" width="9" style="148"/>
  </cols>
  <sheetData>
    <row r="2" spans="2:13" ht="15" thickBot="1">
      <c r="B2" s="193" t="s">
        <v>329</v>
      </c>
      <c r="C2" s="194"/>
      <c r="D2" s="194"/>
      <c r="E2" s="194"/>
      <c r="F2" s="194"/>
      <c r="G2" s="194"/>
      <c r="H2" s="194"/>
      <c r="I2" s="194"/>
      <c r="J2" s="194"/>
      <c r="K2" s="194"/>
      <c r="L2" s="194"/>
      <c r="M2" s="194"/>
    </row>
    <row r="3" spans="2:13" ht="15" thickBot="1">
      <c r="B3" s="195" t="s">
        <v>124</v>
      </c>
      <c r="C3" s="352" t="s">
        <v>255</v>
      </c>
      <c r="D3" s="353"/>
      <c r="E3" s="353"/>
      <c r="F3" s="353"/>
      <c r="G3" s="353"/>
      <c r="H3" s="353"/>
      <c r="I3" s="353"/>
      <c r="J3" s="354"/>
      <c r="K3" s="196"/>
      <c r="L3" s="196"/>
      <c r="M3" s="197"/>
    </row>
    <row r="4" spans="2:13">
      <c r="B4" s="198"/>
      <c r="C4" s="199" t="s">
        <v>256</v>
      </c>
      <c r="D4" s="199"/>
      <c r="E4" s="199"/>
      <c r="F4" s="199"/>
      <c r="G4" s="199"/>
      <c r="H4" s="199"/>
      <c r="I4" s="199"/>
      <c r="J4" s="199"/>
      <c r="K4" s="199"/>
      <c r="L4" s="199"/>
      <c r="M4" s="200" t="s">
        <v>257</v>
      </c>
    </row>
    <row r="5" spans="2:13">
      <c r="B5" s="201" t="s">
        <v>22</v>
      </c>
      <c r="C5" s="348" t="s">
        <v>258</v>
      </c>
      <c r="D5" s="349"/>
      <c r="E5" s="349"/>
      <c r="F5" s="349"/>
      <c r="G5" s="349"/>
      <c r="H5" s="349"/>
      <c r="I5" s="349"/>
      <c r="J5" s="350"/>
      <c r="K5" s="202" t="s">
        <v>23</v>
      </c>
      <c r="L5" s="203"/>
      <c r="M5" s="180" t="s">
        <v>259</v>
      </c>
    </row>
    <row r="6" spans="2:13">
      <c r="B6" s="201" t="s">
        <v>34</v>
      </c>
      <c r="C6" s="204" t="s">
        <v>260</v>
      </c>
      <c r="D6" s="204" t="s">
        <v>127</v>
      </c>
      <c r="E6" s="204" t="s">
        <v>127</v>
      </c>
      <c r="F6" s="204" t="s">
        <v>261</v>
      </c>
      <c r="G6" s="204" t="s">
        <v>127</v>
      </c>
      <c r="H6" s="204" t="s">
        <v>127</v>
      </c>
      <c r="I6" s="204" t="s">
        <v>262</v>
      </c>
      <c r="J6" s="204" t="s">
        <v>255</v>
      </c>
      <c r="K6" s="205" t="s">
        <v>195</v>
      </c>
      <c r="L6" s="206" t="s">
        <v>195</v>
      </c>
      <c r="M6" s="180" t="s">
        <v>127</v>
      </c>
    </row>
    <row r="7" spans="2:13" ht="27">
      <c r="B7" s="207" t="s">
        <v>28</v>
      </c>
      <c r="C7" s="351" t="s">
        <v>263</v>
      </c>
      <c r="D7" s="349"/>
      <c r="E7" s="349"/>
      <c r="F7" s="349"/>
      <c r="G7" s="349"/>
      <c r="H7" s="349"/>
      <c r="I7" s="349"/>
      <c r="J7" s="350"/>
      <c r="K7" s="208" t="s">
        <v>214</v>
      </c>
      <c r="L7" s="202" t="s">
        <v>214</v>
      </c>
      <c r="M7" s="209"/>
    </row>
    <row r="8" spans="2:13" ht="88.15" customHeight="1">
      <c r="B8" s="201" t="s">
        <v>29</v>
      </c>
      <c r="C8" s="210" t="s">
        <v>264</v>
      </c>
      <c r="D8" s="210" t="s">
        <v>63</v>
      </c>
      <c r="E8" s="210" t="s">
        <v>265</v>
      </c>
      <c r="F8" s="210" t="s">
        <v>266</v>
      </c>
      <c r="G8" s="210" t="s">
        <v>219</v>
      </c>
      <c r="H8" s="210" t="s">
        <v>267</v>
      </c>
      <c r="I8" s="210" t="s">
        <v>268</v>
      </c>
      <c r="J8" s="210" t="s">
        <v>221</v>
      </c>
      <c r="K8" s="208" t="s">
        <v>222</v>
      </c>
      <c r="L8" s="211" t="s">
        <v>322</v>
      </c>
      <c r="M8" s="180" t="s">
        <v>330</v>
      </c>
    </row>
    <row r="9" spans="2:13" ht="55.15" customHeight="1" thickBot="1">
      <c r="B9" s="212" t="s">
        <v>31</v>
      </c>
      <c r="C9" s="213" t="s">
        <v>269</v>
      </c>
      <c r="D9" s="213" t="s">
        <v>270</v>
      </c>
      <c r="E9" s="213" t="s">
        <v>271</v>
      </c>
      <c r="F9" s="213" t="s">
        <v>200</v>
      </c>
      <c r="G9" s="213" t="s">
        <v>200</v>
      </c>
      <c r="H9" s="213" t="s">
        <v>200</v>
      </c>
      <c r="I9" s="214" t="s">
        <v>272</v>
      </c>
      <c r="J9" s="213" t="s">
        <v>269</v>
      </c>
      <c r="K9" s="215" t="s">
        <v>227</v>
      </c>
      <c r="L9" s="216" t="s">
        <v>228</v>
      </c>
      <c r="M9" s="217" t="s">
        <v>294</v>
      </c>
    </row>
    <row r="10" spans="2:13" ht="14.25" thickTop="1">
      <c r="B10" s="218" t="s">
        <v>363</v>
      </c>
      <c r="C10" s="219" t="s">
        <v>273</v>
      </c>
      <c r="D10" s="219" t="s">
        <v>273</v>
      </c>
      <c r="E10" s="219" t="s">
        <v>273</v>
      </c>
      <c r="F10" s="220">
        <v>0</v>
      </c>
      <c r="G10" s="220">
        <v>0</v>
      </c>
      <c r="H10" s="219" t="s">
        <v>273</v>
      </c>
      <c r="I10" s="219" t="s">
        <v>273</v>
      </c>
      <c r="J10" s="219" t="s">
        <v>273</v>
      </c>
      <c r="K10" s="221" t="s">
        <v>362</v>
      </c>
      <c r="L10" s="222" t="s">
        <v>254</v>
      </c>
      <c r="M10" s="223" t="s">
        <v>296</v>
      </c>
    </row>
    <row r="11" spans="2:13">
      <c r="B11" s="224" t="s">
        <v>364</v>
      </c>
      <c r="C11" s="225" t="s">
        <v>273</v>
      </c>
      <c r="D11" s="225" t="s">
        <v>274</v>
      </c>
      <c r="E11" s="225" t="s">
        <v>273</v>
      </c>
      <c r="F11" s="226">
        <v>0</v>
      </c>
      <c r="G11" s="226">
        <v>1</v>
      </c>
      <c r="H11" s="225" t="s">
        <v>273</v>
      </c>
      <c r="I11" s="225" t="s">
        <v>274</v>
      </c>
      <c r="J11" s="225" t="s">
        <v>274</v>
      </c>
      <c r="K11" s="227" t="s">
        <v>286</v>
      </c>
      <c r="L11" s="228" t="s">
        <v>291</v>
      </c>
      <c r="M11" s="229" t="s">
        <v>296</v>
      </c>
    </row>
    <row r="12" spans="2:13">
      <c r="B12" s="224" t="s">
        <v>365</v>
      </c>
      <c r="C12" s="225" t="s">
        <v>273</v>
      </c>
      <c r="D12" s="225" t="s">
        <v>273</v>
      </c>
      <c r="E12" s="225" t="s">
        <v>276</v>
      </c>
      <c r="F12" s="226">
        <v>0</v>
      </c>
      <c r="G12" s="226">
        <v>1</v>
      </c>
      <c r="H12" s="225" t="s">
        <v>277</v>
      </c>
      <c r="I12" s="225" t="s">
        <v>273</v>
      </c>
      <c r="J12" s="225" t="s">
        <v>273</v>
      </c>
      <c r="K12" s="227" t="s">
        <v>287</v>
      </c>
      <c r="L12" s="228" t="s">
        <v>292</v>
      </c>
      <c r="M12" s="230" t="s">
        <v>298</v>
      </c>
    </row>
    <row r="13" spans="2:13">
      <c r="B13" s="224" t="s">
        <v>366</v>
      </c>
      <c r="C13" s="225" t="s">
        <v>276</v>
      </c>
      <c r="D13" s="225" t="s">
        <v>276</v>
      </c>
      <c r="E13" s="225" t="s">
        <v>274</v>
      </c>
      <c r="F13" s="226">
        <v>0</v>
      </c>
      <c r="G13" s="226">
        <v>1</v>
      </c>
      <c r="H13" s="225" t="s">
        <v>274</v>
      </c>
      <c r="I13" s="225" t="s">
        <v>273</v>
      </c>
      <c r="J13" s="225" t="s">
        <v>274</v>
      </c>
      <c r="K13" s="227" t="s">
        <v>301</v>
      </c>
      <c r="L13" s="228" t="s">
        <v>291</v>
      </c>
      <c r="M13" s="230" t="s">
        <v>299</v>
      </c>
    </row>
    <row r="14" spans="2:13">
      <c r="B14" s="224" t="s">
        <v>367</v>
      </c>
      <c r="C14" s="225" t="s">
        <v>273</v>
      </c>
      <c r="D14" s="225" t="s">
        <v>274</v>
      </c>
      <c r="E14" s="225" t="s">
        <v>274</v>
      </c>
      <c r="F14" s="226">
        <v>0</v>
      </c>
      <c r="G14" s="226">
        <v>1</v>
      </c>
      <c r="H14" s="225" t="s">
        <v>274</v>
      </c>
      <c r="I14" s="225" t="s">
        <v>276</v>
      </c>
      <c r="J14" s="225" t="s">
        <v>274</v>
      </c>
      <c r="K14" s="227" t="s">
        <v>288</v>
      </c>
      <c r="L14" s="228" t="s">
        <v>292</v>
      </c>
      <c r="M14" s="230" t="s">
        <v>300</v>
      </c>
    </row>
    <row r="15" spans="2:13">
      <c r="B15" s="224" t="s">
        <v>368</v>
      </c>
      <c r="C15" s="225" t="s">
        <v>274</v>
      </c>
      <c r="D15" s="225" t="s">
        <v>274</v>
      </c>
      <c r="E15" s="225" t="s">
        <v>274</v>
      </c>
      <c r="F15" s="226">
        <v>0</v>
      </c>
      <c r="G15" s="226">
        <v>1</v>
      </c>
      <c r="H15" s="225" t="s">
        <v>276</v>
      </c>
      <c r="I15" s="225" t="s">
        <v>277</v>
      </c>
      <c r="J15" s="225" t="s">
        <v>273</v>
      </c>
      <c r="K15" s="227" t="s">
        <v>234</v>
      </c>
      <c r="L15" s="228" t="s">
        <v>291</v>
      </c>
      <c r="M15" s="230" t="s">
        <v>299</v>
      </c>
    </row>
    <row r="16" spans="2:13">
      <c r="B16" s="224" t="s">
        <v>369</v>
      </c>
      <c r="C16" s="225" t="s">
        <v>273</v>
      </c>
      <c r="D16" s="225" t="s">
        <v>277</v>
      </c>
      <c r="E16" s="225" t="s">
        <v>274</v>
      </c>
      <c r="F16" s="226">
        <v>0</v>
      </c>
      <c r="G16" s="226">
        <v>1</v>
      </c>
      <c r="H16" s="225" t="s">
        <v>278</v>
      </c>
      <c r="I16" s="225" t="s">
        <v>276</v>
      </c>
      <c r="J16" s="225" t="s">
        <v>274</v>
      </c>
      <c r="K16" s="227" t="s">
        <v>234</v>
      </c>
      <c r="L16" s="228" t="s">
        <v>292</v>
      </c>
      <c r="M16" s="230" t="s">
        <v>302</v>
      </c>
    </row>
    <row r="17" spans="2:13">
      <c r="B17" s="224" t="s">
        <v>370</v>
      </c>
      <c r="C17" s="225" t="s">
        <v>274</v>
      </c>
      <c r="D17" s="225" t="s">
        <v>274</v>
      </c>
      <c r="E17" s="225" t="s">
        <v>274</v>
      </c>
      <c r="F17" s="226">
        <v>0</v>
      </c>
      <c r="G17" s="226">
        <v>1</v>
      </c>
      <c r="H17" s="225" t="s">
        <v>273</v>
      </c>
      <c r="I17" s="225" t="s">
        <v>274</v>
      </c>
      <c r="J17" s="225" t="s">
        <v>276</v>
      </c>
      <c r="K17" s="227" t="s">
        <v>289</v>
      </c>
      <c r="L17" s="228" t="s">
        <v>291</v>
      </c>
      <c r="M17" s="230" t="s">
        <v>299</v>
      </c>
    </row>
    <row r="18" spans="2:13">
      <c r="B18" s="224" t="s">
        <v>371</v>
      </c>
      <c r="C18" s="225" t="s">
        <v>274</v>
      </c>
      <c r="D18" s="225" t="s">
        <v>274</v>
      </c>
      <c r="E18" s="225" t="s">
        <v>274</v>
      </c>
      <c r="F18" s="226">
        <v>0</v>
      </c>
      <c r="G18" s="226">
        <v>1</v>
      </c>
      <c r="H18" s="225" t="s">
        <v>273</v>
      </c>
      <c r="I18" s="225" t="s">
        <v>274</v>
      </c>
      <c r="J18" s="225" t="s">
        <v>274</v>
      </c>
      <c r="K18" s="227" t="s">
        <v>290</v>
      </c>
      <c r="L18" s="228" t="s">
        <v>292</v>
      </c>
      <c r="M18" s="230" t="s">
        <v>302</v>
      </c>
    </row>
    <row r="19" spans="2:13">
      <c r="B19" s="224" t="s">
        <v>372</v>
      </c>
      <c r="C19" s="225" t="s">
        <v>273</v>
      </c>
      <c r="D19" s="225" t="s">
        <v>274</v>
      </c>
      <c r="E19" s="225" t="s">
        <v>273</v>
      </c>
      <c r="F19" s="226">
        <v>1</v>
      </c>
      <c r="G19" s="226">
        <v>0</v>
      </c>
      <c r="H19" s="225" t="s">
        <v>273</v>
      </c>
      <c r="I19" s="225" t="s">
        <v>274</v>
      </c>
      <c r="J19" s="225" t="s">
        <v>274</v>
      </c>
      <c r="K19" s="227" t="s">
        <v>286</v>
      </c>
      <c r="L19" s="228" t="s">
        <v>291</v>
      </c>
      <c r="M19" s="229" t="s">
        <v>296</v>
      </c>
    </row>
    <row r="20" spans="2:13">
      <c r="B20" s="224" t="s">
        <v>373</v>
      </c>
      <c r="C20" s="225" t="s">
        <v>273</v>
      </c>
      <c r="D20" s="225" t="s">
        <v>273</v>
      </c>
      <c r="E20" s="225" t="s">
        <v>276</v>
      </c>
      <c r="F20" s="226">
        <v>1</v>
      </c>
      <c r="G20" s="226">
        <v>0</v>
      </c>
      <c r="H20" s="225" t="s">
        <v>277</v>
      </c>
      <c r="I20" s="225" t="s">
        <v>273</v>
      </c>
      <c r="J20" s="225" t="s">
        <v>273</v>
      </c>
      <c r="K20" s="227" t="s">
        <v>287</v>
      </c>
      <c r="L20" s="228" t="s">
        <v>292</v>
      </c>
      <c r="M20" s="230" t="s">
        <v>298</v>
      </c>
    </row>
    <row r="21" spans="2:13">
      <c r="B21" s="224" t="s">
        <v>374</v>
      </c>
      <c r="C21" s="225" t="s">
        <v>276</v>
      </c>
      <c r="D21" s="225" t="s">
        <v>276</v>
      </c>
      <c r="E21" s="225" t="s">
        <v>274</v>
      </c>
      <c r="F21" s="226">
        <v>1</v>
      </c>
      <c r="G21" s="226">
        <v>0</v>
      </c>
      <c r="H21" s="225" t="s">
        <v>274</v>
      </c>
      <c r="I21" s="225" t="s">
        <v>273</v>
      </c>
      <c r="J21" s="225" t="s">
        <v>274</v>
      </c>
      <c r="K21" s="227" t="s">
        <v>288</v>
      </c>
      <c r="L21" s="228" t="s">
        <v>291</v>
      </c>
      <c r="M21" s="230" t="s">
        <v>299</v>
      </c>
    </row>
    <row r="22" spans="2:13">
      <c r="B22" s="224" t="s">
        <v>375</v>
      </c>
      <c r="C22" s="225" t="s">
        <v>273</v>
      </c>
      <c r="D22" s="225" t="s">
        <v>274</v>
      </c>
      <c r="E22" s="225" t="s">
        <v>274</v>
      </c>
      <c r="F22" s="226">
        <v>1</v>
      </c>
      <c r="G22" s="226">
        <v>0</v>
      </c>
      <c r="H22" s="225" t="s">
        <v>274</v>
      </c>
      <c r="I22" s="225" t="s">
        <v>276</v>
      </c>
      <c r="J22" s="225" t="s">
        <v>274</v>
      </c>
      <c r="K22" s="227" t="s">
        <v>288</v>
      </c>
      <c r="L22" s="228" t="s">
        <v>292</v>
      </c>
      <c r="M22" s="230" t="s">
        <v>300</v>
      </c>
    </row>
    <row r="23" spans="2:13">
      <c r="B23" s="224" t="s">
        <v>376</v>
      </c>
      <c r="C23" s="225" t="s">
        <v>274</v>
      </c>
      <c r="D23" s="225" t="s">
        <v>274</v>
      </c>
      <c r="E23" s="225" t="s">
        <v>274</v>
      </c>
      <c r="F23" s="226">
        <v>1</v>
      </c>
      <c r="G23" s="226">
        <v>0</v>
      </c>
      <c r="H23" s="225" t="s">
        <v>276</v>
      </c>
      <c r="I23" s="225" t="s">
        <v>277</v>
      </c>
      <c r="J23" s="225" t="s">
        <v>273</v>
      </c>
      <c r="K23" s="227" t="s">
        <v>234</v>
      </c>
      <c r="L23" s="228" t="s">
        <v>291</v>
      </c>
      <c r="M23" s="230" t="s">
        <v>295</v>
      </c>
    </row>
    <row r="24" spans="2:13">
      <c r="B24" s="224" t="s">
        <v>377</v>
      </c>
      <c r="C24" s="225" t="s">
        <v>273</v>
      </c>
      <c r="D24" s="225" t="s">
        <v>277</v>
      </c>
      <c r="E24" s="225" t="s">
        <v>274</v>
      </c>
      <c r="F24" s="226">
        <v>1</v>
      </c>
      <c r="G24" s="226">
        <v>0</v>
      </c>
      <c r="H24" s="225" t="s">
        <v>278</v>
      </c>
      <c r="I24" s="225" t="s">
        <v>276</v>
      </c>
      <c r="J24" s="225" t="s">
        <v>274</v>
      </c>
      <c r="K24" s="227" t="s">
        <v>234</v>
      </c>
      <c r="L24" s="228" t="s">
        <v>292</v>
      </c>
      <c r="M24" s="230" t="s">
        <v>297</v>
      </c>
    </row>
    <row r="25" spans="2:13">
      <c r="B25" s="224" t="s">
        <v>378</v>
      </c>
      <c r="C25" s="225" t="s">
        <v>274</v>
      </c>
      <c r="D25" s="225" t="s">
        <v>274</v>
      </c>
      <c r="E25" s="225" t="s">
        <v>274</v>
      </c>
      <c r="F25" s="226">
        <v>1</v>
      </c>
      <c r="G25" s="226">
        <v>0</v>
      </c>
      <c r="H25" s="225" t="s">
        <v>273</v>
      </c>
      <c r="I25" s="225" t="s">
        <v>274</v>
      </c>
      <c r="J25" s="225" t="s">
        <v>276</v>
      </c>
      <c r="K25" s="227" t="s">
        <v>289</v>
      </c>
      <c r="L25" s="228" t="s">
        <v>291</v>
      </c>
      <c r="M25" s="230" t="s">
        <v>295</v>
      </c>
    </row>
    <row r="26" spans="2:13">
      <c r="B26" s="224" t="s">
        <v>379</v>
      </c>
      <c r="C26" s="225" t="s">
        <v>274</v>
      </c>
      <c r="D26" s="225" t="s">
        <v>274</v>
      </c>
      <c r="E26" s="225" t="s">
        <v>274</v>
      </c>
      <c r="F26" s="226">
        <v>1</v>
      </c>
      <c r="G26" s="226">
        <v>0</v>
      </c>
      <c r="H26" s="225" t="s">
        <v>273</v>
      </c>
      <c r="I26" s="225" t="s">
        <v>274</v>
      </c>
      <c r="J26" s="225" t="s">
        <v>274</v>
      </c>
      <c r="K26" s="227" t="s">
        <v>290</v>
      </c>
      <c r="L26" s="228" t="s">
        <v>292</v>
      </c>
      <c r="M26" s="230" t="s">
        <v>295</v>
      </c>
    </row>
    <row r="27" spans="2:13">
      <c r="B27" s="224" t="s">
        <v>380</v>
      </c>
      <c r="C27" s="225" t="s">
        <v>273</v>
      </c>
      <c r="D27" s="225" t="s">
        <v>273</v>
      </c>
      <c r="E27" s="225" t="s">
        <v>273</v>
      </c>
      <c r="F27" s="226">
        <v>1</v>
      </c>
      <c r="G27" s="226">
        <v>1</v>
      </c>
      <c r="H27" s="225" t="s">
        <v>273</v>
      </c>
      <c r="I27" s="225" t="s">
        <v>273</v>
      </c>
      <c r="J27" s="225" t="s">
        <v>273</v>
      </c>
      <c r="K27" s="227" t="s">
        <v>286</v>
      </c>
      <c r="L27" s="228" t="s">
        <v>233</v>
      </c>
      <c r="M27" s="229" t="s">
        <v>296</v>
      </c>
    </row>
    <row r="28" spans="2:13">
      <c r="B28" s="224" t="s">
        <v>381</v>
      </c>
      <c r="C28" s="225" t="s">
        <v>273</v>
      </c>
      <c r="D28" s="225" t="s">
        <v>273</v>
      </c>
      <c r="E28" s="225" t="s">
        <v>273</v>
      </c>
      <c r="F28" s="226">
        <v>1</v>
      </c>
      <c r="G28" s="226">
        <v>1</v>
      </c>
      <c r="H28" s="225" t="s">
        <v>273</v>
      </c>
      <c r="I28" s="225" t="s">
        <v>273</v>
      </c>
      <c r="J28" s="225" t="s">
        <v>273</v>
      </c>
      <c r="K28" s="227" t="s">
        <v>286</v>
      </c>
      <c r="L28" s="228" t="s">
        <v>201</v>
      </c>
      <c r="M28" s="230" t="s">
        <v>298</v>
      </c>
    </row>
    <row r="29" spans="2:13">
      <c r="B29" s="224" t="s">
        <v>382</v>
      </c>
      <c r="C29" s="225" t="s">
        <v>273</v>
      </c>
      <c r="D29" s="225" t="s">
        <v>273</v>
      </c>
      <c r="E29" s="225" t="s">
        <v>273</v>
      </c>
      <c r="F29" s="226">
        <v>1</v>
      </c>
      <c r="G29" s="226">
        <v>1</v>
      </c>
      <c r="H29" s="225" t="s">
        <v>273</v>
      </c>
      <c r="I29" s="225" t="s">
        <v>273</v>
      </c>
      <c r="J29" s="225" t="s">
        <v>273</v>
      </c>
      <c r="K29" s="227" t="s">
        <v>288</v>
      </c>
      <c r="L29" s="228" t="s">
        <v>233</v>
      </c>
      <c r="M29" s="230" t="s">
        <v>296</v>
      </c>
    </row>
    <row r="30" spans="2:13">
      <c r="B30" s="224" t="s">
        <v>383</v>
      </c>
      <c r="C30" s="225" t="s">
        <v>273</v>
      </c>
      <c r="D30" s="225" t="s">
        <v>273</v>
      </c>
      <c r="E30" s="225" t="s">
        <v>273</v>
      </c>
      <c r="F30" s="226">
        <v>1</v>
      </c>
      <c r="G30" s="226">
        <v>1</v>
      </c>
      <c r="H30" s="225" t="s">
        <v>273</v>
      </c>
      <c r="I30" s="225" t="s">
        <v>273</v>
      </c>
      <c r="J30" s="225" t="s">
        <v>273</v>
      </c>
      <c r="K30" s="227" t="s">
        <v>288</v>
      </c>
      <c r="L30" s="228" t="s">
        <v>201</v>
      </c>
      <c r="M30" s="230" t="s">
        <v>296</v>
      </c>
    </row>
    <row r="31" spans="2:13">
      <c r="B31" s="224" t="s">
        <v>384</v>
      </c>
      <c r="C31" s="225" t="s">
        <v>273</v>
      </c>
      <c r="D31" s="225" t="s">
        <v>273</v>
      </c>
      <c r="E31" s="225" t="s">
        <v>273</v>
      </c>
      <c r="F31" s="226">
        <v>1</v>
      </c>
      <c r="G31" s="226">
        <v>1</v>
      </c>
      <c r="H31" s="225" t="s">
        <v>273</v>
      </c>
      <c r="I31" s="225" t="s">
        <v>273</v>
      </c>
      <c r="J31" s="225" t="s">
        <v>273</v>
      </c>
      <c r="K31" s="227" t="s">
        <v>234</v>
      </c>
      <c r="L31" s="228" t="s">
        <v>233</v>
      </c>
      <c r="M31" s="230" t="s">
        <v>295</v>
      </c>
    </row>
    <row r="32" spans="2:13">
      <c r="B32" s="224" t="s">
        <v>385</v>
      </c>
      <c r="C32" s="225" t="s">
        <v>273</v>
      </c>
      <c r="D32" s="225" t="s">
        <v>273</v>
      </c>
      <c r="E32" s="225" t="s">
        <v>273</v>
      </c>
      <c r="F32" s="226">
        <v>1</v>
      </c>
      <c r="G32" s="226">
        <v>1</v>
      </c>
      <c r="H32" s="225" t="s">
        <v>273</v>
      </c>
      <c r="I32" s="225" t="s">
        <v>273</v>
      </c>
      <c r="J32" s="225" t="s">
        <v>273</v>
      </c>
      <c r="K32" s="227" t="s">
        <v>234</v>
      </c>
      <c r="L32" s="228" t="s">
        <v>201</v>
      </c>
      <c r="M32" s="230" t="s">
        <v>297</v>
      </c>
    </row>
    <row r="33" spans="2:13">
      <c r="B33" s="224" t="s">
        <v>386</v>
      </c>
      <c r="C33" s="225" t="s">
        <v>273</v>
      </c>
      <c r="D33" s="225" t="s">
        <v>273</v>
      </c>
      <c r="E33" s="225" t="s">
        <v>273</v>
      </c>
      <c r="F33" s="226">
        <v>1</v>
      </c>
      <c r="G33" s="226">
        <v>1</v>
      </c>
      <c r="H33" s="225" t="s">
        <v>273</v>
      </c>
      <c r="I33" s="225" t="s">
        <v>273</v>
      </c>
      <c r="J33" s="225" t="s">
        <v>273</v>
      </c>
      <c r="K33" s="227" t="s">
        <v>289</v>
      </c>
      <c r="L33" s="228" t="s">
        <v>233</v>
      </c>
      <c r="M33" s="230" t="s">
        <v>295</v>
      </c>
    </row>
    <row r="34" spans="2:13" ht="14.25" thickBot="1">
      <c r="B34" s="231" t="s">
        <v>387</v>
      </c>
      <c r="C34" s="232" t="s">
        <v>273</v>
      </c>
      <c r="D34" s="232" t="s">
        <v>273</v>
      </c>
      <c r="E34" s="232" t="s">
        <v>273</v>
      </c>
      <c r="F34" s="233">
        <v>1</v>
      </c>
      <c r="G34" s="233">
        <v>1</v>
      </c>
      <c r="H34" s="232" t="s">
        <v>273</v>
      </c>
      <c r="I34" s="232" t="s">
        <v>273</v>
      </c>
      <c r="J34" s="232" t="s">
        <v>273</v>
      </c>
      <c r="K34" s="234" t="s">
        <v>289</v>
      </c>
      <c r="L34" s="235" t="s">
        <v>201</v>
      </c>
      <c r="M34" s="236" t="s">
        <v>295</v>
      </c>
    </row>
    <row r="40" spans="2:13" ht="15" thickBot="1">
      <c r="B40" s="193" t="s">
        <v>327</v>
      </c>
      <c r="C40" s="194"/>
      <c r="D40" s="194"/>
      <c r="E40" s="194"/>
      <c r="F40" s="194"/>
      <c r="G40" s="194"/>
      <c r="H40" s="194"/>
      <c r="I40" s="194"/>
      <c r="J40" s="194"/>
      <c r="K40" s="194"/>
      <c r="L40" s="194"/>
      <c r="M40" s="194"/>
    </row>
    <row r="41" spans="2:13" ht="15" thickBot="1">
      <c r="B41" s="195" t="s">
        <v>279</v>
      </c>
      <c r="C41" s="352" t="s">
        <v>270</v>
      </c>
      <c r="D41" s="353"/>
      <c r="E41" s="353"/>
      <c r="F41" s="353"/>
      <c r="G41" s="353"/>
      <c r="H41" s="353"/>
      <c r="I41" s="353"/>
      <c r="J41" s="354"/>
      <c r="K41" s="196"/>
      <c r="L41" s="196"/>
      <c r="M41" s="197"/>
    </row>
    <row r="42" spans="2:13">
      <c r="B42" s="198"/>
      <c r="C42" s="199" t="s">
        <v>280</v>
      </c>
      <c r="D42" s="199"/>
      <c r="E42" s="199"/>
      <c r="F42" s="199"/>
      <c r="G42" s="199"/>
      <c r="H42" s="199"/>
      <c r="I42" s="199"/>
      <c r="J42" s="199"/>
      <c r="K42" s="199"/>
      <c r="L42" s="199"/>
      <c r="M42" s="200" t="s">
        <v>257</v>
      </c>
    </row>
    <row r="43" spans="2:13">
      <c r="B43" s="201" t="s">
        <v>22</v>
      </c>
      <c r="C43" s="348" t="s">
        <v>281</v>
      </c>
      <c r="D43" s="349"/>
      <c r="E43" s="349"/>
      <c r="F43" s="349"/>
      <c r="G43" s="349"/>
      <c r="H43" s="349"/>
      <c r="I43" s="349"/>
      <c r="J43" s="350"/>
      <c r="K43" s="202" t="s">
        <v>23</v>
      </c>
      <c r="L43" s="203"/>
      <c r="M43" s="180" t="s">
        <v>270</v>
      </c>
    </row>
    <row r="44" spans="2:13">
      <c r="B44" s="201" t="s">
        <v>34</v>
      </c>
      <c r="C44" s="204" t="s">
        <v>270</v>
      </c>
      <c r="D44" s="204" t="s">
        <v>270</v>
      </c>
      <c r="E44" s="204" t="s">
        <v>270</v>
      </c>
      <c r="F44" s="204" t="s">
        <v>270</v>
      </c>
      <c r="G44" s="204" t="s">
        <v>270</v>
      </c>
      <c r="H44" s="204" t="s">
        <v>260</v>
      </c>
      <c r="I44" s="204" t="s">
        <v>270</v>
      </c>
      <c r="J44" s="204" t="s">
        <v>270</v>
      </c>
      <c r="K44" s="205" t="s">
        <v>195</v>
      </c>
      <c r="L44" s="206" t="s">
        <v>195</v>
      </c>
      <c r="M44" s="180" t="s">
        <v>270</v>
      </c>
    </row>
    <row r="45" spans="2:13" ht="27">
      <c r="B45" s="207" t="s">
        <v>28</v>
      </c>
      <c r="C45" s="351" t="s">
        <v>282</v>
      </c>
      <c r="D45" s="349"/>
      <c r="E45" s="349"/>
      <c r="F45" s="349"/>
      <c r="G45" s="349"/>
      <c r="H45" s="349"/>
      <c r="I45" s="349"/>
      <c r="J45" s="350"/>
      <c r="K45" s="208" t="s">
        <v>215</v>
      </c>
      <c r="L45" s="202" t="s">
        <v>215</v>
      </c>
      <c r="M45" s="209"/>
    </row>
    <row r="46" spans="2:13" ht="88.15" customHeight="1">
      <c r="B46" s="201" t="s">
        <v>29</v>
      </c>
      <c r="C46" s="210" t="s">
        <v>264</v>
      </c>
      <c r="D46" s="210" t="s">
        <v>63</v>
      </c>
      <c r="E46" s="210" t="s">
        <v>265</v>
      </c>
      <c r="F46" s="210" t="s">
        <v>266</v>
      </c>
      <c r="G46" s="210" t="s">
        <v>283</v>
      </c>
      <c r="H46" s="210" t="s">
        <v>267</v>
      </c>
      <c r="I46" s="210" t="s">
        <v>284</v>
      </c>
      <c r="J46" s="210" t="s">
        <v>285</v>
      </c>
      <c r="K46" s="208" t="s">
        <v>223</v>
      </c>
      <c r="L46" s="211" t="s">
        <v>516</v>
      </c>
      <c r="M46" s="180" t="s">
        <v>328</v>
      </c>
    </row>
    <row r="47" spans="2:13" ht="55.15" customHeight="1" thickBot="1">
      <c r="B47" s="212" t="s">
        <v>31</v>
      </c>
      <c r="C47" s="213" t="s">
        <v>269</v>
      </c>
      <c r="D47" s="213" t="s">
        <v>270</v>
      </c>
      <c r="E47" s="213" t="s">
        <v>269</v>
      </c>
      <c r="F47" s="213" t="s">
        <v>269</v>
      </c>
      <c r="G47" s="213" t="s">
        <v>269</v>
      </c>
      <c r="H47" s="213" t="s">
        <v>269</v>
      </c>
      <c r="I47" s="214" t="s">
        <v>269</v>
      </c>
      <c r="J47" s="213" t="s">
        <v>269</v>
      </c>
      <c r="K47" s="215" t="s">
        <v>227</v>
      </c>
      <c r="L47" s="216" t="s">
        <v>229</v>
      </c>
      <c r="M47" s="217" t="s">
        <v>294</v>
      </c>
    </row>
    <row r="48" spans="2:13" ht="14.25" thickTop="1">
      <c r="B48" s="218" t="s">
        <v>363</v>
      </c>
      <c r="C48" s="219" t="s">
        <v>273</v>
      </c>
      <c r="D48" s="219" t="s">
        <v>273</v>
      </c>
      <c r="E48" s="219" t="s">
        <v>273</v>
      </c>
      <c r="F48" s="220">
        <v>0</v>
      </c>
      <c r="G48" s="220">
        <v>0</v>
      </c>
      <c r="H48" s="219" t="s">
        <v>273</v>
      </c>
      <c r="I48" s="219" t="s">
        <v>273</v>
      </c>
      <c r="J48" s="219" t="s">
        <v>273</v>
      </c>
      <c r="K48" s="221" t="s">
        <v>362</v>
      </c>
      <c r="L48" s="222" t="s">
        <v>254</v>
      </c>
      <c r="M48" s="223" t="s">
        <v>296</v>
      </c>
    </row>
    <row r="49" spans="2:13">
      <c r="B49" s="224" t="s">
        <v>388</v>
      </c>
      <c r="C49" s="225" t="s">
        <v>273</v>
      </c>
      <c r="D49" s="225" t="s">
        <v>274</v>
      </c>
      <c r="E49" s="225" t="s">
        <v>273</v>
      </c>
      <c r="F49" s="226">
        <v>0</v>
      </c>
      <c r="G49" s="226">
        <v>1</v>
      </c>
      <c r="H49" s="225" t="s">
        <v>273</v>
      </c>
      <c r="I49" s="225" t="s">
        <v>274</v>
      </c>
      <c r="J49" s="225" t="s">
        <v>274</v>
      </c>
      <c r="K49" s="227" t="s">
        <v>286</v>
      </c>
      <c r="L49" s="228" t="s">
        <v>291</v>
      </c>
      <c r="M49" s="229" t="s">
        <v>296</v>
      </c>
    </row>
    <row r="50" spans="2:13">
      <c r="B50" s="224" t="s">
        <v>365</v>
      </c>
      <c r="C50" s="225" t="s">
        <v>273</v>
      </c>
      <c r="D50" s="225" t="s">
        <v>273</v>
      </c>
      <c r="E50" s="225" t="s">
        <v>276</v>
      </c>
      <c r="F50" s="226">
        <v>0</v>
      </c>
      <c r="G50" s="226">
        <v>1</v>
      </c>
      <c r="H50" s="225" t="s">
        <v>277</v>
      </c>
      <c r="I50" s="225" t="s">
        <v>273</v>
      </c>
      <c r="J50" s="225" t="s">
        <v>273</v>
      </c>
      <c r="K50" s="227" t="s">
        <v>287</v>
      </c>
      <c r="L50" s="228" t="s">
        <v>292</v>
      </c>
      <c r="M50" s="230" t="s">
        <v>298</v>
      </c>
    </row>
    <row r="51" spans="2:13">
      <c r="B51" s="224" t="s">
        <v>389</v>
      </c>
      <c r="C51" s="225" t="s">
        <v>276</v>
      </c>
      <c r="D51" s="225" t="s">
        <v>276</v>
      </c>
      <c r="E51" s="225" t="s">
        <v>274</v>
      </c>
      <c r="F51" s="226">
        <v>0</v>
      </c>
      <c r="G51" s="226">
        <v>1</v>
      </c>
      <c r="H51" s="225" t="s">
        <v>274</v>
      </c>
      <c r="I51" s="225" t="s">
        <v>273</v>
      </c>
      <c r="J51" s="225" t="s">
        <v>274</v>
      </c>
      <c r="K51" s="227" t="s">
        <v>301</v>
      </c>
      <c r="L51" s="228" t="s">
        <v>291</v>
      </c>
      <c r="M51" s="230" t="s">
        <v>299</v>
      </c>
    </row>
    <row r="52" spans="2:13">
      <c r="B52" s="224" t="s">
        <v>367</v>
      </c>
      <c r="C52" s="225" t="s">
        <v>273</v>
      </c>
      <c r="D52" s="225" t="s">
        <v>274</v>
      </c>
      <c r="E52" s="225" t="s">
        <v>274</v>
      </c>
      <c r="F52" s="226">
        <v>0</v>
      </c>
      <c r="G52" s="226">
        <v>1</v>
      </c>
      <c r="H52" s="225" t="s">
        <v>274</v>
      </c>
      <c r="I52" s="225" t="s">
        <v>276</v>
      </c>
      <c r="J52" s="225" t="s">
        <v>274</v>
      </c>
      <c r="K52" s="227" t="s">
        <v>288</v>
      </c>
      <c r="L52" s="228" t="s">
        <v>292</v>
      </c>
      <c r="M52" s="230" t="s">
        <v>300</v>
      </c>
    </row>
    <row r="53" spans="2:13">
      <c r="B53" s="224" t="s">
        <v>390</v>
      </c>
      <c r="C53" s="225" t="s">
        <v>274</v>
      </c>
      <c r="D53" s="225" t="s">
        <v>274</v>
      </c>
      <c r="E53" s="225" t="s">
        <v>274</v>
      </c>
      <c r="F53" s="226">
        <v>0</v>
      </c>
      <c r="G53" s="226">
        <v>1</v>
      </c>
      <c r="H53" s="225" t="s">
        <v>276</v>
      </c>
      <c r="I53" s="225" t="s">
        <v>277</v>
      </c>
      <c r="J53" s="225" t="s">
        <v>273</v>
      </c>
      <c r="K53" s="227" t="s">
        <v>234</v>
      </c>
      <c r="L53" s="228" t="s">
        <v>291</v>
      </c>
      <c r="M53" s="230" t="s">
        <v>299</v>
      </c>
    </row>
    <row r="54" spans="2:13">
      <c r="B54" s="224" t="s">
        <v>369</v>
      </c>
      <c r="C54" s="225" t="s">
        <v>273</v>
      </c>
      <c r="D54" s="225" t="s">
        <v>277</v>
      </c>
      <c r="E54" s="225" t="s">
        <v>274</v>
      </c>
      <c r="F54" s="226">
        <v>0</v>
      </c>
      <c r="G54" s="226">
        <v>1</v>
      </c>
      <c r="H54" s="225" t="s">
        <v>278</v>
      </c>
      <c r="I54" s="225" t="s">
        <v>276</v>
      </c>
      <c r="J54" s="225" t="s">
        <v>274</v>
      </c>
      <c r="K54" s="227" t="s">
        <v>234</v>
      </c>
      <c r="L54" s="228" t="s">
        <v>292</v>
      </c>
      <c r="M54" s="230" t="s">
        <v>302</v>
      </c>
    </row>
    <row r="55" spans="2:13">
      <c r="B55" s="224" t="s">
        <v>391</v>
      </c>
      <c r="C55" s="225" t="s">
        <v>274</v>
      </c>
      <c r="D55" s="225" t="s">
        <v>274</v>
      </c>
      <c r="E55" s="225" t="s">
        <v>274</v>
      </c>
      <c r="F55" s="226">
        <v>0</v>
      </c>
      <c r="G55" s="226">
        <v>1</v>
      </c>
      <c r="H55" s="225" t="s">
        <v>273</v>
      </c>
      <c r="I55" s="225" t="s">
        <v>274</v>
      </c>
      <c r="J55" s="225" t="s">
        <v>276</v>
      </c>
      <c r="K55" s="227" t="s">
        <v>289</v>
      </c>
      <c r="L55" s="228" t="s">
        <v>291</v>
      </c>
      <c r="M55" s="230" t="s">
        <v>299</v>
      </c>
    </row>
    <row r="56" spans="2:13">
      <c r="B56" s="224" t="s">
        <v>371</v>
      </c>
      <c r="C56" s="225" t="s">
        <v>274</v>
      </c>
      <c r="D56" s="225" t="s">
        <v>274</v>
      </c>
      <c r="E56" s="225" t="s">
        <v>274</v>
      </c>
      <c r="F56" s="226">
        <v>0</v>
      </c>
      <c r="G56" s="226">
        <v>1</v>
      </c>
      <c r="H56" s="225" t="s">
        <v>273</v>
      </c>
      <c r="I56" s="225" t="s">
        <v>274</v>
      </c>
      <c r="J56" s="225" t="s">
        <v>274</v>
      </c>
      <c r="K56" s="227" t="s">
        <v>290</v>
      </c>
      <c r="L56" s="228" t="s">
        <v>292</v>
      </c>
      <c r="M56" s="230" t="s">
        <v>302</v>
      </c>
    </row>
    <row r="57" spans="2:13">
      <c r="B57" s="224" t="s">
        <v>392</v>
      </c>
      <c r="C57" s="225" t="s">
        <v>273</v>
      </c>
      <c r="D57" s="225" t="s">
        <v>274</v>
      </c>
      <c r="E57" s="225" t="s">
        <v>273</v>
      </c>
      <c r="F57" s="226">
        <v>1</v>
      </c>
      <c r="G57" s="226">
        <v>0</v>
      </c>
      <c r="H57" s="225" t="s">
        <v>273</v>
      </c>
      <c r="I57" s="225" t="s">
        <v>274</v>
      </c>
      <c r="J57" s="225" t="s">
        <v>274</v>
      </c>
      <c r="K57" s="227" t="s">
        <v>286</v>
      </c>
      <c r="L57" s="228" t="s">
        <v>291</v>
      </c>
      <c r="M57" s="229" t="s">
        <v>296</v>
      </c>
    </row>
    <row r="58" spans="2:13">
      <c r="B58" s="224" t="s">
        <v>373</v>
      </c>
      <c r="C58" s="225" t="s">
        <v>273</v>
      </c>
      <c r="D58" s="225" t="s">
        <v>273</v>
      </c>
      <c r="E58" s="225" t="s">
        <v>276</v>
      </c>
      <c r="F58" s="226">
        <v>1</v>
      </c>
      <c r="G58" s="226">
        <v>0</v>
      </c>
      <c r="H58" s="225" t="s">
        <v>277</v>
      </c>
      <c r="I58" s="225" t="s">
        <v>273</v>
      </c>
      <c r="J58" s="225" t="s">
        <v>273</v>
      </c>
      <c r="K58" s="227" t="s">
        <v>287</v>
      </c>
      <c r="L58" s="228" t="s">
        <v>292</v>
      </c>
      <c r="M58" s="230" t="s">
        <v>298</v>
      </c>
    </row>
    <row r="59" spans="2:13">
      <c r="B59" s="224" t="s">
        <v>393</v>
      </c>
      <c r="C59" s="225" t="s">
        <v>276</v>
      </c>
      <c r="D59" s="225" t="s">
        <v>276</v>
      </c>
      <c r="E59" s="225" t="s">
        <v>274</v>
      </c>
      <c r="F59" s="226">
        <v>1</v>
      </c>
      <c r="G59" s="226">
        <v>0</v>
      </c>
      <c r="H59" s="225" t="s">
        <v>274</v>
      </c>
      <c r="I59" s="225" t="s">
        <v>273</v>
      </c>
      <c r="J59" s="225" t="s">
        <v>274</v>
      </c>
      <c r="K59" s="227" t="s">
        <v>288</v>
      </c>
      <c r="L59" s="228" t="s">
        <v>291</v>
      </c>
      <c r="M59" s="230" t="s">
        <v>299</v>
      </c>
    </row>
    <row r="60" spans="2:13">
      <c r="B60" s="224" t="s">
        <v>375</v>
      </c>
      <c r="C60" s="225" t="s">
        <v>273</v>
      </c>
      <c r="D60" s="225" t="s">
        <v>274</v>
      </c>
      <c r="E60" s="225" t="s">
        <v>274</v>
      </c>
      <c r="F60" s="226">
        <v>1</v>
      </c>
      <c r="G60" s="226">
        <v>0</v>
      </c>
      <c r="H60" s="225" t="s">
        <v>274</v>
      </c>
      <c r="I60" s="225" t="s">
        <v>276</v>
      </c>
      <c r="J60" s="225" t="s">
        <v>274</v>
      </c>
      <c r="K60" s="227" t="s">
        <v>288</v>
      </c>
      <c r="L60" s="228" t="s">
        <v>292</v>
      </c>
      <c r="M60" s="230" t="s">
        <v>300</v>
      </c>
    </row>
    <row r="61" spans="2:13">
      <c r="B61" s="224" t="s">
        <v>394</v>
      </c>
      <c r="C61" s="225" t="s">
        <v>274</v>
      </c>
      <c r="D61" s="225" t="s">
        <v>274</v>
      </c>
      <c r="E61" s="225" t="s">
        <v>274</v>
      </c>
      <c r="F61" s="226">
        <v>1</v>
      </c>
      <c r="G61" s="226">
        <v>0</v>
      </c>
      <c r="H61" s="225" t="s">
        <v>276</v>
      </c>
      <c r="I61" s="225" t="s">
        <v>277</v>
      </c>
      <c r="J61" s="225" t="s">
        <v>273</v>
      </c>
      <c r="K61" s="227" t="s">
        <v>234</v>
      </c>
      <c r="L61" s="228" t="s">
        <v>291</v>
      </c>
      <c r="M61" s="230" t="s">
        <v>295</v>
      </c>
    </row>
    <row r="62" spans="2:13">
      <c r="B62" s="224" t="s">
        <v>377</v>
      </c>
      <c r="C62" s="225" t="s">
        <v>273</v>
      </c>
      <c r="D62" s="225" t="s">
        <v>277</v>
      </c>
      <c r="E62" s="225" t="s">
        <v>274</v>
      </c>
      <c r="F62" s="226">
        <v>1</v>
      </c>
      <c r="G62" s="226">
        <v>0</v>
      </c>
      <c r="H62" s="225" t="s">
        <v>278</v>
      </c>
      <c r="I62" s="225" t="s">
        <v>276</v>
      </c>
      <c r="J62" s="225" t="s">
        <v>274</v>
      </c>
      <c r="K62" s="227" t="s">
        <v>234</v>
      </c>
      <c r="L62" s="228" t="s">
        <v>292</v>
      </c>
      <c r="M62" s="230" t="s">
        <v>297</v>
      </c>
    </row>
    <row r="63" spans="2:13">
      <c r="B63" s="224" t="s">
        <v>395</v>
      </c>
      <c r="C63" s="225" t="s">
        <v>274</v>
      </c>
      <c r="D63" s="225" t="s">
        <v>274</v>
      </c>
      <c r="E63" s="225" t="s">
        <v>274</v>
      </c>
      <c r="F63" s="226">
        <v>1</v>
      </c>
      <c r="G63" s="226">
        <v>0</v>
      </c>
      <c r="H63" s="225" t="s">
        <v>273</v>
      </c>
      <c r="I63" s="225" t="s">
        <v>274</v>
      </c>
      <c r="J63" s="225" t="s">
        <v>276</v>
      </c>
      <c r="K63" s="227" t="s">
        <v>289</v>
      </c>
      <c r="L63" s="228" t="s">
        <v>291</v>
      </c>
      <c r="M63" s="230" t="s">
        <v>295</v>
      </c>
    </row>
    <row r="64" spans="2:13">
      <c r="B64" s="224" t="s">
        <v>379</v>
      </c>
      <c r="C64" s="225" t="s">
        <v>274</v>
      </c>
      <c r="D64" s="225" t="s">
        <v>274</v>
      </c>
      <c r="E64" s="225" t="s">
        <v>274</v>
      </c>
      <c r="F64" s="226">
        <v>1</v>
      </c>
      <c r="G64" s="226">
        <v>0</v>
      </c>
      <c r="H64" s="225" t="s">
        <v>273</v>
      </c>
      <c r="I64" s="225" t="s">
        <v>274</v>
      </c>
      <c r="J64" s="225" t="s">
        <v>274</v>
      </c>
      <c r="K64" s="227" t="s">
        <v>290</v>
      </c>
      <c r="L64" s="228" t="s">
        <v>292</v>
      </c>
      <c r="M64" s="230" t="s">
        <v>295</v>
      </c>
    </row>
    <row r="65" spans="2:15">
      <c r="B65" s="224" t="s">
        <v>396</v>
      </c>
      <c r="C65" s="225" t="s">
        <v>273</v>
      </c>
      <c r="D65" s="225" t="s">
        <v>273</v>
      </c>
      <c r="E65" s="225" t="s">
        <v>273</v>
      </c>
      <c r="F65" s="226">
        <v>1</v>
      </c>
      <c r="G65" s="226">
        <v>1</v>
      </c>
      <c r="H65" s="225" t="s">
        <v>273</v>
      </c>
      <c r="I65" s="225" t="s">
        <v>273</v>
      </c>
      <c r="J65" s="225" t="s">
        <v>273</v>
      </c>
      <c r="K65" s="227" t="s">
        <v>286</v>
      </c>
      <c r="L65" s="228" t="s">
        <v>233</v>
      </c>
      <c r="M65" s="229" t="s">
        <v>296</v>
      </c>
    </row>
    <row r="66" spans="2:15">
      <c r="B66" s="224" t="s">
        <v>381</v>
      </c>
      <c r="C66" s="225" t="s">
        <v>273</v>
      </c>
      <c r="D66" s="225" t="s">
        <v>273</v>
      </c>
      <c r="E66" s="225" t="s">
        <v>273</v>
      </c>
      <c r="F66" s="226">
        <v>1</v>
      </c>
      <c r="G66" s="226">
        <v>1</v>
      </c>
      <c r="H66" s="225" t="s">
        <v>273</v>
      </c>
      <c r="I66" s="225" t="s">
        <v>273</v>
      </c>
      <c r="J66" s="225" t="s">
        <v>273</v>
      </c>
      <c r="K66" s="227" t="s">
        <v>286</v>
      </c>
      <c r="L66" s="228" t="s">
        <v>201</v>
      </c>
      <c r="M66" s="230" t="s">
        <v>298</v>
      </c>
    </row>
    <row r="67" spans="2:15">
      <c r="B67" s="224" t="s">
        <v>397</v>
      </c>
      <c r="C67" s="225" t="s">
        <v>273</v>
      </c>
      <c r="D67" s="225" t="s">
        <v>273</v>
      </c>
      <c r="E67" s="225" t="s">
        <v>273</v>
      </c>
      <c r="F67" s="226">
        <v>1</v>
      </c>
      <c r="G67" s="226">
        <v>1</v>
      </c>
      <c r="H67" s="225" t="s">
        <v>273</v>
      </c>
      <c r="I67" s="225" t="s">
        <v>273</v>
      </c>
      <c r="J67" s="225" t="s">
        <v>273</v>
      </c>
      <c r="K67" s="227" t="s">
        <v>288</v>
      </c>
      <c r="L67" s="228" t="s">
        <v>233</v>
      </c>
      <c r="M67" s="230" t="s">
        <v>296</v>
      </c>
    </row>
    <row r="68" spans="2:15">
      <c r="B68" s="224" t="s">
        <v>383</v>
      </c>
      <c r="C68" s="225" t="s">
        <v>273</v>
      </c>
      <c r="D68" s="225" t="s">
        <v>273</v>
      </c>
      <c r="E68" s="225" t="s">
        <v>273</v>
      </c>
      <c r="F68" s="226">
        <v>1</v>
      </c>
      <c r="G68" s="226">
        <v>1</v>
      </c>
      <c r="H68" s="225" t="s">
        <v>273</v>
      </c>
      <c r="I68" s="225" t="s">
        <v>273</v>
      </c>
      <c r="J68" s="225" t="s">
        <v>273</v>
      </c>
      <c r="K68" s="227" t="s">
        <v>288</v>
      </c>
      <c r="L68" s="228" t="s">
        <v>201</v>
      </c>
      <c r="M68" s="230" t="s">
        <v>296</v>
      </c>
    </row>
    <row r="69" spans="2:15">
      <c r="B69" s="224" t="s">
        <v>398</v>
      </c>
      <c r="C69" s="225" t="s">
        <v>273</v>
      </c>
      <c r="D69" s="225" t="s">
        <v>273</v>
      </c>
      <c r="E69" s="225" t="s">
        <v>273</v>
      </c>
      <c r="F69" s="226">
        <v>1</v>
      </c>
      <c r="G69" s="226">
        <v>1</v>
      </c>
      <c r="H69" s="225" t="s">
        <v>273</v>
      </c>
      <c r="I69" s="225" t="s">
        <v>273</v>
      </c>
      <c r="J69" s="225" t="s">
        <v>273</v>
      </c>
      <c r="K69" s="227" t="s">
        <v>234</v>
      </c>
      <c r="L69" s="228" t="s">
        <v>233</v>
      </c>
      <c r="M69" s="230" t="s">
        <v>295</v>
      </c>
    </row>
    <row r="70" spans="2:15">
      <c r="B70" s="224" t="s">
        <v>385</v>
      </c>
      <c r="C70" s="225" t="s">
        <v>273</v>
      </c>
      <c r="D70" s="225" t="s">
        <v>273</v>
      </c>
      <c r="E70" s="225" t="s">
        <v>273</v>
      </c>
      <c r="F70" s="226">
        <v>1</v>
      </c>
      <c r="G70" s="226">
        <v>1</v>
      </c>
      <c r="H70" s="225" t="s">
        <v>273</v>
      </c>
      <c r="I70" s="225" t="s">
        <v>273</v>
      </c>
      <c r="J70" s="225" t="s">
        <v>273</v>
      </c>
      <c r="K70" s="227" t="s">
        <v>234</v>
      </c>
      <c r="L70" s="228" t="s">
        <v>201</v>
      </c>
      <c r="M70" s="230" t="s">
        <v>297</v>
      </c>
    </row>
    <row r="71" spans="2:15">
      <c r="B71" s="224" t="s">
        <v>399</v>
      </c>
      <c r="C71" s="225" t="s">
        <v>273</v>
      </c>
      <c r="D71" s="225" t="s">
        <v>273</v>
      </c>
      <c r="E71" s="225" t="s">
        <v>273</v>
      </c>
      <c r="F71" s="226">
        <v>1</v>
      </c>
      <c r="G71" s="226">
        <v>1</v>
      </c>
      <c r="H71" s="225" t="s">
        <v>273</v>
      </c>
      <c r="I71" s="225" t="s">
        <v>273</v>
      </c>
      <c r="J71" s="225" t="s">
        <v>273</v>
      </c>
      <c r="K71" s="227" t="s">
        <v>289</v>
      </c>
      <c r="L71" s="228" t="s">
        <v>233</v>
      </c>
      <c r="M71" s="230" t="s">
        <v>295</v>
      </c>
    </row>
    <row r="72" spans="2:15" ht="14.25" thickBot="1">
      <c r="B72" s="231" t="s">
        <v>387</v>
      </c>
      <c r="C72" s="232" t="s">
        <v>273</v>
      </c>
      <c r="D72" s="232" t="s">
        <v>273</v>
      </c>
      <c r="E72" s="232" t="s">
        <v>273</v>
      </c>
      <c r="F72" s="233">
        <v>1</v>
      </c>
      <c r="G72" s="233">
        <v>1</v>
      </c>
      <c r="H72" s="232" t="s">
        <v>273</v>
      </c>
      <c r="I72" s="232" t="s">
        <v>273</v>
      </c>
      <c r="J72" s="232" t="s">
        <v>273</v>
      </c>
      <c r="K72" s="234" t="s">
        <v>289</v>
      </c>
      <c r="L72" s="235" t="s">
        <v>201</v>
      </c>
      <c r="M72" s="236" t="s">
        <v>295</v>
      </c>
    </row>
    <row r="79" spans="2:15" ht="15" thickBot="1">
      <c r="B79" s="193" t="s">
        <v>333</v>
      </c>
      <c r="C79" s="194"/>
      <c r="D79" s="194"/>
      <c r="E79" s="194"/>
      <c r="F79" s="194"/>
      <c r="G79" s="194"/>
      <c r="H79" s="194"/>
      <c r="I79" s="194"/>
      <c r="J79" s="194"/>
      <c r="K79" s="194"/>
      <c r="L79" s="194"/>
      <c r="M79" s="194"/>
      <c r="N79" s="194"/>
      <c r="O79" s="194"/>
    </row>
    <row r="80" spans="2:15" ht="15" thickBot="1">
      <c r="B80" s="195" t="s">
        <v>279</v>
      </c>
      <c r="C80" s="352" t="s">
        <v>270</v>
      </c>
      <c r="D80" s="353"/>
      <c r="E80" s="353"/>
      <c r="F80" s="353"/>
      <c r="G80" s="353"/>
      <c r="H80" s="353"/>
      <c r="I80" s="353"/>
      <c r="J80" s="354"/>
      <c r="K80" s="196"/>
      <c r="L80" s="196"/>
      <c r="M80" s="196"/>
      <c r="N80" s="196"/>
      <c r="O80" s="197"/>
    </row>
    <row r="81" spans="2:15">
      <c r="B81" s="198"/>
      <c r="C81" s="199" t="s">
        <v>280</v>
      </c>
      <c r="D81" s="199"/>
      <c r="E81" s="199"/>
      <c r="F81" s="199"/>
      <c r="G81" s="199"/>
      <c r="H81" s="199"/>
      <c r="I81" s="199"/>
      <c r="J81" s="199"/>
      <c r="K81" s="199"/>
      <c r="L81" s="199"/>
      <c r="M81" s="199"/>
      <c r="N81" s="199"/>
      <c r="O81" s="200" t="s">
        <v>257</v>
      </c>
    </row>
    <row r="82" spans="2:15">
      <c r="B82" s="201" t="s">
        <v>22</v>
      </c>
      <c r="C82" s="348" t="s">
        <v>281</v>
      </c>
      <c r="D82" s="349"/>
      <c r="E82" s="349"/>
      <c r="F82" s="349"/>
      <c r="G82" s="349"/>
      <c r="H82" s="349"/>
      <c r="I82" s="349"/>
      <c r="J82" s="350"/>
      <c r="K82" s="202" t="s">
        <v>23</v>
      </c>
      <c r="L82" s="203"/>
      <c r="M82" s="203"/>
      <c r="N82" s="203"/>
      <c r="O82" s="180" t="s">
        <v>270</v>
      </c>
    </row>
    <row r="83" spans="2:15">
      <c r="B83" s="201" t="s">
        <v>34</v>
      </c>
      <c r="C83" s="204" t="s">
        <v>270</v>
      </c>
      <c r="D83" s="204" t="s">
        <v>260</v>
      </c>
      <c r="E83" s="204" t="s">
        <v>270</v>
      </c>
      <c r="F83" s="204" t="s">
        <v>270</v>
      </c>
      <c r="G83" s="204" t="s">
        <v>270</v>
      </c>
      <c r="H83" s="204" t="s">
        <v>270</v>
      </c>
      <c r="I83" s="204" t="s">
        <v>270</v>
      </c>
      <c r="J83" s="204" t="s">
        <v>260</v>
      </c>
      <c r="K83" s="205" t="s">
        <v>195</v>
      </c>
      <c r="L83" s="206" t="s">
        <v>195</v>
      </c>
      <c r="M83" s="206" t="s">
        <v>195</v>
      </c>
      <c r="N83" s="206" t="s">
        <v>195</v>
      </c>
      <c r="O83" s="180" t="s">
        <v>270</v>
      </c>
    </row>
    <row r="84" spans="2:15" ht="27">
      <c r="B84" s="207" t="s">
        <v>28</v>
      </c>
      <c r="C84" s="351" t="s">
        <v>282</v>
      </c>
      <c r="D84" s="349"/>
      <c r="E84" s="349"/>
      <c r="F84" s="349"/>
      <c r="G84" s="349"/>
      <c r="H84" s="349"/>
      <c r="I84" s="349"/>
      <c r="J84" s="350"/>
      <c r="K84" s="208" t="s">
        <v>349</v>
      </c>
      <c r="L84" s="202" t="s">
        <v>351</v>
      </c>
      <c r="M84" s="202" t="s">
        <v>349</v>
      </c>
      <c r="N84" s="202" t="s">
        <v>351</v>
      </c>
      <c r="O84" s="209"/>
    </row>
    <row r="85" spans="2:15" ht="88.15" customHeight="1">
      <c r="B85" s="201" t="s">
        <v>29</v>
      </c>
      <c r="C85" s="210" t="s">
        <v>264</v>
      </c>
      <c r="D85" s="210" t="s">
        <v>63</v>
      </c>
      <c r="E85" s="210" t="s">
        <v>265</v>
      </c>
      <c r="F85" s="210" t="s">
        <v>266</v>
      </c>
      <c r="G85" s="210" t="s">
        <v>283</v>
      </c>
      <c r="H85" s="210" t="s">
        <v>267</v>
      </c>
      <c r="I85" s="210" t="s">
        <v>284</v>
      </c>
      <c r="J85" s="210" t="s">
        <v>285</v>
      </c>
      <c r="K85" s="208" t="s">
        <v>350</v>
      </c>
      <c r="L85" s="202" t="s">
        <v>352</v>
      </c>
      <c r="M85" s="211" t="s">
        <v>335</v>
      </c>
      <c r="N85" s="211" t="s">
        <v>334</v>
      </c>
      <c r="O85" s="180" t="s">
        <v>333</v>
      </c>
    </row>
    <row r="86" spans="2:15" ht="72.75" customHeight="1" thickBot="1">
      <c r="B86" s="212" t="s">
        <v>31</v>
      </c>
      <c r="C86" s="213" t="s">
        <v>200</v>
      </c>
      <c r="D86" s="213" t="s">
        <v>127</v>
      </c>
      <c r="E86" s="213" t="s">
        <v>200</v>
      </c>
      <c r="F86" s="213" t="s">
        <v>200</v>
      </c>
      <c r="G86" s="213" t="s">
        <v>200</v>
      </c>
      <c r="H86" s="213" t="s">
        <v>200</v>
      </c>
      <c r="I86" s="214" t="s">
        <v>200</v>
      </c>
      <c r="J86" s="213" t="s">
        <v>200</v>
      </c>
      <c r="K86" s="215" t="s">
        <v>227</v>
      </c>
      <c r="L86" s="215" t="s">
        <v>227</v>
      </c>
      <c r="M86" s="216" t="s">
        <v>336</v>
      </c>
      <c r="N86" s="216" t="s">
        <v>337</v>
      </c>
      <c r="O86" s="217" t="s">
        <v>314</v>
      </c>
    </row>
    <row r="87" spans="2:15" ht="14.25" thickTop="1">
      <c r="B87" s="218" t="s">
        <v>363</v>
      </c>
      <c r="C87" s="219" t="s">
        <v>273</v>
      </c>
      <c r="D87" s="219" t="s">
        <v>273</v>
      </c>
      <c r="E87" s="219" t="s">
        <v>273</v>
      </c>
      <c r="F87" s="220">
        <v>0</v>
      </c>
      <c r="G87" s="220">
        <v>0</v>
      </c>
      <c r="H87" s="219" t="s">
        <v>273</v>
      </c>
      <c r="I87" s="219" t="s">
        <v>273</v>
      </c>
      <c r="J87" s="219" t="s">
        <v>273</v>
      </c>
      <c r="K87" s="182" t="s">
        <v>362</v>
      </c>
      <c r="L87" s="221" t="s">
        <v>362</v>
      </c>
      <c r="M87" s="221" t="s">
        <v>254</v>
      </c>
      <c r="N87" s="221" t="s">
        <v>254</v>
      </c>
      <c r="O87" s="223" t="s">
        <v>296</v>
      </c>
    </row>
    <row r="88" spans="2:15">
      <c r="B88" s="224" t="s">
        <v>400</v>
      </c>
      <c r="C88" s="225" t="s">
        <v>273</v>
      </c>
      <c r="D88" s="225" t="s">
        <v>273</v>
      </c>
      <c r="E88" s="225" t="s">
        <v>273</v>
      </c>
      <c r="F88" s="226">
        <v>0</v>
      </c>
      <c r="G88" s="226">
        <v>1</v>
      </c>
      <c r="H88" s="225" t="s">
        <v>273</v>
      </c>
      <c r="I88" s="225" t="s">
        <v>273</v>
      </c>
      <c r="J88" s="225" t="s">
        <v>273</v>
      </c>
      <c r="K88" s="183" t="s">
        <v>286</v>
      </c>
      <c r="L88" s="227" t="s">
        <v>353</v>
      </c>
      <c r="M88" s="227" t="s">
        <v>338</v>
      </c>
      <c r="N88" s="227" t="s">
        <v>233</v>
      </c>
      <c r="O88" s="229" t="s">
        <v>347</v>
      </c>
    </row>
    <row r="89" spans="2:15">
      <c r="B89" s="224" t="s">
        <v>401</v>
      </c>
      <c r="C89" s="225" t="s">
        <v>273</v>
      </c>
      <c r="D89" s="225" t="s">
        <v>273</v>
      </c>
      <c r="E89" s="225" t="s">
        <v>273</v>
      </c>
      <c r="F89" s="226">
        <v>0</v>
      </c>
      <c r="G89" s="226">
        <v>1</v>
      </c>
      <c r="H89" s="225" t="s">
        <v>273</v>
      </c>
      <c r="I89" s="225" t="s">
        <v>273</v>
      </c>
      <c r="J89" s="225" t="s">
        <v>273</v>
      </c>
      <c r="K89" s="183" t="s">
        <v>286</v>
      </c>
      <c r="L89" s="227" t="s">
        <v>353</v>
      </c>
      <c r="M89" s="227" t="s">
        <v>338</v>
      </c>
      <c r="N89" s="227" t="s">
        <v>201</v>
      </c>
      <c r="O89" s="230" t="s">
        <v>348</v>
      </c>
    </row>
    <row r="90" spans="2:15">
      <c r="B90" s="224" t="s">
        <v>402</v>
      </c>
      <c r="C90" s="225" t="s">
        <v>273</v>
      </c>
      <c r="D90" s="225" t="s">
        <v>273</v>
      </c>
      <c r="E90" s="225" t="s">
        <v>273</v>
      </c>
      <c r="F90" s="226">
        <v>0</v>
      </c>
      <c r="G90" s="226">
        <v>1</v>
      </c>
      <c r="H90" s="225" t="s">
        <v>273</v>
      </c>
      <c r="I90" s="225" t="s">
        <v>273</v>
      </c>
      <c r="J90" s="225" t="s">
        <v>273</v>
      </c>
      <c r="K90" s="183" t="s">
        <v>286</v>
      </c>
      <c r="L90" s="227" t="s">
        <v>353</v>
      </c>
      <c r="M90" s="227" t="s">
        <v>340</v>
      </c>
      <c r="N90" s="227" t="s">
        <v>233</v>
      </c>
      <c r="O90" s="230" t="s">
        <v>348</v>
      </c>
    </row>
    <row r="91" spans="2:15">
      <c r="B91" s="224" t="s">
        <v>403</v>
      </c>
      <c r="C91" s="225" t="s">
        <v>273</v>
      </c>
      <c r="D91" s="225" t="s">
        <v>273</v>
      </c>
      <c r="E91" s="225" t="s">
        <v>273</v>
      </c>
      <c r="F91" s="226">
        <v>0</v>
      </c>
      <c r="G91" s="226">
        <v>1</v>
      </c>
      <c r="H91" s="225" t="s">
        <v>273</v>
      </c>
      <c r="I91" s="225" t="s">
        <v>273</v>
      </c>
      <c r="J91" s="225" t="s">
        <v>273</v>
      </c>
      <c r="K91" s="183" t="s">
        <v>286</v>
      </c>
      <c r="L91" s="227" t="s">
        <v>353</v>
      </c>
      <c r="M91" s="227" t="s">
        <v>340</v>
      </c>
      <c r="N91" s="227" t="s">
        <v>201</v>
      </c>
      <c r="O91" s="230" t="s">
        <v>348</v>
      </c>
    </row>
    <row r="92" spans="2:15">
      <c r="B92" s="224" t="s">
        <v>404</v>
      </c>
      <c r="C92" s="225" t="s">
        <v>273</v>
      </c>
      <c r="D92" s="225" t="s">
        <v>273</v>
      </c>
      <c r="E92" s="225" t="s">
        <v>273</v>
      </c>
      <c r="F92" s="226">
        <v>0</v>
      </c>
      <c r="G92" s="226">
        <v>1</v>
      </c>
      <c r="H92" s="225" t="s">
        <v>273</v>
      </c>
      <c r="I92" s="225" t="s">
        <v>273</v>
      </c>
      <c r="J92" s="225" t="s">
        <v>273</v>
      </c>
      <c r="K92" s="183" t="s">
        <v>339</v>
      </c>
      <c r="L92" s="227" t="s">
        <v>342</v>
      </c>
      <c r="M92" s="227" t="s">
        <v>197</v>
      </c>
      <c r="N92" s="227" t="s">
        <v>355</v>
      </c>
      <c r="O92" s="230" t="s">
        <v>347</v>
      </c>
    </row>
    <row r="93" spans="2:15">
      <c r="B93" s="224" t="s">
        <v>405</v>
      </c>
      <c r="C93" s="225" t="s">
        <v>273</v>
      </c>
      <c r="D93" s="225" t="s">
        <v>273</v>
      </c>
      <c r="E93" s="225" t="s">
        <v>273</v>
      </c>
      <c r="F93" s="226">
        <v>0</v>
      </c>
      <c r="G93" s="226">
        <v>1</v>
      </c>
      <c r="H93" s="225" t="s">
        <v>273</v>
      </c>
      <c r="I93" s="225" t="s">
        <v>273</v>
      </c>
      <c r="J93" s="225" t="s">
        <v>273</v>
      </c>
      <c r="K93" s="183" t="s">
        <v>339</v>
      </c>
      <c r="L93" s="227" t="s">
        <v>342</v>
      </c>
      <c r="M93" s="227" t="s">
        <v>198</v>
      </c>
      <c r="N93" s="227" t="s">
        <v>355</v>
      </c>
      <c r="O93" s="230" t="s">
        <v>348</v>
      </c>
    </row>
    <row r="94" spans="2:15">
      <c r="B94" s="224" t="s">
        <v>406</v>
      </c>
      <c r="C94" s="225" t="s">
        <v>273</v>
      </c>
      <c r="D94" s="225" t="s">
        <v>273</v>
      </c>
      <c r="E94" s="225" t="s">
        <v>273</v>
      </c>
      <c r="F94" s="226">
        <v>0</v>
      </c>
      <c r="G94" s="226">
        <v>1</v>
      </c>
      <c r="H94" s="225" t="s">
        <v>273</v>
      </c>
      <c r="I94" s="225" t="s">
        <v>273</v>
      </c>
      <c r="J94" s="225" t="s">
        <v>273</v>
      </c>
      <c r="K94" s="183" t="s">
        <v>339</v>
      </c>
      <c r="L94" s="227" t="s">
        <v>344</v>
      </c>
      <c r="M94" s="227" t="s">
        <v>197</v>
      </c>
      <c r="N94" s="227" t="s">
        <v>197</v>
      </c>
      <c r="O94" s="230" t="s">
        <v>347</v>
      </c>
    </row>
    <row r="95" spans="2:15">
      <c r="B95" s="224" t="s">
        <v>407</v>
      </c>
      <c r="C95" s="225" t="s">
        <v>273</v>
      </c>
      <c r="D95" s="225" t="s">
        <v>273</v>
      </c>
      <c r="E95" s="225" t="s">
        <v>273</v>
      </c>
      <c r="F95" s="226">
        <v>0</v>
      </c>
      <c r="G95" s="226">
        <v>1</v>
      </c>
      <c r="H95" s="225" t="s">
        <v>273</v>
      </c>
      <c r="I95" s="225" t="s">
        <v>273</v>
      </c>
      <c r="J95" s="225" t="s">
        <v>273</v>
      </c>
      <c r="K95" s="183" t="s">
        <v>339</v>
      </c>
      <c r="L95" s="227" t="s">
        <v>344</v>
      </c>
      <c r="M95" s="227" t="s">
        <v>197</v>
      </c>
      <c r="N95" s="227" t="s">
        <v>198</v>
      </c>
      <c r="O95" s="230" t="s">
        <v>347</v>
      </c>
    </row>
    <row r="96" spans="2:15">
      <c r="B96" s="224" t="s">
        <v>408</v>
      </c>
      <c r="C96" s="225" t="s">
        <v>273</v>
      </c>
      <c r="D96" s="225" t="s">
        <v>273</v>
      </c>
      <c r="E96" s="225" t="s">
        <v>273</v>
      </c>
      <c r="F96" s="226">
        <v>0</v>
      </c>
      <c r="G96" s="226">
        <v>1</v>
      </c>
      <c r="H96" s="225" t="s">
        <v>273</v>
      </c>
      <c r="I96" s="225" t="s">
        <v>273</v>
      </c>
      <c r="J96" s="225" t="s">
        <v>273</v>
      </c>
      <c r="K96" s="183" t="s">
        <v>339</v>
      </c>
      <c r="L96" s="227" t="s">
        <v>344</v>
      </c>
      <c r="M96" s="227" t="s">
        <v>198</v>
      </c>
      <c r="N96" s="227" t="s">
        <v>197</v>
      </c>
      <c r="O96" s="230" t="s">
        <v>348</v>
      </c>
    </row>
    <row r="97" spans="2:15">
      <c r="B97" s="224" t="s">
        <v>409</v>
      </c>
      <c r="C97" s="225" t="s">
        <v>273</v>
      </c>
      <c r="D97" s="225" t="s">
        <v>273</v>
      </c>
      <c r="E97" s="225" t="s">
        <v>273</v>
      </c>
      <c r="F97" s="226">
        <v>0</v>
      </c>
      <c r="G97" s="226">
        <v>1</v>
      </c>
      <c r="H97" s="225" t="s">
        <v>273</v>
      </c>
      <c r="I97" s="225" t="s">
        <v>273</v>
      </c>
      <c r="J97" s="225" t="s">
        <v>273</v>
      </c>
      <c r="K97" s="183" t="s">
        <v>339</v>
      </c>
      <c r="L97" s="227" t="s">
        <v>344</v>
      </c>
      <c r="M97" s="227" t="s">
        <v>198</v>
      </c>
      <c r="N97" s="227" t="s">
        <v>198</v>
      </c>
      <c r="O97" s="230" t="s">
        <v>348</v>
      </c>
    </row>
    <row r="98" spans="2:15">
      <c r="B98" s="224" t="s">
        <v>410</v>
      </c>
      <c r="C98" s="225" t="s">
        <v>273</v>
      </c>
      <c r="D98" s="225" t="s">
        <v>273</v>
      </c>
      <c r="E98" s="225" t="s">
        <v>273</v>
      </c>
      <c r="F98" s="226">
        <v>0</v>
      </c>
      <c r="G98" s="226">
        <v>1</v>
      </c>
      <c r="H98" s="225" t="s">
        <v>273</v>
      </c>
      <c r="I98" s="225" t="s">
        <v>273</v>
      </c>
      <c r="J98" s="225" t="s">
        <v>273</v>
      </c>
      <c r="K98" s="183" t="s">
        <v>339</v>
      </c>
      <c r="L98" s="227" t="s">
        <v>346</v>
      </c>
      <c r="M98" s="227" t="s">
        <v>197</v>
      </c>
      <c r="N98" s="227" t="s">
        <v>197</v>
      </c>
      <c r="O98" s="230" t="s">
        <v>347</v>
      </c>
    </row>
    <row r="99" spans="2:15">
      <c r="B99" s="224" t="s">
        <v>411</v>
      </c>
      <c r="C99" s="225" t="s">
        <v>273</v>
      </c>
      <c r="D99" s="225" t="s">
        <v>273</v>
      </c>
      <c r="E99" s="225" t="s">
        <v>273</v>
      </c>
      <c r="F99" s="226">
        <v>0</v>
      </c>
      <c r="G99" s="226">
        <v>1</v>
      </c>
      <c r="H99" s="225" t="s">
        <v>273</v>
      </c>
      <c r="I99" s="225" t="s">
        <v>273</v>
      </c>
      <c r="J99" s="225" t="s">
        <v>273</v>
      </c>
      <c r="K99" s="183" t="s">
        <v>339</v>
      </c>
      <c r="L99" s="227" t="s">
        <v>346</v>
      </c>
      <c r="M99" s="227" t="s">
        <v>197</v>
      </c>
      <c r="N99" s="227" t="s">
        <v>198</v>
      </c>
      <c r="O99" s="230" t="s">
        <v>347</v>
      </c>
    </row>
    <row r="100" spans="2:15">
      <c r="B100" s="224" t="s">
        <v>412</v>
      </c>
      <c r="C100" s="225" t="s">
        <v>273</v>
      </c>
      <c r="D100" s="225" t="s">
        <v>273</v>
      </c>
      <c r="E100" s="225" t="s">
        <v>273</v>
      </c>
      <c r="F100" s="226">
        <v>0</v>
      </c>
      <c r="G100" s="226">
        <v>1</v>
      </c>
      <c r="H100" s="225" t="s">
        <v>273</v>
      </c>
      <c r="I100" s="225" t="s">
        <v>273</v>
      </c>
      <c r="J100" s="225" t="s">
        <v>273</v>
      </c>
      <c r="K100" s="183" t="s">
        <v>339</v>
      </c>
      <c r="L100" s="227" t="s">
        <v>346</v>
      </c>
      <c r="M100" s="227" t="s">
        <v>198</v>
      </c>
      <c r="N100" s="227" t="s">
        <v>197</v>
      </c>
      <c r="O100" s="230" t="s">
        <v>348</v>
      </c>
    </row>
    <row r="101" spans="2:15">
      <c r="B101" s="224" t="s">
        <v>413</v>
      </c>
      <c r="C101" s="225" t="s">
        <v>273</v>
      </c>
      <c r="D101" s="225" t="s">
        <v>273</v>
      </c>
      <c r="E101" s="225" t="s">
        <v>273</v>
      </c>
      <c r="F101" s="226">
        <v>0</v>
      </c>
      <c r="G101" s="226">
        <v>1</v>
      </c>
      <c r="H101" s="225" t="s">
        <v>273</v>
      </c>
      <c r="I101" s="225" t="s">
        <v>273</v>
      </c>
      <c r="J101" s="225" t="s">
        <v>273</v>
      </c>
      <c r="K101" s="183" t="s">
        <v>339</v>
      </c>
      <c r="L101" s="227" t="s">
        <v>346</v>
      </c>
      <c r="M101" s="227" t="s">
        <v>198</v>
      </c>
      <c r="N101" s="227" t="s">
        <v>198</v>
      </c>
      <c r="O101" s="230" t="s">
        <v>348</v>
      </c>
    </row>
    <row r="102" spans="2:15">
      <c r="B102" s="224" t="s">
        <v>414</v>
      </c>
      <c r="C102" s="225" t="s">
        <v>273</v>
      </c>
      <c r="D102" s="225" t="s">
        <v>273</v>
      </c>
      <c r="E102" s="225" t="s">
        <v>273</v>
      </c>
      <c r="F102" s="226">
        <v>0</v>
      </c>
      <c r="G102" s="226">
        <v>1</v>
      </c>
      <c r="H102" s="225" t="s">
        <v>273</v>
      </c>
      <c r="I102" s="225" t="s">
        <v>273</v>
      </c>
      <c r="J102" s="225" t="s">
        <v>273</v>
      </c>
      <c r="K102" s="183" t="s">
        <v>342</v>
      </c>
      <c r="L102" s="227" t="s">
        <v>353</v>
      </c>
      <c r="M102" s="227" t="s">
        <v>254</v>
      </c>
      <c r="N102" s="227" t="s">
        <v>338</v>
      </c>
      <c r="O102" s="230" t="s">
        <v>347</v>
      </c>
    </row>
    <row r="103" spans="2:15">
      <c r="B103" s="224" t="s">
        <v>415</v>
      </c>
      <c r="C103" s="225" t="s">
        <v>273</v>
      </c>
      <c r="D103" s="225" t="s">
        <v>273</v>
      </c>
      <c r="E103" s="225" t="s">
        <v>273</v>
      </c>
      <c r="F103" s="226">
        <v>0</v>
      </c>
      <c r="G103" s="226">
        <v>1</v>
      </c>
      <c r="H103" s="225" t="s">
        <v>273</v>
      </c>
      <c r="I103" s="225" t="s">
        <v>273</v>
      </c>
      <c r="J103" s="225" t="s">
        <v>273</v>
      </c>
      <c r="K103" s="183" t="s">
        <v>342</v>
      </c>
      <c r="L103" s="227" t="s">
        <v>353</v>
      </c>
      <c r="M103" s="227" t="s">
        <v>254</v>
      </c>
      <c r="N103" s="227" t="s">
        <v>201</v>
      </c>
      <c r="O103" s="230" t="s">
        <v>348</v>
      </c>
    </row>
    <row r="104" spans="2:15">
      <c r="B104" s="224" t="s">
        <v>416</v>
      </c>
      <c r="C104" s="225" t="s">
        <v>273</v>
      </c>
      <c r="D104" s="225" t="s">
        <v>273</v>
      </c>
      <c r="E104" s="225" t="s">
        <v>273</v>
      </c>
      <c r="F104" s="226">
        <v>0</v>
      </c>
      <c r="G104" s="226">
        <v>1</v>
      </c>
      <c r="H104" s="225" t="s">
        <v>273</v>
      </c>
      <c r="I104" s="225" t="s">
        <v>273</v>
      </c>
      <c r="J104" s="225" t="s">
        <v>273</v>
      </c>
      <c r="K104" s="183" t="s">
        <v>342</v>
      </c>
      <c r="L104" s="227" t="s">
        <v>341</v>
      </c>
      <c r="M104" s="227" t="s">
        <v>354</v>
      </c>
      <c r="N104" s="227" t="s">
        <v>354</v>
      </c>
      <c r="O104" s="230" t="s">
        <v>347</v>
      </c>
    </row>
    <row r="105" spans="2:15">
      <c r="B105" s="224" t="s">
        <v>417</v>
      </c>
      <c r="C105" s="225" t="s">
        <v>273</v>
      </c>
      <c r="D105" s="225" t="s">
        <v>273</v>
      </c>
      <c r="E105" s="225" t="s">
        <v>273</v>
      </c>
      <c r="F105" s="226">
        <v>0</v>
      </c>
      <c r="G105" s="226">
        <v>1</v>
      </c>
      <c r="H105" s="225" t="s">
        <v>273</v>
      </c>
      <c r="I105" s="225" t="s">
        <v>273</v>
      </c>
      <c r="J105" s="225" t="s">
        <v>273</v>
      </c>
      <c r="K105" s="183" t="s">
        <v>342</v>
      </c>
      <c r="L105" s="227" t="s">
        <v>343</v>
      </c>
      <c r="M105" s="227" t="s">
        <v>354</v>
      </c>
      <c r="N105" s="227" t="s">
        <v>354</v>
      </c>
      <c r="O105" s="230" t="s">
        <v>347</v>
      </c>
    </row>
    <row r="106" spans="2:15">
      <c r="B106" s="224" t="s">
        <v>418</v>
      </c>
      <c r="C106" s="225" t="s">
        <v>273</v>
      </c>
      <c r="D106" s="225" t="s">
        <v>273</v>
      </c>
      <c r="E106" s="225" t="s">
        <v>273</v>
      </c>
      <c r="F106" s="226">
        <v>0</v>
      </c>
      <c r="G106" s="226">
        <v>1</v>
      </c>
      <c r="H106" s="225" t="s">
        <v>273</v>
      </c>
      <c r="I106" s="225" t="s">
        <v>273</v>
      </c>
      <c r="J106" s="225" t="s">
        <v>273</v>
      </c>
      <c r="K106" s="183" t="s">
        <v>342</v>
      </c>
      <c r="L106" s="227" t="s">
        <v>345</v>
      </c>
      <c r="M106" s="227" t="s">
        <v>354</v>
      </c>
      <c r="N106" s="227" t="s">
        <v>354</v>
      </c>
      <c r="O106" s="230" t="s">
        <v>347</v>
      </c>
    </row>
    <row r="107" spans="2:15">
      <c r="B107" s="224" t="s">
        <v>419</v>
      </c>
      <c r="C107" s="225" t="s">
        <v>273</v>
      </c>
      <c r="D107" s="225" t="s">
        <v>273</v>
      </c>
      <c r="E107" s="225" t="s">
        <v>273</v>
      </c>
      <c r="F107" s="226">
        <v>0</v>
      </c>
      <c r="G107" s="226">
        <v>1</v>
      </c>
      <c r="H107" s="225" t="s">
        <v>273</v>
      </c>
      <c r="I107" s="225" t="s">
        <v>273</v>
      </c>
      <c r="J107" s="225" t="s">
        <v>273</v>
      </c>
      <c r="K107" s="183" t="s">
        <v>344</v>
      </c>
      <c r="L107" s="227" t="s">
        <v>339</v>
      </c>
      <c r="M107" s="227" t="s">
        <v>197</v>
      </c>
      <c r="N107" s="227" t="s">
        <v>197</v>
      </c>
      <c r="O107" s="230" t="s">
        <v>347</v>
      </c>
    </row>
    <row r="108" spans="2:15">
      <c r="B108" s="224" t="s">
        <v>420</v>
      </c>
      <c r="C108" s="225" t="s">
        <v>273</v>
      </c>
      <c r="D108" s="225" t="s">
        <v>273</v>
      </c>
      <c r="E108" s="225" t="s">
        <v>273</v>
      </c>
      <c r="F108" s="226">
        <v>0</v>
      </c>
      <c r="G108" s="226">
        <v>1</v>
      </c>
      <c r="H108" s="225" t="s">
        <v>273</v>
      </c>
      <c r="I108" s="225" t="s">
        <v>273</v>
      </c>
      <c r="J108" s="225" t="s">
        <v>273</v>
      </c>
      <c r="K108" s="183" t="s">
        <v>344</v>
      </c>
      <c r="L108" s="227" t="s">
        <v>339</v>
      </c>
      <c r="M108" s="227" t="s">
        <v>197</v>
      </c>
      <c r="N108" s="227" t="s">
        <v>198</v>
      </c>
      <c r="O108" s="230" t="s">
        <v>348</v>
      </c>
    </row>
    <row r="109" spans="2:15">
      <c r="B109" s="224" t="s">
        <v>421</v>
      </c>
      <c r="C109" s="225" t="s">
        <v>273</v>
      </c>
      <c r="D109" s="225" t="s">
        <v>273</v>
      </c>
      <c r="E109" s="225" t="s">
        <v>273</v>
      </c>
      <c r="F109" s="226">
        <v>0</v>
      </c>
      <c r="G109" s="226">
        <v>1</v>
      </c>
      <c r="H109" s="225" t="s">
        <v>273</v>
      </c>
      <c r="I109" s="225" t="s">
        <v>273</v>
      </c>
      <c r="J109" s="225" t="s">
        <v>273</v>
      </c>
      <c r="K109" s="183" t="s">
        <v>344</v>
      </c>
      <c r="L109" s="227" t="s">
        <v>339</v>
      </c>
      <c r="M109" s="227" t="s">
        <v>198</v>
      </c>
      <c r="N109" s="227" t="s">
        <v>197</v>
      </c>
      <c r="O109" s="230" t="s">
        <v>347</v>
      </c>
    </row>
    <row r="110" spans="2:15">
      <c r="B110" s="224" t="s">
        <v>422</v>
      </c>
      <c r="C110" s="225" t="s">
        <v>273</v>
      </c>
      <c r="D110" s="225" t="s">
        <v>273</v>
      </c>
      <c r="E110" s="225" t="s">
        <v>273</v>
      </c>
      <c r="F110" s="226">
        <v>0</v>
      </c>
      <c r="G110" s="226">
        <v>1</v>
      </c>
      <c r="H110" s="225" t="s">
        <v>273</v>
      </c>
      <c r="I110" s="225" t="s">
        <v>273</v>
      </c>
      <c r="J110" s="225" t="s">
        <v>273</v>
      </c>
      <c r="K110" s="183" t="s">
        <v>344</v>
      </c>
      <c r="L110" s="227" t="s">
        <v>339</v>
      </c>
      <c r="M110" s="227" t="s">
        <v>198</v>
      </c>
      <c r="N110" s="227" t="s">
        <v>198</v>
      </c>
      <c r="O110" s="230" t="s">
        <v>348</v>
      </c>
    </row>
    <row r="111" spans="2:15">
      <c r="B111" s="224" t="s">
        <v>423</v>
      </c>
      <c r="C111" s="225" t="s">
        <v>273</v>
      </c>
      <c r="D111" s="225" t="s">
        <v>273</v>
      </c>
      <c r="E111" s="225" t="s">
        <v>273</v>
      </c>
      <c r="F111" s="226">
        <v>0</v>
      </c>
      <c r="G111" s="226">
        <v>1</v>
      </c>
      <c r="H111" s="225" t="s">
        <v>273</v>
      </c>
      <c r="I111" s="225" t="s">
        <v>273</v>
      </c>
      <c r="J111" s="225" t="s">
        <v>273</v>
      </c>
      <c r="K111" s="183" t="s">
        <v>344</v>
      </c>
      <c r="L111" s="227" t="s">
        <v>341</v>
      </c>
      <c r="M111" s="227" t="s">
        <v>354</v>
      </c>
      <c r="N111" s="227" t="s">
        <v>354</v>
      </c>
      <c r="O111" s="230" t="s">
        <v>347</v>
      </c>
    </row>
    <row r="112" spans="2:15">
      <c r="B112" s="224" t="s">
        <v>424</v>
      </c>
      <c r="C112" s="225" t="s">
        <v>273</v>
      </c>
      <c r="D112" s="225" t="s">
        <v>273</v>
      </c>
      <c r="E112" s="225" t="s">
        <v>273</v>
      </c>
      <c r="F112" s="226">
        <v>0</v>
      </c>
      <c r="G112" s="226">
        <v>1</v>
      </c>
      <c r="H112" s="225" t="s">
        <v>273</v>
      </c>
      <c r="I112" s="225" t="s">
        <v>273</v>
      </c>
      <c r="J112" s="225" t="s">
        <v>273</v>
      </c>
      <c r="K112" s="183" t="s">
        <v>344</v>
      </c>
      <c r="L112" s="227" t="s">
        <v>343</v>
      </c>
      <c r="M112" s="227" t="s">
        <v>354</v>
      </c>
      <c r="N112" s="227" t="s">
        <v>354</v>
      </c>
      <c r="O112" s="230" t="s">
        <v>347</v>
      </c>
    </row>
    <row r="113" spans="2:15">
      <c r="B113" s="224" t="s">
        <v>425</v>
      </c>
      <c r="C113" s="225" t="s">
        <v>273</v>
      </c>
      <c r="D113" s="225" t="s">
        <v>273</v>
      </c>
      <c r="E113" s="225" t="s">
        <v>273</v>
      </c>
      <c r="F113" s="226">
        <v>0</v>
      </c>
      <c r="G113" s="226">
        <v>1</v>
      </c>
      <c r="H113" s="225" t="s">
        <v>273</v>
      </c>
      <c r="I113" s="225" t="s">
        <v>273</v>
      </c>
      <c r="J113" s="225" t="s">
        <v>273</v>
      </c>
      <c r="K113" s="183" t="s">
        <v>344</v>
      </c>
      <c r="L113" s="227" t="s">
        <v>345</v>
      </c>
      <c r="M113" s="227" t="s">
        <v>354</v>
      </c>
      <c r="N113" s="227" t="s">
        <v>354</v>
      </c>
      <c r="O113" s="230" t="s">
        <v>347</v>
      </c>
    </row>
    <row r="114" spans="2:15">
      <c r="B114" s="224" t="s">
        <v>426</v>
      </c>
      <c r="C114" s="225" t="s">
        <v>273</v>
      </c>
      <c r="D114" s="225" t="s">
        <v>273</v>
      </c>
      <c r="E114" s="225" t="s">
        <v>273</v>
      </c>
      <c r="F114" s="226">
        <v>0</v>
      </c>
      <c r="G114" s="226">
        <v>1</v>
      </c>
      <c r="H114" s="225" t="s">
        <v>273</v>
      </c>
      <c r="I114" s="225" t="s">
        <v>273</v>
      </c>
      <c r="J114" s="225" t="s">
        <v>273</v>
      </c>
      <c r="K114" s="183" t="s">
        <v>346</v>
      </c>
      <c r="L114" s="227" t="s">
        <v>339</v>
      </c>
      <c r="M114" s="227" t="s">
        <v>355</v>
      </c>
      <c r="N114" s="227" t="s">
        <v>197</v>
      </c>
      <c r="O114" s="230" t="s">
        <v>295</v>
      </c>
    </row>
    <row r="115" spans="2:15">
      <c r="B115" s="224" t="s">
        <v>427</v>
      </c>
      <c r="C115" s="225" t="s">
        <v>273</v>
      </c>
      <c r="D115" s="225" t="s">
        <v>273</v>
      </c>
      <c r="E115" s="225" t="s">
        <v>273</v>
      </c>
      <c r="F115" s="226">
        <v>0</v>
      </c>
      <c r="G115" s="226">
        <v>1</v>
      </c>
      <c r="H115" s="225" t="s">
        <v>273</v>
      </c>
      <c r="I115" s="225" t="s">
        <v>273</v>
      </c>
      <c r="J115" s="225" t="s">
        <v>273</v>
      </c>
      <c r="K115" s="183" t="s">
        <v>346</v>
      </c>
      <c r="L115" s="227" t="s">
        <v>339</v>
      </c>
      <c r="M115" s="227" t="s">
        <v>355</v>
      </c>
      <c r="N115" s="227" t="s">
        <v>198</v>
      </c>
      <c r="O115" s="230" t="s">
        <v>348</v>
      </c>
    </row>
    <row r="116" spans="2:15">
      <c r="B116" s="224" t="s">
        <v>428</v>
      </c>
      <c r="C116" s="225" t="s">
        <v>273</v>
      </c>
      <c r="D116" s="225" t="s">
        <v>273</v>
      </c>
      <c r="E116" s="225" t="s">
        <v>273</v>
      </c>
      <c r="F116" s="226">
        <v>0</v>
      </c>
      <c r="G116" s="226">
        <v>1</v>
      </c>
      <c r="H116" s="225" t="s">
        <v>273</v>
      </c>
      <c r="I116" s="225" t="s">
        <v>273</v>
      </c>
      <c r="J116" s="225" t="s">
        <v>273</v>
      </c>
      <c r="K116" s="183" t="s">
        <v>346</v>
      </c>
      <c r="L116" s="227" t="s">
        <v>341</v>
      </c>
      <c r="M116" s="227" t="s">
        <v>354</v>
      </c>
      <c r="N116" s="227" t="s">
        <v>354</v>
      </c>
      <c r="O116" s="230" t="s">
        <v>295</v>
      </c>
    </row>
    <row r="117" spans="2:15">
      <c r="B117" s="224" t="s">
        <v>429</v>
      </c>
      <c r="C117" s="225" t="s">
        <v>273</v>
      </c>
      <c r="D117" s="225" t="s">
        <v>273</v>
      </c>
      <c r="E117" s="225" t="s">
        <v>273</v>
      </c>
      <c r="F117" s="226">
        <v>0</v>
      </c>
      <c r="G117" s="226">
        <v>1</v>
      </c>
      <c r="H117" s="225" t="s">
        <v>273</v>
      </c>
      <c r="I117" s="225" t="s">
        <v>273</v>
      </c>
      <c r="J117" s="225" t="s">
        <v>273</v>
      </c>
      <c r="K117" s="183" t="s">
        <v>346</v>
      </c>
      <c r="L117" s="227" t="s">
        <v>343</v>
      </c>
      <c r="M117" s="227" t="s">
        <v>354</v>
      </c>
      <c r="N117" s="227" t="s">
        <v>354</v>
      </c>
      <c r="O117" s="230" t="s">
        <v>295</v>
      </c>
    </row>
    <row r="118" spans="2:15">
      <c r="B118" s="224" t="s">
        <v>430</v>
      </c>
      <c r="C118" s="225" t="s">
        <v>273</v>
      </c>
      <c r="D118" s="225" t="s">
        <v>273</v>
      </c>
      <c r="E118" s="225" t="s">
        <v>273</v>
      </c>
      <c r="F118" s="226">
        <v>0</v>
      </c>
      <c r="G118" s="226">
        <v>1</v>
      </c>
      <c r="H118" s="225" t="s">
        <v>273</v>
      </c>
      <c r="I118" s="225" t="s">
        <v>273</v>
      </c>
      <c r="J118" s="225" t="s">
        <v>273</v>
      </c>
      <c r="K118" s="183" t="s">
        <v>346</v>
      </c>
      <c r="L118" s="227" t="s">
        <v>345</v>
      </c>
      <c r="M118" s="227" t="s">
        <v>354</v>
      </c>
      <c r="N118" s="227" t="s">
        <v>354</v>
      </c>
      <c r="O118" s="230" t="s">
        <v>295</v>
      </c>
    </row>
    <row r="119" spans="2:15">
      <c r="B119" s="224" t="s">
        <v>431</v>
      </c>
      <c r="C119" s="225" t="s">
        <v>274</v>
      </c>
      <c r="D119" s="225" t="s">
        <v>274</v>
      </c>
      <c r="E119" s="225" t="s">
        <v>274</v>
      </c>
      <c r="F119" s="226">
        <v>1</v>
      </c>
      <c r="G119" s="226">
        <v>0</v>
      </c>
      <c r="H119" s="225" t="s">
        <v>275</v>
      </c>
      <c r="I119" s="225" t="s">
        <v>274</v>
      </c>
      <c r="J119" s="225" t="s">
        <v>274</v>
      </c>
      <c r="K119" s="183" t="s">
        <v>286</v>
      </c>
      <c r="L119" s="227" t="s">
        <v>353</v>
      </c>
      <c r="M119" s="227" t="s">
        <v>338</v>
      </c>
      <c r="N119" s="227" t="s">
        <v>305</v>
      </c>
      <c r="O119" s="229" t="s">
        <v>309</v>
      </c>
    </row>
    <row r="120" spans="2:15">
      <c r="B120" s="224" t="s">
        <v>432</v>
      </c>
      <c r="C120" s="225" t="s">
        <v>274</v>
      </c>
      <c r="D120" s="225" t="s">
        <v>274</v>
      </c>
      <c r="E120" s="225" t="s">
        <v>274</v>
      </c>
      <c r="F120" s="226">
        <v>1</v>
      </c>
      <c r="G120" s="226">
        <v>0</v>
      </c>
      <c r="H120" s="225" t="s">
        <v>274</v>
      </c>
      <c r="I120" s="225" t="s">
        <v>274</v>
      </c>
      <c r="J120" s="225" t="s">
        <v>274</v>
      </c>
      <c r="K120" s="183" t="s">
        <v>286</v>
      </c>
      <c r="L120" s="227" t="s">
        <v>353</v>
      </c>
      <c r="M120" s="227" t="s">
        <v>338</v>
      </c>
      <c r="N120" s="227" t="s">
        <v>306</v>
      </c>
      <c r="O120" s="230" t="s">
        <v>310</v>
      </c>
    </row>
    <row r="121" spans="2:15">
      <c r="B121" s="224" t="s">
        <v>433</v>
      </c>
      <c r="C121" s="225" t="s">
        <v>273</v>
      </c>
      <c r="D121" s="225" t="s">
        <v>274</v>
      </c>
      <c r="E121" s="225" t="s">
        <v>275</v>
      </c>
      <c r="F121" s="226">
        <v>1</v>
      </c>
      <c r="G121" s="226">
        <v>0</v>
      </c>
      <c r="H121" s="225" t="s">
        <v>274</v>
      </c>
      <c r="I121" s="225" t="s">
        <v>274</v>
      </c>
      <c r="J121" s="225" t="s">
        <v>274</v>
      </c>
      <c r="K121" s="183" t="s">
        <v>286</v>
      </c>
      <c r="L121" s="227" t="s">
        <v>353</v>
      </c>
      <c r="M121" s="227" t="s">
        <v>340</v>
      </c>
      <c r="N121" s="227" t="s">
        <v>307</v>
      </c>
      <c r="O121" s="230" t="s">
        <v>240</v>
      </c>
    </row>
    <row r="122" spans="2:15">
      <c r="B122" s="224" t="s">
        <v>434</v>
      </c>
      <c r="C122" s="225" t="s">
        <v>274</v>
      </c>
      <c r="D122" s="225" t="s">
        <v>274</v>
      </c>
      <c r="E122" s="225" t="s">
        <v>274</v>
      </c>
      <c r="F122" s="226">
        <v>1</v>
      </c>
      <c r="G122" s="226">
        <v>0</v>
      </c>
      <c r="H122" s="225" t="s">
        <v>274</v>
      </c>
      <c r="I122" s="225" t="s">
        <v>274</v>
      </c>
      <c r="J122" s="225" t="s">
        <v>275</v>
      </c>
      <c r="K122" s="183" t="s">
        <v>286</v>
      </c>
      <c r="L122" s="227" t="s">
        <v>353</v>
      </c>
      <c r="M122" s="227" t="s">
        <v>340</v>
      </c>
      <c r="N122" s="227" t="s">
        <v>308</v>
      </c>
      <c r="O122" s="230" t="s">
        <v>240</v>
      </c>
    </row>
    <row r="123" spans="2:15">
      <c r="B123" s="224" t="s">
        <v>435</v>
      </c>
      <c r="C123" s="225" t="s">
        <v>273</v>
      </c>
      <c r="D123" s="225" t="s">
        <v>273</v>
      </c>
      <c r="E123" s="225" t="s">
        <v>273</v>
      </c>
      <c r="F123" s="226">
        <v>1</v>
      </c>
      <c r="G123" s="226">
        <v>0</v>
      </c>
      <c r="H123" s="225" t="s">
        <v>273</v>
      </c>
      <c r="I123" s="225" t="s">
        <v>273</v>
      </c>
      <c r="J123" s="225" t="s">
        <v>273</v>
      </c>
      <c r="K123" s="183" t="s">
        <v>339</v>
      </c>
      <c r="L123" s="227" t="s">
        <v>342</v>
      </c>
      <c r="M123" s="227" t="s">
        <v>197</v>
      </c>
      <c r="N123" s="227" t="s">
        <v>355</v>
      </c>
      <c r="O123" s="230" t="s">
        <v>347</v>
      </c>
    </row>
    <row r="124" spans="2:15">
      <c r="B124" s="224" t="s">
        <v>436</v>
      </c>
      <c r="C124" s="225" t="s">
        <v>273</v>
      </c>
      <c r="D124" s="225" t="s">
        <v>273</v>
      </c>
      <c r="E124" s="225" t="s">
        <v>273</v>
      </c>
      <c r="F124" s="226">
        <v>1</v>
      </c>
      <c r="G124" s="226">
        <v>0</v>
      </c>
      <c r="H124" s="225" t="s">
        <v>273</v>
      </c>
      <c r="I124" s="225" t="s">
        <v>273</v>
      </c>
      <c r="J124" s="225" t="s">
        <v>273</v>
      </c>
      <c r="K124" s="183" t="s">
        <v>339</v>
      </c>
      <c r="L124" s="227" t="s">
        <v>342</v>
      </c>
      <c r="M124" s="227" t="s">
        <v>198</v>
      </c>
      <c r="N124" s="227" t="s">
        <v>355</v>
      </c>
      <c r="O124" s="230" t="s">
        <v>240</v>
      </c>
    </row>
    <row r="125" spans="2:15">
      <c r="B125" s="224" t="s">
        <v>437</v>
      </c>
      <c r="C125" s="225" t="s">
        <v>273</v>
      </c>
      <c r="D125" s="225" t="s">
        <v>273</v>
      </c>
      <c r="E125" s="225" t="s">
        <v>273</v>
      </c>
      <c r="F125" s="226">
        <v>1</v>
      </c>
      <c r="G125" s="226">
        <v>0</v>
      </c>
      <c r="H125" s="225" t="s">
        <v>273</v>
      </c>
      <c r="I125" s="225" t="s">
        <v>273</v>
      </c>
      <c r="J125" s="225" t="s">
        <v>273</v>
      </c>
      <c r="K125" s="183" t="s">
        <v>339</v>
      </c>
      <c r="L125" s="227" t="s">
        <v>344</v>
      </c>
      <c r="M125" s="227" t="s">
        <v>197</v>
      </c>
      <c r="N125" s="227" t="s">
        <v>197</v>
      </c>
      <c r="O125" s="230" t="s">
        <v>347</v>
      </c>
    </row>
    <row r="126" spans="2:15">
      <c r="B126" s="224" t="s">
        <v>438</v>
      </c>
      <c r="C126" s="225" t="s">
        <v>273</v>
      </c>
      <c r="D126" s="225" t="s">
        <v>273</v>
      </c>
      <c r="E126" s="225" t="s">
        <v>273</v>
      </c>
      <c r="F126" s="226">
        <v>1</v>
      </c>
      <c r="G126" s="226">
        <v>0</v>
      </c>
      <c r="H126" s="225" t="s">
        <v>273</v>
      </c>
      <c r="I126" s="225" t="s">
        <v>273</v>
      </c>
      <c r="J126" s="225" t="s">
        <v>273</v>
      </c>
      <c r="K126" s="183" t="s">
        <v>339</v>
      </c>
      <c r="L126" s="227" t="s">
        <v>344</v>
      </c>
      <c r="M126" s="227" t="s">
        <v>197</v>
      </c>
      <c r="N126" s="227" t="s">
        <v>198</v>
      </c>
      <c r="O126" s="230" t="s">
        <v>348</v>
      </c>
    </row>
    <row r="127" spans="2:15">
      <c r="B127" s="224" t="s">
        <v>439</v>
      </c>
      <c r="C127" s="225" t="s">
        <v>273</v>
      </c>
      <c r="D127" s="225" t="s">
        <v>273</v>
      </c>
      <c r="E127" s="225" t="s">
        <v>273</v>
      </c>
      <c r="F127" s="226">
        <v>1</v>
      </c>
      <c r="G127" s="226">
        <v>0</v>
      </c>
      <c r="H127" s="225" t="s">
        <v>273</v>
      </c>
      <c r="I127" s="225" t="s">
        <v>273</v>
      </c>
      <c r="J127" s="225" t="s">
        <v>273</v>
      </c>
      <c r="K127" s="183" t="s">
        <v>339</v>
      </c>
      <c r="L127" s="227" t="s">
        <v>344</v>
      </c>
      <c r="M127" s="227" t="s">
        <v>198</v>
      </c>
      <c r="N127" s="227" t="s">
        <v>197</v>
      </c>
      <c r="O127" s="230" t="s">
        <v>348</v>
      </c>
    </row>
    <row r="128" spans="2:15">
      <c r="B128" s="224" t="s">
        <v>440</v>
      </c>
      <c r="C128" s="225" t="s">
        <v>273</v>
      </c>
      <c r="D128" s="225" t="s">
        <v>273</v>
      </c>
      <c r="E128" s="225" t="s">
        <v>273</v>
      </c>
      <c r="F128" s="226">
        <v>1</v>
      </c>
      <c r="G128" s="226">
        <v>0</v>
      </c>
      <c r="H128" s="225" t="s">
        <v>273</v>
      </c>
      <c r="I128" s="225" t="s">
        <v>273</v>
      </c>
      <c r="J128" s="225" t="s">
        <v>273</v>
      </c>
      <c r="K128" s="183" t="s">
        <v>339</v>
      </c>
      <c r="L128" s="227" t="s">
        <v>344</v>
      </c>
      <c r="M128" s="227" t="s">
        <v>198</v>
      </c>
      <c r="N128" s="227" t="s">
        <v>198</v>
      </c>
      <c r="O128" s="230" t="s">
        <v>348</v>
      </c>
    </row>
    <row r="129" spans="2:15">
      <c r="B129" s="224" t="s">
        <v>441</v>
      </c>
      <c r="C129" s="225" t="s">
        <v>273</v>
      </c>
      <c r="D129" s="225" t="s">
        <v>273</v>
      </c>
      <c r="E129" s="225" t="s">
        <v>273</v>
      </c>
      <c r="F129" s="226">
        <v>1</v>
      </c>
      <c r="G129" s="226">
        <v>0</v>
      </c>
      <c r="H129" s="225" t="s">
        <v>273</v>
      </c>
      <c r="I129" s="225" t="s">
        <v>273</v>
      </c>
      <c r="J129" s="225" t="s">
        <v>273</v>
      </c>
      <c r="K129" s="183" t="s">
        <v>339</v>
      </c>
      <c r="L129" s="227" t="s">
        <v>346</v>
      </c>
      <c r="M129" s="227" t="s">
        <v>197</v>
      </c>
      <c r="N129" s="227" t="s">
        <v>355</v>
      </c>
      <c r="O129" s="230" t="s">
        <v>347</v>
      </c>
    </row>
    <row r="130" spans="2:15">
      <c r="B130" s="224" t="s">
        <v>442</v>
      </c>
      <c r="C130" s="225" t="s">
        <v>273</v>
      </c>
      <c r="D130" s="225" t="s">
        <v>273</v>
      </c>
      <c r="E130" s="225" t="s">
        <v>273</v>
      </c>
      <c r="F130" s="226">
        <v>1</v>
      </c>
      <c r="G130" s="226">
        <v>0</v>
      </c>
      <c r="H130" s="225" t="s">
        <v>273</v>
      </c>
      <c r="I130" s="225" t="s">
        <v>273</v>
      </c>
      <c r="J130" s="225" t="s">
        <v>273</v>
      </c>
      <c r="K130" s="183" t="s">
        <v>339</v>
      </c>
      <c r="L130" s="227" t="s">
        <v>346</v>
      </c>
      <c r="M130" s="227" t="s">
        <v>198</v>
      </c>
      <c r="N130" s="227" t="s">
        <v>355</v>
      </c>
      <c r="O130" s="230" t="s">
        <v>348</v>
      </c>
    </row>
    <row r="131" spans="2:15">
      <c r="B131" s="224" t="s">
        <v>443</v>
      </c>
      <c r="C131" s="225" t="s">
        <v>273</v>
      </c>
      <c r="D131" s="225" t="s">
        <v>273</v>
      </c>
      <c r="E131" s="225" t="s">
        <v>273</v>
      </c>
      <c r="F131" s="226">
        <v>1</v>
      </c>
      <c r="G131" s="226">
        <v>0</v>
      </c>
      <c r="H131" s="225" t="s">
        <v>273</v>
      </c>
      <c r="I131" s="225" t="s">
        <v>273</v>
      </c>
      <c r="J131" s="225" t="s">
        <v>273</v>
      </c>
      <c r="K131" s="183" t="s">
        <v>342</v>
      </c>
      <c r="L131" s="227" t="s">
        <v>353</v>
      </c>
      <c r="M131" s="227" t="s">
        <v>254</v>
      </c>
      <c r="N131" s="227" t="s">
        <v>338</v>
      </c>
      <c r="O131" s="230" t="s">
        <v>347</v>
      </c>
    </row>
    <row r="132" spans="2:15">
      <c r="B132" s="224" t="s">
        <v>444</v>
      </c>
      <c r="C132" s="225" t="s">
        <v>273</v>
      </c>
      <c r="D132" s="225" t="s">
        <v>273</v>
      </c>
      <c r="E132" s="225" t="s">
        <v>273</v>
      </c>
      <c r="F132" s="226">
        <v>1</v>
      </c>
      <c r="G132" s="226">
        <v>0</v>
      </c>
      <c r="H132" s="225" t="s">
        <v>273</v>
      </c>
      <c r="I132" s="225" t="s">
        <v>273</v>
      </c>
      <c r="J132" s="225" t="s">
        <v>273</v>
      </c>
      <c r="K132" s="183" t="s">
        <v>342</v>
      </c>
      <c r="L132" s="227" t="s">
        <v>353</v>
      </c>
      <c r="M132" s="227" t="s">
        <v>254</v>
      </c>
      <c r="N132" s="227" t="s">
        <v>201</v>
      </c>
      <c r="O132" s="230" t="s">
        <v>348</v>
      </c>
    </row>
    <row r="133" spans="2:15">
      <c r="B133" s="224" t="s">
        <v>445</v>
      </c>
      <c r="C133" s="225" t="s">
        <v>273</v>
      </c>
      <c r="D133" s="225" t="s">
        <v>273</v>
      </c>
      <c r="E133" s="225" t="s">
        <v>273</v>
      </c>
      <c r="F133" s="226">
        <v>1</v>
      </c>
      <c r="G133" s="226">
        <v>0</v>
      </c>
      <c r="H133" s="225" t="s">
        <v>273</v>
      </c>
      <c r="I133" s="225" t="s">
        <v>273</v>
      </c>
      <c r="J133" s="225" t="s">
        <v>273</v>
      </c>
      <c r="K133" s="183" t="s">
        <v>342</v>
      </c>
      <c r="L133" s="227" t="s">
        <v>341</v>
      </c>
      <c r="M133" s="227" t="s">
        <v>355</v>
      </c>
      <c r="N133" s="227" t="s">
        <v>355</v>
      </c>
      <c r="O133" s="230" t="s">
        <v>347</v>
      </c>
    </row>
    <row r="134" spans="2:15">
      <c r="B134" s="224" t="s">
        <v>446</v>
      </c>
      <c r="C134" s="225" t="s">
        <v>273</v>
      </c>
      <c r="D134" s="225" t="s">
        <v>273</v>
      </c>
      <c r="E134" s="225" t="s">
        <v>273</v>
      </c>
      <c r="F134" s="226">
        <v>1</v>
      </c>
      <c r="G134" s="226">
        <v>0</v>
      </c>
      <c r="H134" s="225" t="s">
        <v>273</v>
      </c>
      <c r="I134" s="225" t="s">
        <v>273</v>
      </c>
      <c r="J134" s="225" t="s">
        <v>273</v>
      </c>
      <c r="K134" s="183" t="s">
        <v>342</v>
      </c>
      <c r="L134" s="227" t="s">
        <v>343</v>
      </c>
      <c r="M134" s="227" t="s">
        <v>355</v>
      </c>
      <c r="N134" s="227" t="s">
        <v>197</v>
      </c>
      <c r="O134" s="230" t="s">
        <v>347</v>
      </c>
    </row>
    <row r="135" spans="2:15">
      <c r="B135" s="224" t="s">
        <v>447</v>
      </c>
      <c r="C135" s="225" t="s">
        <v>273</v>
      </c>
      <c r="D135" s="225" t="s">
        <v>273</v>
      </c>
      <c r="E135" s="225" t="s">
        <v>273</v>
      </c>
      <c r="F135" s="226">
        <v>1</v>
      </c>
      <c r="G135" s="226">
        <v>0</v>
      </c>
      <c r="H135" s="225" t="s">
        <v>273</v>
      </c>
      <c r="I135" s="225" t="s">
        <v>273</v>
      </c>
      <c r="J135" s="225" t="s">
        <v>273</v>
      </c>
      <c r="K135" s="183" t="s">
        <v>342</v>
      </c>
      <c r="L135" s="227" t="s">
        <v>343</v>
      </c>
      <c r="M135" s="227" t="s">
        <v>355</v>
      </c>
      <c r="N135" s="227" t="s">
        <v>198</v>
      </c>
      <c r="O135" s="230" t="s">
        <v>348</v>
      </c>
    </row>
    <row r="136" spans="2:15">
      <c r="B136" s="224" t="s">
        <v>448</v>
      </c>
      <c r="C136" s="225" t="s">
        <v>273</v>
      </c>
      <c r="D136" s="225" t="s">
        <v>273</v>
      </c>
      <c r="E136" s="225" t="s">
        <v>273</v>
      </c>
      <c r="F136" s="226">
        <v>1</v>
      </c>
      <c r="G136" s="226">
        <v>0</v>
      </c>
      <c r="H136" s="225" t="s">
        <v>273</v>
      </c>
      <c r="I136" s="225" t="s">
        <v>273</v>
      </c>
      <c r="J136" s="225" t="s">
        <v>273</v>
      </c>
      <c r="K136" s="183" t="s">
        <v>342</v>
      </c>
      <c r="L136" s="227" t="s">
        <v>345</v>
      </c>
      <c r="M136" s="227" t="s">
        <v>355</v>
      </c>
      <c r="N136" s="227" t="s">
        <v>355</v>
      </c>
      <c r="O136" s="230" t="s">
        <v>347</v>
      </c>
    </row>
    <row r="137" spans="2:15">
      <c r="B137" s="224" t="s">
        <v>449</v>
      </c>
      <c r="C137" s="225" t="s">
        <v>273</v>
      </c>
      <c r="D137" s="225" t="s">
        <v>273</v>
      </c>
      <c r="E137" s="225" t="s">
        <v>273</v>
      </c>
      <c r="F137" s="226">
        <v>1</v>
      </c>
      <c r="G137" s="226">
        <v>0</v>
      </c>
      <c r="H137" s="225" t="s">
        <v>273</v>
      </c>
      <c r="I137" s="225" t="s">
        <v>273</v>
      </c>
      <c r="J137" s="225" t="s">
        <v>273</v>
      </c>
      <c r="K137" s="183" t="s">
        <v>344</v>
      </c>
      <c r="L137" s="227" t="s">
        <v>339</v>
      </c>
      <c r="M137" s="227" t="s">
        <v>197</v>
      </c>
      <c r="N137" s="227" t="s">
        <v>197</v>
      </c>
      <c r="O137" s="230" t="s">
        <v>347</v>
      </c>
    </row>
    <row r="138" spans="2:15">
      <c r="B138" s="224" t="s">
        <v>450</v>
      </c>
      <c r="C138" s="225" t="s">
        <v>273</v>
      </c>
      <c r="D138" s="225" t="s">
        <v>273</v>
      </c>
      <c r="E138" s="225" t="s">
        <v>273</v>
      </c>
      <c r="F138" s="226">
        <v>1</v>
      </c>
      <c r="G138" s="226">
        <v>0</v>
      </c>
      <c r="H138" s="225" t="s">
        <v>273</v>
      </c>
      <c r="I138" s="225" t="s">
        <v>273</v>
      </c>
      <c r="J138" s="225" t="s">
        <v>273</v>
      </c>
      <c r="K138" s="183" t="s">
        <v>344</v>
      </c>
      <c r="L138" s="227" t="s">
        <v>339</v>
      </c>
      <c r="M138" s="227" t="s">
        <v>197</v>
      </c>
      <c r="N138" s="227" t="s">
        <v>198</v>
      </c>
      <c r="O138" s="230" t="s">
        <v>348</v>
      </c>
    </row>
    <row r="139" spans="2:15">
      <c r="B139" s="224" t="s">
        <v>451</v>
      </c>
      <c r="C139" s="225" t="s">
        <v>273</v>
      </c>
      <c r="D139" s="225" t="s">
        <v>273</v>
      </c>
      <c r="E139" s="225" t="s">
        <v>273</v>
      </c>
      <c r="F139" s="226">
        <v>1</v>
      </c>
      <c r="G139" s="226">
        <v>0</v>
      </c>
      <c r="H139" s="225" t="s">
        <v>273</v>
      </c>
      <c r="I139" s="225" t="s">
        <v>273</v>
      </c>
      <c r="J139" s="225" t="s">
        <v>273</v>
      </c>
      <c r="K139" s="183" t="s">
        <v>344</v>
      </c>
      <c r="L139" s="227" t="s">
        <v>339</v>
      </c>
      <c r="M139" s="227" t="s">
        <v>198</v>
      </c>
      <c r="N139" s="227" t="s">
        <v>197</v>
      </c>
      <c r="O139" s="230" t="s">
        <v>348</v>
      </c>
    </row>
    <row r="140" spans="2:15">
      <c r="B140" s="224" t="s">
        <v>452</v>
      </c>
      <c r="C140" s="225" t="s">
        <v>273</v>
      </c>
      <c r="D140" s="225" t="s">
        <v>273</v>
      </c>
      <c r="E140" s="225" t="s">
        <v>273</v>
      </c>
      <c r="F140" s="226">
        <v>1</v>
      </c>
      <c r="G140" s="226">
        <v>0</v>
      </c>
      <c r="H140" s="225" t="s">
        <v>273</v>
      </c>
      <c r="I140" s="225" t="s">
        <v>273</v>
      </c>
      <c r="J140" s="225" t="s">
        <v>273</v>
      </c>
      <c r="K140" s="183" t="s">
        <v>344</v>
      </c>
      <c r="L140" s="227" t="s">
        <v>339</v>
      </c>
      <c r="M140" s="227" t="s">
        <v>198</v>
      </c>
      <c r="N140" s="227" t="s">
        <v>198</v>
      </c>
      <c r="O140" s="230" t="s">
        <v>348</v>
      </c>
    </row>
    <row r="141" spans="2:15">
      <c r="B141" s="224" t="s">
        <v>453</v>
      </c>
      <c r="C141" s="225" t="s">
        <v>273</v>
      </c>
      <c r="D141" s="225" t="s">
        <v>273</v>
      </c>
      <c r="E141" s="225" t="s">
        <v>273</v>
      </c>
      <c r="F141" s="226">
        <v>1</v>
      </c>
      <c r="G141" s="226">
        <v>0</v>
      </c>
      <c r="H141" s="225" t="s">
        <v>273</v>
      </c>
      <c r="I141" s="225" t="s">
        <v>273</v>
      </c>
      <c r="J141" s="225" t="s">
        <v>273</v>
      </c>
      <c r="K141" s="183" t="s">
        <v>344</v>
      </c>
      <c r="L141" s="227" t="s">
        <v>341</v>
      </c>
      <c r="M141" s="227" t="s">
        <v>197</v>
      </c>
      <c r="N141" s="227" t="s">
        <v>355</v>
      </c>
      <c r="O141" s="230" t="s">
        <v>347</v>
      </c>
    </row>
    <row r="142" spans="2:15">
      <c r="B142" s="224" t="s">
        <v>454</v>
      </c>
      <c r="C142" s="225" t="s">
        <v>273</v>
      </c>
      <c r="D142" s="225" t="s">
        <v>273</v>
      </c>
      <c r="E142" s="225" t="s">
        <v>273</v>
      </c>
      <c r="F142" s="226">
        <v>1</v>
      </c>
      <c r="G142" s="226">
        <v>0</v>
      </c>
      <c r="H142" s="225" t="s">
        <v>273</v>
      </c>
      <c r="I142" s="225" t="s">
        <v>273</v>
      </c>
      <c r="J142" s="225" t="s">
        <v>273</v>
      </c>
      <c r="K142" s="183" t="s">
        <v>344</v>
      </c>
      <c r="L142" s="227" t="s">
        <v>341</v>
      </c>
      <c r="M142" s="227" t="s">
        <v>198</v>
      </c>
      <c r="N142" s="227" t="s">
        <v>355</v>
      </c>
      <c r="O142" s="230" t="s">
        <v>348</v>
      </c>
    </row>
    <row r="143" spans="2:15">
      <c r="B143" s="224" t="s">
        <v>455</v>
      </c>
      <c r="C143" s="225" t="s">
        <v>273</v>
      </c>
      <c r="D143" s="225" t="s">
        <v>273</v>
      </c>
      <c r="E143" s="225" t="s">
        <v>273</v>
      </c>
      <c r="F143" s="226">
        <v>1</v>
      </c>
      <c r="G143" s="226">
        <v>0</v>
      </c>
      <c r="H143" s="225" t="s">
        <v>273</v>
      </c>
      <c r="I143" s="225" t="s">
        <v>273</v>
      </c>
      <c r="J143" s="225" t="s">
        <v>273</v>
      </c>
      <c r="K143" s="183" t="s">
        <v>344</v>
      </c>
      <c r="L143" s="227" t="s">
        <v>343</v>
      </c>
      <c r="M143" s="227" t="s">
        <v>197</v>
      </c>
      <c r="N143" s="227" t="s">
        <v>197</v>
      </c>
      <c r="O143" s="230" t="s">
        <v>347</v>
      </c>
    </row>
    <row r="144" spans="2:15">
      <c r="B144" s="224" t="s">
        <v>456</v>
      </c>
      <c r="C144" s="225" t="s">
        <v>273</v>
      </c>
      <c r="D144" s="225" t="s">
        <v>273</v>
      </c>
      <c r="E144" s="225" t="s">
        <v>273</v>
      </c>
      <c r="F144" s="226">
        <v>1</v>
      </c>
      <c r="G144" s="226">
        <v>0</v>
      </c>
      <c r="H144" s="225" t="s">
        <v>273</v>
      </c>
      <c r="I144" s="225" t="s">
        <v>273</v>
      </c>
      <c r="J144" s="225" t="s">
        <v>273</v>
      </c>
      <c r="K144" s="183" t="s">
        <v>344</v>
      </c>
      <c r="L144" s="227" t="s">
        <v>343</v>
      </c>
      <c r="M144" s="227" t="s">
        <v>197</v>
      </c>
      <c r="N144" s="227" t="s">
        <v>198</v>
      </c>
      <c r="O144" s="230" t="s">
        <v>348</v>
      </c>
    </row>
    <row r="145" spans="2:15">
      <c r="B145" s="224" t="s">
        <v>457</v>
      </c>
      <c r="C145" s="225" t="s">
        <v>273</v>
      </c>
      <c r="D145" s="225" t="s">
        <v>273</v>
      </c>
      <c r="E145" s="225" t="s">
        <v>273</v>
      </c>
      <c r="F145" s="226">
        <v>1</v>
      </c>
      <c r="G145" s="226">
        <v>0</v>
      </c>
      <c r="H145" s="225" t="s">
        <v>273</v>
      </c>
      <c r="I145" s="225" t="s">
        <v>273</v>
      </c>
      <c r="J145" s="225" t="s">
        <v>273</v>
      </c>
      <c r="K145" s="183" t="s">
        <v>344</v>
      </c>
      <c r="L145" s="227" t="s">
        <v>343</v>
      </c>
      <c r="M145" s="227" t="s">
        <v>198</v>
      </c>
      <c r="N145" s="227" t="s">
        <v>197</v>
      </c>
      <c r="O145" s="230" t="s">
        <v>348</v>
      </c>
    </row>
    <row r="146" spans="2:15">
      <c r="B146" s="224" t="s">
        <v>458</v>
      </c>
      <c r="C146" s="225" t="s">
        <v>273</v>
      </c>
      <c r="D146" s="225" t="s">
        <v>273</v>
      </c>
      <c r="E146" s="225" t="s">
        <v>273</v>
      </c>
      <c r="F146" s="226">
        <v>1</v>
      </c>
      <c r="G146" s="226">
        <v>0</v>
      </c>
      <c r="H146" s="225" t="s">
        <v>273</v>
      </c>
      <c r="I146" s="225" t="s">
        <v>273</v>
      </c>
      <c r="J146" s="225" t="s">
        <v>273</v>
      </c>
      <c r="K146" s="183" t="s">
        <v>344</v>
      </c>
      <c r="L146" s="227" t="s">
        <v>343</v>
      </c>
      <c r="M146" s="227" t="s">
        <v>198</v>
      </c>
      <c r="N146" s="227" t="s">
        <v>198</v>
      </c>
      <c r="O146" s="230" t="s">
        <v>348</v>
      </c>
    </row>
    <row r="147" spans="2:15">
      <c r="B147" s="224" t="s">
        <v>459</v>
      </c>
      <c r="C147" s="225" t="s">
        <v>273</v>
      </c>
      <c r="D147" s="225" t="s">
        <v>273</v>
      </c>
      <c r="E147" s="225" t="s">
        <v>273</v>
      </c>
      <c r="F147" s="226">
        <v>1</v>
      </c>
      <c r="G147" s="226">
        <v>0</v>
      </c>
      <c r="H147" s="225" t="s">
        <v>273</v>
      </c>
      <c r="I147" s="225" t="s">
        <v>273</v>
      </c>
      <c r="J147" s="225" t="s">
        <v>273</v>
      </c>
      <c r="K147" s="183" t="s">
        <v>344</v>
      </c>
      <c r="L147" s="227" t="s">
        <v>345</v>
      </c>
      <c r="M147" s="227" t="s">
        <v>197</v>
      </c>
      <c r="N147" s="227" t="s">
        <v>355</v>
      </c>
      <c r="O147" s="230" t="s">
        <v>347</v>
      </c>
    </row>
    <row r="148" spans="2:15">
      <c r="B148" s="224" t="s">
        <v>460</v>
      </c>
      <c r="C148" s="225" t="s">
        <v>273</v>
      </c>
      <c r="D148" s="225" t="s">
        <v>273</v>
      </c>
      <c r="E148" s="225" t="s">
        <v>273</v>
      </c>
      <c r="F148" s="226">
        <v>1</v>
      </c>
      <c r="G148" s="226">
        <v>0</v>
      </c>
      <c r="H148" s="225" t="s">
        <v>273</v>
      </c>
      <c r="I148" s="225" t="s">
        <v>273</v>
      </c>
      <c r="J148" s="225" t="s">
        <v>273</v>
      </c>
      <c r="K148" s="183" t="s">
        <v>344</v>
      </c>
      <c r="L148" s="227" t="s">
        <v>345</v>
      </c>
      <c r="M148" s="227" t="s">
        <v>198</v>
      </c>
      <c r="N148" s="227" t="s">
        <v>355</v>
      </c>
      <c r="O148" s="230" t="s">
        <v>348</v>
      </c>
    </row>
    <row r="149" spans="2:15">
      <c r="B149" s="224" t="s">
        <v>461</v>
      </c>
      <c r="C149" s="225" t="s">
        <v>273</v>
      </c>
      <c r="D149" s="225" t="s">
        <v>273</v>
      </c>
      <c r="E149" s="225" t="s">
        <v>273</v>
      </c>
      <c r="F149" s="226">
        <v>1</v>
      </c>
      <c r="G149" s="226">
        <v>0</v>
      </c>
      <c r="H149" s="225" t="s">
        <v>273</v>
      </c>
      <c r="I149" s="225" t="s">
        <v>273</v>
      </c>
      <c r="J149" s="225" t="s">
        <v>273</v>
      </c>
      <c r="K149" s="183" t="s">
        <v>346</v>
      </c>
      <c r="L149" s="227" t="s">
        <v>339</v>
      </c>
      <c r="M149" s="227" t="s">
        <v>355</v>
      </c>
      <c r="N149" s="227" t="s">
        <v>197</v>
      </c>
      <c r="O149" s="230" t="s">
        <v>347</v>
      </c>
    </row>
    <row r="150" spans="2:15">
      <c r="B150" s="224" t="s">
        <v>462</v>
      </c>
      <c r="C150" s="225" t="s">
        <v>273</v>
      </c>
      <c r="D150" s="225" t="s">
        <v>273</v>
      </c>
      <c r="E150" s="225" t="s">
        <v>273</v>
      </c>
      <c r="F150" s="226">
        <v>1</v>
      </c>
      <c r="G150" s="226">
        <v>0</v>
      </c>
      <c r="H150" s="225" t="s">
        <v>273</v>
      </c>
      <c r="I150" s="225" t="s">
        <v>273</v>
      </c>
      <c r="J150" s="225" t="s">
        <v>273</v>
      </c>
      <c r="K150" s="183" t="s">
        <v>346</v>
      </c>
      <c r="L150" s="227" t="s">
        <v>339</v>
      </c>
      <c r="M150" s="227" t="s">
        <v>355</v>
      </c>
      <c r="N150" s="227" t="s">
        <v>198</v>
      </c>
      <c r="O150" s="230" t="s">
        <v>348</v>
      </c>
    </row>
    <row r="151" spans="2:15">
      <c r="B151" s="224" t="s">
        <v>463</v>
      </c>
      <c r="C151" s="225" t="s">
        <v>273</v>
      </c>
      <c r="D151" s="225" t="s">
        <v>273</v>
      </c>
      <c r="E151" s="225" t="s">
        <v>273</v>
      </c>
      <c r="F151" s="226">
        <v>1</v>
      </c>
      <c r="G151" s="226">
        <v>0</v>
      </c>
      <c r="H151" s="225" t="s">
        <v>273</v>
      </c>
      <c r="I151" s="225" t="s">
        <v>273</v>
      </c>
      <c r="J151" s="225" t="s">
        <v>273</v>
      </c>
      <c r="K151" s="183" t="s">
        <v>346</v>
      </c>
      <c r="L151" s="227" t="s">
        <v>341</v>
      </c>
      <c r="M151" s="227" t="s">
        <v>355</v>
      </c>
      <c r="N151" s="227" t="s">
        <v>355</v>
      </c>
      <c r="O151" s="230" t="s">
        <v>347</v>
      </c>
    </row>
    <row r="152" spans="2:15">
      <c r="B152" s="224" t="s">
        <v>464</v>
      </c>
      <c r="C152" s="225" t="s">
        <v>273</v>
      </c>
      <c r="D152" s="225" t="s">
        <v>273</v>
      </c>
      <c r="E152" s="225" t="s">
        <v>273</v>
      </c>
      <c r="F152" s="226">
        <v>1</v>
      </c>
      <c r="G152" s="226">
        <v>0</v>
      </c>
      <c r="H152" s="225" t="s">
        <v>273</v>
      </c>
      <c r="I152" s="225" t="s">
        <v>273</v>
      </c>
      <c r="J152" s="225" t="s">
        <v>273</v>
      </c>
      <c r="K152" s="183" t="s">
        <v>346</v>
      </c>
      <c r="L152" s="227" t="s">
        <v>343</v>
      </c>
      <c r="M152" s="227" t="s">
        <v>355</v>
      </c>
      <c r="N152" s="227" t="s">
        <v>197</v>
      </c>
      <c r="O152" s="230" t="s">
        <v>295</v>
      </c>
    </row>
    <row r="153" spans="2:15">
      <c r="B153" s="224" t="s">
        <v>465</v>
      </c>
      <c r="C153" s="225" t="s">
        <v>273</v>
      </c>
      <c r="D153" s="225" t="s">
        <v>273</v>
      </c>
      <c r="E153" s="225" t="s">
        <v>273</v>
      </c>
      <c r="F153" s="226">
        <v>1</v>
      </c>
      <c r="G153" s="226">
        <v>0</v>
      </c>
      <c r="H153" s="225" t="s">
        <v>273</v>
      </c>
      <c r="I153" s="225" t="s">
        <v>273</v>
      </c>
      <c r="J153" s="225" t="s">
        <v>273</v>
      </c>
      <c r="K153" s="183" t="s">
        <v>346</v>
      </c>
      <c r="L153" s="227" t="s">
        <v>343</v>
      </c>
      <c r="M153" s="227" t="s">
        <v>355</v>
      </c>
      <c r="N153" s="227" t="s">
        <v>198</v>
      </c>
      <c r="O153" s="230" t="s">
        <v>348</v>
      </c>
    </row>
    <row r="154" spans="2:15">
      <c r="B154" s="224" t="s">
        <v>466</v>
      </c>
      <c r="C154" s="225" t="s">
        <v>273</v>
      </c>
      <c r="D154" s="225" t="s">
        <v>273</v>
      </c>
      <c r="E154" s="225" t="s">
        <v>273</v>
      </c>
      <c r="F154" s="226">
        <v>1</v>
      </c>
      <c r="G154" s="226">
        <v>0</v>
      </c>
      <c r="H154" s="225" t="s">
        <v>273</v>
      </c>
      <c r="I154" s="225" t="s">
        <v>273</v>
      </c>
      <c r="J154" s="225" t="s">
        <v>273</v>
      </c>
      <c r="K154" s="183" t="s">
        <v>346</v>
      </c>
      <c r="L154" s="227" t="s">
        <v>345</v>
      </c>
      <c r="M154" s="227" t="s">
        <v>355</v>
      </c>
      <c r="N154" s="227" t="s">
        <v>355</v>
      </c>
      <c r="O154" s="230" t="s">
        <v>347</v>
      </c>
    </row>
    <row r="155" spans="2:15">
      <c r="B155" s="224" t="s">
        <v>467</v>
      </c>
      <c r="C155" s="225" t="s">
        <v>273</v>
      </c>
      <c r="D155" s="225" t="s">
        <v>273</v>
      </c>
      <c r="E155" s="225" t="s">
        <v>273</v>
      </c>
      <c r="F155" s="226">
        <v>1</v>
      </c>
      <c r="G155" s="226">
        <v>1</v>
      </c>
      <c r="H155" s="225" t="s">
        <v>273</v>
      </c>
      <c r="I155" s="225" t="s">
        <v>273</v>
      </c>
      <c r="J155" s="225" t="s">
        <v>273</v>
      </c>
      <c r="K155" s="183" t="s">
        <v>286</v>
      </c>
      <c r="L155" s="227" t="s">
        <v>286</v>
      </c>
      <c r="M155" s="227" t="s">
        <v>233</v>
      </c>
      <c r="N155" s="227" t="s">
        <v>233</v>
      </c>
      <c r="O155" s="229" t="s">
        <v>296</v>
      </c>
    </row>
    <row r="156" spans="2:15">
      <c r="B156" s="224" t="s">
        <v>468</v>
      </c>
      <c r="C156" s="225" t="s">
        <v>273</v>
      </c>
      <c r="D156" s="225" t="s">
        <v>273</v>
      </c>
      <c r="E156" s="225" t="s">
        <v>273</v>
      </c>
      <c r="F156" s="226">
        <v>1</v>
      </c>
      <c r="G156" s="226">
        <v>1</v>
      </c>
      <c r="H156" s="225" t="s">
        <v>273</v>
      </c>
      <c r="I156" s="225" t="s">
        <v>273</v>
      </c>
      <c r="J156" s="225" t="s">
        <v>273</v>
      </c>
      <c r="K156" s="183" t="s">
        <v>286</v>
      </c>
      <c r="L156" s="227" t="s">
        <v>286</v>
      </c>
      <c r="M156" s="227" t="s">
        <v>233</v>
      </c>
      <c r="N156" s="227" t="s">
        <v>201</v>
      </c>
      <c r="O156" s="230" t="s">
        <v>240</v>
      </c>
    </row>
    <row r="157" spans="2:15">
      <c r="B157" s="224" t="s">
        <v>469</v>
      </c>
      <c r="C157" s="225" t="s">
        <v>273</v>
      </c>
      <c r="D157" s="225" t="s">
        <v>273</v>
      </c>
      <c r="E157" s="225" t="s">
        <v>273</v>
      </c>
      <c r="F157" s="226">
        <v>1</v>
      </c>
      <c r="G157" s="226">
        <v>1</v>
      </c>
      <c r="H157" s="225" t="s">
        <v>273</v>
      </c>
      <c r="I157" s="225" t="s">
        <v>273</v>
      </c>
      <c r="J157" s="225" t="s">
        <v>273</v>
      </c>
      <c r="K157" s="183" t="s">
        <v>286</v>
      </c>
      <c r="L157" s="227" t="s">
        <v>286</v>
      </c>
      <c r="M157" s="227" t="s">
        <v>201</v>
      </c>
      <c r="N157" s="227" t="s">
        <v>233</v>
      </c>
      <c r="O157" s="230" t="s">
        <v>240</v>
      </c>
    </row>
    <row r="158" spans="2:15">
      <c r="B158" s="224" t="s">
        <v>470</v>
      </c>
      <c r="C158" s="225" t="s">
        <v>273</v>
      </c>
      <c r="D158" s="225" t="s">
        <v>273</v>
      </c>
      <c r="E158" s="225" t="s">
        <v>273</v>
      </c>
      <c r="F158" s="226">
        <v>1</v>
      </c>
      <c r="G158" s="226">
        <v>1</v>
      </c>
      <c r="H158" s="225" t="s">
        <v>273</v>
      </c>
      <c r="I158" s="225" t="s">
        <v>273</v>
      </c>
      <c r="J158" s="225" t="s">
        <v>273</v>
      </c>
      <c r="K158" s="183" t="s">
        <v>286</v>
      </c>
      <c r="L158" s="227" t="s">
        <v>286</v>
      </c>
      <c r="M158" s="227" t="s">
        <v>201</v>
      </c>
      <c r="N158" s="227" t="s">
        <v>201</v>
      </c>
      <c r="O158" s="230" t="s">
        <v>240</v>
      </c>
    </row>
    <row r="159" spans="2:15">
      <c r="B159" s="224" t="s">
        <v>471</v>
      </c>
      <c r="C159" s="225" t="s">
        <v>273</v>
      </c>
      <c r="D159" s="225" t="s">
        <v>273</v>
      </c>
      <c r="E159" s="225" t="s">
        <v>273</v>
      </c>
      <c r="F159" s="226">
        <v>1</v>
      </c>
      <c r="G159" s="226">
        <v>1</v>
      </c>
      <c r="H159" s="225" t="s">
        <v>273</v>
      </c>
      <c r="I159" s="225" t="s">
        <v>273</v>
      </c>
      <c r="J159" s="225" t="s">
        <v>273</v>
      </c>
      <c r="K159" s="183" t="s">
        <v>339</v>
      </c>
      <c r="L159" s="227" t="s">
        <v>288</v>
      </c>
      <c r="M159" s="227" t="s">
        <v>197</v>
      </c>
      <c r="N159" s="227" t="s">
        <v>254</v>
      </c>
      <c r="O159" s="230" t="s">
        <v>296</v>
      </c>
    </row>
    <row r="160" spans="2:15">
      <c r="B160" s="224" t="s">
        <v>472</v>
      </c>
      <c r="C160" s="225" t="s">
        <v>273</v>
      </c>
      <c r="D160" s="225" t="s">
        <v>273</v>
      </c>
      <c r="E160" s="225" t="s">
        <v>273</v>
      </c>
      <c r="F160" s="226">
        <v>1</v>
      </c>
      <c r="G160" s="226">
        <v>1</v>
      </c>
      <c r="H160" s="225" t="s">
        <v>273</v>
      </c>
      <c r="I160" s="225" t="s">
        <v>273</v>
      </c>
      <c r="J160" s="225" t="s">
        <v>273</v>
      </c>
      <c r="K160" s="183" t="s">
        <v>339</v>
      </c>
      <c r="L160" s="227" t="s">
        <v>288</v>
      </c>
      <c r="M160" s="227" t="s">
        <v>198</v>
      </c>
      <c r="N160" s="227" t="s">
        <v>254</v>
      </c>
      <c r="O160" s="230" t="s">
        <v>240</v>
      </c>
    </row>
    <row r="161" spans="2:15">
      <c r="B161" s="224" t="s">
        <v>473</v>
      </c>
      <c r="C161" s="225" t="s">
        <v>273</v>
      </c>
      <c r="D161" s="225" t="s">
        <v>273</v>
      </c>
      <c r="E161" s="225" t="s">
        <v>273</v>
      </c>
      <c r="F161" s="226">
        <v>1</v>
      </c>
      <c r="G161" s="226">
        <v>1</v>
      </c>
      <c r="H161" s="225" t="s">
        <v>273</v>
      </c>
      <c r="I161" s="225" t="s">
        <v>273</v>
      </c>
      <c r="J161" s="225" t="s">
        <v>273</v>
      </c>
      <c r="K161" s="183" t="s">
        <v>339</v>
      </c>
      <c r="L161" s="227" t="s">
        <v>234</v>
      </c>
      <c r="M161" s="227" t="s">
        <v>197</v>
      </c>
      <c r="N161" s="227" t="s">
        <v>197</v>
      </c>
      <c r="O161" s="230" t="s">
        <v>296</v>
      </c>
    </row>
    <row r="162" spans="2:15">
      <c r="B162" s="224" t="s">
        <v>474</v>
      </c>
      <c r="C162" s="225" t="s">
        <v>273</v>
      </c>
      <c r="D162" s="225" t="s">
        <v>273</v>
      </c>
      <c r="E162" s="225" t="s">
        <v>273</v>
      </c>
      <c r="F162" s="226">
        <v>1</v>
      </c>
      <c r="G162" s="226">
        <v>1</v>
      </c>
      <c r="H162" s="225" t="s">
        <v>273</v>
      </c>
      <c r="I162" s="225" t="s">
        <v>273</v>
      </c>
      <c r="J162" s="225" t="s">
        <v>273</v>
      </c>
      <c r="K162" s="183" t="s">
        <v>339</v>
      </c>
      <c r="L162" s="227" t="s">
        <v>234</v>
      </c>
      <c r="M162" s="227" t="s">
        <v>197</v>
      </c>
      <c r="N162" s="227" t="s">
        <v>198</v>
      </c>
      <c r="O162" s="230" t="s">
        <v>240</v>
      </c>
    </row>
    <row r="163" spans="2:15">
      <c r="B163" s="224" t="s">
        <v>475</v>
      </c>
      <c r="C163" s="225" t="s">
        <v>273</v>
      </c>
      <c r="D163" s="225" t="s">
        <v>273</v>
      </c>
      <c r="E163" s="225" t="s">
        <v>273</v>
      </c>
      <c r="F163" s="226">
        <v>1</v>
      </c>
      <c r="G163" s="226">
        <v>1</v>
      </c>
      <c r="H163" s="225" t="s">
        <v>273</v>
      </c>
      <c r="I163" s="225" t="s">
        <v>273</v>
      </c>
      <c r="J163" s="225" t="s">
        <v>273</v>
      </c>
      <c r="K163" s="183" t="s">
        <v>339</v>
      </c>
      <c r="L163" s="227" t="s">
        <v>234</v>
      </c>
      <c r="M163" s="227" t="s">
        <v>198</v>
      </c>
      <c r="N163" s="227" t="s">
        <v>197</v>
      </c>
      <c r="O163" s="230" t="s">
        <v>240</v>
      </c>
    </row>
    <row r="164" spans="2:15">
      <c r="B164" s="224" t="s">
        <v>476</v>
      </c>
      <c r="C164" s="225" t="s">
        <v>273</v>
      </c>
      <c r="D164" s="225" t="s">
        <v>273</v>
      </c>
      <c r="E164" s="225" t="s">
        <v>273</v>
      </c>
      <c r="F164" s="226">
        <v>1</v>
      </c>
      <c r="G164" s="226">
        <v>1</v>
      </c>
      <c r="H164" s="225" t="s">
        <v>273</v>
      </c>
      <c r="I164" s="225" t="s">
        <v>273</v>
      </c>
      <c r="J164" s="225" t="s">
        <v>273</v>
      </c>
      <c r="K164" s="183" t="s">
        <v>339</v>
      </c>
      <c r="L164" s="227" t="s">
        <v>234</v>
      </c>
      <c r="M164" s="227" t="s">
        <v>198</v>
      </c>
      <c r="N164" s="227" t="s">
        <v>198</v>
      </c>
      <c r="O164" s="230" t="s">
        <v>240</v>
      </c>
    </row>
    <row r="165" spans="2:15">
      <c r="B165" s="224" t="s">
        <v>477</v>
      </c>
      <c r="C165" s="225" t="s">
        <v>273</v>
      </c>
      <c r="D165" s="225" t="s">
        <v>273</v>
      </c>
      <c r="E165" s="225" t="s">
        <v>273</v>
      </c>
      <c r="F165" s="226">
        <v>1</v>
      </c>
      <c r="G165" s="226">
        <v>1</v>
      </c>
      <c r="H165" s="225" t="s">
        <v>273</v>
      </c>
      <c r="I165" s="225" t="s">
        <v>273</v>
      </c>
      <c r="J165" s="225" t="s">
        <v>273</v>
      </c>
      <c r="K165" s="183" t="s">
        <v>339</v>
      </c>
      <c r="L165" s="227" t="s">
        <v>289</v>
      </c>
      <c r="M165" s="227" t="s">
        <v>197</v>
      </c>
      <c r="N165" s="227" t="s">
        <v>254</v>
      </c>
      <c r="O165" s="230" t="s">
        <v>296</v>
      </c>
    </row>
    <row r="166" spans="2:15">
      <c r="B166" s="224" t="s">
        <v>478</v>
      </c>
      <c r="C166" s="225" t="s">
        <v>273</v>
      </c>
      <c r="D166" s="225" t="s">
        <v>273</v>
      </c>
      <c r="E166" s="225" t="s">
        <v>273</v>
      </c>
      <c r="F166" s="226">
        <v>1</v>
      </c>
      <c r="G166" s="226">
        <v>1</v>
      </c>
      <c r="H166" s="225" t="s">
        <v>273</v>
      </c>
      <c r="I166" s="225" t="s">
        <v>273</v>
      </c>
      <c r="J166" s="225" t="s">
        <v>273</v>
      </c>
      <c r="K166" s="183" t="s">
        <v>339</v>
      </c>
      <c r="L166" s="227" t="s">
        <v>289</v>
      </c>
      <c r="M166" s="227" t="s">
        <v>198</v>
      </c>
      <c r="N166" s="227" t="s">
        <v>254</v>
      </c>
      <c r="O166" s="230" t="s">
        <v>240</v>
      </c>
    </row>
    <row r="167" spans="2:15">
      <c r="B167" s="224" t="s">
        <v>479</v>
      </c>
      <c r="C167" s="225" t="s">
        <v>273</v>
      </c>
      <c r="D167" s="225" t="s">
        <v>273</v>
      </c>
      <c r="E167" s="225" t="s">
        <v>273</v>
      </c>
      <c r="F167" s="226">
        <v>1</v>
      </c>
      <c r="G167" s="226">
        <v>1</v>
      </c>
      <c r="H167" s="225" t="s">
        <v>273</v>
      </c>
      <c r="I167" s="225" t="s">
        <v>273</v>
      </c>
      <c r="J167" s="225" t="s">
        <v>273</v>
      </c>
      <c r="K167" s="183" t="s">
        <v>288</v>
      </c>
      <c r="L167" s="227" t="s">
        <v>286</v>
      </c>
      <c r="M167" s="227" t="s">
        <v>254</v>
      </c>
      <c r="N167" s="227" t="s">
        <v>233</v>
      </c>
      <c r="O167" s="230" t="s">
        <v>296</v>
      </c>
    </row>
    <row r="168" spans="2:15">
      <c r="B168" s="224" t="s">
        <v>480</v>
      </c>
      <c r="C168" s="225" t="s">
        <v>273</v>
      </c>
      <c r="D168" s="225" t="s">
        <v>273</v>
      </c>
      <c r="E168" s="225" t="s">
        <v>273</v>
      </c>
      <c r="F168" s="226">
        <v>1</v>
      </c>
      <c r="G168" s="226">
        <v>1</v>
      </c>
      <c r="H168" s="225" t="s">
        <v>273</v>
      </c>
      <c r="I168" s="225" t="s">
        <v>273</v>
      </c>
      <c r="J168" s="225" t="s">
        <v>273</v>
      </c>
      <c r="K168" s="183" t="s">
        <v>288</v>
      </c>
      <c r="L168" s="227" t="s">
        <v>286</v>
      </c>
      <c r="M168" s="227" t="s">
        <v>254</v>
      </c>
      <c r="N168" s="227" t="s">
        <v>201</v>
      </c>
      <c r="O168" s="230" t="s">
        <v>240</v>
      </c>
    </row>
    <row r="169" spans="2:15">
      <c r="B169" s="224" t="s">
        <v>481</v>
      </c>
      <c r="C169" s="225" t="s">
        <v>273</v>
      </c>
      <c r="D169" s="225" t="s">
        <v>273</v>
      </c>
      <c r="E169" s="225" t="s">
        <v>273</v>
      </c>
      <c r="F169" s="226">
        <v>1</v>
      </c>
      <c r="G169" s="226">
        <v>1</v>
      </c>
      <c r="H169" s="225" t="s">
        <v>273</v>
      </c>
      <c r="I169" s="225" t="s">
        <v>273</v>
      </c>
      <c r="J169" s="225" t="s">
        <v>273</v>
      </c>
      <c r="K169" s="183" t="s">
        <v>288</v>
      </c>
      <c r="L169" s="227" t="s">
        <v>341</v>
      </c>
      <c r="M169" s="227" t="s">
        <v>254</v>
      </c>
      <c r="N169" s="227" t="s">
        <v>254</v>
      </c>
      <c r="O169" s="230" t="s">
        <v>296</v>
      </c>
    </row>
    <row r="170" spans="2:15">
      <c r="B170" s="224" t="s">
        <v>482</v>
      </c>
      <c r="C170" s="225" t="s">
        <v>273</v>
      </c>
      <c r="D170" s="225" t="s">
        <v>273</v>
      </c>
      <c r="E170" s="225" t="s">
        <v>273</v>
      </c>
      <c r="F170" s="226">
        <v>1</v>
      </c>
      <c r="G170" s="226">
        <v>1</v>
      </c>
      <c r="H170" s="225" t="s">
        <v>273</v>
      </c>
      <c r="I170" s="225" t="s">
        <v>273</v>
      </c>
      <c r="J170" s="225" t="s">
        <v>273</v>
      </c>
      <c r="K170" s="183" t="s">
        <v>288</v>
      </c>
      <c r="L170" s="227" t="s">
        <v>343</v>
      </c>
      <c r="M170" s="227" t="s">
        <v>254</v>
      </c>
      <c r="N170" s="227" t="s">
        <v>197</v>
      </c>
      <c r="O170" s="230" t="s">
        <v>296</v>
      </c>
    </row>
    <row r="171" spans="2:15">
      <c r="B171" s="224" t="s">
        <v>483</v>
      </c>
      <c r="C171" s="225" t="s">
        <v>273</v>
      </c>
      <c r="D171" s="225" t="s">
        <v>273</v>
      </c>
      <c r="E171" s="225" t="s">
        <v>273</v>
      </c>
      <c r="F171" s="226">
        <v>1</v>
      </c>
      <c r="G171" s="226">
        <v>1</v>
      </c>
      <c r="H171" s="225" t="s">
        <v>273</v>
      </c>
      <c r="I171" s="225" t="s">
        <v>273</v>
      </c>
      <c r="J171" s="225" t="s">
        <v>273</v>
      </c>
      <c r="K171" s="183" t="s">
        <v>288</v>
      </c>
      <c r="L171" s="227" t="s">
        <v>343</v>
      </c>
      <c r="M171" s="227" t="s">
        <v>254</v>
      </c>
      <c r="N171" s="227" t="s">
        <v>198</v>
      </c>
      <c r="O171" s="230" t="s">
        <v>240</v>
      </c>
    </row>
    <row r="172" spans="2:15">
      <c r="B172" s="224" t="s">
        <v>484</v>
      </c>
      <c r="C172" s="225" t="s">
        <v>273</v>
      </c>
      <c r="D172" s="225" t="s">
        <v>273</v>
      </c>
      <c r="E172" s="225" t="s">
        <v>273</v>
      </c>
      <c r="F172" s="226">
        <v>1</v>
      </c>
      <c r="G172" s="226">
        <v>1</v>
      </c>
      <c r="H172" s="225" t="s">
        <v>273</v>
      </c>
      <c r="I172" s="225" t="s">
        <v>273</v>
      </c>
      <c r="J172" s="225" t="s">
        <v>273</v>
      </c>
      <c r="K172" s="183" t="s">
        <v>288</v>
      </c>
      <c r="L172" s="227" t="s">
        <v>345</v>
      </c>
      <c r="M172" s="227" t="s">
        <v>254</v>
      </c>
      <c r="N172" s="227" t="s">
        <v>254</v>
      </c>
      <c r="O172" s="230" t="s">
        <v>296</v>
      </c>
    </row>
    <row r="173" spans="2:15">
      <c r="B173" s="224" t="s">
        <v>485</v>
      </c>
      <c r="C173" s="225" t="s">
        <v>273</v>
      </c>
      <c r="D173" s="225" t="s">
        <v>273</v>
      </c>
      <c r="E173" s="225" t="s">
        <v>273</v>
      </c>
      <c r="F173" s="226">
        <v>1</v>
      </c>
      <c r="G173" s="226">
        <v>1</v>
      </c>
      <c r="H173" s="225" t="s">
        <v>273</v>
      </c>
      <c r="I173" s="225" t="s">
        <v>273</v>
      </c>
      <c r="J173" s="225" t="s">
        <v>273</v>
      </c>
      <c r="K173" s="183" t="s">
        <v>234</v>
      </c>
      <c r="L173" s="227" t="s">
        <v>339</v>
      </c>
      <c r="M173" s="227" t="s">
        <v>197</v>
      </c>
      <c r="N173" s="227" t="s">
        <v>197</v>
      </c>
      <c r="O173" s="230" t="s">
        <v>296</v>
      </c>
    </row>
    <row r="174" spans="2:15">
      <c r="B174" s="224" t="s">
        <v>486</v>
      </c>
      <c r="C174" s="225" t="s">
        <v>273</v>
      </c>
      <c r="D174" s="225" t="s">
        <v>273</v>
      </c>
      <c r="E174" s="225" t="s">
        <v>273</v>
      </c>
      <c r="F174" s="226">
        <v>1</v>
      </c>
      <c r="G174" s="226">
        <v>1</v>
      </c>
      <c r="H174" s="225" t="s">
        <v>273</v>
      </c>
      <c r="I174" s="225" t="s">
        <v>273</v>
      </c>
      <c r="J174" s="225" t="s">
        <v>273</v>
      </c>
      <c r="K174" s="183" t="s">
        <v>234</v>
      </c>
      <c r="L174" s="227" t="s">
        <v>339</v>
      </c>
      <c r="M174" s="227" t="s">
        <v>197</v>
      </c>
      <c r="N174" s="227" t="s">
        <v>198</v>
      </c>
      <c r="O174" s="230" t="s">
        <v>240</v>
      </c>
    </row>
    <row r="175" spans="2:15">
      <c r="B175" s="224" t="s">
        <v>487</v>
      </c>
      <c r="C175" s="225" t="s">
        <v>273</v>
      </c>
      <c r="D175" s="225" t="s">
        <v>273</v>
      </c>
      <c r="E175" s="225" t="s">
        <v>273</v>
      </c>
      <c r="F175" s="226">
        <v>1</v>
      </c>
      <c r="G175" s="226">
        <v>1</v>
      </c>
      <c r="H175" s="225" t="s">
        <v>273</v>
      </c>
      <c r="I175" s="225" t="s">
        <v>273</v>
      </c>
      <c r="J175" s="225" t="s">
        <v>273</v>
      </c>
      <c r="K175" s="183" t="s">
        <v>234</v>
      </c>
      <c r="L175" s="227" t="s">
        <v>339</v>
      </c>
      <c r="M175" s="227" t="s">
        <v>198</v>
      </c>
      <c r="N175" s="227" t="s">
        <v>197</v>
      </c>
      <c r="O175" s="230" t="s">
        <v>240</v>
      </c>
    </row>
    <row r="176" spans="2:15">
      <c r="B176" s="224" t="s">
        <v>488</v>
      </c>
      <c r="C176" s="225" t="s">
        <v>273</v>
      </c>
      <c r="D176" s="225" t="s">
        <v>273</v>
      </c>
      <c r="E176" s="225" t="s">
        <v>273</v>
      </c>
      <c r="F176" s="226">
        <v>1</v>
      </c>
      <c r="G176" s="226">
        <v>1</v>
      </c>
      <c r="H176" s="225" t="s">
        <v>273</v>
      </c>
      <c r="I176" s="225" t="s">
        <v>273</v>
      </c>
      <c r="J176" s="225" t="s">
        <v>273</v>
      </c>
      <c r="K176" s="183" t="s">
        <v>234</v>
      </c>
      <c r="L176" s="227" t="s">
        <v>339</v>
      </c>
      <c r="M176" s="227" t="s">
        <v>198</v>
      </c>
      <c r="N176" s="227" t="s">
        <v>198</v>
      </c>
      <c r="O176" s="230" t="s">
        <v>240</v>
      </c>
    </row>
    <row r="177" spans="2:15">
      <c r="B177" s="224" t="s">
        <v>489</v>
      </c>
      <c r="C177" s="225" t="s">
        <v>273</v>
      </c>
      <c r="D177" s="225" t="s">
        <v>273</v>
      </c>
      <c r="E177" s="225" t="s">
        <v>273</v>
      </c>
      <c r="F177" s="226">
        <v>1</v>
      </c>
      <c r="G177" s="226">
        <v>1</v>
      </c>
      <c r="H177" s="225" t="s">
        <v>273</v>
      </c>
      <c r="I177" s="225" t="s">
        <v>273</v>
      </c>
      <c r="J177" s="225" t="s">
        <v>273</v>
      </c>
      <c r="K177" s="183" t="s">
        <v>234</v>
      </c>
      <c r="L177" s="227" t="s">
        <v>341</v>
      </c>
      <c r="M177" s="227" t="s">
        <v>197</v>
      </c>
      <c r="N177" s="227" t="s">
        <v>254</v>
      </c>
      <c r="O177" s="230" t="s">
        <v>296</v>
      </c>
    </row>
    <row r="178" spans="2:15">
      <c r="B178" s="224" t="s">
        <v>490</v>
      </c>
      <c r="C178" s="225" t="s">
        <v>273</v>
      </c>
      <c r="D178" s="225" t="s">
        <v>273</v>
      </c>
      <c r="E178" s="225" t="s">
        <v>273</v>
      </c>
      <c r="F178" s="226">
        <v>1</v>
      </c>
      <c r="G178" s="226">
        <v>1</v>
      </c>
      <c r="H178" s="225" t="s">
        <v>273</v>
      </c>
      <c r="I178" s="225" t="s">
        <v>273</v>
      </c>
      <c r="J178" s="225" t="s">
        <v>273</v>
      </c>
      <c r="K178" s="183" t="s">
        <v>234</v>
      </c>
      <c r="L178" s="227" t="s">
        <v>341</v>
      </c>
      <c r="M178" s="227" t="s">
        <v>198</v>
      </c>
      <c r="N178" s="227" t="s">
        <v>254</v>
      </c>
      <c r="O178" s="230" t="s">
        <v>240</v>
      </c>
    </row>
    <row r="179" spans="2:15">
      <c r="B179" s="224" t="s">
        <v>491</v>
      </c>
      <c r="C179" s="225" t="s">
        <v>273</v>
      </c>
      <c r="D179" s="225" t="s">
        <v>273</v>
      </c>
      <c r="E179" s="225" t="s">
        <v>273</v>
      </c>
      <c r="F179" s="226">
        <v>1</v>
      </c>
      <c r="G179" s="226">
        <v>1</v>
      </c>
      <c r="H179" s="225" t="s">
        <v>273</v>
      </c>
      <c r="I179" s="225" t="s">
        <v>273</v>
      </c>
      <c r="J179" s="225" t="s">
        <v>273</v>
      </c>
      <c r="K179" s="183" t="s">
        <v>234</v>
      </c>
      <c r="L179" s="227" t="s">
        <v>343</v>
      </c>
      <c r="M179" s="227" t="s">
        <v>197</v>
      </c>
      <c r="N179" s="227" t="s">
        <v>197</v>
      </c>
      <c r="O179" s="230" t="s">
        <v>296</v>
      </c>
    </row>
    <row r="180" spans="2:15">
      <c r="B180" s="224" t="s">
        <v>492</v>
      </c>
      <c r="C180" s="225" t="s">
        <v>273</v>
      </c>
      <c r="D180" s="225" t="s">
        <v>273</v>
      </c>
      <c r="E180" s="225" t="s">
        <v>273</v>
      </c>
      <c r="F180" s="226">
        <v>1</v>
      </c>
      <c r="G180" s="226">
        <v>1</v>
      </c>
      <c r="H180" s="225" t="s">
        <v>273</v>
      </c>
      <c r="I180" s="225" t="s">
        <v>273</v>
      </c>
      <c r="J180" s="225" t="s">
        <v>273</v>
      </c>
      <c r="K180" s="183" t="s">
        <v>234</v>
      </c>
      <c r="L180" s="227" t="s">
        <v>343</v>
      </c>
      <c r="M180" s="227" t="s">
        <v>197</v>
      </c>
      <c r="N180" s="227" t="s">
        <v>198</v>
      </c>
      <c r="O180" s="230" t="s">
        <v>240</v>
      </c>
    </row>
    <row r="181" spans="2:15">
      <c r="B181" s="224" t="s">
        <v>493</v>
      </c>
      <c r="C181" s="225" t="s">
        <v>273</v>
      </c>
      <c r="D181" s="225" t="s">
        <v>273</v>
      </c>
      <c r="E181" s="225" t="s">
        <v>273</v>
      </c>
      <c r="F181" s="226">
        <v>1</v>
      </c>
      <c r="G181" s="226">
        <v>1</v>
      </c>
      <c r="H181" s="225" t="s">
        <v>273</v>
      </c>
      <c r="I181" s="225" t="s">
        <v>273</v>
      </c>
      <c r="J181" s="225" t="s">
        <v>273</v>
      </c>
      <c r="K181" s="183" t="s">
        <v>234</v>
      </c>
      <c r="L181" s="227" t="s">
        <v>343</v>
      </c>
      <c r="M181" s="227" t="s">
        <v>198</v>
      </c>
      <c r="N181" s="227" t="s">
        <v>197</v>
      </c>
      <c r="O181" s="230" t="s">
        <v>240</v>
      </c>
    </row>
    <row r="182" spans="2:15">
      <c r="B182" s="224" t="s">
        <v>494</v>
      </c>
      <c r="C182" s="225" t="s">
        <v>273</v>
      </c>
      <c r="D182" s="225" t="s">
        <v>273</v>
      </c>
      <c r="E182" s="225" t="s">
        <v>273</v>
      </c>
      <c r="F182" s="226">
        <v>1</v>
      </c>
      <c r="G182" s="226">
        <v>1</v>
      </c>
      <c r="H182" s="225" t="s">
        <v>273</v>
      </c>
      <c r="I182" s="225" t="s">
        <v>273</v>
      </c>
      <c r="J182" s="225" t="s">
        <v>273</v>
      </c>
      <c r="K182" s="183" t="s">
        <v>234</v>
      </c>
      <c r="L182" s="227" t="s">
        <v>343</v>
      </c>
      <c r="M182" s="227" t="s">
        <v>198</v>
      </c>
      <c r="N182" s="227" t="s">
        <v>198</v>
      </c>
      <c r="O182" s="230" t="s">
        <v>240</v>
      </c>
    </row>
    <row r="183" spans="2:15">
      <c r="B183" s="224" t="s">
        <v>495</v>
      </c>
      <c r="C183" s="225" t="s">
        <v>273</v>
      </c>
      <c r="D183" s="225" t="s">
        <v>273</v>
      </c>
      <c r="E183" s="225" t="s">
        <v>273</v>
      </c>
      <c r="F183" s="226">
        <v>1</v>
      </c>
      <c r="G183" s="226">
        <v>1</v>
      </c>
      <c r="H183" s="225" t="s">
        <v>273</v>
      </c>
      <c r="I183" s="225" t="s">
        <v>273</v>
      </c>
      <c r="J183" s="225" t="s">
        <v>273</v>
      </c>
      <c r="K183" s="183" t="s">
        <v>234</v>
      </c>
      <c r="L183" s="227" t="s">
        <v>345</v>
      </c>
      <c r="M183" s="227" t="s">
        <v>197</v>
      </c>
      <c r="N183" s="227" t="s">
        <v>254</v>
      </c>
      <c r="O183" s="230" t="s">
        <v>296</v>
      </c>
    </row>
    <row r="184" spans="2:15">
      <c r="B184" s="224" t="s">
        <v>496</v>
      </c>
      <c r="C184" s="225" t="s">
        <v>273</v>
      </c>
      <c r="D184" s="225" t="s">
        <v>273</v>
      </c>
      <c r="E184" s="225" t="s">
        <v>273</v>
      </c>
      <c r="F184" s="226">
        <v>1</v>
      </c>
      <c r="G184" s="226">
        <v>1</v>
      </c>
      <c r="H184" s="225" t="s">
        <v>273</v>
      </c>
      <c r="I184" s="225" t="s">
        <v>273</v>
      </c>
      <c r="J184" s="225" t="s">
        <v>273</v>
      </c>
      <c r="K184" s="183" t="s">
        <v>234</v>
      </c>
      <c r="L184" s="227" t="s">
        <v>345</v>
      </c>
      <c r="M184" s="227" t="s">
        <v>198</v>
      </c>
      <c r="N184" s="227" t="s">
        <v>254</v>
      </c>
      <c r="O184" s="230" t="s">
        <v>240</v>
      </c>
    </row>
    <row r="185" spans="2:15">
      <c r="B185" s="224" t="s">
        <v>497</v>
      </c>
      <c r="C185" s="225" t="s">
        <v>273</v>
      </c>
      <c r="D185" s="225" t="s">
        <v>273</v>
      </c>
      <c r="E185" s="225" t="s">
        <v>273</v>
      </c>
      <c r="F185" s="226">
        <v>1</v>
      </c>
      <c r="G185" s="226">
        <v>1</v>
      </c>
      <c r="H185" s="225" t="s">
        <v>273</v>
      </c>
      <c r="I185" s="225" t="s">
        <v>273</v>
      </c>
      <c r="J185" s="225" t="s">
        <v>273</v>
      </c>
      <c r="K185" s="183" t="s">
        <v>289</v>
      </c>
      <c r="L185" s="227" t="s">
        <v>339</v>
      </c>
      <c r="M185" s="227" t="s">
        <v>254</v>
      </c>
      <c r="N185" s="227" t="s">
        <v>197</v>
      </c>
      <c r="O185" s="230" t="s">
        <v>296</v>
      </c>
    </row>
    <row r="186" spans="2:15">
      <c r="B186" s="224" t="s">
        <v>498</v>
      </c>
      <c r="C186" s="225" t="s">
        <v>273</v>
      </c>
      <c r="D186" s="225" t="s">
        <v>273</v>
      </c>
      <c r="E186" s="225" t="s">
        <v>273</v>
      </c>
      <c r="F186" s="226">
        <v>1</v>
      </c>
      <c r="G186" s="226">
        <v>1</v>
      </c>
      <c r="H186" s="225" t="s">
        <v>273</v>
      </c>
      <c r="I186" s="225" t="s">
        <v>273</v>
      </c>
      <c r="J186" s="225" t="s">
        <v>273</v>
      </c>
      <c r="K186" s="183" t="s">
        <v>289</v>
      </c>
      <c r="L186" s="227" t="s">
        <v>339</v>
      </c>
      <c r="M186" s="227" t="s">
        <v>254</v>
      </c>
      <c r="N186" s="227" t="s">
        <v>198</v>
      </c>
      <c r="O186" s="230" t="s">
        <v>240</v>
      </c>
    </row>
    <row r="187" spans="2:15">
      <c r="B187" s="224" t="s">
        <v>499</v>
      </c>
      <c r="C187" s="225" t="s">
        <v>273</v>
      </c>
      <c r="D187" s="225" t="s">
        <v>273</v>
      </c>
      <c r="E187" s="225" t="s">
        <v>273</v>
      </c>
      <c r="F187" s="226">
        <v>1</v>
      </c>
      <c r="G187" s="226">
        <v>1</v>
      </c>
      <c r="H187" s="225" t="s">
        <v>273</v>
      </c>
      <c r="I187" s="225" t="s">
        <v>273</v>
      </c>
      <c r="J187" s="225" t="s">
        <v>273</v>
      </c>
      <c r="K187" s="183" t="s">
        <v>289</v>
      </c>
      <c r="L187" s="227" t="s">
        <v>341</v>
      </c>
      <c r="M187" s="227" t="s">
        <v>254</v>
      </c>
      <c r="N187" s="227" t="s">
        <v>254</v>
      </c>
      <c r="O187" s="230" t="s">
        <v>296</v>
      </c>
    </row>
    <row r="188" spans="2:15">
      <c r="B188" s="224" t="s">
        <v>500</v>
      </c>
      <c r="C188" s="225" t="s">
        <v>273</v>
      </c>
      <c r="D188" s="225" t="s">
        <v>273</v>
      </c>
      <c r="E188" s="225" t="s">
        <v>273</v>
      </c>
      <c r="F188" s="226">
        <v>1</v>
      </c>
      <c r="G188" s="226">
        <v>1</v>
      </c>
      <c r="H188" s="225" t="s">
        <v>273</v>
      </c>
      <c r="I188" s="225" t="s">
        <v>273</v>
      </c>
      <c r="J188" s="225" t="s">
        <v>273</v>
      </c>
      <c r="K188" s="183" t="s">
        <v>289</v>
      </c>
      <c r="L188" s="227" t="s">
        <v>343</v>
      </c>
      <c r="M188" s="227" t="s">
        <v>254</v>
      </c>
      <c r="N188" s="227" t="s">
        <v>197</v>
      </c>
      <c r="O188" s="230" t="s">
        <v>295</v>
      </c>
    </row>
    <row r="189" spans="2:15">
      <c r="B189" s="224" t="s">
        <v>501</v>
      </c>
      <c r="C189" s="225" t="s">
        <v>273</v>
      </c>
      <c r="D189" s="225" t="s">
        <v>273</v>
      </c>
      <c r="E189" s="225" t="s">
        <v>273</v>
      </c>
      <c r="F189" s="226">
        <v>1</v>
      </c>
      <c r="G189" s="226">
        <v>1</v>
      </c>
      <c r="H189" s="225" t="s">
        <v>273</v>
      </c>
      <c r="I189" s="225" t="s">
        <v>273</v>
      </c>
      <c r="J189" s="225" t="s">
        <v>273</v>
      </c>
      <c r="K189" s="183" t="s">
        <v>289</v>
      </c>
      <c r="L189" s="227" t="s">
        <v>343</v>
      </c>
      <c r="M189" s="227" t="s">
        <v>254</v>
      </c>
      <c r="N189" s="227" t="s">
        <v>198</v>
      </c>
      <c r="O189" s="230" t="s">
        <v>240</v>
      </c>
    </row>
    <row r="190" spans="2:15" ht="14.25" thickBot="1">
      <c r="B190" s="231" t="s">
        <v>502</v>
      </c>
      <c r="C190" s="232" t="s">
        <v>273</v>
      </c>
      <c r="D190" s="232" t="s">
        <v>273</v>
      </c>
      <c r="E190" s="232" t="s">
        <v>273</v>
      </c>
      <c r="F190" s="233">
        <v>1</v>
      </c>
      <c r="G190" s="233">
        <v>1</v>
      </c>
      <c r="H190" s="232" t="s">
        <v>273</v>
      </c>
      <c r="I190" s="232" t="s">
        <v>273</v>
      </c>
      <c r="J190" s="232" t="s">
        <v>273</v>
      </c>
      <c r="K190" s="237" t="s">
        <v>289</v>
      </c>
      <c r="L190" s="234" t="s">
        <v>345</v>
      </c>
      <c r="M190" s="234" t="s">
        <v>254</v>
      </c>
      <c r="N190" s="234" t="s">
        <v>254</v>
      </c>
      <c r="O190" s="236" t="s">
        <v>296</v>
      </c>
    </row>
    <row r="196" spans="2:13" ht="15" thickBot="1">
      <c r="B196" s="147" t="s">
        <v>303</v>
      </c>
    </row>
    <row r="197" spans="2:13" ht="15" thickBot="1">
      <c r="B197" s="68" t="s">
        <v>124</v>
      </c>
      <c r="C197" s="355" t="s">
        <v>127</v>
      </c>
      <c r="D197" s="356"/>
      <c r="E197" s="356"/>
      <c r="F197" s="356"/>
      <c r="G197" s="356"/>
      <c r="H197" s="356"/>
      <c r="I197" s="356"/>
      <c r="J197" s="357"/>
      <c r="K197" s="149"/>
      <c r="L197" s="149"/>
      <c r="M197" s="150"/>
    </row>
    <row r="198" spans="2:13">
      <c r="B198" s="151"/>
      <c r="C198" s="152" t="s">
        <v>211</v>
      </c>
      <c r="D198" s="152"/>
      <c r="E198" s="152"/>
      <c r="F198" s="152"/>
      <c r="G198" s="152"/>
      <c r="H198" s="152"/>
      <c r="I198" s="152"/>
      <c r="J198" s="152"/>
      <c r="K198" s="152"/>
      <c r="L198" s="152"/>
      <c r="M198" s="153" t="s">
        <v>257</v>
      </c>
    </row>
    <row r="199" spans="2:13">
      <c r="B199" s="154" t="s">
        <v>22</v>
      </c>
      <c r="C199" s="358" t="s">
        <v>165</v>
      </c>
      <c r="D199" s="359"/>
      <c r="E199" s="359"/>
      <c r="F199" s="359"/>
      <c r="G199" s="359"/>
      <c r="H199" s="359"/>
      <c r="I199" s="359"/>
      <c r="J199" s="360"/>
      <c r="K199" s="60" t="s">
        <v>213</v>
      </c>
      <c r="L199" s="60"/>
      <c r="M199" s="155" t="s">
        <v>127</v>
      </c>
    </row>
    <row r="200" spans="2:13">
      <c r="B200" s="154" t="s">
        <v>34</v>
      </c>
      <c r="C200" s="156" t="s">
        <v>127</v>
      </c>
      <c r="D200" s="156" t="s">
        <v>127</v>
      </c>
      <c r="E200" s="156" t="s">
        <v>127</v>
      </c>
      <c r="F200" s="156" t="s">
        <v>127</v>
      </c>
      <c r="G200" s="156" t="s">
        <v>127</v>
      </c>
      <c r="H200" s="156" t="s">
        <v>127</v>
      </c>
      <c r="I200" s="156" t="s">
        <v>127</v>
      </c>
      <c r="J200" s="156" t="s">
        <v>127</v>
      </c>
      <c r="K200" s="145" t="s">
        <v>32</v>
      </c>
      <c r="L200" s="145" t="s">
        <v>32</v>
      </c>
      <c r="M200" s="155" t="s">
        <v>127</v>
      </c>
    </row>
    <row r="201" spans="2:13" ht="27">
      <c r="B201" s="157" t="s">
        <v>28</v>
      </c>
      <c r="C201" s="361" t="s">
        <v>36</v>
      </c>
      <c r="D201" s="359"/>
      <c r="E201" s="359"/>
      <c r="F201" s="359"/>
      <c r="G201" s="359"/>
      <c r="H201" s="359"/>
      <c r="I201" s="359"/>
      <c r="J201" s="360"/>
      <c r="K201" s="25" t="s">
        <v>32</v>
      </c>
      <c r="L201" s="25" t="s">
        <v>32</v>
      </c>
      <c r="M201" s="158"/>
    </row>
    <row r="202" spans="2:13" ht="88.15" customHeight="1">
      <c r="B202" s="154" t="s">
        <v>29</v>
      </c>
      <c r="C202" s="159" t="s">
        <v>216</v>
      </c>
      <c r="D202" s="159" t="s">
        <v>63</v>
      </c>
      <c r="E202" s="159" t="s">
        <v>217</v>
      </c>
      <c r="F202" s="159" t="s">
        <v>218</v>
      </c>
      <c r="G202" s="159" t="s">
        <v>219</v>
      </c>
      <c r="H202" s="159" t="s">
        <v>196</v>
      </c>
      <c r="I202" s="159" t="s">
        <v>220</v>
      </c>
      <c r="J202" s="159" t="s">
        <v>221</v>
      </c>
      <c r="K202" s="144" t="s">
        <v>224</v>
      </c>
      <c r="L202" s="144" t="s">
        <v>225</v>
      </c>
      <c r="M202" s="155" t="s">
        <v>246</v>
      </c>
    </row>
    <row r="203" spans="2:13" ht="55.15" customHeight="1" thickBot="1">
      <c r="B203" s="160" t="s">
        <v>31</v>
      </c>
      <c r="C203" s="161" t="s">
        <v>200</v>
      </c>
      <c r="D203" s="161" t="s">
        <v>127</v>
      </c>
      <c r="E203" s="161" t="s">
        <v>200</v>
      </c>
      <c r="F203" s="161" t="s">
        <v>200</v>
      </c>
      <c r="G203" s="161" t="s">
        <v>200</v>
      </c>
      <c r="H203" s="161" t="s">
        <v>200</v>
      </c>
      <c r="I203" s="162" t="s">
        <v>200</v>
      </c>
      <c r="J203" s="161" t="s">
        <v>200</v>
      </c>
      <c r="K203" s="26" t="s">
        <v>230</v>
      </c>
      <c r="L203" s="26" t="s">
        <v>231</v>
      </c>
      <c r="M203" s="163" t="s">
        <v>314</v>
      </c>
    </row>
    <row r="204" spans="2:13" ht="14.25" thickTop="1">
      <c r="B204" s="185" t="s">
        <v>363</v>
      </c>
      <c r="C204" s="186" t="s">
        <v>273</v>
      </c>
      <c r="D204" s="186" t="s">
        <v>273</v>
      </c>
      <c r="E204" s="186" t="s">
        <v>273</v>
      </c>
      <c r="F204" s="187">
        <v>0</v>
      </c>
      <c r="G204" s="187">
        <v>0</v>
      </c>
      <c r="H204" s="186" t="s">
        <v>273</v>
      </c>
      <c r="I204" s="186" t="s">
        <v>273</v>
      </c>
      <c r="J204" s="186" t="s">
        <v>273</v>
      </c>
      <c r="K204" s="189" t="s">
        <v>503</v>
      </c>
      <c r="L204" s="190" t="s">
        <v>503</v>
      </c>
      <c r="M204" s="191" t="s">
        <v>295</v>
      </c>
    </row>
    <row r="205" spans="2:13">
      <c r="B205" s="164" t="s">
        <v>504</v>
      </c>
      <c r="C205" s="165" t="s">
        <v>273</v>
      </c>
      <c r="D205" s="165" t="s">
        <v>273</v>
      </c>
      <c r="E205" s="165" t="s">
        <v>273</v>
      </c>
      <c r="F205" s="174">
        <v>0</v>
      </c>
      <c r="G205" s="174">
        <v>1</v>
      </c>
      <c r="H205" s="165" t="s">
        <v>273</v>
      </c>
      <c r="I205" s="165" t="s">
        <v>273</v>
      </c>
      <c r="J205" s="165" t="s">
        <v>273</v>
      </c>
      <c r="K205" s="172" t="s">
        <v>197</v>
      </c>
      <c r="L205" s="166" t="s">
        <v>197</v>
      </c>
      <c r="M205" s="167" t="s">
        <v>295</v>
      </c>
    </row>
    <row r="206" spans="2:13">
      <c r="B206" s="164" t="s">
        <v>505</v>
      </c>
      <c r="C206" s="165" t="s">
        <v>273</v>
      </c>
      <c r="D206" s="165" t="s">
        <v>273</v>
      </c>
      <c r="E206" s="165" t="s">
        <v>273</v>
      </c>
      <c r="F206" s="174">
        <v>0</v>
      </c>
      <c r="G206" s="174">
        <v>1</v>
      </c>
      <c r="H206" s="165" t="s">
        <v>273</v>
      </c>
      <c r="I206" s="165" t="s">
        <v>273</v>
      </c>
      <c r="J206" s="165" t="s">
        <v>273</v>
      </c>
      <c r="K206" s="172" t="s">
        <v>197</v>
      </c>
      <c r="L206" s="166" t="s">
        <v>198</v>
      </c>
      <c r="M206" s="167" t="s">
        <v>248</v>
      </c>
    </row>
    <row r="207" spans="2:13">
      <c r="B207" s="164" t="s">
        <v>506</v>
      </c>
      <c r="C207" s="165" t="s">
        <v>273</v>
      </c>
      <c r="D207" s="165" t="s">
        <v>273</v>
      </c>
      <c r="E207" s="165" t="s">
        <v>273</v>
      </c>
      <c r="F207" s="174">
        <v>0</v>
      </c>
      <c r="G207" s="174">
        <v>1</v>
      </c>
      <c r="H207" s="165" t="s">
        <v>273</v>
      </c>
      <c r="I207" s="165" t="s">
        <v>273</v>
      </c>
      <c r="J207" s="165" t="s">
        <v>273</v>
      </c>
      <c r="K207" s="172" t="s">
        <v>198</v>
      </c>
      <c r="L207" s="166" t="s">
        <v>197</v>
      </c>
      <c r="M207" s="167" t="s">
        <v>295</v>
      </c>
    </row>
    <row r="208" spans="2:13">
      <c r="B208" s="164" t="s">
        <v>507</v>
      </c>
      <c r="C208" s="165" t="s">
        <v>273</v>
      </c>
      <c r="D208" s="165" t="s">
        <v>273</v>
      </c>
      <c r="E208" s="165" t="s">
        <v>273</v>
      </c>
      <c r="F208" s="174">
        <v>0</v>
      </c>
      <c r="G208" s="174">
        <v>1</v>
      </c>
      <c r="H208" s="165" t="s">
        <v>273</v>
      </c>
      <c r="I208" s="165" t="s">
        <v>273</v>
      </c>
      <c r="J208" s="165" t="s">
        <v>273</v>
      </c>
      <c r="K208" s="172" t="s">
        <v>198</v>
      </c>
      <c r="L208" s="166" t="s">
        <v>198</v>
      </c>
      <c r="M208" s="167" t="s">
        <v>295</v>
      </c>
    </row>
    <row r="209" spans="2:13">
      <c r="B209" s="164" t="s">
        <v>508</v>
      </c>
      <c r="C209" s="165" t="s">
        <v>273</v>
      </c>
      <c r="D209" s="165" t="s">
        <v>273</v>
      </c>
      <c r="E209" s="165" t="s">
        <v>273</v>
      </c>
      <c r="F209" s="174">
        <v>1</v>
      </c>
      <c r="G209" s="174">
        <v>0</v>
      </c>
      <c r="H209" s="165" t="s">
        <v>273</v>
      </c>
      <c r="I209" s="165" t="s">
        <v>273</v>
      </c>
      <c r="J209" s="165" t="s">
        <v>273</v>
      </c>
      <c r="K209" s="172" t="s">
        <v>233</v>
      </c>
      <c r="L209" s="166" t="s">
        <v>233</v>
      </c>
      <c r="M209" s="188" t="s">
        <v>296</v>
      </c>
    </row>
    <row r="210" spans="2:13">
      <c r="B210" s="164" t="s">
        <v>509</v>
      </c>
      <c r="C210" s="165" t="s">
        <v>273</v>
      </c>
      <c r="D210" s="165" t="s">
        <v>273</v>
      </c>
      <c r="E210" s="165" t="s">
        <v>273</v>
      </c>
      <c r="F210" s="174">
        <v>1</v>
      </c>
      <c r="G210" s="174">
        <v>0</v>
      </c>
      <c r="H210" s="165" t="s">
        <v>273</v>
      </c>
      <c r="I210" s="165" t="s">
        <v>273</v>
      </c>
      <c r="J210" s="165" t="s">
        <v>273</v>
      </c>
      <c r="K210" s="172" t="s">
        <v>233</v>
      </c>
      <c r="L210" s="166" t="s">
        <v>201</v>
      </c>
      <c r="M210" s="167" t="s">
        <v>240</v>
      </c>
    </row>
    <row r="211" spans="2:13">
      <c r="B211" s="164" t="s">
        <v>510</v>
      </c>
      <c r="C211" s="165" t="s">
        <v>273</v>
      </c>
      <c r="D211" s="165" t="s">
        <v>273</v>
      </c>
      <c r="E211" s="165" t="s">
        <v>273</v>
      </c>
      <c r="F211" s="174">
        <v>1</v>
      </c>
      <c r="G211" s="174">
        <v>0</v>
      </c>
      <c r="H211" s="165" t="s">
        <v>273</v>
      </c>
      <c r="I211" s="165" t="s">
        <v>273</v>
      </c>
      <c r="J211" s="165" t="s">
        <v>273</v>
      </c>
      <c r="K211" s="172" t="s">
        <v>201</v>
      </c>
      <c r="L211" s="166" t="s">
        <v>233</v>
      </c>
      <c r="M211" s="167" t="s">
        <v>296</v>
      </c>
    </row>
    <row r="212" spans="2:13">
      <c r="B212" s="164" t="s">
        <v>511</v>
      </c>
      <c r="C212" s="165" t="s">
        <v>273</v>
      </c>
      <c r="D212" s="165" t="s">
        <v>273</v>
      </c>
      <c r="E212" s="165" t="s">
        <v>273</v>
      </c>
      <c r="F212" s="174">
        <v>1</v>
      </c>
      <c r="G212" s="174">
        <v>0</v>
      </c>
      <c r="H212" s="165" t="s">
        <v>273</v>
      </c>
      <c r="I212" s="165" t="s">
        <v>273</v>
      </c>
      <c r="J212" s="165" t="s">
        <v>273</v>
      </c>
      <c r="K212" s="172" t="s">
        <v>201</v>
      </c>
      <c r="L212" s="166" t="s">
        <v>201</v>
      </c>
      <c r="M212" s="167" t="s">
        <v>296</v>
      </c>
    </row>
    <row r="213" spans="2:13">
      <c r="B213" s="164" t="s">
        <v>512</v>
      </c>
      <c r="C213" s="165" t="s">
        <v>273</v>
      </c>
      <c r="D213" s="165" t="s">
        <v>273</v>
      </c>
      <c r="E213" s="165" t="s">
        <v>273</v>
      </c>
      <c r="F213" s="174">
        <v>1</v>
      </c>
      <c r="G213" s="174">
        <v>1</v>
      </c>
      <c r="H213" s="165" t="s">
        <v>273</v>
      </c>
      <c r="I213" s="165" t="s">
        <v>273</v>
      </c>
      <c r="J213" s="165" t="s">
        <v>273</v>
      </c>
      <c r="K213" s="172" t="s">
        <v>233</v>
      </c>
      <c r="L213" s="166" t="s">
        <v>233</v>
      </c>
      <c r="M213" s="188" t="s">
        <v>296</v>
      </c>
    </row>
    <row r="214" spans="2:13">
      <c r="B214" s="164" t="s">
        <v>513</v>
      </c>
      <c r="C214" s="165" t="s">
        <v>273</v>
      </c>
      <c r="D214" s="165" t="s">
        <v>273</v>
      </c>
      <c r="E214" s="165" t="s">
        <v>273</v>
      </c>
      <c r="F214" s="174">
        <v>1</v>
      </c>
      <c r="G214" s="174">
        <v>1</v>
      </c>
      <c r="H214" s="165" t="s">
        <v>273</v>
      </c>
      <c r="I214" s="165" t="s">
        <v>273</v>
      </c>
      <c r="J214" s="165" t="s">
        <v>273</v>
      </c>
      <c r="K214" s="172" t="s">
        <v>233</v>
      </c>
      <c r="L214" s="166" t="s">
        <v>201</v>
      </c>
      <c r="M214" s="167" t="s">
        <v>240</v>
      </c>
    </row>
    <row r="215" spans="2:13">
      <c r="B215" s="164" t="s">
        <v>514</v>
      </c>
      <c r="C215" s="165" t="s">
        <v>273</v>
      </c>
      <c r="D215" s="165" t="s">
        <v>273</v>
      </c>
      <c r="E215" s="165" t="s">
        <v>273</v>
      </c>
      <c r="F215" s="174">
        <v>1</v>
      </c>
      <c r="G215" s="174">
        <v>1</v>
      </c>
      <c r="H215" s="165" t="s">
        <v>273</v>
      </c>
      <c r="I215" s="165" t="s">
        <v>273</v>
      </c>
      <c r="J215" s="165" t="s">
        <v>273</v>
      </c>
      <c r="K215" s="172" t="s">
        <v>201</v>
      </c>
      <c r="L215" s="166" t="s">
        <v>233</v>
      </c>
      <c r="M215" s="167" t="s">
        <v>296</v>
      </c>
    </row>
    <row r="216" spans="2:13" ht="14.25" thickBot="1">
      <c r="B216" s="168" t="s">
        <v>515</v>
      </c>
      <c r="C216" s="169" t="s">
        <v>273</v>
      </c>
      <c r="D216" s="169" t="s">
        <v>273</v>
      </c>
      <c r="E216" s="169" t="s">
        <v>273</v>
      </c>
      <c r="F216" s="175">
        <v>1</v>
      </c>
      <c r="G216" s="175">
        <v>1</v>
      </c>
      <c r="H216" s="169" t="s">
        <v>273</v>
      </c>
      <c r="I216" s="169" t="s">
        <v>273</v>
      </c>
      <c r="J216" s="169" t="s">
        <v>273</v>
      </c>
      <c r="K216" s="173" t="s">
        <v>201</v>
      </c>
      <c r="L216" s="170" t="s">
        <v>201</v>
      </c>
      <c r="M216" s="171" t="s">
        <v>296</v>
      </c>
    </row>
    <row r="227" spans="2:13" ht="15" thickBot="1">
      <c r="B227" s="193" t="s">
        <v>523</v>
      </c>
    </row>
    <row r="228" spans="2:13" ht="15" thickBot="1">
      <c r="B228" s="195" t="s">
        <v>124</v>
      </c>
      <c r="C228" s="352" t="s">
        <v>127</v>
      </c>
      <c r="D228" s="353"/>
      <c r="E228" s="353"/>
      <c r="F228" s="353"/>
      <c r="G228" s="353"/>
      <c r="H228" s="353"/>
      <c r="I228" s="353"/>
      <c r="J228" s="354"/>
      <c r="K228" s="196"/>
      <c r="L228" s="196"/>
      <c r="M228" s="197"/>
    </row>
    <row r="229" spans="2:13">
      <c r="B229" s="198"/>
      <c r="C229" s="199" t="s">
        <v>211</v>
      </c>
      <c r="D229" s="199"/>
      <c r="E229" s="199"/>
      <c r="F229" s="199"/>
      <c r="G229" s="199"/>
      <c r="H229" s="199"/>
      <c r="I229" s="199"/>
      <c r="J229" s="199"/>
      <c r="K229" s="199"/>
      <c r="L229" s="199"/>
      <c r="M229" s="200" t="s">
        <v>257</v>
      </c>
    </row>
    <row r="230" spans="2:13">
      <c r="B230" s="201" t="s">
        <v>22</v>
      </c>
      <c r="C230" s="348" t="s">
        <v>165</v>
      </c>
      <c r="D230" s="349"/>
      <c r="E230" s="349"/>
      <c r="F230" s="349"/>
      <c r="G230" s="349"/>
      <c r="H230" s="349"/>
      <c r="I230" s="349"/>
      <c r="J230" s="350"/>
      <c r="K230" s="202" t="s">
        <v>23</v>
      </c>
      <c r="L230" s="203"/>
      <c r="M230" s="180" t="s">
        <v>127</v>
      </c>
    </row>
    <row r="231" spans="2:13">
      <c r="B231" s="201" t="s">
        <v>34</v>
      </c>
      <c r="C231" s="204" t="s">
        <v>127</v>
      </c>
      <c r="D231" s="204" t="s">
        <v>127</v>
      </c>
      <c r="E231" s="204" t="s">
        <v>127</v>
      </c>
      <c r="F231" s="204" t="s">
        <v>127</v>
      </c>
      <c r="G231" s="204" t="s">
        <v>127</v>
      </c>
      <c r="H231" s="204" t="s">
        <v>127</v>
      </c>
      <c r="I231" s="204" t="s">
        <v>127</v>
      </c>
      <c r="J231" s="204" t="s">
        <v>127</v>
      </c>
      <c r="K231" s="205" t="s">
        <v>195</v>
      </c>
      <c r="L231" s="206" t="s">
        <v>195</v>
      </c>
      <c r="M231" s="180" t="s">
        <v>127</v>
      </c>
    </row>
    <row r="232" spans="2:13" ht="27">
      <c r="B232" s="207" t="s">
        <v>28</v>
      </c>
      <c r="C232" s="351" t="s">
        <v>36</v>
      </c>
      <c r="D232" s="349"/>
      <c r="E232" s="349"/>
      <c r="F232" s="349"/>
      <c r="G232" s="349"/>
      <c r="H232" s="349"/>
      <c r="I232" s="349"/>
      <c r="J232" s="350"/>
      <c r="K232" s="208" t="s">
        <v>517</v>
      </c>
      <c r="L232" s="202" t="s">
        <v>517</v>
      </c>
      <c r="M232" s="209"/>
    </row>
    <row r="233" spans="2:13" ht="64.5">
      <c r="B233" s="201" t="s">
        <v>29</v>
      </c>
      <c r="C233" s="210" t="s">
        <v>216</v>
      </c>
      <c r="D233" s="210" t="s">
        <v>63</v>
      </c>
      <c r="E233" s="210" t="s">
        <v>217</v>
      </c>
      <c r="F233" s="210" t="s">
        <v>218</v>
      </c>
      <c r="G233" s="210" t="s">
        <v>219</v>
      </c>
      <c r="H233" s="210" t="s">
        <v>196</v>
      </c>
      <c r="I233" s="210" t="s">
        <v>220</v>
      </c>
      <c r="J233" s="210" t="s">
        <v>221</v>
      </c>
      <c r="K233" s="208" t="s">
        <v>518</v>
      </c>
      <c r="L233" s="211" t="s">
        <v>519</v>
      </c>
      <c r="M233" s="180" t="s">
        <v>587</v>
      </c>
    </row>
    <row r="234" spans="2:13" ht="108.75" thickBot="1">
      <c r="B234" s="212" t="s">
        <v>31</v>
      </c>
      <c r="C234" s="213" t="s">
        <v>200</v>
      </c>
      <c r="D234" s="213" t="s">
        <v>127</v>
      </c>
      <c r="E234" s="213" t="s">
        <v>200</v>
      </c>
      <c r="F234" s="213" t="s">
        <v>200</v>
      </c>
      <c r="G234" s="213" t="s">
        <v>200</v>
      </c>
      <c r="H234" s="213" t="s">
        <v>200</v>
      </c>
      <c r="I234" s="214" t="s">
        <v>200</v>
      </c>
      <c r="J234" s="213" t="s">
        <v>200</v>
      </c>
      <c r="K234" s="215" t="s">
        <v>227</v>
      </c>
      <c r="L234" s="216" t="s">
        <v>520</v>
      </c>
      <c r="M234" s="217" t="s">
        <v>294</v>
      </c>
    </row>
    <row r="235" spans="2:13" ht="14.25" thickTop="1">
      <c r="B235" s="238" t="s">
        <v>539</v>
      </c>
      <c r="C235" s="239" t="s">
        <v>273</v>
      </c>
      <c r="D235" s="239" t="s">
        <v>273</v>
      </c>
      <c r="E235" s="239" t="s">
        <v>273</v>
      </c>
      <c r="F235" s="240">
        <v>0</v>
      </c>
      <c r="G235" s="240">
        <v>0</v>
      </c>
      <c r="H235" s="239" t="s">
        <v>273</v>
      </c>
      <c r="I235" s="239" t="s">
        <v>273</v>
      </c>
      <c r="J235" s="239" t="s">
        <v>273</v>
      </c>
      <c r="K235" s="241" t="s">
        <v>362</v>
      </c>
      <c r="L235" s="242" t="s">
        <v>521</v>
      </c>
      <c r="M235" s="243" t="s">
        <v>296</v>
      </c>
    </row>
    <row r="236" spans="2:13">
      <c r="B236" s="224" t="s">
        <v>540</v>
      </c>
      <c r="C236" s="225" t="s">
        <v>273</v>
      </c>
      <c r="D236" s="225" t="s">
        <v>273</v>
      </c>
      <c r="E236" s="225" t="s">
        <v>273</v>
      </c>
      <c r="F236" s="226">
        <v>0</v>
      </c>
      <c r="G236" s="226">
        <v>1</v>
      </c>
      <c r="H236" s="225" t="s">
        <v>273</v>
      </c>
      <c r="I236" s="225" t="s">
        <v>273</v>
      </c>
      <c r="J236" s="225" t="s">
        <v>273</v>
      </c>
      <c r="K236" s="227" t="s">
        <v>286</v>
      </c>
      <c r="L236" s="228" t="s">
        <v>524</v>
      </c>
      <c r="M236" s="229" t="s">
        <v>296</v>
      </c>
    </row>
    <row r="237" spans="2:13">
      <c r="B237" s="224" t="s">
        <v>541</v>
      </c>
      <c r="C237" s="225" t="s">
        <v>273</v>
      </c>
      <c r="D237" s="225" t="s">
        <v>273</v>
      </c>
      <c r="E237" s="225" t="s">
        <v>273</v>
      </c>
      <c r="F237" s="226">
        <v>0</v>
      </c>
      <c r="G237" s="226">
        <v>1</v>
      </c>
      <c r="H237" s="225" t="s">
        <v>273</v>
      </c>
      <c r="I237" s="225" t="s">
        <v>273</v>
      </c>
      <c r="J237" s="225" t="s">
        <v>273</v>
      </c>
      <c r="K237" s="227" t="s">
        <v>339</v>
      </c>
      <c r="L237" s="228" t="s">
        <v>525</v>
      </c>
      <c r="M237" s="230" t="s">
        <v>298</v>
      </c>
    </row>
    <row r="238" spans="2:13">
      <c r="B238" s="224" t="s">
        <v>542</v>
      </c>
      <c r="C238" s="225" t="s">
        <v>273</v>
      </c>
      <c r="D238" s="225" t="s">
        <v>273</v>
      </c>
      <c r="E238" s="225" t="s">
        <v>273</v>
      </c>
      <c r="F238" s="226">
        <v>0</v>
      </c>
      <c r="G238" s="226">
        <v>1</v>
      </c>
      <c r="H238" s="225" t="s">
        <v>273</v>
      </c>
      <c r="I238" s="225" t="s">
        <v>273</v>
      </c>
      <c r="J238" s="225" t="s">
        <v>273</v>
      </c>
      <c r="K238" s="227" t="s">
        <v>339</v>
      </c>
      <c r="L238" s="242" t="s">
        <v>527</v>
      </c>
      <c r="M238" s="230" t="s">
        <v>297</v>
      </c>
    </row>
    <row r="239" spans="2:13">
      <c r="B239" s="224" t="s">
        <v>543</v>
      </c>
      <c r="C239" s="225" t="s">
        <v>273</v>
      </c>
      <c r="D239" s="225" t="s">
        <v>273</v>
      </c>
      <c r="E239" s="225" t="s">
        <v>273</v>
      </c>
      <c r="F239" s="226">
        <v>0</v>
      </c>
      <c r="G239" s="226">
        <v>1</v>
      </c>
      <c r="H239" s="225" t="s">
        <v>273</v>
      </c>
      <c r="I239" s="225" t="s">
        <v>273</v>
      </c>
      <c r="J239" s="225" t="s">
        <v>273</v>
      </c>
      <c r="K239" s="227" t="s">
        <v>339</v>
      </c>
      <c r="L239" s="228" t="s">
        <v>529</v>
      </c>
      <c r="M239" s="230" t="s">
        <v>297</v>
      </c>
    </row>
    <row r="240" spans="2:13">
      <c r="B240" s="224" t="s">
        <v>544</v>
      </c>
      <c r="C240" s="225" t="s">
        <v>273</v>
      </c>
      <c r="D240" s="225" t="s">
        <v>273</v>
      </c>
      <c r="E240" s="225" t="s">
        <v>273</v>
      </c>
      <c r="F240" s="226">
        <v>0</v>
      </c>
      <c r="G240" s="226">
        <v>1</v>
      </c>
      <c r="H240" s="225" t="s">
        <v>273</v>
      </c>
      <c r="I240" s="225" t="s">
        <v>273</v>
      </c>
      <c r="J240" s="225" t="s">
        <v>273</v>
      </c>
      <c r="K240" s="227" t="s">
        <v>339</v>
      </c>
      <c r="L240" s="242" t="s">
        <v>531</v>
      </c>
      <c r="M240" s="230" t="s">
        <v>297</v>
      </c>
    </row>
    <row r="241" spans="2:13">
      <c r="B241" s="224" t="s">
        <v>545</v>
      </c>
      <c r="C241" s="225" t="s">
        <v>273</v>
      </c>
      <c r="D241" s="225" t="s">
        <v>273</v>
      </c>
      <c r="E241" s="225" t="s">
        <v>273</v>
      </c>
      <c r="F241" s="226">
        <v>0</v>
      </c>
      <c r="G241" s="226">
        <v>1</v>
      </c>
      <c r="H241" s="225" t="s">
        <v>273</v>
      </c>
      <c r="I241" s="225" t="s">
        <v>273</v>
      </c>
      <c r="J241" s="225" t="s">
        <v>273</v>
      </c>
      <c r="K241" s="227" t="s">
        <v>339</v>
      </c>
      <c r="L241" s="228" t="s">
        <v>533</v>
      </c>
      <c r="M241" s="230" t="s">
        <v>297</v>
      </c>
    </row>
    <row r="242" spans="2:13">
      <c r="B242" s="224" t="s">
        <v>546</v>
      </c>
      <c r="C242" s="225" t="s">
        <v>273</v>
      </c>
      <c r="D242" s="225" t="s">
        <v>273</v>
      </c>
      <c r="E242" s="225" t="s">
        <v>273</v>
      </c>
      <c r="F242" s="226">
        <v>0</v>
      </c>
      <c r="G242" s="226">
        <v>1</v>
      </c>
      <c r="H242" s="225" t="s">
        <v>273</v>
      </c>
      <c r="I242" s="225" t="s">
        <v>273</v>
      </c>
      <c r="J242" s="225" t="s">
        <v>273</v>
      </c>
      <c r="K242" s="227" t="s">
        <v>339</v>
      </c>
      <c r="L242" s="242" t="s">
        <v>535</v>
      </c>
      <c r="M242" s="230" t="s">
        <v>295</v>
      </c>
    </row>
    <row r="243" spans="2:13">
      <c r="B243" s="244" t="s">
        <v>547</v>
      </c>
      <c r="C243" s="245" t="s">
        <v>273</v>
      </c>
      <c r="D243" s="245" t="s">
        <v>273</v>
      </c>
      <c r="E243" s="245" t="s">
        <v>273</v>
      </c>
      <c r="F243" s="226">
        <v>0</v>
      </c>
      <c r="G243" s="226">
        <v>1</v>
      </c>
      <c r="H243" s="245" t="s">
        <v>273</v>
      </c>
      <c r="I243" s="245" t="s">
        <v>273</v>
      </c>
      <c r="J243" s="245" t="s">
        <v>273</v>
      </c>
      <c r="K243" s="247" t="s">
        <v>339</v>
      </c>
      <c r="L243" s="248" t="s">
        <v>537</v>
      </c>
      <c r="M243" s="249" t="s">
        <v>295</v>
      </c>
    </row>
    <row r="244" spans="2:13">
      <c r="B244" s="224" t="s">
        <v>548</v>
      </c>
      <c r="C244" s="225" t="s">
        <v>273</v>
      </c>
      <c r="D244" s="225" t="s">
        <v>273</v>
      </c>
      <c r="E244" s="225" t="s">
        <v>273</v>
      </c>
      <c r="F244" s="226">
        <v>0</v>
      </c>
      <c r="G244" s="226">
        <v>1</v>
      </c>
      <c r="H244" s="225" t="s">
        <v>273</v>
      </c>
      <c r="I244" s="225" t="s">
        <v>273</v>
      </c>
      <c r="J244" s="225" t="s">
        <v>273</v>
      </c>
      <c r="K244" s="227" t="s">
        <v>288</v>
      </c>
      <c r="L244" s="228" t="s">
        <v>521</v>
      </c>
      <c r="M244" s="229" t="s">
        <v>296</v>
      </c>
    </row>
    <row r="245" spans="2:13">
      <c r="B245" s="224" t="s">
        <v>549</v>
      </c>
      <c r="C245" s="225" t="s">
        <v>273</v>
      </c>
      <c r="D245" s="225" t="s">
        <v>273</v>
      </c>
      <c r="E245" s="225" t="s">
        <v>273</v>
      </c>
      <c r="F245" s="226">
        <v>0</v>
      </c>
      <c r="G245" s="226">
        <v>1</v>
      </c>
      <c r="H245" s="225" t="s">
        <v>273</v>
      </c>
      <c r="I245" s="225" t="s">
        <v>273</v>
      </c>
      <c r="J245" s="225" t="s">
        <v>273</v>
      </c>
      <c r="K245" s="227" t="s">
        <v>234</v>
      </c>
      <c r="L245" s="228" t="s">
        <v>522</v>
      </c>
      <c r="M245" s="229" t="s">
        <v>296</v>
      </c>
    </row>
    <row r="246" spans="2:13">
      <c r="B246" s="224" t="s">
        <v>550</v>
      </c>
      <c r="C246" s="225" t="s">
        <v>273</v>
      </c>
      <c r="D246" s="225" t="s">
        <v>273</v>
      </c>
      <c r="E246" s="225" t="s">
        <v>273</v>
      </c>
      <c r="F246" s="226">
        <v>0</v>
      </c>
      <c r="G246" s="226">
        <v>1</v>
      </c>
      <c r="H246" s="225" t="s">
        <v>273</v>
      </c>
      <c r="I246" s="225" t="s">
        <v>273</v>
      </c>
      <c r="J246" s="225" t="s">
        <v>273</v>
      </c>
      <c r="K246" s="227" t="s">
        <v>345</v>
      </c>
      <c r="L246" s="228" t="s">
        <v>522</v>
      </c>
      <c r="M246" s="230" t="s">
        <v>295</v>
      </c>
    </row>
    <row r="247" spans="2:13">
      <c r="B247" s="224" t="s">
        <v>551</v>
      </c>
      <c r="C247" s="225" t="s">
        <v>158</v>
      </c>
      <c r="D247" s="225" t="s">
        <v>158</v>
      </c>
      <c r="E247" s="225" t="s">
        <v>158</v>
      </c>
      <c r="F247" s="226">
        <v>1</v>
      </c>
      <c r="G247" s="226">
        <v>0</v>
      </c>
      <c r="H247" s="225" t="s">
        <v>158</v>
      </c>
      <c r="I247" s="225" t="s">
        <v>158</v>
      </c>
      <c r="J247" s="225" t="s">
        <v>158</v>
      </c>
      <c r="K247" s="227" t="s">
        <v>339</v>
      </c>
      <c r="L247" s="228" t="s">
        <v>524</v>
      </c>
      <c r="M247" s="229" t="s">
        <v>295</v>
      </c>
    </row>
    <row r="248" spans="2:13">
      <c r="B248" s="224" t="s">
        <v>552</v>
      </c>
      <c r="C248" s="225" t="s">
        <v>273</v>
      </c>
      <c r="D248" s="225" t="s">
        <v>273</v>
      </c>
      <c r="E248" s="225" t="s">
        <v>273</v>
      </c>
      <c r="F248" s="226">
        <v>1</v>
      </c>
      <c r="G248" s="226">
        <v>0</v>
      </c>
      <c r="H248" s="225" t="s">
        <v>273</v>
      </c>
      <c r="I248" s="225" t="s">
        <v>273</v>
      </c>
      <c r="J248" s="225" t="s">
        <v>273</v>
      </c>
      <c r="K248" s="227" t="s">
        <v>339</v>
      </c>
      <c r="L248" s="228" t="s">
        <v>526</v>
      </c>
      <c r="M248" s="230" t="s">
        <v>298</v>
      </c>
    </row>
    <row r="249" spans="2:13">
      <c r="B249" s="224" t="s">
        <v>553</v>
      </c>
      <c r="C249" s="225" t="s">
        <v>273</v>
      </c>
      <c r="D249" s="225" t="s">
        <v>273</v>
      </c>
      <c r="E249" s="225" t="s">
        <v>273</v>
      </c>
      <c r="F249" s="226">
        <v>1</v>
      </c>
      <c r="G249" s="226">
        <v>0</v>
      </c>
      <c r="H249" s="225" t="s">
        <v>273</v>
      </c>
      <c r="I249" s="225" t="s">
        <v>273</v>
      </c>
      <c r="J249" s="225" t="s">
        <v>273</v>
      </c>
      <c r="K249" s="227" t="s">
        <v>339</v>
      </c>
      <c r="L249" s="242" t="s">
        <v>528</v>
      </c>
      <c r="M249" s="230" t="s">
        <v>297</v>
      </c>
    </row>
    <row r="250" spans="2:13">
      <c r="B250" s="224" t="s">
        <v>554</v>
      </c>
      <c r="C250" s="225" t="s">
        <v>273</v>
      </c>
      <c r="D250" s="225" t="s">
        <v>273</v>
      </c>
      <c r="E250" s="225" t="s">
        <v>273</v>
      </c>
      <c r="F250" s="226">
        <v>1</v>
      </c>
      <c r="G250" s="226">
        <v>0</v>
      </c>
      <c r="H250" s="225" t="s">
        <v>273</v>
      </c>
      <c r="I250" s="225" t="s">
        <v>273</v>
      </c>
      <c r="J250" s="225" t="s">
        <v>273</v>
      </c>
      <c r="K250" s="227" t="s">
        <v>339</v>
      </c>
      <c r="L250" s="228" t="s">
        <v>530</v>
      </c>
      <c r="M250" s="230" t="s">
        <v>297</v>
      </c>
    </row>
    <row r="251" spans="2:13">
      <c r="B251" s="224" t="s">
        <v>555</v>
      </c>
      <c r="C251" s="225" t="s">
        <v>273</v>
      </c>
      <c r="D251" s="225" t="s">
        <v>273</v>
      </c>
      <c r="E251" s="225" t="s">
        <v>273</v>
      </c>
      <c r="F251" s="226">
        <v>1</v>
      </c>
      <c r="G251" s="226">
        <v>0</v>
      </c>
      <c r="H251" s="225" t="s">
        <v>273</v>
      </c>
      <c r="I251" s="225" t="s">
        <v>273</v>
      </c>
      <c r="J251" s="225" t="s">
        <v>273</v>
      </c>
      <c r="K251" s="227" t="s">
        <v>339</v>
      </c>
      <c r="L251" s="242" t="s">
        <v>532</v>
      </c>
      <c r="M251" s="230" t="s">
        <v>297</v>
      </c>
    </row>
    <row r="252" spans="2:13">
      <c r="B252" s="224" t="s">
        <v>556</v>
      </c>
      <c r="C252" s="225" t="s">
        <v>273</v>
      </c>
      <c r="D252" s="225" t="s">
        <v>273</v>
      </c>
      <c r="E252" s="225" t="s">
        <v>273</v>
      </c>
      <c r="F252" s="226">
        <v>1</v>
      </c>
      <c r="G252" s="226">
        <v>0</v>
      </c>
      <c r="H252" s="225" t="s">
        <v>273</v>
      </c>
      <c r="I252" s="225" t="s">
        <v>273</v>
      </c>
      <c r="J252" s="225" t="s">
        <v>273</v>
      </c>
      <c r="K252" s="227" t="s">
        <v>339</v>
      </c>
      <c r="L252" s="228" t="s">
        <v>534</v>
      </c>
      <c r="M252" s="230" t="s">
        <v>297</v>
      </c>
    </row>
    <row r="253" spans="2:13">
      <c r="B253" s="224" t="s">
        <v>557</v>
      </c>
      <c r="C253" s="225" t="s">
        <v>273</v>
      </c>
      <c r="D253" s="225" t="s">
        <v>273</v>
      </c>
      <c r="E253" s="225" t="s">
        <v>273</v>
      </c>
      <c r="F253" s="226">
        <v>1</v>
      </c>
      <c r="G253" s="226">
        <v>0</v>
      </c>
      <c r="H253" s="225" t="s">
        <v>273</v>
      </c>
      <c r="I253" s="225" t="s">
        <v>273</v>
      </c>
      <c r="J253" s="225" t="s">
        <v>273</v>
      </c>
      <c r="K253" s="227" t="s">
        <v>339</v>
      </c>
      <c r="L253" s="242" t="s">
        <v>536</v>
      </c>
      <c r="M253" s="230" t="s">
        <v>295</v>
      </c>
    </row>
    <row r="254" spans="2:13">
      <c r="B254" s="244" t="s">
        <v>558</v>
      </c>
      <c r="C254" s="245" t="s">
        <v>273</v>
      </c>
      <c r="D254" s="245" t="s">
        <v>273</v>
      </c>
      <c r="E254" s="245" t="s">
        <v>273</v>
      </c>
      <c r="F254" s="246">
        <v>1</v>
      </c>
      <c r="G254" s="226">
        <v>0</v>
      </c>
      <c r="H254" s="245" t="s">
        <v>273</v>
      </c>
      <c r="I254" s="245" t="s">
        <v>273</v>
      </c>
      <c r="J254" s="245" t="s">
        <v>273</v>
      </c>
      <c r="K254" s="247" t="s">
        <v>339</v>
      </c>
      <c r="L254" s="248" t="s">
        <v>538</v>
      </c>
      <c r="M254" s="249" t="s">
        <v>295</v>
      </c>
    </row>
    <row r="255" spans="2:13">
      <c r="B255" s="224" t="s">
        <v>559</v>
      </c>
      <c r="C255" s="225" t="s">
        <v>273</v>
      </c>
      <c r="D255" s="225" t="s">
        <v>273</v>
      </c>
      <c r="E255" s="225" t="s">
        <v>273</v>
      </c>
      <c r="F255" s="226">
        <v>1</v>
      </c>
      <c r="G255" s="226">
        <v>0</v>
      </c>
      <c r="H255" s="225" t="s">
        <v>273</v>
      </c>
      <c r="I255" s="225" t="s">
        <v>273</v>
      </c>
      <c r="J255" s="225" t="s">
        <v>273</v>
      </c>
      <c r="K255" s="227" t="s">
        <v>288</v>
      </c>
      <c r="L255" s="228" t="s">
        <v>521</v>
      </c>
      <c r="M255" s="229" t="s">
        <v>296</v>
      </c>
    </row>
    <row r="256" spans="2:13">
      <c r="B256" s="224" t="s">
        <v>560</v>
      </c>
      <c r="C256" s="225" t="s">
        <v>273</v>
      </c>
      <c r="D256" s="225" t="s">
        <v>273</v>
      </c>
      <c r="E256" s="225" t="s">
        <v>273</v>
      </c>
      <c r="F256" s="226">
        <v>1</v>
      </c>
      <c r="G256" s="226">
        <v>0</v>
      </c>
      <c r="H256" s="225" t="s">
        <v>273</v>
      </c>
      <c r="I256" s="225" t="s">
        <v>273</v>
      </c>
      <c r="J256" s="225" t="s">
        <v>273</v>
      </c>
      <c r="K256" s="227" t="s">
        <v>234</v>
      </c>
      <c r="L256" s="228" t="s">
        <v>524</v>
      </c>
      <c r="M256" s="229" t="s">
        <v>296</v>
      </c>
    </row>
    <row r="257" spans="2:13">
      <c r="B257" s="224" t="s">
        <v>561</v>
      </c>
      <c r="C257" s="225" t="s">
        <v>273</v>
      </c>
      <c r="D257" s="225" t="s">
        <v>273</v>
      </c>
      <c r="E257" s="225" t="s">
        <v>273</v>
      </c>
      <c r="F257" s="226">
        <v>1</v>
      </c>
      <c r="G257" s="226">
        <v>0</v>
      </c>
      <c r="H257" s="225" t="s">
        <v>273</v>
      </c>
      <c r="I257" s="225" t="s">
        <v>273</v>
      </c>
      <c r="J257" s="225" t="s">
        <v>273</v>
      </c>
      <c r="K257" s="227" t="s">
        <v>343</v>
      </c>
      <c r="L257" s="228" t="s">
        <v>525</v>
      </c>
      <c r="M257" s="230" t="s">
        <v>298</v>
      </c>
    </row>
    <row r="258" spans="2:13">
      <c r="B258" s="224" t="s">
        <v>562</v>
      </c>
      <c r="C258" s="225" t="s">
        <v>273</v>
      </c>
      <c r="D258" s="225" t="s">
        <v>273</v>
      </c>
      <c r="E258" s="225" t="s">
        <v>273</v>
      </c>
      <c r="F258" s="226">
        <v>1</v>
      </c>
      <c r="G258" s="226">
        <v>0</v>
      </c>
      <c r="H258" s="225" t="s">
        <v>273</v>
      </c>
      <c r="I258" s="225" t="s">
        <v>273</v>
      </c>
      <c r="J258" s="225" t="s">
        <v>273</v>
      </c>
      <c r="K258" s="227" t="s">
        <v>343</v>
      </c>
      <c r="L258" s="242" t="s">
        <v>527</v>
      </c>
      <c r="M258" s="230" t="s">
        <v>297</v>
      </c>
    </row>
    <row r="259" spans="2:13">
      <c r="B259" s="224" t="s">
        <v>563</v>
      </c>
      <c r="C259" s="225" t="s">
        <v>273</v>
      </c>
      <c r="D259" s="225" t="s">
        <v>273</v>
      </c>
      <c r="E259" s="225" t="s">
        <v>273</v>
      </c>
      <c r="F259" s="226">
        <v>1</v>
      </c>
      <c r="G259" s="226">
        <v>0</v>
      </c>
      <c r="H259" s="225" t="s">
        <v>273</v>
      </c>
      <c r="I259" s="225" t="s">
        <v>273</v>
      </c>
      <c r="J259" s="225" t="s">
        <v>273</v>
      </c>
      <c r="K259" s="227" t="s">
        <v>343</v>
      </c>
      <c r="L259" s="228" t="s">
        <v>529</v>
      </c>
      <c r="M259" s="230" t="s">
        <v>297</v>
      </c>
    </row>
    <row r="260" spans="2:13">
      <c r="B260" s="224" t="s">
        <v>564</v>
      </c>
      <c r="C260" s="225" t="s">
        <v>273</v>
      </c>
      <c r="D260" s="225" t="s">
        <v>273</v>
      </c>
      <c r="E260" s="225" t="s">
        <v>273</v>
      </c>
      <c r="F260" s="226">
        <v>1</v>
      </c>
      <c r="G260" s="226">
        <v>0</v>
      </c>
      <c r="H260" s="225" t="s">
        <v>273</v>
      </c>
      <c r="I260" s="225" t="s">
        <v>273</v>
      </c>
      <c r="J260" s="225" t="s">
        <v>273</v>
      </c>
      <c r="K260" s="227" t="s">
        <v>343</v>
      </c>
      <c r="L260" s="242" t="s">
        <v>531</v>
      </c>
      <c r="M260" s="230" t="s">
        <v>297</v>
      </c>
    </row>
    <row r="261" spans="2:13">
      <c r="B261" s="224" t="s">
        <v>565</v>
      </c>
      <c r="C261" s="225" t="s">
        <v>273</v>
      </c>
      <c r="D261" s="225" t="s">
        <v>273</v>
      </c>
      <c r="E261" s="225" t="s">
        <v>273</v>
      </c>
      <c r="F261" s="226">
        <v>1</v>
      </c>
      <c r="G261" s="226">
        <v>0</v>
      </c>
      <c r="H261" s="225" t="s">
        <v>273</v>
      </c>
      <c r="I261" s="225" t="s">
        <v>273</v>
      </c>
      <c r="J261" s="225" t="s">
        <v>273</v>
      </c>
      <c r="K261" s="227" t="s">
        <v>343</v>
      </c>
      <c r="L261" s="228" t="s">
        <v>533</v>
      </c>
      <c r="M261" s="230" t="s">
        <v>297</v>
      </c>
    </row>
    <row r="262" spans="2:13">
      <c r="B262" s="224" t="s">
        <v>566</v>
      </c>
      <c r="C262" s="225" t="s">
        <v>273</v>
      </c>
      <c r="D262" s="225" t="s">
        <v>273</v>
      </c>
      <c r="E262" s="225" t="s">
        <v>273</v>
      </c>
      <c r="F262" s="226">
        <v>1</v>
      </c>
      <c r="G262" s="226">
        <v>0</v>
      </c>
      <c r="H262" s="225" t="s">
        <v>273</v>
      </c>
      <c r="I262" s="225" t="s">
        <v>273</v>
      </c>
      <c r="J262" s="225" t="s">
        <v>273</v>
      </c>
      <c r="K262" s="227" t="s">
        <v>343</v>
      </c>
      <c r="L262" s="242" t="s">
        <v>535</v>
      </c>
      <c r="M262" s="230" t="s">
        <v>295</v>
      </c>
    </row>
    <row r="263" spans="2:13">
      <c r="B263" s="244" t="s">
        <v>567</v>
      </c>
      <c r="C263" s="245" t="s">
        <v>273</v>
      </c>
      <c r="D263" s="245" t="s">
        <v>273</v>
      </c>
      <c r="E263" s="245" t="s">
        <v>273</v>
      </c>
      <c r="F263" s="246">
        <v>1</v>
      </c>
      <c r="G263" s="226">
        <v>0</v>
      </c>
      <c r="H263" s="245" t="s">
        <v>273</v>
      </c>
      <c r="I263" s="245" t="s">
        <v>273</v>
      </c>
      <c r="J263" s="245" t="s">
        <v>273</v>
      </c>
      <c r="K263" s="247" t="s">
        <v>343</v>
      </c>
      <c r="L263" s="248" t="s">
        <v>537</v>
      </c>
      <c r="M263" s="249" t="s">
        <v>295</v>
      </c>
    </row>
    <row r="264" spans="2:13">
      <c r="B264" s="224" t="s">
        <v>568</v>
      </c>
      <c r="C264" s="225" t="s">
        <v>273</v>
      </c>
      <c r="D264" s="225" t="s">
        <v>273</v>
      </c>
      <c r="E264" s="225" t="s">
        <v>273</v>
      </c>
      <c r="F264" s="226">
        <v>1</v>
      </c>
      <c r="G264" s="226">
        <v>0</v>
      </c>
      <c r="H264" s="225" t="s">
        <v>273</v>
      </c>
      <c r="I264" s="225" t="s">
        <v>273</v>
      </c>
      <c r="J264" s="225" t="s">
        <v>273</v>
      </c>
      <c r="K264" s="227" t="s">
        <v>289</v>
      </c>
      <c r="L264" s="228" t="s">
        <v>521</v>
      </c>
      <c r="M264" s="229" t="s">
        <v>296</v>
      </c>
    </row>
    <row r="265" spans="2:13">
      <c r="B265" s="224" t="s">
        <v>569</v>
      </c>
      <c r="C265" s="225" t="s">
        <v>158</v>
      </c>
      <c r="D265" s="225" t="s">
        <v>158</v>
      </c>
      <c r="E265" s="225" t="s">
        <v>158</v>
      </c>
      <c r="F265" s="226">
        <v>1</v>
      </c>
      <c r="G265" s="226">
        <v>1</v>
      </c>
      <c r="H265" s="225" t="s">
        <v>158</v>
      </c>
      <c r="I265" s="225" t="s">
        <v>158</v>
      </c>
      <c r="J265" s="225" t="s">
        <v>158</v>
      </c>
      <c r="K265" s="227" t="s">
        <v>339</v>
      </c>
      <c r="L265" s="228" t="s">
        <v>524</v>
      </c>
      <c r="M265" s="229" t="s">
        <v>295</v>
      </c>
    </row>
    <row r="266" spans="2:13">
      <c r="B266" s="224" t="s">
        <v>570</v>
      </c>
      <c r="C266" s="225" t="s">
        <v>273</v>
      </c>
      <c r="D266" s="225" t="s">
        <v>273</v>
      </c>
      <c r="E266" s="225" t="s">
        <v>273</v>
      </c>
      <c r="F266" s="226">
        <v>1</v>
      </c>
      <c r="G266" s="226">
        <v>1</v>
      </c>
      <c r="H266" s="225" t="s">
        <v>273</v>
      </c>
      <c r="I266" s="225" t="s">
        <v>273</v>
      </c>
      <c r="J266" s="225" t="s">
        <v>273</v>
      </c>
      <c r="K266" s="227" t="s">
        <v>339</v>
      </c>
      <c r="L266" s="228" t="s">
        <v>526</v>
      </c>
      <c r="M266" s="230" t="s">
        <v>298</v>
      </c>
    </row>
    <row r="267" spans="2:13">
      <c r="B267" s="224" t="s">
        <v>571</v>
      </c>
      <c r="C267" s="225" t="s">
        <v>273</v>
      </c>
      <c r="D267" s="225" t="s">
        <v>273</v>
      </c>
      <c r="E267" s="225" t="s">
        <v>273</v>
      </c>
      <c r="F267" s="226">
        <v>1</v>
      </c>
      <c r="G267" s="226">
        <v>1</v>
      </c>
      <c r="H267" s="225" t="s">
        <v>273</v>
      </c>
      <c r="I267" s="225" t="s">
        <v>273</v>
      </c>
      <c r="J267" s="225" t="s">
        <v>273</v>
      </c>
      <c r="K267" s="227" t="s">
        <v>339</v>
      </c>
      <c r="L267" s="242" t="s">
        <v>528</v>
      </c>
      <c r="M267" s="230" t="s">
        <v>297</v>
      </c>
    </row>
    <row r="268" spans="2:13">
      <c r="B268" s="224" t="s">
        <v>572</v>
      </c>
      <c r="C268" s="225" t="s">
        <v>273</v>
      </c>
      <c r="D268" s="225" t="s">
        <v>273</v>
      </c>
      <c r="E268" s="225" t="s">
        <v>273</v>
      </c>
      <c r="F268" s="226">
        <v>1</v>
      </c>
      <c r="G268" s="226">
        <v>1</v>
      </c>
      <c r="H268" s="225" t="s">
        <v>273</v>
      </c>
      <c r="I268" s="225" t="s">
        <v>273</v>
      </c>
      <c r="J268" s="225" t="s">
        <v>273</v>
      </c>
      <c r="K268" s="227" t="s">
        <v>339</v>
      </c>
      <c r="L268" s="228" t="s">
        <v>530</v>
      </c>
      <c r="M268" s="230" t="s">
        <v>297</v>
      </c>
    </row>
    <row r="269" spans="2:13">
      <c r="B269" s="224" t="s">
        <v>573</v>
      </c>
      <c r="C269" s="225" t="s">
        <v>273</v>
      </c>
      <c r="D269" s="225" t="s">
        <v>273</v>
      </c>
      <c r="E269" s="225" t="s">
        <v>273</v>
      </c>
      <c r="F269" s="226">
        <v>1</v>
      </c>
      <c r="G269" s="226">
        <v>1</v>
      </c>
      <c r="H269" s="225" t="s">
        <v>273</v>
      </c>
      <c r="I269" s="225" t="s">
        <v>273</v>
      </c>
      <c r="J269" s="225" t="s">
        <v>273</v>
      </c>
      <c r="K269" s="227" t="s">
        <v>339</v>
      </c>
      <c r="L269" s="242" t="s">
        <v>532</v>
      </c>
      <c r="M269" s="230" t="s">
        <v>297</v>
      </c>
    </row>
    <row r="270" spans="2:13">
      <c r="B270" s="224" t="s">
        <v>574</v>
      </c>
      <c r="C270" s="225" t="s">
        <v>273</v>
      </c>
      <c r="D270" s="225" t="s">
        <v>273</v>
      </c>
      <c r="E270" s="225" t="s">
        <v>273</v>
      </c>
      <c r="F270" s="226">
        <v>1</v>
      </c>
      <c r="G270" s="226">
        <v>1</v>
      </c>
      <c r="H270" s="225" t="s">
        <v>273</v>
      </c>
      <c r="I270" s="225" t="s">
        <v>273</v>
      </c>
      <c r="J270" s="225" t="s">
        <v>273</v>
      </c>
      <c r="K270" s="227" t="s">
        <v>339</v>
      </c>
      <c r="L270" s="228" t="s">
        <v>534</v>
      </c>
      <c r="M270" s="230" t="s">
        <v>297</v>
      </c>
    </row>
    <row r="271" spans="2:13">
      <c r="B271" s="224" t="s">
        <v>575</v>
      </c>
      <c r="C271" s="225" t="s">
        <v>273</v>
      </c>
      <c r="D271" s="225" t="s">
        <v>273</v>
      </c>
      <c r="E271" s="225" t="s">
        <v>273</v>
      </c>
      <c r="F271" s="226">
        <v>1</v>
      </c>
      <c r="G271" s="226">
        <v>1</v>
      </c>
      <c r="H271" s="225" t="s">
        <v>273</v>
      </c>
      <c r="I271" s="225" t="s">
        <v>273</v>
      </c>
      <c r="J271" s="225" t="s">
        <v>273</v>
      </c>
      <c r="K271" s="227" t="s">
        <v>339</v>
      </c>
      <c r="L271" s="242" t="s">
        <v>536</v>
      </c>
      <c r="M271" s="230" t="s">
        <v>295</v>
      </c>
    </row>
    <row r="272" spans="2:13">
      <c r="B272" s="244" t="s">
        <v>576</v>
      </c>
      <c r="C272" s="245" t="s">
        <v>273</v>
      </c>
      <c r="D272" s="245" t="s">
        <v>273</v>
      </c>
      <c r="E272" s="245" t="s">
        <v>273</v>
      </c>
      <c r="F272" s="246">
        <v>1</v>
      </c>
      <c r="G272" s="226">
        <v>1</v>
      </c>
      <c r="H272" s="245" t="s">
        <v>273</v>
      </c>
      <c r="I272" s="245" t="s">
        <v>273</v>
      </c>
      <c r="J272" s="245" t="s">
        <v>273</v>
      </c>
      <c r="K272" s="247" t="s">
        <v>339</v>
      </c>
      <c r="L272" s="248" t="s">
        <v>538</v>
      </c>
      <c r="M272" s="249" t="s">
        <v>295</v>
      </c>
    </row>
    <row r="273" spans="2:13">
      <c r="B273" s="224" t="s">
        <v>577</v>
      </c>
      <c r="C273" s="225" t="s">
        <v>273</v>
      </c>
      <c r="D273" s="225" t="s">
        <v>273</v>
      </c>
      <c r="E273" s="225" t="s">
        <v>273</v>
      </c>
      <c r="F273" s="226">
        <v>1</v>
      </c>
      <c r="G273" s="226">
        <v>1</v>
      </c>
      <c r="H273" s="225" t="s">
        <v>273</v>
      </c>
      <c r="I273" s="225" t="s">
        <v>273</v>
      </c>
      <c r="J273" s="225" t="s">
        <v>273</v>
      </c>
      <c r="K273" s="227" t="s">
        <v>288</v>
      </c>
      <c r="L273" s="228" t="s">
        <v>521</v>
      </c>
      <c r="M273" s="229" t="s">
        <v>296</v>
      </c>
    </row>
    <row r="274" spans="2:13">
      <c r="B274" s="224" t="s">
        <v>578</v>
      </c>
      <c r="C274" s="225" t="s">
        <v>273</v>
      </c>
      <c r="D274" s="225" t="s">
        <v>273</v>
      </c>
      <c r="E274" s="225" t="s">
        <v>273</v>
      </c>
      <c r="F274" s="226">
        <v>1</v>
      </c>
      <c r="G274" s="226">
        <v>1</v>
      </c>
      <c r="H274" s="225" t="s">
        <v>273</v>
      </c>
      <c r="I274" s="225" t="s">
        <v>273</v>
      </c>
      <c r="J274" s="225" t="s">
        <v>273</v>
      </c>
      <c r="K274" s="227" t="s">
        <v>234</v>
      </c>
      <c r="L274" s="228" t="s">
        <v>524</v>
      </c>
      <c r="M274" s="229" t="s">
        <v>296</v>
      </c>
    </row>
    <row r="275" spans="2:13">
      <c r="B275" s="224" t="s">
        <v>579</v>
      </c>
      <c r="C275" s="225" t="s">
        <v>273</v>
      </c>
      <c r="D275" s="225" t="s">
        <v>273</v>
      </c>
      <c r="E275" s="225" t="s">
        <v>273</v>
      </c>
      <c r="F275" s="226">
        <v>1</v>
      </c>
      <c r="G275" s="226">
        <v>1</v>
      </c>
      <c r="H275" s="225" t="s">
        <v>273</v>
      </c>
      <c r="I275" s="225" t="s">
        <v>273</v>
      </c>
      <c r="J275" s="225" t="s">
        <v>273</v>
      </c>
      <c r="K275" s="227" t="s">
        <v>343</v>
      </c>
      <c r="L275" s="228" t="s">
        <v>525</v>
      </c>
      <c r="M275" s="230" t="s">
        <v>298</v>
      </c>
    </row>
    <row r="276" spans="2:13">
      <c r="B276" s="224" t="s">
        <v>580</v>
      </c>
      <c r="C276" s="225" t="s">
        <v>273</v>
      </c>
      <c r="D276" s="225" t="s">
        <v>273</v>
      </c>
      <c r="E276" s="225" t="s">
        <v>273</v>
      </c>
      <c r="F276" s="226">
        <v>1</v>
      </c>
      <c r="G276" s="226">
        <v>1</v>
      </c>
      <c r="H276" s="225" t="s">
        <v>273</v>
      </c>
      <c r="I276" s="225" t="s">
        <v>273</v>
      </c>
      <c r="J276" s="225" t="s">
        <v>273</v>
      </c>
      <c r="K276" s="227" t="s">
        <v>343</v>
      </c>
      <c r="L276" s="242" t="s">
        <v>527</v>
      </c>
      <c r="M276" s="230" t="s">
        <v>297</v>
      </c>
    </row>
    <row r="277" spans="2:13">
      <c r="B277" s="224" t="s">
        <v>581</v>
      </c>
      <c r="C277" s="225" t="s">
        <v>273</v>
      </c>
      <c r="D277" s="225" t="s">
        <v>273</v>
      </c>
      <c r="E277" s="225" t="s">
        <v>273</v>
      </c>
      <c r="F277" s="226">
        <v>1</v>
      </c>
      <c r="G277" s="226">
        <v>1</v>
      </c>
      <c r="H277" s="225" t="s">
        <v>273</v>
      </c>
      <c r="I277" s="225" t="s">
        <v>273</v>
      </c>
      <c r="J277" s="225" t="s">
        <v>273</v>
      </c>
      <c r="K277" s="227" t="s">
        <v>343</v>
      </c>
      <c r="L277" s="228" t="s">
        <v>529</v>
      </c>
      <c r="M277" s="230" t="s">
        <v>297</v>
      </c>
    </row>
    <row r="278" spans="2:13">
      <c r="B278" s="224" t="s">
        <v>582</v>
      </c>
      <c r="C278" s="225" t="s">
        <v>273</v>
      </c>
      <c r="D278" s="225" t="s">
        <v>273</v>
      </c>
      <c r="E278" s="225" t="s">
        <v>273</v>
      </c>
      <c r="F278" s="226">
        <v>1</v>
      </c>
      <c r="G278" s="226">
        <v>1</v>
      </c>
      <c r="H278" s="225" t="s">
        <v>273</v>
      </c>
      <c r="I278" s="225" t="s">
        <v>273</v>
      </c>
      <c r="J278" s="225" t="s">
        <v>273</v>
      </c>
      <c r="K278" s="227" t="s">
        <v>343</v>
      </c>
      <c r="L278" s="242" t="s">
        <v>531</v>
      </c>
      <c r="M278" s="230" t="s">
        <v>297</v>
      </c>
    </row>
    <row r="279" spans="2:13">
      <c r="B279" s="224" t="s">
        <v>583</v>
      </c>
      <c r="C279" s="225" t="s">
        <v>273</v>
      </c>
      <c r="D279" s="225" t="s">
        <v>273</v>
      </c>
      <c r="E279" s="225" t="s">
        <v>273</v>
      </c>
      <c r="F279" s="226">
        <v>1</v>
      </c>
      <c r="G279" s="226">
        <v>1</v>
      </c>
      <c r="H279" s="225" t="s">
        <v>273</v>
      </c>
      <c r="I279" s="225" t="s">
        <v>273</v>
      </c>
      <c r="J279" s="225" t="s">
        <v>273</v>
      </c>
      <c r="K279" s="227" t="s">
        <v>343</v>
      </c>
      <c r="L279" s="228" t="s">
        <v>533</v>
      </c>
      <c r="M279" s="230" t="s">
        <v>297</v>
      </c>
    </row>
    <row r="280" spans="2:13">
      <c r="B280" s="224" t="s">
        <v>584</v>
      </c>
      <c r="C280" s="225" t="s">
        <v>273</v>
      </c>
      <c r="D280" s="225" t="s">
        <v>273</v>
      </c>
      <c r="E280" s="225" t="s">
        <v>273</v>
      </c>
      <c r="F280" s="226">
        <v>1</v>
      </c>
      <c r="G280" s="226">
        <v>1</v>
      </c>
      <c r="H280" s="225" t="s">
        <v>273</v>
      </c>
      <c r="I280" s="225" t="s">
        <v>273</v>
      </c>
      <c r="J280" s="225" t="s">
        <v>273</v>
      </c>
      <c r="K280" s="227" t="s">
        <v>343</v>
      </c>
      <c r="L280" s="242" t="s">
        <v>535</v>
      </c>
      <c r="M280" s="230" t="s">
        <v>295</v>
      </c>
    </row>
    <row r="281" spans="2:13">
      <c r="B281" s="244" t="s">
        <v>585</v>
      </c>
      <c r="C281" s="245" t="s">
        <v>273</v>
      </c>
      <c r="D281" s="245" t="s">
        <v>273</v>
      </c>
      <c r="E281" s="245" t="s">
        <v>273</v>
      </c>
      <c r="F281" s="246">
        <v>1</v>
      </c>
      <c r="G281" s="226">
        <v>1</v>
      </c>
      <c r="H281" s="245" t="s">
        <v>273</v>
      </c>
      <c r="I281" s="245" t="s">
        <v>273</v>
      </c>
      <c r="J281" s="245" t="s">
        <v>273</v>
      </c>
      <c r="K281" s="247" t="s">
        <v>343</v>
      </c>
      <c r="L281" s="248" t="s">
        <v>537</v>
      </c>
      <c r="M281" s="249" t="s">
        <v>295</v>
      </c>
    </row>
    <row r="282" spans="2:13" ht="14.25" thickBot="1">
      <c r="B282" s="231" t="s">
        <v>586</v>
      </c>
      <c r="C282" s="232" t="s">
        <v>273</v>
      </c>
      <c r="D282" s="232" t="s">
        <v>273</v>
      </c>
      <c r="E282" s="232" t="s">
        <v>273</v>
      </c>
      <c r="F282" s="233">
        <v>1</v>
      </c>
      <c r="G282" s="233">
        <v>1</v>
      </c>
      <c r="H282" s="232" t="s">
        <v>273</v>
      </c>
      <c r="I282" s="232" t="s">
        <v>273</v>
      </c>
      <c r="J282" s="232" t="s">
        <v>273</v>
      </c>
      <c r="K282" s="234" t="s">
        <v>289</v>
      </c>
      <c r="L282" s="235" t="s">
        <v>521</v>
      </c>
      <c r="M282" s="250" t="s">
        <v>296</v>
      </c>
    </row>
  </sheetData>
  <mergeCells count="15">
    <mergeCell ref="C80:J80"/>
    <mergeCell ref="C82:J82"/>
    <mergeCell ref="C84:J84"/>
    <mergeCell ref="C45:J45"/>
    <mergeCell ref="C3:J3"/>
    <mergeCell ref="C5:J5"/>
    <mergeCell ref="C7:J7"/>
    <mergeCell ref="C41:J41"/>
    <mergeCell ref="C43:J43"/>
    <mergeCell ref="C228:J228"/>
    <mergeCell ref="C230:J230"/>
    <mergeCell ref="C232:J232"/>
    <mergeCell ref="C197:J197"/>
    <mergeCell ref="C199:J199"/>
    <mergeCell ref="C201:J201"/>
  </mergeCells>
  <phoneticPr fontId="2"/>
  <dataValidations disablePrompts="1" count="1">
    <dataValidation type="list" allowBlank="1" showInputMessage="1" showErrorMessage="1" sqref="C3 C41 C80 C197 C228"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B9C0-6DAA-4772-8429-E37BC0FE0838}">
  <dimension ref="B2:E29"/>
  <sheetViews>
    <sheetView zoomScale="85" zoomScaleNormal="85" workbookViewId="0"/>
  </sheetViews>
  <sheetFormatPr defaultRowHeight="13.5"/>
  <cols>
    <col min="2" max="2" width="2.625" customWidth="1"/>
    <col min="4" max="4" width="35" bestFit="1" customWidth="1"/>
    <col min="5" max="5" width="62.5" bestFit="1" customWidth="1"/>
  </cols>
  <sheetData>
    <row r="2" spans="2:5">
      <c r="B2" t="s">
        <v>722</v>
      </c>
      <c r="C2" t="s">
        <v>723</v>
      </c>
    </row>
    <row r="3" spans="2:5" ht="27">
      <c r="C3" s="1" t="s">
        <v>704</v>
      </c>
      <c r="D3" s="1" t="s">
        <v>713</v>
      </c>
      <c r="E3" s="179" t="s">
        <v>705</v>
      </c>
    </row>
    <row r="4" spans="2:5" ht="27">
      <c r="C4" s="1" t="s">
        <v>704</v>
      </c>
      <c r="D4" s="1" t="s">
        <v>714</v>
      </c>
      <c r="E4" s="179" t="s">
        <v>706</v>
      </c>
    </row>
    <row r="5" spans="2:5" ht="27">
      <c r="C5" s="1" t="s">
        <v>704</v>
      </c>
      <c r="D5" s="1" t="s">
        <v>715</v>
      </c>
      <c r="E5" s="179" t="s">
        <v>707</v>
      </c>
    </row>
    <row r="6" spans="2:5" ht="27">
      <c r="C6" s="1" t="s">
        <v>704</v>
      </c>
      <c r="D6" s="1" t="s">
        <v>716</v>
      </c>
      <c r="E6" s="179" t="s">
        <v>708</v>
      </c>
    </row>
    <row r="7" spans="2:5" ht="27">
      <c r="C7" s="1" t="s">
        <v>704</v>
      </c>
      <c r="D7" s="1" t="s">
        <v>717</v>
      </c>
      <c r="E7" s="179" t="s">
        <v>709</v>
      </c>
    </row>
    <row r="8" spans="2:5" ht="27">
      <c r="C8" s="1" t="s">
        <v>704</v>
      </c>
      <c r="D8" s="1" t="s">
        <v>718</v>
      </c>
      <c r="E8" s="179" t="s">
        <v>710</v>
      </c>
    </row>
    <row r="9" spans="2:5" ht="27">
      <c r="C9" s="1" t="s">
        <v>704</v>
      </c>
      <c r="D9" s="1" t="s">
        <v>719</v>
      </c>
      <c r="E9" s="179" t="s">
        <v>711</v>
      </c>
    </row>
    <row r="10" spans="2:5" ht="27">
      <c r="C10" s="1" t="s">
        <v>704</v>
      </c>
      <c r="D10" s="1" t="s">
        <v>720</v>
      </c>
      <c r="E10" s="179" t="s">
        <v>712</v>
      </c>
    </row>
    <row r="16" spans="2:5">
      <c r="B16" t="s">
        <v>722</v>
      </c>
      <c r="C16" t="s">
        <v>721</v>
      </c>
    </row>
    <row r="17" spans="4:4">
      <c r="D17" t="s">
        <v>724</v>
      </c>
    </row>
    <row r="18" spans="4:4">
      <c r="D18" t="s">
        <v>725</v>
      </c>
    </row>
    <row r="19" spans="4:4">
      <c r="D19" t="s">
        <v>727</v>
      </c>
    </row>
    <row r="20" spans="4:4">
      <c r="D20" t="s">
        <v>728</v>
      </c>
    </row>
    <row r="21" spans="4:4">
      <c r="D21" t="s">
        <v>726</v>
      </c>
    </row>
    <row r="22" spans="4:4">
      <c r="D22" t="s">
        <v>729</v>
      </c>
    </row>
    <row r="23" spans="4:4">
      <c r="D23" t="s">
        <v>730</v>
      </c>
    </row>
    <row r="24" spans="4:4">
      <c r="D24" t="s">
        <v>731</v>
      </c>
    </row>
    <row r="25" spans="4:4">
      <c r="D25" t="s">
        <v>732</v>
      </c>
    </row>
    <row r="26" spans="4:4">
      <c r="D26" t="s">
        <v>733</v>
      </c>
    </row>
    <row r="27" spans="4:4">
      <c r="D27" t="s">
        <v>735</v>
      </c>
    </row>
    <row r="28" spans="4:4">
      <c r="D28" t="s">
        <v>728</v>
      </c>
    </row>
    <row r="29" spans="4:4">
      <c r="D29" t="s">
        <v>734</v>
      </c>
    </row>
  </sheetData>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85537-4E99-47B1-B5DB-6A2A24A9A9F7}">
  <dimension ref="A1:C537"/>
  <sheetViews>
    <sheetView zoomScale="85" zoomScaleNormal="85" workbookViewId="0"/>
  </sheetViews>
  <sheetFormatPr defaultRowHeight="15.75"/>
  <cols>
    <col min="1" max="1" width="9" style="293"/>
    <col min="2" max="2" width="51.5" style="293" customWidth="1"/>
    <col min="3" max="3" width="150.375" style="293" bestFit="1" customWidth="1"/>
    <col min="4" max="16384" width="9" style="293"/>
  </cols>
  <sheetData>
    <row r="1" spans="1:3">
      <c r="A1" s="293" t="s">
        <v>1082</v>
      </c>
    </row>
    <row r="2" spans="1:3">
      <c r="B2" s="295" t="s">
        <v>1072</v>
      </c>
      <c r="C2" s="295" t="s">
        <v>1071</v>
      </c>
    </row>
    <row r="3" spans="1:3">
      <c r="C3" s="293" t="s">
        <v>753</v>
      </c>
    </row>
    <row r="4" spans="1:3">
      <c r="C4" s="293" t="s">
        <v>754</v>
      </c>
    </row>
    <row r="5" spans="1:3">
      <c r="C5" s="293" t="s">
        <v>755</v>
      </c>
    </row>
    <row r="6" spans="1:3">
      <c r="C6" s="293" t="s">
        <v>754</v>
      </c>
    </row>
    <row r="7" spans="1:3">
      <c r="C7" s="293" t="s">
        <v>756</v>
      </c>
    </row>
    <row r="8" spans="1:3">
      <c r="C8" s="293" t="s">
        <v>757</v>
      </c>
    </row>
    <row r="9" spans="1:3">
      <c r="C9" s="293" t="s">
        <v>754</v>
      </c>
    </row>
    <row r="11" spans="1:3">
      <c r="C11" s="293" t="s">
        <v>758</v>
      </c>
    </row>
    <row r="12" spans="1:3">
      <c r="C12" s="293" t="s">
        <v>759</v>
      </c>
    </row>
    <row r="13" spans="1:3">
      <c r="C13" s="293" t="s">
        <v>758</v>
      </c>
    </row>
    <row r="14" spans="1:3">
      <c r="C14" s="293" t="s">
        <v>760</v>
      </c>
    </row>
    <row r="15" spans="1:3">
      <c r="C15" s="293" t="s">
        <v>761</v>
      </c>
    </row>
    <row r="16" spans="1:3">
      <c r="C16" s="293" t="s">
        <v>762</v>
      </c>
    </row>
    <row r="18" spans="3:3">
      <c r="C18" s="293" t="s">
        <v>758</v>
      </c>
    </row>
    <row r="19" spans="3:3">
      <c r="C19" s="293" t="s">
        <v>763</v>
      </c>
    </row>
    <row r="20" spans="3:3">
      <c r="C20" s="293" t="s">
        <v>758</v>
      </c>
    </row>
    <row r="21" spans="3:3">
      <c r="C21" s="293" t="s">
        <v>764</v>
      </c>
    </row>
    <row r="22" spans="3:3">
      <c r="C22" s="293" t="s">
        <v>765</v>
      </c>
    </row>
    <row r="23" spans="3:3">
      <c r="C23" s="293" t="s">
        <v>766</v>
      </c>
    </row>
    <row r="25" spans="3:3">
      <c r="C25" s="293" t="s">
        <v>767</v>
      </c>
    </row>
    <row r="27" spans="3:3">
      <c r="C27" s="293" t="s">
        <v>758</v>
      </c>
    </row>
    <row r="28" spans="3:3">
      <c r="C28" s="293" t="s">
        <v>768</v>
      </c>
    </row>
    <row r="29" spans="3:3">
      <c r="C29" s="293" t="s">
        <v>758</v>
      </c>
    </row>
    <row r="30" spans="3:3">
      <c r="C30" s="293" t="s">
        <v>769</v>
      </c>
    </row>
    <row r="31" spans="3:3">
      <c r="C31" s="293" t="s">
        <v>770</v>
      </c>
    </row>
    <row r="32" spans="3:3">
      <c r="C32" s="293" t="s">
        <v>771</v>
      </c>
    </row>
    <row r="34" spans="2:3">
      <c r="C34" s="293" t="s">
        <v>758</v>
      </c>
    </row>
    <row r="35" spans="2:3">
      <c r="C35" s="293" t="s">
        <v>772</v>
      </c>
    </row>
    <row r="36" spans="2:3">
      <c r="C36" s="293" t="s">
        <v>758</v>
      </c>
    </row>
    <row r="37" spans="2:3">
      <c r="B37" s="293" t="s">
        <v>1080</v>
      </c>
      <c r="C37" s="294" t="s">
        <v>773</v>
      </c>
    </row>
    <row r="38" spans="2:3">
      <c r="B38" s="293" t="s">
        <v>1080</v>
      </c>
      <c r="C38" s="294" t="s">
        <v>774</v>
      </c>
    </row>
    <row r="39" spans="2:3">
      <c r="C39" s="293" t="s">
        <v>771</v>
      </c>
    </row>
    <row r="40" spans="2:3">
      <c r="B40" s="293" t="s">
        <v>1080</v>
      </c>
      <c r="C40" s="294" t="s">
        <v>775</v>
      </c>
    </row>
    <row r="41" spans="2:3">
      <c r="B41" s="293" t="s">
        <v>1080</v>
      </c>
      <c r="C41" s="294" t="s">
        <v>776</v>
      </c>
    </row>
    <row r="42" spans="2:3">
      <c r="C42" s="293" t="s">
        <v>771</v>
      </c>
    </row>
    <row r="43" spans="2:3">
      <c r="B43" s="293" t="s">
        <v>1080</v>
      </c>
      <c r="C43" s="294" t="s">
        <v>777</v>
      </c>
    </row>
    <row r="44" spans="2:3">
      <c r="B44" s="293" t="s">
        <v>1080</v>
      </c>
      <c r="C44" s="294" t="s">
        <v>778</v>
      </c>
    </row>
    <row r="45" spans="2:3">
      <c r="C45" s="293" t="s">
        <v>771</v>
      </c>
    </row>
    <row r="46" spans="2:3">
      <c r="B46" s="293" t="s">
        <v>1080</v>
      </c>
      <c r="C46" s="294" t="s">
        <v>779</v>
      </c>
    </row>
    <row r="47" spans="2:3">
      <c r="B47" s="293" t="s">
        <v>1080</v>
      </c>
      <c r="C47" s="294" t="s">
        <v>780</v>
      </c>
    </row>
    <row r="48" spans="2:3">
      <c r="C48" s="293" t="s">
        <v>771</v>
      </c>
    </row>
    <row r="49" spans="2:3">
      <c r="B49" s="293" t="s">
        <v>1080</v>
      </c>
      <c r="C49" s="294" t="s">
        <v>781</v>
      </c>
    </row>
    <row r="50" spans="2:3">
      <c r="B50" s="293" t="s">
        <v>1080</v>
      </c>
      <c r="C50" s="294" t="s">
        <v>782</v>
      </c>
    </row>
    <row r="51" spans="2:3">
      <c r="C51" s="293" t="s">
        <v>771</v>
      </c>
    </row>
    <row r="52" spans="2:3">
      <c r="B52" s="293" t="s">
        <v>1080</v>
      </c>
      <c r="C52" s="294" t="s">
        <v>783</v>
      </c>
    </row>
    <row r="53" spans="2:3">
      <c r="B53" s="293" t="s">
        <v>1080</v>
      </c>
      <c r="C53" s="294" t="s">
        <v>784</v>
      </c>
    </row>
    <row r="54" spans="2:3">
      <c r="C54" s="293" t="s">
        <v>771</v>
      </c>
    </row>
    <row r="55" spans="2:3">
      <c r="B55" s="293" t="s">
        <v>1080</v>
      </c>
      <c r="C55" s="294" t="s">
        <v>785</v>
      </c>
    </row>
    <row r="56" spans="2:3">
      <c r="B56" s="293" t="s">
        <v>1080</v>
      </c>
      <c r="C56" s="294" t="s">
        <v>786</v>
      </c>
    </row>
    <row r="57" spans="2:3">
      <c r="C57" s="293" t="s">
        <v>771</v>
      </c>
    </row>
    <row r="58" spans="2:3">
      <c r="B58" s="293" t="s">
        <v>1080</v>
      </c>
      <c r="C58" s="294" t="s">
        <v>787</v>
      </c>
    </row>
    <row r="59" spans="2:3">
      <c r="B59" s="293" t="s">
        <v>1080</v>
      </c>
      <c r="C59" s="294" t="s">
        <v>788</v>
      </c>
    </row>
    <row r="60" spans="2:3">
      <c r="C60" s="293" t="s">
        <v>771</v>
      </c>
    </row>
    <row r="62" spans="2:3">
      <c r="C62" s="293" t="s">
        <v>758</v>
      </c>
    </row>
    <row r="63" spans="2:3">
      <c r="C63" s="293" t="s">
        <v>789</v>
      </c>
    </row>
    <row r="64" spans="2:3">
      <c r="C64" s="293" t="s">
        <v>758</v>
      </c>
    </row>
    <row r="65" spans="3:3">
      <c r="C65" s="293" t="s">
        <v>790</v>
      </c>
    </row>
    <row r="67" spans="3:3">
      <c r="C67" s="293" t="s">
        <v>791</v>
      </c>
    </row>
    <row r="68" spans="3:3">
      <c r="C68" s="293" t="s">
        <v>792</v>
      </c>
    </row>
    <row r="70" spans="3:3">
      <c r="C70" s="293" t="s">
        <v>793</v>
      </c>
    </row>
    <row r="72" spans="3:3">
      <c r="C72" s="293" t="s">
        <v>758</v>
      </c>
    </row>
    <row r="73" spans="3:3">
      <c r="C73" s="293" t="s">
        <v>794</v>
      </c>
    </row>
    <row r="74" spans="3:3">
      <c r="C74" s="293" t="s">
        <v>758</v>
      </c>
    </row>
    <row r="75" spans="3:3">
      <c r="C75" s="293" t="s">
        <v>758</v>
      </c>
    </row>
    <row r="76" spans="3:3">
      <c r="C76" s="293" t="s">
        <v>795</v>
      </c>
    </row>
    <row r="77" spans="3:3">
      <c r="C77" s="293" t="s">
        <v>758</v>
      </c>
    </row>
    <row r="78" spans="3:3">
      <c r="C78" s="293" t="s">
        <v>758</v>
      </c>
    </row>
    <row r="79" spans="3:3">
      <c r="C79" s="293" t="s">
        <v>796</v>
      </c>
    </row>
    <row r="80" spans="3:3">
      <c r="C80" s="293" t="s">
        <v>758</v>
      </c>
    </row>
    <row r="81" spans="2:3">
      <c r="C81" s="293" t="s">
        <v>797</v>
      </c>
    </row>
    <row r="82" spans="2:3">
      <c r="C82" s="293" t="s">
        <v>798</v>
      </c>
    </row>
    <row r="83" spans="2:3">
      <c r="C83" s="293" t="s">
        <v>799</v>
      </c>
    </row>
    <row r="84" spans="2:3">
      <c r="C84" s="293" t="s">
        <v>800</v>
      </c>
    </row>
    <row r="85" spans="2:3">
      <c r="B85" s="293" t="s">
        <v>1070</v>
      </c>
      <c r="C85" s="294" t="s">
        <v>801</v>
      </c>
    </row>
    <row r="86" spans="2:3">
      <c r="C86" s="293" t="s">
        <v>802</v>
      </c>
    </row>
    <row r="87" spans="2:3">
      <c r="B87" s="293" t="s">
        <v>1070</v>
      </c>
      <c r="C87" s="294" t="s">
        <v>803</v>
      </c>
    </row>
    <row r="88" spans="2:3">
      <c r="B88" s="293" t="s">
        <v>1070</v>
      </c>
      <c r="C88" s="294" t="s">
        <v>804</v>
      </c>
    </row>
    <row r="89" spans="2:3">
      <c r="C89" s="293" t="s">
        <v>805</v>
      </c>
    </row>
    <row r="90" spans="2:3">
      <c r="B90" s="293" t="s">
        <v>1070</v>
      </c>
      <c r="C90" s="294" t="s">
        <v>2003</v>
      </c>
    </row>
    <row r="91" spans="2:3">
      <c r="C91" s="293" t="s">
        <v>807</v>
      </c>
    </row>
    <row r="92" spans="2:3">
      <c r="B92" s="293" t="s">
        <v>1070</v>
      </c>
      <c r="C92" s="294" t="s">
        <v>808</v>
      </c>
    </row>
    <row r="93" spans="2:3">
      <c r="C93" s="293" t="s">
        <v>809</v>
      </c>
    </row>
    <row r="94" spans="2:3">
      <c r="B94" s="293" t="s">
        <v>1070</v>
      </c>
      <c r="C94" s="294" t="s">
        <v>810</v>
      </c>
    </row>
    <row r="96" spans="2:3">
      <c r="C96" s="293" t="s">
        <v>758</v>
      </c>
    </row>
    <row r="97" spans="3:3">
      <c r="C97" s="293" t="s">
        <v>811</v>
      </c>
    </row>
    <row r="98" spans="3:3">
      <c r="C98" s="293" t="s">
        <v>758</v>
      </c>
    </row>
    <row r="99" spans="3:3">
      <c r="C99" s="293" t="s">
        <v>812</v>
      </c>
    </row>
    <row r="100" spans="3:3">
      <c r="C100" s="293" t="s">
        <v>813</v>
      </c>
    </row>
    <row r="101" spans="3:3">
      <c r="C101" s="293" t="s">
        <v>814</v>
      </c>
    </row>
    <row r="102" spans="3:3">
      <c r="C102" s="293" t="s">
        <v>815</v>
      </c>
    </row>
    <row r="103" spans="3:3">
      <c r="C103" s="293" t="s">
        <v>816</v>
      </c>
    </row>
    <row r="104" spans="3:3">
      <c r="C104" s="293" t="s">
        <v>817</v>
      </c>
    </row>
    <row r="106" spans="3:3">
      <c r="C106" s="293" t="s">
        <v>758</v>
      </c>
    </row>
    <row r="107" spans="3:3">
      <c r="C107" s="293" t="s">
        <v>818</v>
      </c>
    </row>
    <row r="108" spans="3:3">
      <c r="C108" s="293" t="s">
        <v>758</v>
      </c>
    </row>
    <row r="109" spans="3:3">
      <c r="C109" s="293" t="s">
        <v>819</v>
      </c>
    </row>
    <row r="110" spans="3:3">
      <c r="C110" s="293" t="s">
        <v>820</v>
      </c>
    </row>
    <row r="111" spans="3:3">
      <c r="C111" s="293" t="s">
        <v>821</v>
      </c>
    </row>
    <row r="112" spans="3:3">
      <c r="C112" s="293" t="s">
        <v>822</v>
      </c>
    </row>
    <row r="113" spans="3:3">
      <c r="C113" s="293" t="s">
        <v>823</v>
      </c>
    </row>
    <row r="114" spans="3:3">
      <c r="C114" s="293" t="s">
        <v>824</v>
      </c>
    </row>
    <row r="115" spans="3:3">
      <c r="C115" s="293" t="s">
        <v>825</v>
      </c>
    </row>
    <row r="116" spans="3:3">
      <c r="C116" s="293" t="s">
        <v>826</v>
      </c>
    </row>
    <row r="117" spans="3:3">
      <c r="C117" s="293" t="s">
        <v>827</v>
      </c>
    </row>
    <row r="118" spans="3:3">
      <c r="C118" s="293" t="s">
        <v>828</v>
      </c>
    </row>
    <row r="119" spans="3:3">
      <c r="C119" s="293" t="s">
        <v>829</v>
      </c>
    </row>
    <row r="120" spans="3:3">
      <c r="C120" s="293" t="s">
        <v>830</v>
      </c>
    </row>
    <row r="121" spans="3:3">
      <c r="C121" s="293" t="s">
        <v>831</v>
      </c>
    </row>
    <row r="122" spans="3:3">
      <c r="C122" s="293" t="s">
        <v>832</v>
      </c>
    </row>
    <row r="123" spans="3:3">
      <c r="C123" s="293" t="s">
        <v>833</v>
      </c>
    </row>
    <row r="124" spans="3:3">
      <c r="C124" s="293" t="s">
        <v>834</v>
      </c>
    </row>
    <row r="125" spans="3:3">
      <c r="C125" s="293" t="s">
        <v>835</v>
      </c>
    </row>
    <row r="126" spans="3:3">
      <c r="C126" s="293" t="s">
        <v>836</v>
      </c>
    </row>
    <row r="127" spans="3:3">
      <c r="C127" s="293" t="s">
        <v>837</v>
      </c>
    </row>
    <row r="128" spans="3:3">
      <c r="C128" s="293" t="s">
        <v>838</v>
      </c>
    </row>
    <row r="129" spans="3:3">
      <c r="C129" s="293" t="s">
        <v>839</v>
      </c>
    </row>
    <row r="130" spans="3:3">
      <c r="C130" s="293" t="s">
        <v>840</v>
      </c>
    </row>
    <row r="131" spans="3:3">
      <c r="C131" s="293" t="s">
        <v>841</v>
      </c>
    </row>
    <row r="132" spans="3:3">
      <c r="C132" s="293" t="s">
        <v>842</v>
      </c>
    </row>
    <row r="133" spans="3:3">
      <c r="C133" s="293" t="s">
        <v>843</v>
      </c>
    </row>
    <row r="134" spans="3:3">
      <c r="C134" s="293" t="s">
        <v>844</v>
      </c>
    </row>
    <row r="135" spans="3:3">
      <c r="C135" s="293" t="s">
        <v>845</v>
      </c>
    </row>
    <row r="136" spans="3:3">
      <c r="C136" s="293" t="s">
        <v>846</v>
      </c>
    </row>
    <row r="137" spans="3:3">
      <c r="C137" s="293" t="s">
        <v>847</v>
      </c>
    </row>
    <row r="138" spans="3:3">
      <c r="C138" s="293" t="s">
        <v>848</v>
      </c>
    </row>
    <row r="139" spans="3:3">
      <c r="C139" s="293" t="s">
        <v>849</v>
      </c>
    </row>
    <row r="140" spans="3:3">
      <c r="C140" s="293" t="s">
        <v>850</v>
      </c>
    </row>
    <row r="141" spans="3:3">
      <c r="C141" s="293" t="s">
        <v>834</v>
      </c>
    </row>
    <row r="142" spans="3:3">
      <c r="C142" s="293" t="s">
        <v>835</v>
      </c>
    </row>
    <row r="143" spans="3:3">
      <c r="C143" s="293" t="s">
        <v>851</v>
      </c>
    </row>
    <row r="144" spans="3:3">
      <c r="C144" s="293" t="s">
        <v>852</v>
      </c>
    </row>
    <row r="145" spans="3:3">
      <c r="C145" s="293" t="s">
        <v>853</v>
      </c>
    </row>
    <row r="146" spans="3:3">
      <c r="C146" s="293" t="s">
        <v>854</v>
      </c>
    </row>
    <row r="147" spans="3:3">
      <c r="C147" s="293" t="s">
        <v>855</v>
      </c>
    </row>
    <row r="148" spans="3:3">
      <c r="C148" s="293" t="s">
        <v>856</v>
      </c>
    </row>
    <row r="149" spans="3:3">
      <c r="C149" s="293" t="s">
        <v>857</v>
      </c>
    </row>
    <row r="150" spans="3:3">
      <c r="C150" s="293" t="s">
        <v>858</v>
      </c>
    </row>
    <row r="151" spans="3:3">
      <c r="C151" s="293" t="s">
        <v>859</v>
      </c>
    </row>
    <row r="152" spans="3:3">
      <c r="C152" s="293" t="s">
        <v>860</v>
      </c>
    </row>
    <row r="153" spans="3:3">
      <c r="C153" s="293" t="s">
        <v>861</v>
      </c>
    </row>
    <row r="154" spans="3:3">
      <c r="C154" s="293" t="s">
        <v>862</v>
      </c>
    </row>
    <row r="155" spans="3:3">
      <c r="C155" s="293" t="s">
        <v>863</v>
      </c>
    </row>
    <row r="156" spans="3:3">
      <c r="C156" s="293" t="s">
        <v>864</v>
      </c>
    </row>
    <row r="157" spans="3:3">
      <c r="C157" s="293" t="s">
        <v>865</v>
      </c>
    </row>
    <row r="158" spans="3:3">
      <c r="C158" s="293" t="s">
        <v>866</v>
      </c>
    </row>
    <row r="159" spans="3:3">
      <c r="C159" s="293" t="s">
        <v>835</v>
      </c>
    </row>
    <row r="161" spans="3:3">
      <c r="C161" s="293" t="s">
        <v>758</v>
      </c>
    </row>
    <row r="162" spans="3:3">
      <c r="C162" s="293" t="s">
        <v>867</v>
      </c>
    </row>
    <row r="163" spans="3:3">
      <c r="C163" s="293" t="s">
        <v>868</v>
      </c>
    </row>
    <row r="164" spans="3:3">
      <c r="C164" s="293" t="s">
        <v>869</v>
      </c>
    </row>
    <row r="165" spans="3:3">
      <c r="C165" s="293" t="s">
        <v>870</v>
      </c>
    </row>
    <row r="167" spans="3:3">
      <c r="C167" s="293" t="s">
        <v>871</v>
      </c>
    </row>
    <row r="168" spans="3:3">
      <c r="C168" s="293" t="s">
        <v>872</v>
      </c>
    </row>
    <row r="170" spans="3:3">
      <c r="C170" s="293" t="s">
        <v>873</v>
      </c>
    </row>
    <row r="171" spans="3:3">
      <c r="C171" s="293" t="s">
        <v>874</v>
      </c>
    </row>
    <row r="172" spans="3:3">
      <c r="C172" s="293" t="s">
        <v>875</v>
      </c>
    </row>
    <row r="173" spans="3:3">
      <c r="C173" s="293" t="s">
        <v>876</v>
      </c>
    </row>
    <row r="174" spans="3:3">
      <c r="C174" s="293" t="s">
        <v>835</v>
      </c>
    </row>
    <row r="176" spans="3:3">
      <c r="C176" s="293" t="s">
        <v>758</v>
      </c>
    </row>
    <row r="177" spans="2:3">
      <c r="C177" s="293" t="s">
        <v>877</v>
      </c>
    </row>
    <row r="178" spans="2:3">
      <c r="C178" s="293" t="s">
        <v>758</v>
      </c>
    </row>
    <row r="179" spans="2:3">
      <c r="C179" s="293" t="s">
        <v>754</v>
      </c>
    </row>
    <row r="180" spans="2:3">
      <c r="C180" s="293" t="s">
        <v>878</v>
      </c>
    </row>
    <row r="181" spans="2:3">
      <c r="C181" s="293" t="s">
        <v>879</v>
      </c>
    </row>
    <row r="182" spans="2:3">
      <c r="C182" s="293" t="s">
        <v>880</v>
      </c>
    </row>
    <row r="183" spans="2:3">
      <c r="C183" s="293" t="s">
        <v>881</v>
      </c>
    </row>
    <row r="184" spans="2:3">
      <c r="C184" s="293" t="s">
        <v>754</v>
      </c>
    </row>
    <row r="185" spans="2:3">
      <c r="C185" s="293" t="s">
        <v>882</v>
      </c>
    </row>
    <row r="186" spans="2:3">
      <c r="C186" s="293" t="s">
        <v>883</v>
      </c>
    </row>
    <row r="187" spans="2:3">
      <c r="C187" s="293" t="s">
        <v>884</v>
      </c>
    </row>
    <row r="188" spans="2:3">
      <c r="C188" s="293" t="s">
        <v>885</v>
      </c>
    </row>
    <row r="189" spans="2:3">
      <c r="C189" s="293" t="s">
        <v>886</v>
      </c>
    </row>
    <row r="190" spans="2:3">
      <c r="C190" s="293" t="s">
        <v>887</v>
      </c>
    </row>
    <row r="191" spans="2:3">
      <c r="C191" s="293" t="s">
        <v>888</v>
      </c>
    </row>
    <row r="192" spans="2:3">
      <c r="B192" s="293" t="s">
        <v>1070</v>
      </c>
      <c r="C192" s="294" t="s">
        <v>801</v>
      </c>
    </row>
    <row r="193" spans="2:3">
      <c r="C193" s="293" t="s">
        <v>889</v>
      </c>
    </row>
    <row r="194" spans="2:3">
      <c r="B194" s="293" t="s">
        <v>1070</v>
      </c>
      <c r="C194" s="294" t="s">
        <v>803</v>
      </c>
    </row>
    <row r="195" spans="2:3">
      <c r="B195" s="293" t="s">
        <v>1070</v>
      </c>
      <c r="C195" s="294" t="s">
        <v>804</v>
      </c>
    </row>
    <row r="196" spans="2:3">
      <c r="C196" s="293" t="s">
        <v>890</v>
      </c>
    </row>
    <row r="197" spans="2:3">
      <c r="B197" s="293" t="s">
        <v>1070</v>
      </c>
      <c r="C197" s="294" t="s">
        <v>806</v>
      </c>
    </row>
    <row r="198" spans="2:3">
      <c r="B198" s="293" t="s">
        <v>1070</v>
      </c>
      <c r="C198" s="294" t="s">
        <v>808</v>
      </c>
    </row>
    <row r="199" spans="2:3">
      <c r="C199" s="293" t="s">
        <v>891</v>
      </c>
    </row>
    <row r="200" spans="2:3">
      <c r="B200" s="293" t="s">
        <v>1070</v>
      </c>
      <c r="C200" s="294" t="s">
        <v>810</v>
      </c>
    </row>
    <row r="201" spans="2:3">
      <c r="C201" s="293" t="s">
        <v>892</v>
      </c>
    </row>
    <row r="203" spans="2:3">
      <c r="C203" s="293" t="s">
        <v>754</v>
      </c>
    </row>
    <row r="204" spans="2:3">
      <c r="C204" s="293" t="s">
        <v>893</v>
      </c>
    </row>
    <row r="205" spans="2:3">
      <c r="C205" s="293" t="s">
        <v>879</v>
      </c>
    </row>
    <row r="206" spans="2:3">
      <c r="C206" s="293" t="s">
        <v>880</v>
      </c>
    </row>
    <row r="207" spans="2:3">
      <c r="C207" s="293" t="s">
        <v>881</v>
      </c>
    </row>
    <row r="208" spans="2:3">
      <c r="C208" s="293" t="s">
        <v>754</v>
      </c>
    </row>
    <row r="209" spans="3:3">
      <c r="C209" s="293" t="s">
        <v>894</v>
      </c>
    </row>
    <row r="210" spans="3:3">
      <c r="C210" s="293" t="s">
        <v>883</v>
      </c>
    </row>
    <row r="211" spans="3:3">
      <c r="C211" s="293" t="s">
        <v>895</v>
      </c>
    </row>
    <row r="212" spans="3:3">
      <c r="C212" s="293" t="s">
        <v>896</v>
      </c>
    </row>
    <row r="213" spans="3:3">
      <c r="C213" s="293" t="s">
        <v>897</v>
      </c>
    </row>
    <row r="214" spans="3:3">
      <c r="C214" s="293" t="s">
        <v>898</v>
      </c>
    </row>
    <row r="215" spans="3:3">
      <c r="C215" s="293" t="s">
        <v>899</v>
      </c>
    </row>
    <row r="216" spans="3:3">
      <c r="C216" s="293" t="s">
        <v>900</v>
      </c>
    </row>
    <row r="217" spans="3:3">
      <c r="C217" s="293" t="s">
        <v>901</v>
      </c>
    </row>
    <row r="218" spans="3:3">
      <c r="C218" s="293" t="s">
        <v>902</v>
      </c>
    </row>
    <row r="219" spans="3:3">
      <c r="C219" s="293" t="s">
        <v>903</v>
      </c>
    </row>
    <row r="220" spans="3:3">
      <c r="C220" s="293" t="s">
        <v>904</v>
      </c>
    </row>
    <row r="221" spans="3:3">
      <c r="C221" s="293" t="s">
        <v>905</v>
      </c>
    </row>
    <row r="222" spans="3:3">
      <c r="C222" s="293" t="s">
        <v>906</v>
      </c>
    </row>
    <row r="223" spans="3:3">
      <c r="C223" s="293" t="s">
        <v>907</v>
      </c>
    </row>
    <row r="224" spans="3:3">
      <c r="C224" s="293" t="s">
        <v>908</v>
      </c>
    </row>
    <row r="225" spans="3:3">
      <c r="C225" s="293" t="s">
        <v>909</v>
      </c>
    </row>
    <row r="226" spans="3:3">
      <c r="C226" s="293" t="s">
        <v>910</v>
      </c>
    </row>
    <row r="228" spans="3:3">
      <c r="C228" s="293" t="s">
        <v>911</v>
      </c>
    </row>
    <row r="229" spans="3:3">
      <c r="C229" s="293" t="s">
        <v>912</v>
      </c>
    </row>
    <row r="230" spans="3:3">
      <c r="C230" s="293" t="s">
        <v>913</v>
      </c>
    </row>
    <row r="231" spans="3:3">
      <c r="C231" s="293" t="s">
        <v>876</v>
      </c>
    </row>
    <row r="233" spans="3:3">
      <c r="C233" s="293" t="s">
        <v>914</v>
      </c>
    </row>
    <row r="234" spans="3:3">
      <c r="C234" s="293" t="s">
        <v>915</v>
      </c>
    </row>
    <row r="235" spans="3:3">
      <c r="C235" s="293" t="s">
        <v>916</v>
      </c>
    </row>
    <row r="236" spans="3:3">
      <c r="C236" s="293" t="s">
        <v>917</v>
      </c>
    </row>
    <row r="237" spans="3:3">
      <c r="C237" s="293" t="s">
        <v>918</v>
      </c>
    </row>
    <row r="238" spans="3:3">
      <c r="C238" s="293" t="s">
        <v>919</v>
      </c>
    </row>
    <row r="240" spans="3:3">
      <c r="C240" s="293" t="s">
        <v>920</v>
      </c>
    </row>
    <row r="242" spans="3:3">
      <c r="C242" s="293" t="s">
        <v>921</v>
      </c>
    </row>
    <row r="243" spans="3:3">
      <c r="C243" s="293" t="s">
        <v>922</v>
      </c>
    </row>
    <row r="244" spans="3:3">
      <c r="C244" s="293" t="s">
        <v>876</v>
      </c>
    </row>
    <row r="246" spans="3:3">
      <c r="C246" s="293" t="s">
        <v>923</v>
      </c>
    </row>
    <row r="247" spans="3:3">
      <c r="C247" s="293" t="s">
        <v>924</v>
      </c>
    </row>
    <row r="248" spans="3:3">
      <c r="C248" s="293" t="s">
        <v>876</v>
      </c>
    </row>
    <row r="250" spans="3:3">
      <c r="C250" s="293" t="s">
        <v>925</v>
      </c>
    </row>
    <row r="251" spans="3:3">
      <c r="C251" s="293" t="s">
        <v>926</v>
      </c>
    </row>
    <row r="252" spans="3:3">
      <c r="C252" s="293" t="s">
        <v>876</v>
      </c>
    </row>
    <row r="254" spans="3:3">
      <c r="C254" s="293" t="s">
        <v>927</v>
      </c>
    </row>
    <row r="255" spans="3:3">
      <c r="C255" s="293" t="s">
        <v>928</v>
      </c>
    </row>
    <row r="256" spans="3:3">
      <c r="C256" s="293" t="s">
        <v>876</v>
      </c>
    </row>
    <row r="258" spans="2:3">
      <c r="C258" s="293" t="s">
        <v>929</v>
      </c>
    </row>
    <row r="259" spans="2:3">
      <c r="C259" s="293" t="s">
        <v>892</v>
      </c>
    </row>
    <row r="261" spans="2:3">
      <c r="C261" s="293" t="s">
        <v>754</v>
      </c>
    </row>
    <row r="262" spans="2:3">
      <c r="C262" s="293" t="s">
        <v>930</v>
      </c>
    </row>
    <row r="263" spans="2:3">
      <c r="C263" s="293" t="s">
        <v>879</v>
      </c>
    </row>
    <row r="264" spans="2:3">
      <c r="C264" s="293" t="s">
        <v>880</v>
      </c>
    </row>
    <row r="265" spans="2:3">
      <c r="C265" s="293" t="s">
        <v>881</v>
      </c>
    </row>
    <row r="266" spans="2:3">
      <c r="C266" s="293" t="s">
        <v>754</v>
      </c>
    </row>
    <row r="267" spans="2:3">
      <c r="C267" s="293" t="s">
        <v>931</v>
      </c>
    </row>
    <row r="268" spans="2:3">
      <c r="C268" s="293" t="s">
        <v>883</v>
      </c>
    </row>
    <row r="269" spans="2:3">
      <c r="C269" s="293" t="s">
        <v>932</v>
      </c>
    </row>
    <row r="270" spans="2:3">
      <c r="C270" s="293" t="s">
        <v>933</v>
      </c>
    </row>
    <row r="271" spans="2:3">
      <c r="C271" s="293" t="s">
        <v>934</v>
      </c>
    </row>
    <row r="272" spans="2:3">
      <c r="B272" s="293" t="s">
        <v>1070</v>
      </c>
      <c r="C272" s="294" t="s">
        <v>935</v>
      </c>
    </row>
    <row r="273" spans="2:3">
      <c r="C273" s="293" t="s">
        <v>936</v>
      </c>
    </row>
    <row r="274" spans="2:3">
      <c r="B274" s="293" t="s">
        <v>1070</v>
      </c>
      <c r="C274" s="294" t="s">
        <v>937</v>
      </c>
    </row>
    <row r="275" spans="2:3">
      <c r="B275" s="293" t="s">
        <v>1070</v>
      </c>
      <c r="C275" s="294" t="s">
        <v>938</v>
      </c>
    </row>
    <row r="276" spans="2:3">
      <c r="C276" s="293" t="s">
        <v>939</v>
      </c>
    </row>
    <row r="277" spans="2:3">
      <c r="B277" s="293" t="s">
        <v>1070</v>
      </c>
      <c r="C277" s="294" t="s">
        <v>940</v>
      </c>
    </row>
    <row r="278" spans="2:3">
      <c r="B278" s="293" t="s">
        <v>1070</v>
      </c>
      <c r="C278" s="294" t="s">
        <v>941</v>
      </c>
    </row>
    <row r="279" spans="2:3">
      <c r="C279" s="293" t="s">
        <v>942</v>
      </c>
    </row>
    <row r="280" spans="2:3">
      <c r="B280" s="293" t="s">
        <v>1070</v>
      </c>
      <c r="C280" s="294" t="s">
        <v>943</v>
      </c>
    </row>
    <row r="281" spans="2:3">
      <c r="B281" s="293" t="s">
        <v>1070</v>
      </c>
      <c r="C281" s="294" t="s">
        <v>944</v>
      </c>
    </row>
    <row r="282" spans="2:3">
      <c r="C282" s="293" t="s">
        <v>945</v>
      </c>
    </row>
    <row r="283" spans="2:3">
      <c r="B283" s="293" t="s">
        <v>1070</v>
      </c>
      <c r="C283" s="294" t="s">
        <v>946</v>
      </c>
    </row>
    <row r="284" spans="2:3">
      <c r="B284" s="293" t="s">
        <v>1070</v>
      </c>
      <c r="C284" s="294" t="s">
        <v>947</v>
      </c>
    </row>
    <row r="285" spans="2:3">
      <c r="C285" s="293" t="s">
        <v>948</v>
      </c>
    </row>
    <row r="286" spans="2:3">
      <c r="B286" s="293" t="s">
        <v>1070</v>
      </c>
      <c r="C286" s="294" t="s">
        <v>949</v>
      </c>
    </row>
    <row r="287" spans="2:3">
      <c r="C287" s="293" t="s">
        <v>950</v>
      </c>
    </row>
    <row r="288" spans="2:3">
      <c r="C288" s="293" t="s">
        <v>951</v>
      </c>
    </row>
    <row r="289" spans="3:3">
      <c r="C289" s="293" t="s">
        <v>952</v>
      </c>
    </row>
    <row r="290" spans="3:3">
      <c r="C290" s="293" t="s">
        <v>953</v>
      </c>
    </row>
    <row r="292" spans="3:3">
      <c r="C292" s="293" t="s">
        <v>954</v>
      </c>
    </row>
    <row r="293" spans="3:3">
      <c r="C293" s="293" t="s">
        <v>955</v>
      </c>
    </row>
    <row r="294" spans="3:3">
      <c r="C294" s="293" t="s">
        <v>956</v>
      </c>
    </row>
    <row r="295" spans="3:3">
      <c r="C295" s="293" t="s">
        <v>957</v>
      </c>
    </row>
    <row r="296" spans="3:3">
      <c r="C296" s="293" t="s">
        <v>955</v>
      </c>
    </row>
    <row r="297" spans="3:3">
      <c r="C297" s="293" t="s">
        <v>958</v>
      </c>
    </row>
    <row r="298" spans="3:3">
      <c r="C298" s="293" t="s">
        <v>959</v>
      </c>
    </row>
    <row r="299" spans="3:3">
      <c r="C299" s="293" t="s">
        <v>960</v>
      </c>
    </row>
    <row r="301" spans="3:3">
      <c r="C301" s="293" t="s">
        <v>961</v>
      </c>
    </row>
    <row r="302" spans="3:3">
      <c r="C302" s="293" t="s">
        <v>962</v>
      </c>
    </row>
    <row r="304" spans="3:3">
      <c r="C304" s="293" t="s">
        <v>963</v>
      </c>
    </row>
    <row r="306" spans="2:3">
      <c r="C306" s="293" t="s">
        <v>964</v>
      </c>
    </row>
    <row r="307" spans="2:3">
      <c r="C307" s="293" t="s">
        <v>965</v>
      </c>
    </row>
    <row r="309" spans="2:3">
      <c r="C309" s="293" t="s">
        <v>966</v>
      </c>
    </row>
    <row r="310" spans="2:3">
      <c r="C310" s="293" t="s">
        <v>967</v>
      </c>
    </row>
    <row r="311" spans="2:3">
      <c r="C311" s="293" t="s">
        <v>968</v>
      </c>
    </row>
    <row r="313" spans="2:3">
      <c r="B313" s="293" t="s">
        <v>1073</v>
      </c>
      <c r="C313" s="294" t="s">
        <v>935</v>
      </c>
    </row>
    <row r="314" spans="2:3">
      <c r="C314" s="293" t="s">
        <v>966</v>
      </c>
    </row>
    <row r="315" spans="2:3">
      <c r="C315" s="293" t="s">
        <v>969</v>
      </c>
    </row>
    <row r="316" spans="2:3">
      <c r="C316" s="293" t="s">
        <v>970</v>
      </c>
    </row>
    <row r="317" spans="2:3">
      <c r="C317" s="294" t="s">
        <v>937</v>
      </c>
    </row>
    <row r="319" spans="2:3">
      <c r="B319" s="293" t="s">
        <v>1073</v>
      </c>
      <c r="C319" s="294" t="s">
        <v>938</v>
      </c>
    </row>
    <row r="320" spans="2:3">
      <c r="C320" s="293" t="s">
        <v>966</v>
      </c>
    </row>
    <row r="321" spans="2:3">
      <c r="C321" s="293" t="s">
        <v>971</v>
      </c>
    </row>
    <row r="322" spans="2:3">
      <c r="C322" s="293" t="s">
        <v>972</v>
      </c>
    </row>
    <row r="323" spans="2:3">
      <c r="C323" s="294" t="s">
        <v>940</v>
      </c>
    </row>
    <row r="325" spans="2:3">
      <c r="B325" s="293" t="s">
        <v>1073</v>
      </c>
      <c r="C325" s="294" t="s">
        <v>941</v>
      </c>
    </row>
    <row r="326" spans="2:3">
      <c r="C326" s="293" t="s">
        <v>966</v>
      </c>
    </row>
    <row r="327" spans="2:3">
      <c r="C327" s="293" t="s">
        <v>973</v>
      </c>
    </row>
    <row r="328" spans="2:3">
      <c r="C328" s="293" t="s">
        <v>974</v>
      </c>
    </row>
    <row r="329" spans="2:3">
      <c r="B329" s="293" t="s">
        <v>1073</v>
      </c>
      <c r="C329" s="294" t="s">
        <v>943</v>
      </c>
    </row>
    <row r="331" spans="2:3">
      <c r="C331" s="294" t="s">
        <v>944</v>
      </c>
    </row>
    <row r="332" spans="2:3">
      <c r="C332" s="293" t="s">
        <v>966</v>
      </c>
    </row>
    <row r="333" spans="2:3">
      <c r="C333" s="293" t="s">
        <v>975</v>
      </c>
    </row>
    <row r="334" spans="2:3">
      <c r="C334" s="293" t="s">
        <v>976</v>
      </c>
    </row>
    <row r="335" spans="2:3">
      <c r="C335" s="294" t="s">
        <v>946</v>
      </c>
    </row>
    <row r="337" spans="2:3">
      <c r="C337" s="293" t="s">
        <v>876</v>
      </c>
    </row>
    <row r="339" spans="2:3">
      <c r="B339" s="293" t="s">
        <v>1073</v>
      </c>
      <c r="C339" s="294" t="s">
        <v>947</v>
      </c>
    </row>
    <row r="340" spans="2:3">
      <c r="C340" s="293" t="s">
        <v>977</v>
      </c>
    </row>
    <row r="341" spans="2:3">
      <c r="C341" s="293" t="s">
        <v>966</v>
      </c>
    </row>
    <row r="342" spans="2:3">
      <c r="C342" s="293" t="s">
        <v>978</v>
      </c>
    </row>
    <row r="343" spans="2:3">
      <c r="C343" s="293" t="s">
        <v>979</v>
      </c>
    </row>
    <row r="344" spans="2:3">
      <c r="C344" s="293" t="s">
        <v>876</v>
      </c>
    </row>
    <row r="345" spans="2:3">
      <c r="C345" s="294" t="s">
        <v>949</v>
      </c>
    </row>
    <row r="347" spans="2:3">
      <c r="C347" s="293" t="s">
        <v>980</v>
      </c>
    </row>
    <row r="348" spans="2:3">
      <c r="C348" s="293" t="s">
        <v>892</v>
      </c>
    </row>
    <row r="350" spans="2:3">
      <c r="C350" s="293" t="s">
        <v>754</v>
      </c>
    </row>
    <row r="351" spans="2:3">
      <c r="C351" s="293" t="s">
        <v>981</v>
      </c>
    </row>
    <row r="352" spans="2:3">
      <c r="C352" s="293" t="s">
        <v>879</v>
      </c>
    </row>
    <row r="353" spans="2:3">
      <c r="C353" s="293" t="s">
        <v>880</v>
      </c>
    </row>
    <row r="354" spans="2:3">
      <c r="C354" s="293" t="s">
        <v>881</v>
      </c>
    </row>
    <row r="355" spans="2:3">
      <c r="C355" s="293" t="s">
        <v>754</v>
      </c>
    </row>
    <row r="356" spans="2:3">
      <c r="C356" s="293" t="s">
        <v>982</v>
      </c>
    </row>
    <row r="357" spans="2:3">
      <c r="C357" s="293" t="s">
        <v>883</v>
      </c>
    </row>
    <row r="358" spans="2:3">
      <c r="B358" s="293" t="s">
        <v>1070</v>
      </c>
      <c r="C358" s="294" t="s">
        <v>801</v>
      </c>
    </row>
    <row r="359" spans="2:3">
      <c r="C359" s="293" t="s">
        <v>983</v>
      </c>
    </row>
    <row r="360" spans="2:3">
      <c r="C360" s="293" t="s">
        <v>984</v>
      </c>
    </row>
    <row r="361" spans="2:3">
      <c r="C361" s="294" t="s">
        <v>803</v>
      </c>
    </row>
    <row r="362" spans="2:3">
      <c r="B362" s="293" t="s">
        <v>1070</v>
      </c>
      <c r="C362" s="294" t="s">
        <v>804</v>
      </c>
    </row>
    <row r="363" spans="2:3">
      <c r="C363" s="293" t="s">
        <v>985</v>
      </c>
    </row>
    <row r="364" spans="2:3">
      <c r="C364" s="293" t="s">
        <v>986</v>
      </c>
    </row>
    <row r="365" spans="2:3">
      <c r="C365" s="293" t="s">
        <v>987</v>
      </c>
    </row>
    <row r="366" spans="2:3">
      <c r="C366" s="294" t="s">
        <v>806</v>
      </c>
    </row>
    <row r="367" spans="2:3">
      <c r="B367" s="293" t="s">
        <v>1070</v>
      </c>
      <c r="C367" s="294" t="s">
        <v>988</v>
      </c>
    </row>
    <row r="368" spans="2:3">
      <c r="C368" s="293" t="s">
        <v>950</v>
      </c>
    </row>
    <row r="369" spans="2:3">
      <c r="C369" s="294" t="s">
        <v>989</v>
      </c>
    </row>
    <row r="370" spans="2:3">
      <c r="C370" s="293" t="s">
        <v>951</v>
      </c>
    </row>
    <row r="372" spans="2:3">
      <c r="B372" s="293" t="s">
        <v>1073</v>
      </c>
      <c r="C372" s="294" t="s">
        <v>1076</v>
      </c>
    </row>
    <row r="373" spans="2:3">
      <c r="B373" s="293" t="s">
        <v>1074</v>
      </c>
      <c r="C373" s="293" t="s">
        <v>1077</v>
      </c>
    </row>
    <row r="374" spans="2:3">
      <c r="B374" s="293" t="s">
        <v>1075</v>
      </c>
      <c r="C374" s="293" t="s">
        <v>955</v>
      </c>
    </row>
    <row r="375" spans="2:3">
      <c r="B375" s="293" t="s">
        <v>1079</v>
      </c>
      <c r="C375" s="293" t="s">
        <v>990</v>
      </c>
    </row>
    <row r="376" spans="2:3">
      <c r="C376" s="293" t="s">
        <v>991</v>
      </c>
    </row>
    <row r="377" spans="2:3">
      <c r="C377" s="293" t="s">
        <v>1078</v>
      </c>
    </row>
    <row r="378" spans="2:3">
      <c r="C378" s="294" t="s">
        <v>803</v>
      </c>
    </row>
    <row r="379" spans="2:3">
      <c r="B379" s="293" t="s">
        <v>1073</v>
      </c>
      <c r="C379" s="294" t="s">
        <v>804</v>
      </c>
    </row>
    <row r="380" spans="2:3">
      <c r="B380" s="293" t="s">
        <v>1074</v>
      </c>
      <c r="C380" s="293" t="s">
        <v>992</v>
      </c>
    </row>
    <row r="381" spans="2:3">
      <c r="B381" s="293" t="s">
        <v>1075</v>
      </c>
      <c r="C381" s="293" t="s">
        <v>955</v>
      </c>
    </row>
    <row r="382" spans="2:3">
      <c r="B382" s="293" t="s">
        <v>1079</v>
      </c>
      <c r="C382" s="293" t="s">
        <v>993</v>
      </c>
    </row>
    <row r="383" spans="2:3">
      <c r="C383" s="293" t="s">
        <v>994</v>
      </c>
    </row>
    <row r="384" spans="2:3">
      <c r="C384" s="293" t="s">
        <v>995</v>
      </c>
    </row>
    <row r="385" spans="2:3">
      <c r="C385" s="294" t="s">
        <v>806</v>
      </c>
    </row>
    <row r="387" spans="2:3">
      <c r="C387" s="293" t="s">
        <v>963</v>
      </c>
    </row>
    <row r="389" spans="2:3">
      <c r="B389" s="293" t="s">
        <v>1073</v>
      </c>
      <c r="C389" s="294" t="s">
        <v>801</v>
      </c>
    </row>
    <row r="390" spans="2:3">
      <c r="B390" s="293" t="s">
        <v>1074</v>
      </c>
      <c r="C390" s="293" t="s">
        <v>996</v>
      </c>
    </row>
    <row r="391" spans="2:3">
      <c r="B391" s="293" t="s">
        <v>1075</v>
      </c>
      <c r="C391" s="293" t="s">
        <v>966</v>
      </c>
    </row>
    <row r="392" spans="2:3">
      <c r="B392" s="293" t="s">
        <v>1079</v>
      </c>
      <c r="C392" s="293" t="s">
        <v>997</v>
      </c>
    </row>
    <row r="393" spans="2:3">
      <c r="C393" s="293" t="s">
        <v>998</v>
      </c>
    </row>
    <row r="394" spans="2:3">
      <c r="C394" s="293" t="s">
        <v>876</v>
      </c>
    </row>
    <row r="395" spans="2:3">
      <c r="C395" s="294" t="s">
        <v>803</v>
      </c>
    </row>
    <row r="397" spans="2:3">
      <c r="B397" s="293" t="s">
        <v>1073</v>
      </c>
      <c r="C397" s="294" t="s">
        <v>804</v>
      </c>
    </row>
    <row r="398" spans="2:3">
      <c r="B398" s="293" t="s">
        <v>1074</v>
      </c>
      <c r="C398" s="293" t="s">
        <v>999</v>
      </c>
    </row>
    <row r="399" spans="2:3">
      <c r="B399" s="293" t="s">
        <v>1075</v>
      </c>
      <c r="C399" s="293" t="s">
        <v>966</v>
      </c>
    </row>
    <row r="400" spans="2:3">
      <c r="B400" s="293" t="s">
        <v>1079</v>
      </c>
      <c r="C400" s="293" t="s">
        <v>1000</v>
      </c>
    </row>
    <row r="401" spans="2:3">
      <c r="C401" s="293" t="s">
        <v>1001</v>
      </c>
    </row>
    <row r="402" spans="2:3">
      <c r="C402" s="293" t="s">
        <v>876</v>
      </c>
    </row>
    <row r="403" spans="2:3">
      <c r="C403" s="294" t="s">
        <v>806</v>
      </c>
    </row>
    <row r="405" spans="2:3">
      <c r="C405" s="293" t="s">
        <v>980</v>
      </c>
    </row>
    <row r="406" spans="2:3">
      <c r="C406" s="293" t="s">
        <v>892</v>
      </c>
    </row>
    <row r="408" spans="2:3">
      <c r="C408" s="293" t="s">
        <v>754</v>
      </c>
    </row>
    <row r="409" spans="2:3">
      <c r="C409" s="293" t="s">
        <v>1002</v>
      </c>
    </row>
    <row r="410" spans="2:3">
      <c r="C410" s="293" t="s">
        <v>879</v>
      </c>
    </row>
    <row r="411" spans="2:3">
      <c r="C411" s="293" t="s">
        <v>880</v>
      </c>
    </row>
    <row r="412" spans="2:3">
      <c r="C412" s="293" t="s">
        <v>881</v>
      </c>
    </row>
    <row r="413" spans="2:3">
      <c r="C413" s="293" t="s">
        <v>754</v>
      </c>
    </row>
    <row r="414" spans="2:3">
      <c r="C414" s="293" t="s">
        <v>1003</v>
      </c>
    </row>
    <row r="415" spans="2:3">
      <c r="C415" s="293" t="s">
        <v>883</v>
      </c>
    </row>
    <row r="416" spans="2:3">
      <c r="B416" s="293" t="s">
        <v>1070</v>
      </c>
      <c r="C416" s="294" t="s">
        <v>808</v>
      </c>
    </row>
    <row r="417" spans="2:3">
      <c r="C417" s="293" t="s">
        <v>1004</v>
      </c>
    </row>
    <row r="418" spans="2:3">
      <c r="C418" s="293" t="s">
        <v>1005</v>
      </c>
    </row>
    <row r="419" spans="2:3">
      <c r="C419" s="293" t="s">
        <v>1006</v>
      </c>
    </row>
    <row r="420" spans="2:3">
      <c r="C420" s="293" t="s">
        <v>1007</v>
      </c>
    </row>
    <row r="421" spans="2:3">
      <c r="C421" s="293" t="s">
        <v>1008</v>
      </c>
    </row>
    <row r="422" spans="2:3">
      <c r="C422" s="293" t="s">
        <v>1009</v>
      </c>
    </row>
    <row r="423" spans="2:3">
      <c r="C423" s="293" t="s">
        <v>950</v>
      </c>
    </row>
    <row r="424" spans="2:3">
      <c r="C424" s="294" t="s">
        <v>810</v>
      </c>
    </row>
    <row r="425" spans="2:3">
      <c r="C425" s="293" t="s">
        <v>951</v>
      </c>
    </row>
    <row r="427" spans="2:3">
      <c r="B427" s="293" t="s">
        <v>1073</v>
      </c>
      <c r="C427" s="294" t="s">
        <v>808</v>
      </c>
    </row>
    <row r="428" spans="2:3">
      <c r="B428" s="293" t="s">
        <v>1074</v>
      </c>
      <c r="C428" s="293" t="s">
        <v>1010</v>
      </c>
    </row>
    <row r="429" spans="2:3">
      <c r="B429" s="293" t="s">
        <v>1075</v>
      </c>
      <c r="C429" s="293" t="s">
        <v>955</v>
      </c>
    </row>
    <row r="430" spans="2:3">
      <c r="B430" s="293" t="s">
        <v>1079</v>
      </c>
      <c r="C430" s="293" t="s">
        <v>1011</v>
      </c>
    </row>
    <row r="431" spans="2:3">
      <c r="C431" s="293" t="s">
        <v>1012</v>
      </c>
    </row>
    <row r="432" spans="2:3">
      <c r="C432" s="293" t="s">
        <v>1013</v>
      </c>
    </row>
    <row r="433" spans="2:3">
      <c r="C433" s="294" t="s">
        <v>810</v>
      </c>
    </row>
    <row r="434" spans="2:3">
      <c r="C434" s="293" t="s">
        <v>963</v>
      </c>
    </row>
    <row r="436" spans="2:3">
      <c r="B436" s="293" t="s">
        <v>1073</v>
      </c>
      <c r="C436" s="294" t="s">
        <v>808</v>
      </c>
    </row>
    <row r="437" spans="2:3">
      <c r="B437" s="293" t="s">
        <v>1074</v>
      </c>
      <c r="C437" s="293" t="s">
        <v>1014</v>
      </c>
    </row>
    <row r="438" spans="2:3">
      <c r="B438" s="293" t="s">
        <v>1075</v>
      </c>
      <c r="C438" s="293" t="s">
        <v>1015</v>
      </c>
    </row>
    <row r="439" spans="2:3">
      <c r="B439" s="293" t="s">
        <v>1079</v>
      </c>
      <c r="C439" s="293" t="s">
        <v>1016</v>
      </c>
    </row>
    <row r="440" spans="2:3">
      <c r="C440" s="293" t="s">
        <v>1017</v>
      </c>
    </row>
    <row r="441" spans="2:3">
      <c r="C441" s="293" t="s">
        <v>1018</v>
      </c>
    </row>
    <row r="442" spans="2:3">
      <c r="C442" s="293" t="s">
        <v>876</v>
      </c>
    </row>
    <row r="443" spans="2:3">
      <c r="C443" s="294" t="s">
        <v>810</v>
      </c>
    </row>
    <row r="445" spans="2:3">
      <c r="C445" s="293" t="s">
        <v>980</v>
      </c>
    </row>
    <row r="446" spans="2:3">
      <c r="C446" s="293" t="s">
        <v>892</v>
      </c>
    </row>
    <row r="448" spans="2:3">
      <c r="C448" s="293" t="s">
        <v>754</v>
      </c>
    </row>
    <row r="449" spans="3:3">
      <c r="C449" s="293" t="s">
        <v>1019</v>
      </c>
    </row>
    <row r="450" spans="3:3">
      <c r="C450" s="293" t="s">
        <v>879</v>
      </c>
    </row>
    <row r="451" spans="3:3">
      <c r="C451" s="293" t="s">
        <v>880</v>
      </c>
    </row>
    <row r="452" spans="3:3">
      <c r="C452" s="293" t="s">
        <v>881</v>
      </c>
    </row>
    <row r="453" spans="3:3">
      <c r="C453" s="293" t="s">
        <v>754</v>
      </c>
    </row>
    <row r="454" spans="3:3">
      <c r="C454" s="293" t="s">
        <v>1020</v>
      </c>
    </row>
    <row r="455" spans="3:3">
      <c r="C455" s="293" t="s">
        <v>883</v>
      </c>
    </row>
    <row r="456" spans="3:3">
      <c r="C456" s="293" t="s">
        <v>1021</v>
      </c>
    </row>
    <row r="457" spans="3:3">
      <c r="C457" s="293" t="s">
        <v>1022</v>
      </c>
    </row>
    <row r="458" spans="3:3">
      <c r="C458" s="293" t="s">
        <v>1023</v>
      </c>
    </row>
    <row r="459" spans="3:3">
      <c r="C459" s="293" t="s">
        <v>1024</v>
      </c>
    </row>
    <row r="461" spans="3:3">
      <c r="C461" s="293" t="s">
        <v>1025</v>
      </c>
    </row>
    <row r="462" spans="3:3">
      <c r="C462" s="293" t="s">
        <v>1026</v>
      </c>
    </row>
    <row r="463" spans="3:3">
      <c r="C463" s="293" t="s">
        <v>1027</v>
      </c>
    </row>
    <row r="464" spans="3:3">
      <c r="C464" s="293" t="s">
        <v>1028</v>
      </c>
    </row>
    <row r="465" spans="3:3">
      <c r="C465" s="293" t="s">
        <v>876</v>
      </c>
    </row>
    <row r="466" spans="3:3">
      <c r="C466" s="293" t="s">
        <v>1029</v>
      </c>
    </row>
    <row r="467" spans="3:3">
      <c r="C467" s="293" t="s">
        <v>1030</v>
      </c>
    </row>
    <row r="468" spans="3:3">
      <c r="C468" s="293" t="s">
        <v>876</v>
      </c>
    </row>
    <row r="469" spans="3:3">
      <c r="C469" s="293" t="s">
        <v>1031</v>
      </c>
    </row>
    <row r="470" spans="3:3">
      <c r="C470" s="293" t="s">
        <v>1032</v>
      </c>
    </row>
    <row r="471" spans="3:3">
      <c r="C471" s="293" t="s">
        <v>1033</v>
      </c>
    </row>
    <row r="472" spans="3:3">
      <c r="C472" s="293" t="s">
        <v>876</v>
      </c>
    </row>
    <row r="473" spans="3:3">
      <c r="C473" s="293" t="s">
        <v>1034</v>
      </c>
    </row>
    <row r="474" spans="3:3">
      <c r="C474" s="293" t="s">
        <v>1035</v>
      </c>
    </row>
    <row r="475" spans="3:3">
      <c r="C475" s="293" t="s">
        <v>876</v>
      </c>
    </row>
    <row r="477" spans="3:3">
      <c r="C477" s="293" t="s">
        <v>1036</v>
      </c>
    </row>
    <row r="479" spans="3:3">
      <c r="C479" s="293" t="s">
        <v>1037</v>
      </c>
    </row>
    <row r="480" spans="3:3">
      <c r="C480" s="293" t="s">
        <v>892</v>
      </c>
    </row>
    <row r="482" spans="3:3">
      <c r="C482" s="293" t="s">
        <v>754</v>
      </c>
    </row>
    <row r="483" spans="3:3">
      <c r="C483" s="293" t="s">
        <v>1038</v>
      </c>
    </row>
    <row r="484" spans="3:3">
      <c r="C484" s="293" t="s">
        <v>879</v>
      </c>
    </row>
    <row r="485" spans="3:3">
      <c r="C485" s="293" t="s">
        <v>880</v>
      </c>
    </row>
    <row r="486" spans="3:3">
      <c r="C486" s="293" t="s">
        <v>881</v>
      </c>
    </row>
    <row r="487" spans="3:3">
      <c r="C487" s="293" t="s">
        <v>754</v>
      </c>
    </row>
    <row r="488" spans="3:3">
      <c r="C488" s="293" t="s">
        <v>1039</v>
      </c>
    </row>
    <row r="489" spans="3:3">
      <c r="C489" s="293" t="s">
        <v>883</v>
      </c>
    </row>
    <row r="490" spans="3:3">
      <c r="C490" s="293" t="s">
        <v>1040</v>
      </c>
    </row>
    <row r="491" spans="3:3">
      <c r="C491" s="293" t="s">
        <v>1041</v>
      </c>
    </row>
    <row r="492" spans="3:3">
      <c r="C492" s="293" t="s">
        <v>1042</v>
      </c>
    </row>
    <row r="493" spans="3:3">
      <c r="C493" s="293" t="s">
        <v>1043</v>
      </c>
    </row>
    <row r="494" spans="3:3">
      <c r="C494" s="293" t="s">
        <v>1044</v>
      </c>
    </row>
    <row r="496" spans="3:3">
      <c r="C496" s="293" t="s">
        <v>1045</v>
      </c>
    </row>
    <row r="497" spans="3:3">
      <c r="C497" s="293" t="s">
        <v>1046</v>
      </c>
    </row>
    <row r="498" spans="3:3">
      <c r="C498" s="293" t="s">
        <v>1047</v>
      </c>
    </row>
    <row r="500" spans="3:3">
      <c r="C500" s="293" t="s">
        <v>1048</v>
      </c>
    </row>
    <row r="501" spans="3:3">
      <c r="C501" s="293" t="s">
        <v>1049</v>
      </c>
    </row>
    <row r="502" spans="3:3">
      <c r="C502" s="293" t="s">
        <v>1050</v>
      </c>
    </row>
    <row r="503" spans="3:3">
      <c r="C503" s="293" t="s">
        <v>1051</v>
      </c>
    </row>
    <row r="504" spans="3:3">
      <c r="C504" s="293" t="s">
        <v>1052</v>
      </c>
    </row>
    <row r="505" spans="3:3">
      <c r="C505" s="293" t="s">
        <v>1053</v>
      </c>
    </row>
    <row r="506" spans="3:3">
      <c r="C506" s="293" t="s">
        <v>1050</v>
      </c>
    </row>
    <row r="507" spans="3:3">
      <c r="C507" s="293" t="s">
        <v>1051</v>
      </c>
    </row>
    <row r="508" spans="3:3">
      <c r="C508" s="293" t="s">
        <v>1054</v>
      </c>
    </row>
    <row r="509" spans="3:3">
      <c r="C509" s="293" t="s">
        <v>1055</v>
      </c>
    </row>
    <row r="510" spans="3:3">
      <c r="C510" s="293" t="s">
        <v>1051</v>
      </c>
    </row>
    <row r="511" spans="3:3">
      <c r="C511" s="293" t="s">
        <v>876</v>
      </c>
    </row>
    <row r="513" spans="3:3">
      <c r="C513" s="293" t="s">
        <v>1056</v>
      </c>
    </row>
    <row r="515" spans="3:3">
      <c r="C515" s="293" t="s">
        <v>1057</v>
      </c>
    </row>
    <row r="516" spans="3:3">
      <c r="C516" s="293" t="s">
        <v>892</v>
      </c>
    </row>
    <row r="518" spans="3:3">
      <c r="C518" s="293" t="s">
        <v>754</v>
      </c>
    </row>
    <row r="519" spans="3:3">
      <c r="C519" s="293" t="s">
        <v>757</v>
      </c>
    </row>
    <row r="520" spans="3:3">
      <c r="C520" s="293" t="s">
        <v>1058</v>
      </c>
    </row>
    <row r="521" spans="3:3">
      <c r="C521" s="293" t="s">
        <v>757</v>
      </c>
    </row>
    <row r="522" spans="3:3">
      <c r="C522" s="293" t="s">
        <v>754</v>
      </c>
    </row>
    <row r="523" spans="3:3">
      <c r="C523" s="293" t="s">
        <v>757</v>
      </c>
    </row>
    <row r="524" spans="3:3">
      <c r="C524" s="293" t="s">
        <v>1059</v>
      </c>
    </row>
    <row r="525" spans="3:3">
      <c r="C525" s="293" t="s">
        <v>1060</v>
      </c>
    </row>
    <row r="526" spans="3:3">
      <c r="C526" s="293" t="s">
        <v>1061</v>
      </c>
    </row>
    <row r="527" spans="3:3">
      <c r="C527" s="293" t="s">
        <v>1062</v>
      </c>
    </row>
    <row r="528" spans="3:3">
      <c r="C528" s="293" t="s">
        <v>1063</v>
      </c>
    </row>
    <row r="529" spans="3:3">
      <c r="C529" s="293" t="s">
        <v>1064</v>
      </c>
    </row>
    <row r="530" spans="3:3">
      <c r="C530" s="293" t="s">
        <v>1065</v>
      </c>
    </row>
    <row r="531" spans="3:3">
      <c r="C531" s="293" t="s">
        <v>757</v>
      </c>
    </row>
    <row r="532" spans="3:3">
      <c r="C532" s="293" t="s">
        <v>1066</v>
      </c>
    </row>
    <row r="533" spans="3:3">
      <c r="C533" s="293" t="s">
        <v>1067</v>
      </c>
    </row>
    <row r="534" spans="3:3">
      <c r="C534" s="293" t="s">
        <v>1068</v>
      </c>
    </row>
    <row r="535" spans="3:3">
      <c r="C535" s="293" t="s">
        <v>1069</v>
      </c>
    </row>
    <row r="536" spans="3:3">
      <c r="C536" s="293" t="s">
        <v>757</v>
      </c>
    </row>
    <row r="537" spans="3:3">
      <c r="C537" s="293" t="s">
        <v>754</v>
      </c>
    </row>
  </sheetData>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306D6-C694-40C3-BB0C-7D5D995B728F}">
  <dimension ref="A1:C1202"/>
  <sheetViews>
    <sheetView zoomScale="85" zoomScaleNormal="85" workbookViewId="0"/>
  </sheetViews>
  <sheetFormatPr defaultRowHeight="15.75" outlineLevelRow="1"/>
  <cols>
    <col min="1" max="1" width="9" style="293"/>
    <col min="2" max="2" width="51.5" style="293" customWidth="1"/>
    <col min="3" max="3" width="150.375" style="293" bestFit="1" customWidth="1"/>
    <col min="4" max="16384" width="9" style="293"/>
  </cols>
  <sheetData>
    <row r="1" spans="1:3">
      <c r="A1" s="293" t="s">
        <v>1082</v>
      </c>
    </row>
    <row r="2" spans="1:3">
      <c r="B2" s="295" t="s">
        <v>1072</v>
      </c>
      <c r="C2" s="293" t="s">
        <v>2002</v>
      </c>
    </row>
    <row r="3" spans="1:3" hidden="1" outlineLevel="1">
      <c r="B3" s="296"/>
      <c r="C3" s="296" t="s">
        <v>1384</v>
      </c>
    </row>
    <row r="4" spans="1:3" hidden="1" outlineLevel="1">
      <c r="B4" s="296"/>
      <c r="C4" s="296" t="s">
        <v>754</v>
      </c>
    </row>
    <row r="5" spans="1:3" hidden="1" outlineLevel="1">
      <c r="B5" s="296"/>
      <c r="C5" s="296" t="s">
        <v>1085</v>
      </c>
    </row>
    <row r="6" spans="1:3" hidden="1" outlineLevel="1">
      <c r="B6" s="296"/>
      <c r="C6" s="296" t="s">
        <v>754</v>
      </c>
    </row>
    <row r="7" spans="1:3" hidden="1" outlineLevel="1">
      <c r="B7" s="296"/>
      <c r="C7" s="296" t="s">
        <v>1385</v>
      </c>
    </row>
    <row r="8" spans="1:3" hidden="1" outlineLevel="1">
      <c r="B8" s="296"/>
      <c r="C8" s="296" t="s">
        <v>1087</v>
      </c>
    </row>
    <row r="9" spans="1:3" hidden="1" outlineLevel="1">
      <c r="B9" s="296"/>
      <c r="C9" s="296" t="s">
        <v>754</v>
      </c>
    </row>
    <row r="10" spans="1:3" hidden="1" outlineLevel="1">
      <c r="B10" s="296"/>
      <c r="C10" s="296"/>
    </row>
    <row r="11" spans="1:3" hidden="1" outlineLevel="1">
      <c r="B11" s="296"/>
      <c r="C11" s="296" t="s">
        <v>1386</v>
      </c>
    </row>
    <row r="12" spans="1:3" hidden="1" outlineLevel="1">
      <c r="B12" s="296"/>
      <c r="C12" s="296" t="s">
        <v>1387</v>
      </c>
    </row>
    <row r="13" spans="1:3" hidden="1" outlineLevel="1">
      <c r="B13" s="296"/>
      <c r="C13" s="296"/>
    </row>
    <row r="14" spans="1:3" hidden="1" outlineLevel="1">
      <c r="B14" s="296"/>
      <c r="C14" s="296" t="s">
        <v>758</v>
      </c>
    </row>
    <row r="15" spans="1:3" hidden="1" outlineLevel="1">
      <c r="B15" s="296"/>
      <c r="C15" s="296" t="s">
        <v>1388</v>
      </c>
    </row>
    <row r="16" spans="1:3" hidden="1" outlineLevel="1">
      <c r="B16" s="296"/>
      <c r="C16" s="296" t="s">
        <v>758</v>
      </c>
    </row>
    <row r="17" spans="2:3" hidden="1" outlineLevel="1">
      <c r="B17" s="296"/>
      <c r="C17" s="296" t="s">
        <v>1389</v>
      </c>
    </row>
    <row r="18" spans="2:3" hidden="1" outlineLevel="1">
      <c r="B18" s="296"/>
      <c r="C18" s="296"/>
    </row>
    <row r="19" spans="2:3" hidden="1" outlineLevel="1">
      <c r="B19" s="296"/>
      <c r="C19" s="296" t="s">
        <v>758</v>
      </c>
    </row>
    <row r="20" spans="2:3" hidden="1" outlineLevel="1">
      <c r="B20" s="296"/>
      <c r="C20" s="296" t="s">
        <v>1092</v>
      </c>
    </row>
    <row r="21" spans="2:3" hidden="1" outlineLevel="1">
      <c r="B21" s="296"/>
      <c r="C21" s="296" t="s">
        <v>758</v>
      </c>
    </row>
    <row r="22" spans="2:3" hidden="1" outlineLevel="1">
      <c r="B22" s="296"/>
      <c r="C22" s="296" t="s">
        <v>1390</v>
      </c>
    </row>
    <row r="23" spans="2:3" hidden="1" outlineLevel="1">
      <c r="C23" s="293" t="s">
        <v>1391</v>
      </c>
    </row>
    <row r="24" spans="2:3" hidden="1" outlineLevel="1">
      <c r="C24" s="293" t="s">
        <v>1392</v>
      </c>
    </row>
    <row r="25" spans="2:3" hidden="1" outlineLevel="1">
      <c r="C25" s="293" t="s">
        <v>1393</v>
      </c>
    </row>
    <row r="26" spans="2:3" hidden="1" outlineLevel="1">
      <c r="C26" s="293" t="s">
        <v>1394</v>
      </c>
    </row>
    <row r="27" spans="2:3" hidden="1" outlineLevel="1">
      <c r="C27" s="293" t="s">
        <v>1395</v>
      </c>
    </row>
    <row r="28" spans="2:3" hidden="1" outlineLevel="1">
      <c r="C28" s="293" t="s">
        <v>1396</v>
      </c>
    </row>
    <row r="29" spans="2:3" hidden="1" outlineLevel="1">
      <c r="C29" s="293" t="s">
        <v>1397</v>
      </c>
    </row>
    <row r="30" spans="2:3" hidden="1" outlineLevel="1">
      <c r="C30" s="293" t="s">
        <v>1398</v>
      </c>
    </row>
    <row r="31" spans="2:3" hidden="1" outlineLevel="1">
      <c r="C31" s="293" t="s">
        <v>1399</v>
      </c>
    </row>
    <row r="32" spans="2:3" hidden="1" outlineLevel="1">
      <c r="C32" s="293" t="s">
        <v>1400</v>
      </c>
    </row>
    <row r="33" spans="3:3" hidden="1" outlineLevel="1">
      <c r="C33" s="293" t="s">
        <v>1401</v>
      </c>
    </row>
    <row r="34" spans="3:3" hidden="1" outlineLevel="1"/>
    <row r="35" spans="3:3" hidden="1" outlineLevel="1">
      <c r="C35" s="293" t="s">
        <v>758</v>
      </c>
    </row>
    <row r="36" spans="3:3" hidden="1" outlineLevel="1">
      <c r="C36" s="293" t="s">
        <v>1111</v>
      </c>
    </row>
    <row r="37" spans="3:3" hidden="1" outlineLevel="1">
      <c r="C37" s="293" t="s">
        <v>758</v>
      </c>
    </row>
    <row r="38" spans="3:3" hidden="1" outlineLevel="1">
      <c r="C38" s="293" t="s">
        <v>1402</v>
      </c>
    </row>
    <row r="39" spans="3:3" hidden="1" outlineLevel="1"/>
    <row r="40" spans="3:3" hidden="1" outlineLevel="1">
      <c r="C40" s="293" t="s">
        <v>1403</v>
      </c>
    </row>
    <row r="41" spans="3:3" hidden="1" outlineLevel="1"/>
    <row r="42" spans="3:3" hidden="1" outlineLevel="1">
      <c r="C42" s="293" t="s">
        <v>1404</v>
      </c>
    </row>
    <row r="43" spans="3:3" hidden="1" outlineLevel="1">
      <c r="C43" s="293" t="s">
        <v>1405</v>
      </c>
    </row>
    <row r="44" spans="3:3" hidden="1" outlineLevel="1">
      <c r="C44" s="293" t="s">
        <v>1406</v>
      </c>
    </row>
    <row r="45" spans="3:3" hidden="1" outlineLevel="1">
      <c r="C45" s="293" t="s">
        <v>1407</v>
      </c>
    </row>
    <row r="46" spans="3:3" hidden="1" outlineLevel="1">
      <c r="C46" s="293" t="s">
        <v>1408</v>
      </c>
    </row>
    <row r="47" spans="3:3" hidden="1" outlineLevel="1">
      <c r="C47" s="293" t="s">
        <v>1409</v>
      </c>
    </row>
    <row r="48" spans="3:3" hidden="1" outlineLevel="1">
      <c r="C48" s="293" t="s">
        <v>1410</v>
      </c>
    </row>
    <row r="49" spans="3:3" hidden="1" outlineLevel="1">
      <c r="C49" s="293" t="s">
        <v>1411</v>
      </c>
    </row>
    <row r="50" spans="3:3" hidden="1" outlineLevel="1">
      <c r="C50" s="293" t="s">
        <v>1412</v>
      </c>
    </row>
    <row r="51" spans="3:3" hidden="1" outlineLevel="1">
      <c r="C51" s="293" t="s">
        <v>1413</v>
      </c>
    </row>
    <row r="52" spans="3:3" hidden="1" outlineLevel="1">
      <c r="C52" s="293" t="s">
        <v>1414</v>
      </c>
    </row>
    <row r="53" spans="3:3" hidden="1" outlineLevel="1">
      <c r="C53" s="293" t="s">
        <v>1415</v>
      </c>
    </row>
    <row r="54" spans="3:3" hidden="1" outlineLevel="1">
      <c r="C54" s="293" t="s">
        <v>1416</v>
      </c>
    </row>
    <row r="55" spans="3:3" hidden="1" outlineLevel="1">
      <c r="C55" s="293" t="s">
        <v>1417</v>
      </c>
    </row>
    <row r="56" spans="3:3" hidden="1" outlineLevel="1">
      <c r="C56" s="293" t="s">
        <v>1418</v>
      </c>
    </row>
    <row r="57" spans="3:3" hidden="1" outlineLevel="1">
      <c r="C57" s="293" t="s">
        <v>1419</v>
      </c>
    </row>
    <row r="58" spans="3:3" hidden="1" outlineLevel="1">
      <c r="C58" s="293" t="s">
        <v>1420</v>
      </c>
    </row>
    <row r="59" spans="3:3" hidden="1" outlineLevel="1">
      <c r="C59" s="293" t="s">
        <v>1421</v>
      </c>
    </row>
    <row r="60" spans="3:3" hidden="1" outlineLevel="1">
      <c r="C60" s="293" t="s">
        <v>1422</v>
      </c>
    </row>
    <row r="61" spans="3:3" hidden="1" outlineLevel="1">
      <c r="C61" s="293" t="s">
        <v>1423</v>
      </c>
    </row>
    <row r="62" spans="3:3" hidden="1" outlineLevel="1">
      <c r="C62" s="293" t="s">
        <v>1424</v>
      </c>
    </row>
    <row r="63" spans="3:3" hidden="1" outlineLevel="1">
      <c r="C63" s="293" t="s">
        <v>1425</v>
      </c>
    </row>
    <row r="64" spans="3:3" hidden="1" outlineLevel="1">
      <c r="C64" s="293" t="s">
        <v>1426</v>
      </c>
    </row>
    <row r="65" spans="3:3" hidden="1" outlineLevel="1">
      <c r="C65" s="293" t="s">
        <v>1427</v>
      </c>
    </row>
    <row r="66" spans="3:3" hidden="1" outlineLevel="1">
      <c r="C66" s="293" t="s">
        <v>1428</v>
      </c>
    </row>
    <row r="67" spans="3:3" hidden="1" outlineLevel="1">
      <c r="C67" s="293" t="s">
        <v>1429</v>
      </c>
    </row>
    <row r="68" spans="3:3" hidden="1" outlineLevel="1">
      <c r="C68" s="293" t="s">
        <v>1430</v>
      </c>
    </row>
    <row r="69" spans="3:3" hidden="1" outlineLevel="1">
      <c r="C69" s="293" t="s">
        <v>1431</v>
      </c>
    </row>
    <row r="70" spans="3:3" hidden="1" outlineLevel="1">
      <c r="C70" s="293" t="s">
        <v>1432</v>
      </c>
    </row>
    <row r="71" spans="3:3" hidden="1" outlineLevel="1">
      <c r="C71" s="293" t="s">
        <v>1433</v>
      </c>
    </row>
    <row r="72" spans="3:3" hidden="1" outlineLevel="1">
      <c r="C72" s="293" t="s">
        <v>1434</v>
      </c>
    </row>
    <row r="73" spans="3:3" hidden="1" outlineLevel="1">
      <c r="C73" s="293" t="s">
        <v>1435</v>
      </c>
    </row>
    <row r="74" spans="3:3" hidden="1" outlineLevel="1">
      <c r="C74" s="293" t="s">
        <v>1436</v>
      </c>
    </row>
    <row r="75" spans="3:3" hidden="1" outlineLevel="1">
      <c r="C75" s="293" t="s">
        <v>1437</v>
      </c>
    </row>
    <row r="76" spans="3:3" hidden="1" outlineLevel="1">
      <c r="C76" s="293" t="s">
        <v>1438</v>
      </c>
    </row>
    <row r="77" spans="3:3" hidden="1" outlineLevel="1">
      <c r="C77" s="293" t="s">
        <v>1439</v>
      </c>
    </row>
    <row r="78" spans="3:3" hidden="1" outlineLevel="1">
      <c r="C78" s="293" t="s">
        <v>1440</v>
      </c>
    </row>
    <row r="79" spans="3:3" hidden="1" outlineLevel="1">
      <c r="C79" s="293" t="s">
        <v>1441</v>
      </c>
    </row>
    <row r="80" spans="3:3" hidden="1" outlineLevel="1">
      <c r="C80" s="293" t="s">
        <v>1442</v>
      </c>
    </row>
    <row r="81" spans="2:3" hidden="1" outlineLevel="1">
      <c r="C81" s="293" t="s">
        <v>1443</v>
      </c>
    </row>
    <row r="82" spans="2:3" hidden="1" outlineLevel="1">
      <c r="C82" s="293" t="s">
        <v>1444</v>
      </c>
    </row>
    <row r="83" spans="2:3" hidden="1" outlineLevel="1"/>
    <row r="84" spans="2:3" hidden="1" outlineLevel="1">
      <c r="C84" s="293" t="s">
        <v>1445</v>
      </c>
    </row>
    <row r="85" spans="2:3" hidden="1" outlineLevel="1">
      <c r="C85" s="293" t="s">
        <v>1446</v>
      </c>
    </row>
    <row r="86" spans="2:3" hidden="1" outlineLevel="1">
      <c r="C86" s="293" t="s">
        <v>1447</v>
      </c>
    </row>
    <row r="87" spans="2:3" hidden="1" outlineLevel="1">
      <c r="C87" s="293" t="s">
        <v>1448</v>
      </c>
    </row>
    <row r="88" spans="2:3" hidden="1" outlineLevel="1">
      <c r="C88" s="293" t="s">
        <v>1449</v>
      </c>
    </row>
    <row r="89" spans="2:3" hidden="1" outlineLevel="1">
      <c r="C89" s="293" t="s">
        <v>1450</v>
      </c>
    </row>
    <row r="90" spans="2:3" hidden="1" outlineLevel="1">
      <c r="C90" s="293" t="s">
        <v>1451</v>
      </c>
    </row>
    <row r="91" spans="2:3" hidden="1" outlineLevel="1">
      <c r="C91" s="293" t="s">
        <v>1452</v>
      </c>
    </row>
    <row r="92" spans="2:3" hidden="1" outlineLevel="1">
      <c r="B92" s="293" t="s">
        <v>2004</v>
      </c>
    </row>
    <row r="93" spans="2:3" hidden="1" outlineLevel="1">
      <c r="C93" s="293" t="s">
        <v>1453</v>
      </c>
    </row>
    <row r="94" spans="2:3" hidden="1" outlineLevel="1">
      <c r="C94" s="293" t="s">
        <v>1454</v>
      </c>
    </row>
    <row r="95" spans="2:3" hidden="1" outlineLevel="1">
      <c r="C95" s="293" t="s">
        <v>1455</v>
      </c>
    </row>
    <row r="96" spans="2:3" hidden="1" outlineLevel="1">
      <c r="C96" s="293" t="s">
        <v>1456</v>
      </c>
    </row>
    <row r="97" spans="3:3" hidden="1" outlineLevel="1">
      <c r="C97" s="293" t="s">
        <v>1457</v>
      </c>
    </row>
    <row r="98" spans="3:3" hidden="1" outlineLevel="1">
      <c r="C98" s="293" t="s">
        <v>1458</v>
      </c>
    </row>
    <row r="99" spans="3:3" hidden="1" outlineLevel="1">
      <c r="C99" s="293" t="s">
        <v>1459</v>
      </c>
    </row>
    <row r="100" spans="3:3" hidden="1" outlineLevel="1">
      <c r="C100" s="293" t="s">
        <v>1460</v>
      </c>
    </row>
    <row r="101" spans="3:3" hidden="1" outlineLevel="1">
      <c r="C101" s="293" t="s">
        <v>1461</v>
      </c>
    </row>
    <row r="102" spans="3:3" hidden="1" outlineLevel="1">
      <c r="C102" s="293" t="s">
        <v>1462</v>
      </c>
    </row>
    <row r="103" spans="3:3" hidden="1" outlineLevel="1">
      <c r="C103" s="293" t="s">
        <v>1463</v>
      </c>
    </row>
    <row r="104" spans="3:3" hidden="1" outlineLevel="1">
      <c r="C104" s="293" t="s">
        <v>1464</v>
      </c>
    </row>
    <row r="105" spans="3:3" hidden="1" outlineLevel="1">
      <c r="C105" s="293" t="s">
        <v>1465</v>
      </c>
    </row>
    <row r="106" spans="3:3" hidden="1" outlineLevel="1">
      <c r="C106" s="293" t="s">
        <v>1466</v>
      </c>
    </row>
    <row r="107" spans="3:3" hidden="1" outlineLevel="1">
      <c r="C107" s="293" t="s">
        <v>1467</v>
      </c>
    </row>
    <row r="108" spans="3:3" hidden="1" outlineLevel="1">
      <c r="C108" s="293" t="s">
        <v>1468</v>
      </c>
    </row>
    <row r="109" spans="3:3" hidden="1" outlineLevel="1">
      <c r="C109" s="293" t="s">
        <v>1469</v>
      </c>
    </row>
    <row r="110" spans="3:3" hidden="1" outlineLevel="1">
      <c r="C110" s="293" t="s">
        <v>1470</v>
      </c>
    </row>
    <row r="111" spans="3:3" hidden="1" outlineLevel="1">
      <c r="C111" s="293" t="s">
        <v>1471</v>
      </c>
    </row>
    <row r="112" spans="3:3" hidden="1" outlineLevel="1">
      <c r="C112" s="293" t="s">
        <v>1472</v>
      </c>
    </row>
    <row r="113" spans="3:3" hidden="1" outlineLevel="1">
      <c r="C113" s="293" t="s">
        <v>1473</v>
      </c>
    </row>
    <row r="114" spans="3:3" hidden="1" outlineLevel="1">
      <c r="C114" s="293" t="s">
        <v>1474</v>
      </c>
    </row>
    <row r="115" spans="3:3" hidden="1" outlineLevel="1">
      <c r="C115" s="293" t="s">
        <v>1475</v>
      </c>
    </row>
    <row r="116" spans="3:3" hidden="1" outlineLevel="1">
      <c r="C116" s="293" t="s">
        <v>1476</v>
      </c>
    </row>
    <row r="117" spans="3:3" hidden="1" outlineLevel="1">
      <c r="C117" s="293" t="s">
        <v>1477</v>
      </c>
    </row>
    <row r="118" spans="3:3" hidden="1" outlineLevel="1">
      <c r="C118" s="293" t="s">
        <v>1478</v>
      </c>
    </row>
    <row r="119" spans="3:3" hidden="1" outlineLevel="1">
      <c r="C119" s="293" t="s">
        <v>1479</v>
      </c>
    </row>
    <row r="120" spans="3:3" hidden="1" outlineLevel="1">
      <c r="C120" s="293" t="s">
        <v>1480</v>
      </c>
    </row>
    <row r="121" spans="3:3" hidden="1" outlineLevel="1">
      <c r="C121" s="293" t="s">
        <v>1481</v>
      </c>
    </row>
    <row r="122" spans="3:3" hidden="1" outlineLevel="1">
      <c r="C122" s="293" t="s">
        <v>1482</v>
      </c>
    </row>
    <row r="123" spans="3:3" hidden="1" outlineLevel="1">
      <c r="C123" s="293" t="s">
        <v>1483</v>
      </c>
    </row>
    <row r="124" spans="3:3" hidden="1" outlineLevel="1">
      <c r="C124" s="293" t="s">
        <v>1484</v>
      </c>
    </row>
    <row r="125" spans="3:3" hidden="1" outlineLevel="1">
      <c r="C125" s="293" t="s">
        <v>1485</v>
      </c>
    </row>
    <row r="126" spans="3:3" hidden="1" outlineLevel="1">
      <c r="C126" s="293" t="s">
        <v>1486</v>
      </c>
    </row>
    <row r="127" spans="3:3" hidden="1" outlineLevel="1">
      <c r="C127" s="293" t="s">
        <v>1487</v>
      </c>
    </row>
    <row r="128" spans="3:3" hidden="1" outlineLevel="1">
      <c r="C128" s="293" t="s">
        <v>1488</v>
      </c>
    </row>
    <row r="129" spans="3:3" hidden="1" outlineLevel="1">
      <c r="C129" s="293" t="s">
        <v>1489</v>
      </c>
    </row>
    <row r="130" spans="3:3" hidden="1" outlineLevel="1">
      <c r="C130" s="293" t="s">
        <v>1490</v>
      </c>
    </row>
    <row r="131" spans="3:3" hidden="1" outlineLevel="1">
      <c r="C131" s="293" t="s">
        <v>1491</v>
      </c>
    </row>
    <row r="132" spans="3:3" hidden="1" outlineLevel="1">
      <c r="C132" s="293" t="s">
        <v>1492</v>
      </c>
    </row>
    <row r="133" spans="3:3" hidden="1" outlineLevel="1">
      <c r="C133" s="293" t="s">
        <v>1493</v>
      </c>
    </row>
    <row r="134" spans="3:3" hidden="1" outlineLevel="1">
      <c r="C134" s="293" t="s">
        <v>1494</v>
      </c>
    </row>
    <row r="135" spans="3:3" hidden="1" outlineLevel="1">
      <c r="C135" s="293" t="s">
        <v>1495</v>
      </c>
    </row>
    <row r="136" spans="3:3" hidden="1" outlineLevel="1">
      <c r="C136" s="293" t="s">
        <v>1496</v>
      </c>
    </row>
    <row r="137" spans="3:3" hidden="1" outlineLevel="1">
      <c r="C137" s="293" t="s">
        <v>1497</v>
      </c>
    </row>
    <row r="138" spans="3:3" hidden="1" outlineLevel="1">
      <c r="C138" s="293" t="s">
        <v>1498</v>
      </c>
    </row>
    <row r="139" spans="3:3" hidden="1" outlineLevel="1">
      <c r="C139" s="293" t="s">
        <v>1499</v>
      </c>
    </row>
    <row r="140" spans="3:3" hidden="1" outlineLevel="1">
      <c r="C140" s="293" t="s">
        <v>1500</v>
      </c>
    </row>
    <row r="141" spans="3:3" hidden="1" outlineLevel="1">
      <c r="C141" s="293" t="s">
        <v>1501</v>
      </c>
    </row>
    <row r="142" spans="3:3" hidden="1" outlineLevel="1">
      <c r="C142" s="293" t="s">
        <v>1502</v>
      </c>
    </row>
    <row r="143" spans="3:3" hidden="1" outlineLevel="1">
      <c r="C143" s="293" t="s">
        <v>1503</v>
      </c>
    </row>
    <row r="144" spans="3:3" hidden="1" outlineLevel="1">
      <c r="C144" s="293" t="s">
        <v>1504</v>
      </c>
    </row>
    <row r="145" spans="3:3" hidden="1" outlineLevel="1">
      <c r="C145" s="293" t="s">
        <v>1505</v>
      </c>
    </row>
    <row r="146" spans="3:3" hidden="1" outlineLevel="1">
      <c r="C146" s="293" t="s">
        <v>1506</v>
      </c>
    </row>
    <row r="147" spans="3:3" hidden="1" outlineLevel="1">
      <c r="C147" s="293" t="s">
        <v>1507</v>
      </c>
    </row>
    <row r="148" spans="3:3" hidden="1" outlineLevel="1">
      <c r="C148" s="293" t="s">
        <v>1508</v>
      </c>
    </row>
    <row r="149" spans="3:3" hidden="1" outlineLevel="1">
      <c r="C149" s="293" t="s">
        <v>1509</v>
      </c>
    </row>
    <row r="150" spans="3:3" hidden="1" outlineLevel="1">
      <c r="C150" s="293" t="s">
        <v>1510</v>
      </c>
    </row>
    <row r="151" spans="3:3" hidden="1" outlineLevel="1">
      <c r="C151" s="293" t="s">
        <v>1511</v>
      </c>
    </row>
    <row r="152" spans="3:3" hidden="1" outlineLevel="1">
      <c r="C152" s="293" t="s">
        <v>1512</v>
      </c>
    </row>
    <row r="153" spans="3:3" hidden="1" outlineLevel="1">
      <c r="C153" s="293" t="s">
        <v>1513</v>
      </c>
    </row>
    <row r="154" spans="3:3" hidden="1" outlineLevel="1">
      <c r="C154" s="293" t="s">
        <v>1514</v>
      </c>
    </row>
    <row r="155" spans="3:3" hidden="1" outlineLevel="1">
      <c r="C155" s="293" t="s">
        <v>1515</v>
      </c>
    </row>
    <row r="156" spans="3:3" hidden="1" outlineLevel="1">
      <c r="C156" s="293" t="s">
        <v>1516</v>
      </c>
    </row>
    <row r="157" spans="3:3" hidden="1" outlineLevel="1">
      <c r="C157" s="293" t="s">
        <v>1517</v>
      </c>
    </row>
    <row r="158" spans="3:3" hidden="1" outlineLevel="1">
      <c r="C158" s="293" t="s">
        <v>1518</v>
      </c>
    </row>
    <row r="159" spans="3:3" hidden="1" outlineLevel="1">
      <c r="C159" s="293" t="s">
        <v>1519</v>
      </c>
    </row>
    <row r="160" spans="3:3" hidden="1" outlineLevel="1">
      <c r="C160" s="293" t="s">
        <v>1520</v>
      </c>
    </row>
    <row r="161" spans="3:3" hidden="1" outlineLevel="1">
      <c r="C161" s="293" t="s">
        <v>1521</v>
      </c>
    </row>
    <row r="162" spans="3:3" hidden="1" outlineLevel="1">
      <c r="C162" s="293" t="s">
        <v>1522</v>
      </c>
    </row>
    <row r="163" spans="3:3" hidden="1" outlineLevel="1">
      <c r="C163" s="293" t="s">
        <v>1523</v>
      </c>
    </row>
    <row r="164" spans="3:3" hidden="1" outlineLevel="1">
      <c r="C164" s="293" t="s">
        <v>1524</v>
      </c>
    </row>
    <row r="165" spans="3:3" hidden="1" outlineLevel="1">
      <c r="C165" s="293" t="s">
        <v>1525</v>
      </c>
    </row>
    <row r="166" spans="3:3" hidden="1" outlineLevel="1">
      <c r="C166" s="293" t="s">
        <v>1526</v>
      </c>
    </row>
    <row r="167" spans="3:3" hidden="1" outlineLevel="1">
      <c r="C167" s="293" t="s">
        <v>1527</v>
      </c>
    </row>
    <row r="168" spans="3:3" hidden="1" outlineLevel="1">
      <c r="C168" s="293" t="s">
        <v>1528</v>
      </c>
    </row>
    <row r="169" spans="3:3" hidden="1" outlineLevel="1">
      <c r="C169" s="293" t="s">
        <v>1529</v>
      </c>
    </row>
    <row r="170" spans="3:3" hidden="1" outlineLevel="1">
      <c r="C170" s="293" t="s">
        <v>1530</v>
      </c>
    </row>
    <row r="171" spans="3:3" hidden="1" outlineLevel="1">
      <c r="C171" s="293" t="s">
        <v>1531</v>
      </c>
    </row>
    <row r="172" spans="3:3" hidden="1" outlineLevel="1">
      <c r="C172" s="293" t="s">
        <v>1532</v>
      </c>
    </row>
    <row r="173" spans="3:3" hidden="1" outlineLevel="1">
      <c r="C173" s="293" t="s">
        <v>1533</v>
      </c>
    </row>
    <row r="174" spans="3:3" hidden="1" outlineLevel="1">
      <c r="C174" s="293" t="s">
        <v>1534</v>
      </c>
    </row>
    <row r="175" spans="3:3" hidden="1" outlineLevel="1">
      <c r="C175" s="293" t="s">
        <v>1535</v>
      </c>
    </row>
    <row r="176" spans="3:3" hidden="1" outlineLevel="1">
      <c r="C176" s="293" t="s">
        <v>1536</v>
      </c>
    </row>
    <row r="177" spans="3:3" hidden="1" outlineLevel="1">
      <c r="C177" s="293" t="s">
        <v>1537</v>
      </c>
    </row>
    <row r="178" spans="3:3" hidden="1" outlineLevel="1">
      <c r="C178" s="293" t="s">
        <v>1538</v>
      </c>
    </row>
    <row r="179" spans="3:3" hidden="1" outlineLevel="1">
      <c r="C179" s="293" t="s">
        <v>1539</v>
      </c>
    </row>
    <row r="180" spans="3:3" hidden="1" outlineLevel="1">
      <c r="C180" s="293" t="s">
        <v>1540</v>
      </c>
    </row>
    <row r="181" spans="3:3" hidden="1" outlineLevel="1">
      <c r="C181" s="293" t="s">
        <v>1541</v>
      </c>
    </row>
    <row r="182" spans="3:3" hidden="1" outlineLevel="1">
      <c r="C182" s="293" t="s">
        <v>1542</v>
      </c>
    </row>
    <row r="183" spans="3:3" hidden="1" outlineLevel="1">
      <c r="C183" s="293" t="s">
        <v>1543</v>
      </c>
    </row>
    <row r="184" spans="3:3" hidden="1" outlineLevel="1">
      <c r="C184" s="293" t="s">
        <v>1544</v>
      </c>
    </row>
    <row r="185" spans="3:3" hidden="1" outlineLevel="1">
      <c r="C185" s="293" t="s">
        <v>1545</v>
      </c>
    </row>
    <row r="186" spans="3:3" hidden="1" outlineLevel="1">
      <c r="C186" s="293" t="s">
        <v>1546</v>
      </c>
    </row>
    <row r="187" spans="3:3" hidden="1" outlineLevel="1">
      <c r="C187" s="293" t="s">
        <v>1547</v>
      </c>
    </row>
    <row r="188" spans="3:3" hidden="1" outlineLevel="1">
      <c r="C188" s="293" t="s">
        <v>1548</v>
      </c>
    </row>
    <row r="189" spans="3:3" hidden="1" outlineLevel="1">
      <c r="C189" s="293" t="s">
        <v>1549</v>
      </c>
    </row>
    <row r="190" spans="3:3" hidden="1" outlineLevel="1">
      <c r="C190" s="293" t="s">
        <v>1550</v>
      </c>
    </row>
    <row r="191" spans="3:3" hidden="1" outlineLevel="1">
      <c r="C191" s="293" t="s">
        <v>1551</v>
      </c>
    </row>
    <row r="192" spans="3:3" hidden="1" outlineLevel="1">
      <c r="C192" s="293" t="s">
        <v>1552</v>
      </c>
    </row>
    <row r="193" spans="3:3" hidden="1" outlineLevel="1">
      <c r="C193" s="293" t="s">
        <v>1553</v>
      </c>
    </row>
    <row r="194" spans="3:3" hidden="1" outlineLevel="1">
      <c r="C194" s="293" t="s">
        <v>1554</v>
      </c>
    </row>
    <row r="195" spans="3:3" hidden="1" outlineLevel="1">
      <c r="C195" s="293" t="s">
        <v>1555</v>
      </c>
    </row>
    <row r="196" spans="3:3" hidden="1" outlineLevel="1">
      <c r="C196" s="293" t="s">
        <v>1556</v>
      </c>
    </row>
    <row r="197" spans="3:3" hidden="1" outlineLevel="1">
      <c r="C197" s="293" t="s">
        <v>1557</v>
      </c>
    </row>
    <row r="198" spans="3:3" hidden="1" outlineLevel="1">
      <c r="C198" s="293" t="s">
        <v>1558</v>
      </c>
    </row>
    <row r="199" spans="3:3" hidden="1" outlineLevel="1">
      <c r="C199" s="293" t="s">
        <v>1559</v>
      </c>
    </row>
    <row r="200" spans="3:3" hidden="1" outlineLevel="1">
      <c r="C200" s="293" t="s">
        <v>1560</v>
      </c>
    </row>
    <row r="201" spans="3:3" hidden="1" outlineLevel="1">
      <c r="C201" s="293" t="s">
        <v>1561</v>
      </c>
    </row>
    <row r="202" spans="3:3" hidden="1" outlineLevel="1">
      <c r="C202" s="293" t="s">
        <v>1562</v>
      </c>
    </row>
    <row r="203" spans="3:3" hidden="1" outlineLevel="1">
      <c r="C203" s="293" t="s">
        <v>1563</v>
      </c>
    </row>
    <row r="204" spans="3:3" hidden="1" outlineLevel="1">
      <c r="C204" s="293" t="s">
        <v>1564</v>
      </c>
    </row>
    <row r="205" spans="3:3" hidden="1" outlineLevel="1">
      <c r="C205" s="293" t="s">
        <v>1565</v>
      </c>
    </row>
    <row r="206" spans="3:3" hidden="1" outlineLevel="1">
      <c r="C206" s="293" t="s">
        <v>1566</v>
      </c>
    </row>
    <row r="207" spans="3:3" hidden="1" outlineLevel="1">
      <c r="C207" s="293" t="s">
        <v>1567</v>
      </c>
    </row>
    <row r="208" spans="3:3" hidden="1" outlineLevel="1">
      <c r="C208" s="293" t="s">
        <v>1568</v>
      </c>
    </row>
    <row r="209" spans="3:3" hidden="1" outlineLevel="1">
      <c r="C209" s="293" t="s">
        <v>1569</v>
      </c>
    </row>
    <row r="210" spans="3:3" hidden="1" outlineLevel="1">
      <c r="C210" s="293" t="s">
        <v>1570</v>
      </c>
    </row>
    <row r="211" spans="3:3" hidden="1" outlineLevel="1">
      <c r="C211" s="293" t="s">
        <v>1571</v>
      </c>
    </row>
    <row r="212" spans="3:3" hidden="1" outlineLevel="1">
      <c r="C212" s="293" t="s">
        <v>1572</v>
      </c>
    </row>
    <row r="213" spans="3:3" hidden="1" outlineLevel="1">
      <c r="C213" s="293" t="s">
        <v>1573</v>
      </c>
    </row>
    <row r="214" spans="3:3" hidden="1" outlineLevel="1">
      <c r="C214" s="293" t="s">
        <v>1574</v>
      </c>
    </row>
    <row r="215" spans="3:3" hidden="1" outlineLevel="1">
      <c r="C215" s="293" t="s">
        <v>1575</v>
      </c>
    </row>
    <row r="216" spans="3:3" hidden="1" outlineLevel="1">
      <c r="C216" s="293" t="s">
        <v>1576</v>
      </c>
    </row>
    <row r="217" spans="3:3" hidden="1" outlineLevel="1">
      <c r="C217" s="293" t="s">
        <v>1577</v>
      </c>
    </row>
    <row r="218" spans="3:3" hidden="1" outlineLevel="1">
      <c r="C218" s="293" t="s">
        <v>1578</v>
      </c>
    </row>
    <row r="219" spans="3:3" hidden="1" outlineLevel="1">
      <c r="C219" s="293" t="s">
        <v>1579</v>
      </c>
    </row>
    <row r="220" spans="3:3" hidden="1" outlineLevel="1">
      <c r="C220" s="293" t="s">
        <v>1580</v>
      </c>
    </row>
    <row r="221" spans="3:3" hidden="1" outlineLevel="1">
      <c r="C221" s="293" t="s">
        <v>1581</v>
      </c>
    </row>
    <row r="222" spans="3:3" hidden="1" outlineLevel="1">
      <c r="C222" s="293" t="s">
        <v>1582</v>
      </c>
    </row>
    <row r="223" spans="3:3" hidden="1" outlineLevel="1">
      <c r="C223" s="293" t="s">
        <v>1583</v>
      </c>
    </row>
    <row r="224" spans="3:3" hidden="1" outlineLevel="1">
      <c r="C224" s="293" t="s">
        <v>1584</v>
      </c>
    </row>
    <row r="225" spans="3:3" hidden="1" outlineLevel="1">
      <c r="C225" s="293" t="s">
        <v>1585</v>
      </c>
    </row>
    <row r="226" spans="3:3" hidden="1" outlineLevel="1">
      <c r="C226" s="293" t="s">
        <v>1586</v>
      </c>
    </row>
    <row r="227" spans="3:3" hidden="1" outlineLevel="1">
      <c r="C227" s="293" t="s">
        <v>1587</v>
      </c>
    </row>
    <row r="228" spans="3:3" hidden="1" outlineLevel="1">
      <c r="C228" s="293" t="s">
        <v>1588</v>
      </c>
    </row>
    <row r="229" spans="3:3" hidden="1" outlineLevel="1">
      <c r="C229" s="293" t="s">
        <v>1589</v>
      </c>
    </row>
    <row r="230" spans="3:3" hidden="1" outlineLevel="1">
      <c r="C230" s="293" t="s">
        <v>1590</v>
      </c>
    </row>
    <row r="231" spans="3:3" hidden="1" outlineLevel="1">
      <c r="C231" s="293" t="s">
        <v>1591</v>
      </c>
    </row>
    <row r="232" spans="3:3" hidden="1" outlineLevel="1">
      <c r="C232" s="293" t="s">
        <v>1592</v>
      </c>
    </row>
    <row r="233" spans="3:3" hidden="1" outlineLevel="1">
      <c r="C233" s="293" t="s">
        <v>1593</v>
      </c>
    </row>
    <row r="234" spans="3:3" hidden="1" outlineLevel="1">
      <c r="C234" s="293" t="s">
        <v>1594</v>
      </c>
    </row>
    <row r="235" spans="3:3" hidden="1" outlineLevel="1">
      <c r="C235" s="293" t="s">
        <v>1595</v>
      </c>
    </row>
    <row r="236" spans="3:3" hidden="1" outlineLevel="1">
      <c r="C236" s="293" t="s">
        <v>1596</v>
      </c>
    </row>
    <row r="237" spans="3:3" hidden="1" outlineLevel="1">
      <c r="C237" s="293" t="s">
        <v>1597</v>
      </c>
    </row>
    <row r="238" spans="3:3" hidden="1" outlineLevel="1">
      <c r="C238" s="293" t="s">
        <v>1598</v>
      </c>
    </row>
    <row r="239" spans="3:3" hidden="1" outlineLevel="1">
      <c r="C239" s="293" t="s">
        <v>1599</v>
      </c>
    </row>
    <row r="240" spans="3:3" hidden="1" outlineLevel="1">
      <c r="C240" s="293" t="s">
        <v>1600</v>
      </c>
    </row>
    <row r="241" spans="3:3" hidden="1" outlineLevel="1">
      <c r="C241" s="293" t="s">
        <v>1601</v>
      </c>
    </row>
    <row r="242" spans="3:3" hidden="1" outlineLevel="1">
      <c r="C242" s="293" t="s">
        <v>1602</v>
      </c>
    </row>
    <row r="243" spans="3:3" hidden="1" outlineLevel="1">
      <c r="C243" s="293" t="s">
        <v>1603</v>
      </c>
    </row>
    <row r="244" spans="3:3" hidden="1" outlineLevel="1">
      <c r="C244" s="293" t="s">
        <v>1604</v>
      </c>
    </row>
    <row r="245" spans="3:3" hidden="1" outlineLevel="1">
      <c r="C245" s="293" t="s">
        <v>1605</v>
      </c>
    </row>
    <row r="246" spans="3:3" hidden="1" outlineLevel="1">
      <c r="C246" s="293" t="s">
        <v>1606</v>
      </c>
    </row>
    <row r="247" spans="3:3" hidden="1" outlineLevel="1">
      <c r="C247" s="293" t="s">
        <v>1607</v>
      </c>
    </row>
    <row r="248" spans="3:3" hidden="1" outlineLevel="1">
      <c r="C248" s="293" t="s">
        <v>1608</v>
      </c>
    </row>
    <row r="249" spans="3:3" hidden="1" outlineLevel="1">
      <c r="C249" s="293" t="s">
        <v>1609</v>
      </c>
    </row>
    <row r="250" spans="3:3" hidden="1" outlineLevel="1">
      <c r="C250" s="293" t="s">
        <v>1610</v>
      </c>
    </row>
    <row r="251" spans="3:3" hidden="1" outlineLevel="1">
      <c r="C251" s="293" t="s">
        <v>1611</v>
      </c>
    </row>
    <row r="252" spans="3:3" hidden="1" outlineLevel="1">
      <c r="C252" s="293" t="s">
        <v>1612</v>
      </c>
    </row>
    <row r="253" spans="3:3" hidden="1" outlineLevel="1">
      <c r="C253" s="293" t="s">
        <v>1613</v>
      </c>
    </row>
    <row r="254" spans="3:3" hidden="1" outlineLevel="1">
      <c r="C254" s="293" t="s">
        <v>1614</v>
      </c>
    </row>
    <row r="255" spans="3:3" hidden="1" outlineLevel="1">
      <c r="C255" s="293" t="s">
        <v>1615</v>
      </c>
    </row>
    <row r="256" spans="3:3" hidden="1" outlineLevel="1">
      <c r="C256" s="293" t="s">
        <v>1616</v>
      </c>
    </row>
    <row r="257" spans="3:3" hidden="1" outlineLevel="1">
      <c r="C257" s="293" t="s">
        <v>1617</v>
      </c>
    </row>
    <row r="258" spans="3:3" hidden="1" outlineLevel="1">
      <c r="C258" s="293" t="s">
        <v>1618</v>
      </c>
    </row>
    <row r="259" spans="3:3" hidden="1" outlineLevel="1">
      <c r="C259" s="293" t="s">
        <v>1619</v>
      </c>
    </row>
    <row r="260" spans="3:3" hidden="1" outlineLevel="1">
      <c r="C260" s="293" t="s">
        <v>1620</v>
      </c>
    </row>
    <row r="261" spans="3:3" hidden="1" outlineLevel="1">
      <c r="C261" s="293" t="s">
        <v>1621</v>
      </c>
    </row>
    <row r="262" spans="3:3" hidden="1" outlineLevel="1">
      <c r="C262" s="293" t="s">
        <v>1622</v>
      </c>
    </row>
    <row r="263" spans="3:3" hidden="1" outlineLevel="1">
      <c r="C263" s="293" t="s">
        <v>1623</v>
      </c>
    </row>
    <row r="264" spans="3:3" hidden="1" outlineLevel="1">
      <c r="C264" s="293" t="s">
        <v>1624</v>
      </c>
    </row>
    <row r="265" spans="3:3" hidden="1" outlineLevel="1">
      <c r="C265" s="293" t="s">
        <v>1625</v>
      </c>
    </row>
    <row r="266" spans="3:3" hidden="1" outlineLevel="1">
      <c r="C266" s="293" t="s">
        <v>1626</v>
      </c>
    </row>
    <row r="267" spans="3:3" hidden="1" outlineLevel="1">
      <c r="C267" s="293" t="s">
        <v>1627</v>
      </c>
    </row>
    <row r="268" spans="3:3" hidden="1" outlineLevel="1">
      <c r="C268" s="293" t="s">
        <v>1628</v>
      </c>
    </row>
    <row r="269" spans="3:3" hidden="1" outlineLevel="1">
      <c r="C269" s="293" t="s">
        <v>1629</v>
      </c>
    </row>
    <row r="270" spans="3:3" hidden="1" outlineLevel="1">
      <c r="C270" s="293" t="s">
        <v>1630</v>
      </c>
    </row>
    <row r="271" spans="3:3" hidden="1" outlineLevel="1">
      <c r="C271" s="293" t="s">
        <v>1631</v>
      </c>
    </row>
    <row r="272" spans="3:3" hidden="1" outlineLevel="1">
      <c r="C272" s="293" t="s">
        <v>1632</v>
      </c>
    </row>
    <row r="273" spans="3:3" hidden="1" outlineLevel="1">
      <c r="C273" s="293" t="s">
        <v>1633</v>
      </c>
    </row>
    <row r="274" spans="3:3" hidden="1" outlineLevel="1">
      <c r="C274" s="293" t="s">
        <v>1634</v>
      </c>
    </row>
    <row r="275" spans="3:3" hidden="1" outlineLevel="1">
      <c r="C275" s="293" t="s">
        <v>1635</v>
      </c>
    </row>
    <row r="276" spans="3:3" hidden="1" outlineLevel="1">
      <c r="C276" s="293" t="s">
        <v>1636</v>
      </c>
    </row>
    <row r="277" spans="3:3" hidden="1" outlineLevel="1">
      <c r="C277" s="293" t="s">
        <v>1637</v>
      </c>
    </row>
    <row r="278" spans="3:3" hidden="1" outlineLevel="1">
      <c r="C278" s="293" t="s">
        <v>1638</v>
      </c>
    </row>
    <row r="279" spans="3:3" hidden="1" outlineLevel="1">
      <c r="C279" s="293" t="s">
        <v>1639</v>
      </c>
    </row>
    <row r="280" spans="3:3" hidden="1" outlineLevel="1">
      <c r="C280" s="293" t="s">
        <v>1640</v>
      </c>
    </row>
    <row r="281" spans="3:3" hidden="1" outlineLevel="1">
      <c r="C281" s="293" t="s">
        <v>1641</v>
      </c>
    </row>
    <row r="282" spans="3:3" hidden="1" outlineLevel="1">
      <c r="C282" s="293" t="s">
        <v>1642</v>
      </c>
    </row>
    <row r="283" spans="3:3" hidden="1" outlineLevel="1">
      <c r="C283" s="293" t="s">
        <v>1643</v>
      </c>
    </row>
    <row r="284" spans="3:3" hidden="1" outlineLevel="1">
      <c r="C284" s="293" t="s">
        <v>1644</v>
      </c>
    </row>
    <row r="285" spans="3:3" hidden="1" outlineLevel="1">
      <c r="C285" s="293" t="s">
        <v>1645</v>
      </c>
    </row>
    <row r="286" spans="3:3" hidden="1" outlineLevel="1">
      <c r="C286" s="293" t="s">
        <v>1646</v>
      </c>
    </row>
    <row r="287" spans="3:3" hidden="1" outlineLevel="1">
      <c r="C287" s="293" t="s">
        <v>1647</v>
      </c>
    </row>
    <row r="288" spans="3:3" hidden="1" outlineLevel="1">
      <c r="C288" s="293" t="s">
        <v>1648</v>
      </c>
    </row>
    <row r="289" spans="3:3" hidden="1" outlineLevel="1"/>
    <row r="290" spans="3:3" hidden="1" outlineLevel="1">
      <c r="C290" s="293" t="s">
        <v>1649</v>
      </c>
    </row>
    <row r="291" spans="3:3" hidden="1" outlineLevel="1">
      <c r="C291" s="293" t="s">
        <v>1650</v>
      </c>
    </row>
    <row r="292" spans="3:3" hidden="1" outlineLevel="1">
      <c r="C292" s="293" t="s">
        <v>1651</v>
      </c>
    </row>
    <row r="293" spans="3:3" hidden="1" outlineLevel="1">
      <c r="C293" s="293" t="s">
        <v>1652</v>
      </c>
    </row>
    <row r="294" spans="3:3" hidden="1" outlineLevel="1">
      <c r="C294" s="293" t="s">
        <v>1653</v>
      </c>
    </row>
    <row r="295" spans="3:3" hidden="1" outlineLevel="1">
      <c r="C295" s="293" t="s">
        <v>1654</v>
      </c>
    </row>
    <row r="296" spans="3:3" hidden="1" outlineLevel="1">
      <c r="C296" s="293" t="s">
        <v>1655</v>
      </c>
    </row>
    <row r="297" spans="3:3" hidden="1" outlineLevel="1">
      <c r="C297" s="293" t="s">
        <v>1656</v>
      </c>
    </row>
    <row r="298" spans="3:3" hidden="1" outlineLevel="1">
      <c r="C298" s="293" t="s">
        <v>1657</v>
      </c>
    </row>
    <row r="299" spans="3:3" hidden="1" outlineLevel="1">
      <c r="C299" s="293" t="s">
        <v>1658</v>
      </c>
    </row>
    <row r="300" spans="3:3" hidden="1" outlineLevel="1">
      <c r="C300" s="293" t="s">
        <v>1659</v>
      </c>
    </row>
    <row r="301" spans="3:3" hidden="1" outlineLevel="1">
      <c r="C301" s="293" t="s">
        <v>1660</v>
      </c>
    </row>
    <row r="302" spans="3:3" hidden="1" outlineLevel="1">
      <c r="C302" s="293" t="s">
        <v>1661</v>
      </c>
    </row>
    <row r="303" spans="3:3" hidden="1" outlineLevel="1">
      <c r="C303" s="293" t="s">
        <v>1662</v>
      </c>
    </row>
    <row r="304" spans="3:3" hidden="1" outlineLevel="1">
      <c r="C304" s="293" t="s">
        <v>1663</v>
      </c>
    </row>
    <row r="305" spans="3:3" hidden="1" outlineLevel="1">
      <c r="C305" s="293" t="s">
        <v>1664</v>
      </c>
    </row>
    <row r="306" spans="3:3" hidden="1" outlineLevel="1">
      <c r="C306" s="293" t="s">
        <v>1665</v>
      </c>
    </row>
    <row r="307" spans="3:3" hidden="1" outlineLevel="1">
      <c r="C307" s="293" t="s">
        <v>1666</v>
      </c>
    </row>
    <row r="308" spans="3:3" hidden="1" outlineLevel="1">
      <c r="C308" s="293" t="s">
        <v>1667</v>
      </c>
    </row>
    <row r="309" spans="3:3" hidden="1" outlineLevel="1">
      <c r="C309" s="293" t="s">
        <v>1668</v>
      </c>
    </row>
    <row r="310" spans="3:3" hidden="1" outlineLevel="1">
      <c r="C310" s="293" t="s">
        <v>1669</v>
      </c>
    </row>
    <row r="311" spans="3:3" hidden="1" outlineLevel="1">
      <c r="C311" s="293" t="s">
        <v>1670</v>
      </c>
    </row>
    <row r="312" spans="3:3" hidden="1" outlineLevel="1">
      <c r="C312" s="293" t="s">
        <v>1671</v>
      </c>
    </row>
    <row r="313" spans="3:3" hidden="1" outlineLevel="1">
      <c r="C313" s="293" t="s">
        <v>1672</v>
      </c>
    </row>
    <row r="314" spans="3:3" hidden="1" outlineLevel="1">
      <c r="C314" s="293" t="s">
        <v>1673</v>
      </c>
    </row>
    <row r="315" spans="3:3" hidden="1" outlineLevel="1">
      <c r="C315" s="293" t="s">
        <v>1674</v>
      </c>
    </row>
    <row r="316" spans="3:3" hidden="1" outlineLevel="1">
      <c r="C316" s="293" t="s">
        <v>1675</v>
      </c>
    </row>
    <row r="317" spans="3:3" hidden="1" outlineLevel="1">
      <c r="C317" s="293" t="s">
        <v>1676</v>
      </c>
    </row>
    <row r="318" spans="3:3" hidden="1" outlineLevel="1">
      <c r="C318" s="293" t="s">
        <v>1677</v>
      </c>
    </row>
    <row r="319" spans="3:3" hidden="1" outlineLevel="1">
      <c r="C319" s="293" t="s">
        <v>1678</v>
      </c>
    </row>
    <row r="320" spans="3:3" hidden="1" outlineLevel="1">
      <c r="C320" s="293" t="s">
        <v>1679</v>
      </c>
    </row>
    <row r="321" spans="3:3" hidden="1" outlineLevel="1">
      <c r="C321" s="293" t="s">
        <v>1680</v>
      </c>
    </row>
    <row r="322" spans="3:3" hidden="1" outlineLevel="1">
      <c r="C322" s="293" t="s">
        <v>1681</v>
      </c>
    </row>
    <row r="323" spans="3:3" hidden="1" outlineLevel="1">
      <c r="C323" s="293" t="s">
        <v>1682</v>
      </c>
    </row>
    <row r="324" spans="3:3" hidden="1" outlineLevel="1"/>
    <row r="325" spans="3:3" collapsed="1">
      <c r="C325" s="293" t="s">
        <v>758</v>
      </c>
    </row>
    <row r="326" spans="3:3">
      <c r="C326" s="293" t="s">
        <v>1116</v>
      </c>
    </row>
    <row r="327" spans="3:3">
      <c r="C327" s="293" t="s">
        <v>758</v>
      </c>
    </row>
    <row r="328" spans="3:3">
      <c r="C328" s="293" t="s">
        <v>1683</v>
      </c>
    </row>
    <row r="329" spans="3:3">
      <c r="C329" s="293" t="s">
        <v>1684</v>
      </c>
    </row>
    <row r="330" spans="3:3">
      <c r="C330" s="293" t="s">
        <v>1685</v>
      </c>
    </row>
    <row r="331" spans="3:3">
      <c r="C331" s="293" t="s">
        <v>1686</v>
      </c>
    </row>
    <row r="332" spans="3:3">
      <c r="C332" s="293" t="s">
        <v>1687</v>
      </c>
    </row>
    <row r="333" spans="3:3">
      <c r="C333" s="293" t="s">
        <v>1688</v>
      </c>
    </row>
    <row r="334" spans="3:3">
      <c r="C334" s="293" t="s">
        <v>1689</v>
      </c>
    </row>
    <row r="335" spans="3:3">
      <c r="C335" s="293" t="s">
        <v>1690</v>
      </c>
    </row>
    <row r="336" spans="3:3">
      <c r="C336" s="293" t="s">
        <v>1691</v>
      </c>
    </row>
    <row r="337" spans="3:3">
      <c r="C337" s="293" t="s">
        <v>1692</v>
      </c>
    </row>
    <row r="338" spans="3:3">
      <c r="C338" s="293" t="s">
        <v>1693</v>
      </c>
    </row>
    <row r="339" spans="3:3">
      <c r="C339" s="293" t="s">
        <v>1694</v>
      </c>
    </row>
    <row r="340" spans="3:3">
      <c r="C340" s="293" t="s">
        <v>1695</v>
      </c>
    </row>
    <row r="341" spans="3:3">
      <c r="C341" s="293" t="s">
        <v>1696</v>
      </c>
    </row>
    <row r="342" spans="3:3">
      <c r="C342" s="293" t="s">
        <v>1697</v>
      </c>
    </row>
    <row r="344" spans="3:3">
      <c r="C344" s="293" t="s">
        <v>1698</v>
      </c>
    </row>
    <row r="345" spans="3:3">
      <c r="C345" s="293" t="s">
        <v>1699</v>
      </c>
    </row>
    <row r="346" spans="3:3">
      <c r="C346" s="293" t="s">
        <v>1700</v>
      </c>
    </row>
    <row r="347" spans="3:3">
      <c r="C347" s="293" t="s">
        <v>1701</v>
      </c>
    </row>
    <row r="348" spans="3:3">
      <c r="C348" s="293" t="s">
        <v>1702</v>
      </c>
    </row>
    <row r="349" spans="3:3">
      <c r="C349" s="293" t="s">
        <v>1703</v>
      </c>
    </row>
    <row r="350" spans="3:3">
      <c r="C350" s="293" t="s">
        <v>1704</v>
      </c>
    </row>
    <row r="351" spans="3:3">
      <c r="C351" s="293" t="s">
        <v>1705</v>
      </c>
    </row>
    <row r="352" spans="3:3">
      <c r="C352" s="293" t="s">
        <v>1706</v>
      </c>
    </row>
    <row r="353" spans="2:3">
      <c r="C353" s="293" t="s">
        <v>1707</v>
      </c>
    </row>
    <row r="354" spans="2:3">
      <c r="C354" s="293" t="s">
        <v>1708</v>
      </c>
    </row>
    <row r="356" spans="2:3">
      <c r="C356" s="293" t="s">
        <v>1709</v>
      </c>
    </row>
    <row r="357" spans="2:3">
      <c r="C357" s="293" t="s">
        <v>1710</v>
      </c>
    </row>
    <row r="358" spans="2:3">
      <c r="C358" s="293" t="s">
        <v>1711</v>
      </c>
    </row>
    <row r="359" spans="2:3">
      <c r="C359" s="293" t="s">
        <v>1712</v>
      </c>
    </row>
    <row r="360" spans="2:3">
      <c r="C360" s="293" t="s">
        <v>1713</v>
      </c>
    </row>
    <row r="361" spans="2:3">
      <c r="B361" s="296" t="s">
        <v>2005</v>
      </c>
      <c r="C361" s="294" t="s">
        <v>1996</v>
      </c>
    </row>
    <row r="362" spans="2:3">
      <c r="B362" s="296" t="s">
        <v>1995</v>
      </c>
      <c r="C362" s="294" t="s">
        <v>1714</v>
      </c>
    </row>
    <row r="363" spans="2:3">
      <c r="C363" s="293" t="s">
        <v>1715</v>
      </c>
    </row>
    <row r="365" spans="2:3" hidden="1" outlineLevel="1">
      <c r="C365" s="293" t="s">
        <v>758</v>
      </c>
    </row>
    <row r="366" spans="2:3" hidden="1" outlineLevel="1">
      <c r="C366" s="293" t="s">
        <v>1117</v>
      </c>
    </row>
    <row r="367" spans="2:3" hidden="1" outlineLevel="1">
      <c r="C367" s="293" t="s">
        <v>758</v>
      </c>
    </row>
    <row r="368" spans="2:3" hidden="1" outlineLevel="1">
      <c r="C368" s="293" t="s">
        <v>758</v>
      </c>
    </row>
    <row r="369" spans="3:3" hidden="1" outlineLevel="1">
      <c r="C369" s="293" t="s">
        <v>1716</v>
      </c>
    </row>
    <row r="370" spans="3:3" hidden="1" outlineLevel="1">
      <c r="C370" s="293" t="s">
        <v>758</v>
      </c>
    </row>
    <row r="371" spans="3:3" hidden="1" outlineLevel="1">
      <c r="C371" s="293" t="s">
        <v>758</v>
      </c>
    </row>
    <row r="372" spans="3:3" hidden="1" outlineLevel="1">
      <c r="C372" s="293" t="s">
        <v>1717</v>
      </c>
    </row>
    <row r="373" spans="3:3" hidden="1" outlineLevel="1">
      <c r="C373" s="293" t="s">
        <v>758</v>
      </c>
    </row>
    <row r="374" spans="3:3" hidden="1" outlineLevel="1">
      <c r="C374" s="293" t="s">
        <v>1718</v>
      </c>
    </row>
    <row r="375" spans="3:3" hidden="1" outlineLevel="1">
      <c r="C375" s="293" t="s">
        <v>1719</v>
      </c>
    </row>
    <row r="376" spans="3:3" hidden="1" outlineLevel="1">
      <c r="C376" s="293" t="s">
        <v>1720</v>
      </c>
    </row>
    <row r="377" spans="3:3" hidden="1" outlineLevel="1">
      <c r="C377" s="293" t="s">
        <v>1721</v>
      </c>
    </row>
    <row r="378" spans="3:3" hidden="1" outlineLevel="1">
      <c r="C378" s="293" t="s">
        <v>1722</v>
      </c>
    </row>
    <row r="379" spans="3:3" hidden="1" outlineLevel="1">
      <c r="C379" s="293" t="s">
        <v>1723</v>
      </c>
    </row>
    <row r="380" spans="3:3" hidden="1" outlineLevel="1">
      <c r="C380" s="293" t="s">
        <v>1724</v>
      </c>
    </row>
    <row r="381" spans="3:3" hidden="1" outlineLevel="1">
      <c r="C381" s="293" t="s">
        <v>1725</v>
      </c>
    </row>
    <row r="382" spans="3:3" hidden="1" outlineLevel="1">
      <c r="C382" s="293" t="s">
        <v>1726</v>
      </c>
    </row>
    <row r="383" spans="3:3" hidden="1" outlineLevel="1">
      <c r="C383" s="293" t="s">
        <v>1727</v>
      </c>
    </row>
    <row r="384" spans="3:3" hidden="1" outlineLevel="1">
      <c r="C384" s="293" t="s">
        <v>1728</v>
      </c>
    </row>
    <row r="385" spans="3:3" hidden="1" outlineLevel="1">
      <c r="C385" s="293" t="s">
        <v>1729</v>
      </c>
    </row>
    <row r="386" spans="3:3" hidden="1" outlineLevel="1">
      <c r="C386" s="293" t="s">
        <v>1730</v>
      </c>
    </row>
    <row r="387" spans="3:3" hidden="1" outlineLevel="1">
      <c r="C387" s="293" t="s">
        <v>1731</v>
      </c>
    </row>
    <row r="388" spans="3:3" hidden="1" outlineLevel="1">
      <c r="C388" s="293" t="s">
        <v>1732</v>
      </c>
    </row>
    <row r="389" spans="3:3" hidden="1" outlineLevel="1">
      <c r="C389" s="293" t="s">
        <v>1733</v>
      </c>
    </row>
    <row r="390" spans="3:3" hidden="1" outlineLevel="1">
      <c r="C390" s="293" t="s">
        <v>1734</v>
      </c>
    </row>
    <row r="391" spans="3:3" hidden="1" outlineLevel="1">
      <c r="C391" s="293" t="s">
        <v>1735</v>
      </c>
    </row>
    <row r="392" spans="3:3" hidden="1" outlineLevel="1">
      <c r="C392" s="293" t="s">
        <v>1736</v>
      </c>
    </row>
    <row r="393" spans="3:3" hidden="1" outlineLevel="1">
      <c r="C393" s="293" t="s">
        <v>1737</v>
      </c>
    </row>
    <row r="394" spans="3:3" hidden="1" outlineLevel="1">
      <c r="C394" s="293" t="s">
        <v>1738</v>
      </c>
    </row>
    <row r="395" spans="3:3" hidden="1" outlineLevel="1">
      <c r="C395" s="293" t="s">
        <v>1739</v>
      </c>
    </row>
    <row r="396" spans="3:3" hidden="1" outlineLevel="1">
      <c r="C396" s="293" t="s">
        <v>1740</v>
      </c>
    </row>
    <row r="397" spans="3:3" hidden="1" outlineLevel="1">
      <c r="C397" s="293" t="s">
        <v>1741</v>
      </c>
    </row>
    <row r="398" spans="3:3" hidden="1" outlineLevel="1">
      <c r="C398" s="293" t="s">
        <v>1742</v>
      </c>
    </row>
    <row r="399" spans="3:3" hidden="1" outlineLevel="1">
      <c r="C399" s="293" t="s">
        <v>1743</v>
      </c>
    </row>
    <row r="400" spans="3:3" hidden="1" outlineLevel="1">
      <c r="C400" s="293" t="s">
        <v>1744</v>
      </c>
    </row>
    <row r="401" spans="3:3" hidden="1" outlineLevel="1">
      <c r="C401" s="293" t="s">
        <v>1745</v>
      </c>
    </row>
    <row r="402" spans="3:3" hidden="1" outlineLevel="1">
      <c r="C402" s="293" t="s">
        <v>1746</v>
      </c>
    </row>
    <row r="403" spans="3:3" hidden="1" outlineLevel="1">
      <c r="C403" s="293" t="s">
        <v>1747</v>
      </c>
    </row>
    <row r="404" spans="3:3" hidden="1" outlineLevel="1">
      <c r="C404" s="293" t="s">
        <v>1748</v>
      </c>
    </row>
    <row r="405" spans="3:3" hidden="1" outlineLevel="1">
      <c r="C405" s="293" t="s">
        <v>1749</v>
      </c>
    </row>
    <row r="406" spans="3:3" hidden="1" outlineLevel="1">
      <c r="C406" s="293" t="s">
        <v>1750</v>
      </c>
    </row>
    <row r="407" spans="3:3" hidden="1" outlineLevel="1">
      <c r="C407" s="293" t="s">
        <v>1751</v>
      </c>
    </row>
    <row r="408" spans="3:3" hidden="1" outlineLevel="1">
      <c r="C408" s="293" t="s">
        <v>1752</v>
      </c>
    </row>
    <row r="409" spans="3:3" hidden="1" outlineLevel="1">
      <c r="C409" s="293" t="s">
        <v>1753</v>
      </c>
    </row>
    <row r="410" spans="3:3" hidden="1" outlineLevel="1">
      <c r="C410" s="293" t="s">
        <v>1754</v>
      </c>
    </row>
    <row r="411" spans="3:3" hidden="1" outlineLevel="1">
      <c r="C411" s="293" t="s">
        <v>1755</v>
      </c>
    </row>
    <row r="412" spans="3:3" hidden="1" outlineLevel="1">
      <c r="C412" s="293" t="s">
        <v>1756</v>
      </c>
    </row>
    <row r="413" spans="3:3" hidden="1" outlineLevel="1">
      <c r="C413" s="293" t="s">
        <v>1757</v>
      </c>
    </row>
    <row r="414" spans="3:3" hidden="1" outlineLevel="1">
      <c r="C414" s="293" t="s">
        <v>1758</v>
      </c>
    </row>
    <row r="415" spans="3:3" hidden="1" outlineLevel="1">
      <c r="C415" s="293" t="s">
        <v>1759</v>
      </c>
    </row>
    <row r="416" spans="3:3" hidden="1" outlineLevel="1">
      <c r="C416" s="293" t="s">
        <v>1760</v>
      </c>
    </row>
    <row r="417" spans="3:3" hidden="1" outlineLevel="1">
      <c r="C417" s="293" t="s">
        <v>1761</v>
      </c>
    </row>
    <row r="418" spans="3:3" hidden="1" outlineLevel="1">
      <c r="C418" s="293" t="s">
        <v>1762</v>
      </c>
    </row>
    <row r="419" spans="3:3" hidden="1" outlineLevel="1">
      <c r="C419" s="293" t="s">
        <v>1763</v>
      </c>
    </row>
    <row r="420" spans="3:3" hidden="1" outlineLevel="1">
      <c r="C420" s="293" t="s">
        <v>1764</v>
      </c>
    </row>
    <row r="421" spans="3:3" hidden="1" outlineLevel="1">
      <c r="C421" s="293" t="s">
        <v>1765</v>
      </c>
    </row>
    <row r="422" spans="3:3" hidden="1" outlineLevel="1"/>
    <row r="423" spans="3:3" hidden="1" outlineLevel="1">
      <c r="C423" s="293" t="s">
        <v>758</v>
      </c>
    </row>
    <row r="424" spans="3:3" hidden="1" outlineLevel="1">
      <c r="C424" s="293" t="s">
        <v>1766</v>
      </c>
    </row>
    <row r="425" spans="3:3" hidden="1" outlineLevel="1"/>
    <row r="426" spans="3:3" hidden="1" outlineLevel="1">
      <c r="C426" s="293" t="s">
        <v>1767</v>
      </c>
    </row>
    <row r="427" spans="3:3" hidden="1" outlineLevel="1">
      <c r="C427" s="293" t="s">
        <v>1768</v>
      </c>
    </row>
    <row r="428" spans="3:3" hidden="1" outlineLevel="1">
      <c r="C428" s="293" t="s">
        <v>1769</v>
      </c>
    </row>
    <row r="429" spans="3:3" hidden="1" outlineLevel="1">
      <c r="C429" s="293" t="s">
        <v>1770</v>
      </c>
    </row>
    <row r="430" spans="3:3" hidden="1" outlineLevel="1">
      <c r="C430" s="293" t="s">
        <v>1771</v>
      </c>
    </row>
    <row r="431" spans="3:3" hidden="1" outlineLevel="1">
      <c r="C431" s="293" t="s">
        <v>1772</v>
      </c>
    </row>
    <row r="432" spans="3:3" hidden="1" outlineLevel="1">
      <c r="C432" s="293" t="s">
        <v>1773</v>
      </c>
    </row>
    <row r="433" spans="3:3" hidden="1" outlineLevel="1">
      <c r="C433" s="293" t="s">
        <v>1774</v>
      </c>
    </row>
    <row r="434" spans="3:3" hidden="1" outlineLevel="1">
      <c r="C434" s="293" t="s">
        <v>1775</v>
      </c>
    </row>
    <row r="435" spans="3:3" hidden="1" outlineLevel="1">
      <c r="C435" s="293" t="s">
        <v>1776</v>
      </c>
    </row>
    <row r="436" spans="3:3" hidden="1" outlineLevel="1">
      <c r="C436" s="293" t="s">
        <v>1777</v>
      </c>
    </row>
    <row r="437" spans="3:3" hidden="1" outlineLevel="1">
      <c r="C437" s="293" t="s">
        <v>1778</v>
      </c>
    </row>
    <row r="438" spans="3:3" hidden="1" outlineLevel="1"/>
    <row r="439" spans="3:3" hidden="1" outlineLevel="1">
      <c r="C439" s="293" t="s">
        <v>1779</v>
      </c>
    </row>
    <row r="440" spans="3:3" hidden="1" outlineLevel="1">
      <c r="C440" s="293" t="s">
        <v>1780</v>
      </c>
    </row>
    <row r="441" spans="3:3" hidden="1" outlineLevel="1">
      <c r="C441" s="293" t="s">
        <v>1781</v>
      </c>
    </row>
    <row r="442" spans="3:3" hidden="1" outlineLevel="1">
      <c r="C442" s="293" t="s">
        <v>1782</v>
      </c>
    </row>
    <row r="443" spans="3:3" hidden="1" outlineLevel="1">
      <c r="C443" s="293" t="s">
        <v>1783</v>
      </c>
    </row>
    <row r="444" spans="3:3" hidden="1" outlineLevel="1">
      <c r="C444" s="293" t="s">
        <v>1784</v>
      </c>
    </row>
    <row r="445" spans="3:3" hidden="1" outlineLevel="1">
      <c r="C445" s="293" t="s">
        <v>1785</v>
      </c>
    </row>
    <row r="446" spans="3:3" hidden="1" outlineLevel="1">
      <c r="C446" s="293" t="s">
        <v>1786</v>
      </c>
    </row>
    <row r="447" spans="3:3" hidden="1" outlineLevel="1"/>
    <row r="448" spans="3:3" hidden="1" outlineLevel="1">
      <c r="C448" s="293" t="s">
        <v>1787</v>
      </c>
    </row>
    <row r="449" spans="3:3" hidden="1" outlineLevel="1">
      <c r="C449" s="293" t="s">
        <v>1788</v>
      </c>
    </row>
    <row r="450" spans="3:3" hidden="1" outlineLevel="1">
      <c r="C450" s="293" t="s">
        <v>1789</v>
      </c>
    </row>
    <row r="451" spans="3:3" hidden="1" outlineLevel="1">
      <c r="C451" s="293" t="s">
        <v>1790</v>
      </c>
    </row>
    <row r="452" spans="3:3" hidden="1" outlineLevel="1">
      <c r="C452" s="293" t="s">
        <v>1791</v>
      </c>
    </row>
    <row r="453" spans="3:3" hidden="1" outlineLevel="1">
      <c r="C453" s="293" t="s">
        <v>1792</v>
      </c>
    </row>
    <row r="454" spans="3:3" hidden="1" outlineLevel="1">
      <c r="C454" s="293" t="s">
        <v>1793</v>
      </c>
    </row>
    <row r="455" spans="3:3" hidden="1" outlineLevel="1">
      <c r="C455" s="293" t="s">
        <v>1794</v>
      </c>
    </row>
    <row r="456" spans="3:3" hidden="1" outlineLevel="1">
      <c r="C456" s="293" t="s">
        <v>1795</v>
      </c>
    </row>
    <row r="457" spans="3:3" hidden="1" outlineLevel="1"/>
    <row r="458" spans="3:3" hidden="1" outlineLevel="1">
      <c r="C458" s="293" t="s">
        <v>758</v>
      </c>
    </row>
    <row r="459" spans="3:3" hidden="1" outlineLevel="1">
      <c r="C459" s="293" t="s">
        <v>1796</v>
      </c>
    </row>
    <row r="460" spans="3:3" hidden="1" outlineLevel="1">
      <c r="C460" s="293" t="s">
        <v>758</v>
      </c>
    </row>
    <row r="461" spans="3:3" hidden="1" outlineLevel="1">
      <c r="C461" s="293" t="s">
        <v>1797</v>
      </c>
    </row>
    <row r="462" spans="3:3" hidden="1" outlineLevel="1">
      <c r="C462" s="293" t="s">
        <v>1798</v>
      </c>
    </row>
    <row r="463" spans="3:3" hidden="1" outlineLevel="1">
      <c r="C463" s="293" t="s">
        <v>1799</v>
      </c>
    </row>
    <row r="464" spans="3:3" hidden="1" outlineLevel="1">
      <c r="C464" s="293" t="s">
        <v>1800</v>
      </c>
    </row>
    <row r="465" spans="2:3" hidden="1" outlineLevel="1">
      <c r="C465" s="293" t="s">
        <v>1801</v>
      </c>
    </row>
    <row r="466" spans="2:3" hidden="1" outlineLevel="1">
      <c r="C466" s="293" t="s">
        <v>1802</v>
      </c>
    </row>
    <row r="467" spans="2:3" hidden="1" outlineLevel="1">
      <c r="C467" s="293" t="s">
        <v>1803</v>
      </c>
    </row>
    <row r="468" spans="2:3" hidden="1" outlineLevel="1">
      <c r="C468" s="293" t="s">
        <v>1804</v>
      </c>
    </row>
    <row r="469" spans="2:3" hidden="1" outlineLevel="1">
      <c r="C469" s="293" t="s">
        <v>1805</v>
      </c>
    </row>
    <row r="470" spans="2:3" hidden="1" outlineLevel="1">
      <c r="C470" s="293" t="s">
        <v>1806</v>
      </c>
    </row>
    <row r="471" spans="2:3" hidden="1" outlineLevel="1">
      <c r="C471" s="293" t="s">
        <v>1807</v>
      </c>
    </row>
    <row r="472" spans="2:3" hidden="1" outlineLevel="1">
      <c r="C472" s="293" t="s">
        <v>1808</v>
      </c>
    </row>
    <row r="473" spans="2:3" hidden="1" outlineLevel="1">
      <c r="C473" s="293" t="s">
        <v>1809</v>
      </c>
    </row>
    <row r="474" spans="2:3" hidden="1" outlineLevel="1">
      <c r="C474" s="293" t="s">
        <v>1810</v>
      </c>
    </row>
    <row r="475" spans="2:3" hidden="1" outlineLevel="1">
      <c r="C475" s="293" t="s">
        <v>1811</v>
      </c>
    </row>
    <row r="476" spans="2:3" hidden="1" outlineLevel="1">
      <c r="B476" s="296"/>
      <c r="C476" s="296" t="s">
        <v>1812</v>
      </c>
    </row>
    <row r="477" spans="2:3" hidden="1" outlineLevel="1">
      <c r="B477" s="296"/>
      <c r="C477" s="296" t="s">
        <v>1813</v>
      </c>
    </row>
    <row r="478" spans="2:3" hidden="1" outlineLevel="1">
      <c r="B478" s="296"/>
      <c r="C478" s="296" t="s">
        <v>1814</v>
      </c>
    </row>
    <row r="479" spans="2:3" hidden="1" outlineLevel="1">
      <c r="B479" s="296"/>
      <c r="C479" s="296" t="s">
        <v>1815</v>
      </c>
    </row>
    <row r="480" spans="2:3" hidden="1" outlineLevel="1">
      <c r="B480" s="296"/>
      <c r="C480" s="296" t="s">
        <v>1816</v>
      </c>
    </row>
    <row r="481" spans="2:3" hidden="1" outlineLevel="1">
      <c r="B481" s="296"/>
      <c r="C481" s="296" t="s">
        <v>1817</v>
      </c>
    </row>
    <row r="482" spans="2:3" hidden="1" outlineLevel="1">
      <c r="B482" s="296"/>
      <c r="C482" s="296" t="s">
        <v>1818</v>
      </c>
    </row>
    <row r="483" spans="2:3" hidden="1" outlineLevel="1">
      <c r="B483" s="296"/>
      <c r="C483" s="296" t="s">
        <v>1819</v>
      </c>
    </row>
    <row r="484" spans="2:3" hidden="1" outlineLevel="1">
      <c r="B484" s="296"/>
      <c r="C484" s="296" t="s">
        <v>1820</v>
      </c>
    </row>
    <row r="485" spans="2:3" hidden="1" outlineLevel="1">
      <c r="B485" s="296"/>
      <c r="C485" s="296" t="s">
        <v>1821</v>
      </c>
    </row>
    <row r="486" spans="2:3" hidden="1" outlineLevel="1">
      <c r="B486" s="296"/>
      <c r="C486" s="296" t="s">
        <v>1822</v>
      </c>
    </row>
    <row r="487" spans="2:3" hidden="1" outlineLevel="1">
      <c r="B487" s="296"/>
      <c r="C487" s="296" t="s">
        <v>1823</v>
      </c>
    </row>
    <row r="488" spans="2:3" hidden="1" outlineLevel="1">
      <c r="B488" s="296"/>
      <c r="C488" s="296" t="s">
        <v>1824</v>
      </c>
    </row>
    <row r="489" spans="2:3" hidden="1" outlineLevel="1">
      <c r="B489" s="296"/>
      <c r="C489" s="296" t="s">
        <v>1825</v>
      </c>
    </row>
    <row r="490" spans="2:3" hidden="1" outlineLevel="1">
      <c r="B490" s="296"/>
      <c r="C490" s="296" t="s">
        <v>1826</v>
      </c>
    </row>
    <row r="491" spans="2:3" hidden="1" outlineLevel="1">
      <c r="B491" s="296"/>
      <c r="C491" s="296" t="s">
        <v>1827</v>
      </c>
    </row>
    <row r="492" spans="2:3" hidden="1" outlineLevel="1">
      <c r="B492" s="296"/>
      <c r="C492" s="296" t="s">
        <v>1828</v>
      </c>
    </row>
    <row r="493" spans="2:3" hidden="1" outlineLevel="1">
      <c r="B493" s="296"/>
      <c r="C493" s="296" t="s">
        <v>1829</v>
      </c>
    </row>
    <row r="494" spans="2:3" hidden="1" outlineLevel="1">
      <c r="B494" s="296"/>
      <c r="C494" s="296" t="s">
        <v>1830</v>
      </c>
    </row>
    <row r="495" spans="2:3" hidden="1" outlineLevel="1">
      <c r="B495" s="296"/>
      <c r="C495" s="296" t="s">
        <v>1831</v>
      </c>
    </row>
    <row r="496" spans="2:3" hidden="1" outlineLevel="1">
      <c r="B496" s="296"/>
      <c r="C496" s="296" t="s">
        <v>1832</v>
      </c>
    </row>
    <row r="497" spans="3:3" hidden="1" outlineLevel="1">
      <c r="C497" s="293" t="s">
        <v>1833</v>
      </c>
    </row>
    <row r="498" spans="3:3" hidden="1" outlineLevel="1">
      <c r="C498" s="293" t="s">
        <v>1834</v>
      </c>
    </row>
    <row r="499" spans="3:3" hidden="1" outlineLevel="1">
      <c r="C499" s="293" t="s">
        <v>1835</v>
      </c>
    </row>
    <row r="500" spans="3:3" hidden="1" outlineLevel="1">
      <c r="C500" s="293" t="s">
        <v>1836</v>
      </c>
    </row>
    <row r="501" spans="3:3" hidden="1" outlineLevel="1">
      <c r="C501" s="293" t="s">
        <v>1837</v>
      </c>
    </row>
    <row r="502" spans="3:3" hidden="1" outlineLevel="1">
      <c r="C502" s="293" t="s">
        <v>1838</v>
      </c>
    </row>
    <row r="503" spans="3:3" hidden="1" outlineLevel="1">
      <c r="C503" s="293" t="s">
        <v>1839</v>
      </c>
    </row>
    <row r="504" spans="3:3" hidden="1" outlineLevel="1">
      <c r="C504" s="293" t="s">
        <v>1840</v>
      </c>
    </row>
    <row r="505" spans="3:3" hidden="1" outlineLevel="1">
      <c r="C505" s="293" t="s">
        <v>1841</v>
      </c>
    </row>
    <row r="506" spans="3:3" hidden="1" outlineLevel="1">
      <c r="C506" s="293" t="s">
        <v>1842</v>
      </c>
    </row>
    <row r="507" spans="3:3" hidden="1" outlineLevel="1">
      <c r="C507" s="293" t="s">
        <v>1843</v>
      </c>
    </row>
    <row r="508" spans="3:3" hidden="1" outlineLevel="1">
      <c r="C508" s="293" t="s">
        <v>1844</v>
      </c>
    </row>
    <row r="509" spans="3:3" hidden="1" outlineLevel="1">
      <c r="C509" s="293" t="s">
        <v>1845</v>
      </c>
    </row>
    <row r="510" spans="3:3" hidden="1" outlineLevel="1">
      <c r="C510" s="293" t="s">
        <v>1846</v>
      </c>
    </row>
    <row r="511" spans="3:3" hidden="1" outlineLevel="1">
      <c r="C511" s="293" t="s">
        <v>1847</v>
      </c>
    </row>
    <row r="512" spans="3:3" hidden="1" outlineLevel="1">
      <c r="C512" s="293" t="s">
        <v>1848</v>
      </c>
    </row>
    <row r="513" spans="3:3" hidden="1" outlineLevel="1">
      <c r="C513" s="293" t="s">
        <v>1849</v>
      </c>
    </row>
    <row r="514" spans="3:3" hidden="1" outlineLevel="1">
      <c r="C514" s="293" t="s">
        <v>1850</v>
      </c>
    </row>
    <row r="515" spans="3:3" hidden="1" outlineLevel="1">
      <c r="C515" s="293" t="s">
        <v>1851</v>
      </c>
    </row>
    <row r="516" spans="3:3" hidden="1" outlineLevel="1">
      <c r="C516" s="293" t="s">
        <v>1852</v>
      </c>
    </row>
    <row r="517" spans="3:3" hidden="1" outlineLevel="1">
      <c r="C517" s="293" t="s">
        <v>1853</v>
      </c>
    </row>
    <row r="518" spans="3:3" hidden="1" outlineLevel="1">
      <c r="C518" s="293" t="s">
        <v>1854</v>
      </c>
    </row>
    <row r="519" spans="3:3" hidden="1" outlineLevel="1">
      <c r="C519" s="293" t="s">
        <v>1855</v>
      </c>
    </row>
    <row r="520" spans="3:3" hidden="1" outlineLevel="1">
      <c r="C520" s="293" t="s">
        <v>1856</v>
      </c>
    </row>
    <row r="521" spans="3:3" hidden="1" outlineLevel="1">
      <c r="C521" s="293" t="s">
        <v>1857</v>
      </c>
    </row>
    <row r="522" spans="3:3" hidden="1" outlineLevel="1">
      <c r="C522" s="293" t="s">
        <v>1858</v>
      </c>
    </row>
    <row r="523" spans="3:3" hidden="1" outlineLevel="1">
      <c r="C523" s="293" t="s">
        <v>1859</v>
      </c>
    </row>
    <row r="524" spans="3:3" hidden="1" outlineLevel="1">
      <c r="C524" s="293" t="s">
        <v>1860</v>
      </c>
    </row>
    <row r="525" spans="3:3" hidden="1" outlineLevel="1">
      <c r="C525" s="293" t="s">
        <v>1861</v>
      </c>
    </row>
    <row r="526" spans="3:3" hidden="1" outlineLevel="1">
      <c r="C526" s="293" t="s">
        <v>1862</v>
      </c>
    </row>
    <row r="527" spans="3:3" hidden="1" outlineLevel="1">
      <c r="C527" s="293" t="s">
        <v>1863</v>
      </c>
    </row>
    <row r="528" spans="3:3" hidden="1" outlineLevel="1">
      <c r="C528" s="293" t="s">
        <v>1864</v>
      </c>
    </row>
    <row r="529" spans="3:3" hidden="1" outlineLevel="1">
      <c r="C529" s="293" t="s">
        <v>1865</v>
      </c>
    </row>
    <row r="530" spans="3:3" hidden="1" outlineLevel="1">
      <c r="C530" s="293" t="s">
        <v>1866</v>
      </c>
    </row>
    <row r="531" spans="3:3" hidden="1" outlineLevel="1">
      <c r="C531" s="293" t="s">
        <v>1867</v>
      </c>
    </row>
    <row r="532" spans="3:3" hidden="1" outlineLevel="1">
      <c r="C532" s="293" t="s">
        <v>1868</v>
      </c>
    </row>
    <row r="533" spans="3:3" hidden="1" outlineLevel="1">
      <c r="C533" s="293" t="s">
        <v>1869</v>
      </c>
    </row>
    <row r="534" spans="3:3" hidden="1" outlineLevel="1">
      <c r="C534" s="293" t="s">
        <v>1870</v>
      </c>
    </row>
    <row r="535" spans="3:3" hidden="1" outlineLevel="1">
      <c r="C535" s="293" t="s">
        <v>1871</v>
      </c>
    </row>
    <row r="536" spans="3:3" hidden="1" outlineLevel="1">
      <c r="C536" s="293" t="s">
        <v>1872</v>
      </c>
    </row>
    <row r="537" spans="3:3" hidden="1" outlineLevel="1">
      <c r="C537" s="293" t="s">
        <v>1873</v>
      </c>
    </row>
    <row r="538" spans="3:3" hidden="1" outlineLevel="1">
      <c r="C538" s="293" t="s">
        <v>1874</v>
      </c>
    </row>
    <row r="539" spans="3:3" hidden="1" outlineLevel="1">
      <c r="C539" s="293" t="s">
        <v>1875</v>
      </c>
    </row>
    <row r="540" spans="3:3" hidden="1" outlineLevel="1">
      <c r="C540" s="293" t="s">
        <v>1876</v>
      </c>
    </row>
    <row r="541" spans="3:3" hidden="1" outlineLevel="1">
      <c r="C541" s="293" t="s">
        <v>1877</v>
      </c>
    </row>
    <row r="542" spans="3:3" hidden="1" outlineLevel="1">
      <c r="C542" s="293" t="s">
        <v>1878</v>
      </c>
    </row>
    <row r="543" spans="3:3" hidden="1" outlineLevel="1">
      <c r="C543" s="293" t="s">
        <v>1879</v>
      </c>
    </row>
    <row r="544" spans="3:3" hidden="1" outlineLevel="1">
      <c r="C544" s="293" t="s">
        <v>1880</v>
      </c>
    </row>
    <row r="545" spans="3:3" hidden="1" outlineLevel="1">
      <c r="C545" s="293" t="s">
        <v>1881</v>
      </c>
    </row>
    <row r="546" spans="3:3" hidden="1" outlineLevel="1">
      <c r="C546" s="293" t="s">
        <v>1882</v>
      </c>
    </row>
    <row r="547" spans="3:3" hidden="1" outlineLevel="1">
      <c r="C547" s="293" t="s">
        <v>1883</v>
      </c>
    </row>
    <row r="548" spans="3:3" hidden="1" outlineLevel="1">
      <c r="C548" s="293" t="s">
        <v>1884</v>
      </c>
    </row>
    <row r="549" spans="3:3" hidden="1" outlineLevel="1">
      <c r="C549" s="293" t="s">
        <v>1885</v>
      </c>
    </row>
    <row r="550" spans="3:3" hidden="1" outlineLevel="1">
      <c r="C550" s="293" t="s">
        <v>1886</v>
      </c>
    </row>
    <row r="551" spans="3:3" hidden="1" outlineLevel="1">
      <c r="C551" s="293" t="s">
        <v>1887</v>
      </c>
    </row>
    <row r="552" spans="3:3" hidden="1" outlineLevel="1">
      <c r="C552" s="293" t="s">
        <v>1888</v>
      </c>
    </row>
    <row r="553" spans="3:3" hidden="1" outlineLevel="1">
      <c r="C553" s="293" t="s">
        <v>1889</v>
      </c>
    </row>
    <row r="554" spans="3:3" hidden="1" outlineLevel="1">
      <c r="C554" s="293" t="s">
        <v>1890</v>
      </c>
    </row>
    <row r="555" spans="3:3" hidden="1" outlineLevel="1">
      <c r="C555" s="293" t="s">
        <v>1891</v>
      </c>
    </row>
    <row r="556" spans="3:3" hidden="1" outlineLevel="1">
      <c r="C556" s="293" t="s">
        <v>1892</v>
      </c>
    </row>
    <row r="557" spans="3:3" hidden="1" outlineLevel="1">
      <c r="C557" s="293" t="s">
        <v>1893</v>
      </c>
    </row>
    <row r="558" spans="3:3" hidden="1" outlineLevel="1">
      <c r="C558" s="293" t="s">
        <v>1894</v>
      </c>
    </row>
    <row r="559" spans="3:3" hidden="1" outlineLevel="1">
      <c r="C559" s="293" t="s">
        <v>1895</v>
      </c>
    </row>
    <row r="560" spans="3:3" hidden="1" outlineLevel="1">
      <c r="C560" s="293" t="s">
        <v>1896</v>
      </c>
    </row>
    <row r="561" spans="3:3" hidden="1" outlineLevel="1">
      <c r="C561" s="293" t="s">
        <v>1897</v>
      </c>
    </row>
    <row r="562" spans="3:3" hidden="1" outlineLevel="1">
      <c r="C562" s="293" t="s">
        <v>1898</v>
      </c>
    </row>
    <row r="563" spans="3:3" hidden="1" outlineLevel="1">
      <c r="C563" s="293" t="s">
        <v>1899</v>
      </c>
    </row>
    <row r="564" spans="3:3" hidden="1" outlineLevel="1">
      <c r="C564" s="293" t="s">
        <v>1900</v>
      </c>
    </row>
    <row r="565" spans="3:3" hidden="1" outlineLevel="1">
      <c r="C565" s="293" t="s">
        <v>1901</v>
      </c>
    </row>
    <row r="566" spans="3:3" hidden="1" outlineLevel="1">
      <c r="C566" s="293" t="s">
        <v>1902</v>
      </c>
    </row>
    <row r="567" spans="3:3" hidden="1" outlineLevel="1">
      <c r="C567" s="293" t="s">
        <v>1903</v>
      </c>
    </row>
    <row r="568" spans="3:3" hidden="1" outlineLevel="1">
      <c r="C568" s="293" t="s">
        <v>1904</v>
      </c>
    </row>
    <row r="569" spans="3:3" hidden="1" outlineLevel="1">
      <c r="C569" s="293" t="s">
        <v>1905</v>
      </c>
    </row>
    <row r="570" spans="3:3" hidden="1" outlineLevel="1">
      <c r="C570" s="293" t="s">
        <v>1906</v>
      </c>
    </row>
    <row r="571" spans="3:3" hidden="1" outlineLevel="1">
      <c r="C571" s="293" t="s">
        <v>1907</v>
      </c>
    </row>
    <row r="572" spans="3:3" hidden="1" outlineLevel="1">
      <c r="C572" s="293" t="s">
        <v>1908</v>
      </c>
    </row>
    <row r="573" spans="3:3" hidden="1" outlineLevel="1">
      <c r="C573" s="293" t="s">
        <v>1909</v>
      </c>
    </row>
    <row r="574" spans="3:3" hidden="1" outlineLevel="1">
      <c r="C574" s="293" t="s">
        <v>1910</v>
      </c>
    </row>
    <row r="575" spans="3:3" hidden="1" outlineLevel="1">
      <c r="C575" s="293" t="s">
        <v>1911</v>
      </c>
    </row>
    <row r="576" spans="3:3" hidden="1" outlineLevel="1">
      <c r="C576" s="293" t="s">
        <v>1912</v>
      </c>
    </row>
    <row r="577" spans="3:3" hidden="1" outlineLevel="1">
      <c r="C577" s="293" t="s">
        <v>1913</v>
      </c>
    </row>
    <row r="578" spans="3:3" hidden="1" outlineLevel="1">
      <c r="C578" s="293" t="s">
        <v>1914</v>
      </c>
    </row>
    <row r="579" spans="3:3" hidden="1" outlineLevel="1">
      <c r="C579" s="293" t="s">
        <v>1915</v>
      </c>
    </row>
    <row r="580" spans="3:3" hidden="1" outlineLevel="1">
      <c r="C580" s="293" t="s">
        <v>1916</v>
      </c>
    </row>
    <row r="581" spans="3:3" hidden="1" outlineLevel="1">
      <c r="C581" s="293" t="s">
        <v>1917</v>
      </c>
    </row>
    <row r="582" spans="3:3" hidden="1" outlineLevel="1">
      <c r="C582" s="293" t="s">
        <v>1918</v>
      </c>
    </row>
    <row r="583" spans="3:3" hidden="1" outlineLevel="1">
      <c r="C583" s="293" t="s">
        <v>1919</v>
      </c>
    </row>
    <row r="584" spans="3:3" hidden="1" outlineLevel="1">
      <c r="C584" s="293" t="s">
        <v>1920</v>
      </c>
    </row>
    <row r="585" spans="3:3" hidden="1" outlineLevel="1">
      <c r="C585" s="293" t="s">
        <v>1921</v>
      </c>
    </row>
    <row r="586" spans="3:3" hidden="1" outlineLevel="1">
      <c r="C586" s="293" t="s">
        <v>1922</v>
      </c>
    </row>
    <row r="587" spans="3:3" hidden="1" outlineLevel="1">
      <c r="C587" s="293" t="s">
        <v>1923</v>
      </c>
    </row>
    <row r="588" spans="3:3" hidden="1" outlineLevel="1">
      <c r="C588" s="293" t="s">
        <v>1924</v>
      </c>
    </row>
    <row r="589" spans="3:3" hidden="1" outlineLevel="1">
      <c r="C589" s="293" t="s">
        <v>1925</v>
      </c>
    </row>
    <row r="590" spans="3:3" hidden="1" outlineLevel="1">
      <c r="C590" s="293" t="s">
        <v>1926</v>
      </c>
    </row>
    <row r="591" spans="3:3" hidden="1" outlineLevel="1">
      <c r="C591" s="293" t="s">
        <v>1927</v>
      </c>
    </row>
    <row r="592" spans="3:3" hidden="1" outlineLevel="1">
      <c r="C592" s="293" t="s">
        <v>1928</v>
      </c>
    </row>
    <row r="593" spans="3:3" hidden="1" outlineLevel="1">
      <c r="C593" s="293" t="s">
        <v>1929</v>
      </c>
    </row>
    <row r="594" spans="3:3" hidden="1" outlineLevel="1">
      <c r="C594" s="293" t="s">
        <v>1930</v>
      </c>
    </row>
    <row r="595" spans="3:3" hidden="1" outlineLevel="1">
      <c r="C595" s="293" t="s">
        <v>1931</v>
      </c>
    </row>
    <row r="596" spans="3:3" hidden="1" outlineLevel="1">
      <c r="C596" s="293" t="s">
        <v>1932</v>
      </c>
    </row>
    <row r="597" spans="3:3" hidden="1" outlineLevel="1">
      <c r="C597" s="293" t="s">
        <v>1933</v>
      </c>
    </row>
    <row r="598" spans="3:3" hidden="1" outlineLevel="1">
      <c r="C598" s="293" t="s">
        <v>1934</v>
      </c>
    </row>
    <row r="599" spans="3:3" hidden="1" outlineLevel="1">
      <c r="C599" s="293" t="s">
        <v>1935</v>
      </c>
    </row>
    <row r="600" spans="3:3" hidden="1" outlineLevel="1">
      <c r="C600" s="293" t="s">
        <v>1936</v>
      </c>
    </row>
    <row r="601" spans="3:3" hidden="1" outlineLevel="1">
      <c r="C601" s="293" t="s">
        <v>1937</v>
      </c>
    </row>
    <row r="602" spans="3:3" hidden="1" outlineLevel="1">
      <c r="C602" s="293" t="s">
        <v>1938</v>
      </c>
    </row>
    <row r="603" spans="3:3" hidden="1" outlineLevel="1">
      <c r="C603" s="293" t="s">
        <v>1939</v>
      </c>
    </row>
    <row r="604" spans="3:3" hidden="1" outlineLevel="1">
      <c r="C604" s="293" t="s">
        <v>1940</v>
      </c>
    </row>
    <row r="605" spans="3:3" hidden="1" outlineLevel="1">
      <c r="C605" s="293" t="s">
        <v>1941</v>
      </c>
    </row>
    <row r="606" spans="3:3" hidden="1" outlineLevel="1">
      <c r="C606" s="293" t="s">
        <v>1942</v>
      </c>
    </row>
    <row r="607" spans="3:3" hidden="1" outlineLevel="1">
      <c r="C607" s="293" t="s">
        <v>1943</v>
      </c>
    </row>
    <row r="608" spans="3:3" hidden="1" outlineLevel="1">
      <c r="C608" s="293" t="s">
        <v>1944</v>
      </c>
    </row>
    <row r="609" spans="3:3" hidden="1" outlineLevel="1">
      <c r="C609" s="293" t="s">
        <v>1945</v>
      </c>
    </row>
    <row r="610" spans="3:3" hidden="1" outlineLevel="1">
      <c r="C610" s="293" t="s">
        <v>1946</v>
      </c>
    </row>
    <row r="611" spans="3:3" hidden="1" outlineLevel="1">
      <c r="C611" s="293" t="s">
        <v>1947</v>
      </c>
    </row>
    <row r="612" spans="3:3" hidden="1" outlineLevel="1">
      <c r="C612" s="293" t="s">
        <v>1948</v>
      </c>
    </row>
    <row r="613" spans="3:3" hidden="1" outlineLevel="1">
      <c r="C613" s="293" t="s">
        <v>1949</v>
      </c>
    </row>
    <row r="614" spans="3:3" hidden="1" outlineLevel="1">
      <c r="C614" s="293" t="s">
        <v>1950</v>
      </c>
    </row>
    <row r="615" spans="3:3" hidden="1" outlineLevel="1">
      <c r="C615" s="293" t="s">
        <v>1951</v>
      </c>
    </row>
    <row r="616" spans="3:3" hidden="1" outlineLevel="1">
      <c r="C616" s="293" t="s">
        <v>1952</v>
      </c>
    </row>
    <row r="617" spans="3:3" hidden="1" outlineLevel="1">
      <c r="C617" s="293" t="s">
        <v>1953</v>
      </c>
    </row>
    <row r="618" spans="3:3" hidden="1" outlineLevel="1">
      <c r="C618" s="293" t="s">
        <v>1954</v>
      </c>
    </row>
    <row r="619" spans="3:3" hidden="1" outlineLevel="1">
      <c r="C619" s="293" t="s">
        <v>1955</v>
      </c>
    </row>
    <row r="620" spans="3:3" hidden="1" outlineLevel="1">
      <c r="C620" s="293" t="s">
        <v>1956</v>
      </c>
    </row>
    <row r="621" spans="3:3" hidden="1" outlineLevel="1">
      <c r="C621" s="293" t="s">
        <v>1957</v>
      </c>
    </row>
    <row r="622" spans="3:3" hidden="1" outlineLevel="1">
      <c r="C622" s="293" t="s">
        <v>1958</v>
      </c>
    </row>
    <row r="623" spans="3:3" hidden="1" outlineLevel="1">
      <c r="C623" s="293" t="s">
        <v>1959</v>
      </c>
    </row>
    <row r="624" spans="3:3" hidden="1" outlineLevel="1">
      <c r="C624" s="293" t="s">
        <v>1960</v>
      </c>
    </row>
    <row r="625" spans="3:3" hidden="1" outlineLevel="1">
      <c r="C625" s="293" t="s">
        <v>1961</v>
      </c>
    </row>
    <row r="626" spans="3:3" hidden="1" outlineLevel="1">
      <c r="C626" s="293" t="s">
        <v>1962</v>
      </c>
    </row>
    <row r="627" spans="3:3" hidden="1" outlineLevel="1">
      <c r="C627" s="293" t="s">
        <v>1963</v>
      </c>
    </row>
    <row r="628" spans="3:3" hidden="1" outlineLevel="1">
      <c r="C628" s="293" t="s">
        <v>1964</v>
      </c>
    </row>
    <row r="629" spans="3:3" hidden="1" outlineLevel="1">
      <c r="C629" s="293" t="s">
        <v>1965</v>
      </c>
    </row>
    <row r="630" spans="3:3" hidden="1" outlineLevel="1">
      <c r="C630" s="293" t="s">
        <v>1966</v>
      </c>
    </row>
    <row r="631" spans="3:3" hidden="1" outlineLevel="1">
      <c r="C631" s="293" t="s">
        <v>1967</v>
      </c>
    </row>
    <row r="632" spans="3:3" hidden="1" outlineLevel="1">
      <c r="C632" s="293" t="s">
        <v>1968</v>
      </c>
    </row>
    <row r="633" spans="3:3" hidden="1" outlineLevel="1">
      <c r="C633" s="293" t="s">
        <v>1969</v>
      </c>
    </row>
    <row r="634" spans="3:3" hidden="1" outlineLevel="1">
      <c r="C634" s="293" t="s">
        <v>1970</v>
      </c>
    </row>
    <row r="635" spans="3:3" hidden="1" outlineLevel="1">
      <c r="C635" s="293" t="s">
        <v>1971</v>
      </c>
    </row>
    <row r="636" spans="3:3" hidden="1" outlineLevel="1">
      <c r="C636" s="293" t="s">
        <v>1972</v>
      </c>
    </row>
    <row r="637" spans="3:3" hidden="1" outlineLevel="1">
      <c r="C637" s="293" t="s">
        <v>1973</v>
      </c>
    </row>
    <row r="638" spans="3:3" hidden="1" outlineLevel="1">
      <c r="C638" s="293" t="s">
        <v>1974</v>
      </c>
    </row>
    <row r="639" spans="3:3" hidden="1" outlineLevel="1">
      <c r="C639" s="293" t="s">
        <v>1975</v>
      </c>
    </row>
    <row r="640" spans="3:3" hidden="1" outlineLevel="1">
      <c r="C640" s="293" t="s">
        <v>1976</v>
      </c>
    </row>
    <row r="641" spans="3:3" hidden="1" outlineLevel="1">
      <c r="C641" s="293" t="s">
        <v>1977</v>
      </c>
    </row>
    <row r="642" spans="3:3" hidden="1" outlineLevel="1">
      <c r="C642" s="293" t="s">
        <v>1978</v>
      </c>
    </row>
    <row r="643" spans="3:3" hidden="1" outlineLevel="1">
      <c r="C643" s="293" t="s">
        <v>1979</v>
      </c>
    </row>
    <row r="644" spans="3:3" hidden="1" outlineLevel="1">
      <c r="C644" s="293" t="s">
        <v>1980</v>
      </c>
    </row>
    <row r="645" spans="3:3" hidden="1" outlineLevel="1">
      <c r="C645" s="293" t="s">
        <v>1981</v>
      </c>
    </row>
    <row r="646" spans="3:3" hidden="1" outlineLevel="1">
      <c r="C646" s="293" t="s">
        <v>1982</v>
      </c>
    </row>
    <row r="647" spans="3:3" hidden="1" outlineLevel="1">
      <c r="C647" s="293" t="s">
        <v>1983</v>
      </c>
    </row>
    <row r="648" spans="3:3" hidden="1" outlineLevel="1">
      <c r="C648" s="293" t="s">
        <v>1984</v>
      </c>
    </row>
    <row r="649" spans="3:3" hidden="1" outlineLevel="1">
      <c r="C649" s="293" t="s">
        <v>1985</v>
      </c>
    </row>
    <row r="650" spans="3:3" hidden="1" outlineLevel="1">
      <c r="C650" s="293" t="s">
        <v>1986</v>
      </c>
    </row>
    <row r="651" spans="3:3" hidden="1" outlineLevel="1">
      <c r="C651" s="293" t="s">
        <v>1987</v>
      </c>
    </row>
    <row r="652" spans="3:3" hidden="1" outlineLevel="1">
      <c r="C652" s="293" t="s">
        <v>1988</v>
      </c>
    </row>
    <row r="653" spans="3:3" hidden="1" outlineLevel="1">
      <c r="C653" s="293" t="s">
        <v>1989</v>
      </c>
    </row>
    <row r="654" spans="3:3" hidden="1" outlineLevel="1">
      <c r="C654" s="293" t="s">
        <v>1990</v>
      </c>
    </row>
    <row r="655" spans="3:3" hidden="1" outlineLevel="1">
      <c r="C655" s="293" t="s">
        <v>1991</v>
      </c>
    </row>
    <row r="656" spans="3:3" hidden="1" outlineLevel="1">
      <c r="C656" s="293" t="s">
        <v>1992</v>
      </c>
    </row>
    <row r="657" spans="2:3" hidden="1" outlineLevel="1"/>
    <row r="658" spans="2:3" hidden="1" outlineLevel="1">
      <c r="C658" s="293" t="s">
        <v>1993</v>
      </c>
    </row>
    <row r="659" spans="2:3" hidden="1" outlineLevel="1"/>
    <row r="660" spans="2:3" hidden="1" outlineLevel="1">
      <c r="C660" s="293" t="s">
        <v>754</v>
      </c>
    </row>
    <row r="661" spans="2:3" hidden="1" outlineLevel="1">
      <c r="C661" s="293" t="s">
        <v>1087</v>
      </c>
    </row>
    <row r="662" spans="2:3" hidden="1" outlineLevel="1">
      <c r="C662" s="293" t="s">
        <v>1994</v>
      </c>
    </row>
    <row r="663" spans="2:3" hidden="1" outlineLevel="1">
      <c r="C663" s="293" t="s">
        <v>1087</v>
      </c>
    </row>
    <row r="664" spans="2:3" hidden="1" outlineLevel="1">
      <c r="C664" s="293" t="s">
        <v>754</v>
      </c>
    </row>
    <row r="665" spans="2:3" collapsed="1"/>
    <row r="667" spans="2:3">
      <c r="C667" s="295" t="s">
        <v>1071</v>
      </c>
    </row>
    <row r="668" spans="2:3" hidden="1" outlineLevel="1">
      <c r="B668" s="296"/>
      <c r="C668" s="296" t="s">
        <v>753</v>
      </c>
    </row>
    <row r="669" spans="2:3" hidden="1" outlineLevel="1">
      <c r="B669" s="296"/>
      <c r="C669" s="296" t="s">
        <v>754</v>
      </c>
    </row>
    <row r="670" spans="2:3" hidden="1" outlineLevel="1">
      <c r="B670" s="296"/>
      <c r="C670" s="296" t="s">
        <v>1085</v>
      </c>
    </row>
    <row r="671" spans="2:3" hidden="1" outlineLevel="1">
      <c r="B671" s="296"/>
      <c r="C671" s="296" t="s">
        <v>754</v>
      </c>
    </row>
    <row r="672" spans="2:3" hidden="1" outlineLevel="1">
      <c r="B672" s="296"/>
      <c r="C672" s="296" t="s">
        <v>1086</v>
      </c>
    </row>
    <row r="673" spans="2:3" hidden="1" outlineLevel="1">
      <c r="B673" s="296"/>
      <c r="C673" s="296" t="s">
        <v>1087</v>
      </c>
    </row>
    <row r="674" spans="2:3" hidden="1" outlineLevel="1">
      <c r="B674" s="296"/>
      <c r="C674" s="296" t="s">
        <v>754</v>
      </c>
    </row>
    <row r="675" spans="2:3" hidden="1" outlineLevel="1">
      <c r="B675" s="296"/>
      <c r="C675" s="296"/>
    </row>
    <row r="676" spans="2:3" hidden="1" outlineLevel="1">
      <c r="B676" s="296"/>
      <c r="C676" s="296" t="s">
        <v>758</v>
      </c>
    </row>
    <row r="677" spans="2:3" hidden="1" outlineLevel="1">
      <c r="B677" s="296"/>
      <c r="C677" s="296" t="s">
        <v>1088</v>
      </c>
    </row>
    <row r="678" spans="2:3" hidden="1" outlineLevel="1">
      <c r="B678" s="296"/>
      <c r="C678" s="296" t="s">
        <v>758</v>
      </c>
    </row>
    <row r="679" spans="2:3" hidden="1" outlineLevel="1">
      <c r="B679" s="296"/>
      <c r="C679" s="296" t="s">
        <v>1089</v>
      </c>
    </row>
    <row r="680" spans="2:3" hidden="1" outlineLevel="1">
      <c r="B680" s="296"/>
      <c r="C680" s="296" t="s">
        <v>1090</v>
      </c>
    </row>
    <row r="681" spans="2:3" hidden="1" outlineLevel="1">
      <c r="B681" s="296"/>
      <c r="C681" s="296" t="s">
        <v>1091</v>
      </c>
    </row>
    <row r="682" spans="2:3" hidden="1" outlineLevel="1">
      <c r="B682" s="296"/>
      <c r="C682" s="296"/>
    </row>
    <row r="683" spans="2:3" hidden="1" outlineLevel="1">
      <c r="B683" s="296"/>
      <c r="C683" s="296" t="s">
        <v>758</v>
      </c>
    </row>
    <row r="684" spans="2:3" hidden="1" outlineLevel="1">
      <c r="B684" s="296"/>
      <c r="C684" s="296" t="s">
        <v>1092</v>
      </c>
    </row>
    <row r="685" spans="2:3" hidden="1" outlineLevel="1">
      <c r="B685" s="296"/>
      <c r="C685" s="296" t="s">
        <v>758</v>
      </c>
    </row>
    <row r="686" spans="2:3" hidden="1" outlineLevel="1">
      <c r="B686" s="296"/>
      <c r="C686" s="296" t="s">
        <v>764</v>
      </c>
    </row>
    <row r="687" spans="2:3" hidden="1" outlineLevel="1">
      <c r="B687" s="296"/>
      <c r="C687" s="296" t="s">
        <v>765</v>
      </c>
    </row>
    <row r="688" spans="2:3" hidden="1" outlineLevel="1">
      <c r="B688" s="296"/>
      <c r="C688" s="296" t="s">
        <v>766</v>
      </c>
    </row>
    <row r="689" spans="2:3" hidden="1" outlineLevel="1">
      <c r="B689" s="296"/>
      <c r="C689" s="296"/>
    </row>
    <row r="690" spans="2:3" hidden="1" outlineLevel="1">
      <c r="B690" s="296"/>
      <c r="C690" s="296" t="s">
        <v>1093</v>
      </c>
    </row>
    <row r="691" spans="2:3" hidden="1" outlineLevel="1">
      <c r="B691" s="296"/>
      <c r="C691" s="296"/>
    </row>
    <row r="692" spans="2:3" hidden="1" outlineLevel="1">
      <c r="B692" s="296"/>
      <c r="C692" s="296" t="s">
        <v>758</v>
      </c>
    </row>
    <row r="693" spans="2:3" hidden="1" outlineLevel="1">
      <c r="B693" s="296"/>
      <c r="C693" s="296" t="s">
        <v>1094</v>
      </c>
    </row>
    <row r="694" spans="2:3" hidden="1" outlineLevel="1">
      <c r="B694" s="296"/>
      <c r="C694" s="296" t="s">
        <v>758</v>
      </c>
    </row>
    <row r="695" spans="2:3" hidden="1" outlineLevel="1">
      <c r="B695" s="296"/>
      <c r="C695" s="296" t="s">
        <v>769</v>
      </c>
    </row>
    <row r="696" spans="2:3" hidden="1" outlineLevel="1">
      <c r="B696" s="296"/>
      <c r="C696" s="296" t="s">
        <v>770</v>
      </c>
    </row>
    <row r="697" spans="2:3" hidden="1" outlineLevel="1">
      <c r="B697" s="296"/>
      <c r="C697" s="296" t="s">
        <v>771</v>
      </c>
    </row>
    <row r="698" spans="2:3" hidden="1" outlineLevel="1">
      <c r="B698" s="296"/>
      <c r="C698" s="296"/>
    </row>
    <row r="699" spans="2:3" collapsed="1">
      <c r="B699" s="296"/>
      <c r="C699" s="296" t="s">
        <v>758</v>
      </c>
    </row>
    <row r="700" spans="2:3">
      <c r="B700" s="296"/>
      <c r="C700" s="296" t="s">
        <v>1095</v>
      </c>
    </row>
    <row r="701" spans="2:3">
      <c r="B701" s="296"/>
      <c r="C701" s="296" t="s">
        <v>758</v>
      </c>
    </row>
    <row r="702" spans="2:3">
      <c r="B702" s="296"/>
      <c r="C702" s="296" t="s">
        <v>1096</v>
      </c>
    </row>
    <row r="703" spans="2:3">
      <c r="B703" s="296"/>
      <c r="C703" s="296" t="s">
        <v>1097</v>
      </c>
    </row>
    <row r="704" spans="2:3">
      <c r="B704" s="296"/>
      <c r="C704" s="296" t="s">
        <v>771</v>
      </c>
    </row>
    <row r="705" spans="2:3">
      <c r="B705" s="296"/>
      <c r="C705" s="296" t="s">
        <v>1098</v>
      </c>
    </row>
    <row r="706" spans="2:3">
      <c r="B706" s="296"/>
      <c r="C706" s="296" t="s">
        <v>1099</v>
      </c>
    </row>
    <row r="707" spans="2:3">
      <c r="B707" s="296"/>
      <c r="C707" s="296" t="s">
        <v>771</v>
      </c>
    </row>
    <row r="708" spans="2:3">
      <c r="B708" s="296"/>
      <c r="C708" s="296" t="s">
        <v>1100</v>
      </c>
    </row>
    <row r="709" spans="2:3">
      <c r="B709" s="296"/>
      <c r="C709" s="296" t="s">
        <v>1101</v>
      </c>
    </row>
    <row r="710" spans="2:3">
      <c r="B710" s="296"/>
      <c r="C710" s="296" t="s">
        <v>771</v>
      </c>
    </row>
    <row r="711" spans="2:3">
      <c r="B711" s="296"/>
      <c r="C711" s="296" t="s">
        <v>1102</v>
      </c>
    </row>
    <row r="712" spans="2:3">
      <c r="B712" s="296"/>
      <c r="C712" s="296" t="s">
        <v>1103</v>
      </c>
    </row>
    <row r="713" spans="2:3">
      <c r="B713" s="296"/>
      <c r="C713" s="296" t="s">
        <v>771</v>
      </c>
    </row>
    <row r="714" spans="2:3">
      <c r="B714" s="296"/>
      <c r="C714" s="296" t="s">
        <v>1104</v>
      </c>
    </row>
    <row r="715" spans="2:3">
      <c r="B715" s="296"/>
      <c r="C715" s="296" t="s">
        <v>1105</v>
      </c>
    </row>
    <row r="716" spans="2:3">
      <c r="B716" s="296"/>
      <c r="C716" s="296" t="s">
        <v>771</v>
      </c>
    </row>
    <row r="717" spans="2:3">
      <c r="B717" s="296" t="s">
        <v>2001</v>
      </c>
      <c r="C717" s="294" t="s">
        <v>1106</v>
      </c>
    </row>
    <row r="718" spans="2:3">
      <c r="B718" s="296" t="s">
        <v>1995</v>
      </c>
      <c r="C718" s="294" t="s">
        <v>1107</v>
      </c>
    </row>
    <row r="719" spans="2:3">
      <c r="B719" s="296" t="s">
        <v>1995</v>
      </c>
      <c r="C719" s="294" t="s">
        <v>771</v>
      </c>
    </row>
    <row r="720" spans="2:3">
      <c r="B720" s="296" t="s">
        <v>2001</v>
      </c>
      <c r="C720" s="294" t="s">
        <v>1997</v>
      </c>
    </row>
    <row r="721" spans="2:3">
      <c r="B721" s="296" t="s">
        <v>1995</v>
      </c>
      <c r="C721" s="294" t="s">
        <v>1108</v>
      </c>
    </row>
    <row r="722" spans="2:3">
      <c r="B722" s="296" t="s">
        <v>1995</v>
      </c>
      <c r="C722" s="294" t="s">
        <v>771</v>
      </c>
    </row>
    <row r="723" spans="2:3" hidden="1" outlineLevel="1">
      <c r="B723" s="296"/>
      <c r="C723" s="296" t="s">
        <v>1109</v>
      </c>
    </row>
    <row r="724" spans="2:3" hidden="1" outlineLevel="1">
      <c r="B724" s="296"/>
      <c r="C724" s="296" t="s">
        <v>1110</v>
      </c>
    </row>
    <row r="725" spans="2:3" hidden="1" outlineLevel="1">
      <c r="B725" s="296"/>
      <c r="C725" s="296" t="s">
        <v>771</v>
      </c>
    </row>
    <row r="726" spans="2:3" hidden="1" outlineLevel="1">
      <c r="B726" s="296"/>
      <c r="C726" s="296"/>
    </row>
    <row r="727" spans="2:3" hidden="1" outlineLevel="1">
      <c r="B727" s="296"/>
      <c r="C727" s="296" t="s">
        <v>758</v>
      </c>
    </row>
    <row r="728" spans="2:3" hidden="1" outlineLevel="1">
      <c r="B728" s="296"/>
      <c r="C728" s="296" t="s">
        <v>1111</v>
      </c>
    </row>
    <row r="729" spans="2:3" hidden="1" outlineLevel="1">
      <c r="B729" s="296"/>
      <c r="C729" s="296" t="s">
        <v>758</v>
      </c>
    </row>
    <row r="730" spans="2:3" hidden="1" outlineLevel="1">
      <c r="B730" s="296"/>
      <c r="C730" s="296" t="s">
        <v>1112</v>
      </c>
    </row>
    <row r="731" spans="2:3" hidden="1" outlineLevel="1">
      <c r="B731" s="296"/>
      <c r="C731" s="296"/>
    </row>
    <row r="732" spans="2:3" hidden="1" outlineLevel="1">
      <c r="B732" s="296"/>
      <c r="C732" s="296" t="s">
        <v>1113</v>
      </c>
    </row>
    <row r="733" spans="2:3" hidden="1" outlineLevel="1">
      <c r="B733" s="296"/>
      <c r="C733" s="296" t="s">
        <v>1114</v>
      </c>
    </row>
    <row r="734" spans="2:3" hidden="1" outlineLevel="1">
      <c r="B734" s="296"/>
      <c r="C734" s="296"/>
    </row>
    <row r="735" spans="2:3" hidden="1" outlineLevel="1">
      <c r="B735" s="296"/>
      <c r="C735" s="296" t="s">
        <v>1115</v>
      </c>
    </row>
    <row r="736" spans="2:3" hidden="1" outlineLevel="1">
      <c r="B736" s="296"/>
      <c r="C736" s="296"/>
    </row>
    <row r="737" spans="2:3" hidden="1" outlineLevel="1">
      <c r="B737" s="296"/>
      <c r="C737" s="296" t="s">
        <v>758</v>
      </c>
    </row>
    <row r="738" spans="2:3" hidden="1" outlineLevel="1">
      <c r="B738" s="296"/>
      <c r="C738" s="296" t="s">
        <v>1116</v>
      </c>
    </row>
    <row r="739" spans="2:3" hidden="1" outlineLevel="1">
      <c r="B739" s="296"/>
      <c r="C739" s="296" t="s">
        <v>758</v>
      </c>
    </row>
    <row r="740" spans="2:3" hidden="1" outlineLevel="1">
      <c r="B740" s="296"/>
      <c r="C740" s="296" t="s">
        <v>758</v>
      </c>
    </row>
    <row r="741" spans="2:3" hidden="1" outlineLevel="1">
      <c r="B741" s="296"/>
      <c r="C741" s="296" t="s">
        <v>1117</v>
      </c>
    </row>
    <row r="742" spans="2:3" hidden="1" outlineLevel="1">
      <c r="B742" s="296"/>
      <c r="C742" s="296" t="s">
        <v>758</v>
      </c>
    </row>
    <row r="743" spans="2:3" hidden="1" outlineLevel="1">
      <c r="B743" s="296"/>
      <c r="C743" s="296" t="s">
        <v>758</v>
      </c>
    </row>
    <row r="744" spans="2:3" hidden="1" outlineLevel="1">
      <c r="B744" s="296"/>
      <c r="C744" s="296" t="s">
        <v>1118</v>
      </c>
    </row>
    <row r="745" spans="2:3" hidden="1" outlineLevel="1">
      <c r="B745" s="296"/>
      <c r="C745" s="296" t="s">
        <v>758</v>
      </c>
    </row>
    <row r="746" spans="2:3" hidden="1" outlineLevel="1">
      <c r="B746" s="296"/>
      <c r="C746" s="296" t="s">
        <v>1119</v>
      </c>
    </row>
    <row r="747" spans="2:3" hidden="1" outlineLevel="1">
      <c r="B747" s="296"/>
      <c r="C747" s="296" t="s">
        <v>1120</v>
      </c>
    </row>
    <row r="748" spans="2:3" hidden="1" outlineLevel="1">
      <c r="B748" s="296"/>
      <c r="C748" s="296" t="s">
        <v>1121</v>
      </c>
    </row>
    <row r="749" spans="2:3" hidden="1" outlineLevel="1">
      <c r="B749" s="296"/>
      <c r="C749" s="296" t="s">
        <v>1122</v>
      </c>
    </row>
    <row r="750" spans="2:3" hidden="1" outlineLevel="1">
      <c r="B750" s="296" t="s">
        <v>2001</v>
      </c>
      <c r="C750" s="294" t="s">
        <v>1123</v>
      </c>
    </row>
    <row r="751" spans="2:3" hidden="1" outlineLevel="1">
      <c r="B751" s="296" t="s">
        <v>1995</v>
      </c>
      <c r="C751" s="294" t="s">
        <v>1124</v>
      </c>
    </row>
    <row r="752" spans="2:3" hidden="1" outlineLevel="1">
      <c r="B752" s="296"/>
      <c r="C752" s="296" t="s">
        <v>1125</v>
      </c>
    </row>
    <row r="753" spans="2:3" hidden="1" outlineLevel="1">
      <c r="B753" s="296"/>
      <c r="C753" s="296" t="s">
        <v>1126</v>
      </c>
    </row>
    <row r="754" spans="2:3" hidden="1" outlineLevel="1">
      <c r="B754" s="296"/>
      <c r="C754" s="296"/>
    </row>
    <row r="755" spans="2:3" hidden="1" outlineLevel="1">
      <c r="B755" s="296"/>
      <c r="C755" s="296" t="s">
        <v>758</v>
      </c>
    </row>
    <row r="756" spans="2:3" hidden="1" outlineLevel="1">
      <c r="B756" s="296"/>
      <c r="C756" s="296" t="s">
        <v>1127</v>
      </c>
    </row>
    <row r="757" spans="2:3" hidden="1" outlineLevel="1">
      <c r="B757" s="296"/>
      <c r="C757" s="296" t="s">
        <v>758</v>
      </c>
    </row>
    <row r="758" spans="2:3" hidden="1" outlineLevel="1">
      <c r="B758" s="296"/>
      <c r="C758" s="296" t="s">
        <v>1128</v>
      </c>
    </row>
    <row r="759" spans="2:3" hidden="1" outlineLevel="1">
      <c r="B759" s="296"/>
      <c r="C759" s="296" t="s">
        <v>1129</v>
      </c>
    </row>
    <row r="760" spans="2:3" hidden="1" outlineLevel="1">
      <c r="B760" s="296"/>
      <c r="C760" s="296" t="s">
        <v>1130</v>
      </c>
    </row>
    <row r="761" spans="2:3" hidden="1" outlineLevel="1">
      <c r="B761" s="296"/>
      <c r="C761" s="296" t="s">
        <v>1131</v>
      </c>
    </row>
    <row r="762" spans="2:3" hidden="1" outlineLevel="1">
      <c r="B762" s="296"/>
      <c r="C762" s="296" t="s">
        <v>1132</v>
      </c>
    </row>
    <row r="763" spans="2:3" hidden="1" outlineLevel="1">
      <c r="B763" s="296"/>
      <c r="C763" s="296" t="s">
        <v>1133</v>
      </c>
    </row>
    <row r="764" spans="2:3" hidden="1" outlineLevel="1">
      <c r="B764" s="296"/>
      <c r="C764" s="296"/>
    </row>
    <row r="765" spans="2:3" hidden="1" outlineLevel="1">
      <c r="B765" s="296"/>
      <c r="C765" s="296" t="s">
        <v>758</v>
      </c>
    </row>
    <row r="766" spans="2:3" hidden="1" outlineLevel="1">
      <c r="B766" s="296"/>
      <c r="C766" s="296" t="s">
        <v>1134</v>
      </c>
    </row>
    <row r="767" spans="2:3" hidden="1" outlineLevel="1">
      <c r="B767" s="296"/>
      <c r="C767" s="296" t="s">
        <v>758</v>
      </c>
    </row>
    <row r="768" spans="2:3" hidden="1" outlineLevel="1">
      <c r="B768" s="296"/>
      <c r="C768" s="296" t="s">
        <v>1135</v>
      </c>
    </row>
    <row r="769" spans="2:3" hidden="1" outlineLevel="1">
      <c r="B769" s="296"/>
      <c r="C769" s="296" t="s">
        <v>1136</v>
      </c>
    </row>
    <row r="770" spans="2:3" hidden="1" outlineLevel="1">
      <c r="B770" s="296"/>
      <c r="C770" s="296" t="s">
        <v>1137</v>
      </c>
    </row>
    <row r="771" spans="2:3" hidden="1" outlineLevel="1">
      <c r="B771" s="296"/>
      <c r="C771" s="296" t="s">
        <v>1138</v>
      </c>
    </row>
    <row r="772" spans="2:3" hidden="1" outlineLevel="1">
      <c r="B772" s="296"/>
      <c r="C772" s="296" t="s">
        <v>1139</v>
      </c>
    </row>
    <row r="773" spans="2:3" hidden="1" outlineLevel="1">
      <c r="B773" s="296"/>
      <c r="C773" s="296" t="s">
        <v>1140</v>
      </c>
    </row>
    <row r="774" spans="2:3" hidden="1" outlineLevel="1">
      <c r="B774" s="296"/>
      <c r="C774" s="296" t="s">
        <v>1141</v>
      </c>
    </row>
    <row r="775" spans="2:3" hidden="1" outlineLevel="1">
      <c r="B775" s="296"/>
      <c r="C775" s="296" t="s">
        <v>1142</v>
      </c>
    </row>
    <row r="776" spans="2:3" hidden="1" outlineLevel="1">
      <c r="B776" s="296"/>
      <c r="C776" s="296" t="s">
        <v>1143</v>
      </c>
    </row>
    <row r="777" spans="2:3" hidden="1" outlineLevel="1">
      <c r="B777" s="296"/>
      <c r="C777" s="296" t="s">
        <v>1144</v>
      </c>
    </row>
    <row r="778" spans="2:3" hidden="1" outlineLevel="1">
      <c r="B778" s="296"/>
      <c r="C778" s="296" t="s">
        <v>1145</v>
      </c>
    </row>
    <row r="779" spans="2:3" hidden="1" outlineLevel="1">
      <c r="B779" s="296"/>
      <c r="C779" s="296" t="s">
        <v>1146</v>
      </c>
    </row>
    <row r="780" spans="2:3" hidden="1" outlineLevel="1">
      <c r="B780" s="296"/>
      <c r="C780" s="296" t="s">
        <v>1147</v>
      </c>
    </row>
    <row r="781" spans="2:3" hidden="1" outlineLevel="1">
      <c r="B781" s="296"/>
      <c r="C781" s="296" t="s">
        <v>1148</v>
      </c>
    </row>
    <row r="782" spans="2:3" hidden="1" outlineLevel="1">
      <c r="B782" s="296"/>
      <c r="C782" s="296" t="s">
        <v>1149</v>
      </c>
    </row>
    <row r="783" spans="2:3" hidden="1" outlineLevel="1">
      <c r="B783" s="296"/>
      <c r="C783" s="296" t="s">
        <v>1150</v>
      </c>
    </row>
    <row r="784" spans="2:3" hidden="1" outlineLevel="1">
      <c r="B784" s="296"/>
      <c r="C784" s="296" t="s">
        <v>835</v>
      </c>
    </row>
    <row r="785" spans="2:3" hidden="1" outlineLevel="1">
      <c r="B785" s="296"/>
      <c r="C785" s="296" t="s">
        <v>1151</v>
      </c>
    </row>
    <row r="786" spans="2:3" hidden="1" outlineLevel="1">
      <c r="B786" s="296"/>
      <c r="C786" s="296" t="s">
        <v>1152</v>
      </c>
    </row>
    <row r="787" spans="2:3" hidden="1" outlineLevel="1">
      <c r="B787" s="296"/>
      <c r="C787" s="296" t="s">
        <v>1153</v>
      </c>
    </row>
    <row r="788" spans="2:3" hidden="1" outlineLevel="1">
      <c r="B788" s="296"/>
      <c r="C788" s="296" t="s">
        <v>1154</v>
      </c>
    </row>
    <row r="789" spans="2:3" hidden="1" outlineLevel="1">
      <c r="B789" s="296"/>
      <c r="C789" s="296" t="s">
        <v>1155</v>
      </c>
    </row>
    <row r="790" spans="2:3" hidden="1" outlineLevel="1">
      <c r="B790" s="296"/>
      <c r="C790" s="296" t="s">
        <v>1156</v>
      </c>
    </row>
    <row r="791" spans="2:3" hidden="1" outlineLevel="1">
      <c r="B791" s="296"/>
      <c r="C791" s="296" t="s">
        <v>1157</v>
      </c>
    </row>
    <row r="792" spans="2:3" hidden="1" outlineLevel="1">
      <c r="B792" s="296"/>
      <c r="C792" s="296" t="s">
        <v>1158</v>
      </c>
    </row>
    <row r="793" spans="2:3" hidden="1" outlineLevel="1">
      <c r="B793" s="296"/>
      <c r="C793" s="296" t="s">
        <v>1159</v>
      </c>
    </row>
    <row r="794" spans="2:3" hidden="1" outlineLevel="1">
      <c r="B794" s="296"/>
      <c r="C794" s="296" t="s">
        <v>1160</v>
      </c>
    </row>
    <row r="795" spans="2:3" hidden="1" outlineLevel="1">
      <c r="B795" s="296"/>
      <c r="C795" s="296" t="s">
        <v>1161</v>
      </c>
    </row>
    <row r="796" spans="2:3" hidden="1" outlineLevel="1">
      <c r="B796" s="296"/>
      <c r="C796" s="296" t="s">
        <v>1162</v>
      </c>
    </row>
    <row r="797" spans="2:3" hidden="1" outlineLevel="1">
      <c r="B797" s="296"/>
      <c r="C797" s="296" t="s">
        <v>1163</v>
      </c>
    </row>
    <row r="798" spans="2:3" hidden="1" outlineLevel="1">
      <c r="B798" s="296"/>
      <c r="C798" s="296" t="s">
        <v>1164</v>
      </c>
    </row>
    <row r="799" spans="2:3" hidden="1" outlineLevel="1">
      <c r="B799" s="296"/>
      <c r="C799" s="296" t="s">
        <v>1165</v>
      </c>
    </row>
    <row r="800" spans="2:3" hidden="1" outlineLevel="1">
      <c r="B800" s="296"/>
      <c r="C800" s="296" t="s">
        <v>1150</v>
      </c>
    </row>
    <row r="801" spans="2:3" hidden="1" outlineLevel="1">
      <c r="B801" s="296"/>
      <c r="C801" s="296" t="s">
        <v>835</v>
      </c>
    </row>
    <row r="802" spans="2:3" hidden="1" outlineLevel="1">
      <c r="B802" s="296"/>
      <c r="C802" s="296" t="s">
        <v>1166</v>
      </c>
    </row>
    <row r="803" spans="2:3" hidden="1" outlineLevel="1">
      <c r="B803" s="296"/>
      <c r="C803" s="296" t="s">
        <v>1167</v>
      </c>
    </row>
    <row r="804" spans="2:3" hidden="1" outlineLevel="1">
      <c r="B804" s="296"/>
      <c r="C804" s="296" t="s">
        <v>1168</v>
      </c>
    </row>
    <row r="805" spans="2:3" hidden="1" outlineLevel="1">
      <c r="B805" s="296"/>
      <c r="C805" s="296" t="s">
        <v>1169</v>
      </c>
    </row>
    <row r="806" spans="2:3" hidden="1" outlineLevel="1">
      <c r="B806" s="296"/>
      <c r="C806" s="296" t="s">
        <v>1170</v>
      </c>
    </row>
    <row r="807" spans="2:3" hidden="1" outlineLevel="1">
      <c r="B807" s="296"/>
      <c r="C807" s="296" t="s">
        <v>1171</v>
      </c>
    </row>
    <row r="808" spans="2:3" hidden="1" outlineLevel="1">
      <c r="B808" s="296"/>
      <c r="C808" s="296" t="s">
        <v>1172</v>
      </c>
    </row>
    <row r="809" spans="2:3" hidden="1" outlineLevel="1">
      <c r="B809" s="296"/>
      <c r="C809" s="296" t="s">
        <v>1173</v>
      </c>
    </row>
    <row r="810" spans="2:3" hidden="1" outlineLevel="1">
      <c r="B810" s="296"/>
      <c r="C810" s="296" t="s">
        <v>1174</v>
      </c>
    </row>
    <row r="811" spans="2:3" hidden="1" outlineLevel="1">
      <c r="B811" s="296"/>
      <c r="C811" s="296" t="s">
        <v>1175</v>
      </c>
    </row>
    <row r="812" spans="2:3" hidden="1" outlineLevel="1">
      <c r="B812" s="296"/>
      <c r="C812" s="296" t="s">
        <v>1176</v>
      </c>
    </row>
    <row r="813" spans="2:3" hidden="1" outlineLevel="1">
      <c r="B813" s="296"/>
      <c r="C813" s="296" t="s">
        <v>1177</v>
      </c>
    </row>
    <row r="814" spans="2:3" hidden="1" outlineLevel="1">
      <c r="B814" s="296"/>
      <c r="C814" s="296" t="s">
        <v>1178</v>
      </c>
    </row>
    <row r="815" spans="2:3" hidden="1" outlineLevel="1">
      <c r="B815" s="296"/>
      <c r="C815" s="296" t="s">
        <v>1179</v>
      </c>
    </row>
    <row r="816" spans="2:3" hidden="1" outlineLevel="1">
      <c r="B816" s="296"/>
      <c r="C816" s="296" t="s">
        <v>1180</v>
      </c>
    </row>
    <row r="817" spans="2:3" hidden="1" outlineLevel="1">
      <c r="B817" s="296"/>
      <c r="C817" s="296" t="s">
        <v>1181</v>
      </c>
    </row>
    <row r="818" spans="2:3" hidden="1" outlineLevel="1">
      <c r="B818" s="296"/>
      <c r="C818" s="296" t="s">
        <v>835</v>
      </c>
    </row>
    <row r="819" spans="2:3" hidden="1" outlineLevel="1">
      <c r="B819" s="296"/>
      <c r="C819" s="296"/>
    </row>
    <row r="820" spans="2:3" hidden="1" outlineLevel="1">
      <c r="B820" s="296"/>
      <c r="C820" s="296" t="s">
        <v>758</v>
      </c>
    </row>
    <row r="821" spans="2:3" hidden="1" outlineLevel="1">
      <c r="B821" s="296"/>
      <c r="C821" s="296" t="s">
        <v>867</v>
      </c>
    </row>
    <row r="822" spans="2:3" hidden="1" outlineLevel="1">
      <c r="B822" s="296"/>
      <c r="C822" s="296" t="s">
        <v>1182</v>
      </c>
    </row>
    <row r="823" spans="2:3" hidden="1" outlineLevel="1">
      <c r="B823" s="296"/>
      <c r="C823" s="296" t="s">
        <v>1183</v>
      </c>
    </row>
    <row r="824" spans="2:3" hidden="1" outlineLevel="1">
      <c r="B824" s="296"/>
      <c r="C824" s="296" t="s">
        <v>1184</v>
      </c>
    </row>
    <row r="825" spans="2:3" hidden="1" outlineLevel="1">
      <c r="B825" s="296"/>
      <c r="C825" s="296"/>
    </row>
    <row r="826" spans="2:3" hidden="1" outlineLevel="1">
      <c r="B826" s="296"/>
      <c r="C826" s="296" t="s">
        <v>1185</v>
      </c>
    </row>
    <row r="827" spans="2:3" hidden="1" outlineLevel="1">
      <c r="B827" s="296"/>
      <c r="C827" s="296" t="s">
        <v>1186</v>
      </c>
    </row>
    <row r="828" spans="2:3" hidden="1" outlineLevel="1">
      <c r="B828" s="296"/>
      <c r="C828" s="296"/>
    </row>
    <row r="829" spans="2:3" hidden="1" outlineLevel="1">
      <c r="B829" s="296"/>
      <c r="C829" s="296" t="s">
        <v>1187</v>
      </c>
    </row>
    <row r="830" spans="2:3" hidden="1" outlineLevel="1">
      <c r="B830" s="296"/>
      <c r="C830" s="296" t="s">
        <v>1188</v>
      </c>
    </row>
    <row r="831" spans="2:3" hidden="1" outlineLevel="1">
      <c r="B831" s="296"/>
      <c r="C831" s="296" t="s">
        <v>1189</v>
      </c>
    </row>
    <row r="832" spans="2:3" hidden="1" outlineLevel="1">
      <c r="B832" s="296"/>
      <c r="C832" s="296" t="s">
        <v>1190</v>
      </c>
    </row>
    <row r="833" spans="2:3" hidden="1" outlineLevel="1">
      <c r="B833" s="296"/>
      <c r="C833" s="296" t="s">
        <v>835</v>
      </c>
    </row>
    <row r="834" spans="2:3" hidden="1" outlineLevel="1">
      <c r="B834" s="296"/>
      <c r="C834" s="296"/>
    </row>
    <row r="835" spans="2:3" hidden="1" outlineLevel="1">
      <c r="B835" s="296"/>
      <c r="C835" s="296" t="s">
        <v>758</v>
      </c>
    </row>
    <row r="836" spans="2:3" hidden="1" outlineLevel="1">
      <c r="B836" s="296"/>
      <c r="C836" s="296" t="s">
        <v>1191</v>
      </c>
    </row>
    <row r="837" spans="2:3" hidden="1" outlineLevel="1">
      <c r="B837" s="296"/>
      <c r="C837" s="296" t="s">
        <v>758</v>
      </c>
    </row>
    <row r="838" spans="2:3" hidden="1" outlineLevel="1">
      <c r="B838" s="296"/>
      <c r="C838" s="296" t="s">
        <v>754</v>
      </c>
    </row>
    <row r="839" spans="2:3" hidden="1" outlineLevel="1">
      <c r="B839" s="296"/>
      <c r="C839" s="296" t="s">
        <v>1192</v>
      </c>
    </row>
    <row r="840" spans="2:3" hidden="1" outlineLevel="1">
      <c r="B840" s="296"/>
      <c r="C840" s="296" t="s">
        <v>879</v>
      </c>
    </row>
    <row r="841" spans="2:3" hidden="1" outlineLevel="1">
      <c r="B841" s="296"/>
      <c r="C841" s="296" t="s">
        <v>1193</v>
      </c>
    </row>
    <row r="842" spans="2:3" hidden="1" outlineLevel="1">
      <c r="B842" s="296"/>
      <c r="C842" s="296" t="s">
        <v>1194</v>
      </c>
    </row>
    <row r="843" spans="2:3" hidden="1" outlineLevel="1">
      <c r="B843" s="296"/>
      <c r="C843" s="296" t="s">
        <v>754</v>
      </c>
    </row>
    <row r="844" spans="2:3" hidden="1" outlineLevel="1">
      <c r="B844" s="296"/>
      <c r="C844" s="296" t="s">
        <v>1195</v>
      </c>
    </row>
    <row r="845" spans="2:3" hidden="1" outlineLevel="1">
      <c r="B845" s="296"/>
      <c r="C845" s="296" t="s">
        <v>883</v>
      </c>
    </row>
    <row r="846" spans="2:3" hidden="1" outlineLevel="1">
      <c r="B846" s="296"/>
      <c r="C846" s="296" t="s">
        <v>1196</v>
      </c>
    </row>
    <row r="847" spans="2:3" hidden="1" outlineLevel="1">
      <c r="B847" s="296"/>
      <c r="C847" s="296" t="s">
        <v>1197</v>
      </c>
    </row>
    <row r="848" spans="2:3" hidden="1" outlineLevel="1">
      <c r="B848" s="296"/>
      <c r="C848" s="296" t="s">
        <v>1198</v>
      </c>
    </row>
    <row r="849" spans="2:3" hidden="1" outlineLevel="1">
      <c r="B849" s="296"/>
      <c r="C849" s="296" t="s">
        <v>1199</v>
      </c>
    </row>
    <row r="850" spans="2:3" hidden="1" outlineLevel="1">
      <c r="B850" s="296"/>
      <c r="C850" s="296" t="s">
        <v>1200</v>
      </c>
    </row>
    <row r="851" spans="2:3" hidden="1" outlineLevel="1">
      <c r="B851" s="296" t="s">
        <v>2001</v>
      </c>
      <c r="C851" s="294" t="s">
        <v>1201</v>
      </c>
    </row>
    <row r="852" spans="2:3" hidden="1" outlineLevel="1">
      <c r="B852" s="296" t="s">
        <v>1995</v>
      </c>
      <c r="C852" s="294" t="s">
        <v>1202</v>
      </c>
    </row>
    <row r="853" spans="2:3" hidden="1" outlineLevel="1">
      <c r="B853" s="296"/>
      <c r="C853" s="296" t="s">
        <v>1203</v>
      </c>
    </row>
    <row r="854" spans="2:3" hidden="1" outlineLevel="1">
      <c r="B854" s="296"/>
      <c r="C854" s="296" t="s">
        <v>892</v>
      </c>
    </row>
    <row r="855" spans="2:3" hidden="1" outlineLevel="1">
      <c r="B855" s="296"/>
      <c r="C855" s="296"/>
    </row>
    <row r="856" spans="2:3" hidden="1" outlineLevel="1">
      <c r="B856" s="296"/>
      <c r="C856" s="296" t="s">
        <v>754</v>
      </c>
    </row>
    <row r="857" spans="2:3" hidden="1" outlineLevel="1">
      <c r="B857" s="296"/>
      <c r="C857" s="296" t="s">
        <v>1204</v>
      </c>
    </row>
    <row r="858" spans="2:3" hidden="1" outlineLevel="1">
      <c r="B858" s="296"/>
      <c r="C858" s="296" t="s">
        <v>879</v>
      </c>
    </row>
    <row r="859" spans="2:3" hidden="1" outlineLevel="1">
      <c r="B859" s="296"/>
      <c r="C859" s="296" t="s">
        <v>1193</v>
      </c>
    </row>
    <row r="860" spans="2:3" hidden="1" outlineLevel="1">
      <c r="B860" s="296"/>
      <c r="C860" s="296" t="s">
        <v>1194</v>
      </c>
    </row>
    <row r="861" spans="2:3" hidden="1" outlineLevel="1">
      <c r="B861" s="296"/>
      <c r="C861" s="296" t="s">
        <v>754</v>
      </c>
    </row>
    <row r="862" spans="2:3" hidden="1" outlineLevel="1">
      <c r="B862" s="296"/>
      <c r="C862" s="296" t="s">
        <v>1383</v>
      </c>
    </row>
    <row r="863" spans="2:3" hidden="1" outlineLevel="1">
      <c r="B863" s="296"/>
      <c r="C863" s="296" t="s">
        <v>883</v>
      </c>
    </row>
    <row r="864" spans="2:3" hidden="1" outlineLevel="1">
      <c r="B864" s="296"/>
      <c r="C864" s="296" t="s">
        <v>1205</v>
      </c>
    </row>
    <row r="865" spans="2:3" hidden="1" outlineLevel="1">
      <c r="B865" s="296"/>
      <c r="C865" s="296" t="s">
        <v>1206</v>
      </c>
    </row>
    <row r="866" spans="2:3" hidden="1" outlineLevel="1">
      <c r="B866" s="296"/>
      <c r="C866" s="296" t="s">
        <v>1207</v>
      </c>
    </row>
    <row r="867" spans="2:3" hidden="1" outlineLevel="1">
      <c r="B867" s="296"/>
      <c r="C867" s="296" t="s">
        <v>1208</v>
      </c>
    </row>
    <row r="868" spans="2:3" hidden="1" outlineLevel="1">
      <c r="B868" s="296"/>
      <c r="C868" s="296" t="s">
        <v>1209</v>
      </c>
    </row>
    <row r="869" spans="2:3" hidden="1" outlineLevel="1">
      <c r="B869" s="296"/>
      <c r="C869" s="296" t="s">
        <v>1210</v>
      </c>
    </row>
    <row r="870" spans="2:3" hidden="1" outlineLevel="1">
      <c r="B870" s="296"/>
      <c r="C870" s="296" t="s">
        <v>1211</v>
      </c>
    </row>
    <row r="871" spans="2:3" hidden="1" outlineLevel="1">
      <c r="B871" s="296"/>
      <c r="C871" s="296" t="s">
        <v>1212</v>
      </c>
    </row>
    <row r="872" spans="2:3" hidden="1" outlineLevel="1">
      <c r="B872" s="296"/>
      <c r="C872" s="296" t="s">
        <v>1213</v>
      </c>
    </row>
    <row r="873" spans="2:3" hidden="1" outlineLevel="1">
      <c r="B873" s="296"/>
      <c r="C873" s="296" t="s">
        <v>1214</v>
      </c>
    </row>
    <row r="874" spans="2:3" hidden="1" outlineLevel="1">
      <c r="B874" s="296"/>
      <c r="C874" s="296" t="s">
        <v>1215</v>
      </c>
    </row>
    <row r="875" spans="2:3" hidden="1" outlineLevel="1">
      <c r="B875" s="296"/>
      <c r="C875" s="296" t="s">
        <v>1216</v>
      </c>
    </row>
    <row r="876" spans="2:3" hidden="1" outlineLevel="1">
      <c r="B876" s="296"/>
      <c r="C876" s="296" t="s">
        <v>1217</v>
      </c>
    </row>
    <row r="877" spans="2:3" hidden="1" outlineLevel="1">
      <c r="B877" s="296"/>
      <c r="C877" s="296" t="s">
        <v>1218</v>
      </c>
    </row>
    <row r="878" spans="2:3" hidden="1" outlineLevel="1">
      <c r="B878" s="296"/>
      <c r="C878" s="296" t="s">
        <v>1219</v>
      </c>
    </row>
    <row r="879" spans="2:3" hidden="1" outlineLevel="1">
      <c r="B879" s="296"/>
      <c r="C879" s="296" t="s">
        <v>1220</v>
      </c>
    </row>
    <row r="880" spans="2:3" hidden="1" outlineLevel="1">
      <c r="B880" s="296"/>
      <c r="C880" s="296"/>
    </row>
    <row r="881" spans="2:3" hidden="1" outlineLevel="1">
      <c r="B881" s="296"/>
      <c r="C881" s="296" t="s">
        <v>1221</v>
      </c>
    </row>
    <row r="882" spans="2:3" hidden="1" outlineLevel="1">
      <c r="B882" s="296"/>
      <c r="C882" s="296" t="s">
        <v>1222</v>
      </c>
    </row>
    <row r="883" spans="2:3" hidden="1" outlineLevel="1">
      <c r="B883" s="296"/>
      <c r="C883" s="296" t="s">
        <v>1223</v>
      </c>
    </row>
    <row r="884" spans="2:3" hidden="1" outlineLevel="1">
      <c r="B884" s="296"/>
      <c r="C884" s="296" t="s">
        <v>1190</v>
      </c>
    </row>
    <row r="885" spans="2:3" hidden="1" outlineLevel="1">
      <c r="B885" s="296"/>
      <c r="C885" s="296"/>
    </row>
    <row r="886" spans="2:3" hidden="1" outlineLevel="1">
      <c r="B886" s="296"/>
      <c r="C886" s="296" t="s">
        <v>1224</v>
      </c>
    </row>
    <row r="887" spans="2:3" hidden="1" outlineLevel="1">
      <c r="B887" s="296"/>
      <c r="C887" s="296" t="s">
        <v>1225</v>
      </c>
    </row>
    <row r="888" spans="2:3" hidden="1" outlineLevel="1">
      <c r="B888" s="296"/>
      <c r="C888" s="296" t="s">
        <v>1226</v>
      </c>
    </row>
    <row r="889" spans="2:3" hidden="1" outlineLevel="1">
      <c r="B889" s="296"/>
      <c r="C889" s="296" t="s">
        <v>1227</v>
      </c>
    </row>
    <row r="890" spans="2:3" hidden="1" outlineLevel="1">
      <c r="B890" s="296"/>
      <c r="C890" s="296" t="s">
        <v>1228</v>
      </c>
    </row>
    <row r="891" spans="2:3" hidden="1" outlineLevel="1">
      <c r="B891" s="296"/>
      <c r="C891" s="296" t="s">
        <v>1229</v>
      </c>
    </row>
    <row r="892" spans="2:3" hidden="1" outlineLevel="1">
      <c r="B892" s="296"/>
      <c r="C892" s="296"/>
    </row>
    <row r="893" spans="2:3" hidden="1" outlineLevel="1">
      <c r="B893" s="296"/>
      <c r="C893" s="296" t="s">
        <v>1230</v>
      </c>
    </row>
    <row r="894" spans="2:3" hidden="1" outlineLevel="1">
      <c r="B894" s="296"/>
      <c r="C894" s="296"/>
    </row>
    <row r="895" spans="2:3" hidden="1" outlineLevel="1">
      <c r="B895" s="296"/>
      <c r="C895" s="296" t="s">
        <v>1231</v>
      </c>
    </row>
    <row r="896" spans="2:3" hidden="1" outlineLevel="1">
      <c r="B896" s="296"/>
      <c r="C896" s="296" t="s">
        <v>1232</v>
      </c>
    </row>
    <row r="897" spans="2:3" hidden="1" outlineLevel="1">
      <c r="B897" s="296"/>
      <c r="C897" s="296" t="s">
        <v>1190</v>
      </c>
    </row>
    <row r="898" spans="2:3" hidden="1" outlineLevel="1">
      <c r="B898" s="296"/>
      <c r="C898" s="296"/>
    </row>
    <row r="899" spans="2:3" hidden="1" outlineLevel="1">
      <c r="B899" s="296"/>
      <c r="C899" s="296" t="s">
        <v>1233</v>
      </c>
    </row>
    <row r="900" spans="2:3" hidden="1" outlineLevel="1">
      <c r="B900" s="296"/>
      <c r="C900" s="296" t="s">
        <v>1234</v>
      </c>
    </row>
    <row r="901" spans="2:3" hidden="1" outlineLevel="1">
      <c r="B901" s="296"/>
      <c r="C901" s="296" t="s">
        <v>1190</v>
      </c>
    </row>
    <row r="902" spans="2:3" hidden="1" outlineLevel="1">
      <c r="B902" s="296"/>
      <c r="C902" s="296"/>
    </row>
    <row r="903" spans="2:3" hidden="1" outlineLevel="1">
      <c r="B903" s="296"/>
      <c r="C903" s="296" t="s">
        <v>1235</v>
      </c>
    </row>
    <row r="904" spans="2:3" hidden="1" outlineLevel="1">
      <c r="B904" s="296"/>
      <c r="C904" s="296" t="s">
        <v>1236</v>
      </c>
    </row>
    <row r="905" spans="2:3" hidden="1" outlineLevel="1">
      <c r="B905" s="296"/>
      <c r="C905" s="296" t="s">
        <v>1190</v>
      </c>
    </row>
    <row r="906" spans="2:3" hidden="1" outlineLevel="1">
      <c r="B906" s="296"/>
      <c r="C906" s="296"/>
    </row>
    <row r="907" spans="2:3" hidden="1" outlineLevel="1">
      <c r="B907" s="296"/>
      <c r="C907" s="296" t="s">
        <v>1237</v>
      </c>
    </row>
    <row r="908" spans="2:3" hidden="1" outlineLevel="1">
      <c r="B908" s="296"/>
      <c r="C908" s="296" t="s">
        <v>1238</v>
      </c>
    </row>
    <row r="909" spans="2:3" hidden="1" outlineLevel="1">
      <c r="B909" s="296"/>
      <c r="C909" s="296" t="s">
        <v>1190</v>
      </c>
    </row>
    <row r="910" spans="2:3" hidden="1" outlineLevel="1">
      <c r="B910" s="296"/>
      <c r="C910" s="296"/>
    </row>
    <row r="911" spans="2:3" hidden="1" outlineLevel="1">
      <c r="B911" s="296"/>
      <c r="C911" s="296" t="s">
        <v>1239</v>
      </c>
    </row>
    <row r="912" spans="2:3" hidden="1" outlineLevel="1">
      <c r="B912" s="296"/>
      <c r="C912" s="296" t="s">
        <v>892</v>
      </c>
    </row>
    <row r="913" spans="2:3" hidden="1" outlineLevel="1">
      <c r="B913" s="296"/>
      <c r="C913" s="296"/>
    </row>
    <row r="914" spans="2:3" hidden="1" outlineLevel="1">
      <c r="B914" s="296"/>
      <c r="C914" s="296" t="s">
        <v>754</v>
      </c>
    </row>
    <row r="915" spans="2:3" hidden="1" outlineLevel="1">
      <c r="B915" s="296"/>
      <c r="C915" s="296" t="s">
        <v>1240</v>
      </c>
    </row>
    <row r="916" spans="2:3" hidden="1" outlineLevel="1">
      <c r="B916" s="296"/>
      <c r="C916" s="296" t="s">
        <v>879</v>
      </c>
    </row>
    <row r="917" spans="2:3" hidden="1" outlineLevel="1">
      <c r="B917" s="296"/>
      <c r="C917" s="296" t="s">
        <v>1193</v>
      </c>
    </row>
    <row r="918" spans="2:3" hidden="1" outlineLevel="1">
      <c r="B918" s="296"/>
      <c r="C918" s="296" t="s">
        <v>1194</v>
      </c>
    </row>
    <row r="919" spans="2:3" hidden="1" outlineLevel="1">
      <c r="B919" s="296"/>
      <c r="C919" s="296" t="s">
        <v>754</v>
      </c>
    </row>
    <row r="920" spans="2:3" hidden="1" outlineLevel="1">
      <c r="B920" s="296"/>
      <c r="C920" s="296" t="s">
        <v>1241</v>
      </c>
    </row>
    <row r="921" spans="2:3" hidden="1" outlineLevel="1">
      <c r="B921" s="296"/>
      <c r="C921" s="296" t="s">
        <v>883</v>
      </c>
    </row>
    <row r="922" spans="2:3" hidden="1" outlineLevel="1">
      <c r="B922" s="296"/>
      <c r="C922" s="296" t="s">
        <v>1242</v>
      </c>
    </row>
    <row r="923" spans="2:3" hidden="1" outlineLevel="1">
      <c r="B923" s="296"/>
      <c r="C923" s="296" t="s">
        <v>1243</v>
      </c>
    </row>
    <row r="924" spans="2:3" hidden="1" outlineLevel="1">
      <c r="B924" s="296"/>
      <c r="C924" s="296" t="s">
        <v>1244</v>
      </c>
    </row>
    <row r="925" spans="2:3" hidden="1" outlineLevel="1">
      <c r="B925" s="296"/>
      <c r="C925" s="296" t="s">
        <v>1245</v>
      </c>
    </row>
    <row r="926" spans="2:3" hidden="1" outlineLevel="1">
      <c r="B926" s="296"/>
      <c r="C926" s="296" t="s">
        <v>1246</v>
      </c>
    </row>
    <row r="927" spans="2:3" hidden="1" outlineLevel="1">
      <c r="B927" s="296"/>
      <c r="C927" s="296" t="s">
        <v>1247</v>
      </c>
    </row>
    <row r="928" spans="2:3" hidden="1" outlineLevel="1">
      <c r="B928" s="296"/>
      <c r="C928" s="296" t="s">
        <v>1248</v>
      </c>
    </row>
    <row r="929" spans="2:3" hidden="1" outlineLevel="1">
      <c r="B929" s="296"/>
      <c r="C929" s="296" t="s">
        <v>1249</v>
      </c>
    </row>
    <row r="930" spans="2:3" hidden="1" outlineLevel="1">
      <c r="B930" s="296"/>
      <c r="C930" s="296" t="s">
        <v>1250</v>
      </c>
    </row>
    <row r="931" spans="2:3" hidden="1" outlineLevel="1">
      <c r="B931" s="296"/>
      <c r="C931" s="296" t="s">
        <v>1251</v>
      </c>
    </row>
    <row r="932" spans="2:3" hidden="1" outlineLevel="1">
      <c r="B932" s="296"/>
      <c r="C932" s="296" t="s">
        <v>1252</v>
      </c>
    </row>
    <row r="933" spans="2:3" hidden="1" outlineLevel="1">
      <c r="B933" s="296"/>
      <c r="C933" s="296" t="s">
        <v>1253</v>
      </c>
    </row>
    <row r="934" spans="2:3" hidden="1" outlineLevel="1">
      <c r="B934" s="296"/>
      <c r="C934" s="296"/>
    </row>
    <row r="935" spans="2:3" hidden="1" outlineLevel="1">
      <c r="B935" s="296"/>
      <c r="C935" s="296" t="s">
        <v>1254</v>
      </c>
    </row>
    <row r="936" spans="2:3" hidden="1" outlineLevel="1">
      <c r="B936" s="296"/>
      <c r="C936" s="296" t="s">
        <v>1255</v>
      </c>
    </row>
    <row r="937" spans="2:3" hidden="1" outlineLevel="1">
      <c r="B937" s="296"/>
      <c r="C937" s="296" t="s">
        <v>1256</v>
      </c>
    </row>
    <row r="938" spans="2:3" hidden="1" outlineLevel="1">
      <c r="B938" s="296"/>
      <c r="C938" s="296" t="s">
        <v>1257</v>
      </c>
    </row>
    <row r="939" spans="2:3" hidden="1" outlineLevel="1">
      <c r="B939" s="296"/>
      <c r="C939" s="296" t="s">
        <v>1255</v>
      </c>
    </row>
    <row r="940" spans="2:3" hidden="1" outlineLevel="1">
      <c r="B940" s="296"/>
      <c r="C940" s="296" t="s">
        <v>1258</v>
      </c>
    </row>
    <row r="941" spans="2:3" hidden="1" outlineLevel="1">
      <c r="B941" s="296"/>
      <c r="C941" s="296" t="s">
        <v>1259</v>
      </c>
    </row>
    <row r="942" spans="2:3" hidden="1" outlineLevel="1">
      <c r="B942" s="296"/>
      <c r="C942" s="296" t="s">
        <v>1260</v>
      </c>
    </row>
    <row r="943" spans="2:3" hidden="1" outlineLevel="1">
      <c r="B943" s="296"/>
      <c r="C943" s="296"/>
    </row>
    <row r="944" spans="2:3" hidden="1" outlineLevel="1">
      <c r="B944" s="296"/>
      <c r="C944" s="296" t="s">
        <v>1261</v>
      </c>
    </row>
    <row r="945" spans="2:3" hidden="1" outlineLevel="1">
      <c r="B945" s="296"/>
      <c r="C945" s="296" t="s">
        <v>1262</v>
      </c>
    </row>
    <row r="946" spans="2:3" hidden="1" outlineLevel="1">
      <c r="B946" s="296"/>
      <c r="C946" s="296"/>
    </row>
    <row r="947" spans="2:3" hidden="1" outlineLevel="1">
      <c r="B947" s="296"/>
      <c r="C947" s="296" t="s">
        <v>1263</v>
      </c>
    </row>
    <row r="948" spans="2:3" hidden="1" outlineLevel="1">
      <c r="B948" s="296"/>
      <c r="C948" s="296"/>
    </row>
    <row r="949" spans="2:3" hidden="1" outlineLevel="1">
      <c r="B949" s="296"/>
      <c r="C949" s="296" t="s">
        <v>1264</v>
      </c>
    </row>
    <row r="950" spans="2:3" hidden="1" outlineLevel="1">
      <c r="B950" s="296"/>
      <c r="C950" s="296" t="s">
        <v>1265</v>
      </c>
    </row>
    <row r="951" spans="2:3" hidden="1" outlineLevel="1">
      <c r="B951" s="296"/>
      <c r="C951" s="296"/>
    </row>
    <row r="952" spans="2:3" hidden="1" outlineLevel="1">
      <c r="B952" s="296"/>
      <c r="C952" s="296" t="s">
        <v>1266</v>
      </c>
    </row>
    <row r="953" spans="2:3" hidden="1" outlineLevel="1">
      <c r="B953" s="296"/>
      <c r="C953" s="296" t="s">
        <v>1267</v>
      </c>
    </row>
    <row r="954" spans="2:3" hidden="1" outlineLevel="1">
      <c r="B954" s="296"/>
      <c r="C954" s="296" t="s">
        <v>1268</v>
      </c>
    </row>
    <row r="955" spans="2:3" hidden="1" outlineLevel="1">
      <c r="B955" s="296"/>
      <c r="C955" s="296"/>
    </row>
    <row r="956" spans="2:3" hidden="1" outlineLevel="1">
      <c r="B956" s="296"/>
      <c r="C956" s="296" t="s">
        <v>1269</v>
      </c>
    </row>
    <row r="957" spans="2:3" hidden="1" outlineLevel="1">
      <c r="B957" s="296"/>
      <c r="C957" s="296" t="s">
        <v>1270</v>
      </c>
    </row>
    <row r="958" spans="2:3" hidden="1" outlineLevel="1">
      <c r="B958" s="296"/>
      <c r="C958" s="296" t="s">
        <v>1271</v>
      </c>
    </row>
    <row r="959" spans="2:3" hidden="1" outlineLevel="1">
      <c r="B959" s="296"/>
      <c r="C959" s="296" t="s">
        <v>1272</v>
      </c>
    </row>
    <row r="960" spans="2:3" hidden="1" outlineLevel="1">
      <c r="B960" s="296"/>
      <c r="C960" s="296" t="s">
        <v>1273</v>
      </c>
    </row>
    <row r="961" spans="2:3" hidden="1" outlineLevel="1">
      <c r="B961" s="296"/>
      <c r="C961" s="296"/>
    </row>
    <row r="962" spans="2:3" hidden="1" outlineLevel="1">
      <c r="B962" s="296"/>
      <c r="C962" s="296" t="s">
        <v>1274</v>
      </c>
    </row>
    <row r="963" spans="2:3" hidden="1" outlineLevel="1">
      <c r="B963" s="296"/>
      <c r="C963" s="296" t="s">
        <v>1270</v>
      </c>
    </row>
    <row r="964" spans="2:3" hidden="1" outlineLevel="1">
      <c r="B964" s="296"/>
      <c r="C964" s="296" t="s">
        <v>1275</v>
      </c>
    </row>
    <row r="965" spans="2:3" hidden="1" outlineLevel="1">
      <c r="B965" s="296"/>
      <c r="C965" s="296" t="s">
        <v>1276</v>
      </c>
    </row>
    <row r="966" spans="2:3" hidden="1" outlineLevel="1">
      <c r="B966" s="296"/>
      <c r="C966" s="296" t="s">
        <v>1273</v>
      </c>
    </row>
    <row r="967" spans="2:3" hidden="1" outlineLevel="1">
      <c r="B967" s="296"/>
      <c r="C967" s="296"/>
    </row>
    <row r="968" spans="2:3" hidden="1" outlineLevel="1">
      <c r="B968" s="296"/>
      <c r="C968" s="296" t="s">
        <v>1277</v>
      </c>
    </row>
    <row r="969" spans="2:3" hidden="1" outlineLevel="1">
      <c r="B969" s="296"/>
      <c r="C969" s="296" t="s">
        <v>1270</v>
      </c>
    </row>
    <row r="970" spans="2:3" hidden="1" outlineLevel="1">
      <c r="B970" s="296"/>
      <c r="C970" s="296" t="s">
        <v>1278</v>
      </c>
    </row>
    <row r="971" spans="2:3" hidden="1" outlineLevel="1">
      <c r="B971" s="296"/>
      <c r="C971" s="296" t="s">
        <v>1279</v>
      </c>
    </row>
    <row r="972" spans="2:3" hidden="1" outlineLevel="1">
      <c r="B972" s="296"/>
      <c r="C972" s="296" t="s">
        <v>1273</v>
      </c>
    </row>
    <row r="973" spans="2:3" hidden="1" outlineLevel="1">
      <c r="B973" s="296"/>
      <c r="C973" s="296"/>
    </row>
    <row r="974" spans="2:3" hidden="1" outlineLevel="1">
      <c r="B974" s="296"/>
      <c r="C974" s="296" t="s">
        <v>1280</v>
      </c>
    </row>
    <row r="975" spans="2:3" hidden="1" outlineLevel="1">
      <c r="B975" s="296"/>
      <c r="C975" s="296" t="s">
        <v>1270</v>
      </c>
    </row>
    <row r="976" spans="2:3" hidden="1" outlineLevel="1">
      <c r="B976" s="296"/>
      <c r="C976" s="296" t="s">
        <v>1281</v>
      </c>
    </row>
    <row r="977" spans="2:3" hidden="1" outlineLevel="1">
      <c r="B977" s="296"/>
      <c r="C977" s="296" t="s">
        <v>1282</v>
      </c>
    </row>
    <row r="978" spans="2:3" hidden="1" outlineLevel="1">
      <c r="B978" s="296"/>
      <c r="C978" s="296" t="s">
        <v>1273</v>
      </c>
    </row>
    <row r="979" spans="2:3" hidden="1" outlineLevel="1">
      <c r="B979" s="296"/>
      <c r="C979" s="296"/>
    </row>
    <row r="980" spans="2:3" hidden="1" outlineLevel="1">
      <c r="B980" s="296"/>
      <c r="C980" s="296" t="s">
        <v>1190</v>
      </c>
    </row>
    <row r="981" spans="2:3" hidden="1" outlineLevel="1">
      <c r="B981" s="296"/>
      <c r="C981" s="296"/>
    </row>
    <row r="982" spans="2:3" hidden="1" outlineLevel="1">
      <c r="B982" s="296"/>
      <c r="C982" s="296" t="s">
        <v>1283</v>
      </c>
    </row>
    <row r="983" spans="2:3" hidden="1" outlineLevel="1">
      <c r="B983" s="296"/>
      <c r="C983" s="296" t="s">
        <v>1284</v>
      </c>
    </row>
    <row r="984" spans="2:3" hidden="1" outlineLevel="1">
      <c r="B984" s="296"/>
      <c r="C984" s="296" t="s">
        <v>1270</v>
      </c>
    </row>
    <row r="985" spans="2:3" hidden="1" outlineLevel="1">
      <c r="B985" s="296"/>
      <c r="C985" s="296" t="s">
        <v>1285</v>
      </c>
    </row>
    <row r="986" spans="2:3" hidden="1" outlineLevel="1">
      <c r="B986" s="296"/>
      <c r="C986" s="296" t="s">
        <v>1286</v>
      </c>
    </row>
    <row r="987" spans="2:3" hidden="1" outlineLevel="1">
      <c r="B987" s="296"/>
      <c r="C987" s="296" t="s">
        <v>1273</v>
      </c>
    </row>
    <row r="988" spans="2:3" hidden="1" outlineLevel="1">
      <c r="B988" s="296"/>
      <c r="C988" s="296" t="s">
        <v>1190</v>
      </c>
    </row>
    <row r="989" spans="2:3" hidden="1" outlineLevel="1">
      <c r="B989" s="296"/>
      <c r="C989" s="296"/>
    </row>
    <row r="990" spans="2:3" hidden="1" outlineLevel="1">
      <c r="B990" s="296"/>
      <c r="C990" s="296" t="s">
        <v>1287</v>
      </c>
    </row>
    <row r="991" spans="2:3" hidden="1" outlineLevel="1">
      <c r="B991" s="296"/>
      <c r="C991" s="296" t="s">
        <v>892</v>
      </c>
    </row>
    <row r="992" spans="2:3" hidden="1" outlineLevel="1">
      <c r="B992" s="296"/>
      <c r="C992" s="296"/>
    </row>
    <row r="993" spans="2:3" collapsed="1">
      <c r="B993" s="296"/>
      <c r="C993" s="296" t="s">
        <v>754</v>
      </c>
    </row>
    <row r="994" spans="2:3">
      <c r="B994" s="296"/>
      <c r="C994" s="296" t="s">
        <v>1288</v>
      </c>
    </row>
    <row r="995" spans="2:3">
      <c r="B995" s="296"/>
      <c r="C995" s="296" t="s">
        <v>879</v>
      </c>
    </row>
    <row r="996" spans="2:3">
      <c r="B996" s="296"/>
      <c r="C996" s="296" t="s">
        <v>1193</v>
      </c>
    </row>
    <row r="997" spans="2:3">
      <c r="B997" s="296"/>
      <c r="C997" s="296" t="s">
        <v>1194</v>
      </c>
    </row>
    <row r="998" spans="2:3">
      <c r="B998" s="296"/>
      <c r="C998" s="296" t="s">
        <v>754</v>
      </c>
    </row>
    <row r="999" spans="2:3">
      <c r="B999" s="296"/>
      <c r="C999" s="296" t="s">
        <v>1382</v>
      </c>
    </row>
    <row r="1000" spans="2:3">
      <c r="B1000" s="296"/>
      <c r="C1000" s="296" t="s">
        <v>883</v>
      </c>
    </row>
    <row r="1001" spans="2:3">
      <c r="B1001" s="296" t="s">
        <v>2001</v>
      </c>
      <c r="C1001" s="294" t="s">
        <v>1289</v>
      </c>
    </row>
    <row r="1002" spans="2:3">
      <c r="B1002" s="296" t="s">
        <v>1995</v>
      </c>
      <c r="C1002" s="294" t="s">
        <v>1290</v>
      </c>
    </row>
    <row r="1003" spans="2:3">
      <c r="B1003" s="296" t="s">
        <v>1995</v>
      </c>
      <c r="C1003" s="294" t="s">
        <v>1291</v>
      </c>
    </row>
    <row r="1004" spans="2:3">
      <c r="B1004" s="296" t="s">
        <v>1995</v>
      </c>
      <c r="C1004" s="294" t="s">
        <v>1292</v>
      </c>
    </row>
    <row r="1005" spans="2:3">
      <c r="B1005" s="296" t="s">
        <v>1995</v>
      </c>
      <c r="C1005" s="294" t="s">
        <v>1293</v>
      </c>
    </row>
    <row r="1006" spans="2:3">
      <c r="B1006" s="296" t="s">
        <v>1995</v>
      </c>
      <c r="C1006" s="294" t="s">
        <v>1250</v>
      </c>
    </row>
    <row r="1007" spans="2:3">
      <c r="B1007" s="296"/>
      <c r="C1007" s="296" t="s">
        <v>1251</v>
      </c>
    </row>
    <row r="1008" spans="2:3">
      <c r="B1008" s="296"/>
      <c r="C1008" s="296"/>
    </row>
    <row r="1009" spans="2:3">
      <c r="B1009" s="296" t="s">
        <v>2006</v>
      </c>
      <c r="C1009" s="294" t="s">
        <v>1294</v>
      </c>
    </row>
    <row r="1010" spans="2:3">
      <c r="B1010" s="296" t="s">
        <v>1995</v>
      </c>
      <c r="C1010" s="296" t="s">
        <v>1295</v>
      </c>
    </row>
    <row r="1011" spans="2:3">
      <c r="B1011" s="296" t="s">
        <v>1995</v>
      </c>
      <c r="C1011" s="296" t="s">
        <v>1296</v>
      </c>
    </row>
    <row r="1012" spans="2:3">
      <c r="B1012" s="296" t="s">
        <v>1995</v>
      </c>
      <c r="C1012" s="296" t="s">
        <v>1297</v>
      </c>
    </row>
    <row r="1013" spans="2:3">
      <c r="B1013" s="296" t="s">
        <v>1995</v>
      </c>
      <c r="C1013" s="296" t="s">
        <v>1298</v>
      </c>
    </row>
    <row r="1014" spans="2:3">
      <c r="B1014" s="296" t="s">
        <v>1995</v>
      </c>
      <c r="C1014" s="296" t="s">
        <v>1299</v>
      </c>
    </row>
    <row r="1015" spans="2:3">
      <c r="B1015" s="296" t="s">
        <v>1995</v>
      </c>
      <c r="C1015" s="294" t="s">
        <v>1190</v>
      </c>
    </row>
    <row r="1016" spans="2:3">
      <c r="B1016" s="296"/>
      <c r="C1016" s="296"/>
    </row>
    <row r="1017" spans="2:3">
      <c r="B1017" s="296" t="s">
        <v>2006</v>
      </c>
      <c r="C1017" s="294" t="s">
        <v>1300</v>
      </c>
    </row>
    <row r="1018" spans="2:3">
      <c r="B1018" s="296" t="s">
        <v>1995</v>
      </c>
      <c r="C1018" s="296" t="s">
        <v>1301</v>
      </c>
    </row>
    <row r="1019" spans="2:3">
      <c r="B1019" s="296" t="s">
        <v>1995</v>
      </c>
      <c r="C1019" s="296" t="s">
        <v>1296</v>
      </c>
    </row>
    <row r="1020" spans="2:3">
      <c r="B1020" s="296" t="s">
        <v>1995</v>
      </c>
      <c r="C1020" s="296" t="s">
        <v>1302</v>
      </c>
    </row>
    <row r="1021" spans="2:3">
      <c r="B1021" s="296" t="s">
        <v>1995</v>
      </c>
      <c r="C1021" s="296" t="s">
        <v>1303</v>
      </c>
    </row>
    <row r="1022" spans="2:3">
      <c r="B1022" s="296" t="s">
        <v>1995</v>
      </c>
      <c r="C1022" s="296" t="s">
        <v>1304</v>
      </c>
    </row>
    <row r="1023" spans="2:3">
      <c r="B1023" s="296" t="s">
        <v>1995</v>
      </c>
      <c r="C1023" s="294" t="s">
        <v>1190</v>
      </c>
    </row>
    <row r="1024" spans="2:3">
      <c r="B1024" s="296"/>
      <c r="C1024" s="296"/>
    </row>
    <row r="1025" spans="2:3">
      <c r="B1025" s="296"/>
      <c r="C1025" s="296" t="s">
        <v>1263</v>
      </c>
    </row>
    <row r="1026" spans="2:3">
      <c r="B1026" s="296"/>
      <c r="C1026" s="296"/>
    </row>
    <row r="1027" spans="2:3">
      <c r="B1027" s="296" t="s">
        <v>2006</v>
      </c>
      <c r="C1027" s="294" t="s">
        <v>1294</v>
      </c>
    </row>
    <row r="1028" spans="2:3">
      <c r="B1028" s="296" t="s">
        <v>1995</v>
      </c>
      <c r="C1028" s="296" t="s">
        <v>1305</v>
      </c>
    </row>
    <row r="1029" spans="2:3">
      <c r="B1029" s="296" t="s">
        <v>1995</v>
      </c>
      <c r="C1029" s="296" t="s">
        <v>1270</v>
      </c>
    </row>
    <row r="1030" spans="2:3">
      <c r="B1030" s="296" t="s">
        <v>1995</v>
      </c>
      <c r="C1030" s="296" t="s">
        <v>1306</v>
      </c>
    </row>
    <row r="1031" spans="2:3">
      <c r="B1031" s="296" t="s">
        <v>1995</v>
      </c>
      <c r="C1031" s="296" t="s">
        <v>1307</v>
      </c>
    </row>
    <row r="1032" spans="2:3">
      <c r="B1032" s="296" t="s">
        <v>1995</v>
      </c>
      <c r="C1032" s="296" t="s">
        <v>1273</v>
      </c>
    </row>
    <row r="1033" spans="2:3">
      <c r="B1033" s="296" t="s">
        <v>1995</v>
      </c>
      <c r="C1033" s="294" t="s">
        <v>1190</v>
      </c>
    </row>
    <row r="1034" spans="2:3">
      <c r="B1034" s="296"/>
      <c r="C1034" s="296"/>
    </row>
    <row r="1035" spans="2:3">
      <c r="B1035" s="296" t="s">
        <v>2006</v>
      </c>
      <c r="C1035" s="294" t="s">
        <v>1300</v>
      </c>
    </row>
    <row r="1036" spans="2:3">
      <c r="B1036" s="296" t="s">
        <v>1995</v>
      </c>
      <c r="C1036" s="296" t="s">
        <v>1308</v>
      </c>
    </row>
    <row r="1037" spans="2:3">
      <c r="B1037" s="296" t="s">
        <v>1995</v>
      </c>
      <c r="C1037" s="296" t="s">
        <v>1270</v>
      </c>
    </row>
    <row r="1038" spans="2:3">
      <c r="B1038" s="296" t="s">
        <v>1995</v>
      </c>
      <c r="C1038" s="296" t="s">
        <v>1309</v>
      </c>
    </row>
    <row r="1039" spans="2:3">
      <c r="B1039" s="296" t="s">
        <v>1995</v>
      </c>
      <c r="C1039" s="296" t="s">
        <v>1310</v>
      </c>
    </row>
    <row r="1040" spans="2:3">
      <c r="B1040" s="296" t="s">
        <v>1995</v>
      </c>
      <c r="C1040" s="296" t="s">
        <v>1273</v>
      </c>
    </row>
    <row r="1041" spans="2:3">
      <c r="B1041" s="296" t="s">
        <v>1995</v>
      </c>
      <c r="C1041" s="294" t="s">
        <v>1190</v>
      </c>
    </row>
    <row r="1042" spans="2:3">
      <c r="B1042" s="296"/>
      <c r="C1042" s="296"/>
    </row>
    <row r="1043" spans="2:3">
      <c r="B1043" s="296"/>
      <c r="C1043" s="296" t="s">
        <v>1287</v>
      </c>
    </row>
    <row r="1044" spans="2:3">
      <c r="B1044" s="296"/>
      <c r="C1044" s="296" t="s">
        <v>892</v>
      </c>
    </row>
    <row r="1045" spans="2:3">
      <c r="B1045" s="296"/>
      <c r="C1045" s="296"/>
    </row>
    <row r="1046" spans="2:3" hidden="1" outlineLevel="1">
      <c r="B1046" s="296"/>
      <c r="C1046" s="296" t="s">
        <v>754</v>
      </c>
    </row>
    <row r="1047" spans="2:3" hidden="1" outlineLevel="1">
      <c r="B1047" s="296"/>
      <c r="C1047" s="296" t="s">
        <v>1311</v>
      </c>
    </row>
    <row r="1048" spans="2:3" hidden="1" outlineLevel="1">
      <c r="B1048" s="296"/>
      <c r="C1048" s="296" t="s">
        <v>879</v>
      </c>
    </row>
    <row r="1049" spans="2:3" hidden="1" outlineLevel="1">
      <c r="B1049" s="296"/>
      <c r="C1049" s="296" t="s">
        <v>1193</v>
      </c>
    </row>
    <row r="1050" spans="2:3" hidden="1" outlineLevel="1">
      <c r="B1050" s="296"/>
      <c r="C1050" s="296" t="s">
        <v>1194</v>
      </c>
    </row>
    <row r="1051" spans="2:3" hidden="1" outlineLevel="1">
      <c r="B1051" s="296"/>
      <c r="C1051" s="296" t="s">
        <v>754</v>
      </c>
    </row>
    <row r="1052" spans="2:3" hidden="1" outlineLevel="1">
      <c r="B1052" s="296"/>
      <c r="C1052" s="296" t="s">
        <v>1312</v>
      </c>
    </row>
    <row r="1053" spans="2:3" hidden="1" outlineLevel="1">
      <c r="B1053" s="296"/>
      <c r="C1053" s="296" t="s">
        <v>883</v>
      </c>
    </row>
    <row r="1054" spans="2:3" hidden="1" outlineLevel="1">
      <c r="B1054" s="296"/>
      <c r="C1054" s="296" t="s">
        <v>1313</v>
      </c>
    </row>
    <row r="1055" spans="2:3" hidden="1" outlineLevel="1">
      <c r="B1055" s="296"/>
      <c r="C1055" s="296" t="s">
        <v>1314</v>
      </c>
    </row>
    <row r="1056" spans="2:3" hidden="1" outlineLevel="1">
      <c r="B1056" s="296"/>
      <c r="C1056" s="296" t="s">
        <v>1315</v>
      </c>
    </row>
    <row r="1057" spans="2:3" hidden="1" outlineLevel="1">
      <c r="B1057" s="296"/>
      <c r="C1057" s="296" t="s">
        <v>1316</v>
      </c>
    </row>
    <row r="1058" spans="2:3" hidden="1" outlineLevel="1">
      <c r="B1058" s="296"/>
      <c r="C1058" s="296" t="s">
        <v>1317</v>
      </c>
    </row>
    <row r="1059" spans="2:3" hidden="1" outlineLevel="1">
      <c r="B1059" s="296"/>
      <c r="C1059" s="296" t="s">
        <v>1318</v>
      </c>
    </row>
    <row r="1060" spans="2:3" hidden="1" outlineLevel="1">
      <c r="B1060" s="296"/>
      <c r="C1060" s="296" t="s">
        <v>1250</v>
      </c>
    </row>
    <row r="1061" spans="2:3" hidden="1" outlineLevel="1">
      <c r="B1061" s="296"/>
      <c r="C1061" s="296" t="s">
        <v>1251</v>
      </c>
    </row>
    <row r="1062" spans="2:3" hidden="1" outlineLevel="1">
      <c r="B1062" s="296"/>
      <c r="C1062" s="296"/>
    </row>
    <row r="1063" spans="2:3" hidden="1" outlineLevel="1">
      <c r="B1063" s="296"/>
      <c r="C1063" s="296" t="s">
        <v>1319</v>
      </c>
    </row>
    <row r="1064" spans="2:3" hidden="1" outlineLevel="1">
      <c r="B1064" s="296"/>
      <c r="C1064" s="296" t="s">
        <v>1320</v>
      </c>
    </row>
    <row r="1065" spans="2:3" hidden="1" outlineLevel="1">
      <c r="B1065" s="296"/>
      <c r="C1065" s="296" t="s">
        <v>1321</v>
      </c>
    </row>
    <row r="1066" spans="2:3" hidden="1" outlineLevel="1">
      <c r="B1066" s="296"/>
      <c r="C1066" s="296" t="s">
        <v>1296</v>
      </c>
    </row>
    <row r="1067" spans="2:3" hidden="1" outlineLevel="1">
      <c r="B1067" s="296"/>
      <c r="C1067" s="296" t="s">
        <v>1322</v>
      </c>
    </row>
    <row r="1068" spans="2:3" hidden="1" outlineLevel="1">
      <c r="B1068" s="296"/>
      <c r="C1068" s="296" t="s">
        <v>1323</v>
      </c>
    </row>
    <row r="1069" spans="2:3" hidden="1" outlineLevel="1">
      <c r="B1069" s="296"/>
      <c r="C1069" s="296" t="s">
        <v>1324</v>
      </c>
    </row>
    <row r="1070" spans="2:3" hidden="1" outlineLevel="1">
      <c r="B1070" s="296"/>
      <c r="C1070" s="296" t="s">
        <v>771</v>
      </c>
    </row>
    <row r="1071" spans="2:3" hidden="1" outlineLevel="1">
      <c r="B1071" s="296"/>
      <c r="C1071" s="296" t="s">
        <v>1190</v>
      </c>
    </row>
    <row r="1072" spans="2:3" hidden="1" outlineLevel="1">
      <c r="B1072" s="296"/>
      <c r="C1072" s="296" t="s">
        <v>1263</v>
      </c>
    </row>
    <row r="1073" spans="2:3" hidden="1" outlineLevel="1">
      <c r="B1073" s="296"/>
      <c r="C1073" s="296"/>
    </row>
    <row r="1074" spans="2:3" hidden="1" outlineLevel="1">
      <c r="B1074" s="296"/>
      <c r="C1074" s="296" t="s">
        <v>1319</v>
      </c>
    </row>
    <row r="1075" spans="2:3" hidden="1" outlineLevel="1">
      <c r="B1075" s="296"/>
      <c r="C1075" s="296" t="s">
        <v>1320</v>
      </c>
    </row>
    <row r="1076" spans="2:3" hidden="1" outlineLevel="1">
      <c r="B1076" s="296"/>
      <c r="C1076" s="296" t="s">
        <v>1325</v>
      </c>
    </row>
    <row r="1077" spans="2:3" hidden="1" outlineLevel="1">
      <c r="B1077" s="296"/>
      <c r="C1077" s="296" t="s">
        <v>1326</v>
      </c>
    </row>
    <row r="1078" spans="2:3" hidden="1" outlineLevel="1">
      <c r="B1078" s="296"/>
      <c r="C1078" s="296" t="s">
        <v>1327</v>
      </c>
    </row>
    <row r="1079" spans="2:3" hidden="1" outlineLevel="1">
      <c r="B1079" s="296"/>
      <c r="C1079" s="296" t="s">
        <v>1328</v>
      </c>
    </row>
    <row r="1080" spans="2:3" hidden="1" outlineLevel="1">
      <c r="B1080" s="296"/>
      <c r="C1080" s="296" t="s">
        <v>1329</v>
      </c>
    </row>
    <row r="1081" spans="2:3" hidden="1" outlineLevel="1">
      <c r="B1081" s="296"/>
      <c r="C1081" s="296" t="s">
        <v>1273</v>
      </c>
    </row>
    <row r="1082" spans="2:3" hidden="1" outlineLevel="1">
      <c r="B1082" s="296"/>
      <c r="C1082" s="296" t="s">
        <v>771</v>
      </c>
    </row>
    <row r="1083" spans="2:3" hidden="1" outlineLevel="1">
      <c r="B1083" s="296"/>
      <c r="C1083" s="296" t="s">
        <v>1190</v>
      </c>
    </row>
    <row r="1084" spans="2:3" hidden="1" outlineLevel="1">
      <c r="B1084" s="296"/>
      <c r="C1084" s="296"/>
    </row>
    <row r="1085" spans="2:3" hidden="1" outlineLevel="1">
      <c r="B1085" s="296"/>
      <c r="C1085" s="296" t="s">
        <v>1287</v>
      </c>
    </row>
    <row r="1086" spans="2:3" hidden="1" outlineLevel="1">
      <c r="B1086" s="296"/>
      <c r="C1086" s="296" t="s">
        <v>892</v>
      </c>
    </row>
    <row r="1087" spans="2:3" hidden="1" outlineLevel="1">
      <c r="B1087" s="296"/>
      <c r="C1087" s="296"/>
    </row>
    <row r="1088" spans="2:3" hidden="1" outlineLevel="1">
      <c r="B1088" s="296"/>
      <c r="C1088" s="296" t="s">
        <v>754</v>
      </c>
    </row>
    <row r="1089" spans="2:3" hidden="1" outlineLevel="1">
      <c r="B1089" s="296"/>
      <c r="C1089" s="296" t="s">
        <v>1330</v>
      </c>
    </row>
    <row r="1090" spans="2:3" hidden="1" outlineLevel="1">
      <c r="B1090" s="296"/>
      <c r="C1090" s="296" t="s">
        <v>879</v>
      </c>
    </row>
    <row r="1091" spans="2:3" hidden="1" outlineLevel="1">
      <c r="B1091" s="296"/>
      <c r="C1091" s="296" t="s">
        <v>1193</v>
      </c>
    </row>
    <row r="1092" spans="2:3" hidden="1" outlineLevel="1">
      <c r="B1092" s="296"/>
      <c r="C1092" s="296" t="s">
        <v>1194</v>
      </c>
    </row>
    <row r="1093" spans="2:3" hidden="1" outlineLevel="1">
      <c r="B1093" s="296"/>
      <c r="C1093" s="296" t="s">
        <v>754</v>
      </c>
    </row>
    <row r="1094" spans="2:3" hidden="1" outlineLevel="1">
      <c r="B1094" s="296"/>
      <c r="C1094" s="296" t="s">
        <v>1331</v>
      </c>
    </row>
    <row r="1095" spans="2:3" hidden="1" outlineLevel="1">
      <c r="B1095" s="296"/>
      <c r="C1095" s="296" t="s">
        <v>883</v>
      </c>
    </row>
    <row r="1096" spans="2:3" hidden="1" outlineLevel="1">
      <c r="B1096" s="296"/>
      <c r="C1096" s="296" t="s">
        <v>1332</v>
      </c>
    </row>
    <row r="1097" spans="2:3" hidden="1" outlineLevel="1">
      <c r="B1097" s="296"/>
      <c r="C1097" s="296" t="s">
        <v>1333</v>
      </c>
    </row>
    <row r="1098" spans="2:3" hidden="1" outlineLevel="1">
      <c r="B1098" s="296"/>
      <c r="C1098" s="296" t="s">
        <v>1334</v>
      </c>
    </row>
    <row r="1099" spans="2:3" hidden="1" outlineLevel="1">
      <c r="B1099" s="296"/>
      <c r="C1099" s="296" t="s">
        <v>1335</v>
      </c>
    </row>
    <row r="1100" spans="2:3" hidden="1" outlineLevel="1">
      <c r="B1100" s="296"/>
      <c r="C1100" s="296"/>
    </row>
    <row r="1101" spans="2:3" hidden="1" outlineLevel="1">
      <c r="B1101" s="296"/>
      <c r="C1101" s="296" t="s">
        <v>1336</v>
      </c>
    </row>
    <row r="1102" spans="2:3" hidden="1" outlineLevel="1">
      <c r="B1102" s="296"/>
      <c r="C1102" s="296" t="s">
        <v>1337</v>
      </c>
    </row>
    <row r="1103" spans="2:3" hidden="1" outlineLevel="1">
      <c r="B1103" s="296"/>
      <c r="C1103" s="296" t="s">
        <v>1338</v>
      </c>
    </row>
    <row r="1104" spans="2:3" hidden="1" outlineLevel="1">
      <c r="B1104" s="296"/>
      <c r="C1104" s="296" t="s">
        <v>1339</v>
      </c>
    </row>
    <row r="1105" spans="2:3" hidden="1" outlineLevel="1">
      <c r="B1105" s="296"/>
      <c r="C1105" s="296" t="s">
        <v>1190</v>
      </c>
    </row>
    <row r="1106" spans="2:3" hidden="1" outlineLevel="1">
      <c r="B1106" s="296"/>
      <c r="C1106" s="296" t="s">
        <v>1340</v>
      </c>
    </row>
    <row r="1107" spans="2:3" hidden="1" outlineLevel="1">
      <c r="B1107" s="296"/>
      <c r="C1107" s="296" t="s">
        <v>1341</v>
      </c>
    </row>
    <row r="1108" spans="2:3" hidden="1" outlineLevel="1">
      <c r="B1108" s="296"/>
      <c r="C1108" s="296" t="s">
        <v>1190</v>
      </c>
    </row>
    <row r="1109" spans="2:3" hidden="1" outlineLevel="1">
      <c r="B1109" s="296"/>
      <c r="C1109" s="296" t="s">
        <v>1342</v>
      </c>
    </row>
    <row r="1110" spans="2:3" hidden="1" outlineLevel="1">
      <c r="B1110" s="296"/>
      <c r="C1110" s="296" t="s">
        <v>1343</v>
      </c>
    </row>
    <row r="1111" spans="2:3" hidden="1" outlineLevel="1">
      <c r="B1111" s="296"/>
      <c r="C1111" s="296" t="s">
        <v>1344</v>
      </c>
    </row>
    <row r="1112" spans="2:3" hidden="1" outlineLevel="1">
      <c r="B1112" s="296"/>
      <c r="C1112" s="296" t="s">
        <v>1190</v>
      </c>
    </row>
    <row r="1113" spans="2:3" hidden="1" outlineLevel="1">
      <c r="B1113" s="296"/>
      <c r="C1113" s="296" t="s">
        <v>1345</v>
      </c>
    </row>
    <row r="1114" spans="2:3" hidden="1" outlineLevel="1">
      <c r="B1114" s="296"/>
      <c r="C1114" s="296" t="s">
        <v>1346</v>
      </c>
    </row>
    <row r="1115" spans="2:3" hidden="1" outlineLevel="1">
      <c r="B1115" s="296"/>
      <c r="C1115" s="296" t="s">
        <v>1190</v>
      </c>
    </row>
    <row r="1116" spans="2:3" hidden="1" outlineLevel="1">
      <c r="B1116" s="296"/>
      <c r="C1116" s="296"/>
    </row>
    <row r="1117" spans="2:3" hidden="1" outlineLevel="1">
      <c r="B1117" s="296"/>
      <c r="C1117" s="296" t="s">
        <v>1347</v>
      </c>
    </row>
    <row r="1118" spans="2:3" hidden="1" outlineLevel="1">
      <c r="B1118" s="296"/>
      <c r="C1118" s="296"/>
    </row>
    <row r="1119" spans="2:3" hidden="1" outlineLevel="1">
      <c r="B1119" s="296"/>
      <c r="C1119" s="296" t="s">
        <v>1348</v>
      </c>
    </row>
    <row r="1120" spans="2:3" hidden="1" outlineLevel="1">
      <c r="B1120" s="296"/>
      <c r="C1120" s="296" t="s">
        <v>892</v>
      </c>
    </row>
    <row r="1121" spans="2:3" hidden="1" outlineLevel="1">
      <c r="B1121" s="296"/>
      <c r="C1121" s="296"/>
    </row>
    <row r="1122" spans="2:3" hidden="1" outlineLevel="1">
      <c r="B1122" s="296"/>
      <c r="C1122" s="296" t="s">
        <v>754</v>
      </c>
    </row>
    <row r="1123" spans="2:3" hidden="1" outlineLevel="1">
      <c r="B1123" s="296"/>
      <c r="C1123" s="296" t="s">
        <v>1349</v>
      </c>
    </row>
    <row r="1124" spans="2:3" hidden="1" outlineLevel="1">
      <c r="B1124" s="296"/>
      <c r="C1124" s="296" t="s">
        <v>879</v>
      </c>
    </row>
    <row r="1125" spans="2:3" hidden="1" outlineLevel="1">
      <c r="B1125" s="296"/>
      <c r="C1125" s="296" t="s">
        <v>1193</v>
      </c>
    </row>
    <row r="1126" spans="2:3" hidden="1" outlineLevel="1">
      <c r="B1126" s="296"/>
      <c r="C1126" s="296" t="s">
        <v>1194</v>
      </c>
    </row>
    <row r="1127" spans="2:3" hidden="1" outlineLevel="1">
      <c r="B1127" s="296"/>
      <c r="C1127" s="296" t="s">
        <v>754</v>
      </c>
    </row>
    <row r="1128" spans="2:3" hidden="1" outlineLevel="1">
      <c r="B1128" s="296"/>
      <c r="C1128" s="296" t="s">
        <v>1350</v>
      </c>
    </row>
    <row r="1129" spans="2:3" hidden="1" outlineLevel="1">
      <c r="B1129" s="296"/>
      <c r="C1129" s="296" t="s">
        <v>883</v>
      </c>
    </row>
    <row r="1130" spans="2:3" hidden="1" outlineLevel="1">
      <c r="B1130" s="296"/>
      <c r="C1130" s="296" t="s">
        <v>1351</v>
      </c>
    </row>
    <row r="1131" spans="2:3" hidden="1" outlineLevel="1">
      <c r="B1131" s="296"/>
      <c r="C1131" s="296" t="s">
        <v>1352</v>
      </c>
    </row>
    <row r="1132" spans="2:3" hidden="1" outlineLevel="1">
      <c r="B1132" s="296"/>
      <c r="C1132" s="296" t="s">
        <v>1353</v>
      </c>
    </row>
    <row r="1133" spans="2:3" hidden="1" outlineLevel="1">
      <c r="B1133" s="296"/>
      <c r="C1133" s="296" t="s">
        <v>1354</v>
      </c>
    </row>
    <row r="1134" spans="2:3" hidden="1" outlineLevel="1">
      <c r="B1134" s="296"/>
      <c r="C1134" s="296" t="s">
        <v>1355</v>
      </c>
    </row>
    <row r="1135" spans="2:3" hidden="1" outlineLevel="1">
      <c r="B1135" s="296"/>
      <c r="C1135" s="296"/>
    </row>
    <row r="1136" spans="2:3" hidden="1" outlineLevel="1">
      <c r="B1136" s="296"/>
      <c r="C1136" s="296" t="s">
        <v>1356</v>
      </c>
    </row>
    <row r="1137" spans="2:3" hidden="1" outlineLevel="1">
      <c r="B1137" s="296"/>
      <c r="C1137" s="296" t="s">
        <v>1357</v>
      </c>
    </row>
    <row r="1138" spans="2:3" hidden="1" outlineLevel="1">
      <c r="B1138" s="296"/>
      <c r="C1138" s="296" t="s">
        <v>1358</v>
      </c>
    </row>
    <row r="1139" spans="2:3" hidden="1" outlineLevel="1">
      <c r="B1139" s="296"/>
      <c r="C1139" s="296"/>
    </row>
    <row r="1140" spans="2:3" hidden="1" outlineLevel="1">
      <c r="B1140" s="296"/>
      <c r="C1140" s="296" t="s">
        <v>1359</v>
      </c>
    </row>
    <row r="1141" spans="2:3" hidden="1" outlineLevel="1">
      <c r="B1141" s="296"/>
      <c r="C1141" s="296" t="s">
        <v>1360</v>
      </c>
    </row>
    <row r="1142" spans="2:3" hidden="1" outlineLevel="1">
      <c r="B1142" s="296"/>
      <c r="C1142" s="296" t="s">
        <v>1361</v>
      </c>
    </row>
    <row r="1143" spans="2:3" hidden="1" outlineLevel="1">
      <c r="B1143" s="296"/>
      <c r="C1143" s="296" t="s">
        <v>1273</v>
      </c>
    </row>
    <row r="1144" spans="2:3" hidden="1" outlineLevel="1">
      <c r="B1144" s="296"/>
      <c r="C1144" s="296" t="s">
        <v>1362</v>
      </c>
    </row>
    <row r="1145" spans="2:3" hidden="1" outlineLevel="1">
      <c r="B1145" s="296"/>
      <c r="C1145" s="296" t="s">
        <v>1363</v>
      </c>
    </row>
    <row r="1146" spans="2:3" hidden="1" outlineLevel="1">
      <c r="B1146" s="296"/>
      <c r="C1146" s="296" t="s">
        <v>1361</v>
      </c>
    </row>
    <row r="1147" spans="2:3" hidden="1" outlineLevel="1">
      <c r="B1147" s="296"/>
      <c r="C1147" s="296" t="s">
        <v>1273</v>
      </c>
    </row>
    <row r="1148" spans="2:3" hidden="1" outlineLevel="1">
      <c r="B1148" s="296"/>
      <c r="C1148" s="296" t="s">
        <v>1364</v>
      </c>
    </row>
    <row r="1149" spans="2:3" hidden="1" outlineLevel="1">
      <c r="B1149" s="296"/>
      <c r="C1149" s="296" t="s">
        <v>1365</v>
      </c>
    </row>
    <row r="1150" spans="2:3" hidden="1" outlineLevel="1">
      <c r="B1150" s="296"/>
      <c r="C1150" s="296" t="s">
        <v>1273</v>
      </c>
    </row>
    <row r="1151" spans="2:3" hidden="1" outlineLevel="1">
      <c r="B1151" s="296"/>
      <c r="C1151" s="296" t="s">
        <v>1190</v>
      </c>
    </row>
    <row r="1152" spans="2:3" hidden="1" outlineLevel="1">
      <c r="B1152" s="296"/>
      <c r="C1152" s="296"/>
    </row>
    <row r="1153" spans="2:3" hidden="1" outlineLevel="1">
      <c r="B1153" s="296"/>
      <c r="C1153" s="296" t="s">
        <v>1366</v>
      </c>
    </row>
    <row r="1154" spans="2:3" hidden="1" outlineLevel="1">
      <c r="B1154" s="296"/>
      <c r="C1154" s="296"/>
    </row>
    <row r="1155" spans="2:3" hidden="1" outlineLevel="1">
      <c r="B1155" s="296"/>
      <c r="C1155" s="296" t="s">
        <v>1367</v>
      </c>
    </row>
    <row r="1156" spans="2:3" hidden="1" outlineLevel="1">
      <c r="B1156" s="296"/>
      <c r="C1156" s="296" t="s">
        <v>892</v>
      </c>
    </row>
    <row r="1157" spans="2:3" hidden="1" outlineLevel="1">
      <c r="B1157" s="296"/>
      <c r="C1157" s="296"/>
    </row>
    <row r="1158" spans="2:3" hidden="1" outlineLevel="1">
      <c r="B1158" s="296"/>
      <c r="C1158" s="296" t="s">
        <v>754</v>
      </c>
    </row>
    <row r="1159" spans="2:3" hidden="1" outlineLevel="1">
      <c r="B1159" s="296"/>
      <c r="C1159" s="296" t="s">
        <v>1087</v>
      </c>
    </row>
    <row r="1160" spans="2:3" hidden="1" outlineLevel="1">
      <c r="B1160" s="296"/>
      <c r="C1160" s="296" t="s">
        <v>1368</v>
      </c>
    </row>
    <row r="1161" spans="2:3" hidden="1" outlineLevel="1">
      <c r="B1161" s="296"/>
      <c r="C1161" s="296" t="s">
        <v>1087</v>
      </c>
    </row>
    <row r="1162" spans="2:3" hidden="1" outlineLevel="1">
      <c r="B1162" s="296"/>
      <c r="C1162" s="296" t="s">
        <v>754</v>
      </c>
    </row>
    <row r="1163" spans="2:3" hidden="1" outlineLevel="1">
      <c r="B1163" s="296"/>
      <c r="C1163" s="296" t="s">
        <v>1087</v>
      </c>
    </row>
    <row r="1164" spans="2:3" hidden="1" outlineLevel="1">
      <c r="B1164" s="296"/>
      <c r="C1164" s="296" t="s">
        <v>1369</v>
      </c>
    </row>
    <row r="1165" spans="2:3" hidden="1" outlineLevel="1">
      <c r="B1165" s="296"/>
      <c r="C1165" s="296" t="s">
        <v>1370</v>
      </c>
    </row>
    <row r="1166" spans="2:3" hidden="1" outlineLevel="1">
      <c r="B1166" s="296"/>
      <c r="C1166" s="296" t="s">
        <v>1371</v>
      </c>
    </row>
    <row r="1167" spans="2:3" hidden="1" outlineLevel="1">
      <c r="B1167" s="296"/>
      <c r="C1167" s="296" t="s">
        <v>1372</v>
      </c>
    </row>
    <row r="1168" spans="2:3" hidden="1" outlineLevel="1">
      <c r="B1168" s="296"/>
      <c r="C1168" s="296" t="s">
        <v>1373</v>
      </c>
    </row>
    <row r="1169" spans="2:3" hidden="1" outlineLevel="1">
      <c r="B1169" s="296"/>
      <c r="C1169" s="296" t="s">
        <v>1374</v>
      </c>
    </row>
    <row r="1170" spans="2:3" hidden="1" outlineLevel="1">
      <c r="B1170" s="296"/>
      <c r="C1170" s="296" t="s">
        <v>1375</v>
      </c>
    </row>
    <row r="1171" spans="2:3" hidden="1" outlineLevel="1">
      <c r="B1171" s="296"/>
      <c r="C1171" s="296" t="s">
        <v>1376</v>
      </c>
    </row>
    <row r="1172" spans="2:3" hidden="1" outlineLevel="1">
      <c r="B1172" s="296"/>
      <c r="C1172" s="296" t="s">
        <v>1087</v>
      </c>
    </row>
    <row r="1173" spans="2:3" hidden="1" outlineLevel="1">
      <c r="B1173" s="296"/>
      <c r="C1173" s="296" t="s">
        <v>1377</v>
      </c>
    </row>
    <row r="1174" spans="2:3" hidden="1" outlineLevel="1">
      <c r="B1174" s="296"/>
      <c r="C1174" s="296" t="s">
        <v>1378</v>
      </c>
    </row>
    <row r="1175" spans="2:3" hidden="1" outlineLevel="1">
      <c r="B1175" s="296"/>
      <c r="C1175" s="296" t="s">
        <v>1379</v>
      </c>
    </row>
    <row r="1176" spans="2:3" hidden="1" outlineLevel="1">
      <c r="B1176" s="296"/>
      <c r="C1176" s="296" t="s">
        <v>1380</v>
      </c>
    </row>
    <row r="1177" spans="2:3" hidden="1" outlineLevel="1">
      <c r="B1177" s="296"/>
      <c r="C1177" s="296" t="s">
        <v>1381</v>
      </c>
    </row>
    <row r="1178" spans="2:3" hidden="1" outlineLevel="1">
      <c r="B1178" s="296"/>
      <c r="C1178" s="296" t="s">
        <v>1087</v>
      </c>
    </row>
    <row r="1179" spans="2:3" hidden="1" outlineLevel="1">
      <c r="B1179" s="296"/>
      <c r="C1179" s="296" t="s">
        <v>754</v>
      </c>
    </row>
    <row r="1180" spans="2:3" collapsed="1">
      <c r="B1180" s="296"/>
      <c r="C1180" s="296"/>
    </row>
    <row r="1181" spans="2:3">
      <c r="B1181" s="296"/>
      <c r="C1181" s="296"/>
    </row>
    <row r="1182" spans="2:3">
      <c r="B1182" s="296"/>
      <c r="C1182" s="296"/>
    </row>
    <row r="1183" spans="2:3">
      <c r="B1183" s="296"/>
      <c r="C1183" s="296"/>
    </row>
    <row r="1184" spans="2:3">
      <c r="B1184" s="296"/>
      <c r="C1184" s="296"/>
    </row>
    <row r="1185" spans="2:3">
      <c r="B1185" s="296"/>
      <c r="C1185" s="296"/>
    </row>
    <row r="1186" spans="2:3">
      <c r="B1186" s="296"/>
      <c r="C1186" s="296"/>
    </row>
    <row r="1187" spans="2:3">
      <c r="B1187" s="296"/>
      <c r="C1187" s="296"/>
    </row>
    <row r="1188" spans="2:3">
      <c r="B1188" s="296"/>
      <c r="C1188" s="296"/>
    </row>
    <row r="1189" spans="2:3">
      <c r="B1189" s="296"/>
      <c r="C1189" s="296"/>
    </row>
    <row r="1190" spans="2:3">
      <c r="B1190" s="296"/>
      <c r="C1190" s="296"/>
    </row>
    <row r="1191" spans="2:3">
      <c r="B1191" s="296"/>
      <c r="C1191" s="296"/>
    </row>
    <row r="1192" spans="2:3">
      <c r="B1192" s="296"/>
      <c r="C1192" s="296"/>
    </row>
    <row r="1193" spans="2:3">
      <c r="B1193" s="296"/>
      <c r="C1193" s="296"/>
    </row>
    <row r="1194" spans="2:3">
      <c r="B1194" s="296"/>
      <c r="C1194" s="296"/>
    </row>
    <row r="1195" spans="2:3">
      <c r="B1195" s="296"/>
      <c r="C1195" s="296"/>
    </row>
    <row r="1196" spans="2:3">
      <c r="B1196" s="296"/>
      <c r="C1196" s="296"/>
    </row>
    <row r="1197" spans="2:3">
      <c r="B1197" s="296"/>
      <c r="C1197" s="296"/>
    </row>
    <row r="1198" spans="2:3">
      <c r="B1198" s="296"/>
      <c r="C1198" s="296"/>
    </row>
    <row r="1199" spans="2:3">
      <c r="B1199" s="296"/>
      <c r="C1199" s="296"/>
    </row>
    <row r="1200" spans="2:3">
      <c r="B1200" s="296"/>
      <c r="C1200" s="296"/>
    </row>
    <row r="1201" spans="2:3">
      <c r="B1201" s="296"/>
      <c r="C1201" s="296"/>
    </row>
    <row r="1202" spans="2:3">
      <c r="B1202" s="296"/>
      <c r="C1202" s="296"/>
    </row>
  </sheetData>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F5EE-6951-45FE-94FA-7BFC7119B609}">
  <dimension ref="A1:C1230"/>
  <sheetViews>
    <sheetView zoomScale="85" zoomScaleNormal="85" workbookViewId="0"/>
  </sheetViews>
  <sheetFormatPr defaultRowHeight="15.75"/>
  <cols>
    <col min="1" max="1" width="9" style="293"/>
    <col min="2" max="2" width="51.5" style="293" customWidth="1"/>
    <col min="3" max="3" width="150.375" style="293" bestFit="1" customWidth="1"/>
    <col min="4" max="16384" width="9" style="293"/>
  </cols>
  <sheetData>
    <row r="1" spans="1:3">
      <c r="A1" s="293" t="s">
        <v>1082</v>
      </c>
    </row>
    <row r="2" spans="1:3">
      <c r="B2" s="295" t="s">
        <v>1072</v>
      </c>
      <c r="C2" s="293" t="s">
        <v>2002</v>
      </c>
    </row>
    <row r="3" spans="1:3">
      <c r="B3" s="296"/>
      <c r="C3" s="296" t="s">
        <v>1384</v>
      </c>
    </row>
    <row r="4" spans="1:3">
      <c r="B4" s="296"/>
      <c r="C4" s="296" t="s">
        <v>754</v>
      </c>
    </row>
    <row r="5" spans="1:3">
      <c r="B5" s="296"/>
      <c r="C5" s="296" t="s">
        <v>1085</v>
      </c>
    </row>
    <row r="6" spans="1:3">
      <c r="B6" s="296"/>
      <c r="C6" s="296" t="s">
        <v>754</v>
      </c>
    </row>
    <row r="7" spans="1:3">
      <c r="B7" s="296"/>
      <c r="C7" s="296" t="s">
        <v>1385</v>
      </c>
    </row>
    <row r="8" spans="1:3">
      <c r="B8" s="296"/>
      <c r="C8" s="296" t="s">
        <v>1087</v>
      </c>
    </row>
    <row r="9" spans="1:3">
      <c r="B9" s="296"/>
      <c r="C9" s="296" t="s">
        <v>754</v>
      </c>
    </row>
    <row r="10" spans="1:3">
      <c r="B10" s="296"/>
      <c r="C10" s="296"/>
    </row>
    <row r="11" spans="1:3">
      <c r="B11" s="296"/>
      <c r="C11" s="296" t="s">
        <v>1386</v>
      </c>
    </row>
    <row r="12" spans="1:3">
      <c r="B12" s="296"/>
      <c r="C12" s="296" t="s">
        <v>1387</v>
      </c>
    </row>
    <row r="13" spans="1:3">
      <c r="B13" s="296"/>
      <c r="C13" s="296"/>
    </row>
    <row r="14" spans="1:3">
      <c r="B14" s="296"/>
      <c r="C14" s="296" t="s">
        <v>758</v>
      </c>
    </row>
    <row r="15" spans="1:3">
      <c r="B15" s="296"/>
      <c r="C15" s="296" t="s">
        <v>1388</v>
      </c>
    </row>
    <row r="16" spans="1:3">
      <c r="B16" s="296"/>
      <c r="C16" s="296" t="s">
        <v>758</v>
      </c>
    </row>
    <row r="17" spans="2:3">
      <c r="B17" s="296"/>
      <c r="C17" s="296" t="s">
        <v>1389</v>
      </c>
    </row>
    <row r="18" spans="2:3">
      <c r="B18" s="296"/>
      <c r="C18" s="296"/>
    </row>
    <row r="19" spans="2:3">
      <c r="B19" s="296"/>
      <c r="C19" s="296" t="s">
        <v>758</v>
      </c>
    </row>
    <row r="20" spans="2:3">
      <c r="B20" s="296"/>
      <c r="C20" s="296" t="s">
        <v>1092</v>
      </c>
    </row>
    <row r="21" spans="2:3">
      <c r="B21" s="296"/>
      <c r="C21" s="296" t="s">
        <v>758</v>
      </c>
    </row>
    <row r="22" spans="2:3">
      <c r="B22" s="296"/>
      <c r="C22" s="296" t="s">
        <v>1390</v>
      </c>
    </row>
    <row r="23" spans="2:3">
      <c r="C23" s="293" t="s">
        <v>1391</v>
      </c>
    </row>
    <row r="24" spans="2:3">
      <c r="C24" s="293" t="s">
        <v>1392</v>
      </c>
    </row>
    <row r="25" spans="2:3">
      <c r="C25" s="293" t="s">
        <v>1393</v>
      </c>
    </row>
    <row r="26" spans="2:3">
      <c r="C26" s="293" t="s">
        <v>1394</v>
      </c>
    </row>
    <row r="27" spans="2:3">
      <c r="C27" s="293" t="s">
        <v>1395</v>
      </c>
    </row>
    <row r="28" spans="2:3">
      <c r="C28" s="293" t="s">
        <v>1396</v>
      </c>
    </row>
    <row r="29" spans="2:3">
      <c r="C29" s="293" t="s">
        <v>1397</v>
      </c>
    </row>
    <row r="30" spans="2:3">
      <c r="C30" s="293" t="s">
        <v>1398</v>
      </c>
    </row>
    <row r="31" spans="2:3">
      <c r="C31" s="293" t="s">
        <v>1399</v>
      </c>
    </row>
    <row r="32" spans="2:3">
      <c r="C32" s="293" t="s">
        <v>1400</v>
      </c>
    </row>
    <row r="33" spans="3:3">
      <c r="C33" s="293" t="s">
        <v>1401</v>
      </c>
    </row>
    <row r="35" spans="3:3">
      <c r="C35" s="293" t="s">
        <v>758</v>
      </c>
    </row>
    <row r="36" spans="3:3">
      <c r="C36" s="293" t="s">
        <v>1111</v>
      </c>
    </row>
    <row r="37" spans="3:3">
      <c r="C37" s="293" t="s">
        <v>758</v>
      </c>
    </row>
    <row r="38" spans="3:3">
      <c r="C38" s="293" t="s">
        <v>1402</v>
      </c>
    </row>
    <row r="40" spans="3:3">
      <c r="C40" s="293" t="s">
        <v>1403</v>
      </c>
    </row>
    <row r="42" spans="3:3">
      <c r="C42" s="293" t="s">
        <v>1404</v>
      </c>
    </row>
    <row r="43" spans="3:3">
      <c r="C43" s="293" t="s">
        <v>1405</v>
      </c>
    </row>
    <row r="44" spans="3:3">
      <c r="C44" s="293" t="s">
        <v>1406</v>
      </c>
    </row>
    <row r="45" spans="3:3">
      <c r="C45" s="293" t="s">
        <v>1407</v>
      </c>
    </row>
    <row r="46" spans="3:3">
      <c r="C46" s="293" t="s">
        <v>1408</v>
      </c>
    </row>
    <row r="47" spans="3:3">
      <c r="C47" s="293" t="s">
        <v>1409</v>
      </c>
    </row>
    <row r="48" spans="3:3">
      <c r="C48" s="293" t="s">
        <v>1410</v>
      </c>
    </row>
    <row r="49" spans="3:3">
      <c r="C49" s="293" t="s">
        <v>1411</v>
      </c>
    </row>
    <row r="50" spans="3:3">
      <c r="C50" s="293" t="s">
        <v>1412</v>
      </c>
    </row>
    <row r="51" spans="3:3">
      <c r="C51" s="293" t="s">
        <v>1413</v>
      </c>
    </row>
    <row r="52" spans="3:3">
      <c r="C52" s="293" t="s">
        <v>1414</v>
      </c>
    </row>
    <row r="53" spans="3:3">
      <c r="C53" s="293" t="s">
        <v>1415</v>
      </c>
    </row>
    <row r="54" spans="3:3">
      <c r="C54" s="293" t="s">
        <v>1416</v>
      </c>
    </row>
    <row r="55" spans="3:3">
      <c r="C55" s="293" t="s">
        <v>1417</v>
      </c>
    </row>
    <row r="56" spans="3:3">
      <c r="C56" s="293" t="s">
        <v>1419</v>
      </c>
    </row>
    <row r="57" spans="3:3">
      <c r="C57" s="293" t="s">
        <v>1420</v>
      </c>
    </row>
    <row r="58" spans="3:3">
      <c r="C58" s="293" t="s">
        <v>1432</v>
      </c>
    </row>
    <row r="59" spans="3:3">
      <c r="C59" s="293" t="s">
        <v>1436</v>
      </c>
    </row>
    <row r="60" spans="3:3">
      <c r="C60" s="293" t="s">
        <v>1443</v>
      </c>
    </row>
    <row r="61" spans="3:3">
      <c r="C61" s="293" t="s">
        <v>1444</v>
      </c>
    </row>
    <row r="63" spans="3:3">
      <c r="C63" s="293" t="s">
        <v>1445</v>
      </c>
    </row>
    <row r="64" spans="3:3">
      <c r="C64" s="293" t="s">
        <v>1446</v>
      </c>
    </row>
    <row r="65" spans="2:3">
      <c r="C65" s="293" t="s">
        <v>1447</v>
      </c>
    </row>
    <row r="66" spans="2:3">
      <c r="C66" s="293" t="s">
        <v>2007</v>
      </c>
    </row>
    <row r="67" spans="2:3">
      <c r="C67" s="293" t="s">
        <v>1449</v>
      </c>
    </row>
    <row r="68" spans="2:3">
      <c r="C68" s="293" t="s">
        <v>1450</v>
      </c>
    </row>
    <row r="69" spans="2:3">
      <c r="C69" s="293" t="s">
        <v>1451</v>
      </c>
    </row>
    <row r="70" spans="2:3">
      <c r="C70" s="293" t="s">
        <v>1452</v>
      </c>
    </row>
    <row r="71" spans="2:3">
      <c r="C71" s="293" t="s">
        <v>2008</v>
      </c>
    </row>
    <row r="72" spans="2:3">
      <c r="C72" s="293" t="s">
        <v>2009</v>
      </c>
    </row>
    <row r="73" spans="2:3">
      <c r="B73" s="293" t="s">
        <v>2004</v>
      </c>
    </row>
    <row r="74" spans="2:3">
      <c r="C74" s="293" t="s">
        <v>1453</v>
      </c>
    </row>
    <row r="75" spans="2:3">
      <c r="C75" s="293" t="s">
        <v>1454</v>
      </c>
    </row>
    <row r="76" spans="2:3">
      <c r="C76" s="293" t="s">
        <v>1455</v>
      </c>
    </row>
    <row r="77" spans="2:3">
      <c r="C77" s="293" t="s">
        <v>1456</v>
      </c>
    </row>
    <row r="78" spans="2:3">
      <c r="C78" s="293" t="s">
        <v>1457</v>
      </c>
    </row>
    <row r="79" spans="2:3">
      <c r="C79" s="293" t="s">
        <v>1460</v>
      </c>
    </row>
    <row r="80" spans="2:3">
      <c r="C80" s="293" t="s">
        <v>1461</v>
      </c>
    </row>
    <row r="81" spans="3:3">
      <c r="C81" s="293" t="s">
        <v>1462</v>
      </c>
    </row>
    <row r="82" spans="3:3">
      <c r="C82" s="293" t="s">
        <v>1463</v>
      </c>
    </row>
    <row r="83" spans="3:3">
      <c r="C83" s="293" t="s">
        <v>1464</v>
      </c>
    </row>
    <row r="84" spans="3:3">
      <c r="C84" s="293" t="s">
        <v>1465</v>
      </c>
    </row>
    <row r="85" spans="3:3">
      <c r="C85" s="293" t="s">
        <v>1466</v>
      </c>
    </row>
    <row r="86" spans="3:3">
      <c r="C86" s="293" t="s">
        <v>1468</v>
      </c>
    </row>
    <row r="87" spans="3:3">
      <c r="C87" s="293" t="s">
        <v>1469</v>
      </c>
    </row>
    <row r="88" spans="3:3">
      <c r="C88" s="293" t="s">
        <v>1471</v>
      </c>
    </row>
    <row r="89" spans="3:3">
      <c r="C89" s="293" t="s">
        <v>1475</v>
      </c>
    </row>
    <row r="90" spans="3:3">
      <c r="C90" s="293" t="s">
        <v>1476</v>
      </c>
    </row>
    <row r="91" spans="3:3">
      <c r="C91" s="293" t="s">
        <v>1477</v>
      </c>
    </row>
    <row r="92" spans="3:3">
      <c r="C92" s="293" t="s">
        <v>1478</v>
      </c>
    </row>
    <row r="93" spans="3:3">
      <c r="C93" s="293" t="s">
        <v>1479</v>
      </c>
    </row>
    <row r="94" spans="3:3">
      <c r="C94" s="293" t="s">
        <v>2010</v>
      </c>
    </row>
    <row r="95" spans="3:3">
      <c r="C95" s="293" t="s">
        <v>1481</v>
      </c>
    </row>
    <row r="96" spans="3:3">
      <c r="C96" s="293" t="s">
        <v>1482</v>
      </c>
    </row>
    <row r="97" spans="3:3">
      <c r="C97" s="293" t="s">
        <v>1483</v>
      </c>
    </row>
    <row r="98" spans="3:3">
      <c r="C98" s="293" t="s">
        <v>1484</v>
      </c>
    </row>
    <row r="99" spans="3:3">
      <c r="C99" s="293" t="s">
        <v>1485</v>
      </c>
    </row>
    <row r="100" spans="3:3">
      <c r="C100" s="293" t="s">
        <v>1486</v>
      </c>
    </row>
    <row r="101" spans="3:3">
      <c r="C101" s="293" t="s">
        <v>1487</v>
      </c>
    </row>
    <row r="102" spans="3:3">
      <c r="C102" s="293" t="s">
        <v>1488</v>
      </c>
    </row>
    <row r="103" spans="3:3">
      <c r="C103" s="293" t="s">
        <v>1489</v>
      </c>
    </row>
    <row r="104" spans="3:3">
      <c r="C104" s="293" t="s">
        <v>1490</v>
      </c>
    </row>
    <row r="105" spans="3:3">
      <c r="C105" s="293" t="s">
        <v>1491</v>
      </c>
    </row>
    <row r="106" spans="3:3">
      <c r="C106" s="293" t="s">
        <v>1492</v>
      </c>
    </row>
    <row r="107" spans="3:3">
      <c r="C107" s="293" t="s">
        <v>1493</v>
      </c>
    </row>
    <row r="108" spans="3:3">
      <c r="C108" s="293" t="s">
        <v>1494</v>
      </c>
    </row>
    <row r="109" spans="3:3">
      <c r="C109" s="293" t="s">
        <v>1495</v>
      </c>
    </row>
    <row r="110" spans="3:3">
      <c r="C110" s="293" t="s">
        <v>1496</v>
      </c>
    </row>
    <row r="111" spans="3:3">
      <c r="C111" s="293" t="s">
        <v>1497</v>
      </c>
    </row>
    <row r="112" spans="3:3">
      <c r="C112" s="293" t="s">
        <v>1498</v>
      </c>
    </row>
    <row r="113" spans="3:3">
      <c r="C113" s="293" t="s">
        <v>1500</v>
      </c>
    </row>
    <row r="114" spans="3:3">
      <c r="C114" s="293" t="s">
        <v>1502</v>
      </c>
    </row>
    <row r="115" spans="3:3">
      <c r="C115" s="293" t="s">
        <v>1503</v>
      </c>
    </row>
    <row r="116" spans="3:3">
      <c r="C116" s="293" t="s">
        <v>1504</v>
      </c>
    </row>
    <row r="117" spans="3:3">
      <c r="C117" s="293" t="s">
        <v>1506</v>
      </c>
    </row>
    <row r="118" spans="3:3">
      <c r="C118" s="293" t="s">
        <v>1507</v>
      </c>
    </row>
    <row r="119" spans="3:3">
      <c r="C119" s="293" t="s">
        <v>1509</v>
      </c>
    </row>
    <row r="120" spans="3:3">
      <c r="C120" s="293" t="s">
        <v>1510</v>
      </c>
    </row>
    <row r="121" spans="3:3">
      <c r="C121" s="293" t="s">
        <v>1511</v>
      </c>
    </row>
    <row r="122" spans="3:3">
      <c r="C122" s="293" t="s">
        <v>1513</v>
      </c>
    </row>
    <row r="123" spans="3:3">
      <c r="C123" s="293" t="s">
        <v>1514</v>
      </c>
    </row>
    <row r="124" spans="3:3">
      <c r="C124" s="293" t="s">
        <v>1515</v>
      </c>
    </row>
    <row r="125" spans="3:3">
      <c r="C125" s="293" t="s">
        <v>1516</v>
      </c>
    </row>
    <row r="126" spans="3:3">
      <c r="C126" s="293" t="s">
        <v>1517</v>
      </c>
    </row>
    <row r="127" spans="3:3">
      <c r="C127" s="293" t="s">
        <v>1518</v>
      </c>
    </row>
    <row r="128" spans="3:3">
      <c r="C128" s="293" t="s">
        <v>1519</v>
      </c>
    </row>
    <row r="129" spans="3:3">
      <c r="C129" s="293" t="s">
        <v>1520</v>
      </c>
    </row>
    <row r="130" spans="3:3">
      <c r="C130" s="293" t="s">
        <v>1521</v>
      </c>
    </row>
    <row r="131" spans="3:3">
      <c r="C131" s="293" t="s">
        <v>1522</v>
      </c>
    </row>
    <row r="132" spans="3:3">
      <c r="C132" s="293" t="s">
        <v>1523</v>
      </c>
    </row>
    <row r="133" spans="3:3">
      <c r="C133" s="293" t="s">
        <v>1524</v>
      </c>
    </row>
    <row r="134" spans="3:3">
      <c r="C134" s="293" t="s">
        <v>2011</v>
      </c>
    </row>
    <row r="135" spans="3:3">
      <c r="C135" s="293" t="s">
        <v>1526</v>
      </c>
    </row>
    <row r="136" spans="3:3">
      <c r="C136" s="293" t="s">
        <v>1527</v>
      </c>
    </row>
    <row r="137" spans="3:3">
      <c r="C137" s="293" t="s">
        <v>1528</v>
      </c>
    </row>
    <row r="138" spans="3:3">
      <c r="C138" s="293" t="s">
        <v>1529</v>
      </c>
    </row>
    <row r="139" spans="3:3">
      <c r="C139" s="293" t="s">
        <v>1530</v>
      </c>
    </row>
    <row r="140" spans="3:3">
      <c r="C140" s="293" t="s">
        <v>1531</v>
      </c>
    </row>
    <row r="141" spans="3:3">
      <c r="C141" s="293" t="s">
        <v>1532</v>
      </c>
    </row>
    <row r="142" spans="3:3">
      <c r="C142" s="293" t="s">
        <v>1533</v>
      </c>
    </row>
    <row r="143" spans="3:3">
      <c r="C143" s="293" t="s">
        <v>1534</v>
      </c>
    </row>
    <row r="144" spans="3:3">
      <c r="C144" s="293" t="s">
        <v>1535</v>
      </c>
    </row>
    <row r="145" spans="3:3">
      <c r="C145" s="293" t="s">
        <v>1536</v>
      </c>
    </row>
    <row r="146" spans="3:3">
      <c r="C146" s="293" t="s">
        <v>1537</v>
      </c>
    </row>
    <row r="147" spans="3:3">
      <c r="C147" s="293" t="s">
        <v>1538</v>
      </c>
    </row>
    <row r="148" spans="3:3">
      <c r="C148" s="293" t="s">
        <v>1540</v>
      </c>
    </row>
    <row r="149" spans="3:3">
      <c r="C149" s="293" t="s">
        <v>1542</v>
      </c>
    </row>
    <row r="150" spans="3:3">
      <c r="C150" s="293" t="s">
        <v>1543</v>
      </c>
    </row>
    <row r="151" spans="3:3">
      <c r="C151" s="293" t="s">
        <v>1544</v>
      </c>
    </row>
    <row r="152" spans="3:3">
      <c r="C152" s="293" t="s">
        <v>1545</v>
      </c>
    </row>
    <row r="153" spans="3:3">
      <c r="C153" s="293" t="s">
        <v>1546</v>
      </c>
    </row>
    <row r="154" spans="3:3">
      <c r="C154" s="293" t="s">
        <v>1547</v>
      </c>
    </row>
    <row r="155" spans="3:3">
      <c r="C155" s="293" t="s">
        <v>1548</v>
      </c>
    </row>
    <row r="156" spans="3:3">
      <c r="C156" s="293" t="s">
        <v>1549</v>
      </c>
    </row>
    <row r="157" spans="3:3">
      <c r="C157" s="293" t="s">
        <v>1550</v>
      </c>
    </row>
    <row r="158" spans="3:3">
      <c r="C158" s="293" t="s">
        <v>1551</v>
      </c>
    </row>
    <row r="159" spans="3:3">
      <c r="C159" s="293" t="s">
        <v>1552</v>
      </c>
    </row>
    <row r="160" spans="3:3">
      <c r="C160" s="293" t="s">
        <v>1553</v>
      </c>
    </row>
    <row r="161" spans="3:3">
      <c r="C161" s="293" t="s">
        <v>1554</v>
      </c>
    </row>
    <row r="162" spans="3:3">
      <c r="C162" s="293" t="s">
        <v>1555</v>
      </c>
    </row>
    <row r="163" spans="3:3">
      <c r="C163" s="293" t="s">
        <v>1556</v>
      </c>
    </row>
    <row r="164" spans="3:3">
      <c r="C164" s="293" t="s">
        <v>1557</v>
      </c>
    </row>
    <row r="165" spans="3:3">
      <c r="C165" s="293" t="s">
        <v>1558</v>
      </c>
    </row>
    <row r="166" spans="3:3">
      <c r="C166" s="293" t="s">
        <v>1559</v>
      </c>
    </row>
    <row r="167" spans="3:3">
      <c r="C167" s="293" t="s">
        <v>1560</v>
      </c>
    </row>
    <row r="168" spans="3:3">
      <c r="C168" s="293" t="s">
        <v>1561</v>
      </c>
    </row>
    <row r="169" spans="3:3">
      <c r="C169" s="293" t="s">
        <v>1563</v>
      </c>
    </row>
    <row r="170" spans="3:3">
      <c r="C170" s="293" t="s">
        <v>1564</v>
      </c>
    </row>
    <row r="171" spans="3:3">
      <c r="C171" s="293" t="s">
        <v>1565</v>
      </c>
    </row>
    <row r="172" spans="3:3">
      <c r="C172" s="293" t="s">
        <v>1566</v>
      </c>
    </row>
    <row r="173" spans="3:3">
      <c r="C173" s="293" t="s">
        <v>1567</v>
      </c>
    </row>
    <row r="174" spans="3:3">
      <c r="C174" s="293" t="s">
        <v>1568</v>
      </c>
    </row>
    <row r="175" spans="3:3">
      <c r="C175" s="293" t="s">
        <v>1569</v>
      </c>
    </row>
    <row r="176" spans="3:3">
      <c r="C176" s="293" t="s">
        <v>1570</v>
      </c>
    </row>
    <row r="177" spans="3:3">
      <c r="C177" s="293" t="s">
        <v>1571</v>
      </c>
    </row>
    <row r="178" spans="3:3">
      <c r="C178" s="293" t="s">
        <v>1572</v>
      </c>
    </row>
    <row r="179" spans="3:3">
      <c r="C179" s="293" t="s">
        <v>2012</v>
      </c>
    </row>
    <row r="180" spans="3:3">
      <c r="C180" s="293" t="s">
        <v>1577</v>
      </c>
    </row>
    <row r="181" spans="3:3">
      <c r="C181" s="293" t="s">
        <v>1578</v>
      </c>
    </row>
    <row r="182" spans="3:3">
      <c r="C182" s="293" t="s">
        <v>1579</v>
      </c>
    </row>
    <row r="183" spans="3:3">
      <c r="C183" s="293" t="s">
        <v>1580</v>
      </c>
    </row>
    <row r="184" spans="3:3">
      <c r="C184" s="293" t="s">
        <v>1582</v>
      </c>
    </row>
    <row r="185" spans="3:3">
      <c r="C185" s="293" t="s">
        <v>1583</v>
      </c>
    </row>
    <row r="186" spans="3:3">
      <c r="C186" s="293" t="s">
        <v>1584</v>
      </c>
    </row>
    <row r="187" spans="3:3">
      <c r="C187" s="293" t="s">
        <v>1585</v>
      </c>
    </row>
    <row r="188" spans="3:3">
      <c r="C188" s="293" t="s">
        <v>1586</v>
      </c>
    </row>
    <row r="189" spans="3:3">
      <c r="C189" s="293" t="s">
        <v>1587</v>
      </c>
    </row>
    <row r="190" spans="3:3">
      <c r="C190" s="293" t="s">
        <v>1588</v>
      </c>
    </row>
    <row r="191" spans="3:3">
      <c r="C191" s="293" t="s">
        <v>1589</v>
      </c>
    </row>
    <row r="192" spans="3:3">
      <c r="C192" s="293" t="s">
        <v>1590</v>
      </c>
    </row>
    <row r="193" spans="3:3">
      <c r="C193" s="293" t="s">
        <v>1591</v>
      </c>
    </row>
    <row r="194" spans="3:3">
      <c r="C194" s="293" t="s">
        <v>1592</v>
      </c>
    </row>
    <row r="195" spans="3:3">
      <c r="C195" s="293" t="s">
        <v>1593</v>
      </c>
    </row>
    <row r="196" spans="3:3">
      <c r="C196" s="293" t="s">
        <v>1594</v>
      </c>
    </row>
    <row r="197" spans="3:3">
      <c r="C197" s="293" t="s">
        <v>1595</v>
      </c>
    </row>
    <row r="198" spans="3:3">
      <c r="C198" s="293" t="s">
        <v>1596</v>
      </c>
    </row>
    <row r="199" spans="3:3">
      <c r="C199" s="293" t="s">
        <v>1597</v>
      </c>
    </row>
    <row r="200" spans="3:3">
      <c r="C200" s="293" t="s">
        <v>1598</v>
      </c>
    </row>
    <row r="201" spans="3:3">
      <c r="C201" s="293" t="s">
        <v>1599</v>
      </c>
    </row>
    <row r="202" spans="3:3">
      <c r="C202" s="293" t="s">
        <v>1600</v>
      </c>
    </row>
    <row r="203" spans="3:3">
      <c r="C203" s="293" t="s">
        <v>1601</v>
      </c>
    </row>
    <row r="204" spans="3:3">
      <c r="C204" s="293" t="s">
        <v>1602</v>
      </c>
    </row>
    <row r="205" spans="3:3">
      <c r="C205" s="293" t="s">
        <v>1603</v>
      </c>
    </row>
    <row r="206" spans="3:3">
      <c r="C206" s="293" t="s">
        <v>1604</v>
      </c>
    </row>
    <row r="207" spans="3:3">
      <c r="C207" s="293" t="s">
        <v>1605</v>
      </c>
    </row>
    <row r="208" spans="3:3">
      <c r="C208" s="293" t="s">
        <v>2013</v>
      </c>
    </row>
    <row r="209" spans="3:3">
      <c r="C209" s="293" t="s">
        <v>1607</v>
      </c>
    </row>
    <row r="210" spans="3:3">
      <c r="C210" s="293" t="s">
        <v>1608</v>
      </c>
    </row>
    <row r="211" spans="3:3">
      <c r="C211" s="293" t="s">
        <v>1609</v>
      </c>
    </row>
    <row r="212" spans="3:3">
      <c r="C212" s="293" t="s">
        <v>1610</v>
      </c>
    </row>
    <row r="213" spans="3:3">
      <c r="C213" s="293" t="s">
        <v>1611</v>
      </c>
    </row>
    <row r="214" spans="3:3">
      <c r="C214" s="293" t="s">
        <v>1612</v>
      </c>
    </row>
    <row r="215" spans="3:3">
      <c r="C215" s="293" t="s">
        <v>1613</v>
      </c>
    </row>
    <row r="216" spans="3:3">
      <c r="C216" s="293" t="s">
        <v>1614</v>
      </c>
    </row>
    <row r="217" spans="3:3">
      <c r="C217" s="293" t="s">
        <v>1615</v>
      </c>
    </row>
    <row r="218" spans="3:3">
      <c r="C218" s="293" t="s">
        <v>1616</v>
      </c>
    </row>
    <row r="219" spans="3:3">
      <c r="C219" s="293" t="s">
        <v>1617</v>
      </c>
    </row>
    <row r="220" spans="3:3">
      <c r="C220" s="293" t="s">
        <v>1618</v>
      </c>
    </row>
    <row r="221" spans="3:3">
      <c r="C221" s="293" t="s">
        <v>1619</v>
      </c>
    </row>
    <row r="222" spans="3:3">
      <c r="C222" s="293" t="s">
        <v>1620</v>
      </c>
    </row>
    <row r="223" spans="3:3">
      <c r="C223" s="293" t="s">
        <v>1621</v>
      </c>
    </row>
    <row r="224" spans="3:3">
      <c r="C224" s="293" t="s">
        <v>1622</v>
      </c>
    </row>
    <row r="225" spans="3:3">
      <c r="C225" s="293" t="s">
        <v>1623</v>
      </c>
    </row>
    <row r="226" spans="3:3">
      <c r="C226" s="293" t="s">
        <v>1624</v>
      </c>
    </row>
    <row r="227" spans="3:3">
      <c r="C227" s="293" t="s">
        <v>1625</v>
      </c>
    </row>
    <row r="228" spans="3:3">
      <c r="C228" s="293" t="s">
        <v>1626</v>
      </c>
    </row>
    <row r="229" spans="3:3">
      <c r="C229" s="293" t="s">
        <v>1627</v>
      </c>
    </row>
    <row r="230" spans="3:3">
      <c r="C230" s="293" t="s">
        <v>1628</v>
      </c>
    </row>
    <row r="231" spans="3:3">
      <c r="C231" s="293" t="s">
        <v>1629</v>
      </c>
    </row>
    <row r="232" spans="3:3">
      <c r="C232" s="293" t="s">
        <v>1630</v>
      </c>
    </row>
    <row r="233" spans="3:3">
      <c r="C233" s="293" t="s">
        <v>1631</v>
      </c>
    </row>
    <row r="234" spans="3:3">
      <c r="C234" s="293" t="s">
        <v>1632</v>
      </c>
    </row>
    <row r="235" spans="3:3">
      <c r="C235" s="293" t="s">
        <v>1633</v>
      </c>
    </row>
    <row r="236" spans="3:3">
      <c r="C236" s="293" t="s">
        <v>1634</v>
      </c>
    </row>
    <row r="237" spans="3:3">
      <c r="C237" s="293" t="s">
        <v>1635</v>
      </c>
    </row>
    <row r="238" spans="3:3">
      <c r="C238" s="293" t="s">
        <v>1636</v>
      </c>
    </row>
    <row r="239" spans="3:3">
      <c r="C239" s="293" t="s">
        <v>1637</v>
      </c>
    </row>
    <row r="240" spans="3:3">
      <c r="C240" s="293" t="s">
        <v>1638</v>
      </c>
    </row>
    <row r="241" spans="3:3">
      <c r="C241" s="293" t="s">
        <v>1639</v>
      </c>
    </row>
    <row r="242" spans="3:3">
      <c r="C242" s="293" t="s">
        <v>1640</v>
      </c>
    </row>
    <row r="243" spans="3:3">
      <c r="C243" s="293" t="s">
        <v>1641</v>
      </c>
    </row>
    <row r="244" spans="3:3">
      <c r="C244" s="293" t="s">
        <v>1642</v>
      </c>
    </row>
    <row r="245" spans="3:3">
      <c r="C245" s="293" t="s">
        <v>1643</v>
      </c>
    </row>
    <row r="246" spans="3:3">
      <c r="C246" s="293" t="s">
        <v>1644</v>
      </c>
    </row>
    <row r="247" spans="3:3">
      <c r="C247" s="293" t="s">
        <v>1645</v>
      </c>
    </row>
    <row r="248" spans="3:3">
      <c r="C248" s="293" t="s">
        <v>1646</v>
      </c>
    </row>
    <row r="249" spans="3:3">
      <c r="C249" s="293" t="s">
        <v>1647</v>
      </c>
    </row>
    <row r="250" spans="3:3">
      <c r="C250" s="293" t="s">
        <v>1648</v>
      </c>
    </row>
    <row r="251" spans="3:3">
      <c r="C251" s="293" t="s">
        <v>2014</v>
      </c>
    </row>
    <row r="252" spans="3:3">
      <c r="C252" s="293" t="s">
        <v>2015</v>
      </c>
    </row>
    <row r="253" spans="3:3">
      <c r="C253" s="293" t="s">
        <v>2016</v>
      </c>
    </row>
    <row r="254" spans="3:3">
      <c r="C254" s="293" t="s">
        <v>2017</v>
      </c>
    </row>
    <row r="255" spans="3:3">
      <c r="C255" s="293" t="s">
        <v>2018</v>
      </c>
    </row>
    <row r="256" spans="3:3">
      <c r="C256" s="293" t="s">
        <v>2019</v>
      </c>
    </row>
    <row r="257" spans="3:3">
      <c r="C257" s="293" t="s">
        <v>2020</v>
      </c>
    </row>
    <row r="258" spans="3:3">
      <c r="C258" s="293" t="s">
        <v>2021</v>
      </c>
    </row>
    <row r="259" spans="3:3">
      <c r="C259" s="293" t="s">
        <v>2022</v>
      </c>
    </row>
    <row r="260" spans="3:3">
      <c r="C260" s="293" t="s">
        <v>2023</v>
      </c>
    </row>
    <row r="261" spans="3:3">
      <c r="C261" s="293" t="s">
        <v>2024</v>
      </c>
    </row>
    <row r="262" spans="3:3">
      <c r="C262" s="293" t="s">
        <v>2025</v>
      </c>
    </row>
    <row r="263" spans="3:3">
      <c r="C263" s="293" t="s">
        <v>2026</v>
      </c>
    </row>
    <row r="265" spans="3:3">
      <c r="C265" s="293" t="s">
        <v>1649</v>
      </c>
    </row>
    <row r="266" spans="3:3">
      <c r="C266" s="293" t="s">
        <v>1650</v>
      </c>
    </row>
    <row r="267" spans="3:3">
      <c r="C267" s="293" t="s">
        <v>1651</v>
      </c>
    </row>
    <row r="268" spans="3:3">
      <c r="C268" s="293" t="s">
        <v>1652</v>
      </c>
    </row>
    <row r="269" spans="3:3">
      <c r="C269" s="293" t="s">
        <v>1653</v>
      </c>
    </row>
    <row r="270" spans="3:3">
      <c r="C270" s="293" t="s">
        <v>1654</v>
      </c>
    </row>
    <row r="271" spans="3:3">
      <c r="C271" s="293" t="s">
        <v>1655</v>
      </c>
    </row>
    <row r="272" spans="3:3">
      <c r="C272" s="293" t="s">
        <v>1656</v>
      </c>
    </row>
    <row r="273" spans="3:3">
      <c r="C273" s="293" t="s">
        <v>1657</v>
      </c>
    </row>
    <row r="274" spans="3:3">
      <c r="C274" s="293" t="s">
        <v>1658</v>
      </c>
    </row>
    <row r="275" spans="3:3">
      <c r="C275" s="293" t="s">
        <v>1659</v>
      </c>
    </row>
    <row r="276" spans="3:3">
      <c r="C276" s="293" t="s">
        <v>1660</v>
      </c>
    </row>
    <row r="277" spans="3:3">
      <c r="C277" s="293" t="s">
        <v>1661</v>
      </c>
    </row>
    <row r="278" spans="3:3">
      <c r="C278" s="293" t="s">
        <v>1662</v>
      </c>
    </row>
    <row r="279" spans="3:3">
      <c r="C279" s="293" t="s">
        <v>1663</v>
      </c>
    </row>
    <row r="280" spans="3:3">
      <c r="C280" s="293" t="s">
        <v>1664</v>
      </c>
    </row>
    <row r="281" spans="3:3">
      <c r="C281" s="293" t="s">
        <v>1665</v>
      </c>
    </row>
    <row r="282" spans="3:3">
      <c r="C282" s="293" t="s">
        <v>1666</v>
      </c>
    </row>
    <row r="283" spans="3:3">
      <c r="C283" s="293" t="s">
        <v>1667</v>
      </c>
    </row>
    <row r="284" spans="3:3">
      <c r="C284" s="293" t="s">
        <v>1668</v>
      </c>
    </row>
    <row r="285" spans="3:3">
      <c r="C285" s="293" t="s">
        <v>1669</v>
      </c>
    </row>
    <row r="286" spans="3:3">
      <c r="C286" s="293" t="s">
        <v>1670</v>
      </c>
    </row>
    <row r="287" spans="3:3">
      <c r="C287" s="293" t="s">
        <v>1671</v>
      </c>
    </row>
    <row r="288" spans="3:3">
      <c r="C288" s="293" t="s">
        <v>1672</v>
      </c>
    </row>
    <row r="289" spans="3:3">
      <c r="C289" s="293" t="s">
        <v>1673</v>
      </c>
    </row>
    <row r="290" spans="3:3">
      <c r="C290" s="293" t="s">
        <v>1674</v>
      </c>
    </row>
    <row r="291" spans="3:3">
      <c r="C291" s="293" t="s">
        <v>1675</v>
      </c>
    </row>
    <row r="292" spans="3:3">
      <c r="C292" s="293" t="s">
        <v>1676</v>
      </c>
    </row>
    <row r="293" spans="3:3">
      <c r="C293" s="293" t="s">
        <v>1677</v>
      </c>
    </row>
    <row r="294" spans="3:3">
      <c r="C294" s="293" t="s">
        <v>1678</v>
      </c>
    </row>
    <row r="295" spans="3:3">
      <c r="C295" s="293" t="s">
        <v>1679</v>
      </c>
    </row>
    <row r="296" spans="3:3">
      <c r="C296" s="293" t="s">
        <v>1680</v>
      </c>
    </row>
    <row r="297" spans="3:3">
      <c r="C297" s="293" t="s">
        <v>1681</v>
      </c>
    </row>
    <row r="298" spans="3:3">
      <c r="C298" s="293" t="s">
        <v>1682</v>
      </c>
    </row>
    <row r="300" spans="3:3">
      <c r="C300" s="293" t="s">
        <v>758</v>
      </c>
    </row>
    <row r="301" spans="3:3">
      <c r="C301" s="293" t="s">
        <v>1116</v>
      </c>
    </row>
    <row r="302" spans="3:3">
      <c r="C302" s="293" t="s">
        <v>758</v>
      </c>
    </row>
    <row r="303" spans="3:3">
      <c r="C303" s="293" t="s">
        <v>1683</v>
      </c>
    </row>
    <row r="304" spans="3:3">
      <c r="C304" s="293" t="s">
        <v>1684</v>
      </c>
    </row>
    <row r="305" spans="3:3">
      <c r="C305" s="293" t="s">
        <v>1685</v>
      </c>
    </row>
    <row r="306" spans="3:3">
      <c r="C306" s="293" t="s">
        <v>1686</v>
      </c>
    </row>
    <row r="307" spans="3:3">
      <c r="C307" s="293" t="s">
        <v>1687</v>
      </c>
    </row>
    <row r="308" spans="3:3">
      <c r="C308" s="293" t="s">
        <v>1688</v>
      </c>
    </row>
    <row r="309" spans="3:3">
      <c r="C309" s="293" t="s">
        <v>1689</v>
      </c>
    </row>
    <row r="310" spans="3:3">
      <c r="C310" s="293" t="s">
        <v>1690</v>
      </c>
    </row>
    <row r="311" spans="3:3">
      <c r="C311" s="293" t="s">
        <v>1691</v>
      </c>
    </row>
    <row r="312" spans="3:3">
      <c r="C312" s="293" t="s">
        <v>1692</v>
      </c>
    </row>
    <row r="313" spans="3:3">
      <c r="C313" s="293" t="s">
        <v>1693</v>
      </c>
    </row>
    <row r="314" spans="3:3">
      <c r="C314" s="293" t="s">
        <v>2027</v>
      </c>
    </row>
    <row r="315" spans="3:3">
      <c r="C315" s="293" t="s">
        <v>1695</v>
      </c>
    </row>
    <row r="316" spans="3:3">
      <c r="C316" s="293" t="s">
        <v>1696</v>
      </c>
    </row>
    <row r="317" spans="3:3">
      <c r="C317" s="293" t="s">
        <v>1697</v>
      </c>
    </row>
    <row r="319" spans="3:3">
      <c r="C319" s="293" t="s">
        <v>1698</v>
      </c>
    </row>
    <row r="320" spans="3:3">
      <c r="C320" s="293" t="s">
        <v>1699</v>
      </c>
    </row>
    <row r="321" spans="2:3">
      <c r="C321" s="293" t="s">
        <v>1700</v>
      </c>
    </row>
    <row r="322" spans="2:3">
      <c r="C322" s="293" t="s">
        <v>1701</v>
      </c>
    </row>
    <row r="323" spans="2:3">
      <c r="C323" s="293" t="s">
        <v>1702</v>
      </c>
    </row>
    <row r="324" spans="2:3">
      <c r="C324" s="293" t="s">
        <v>1703</v>
      </c>
    </row>
    <row r="325" spans="2:3">
      <c r="C325" s="293" t="s">
        <v>1704</v>
      </c>
    </row>
    <row r="326" spans="2:3">
      <c r="C326" s="293" t="s">
        <v>1705</v>
      </c>
    </row>
    <row r="327" spans="2:3">
      <c r="C327" s="293" t="s">
        <v>1706</v>
      </c>
    </row>
    <row r="328" spans="2:3">
      <c r="C328" s="293" t="s">
        <v>1707</v>
      </c>
    </row>
    <row r="329" spans="2:3">
      <c r="C329" s="293" t="s">
        <v>1708</v>
      </c>
    </row>
    <row r="331" spans="2:3">
      <c r="C331" s="293" t="s">
        <v>1709</v>
      </c>
    </row>
    <row r="332" spans="2:3">
      <c r="C332" s="293" t="s">
        <v>1710</v>
      </c>
    </row>
    <row r="333" spans="2:3">
      <c r="C333" s="293" t="s">
        <v>1711</v>
      </c>
    </row>
    <row r="334" spans="2:3">
      <c r="C334" s="293" t="s">
        <v>1712</v>
      </c>
    </row>
    <row r="335" spans="2:3">
      <c r="C335" s="293" t="s">
        <v>1713</v>
      </c>
    </row>
    <row r="336" spans="2:3">
      <c r="B336" s="296" t="s">
        <v>2005</v>
      </c>
      <c r="C336" s="294" t="s">
        <v>1715</v>
      </c>
    </row>
    <row r="338" spans="3:3">
      <c r="C338" s="293" t="s">
        <v>758</v>
      </c>
    </row>
    <row r="339" spans="3:3">
      <c r="C339" s="293" t="s">
        <v>1117</v>
      </c>
    </row>
    <row r="340" spans="3:3">
      <c r="C340" s="293" t="s">
        <v>758</v>
      </c>
    </row>
    <row r="341" spans="3:3">
      <c r="C341" s="293" t="s">
        <v>758</v>
      </c>
    </row>
    <row r="342" spans="3:3">
      <c r="C342" s="293" t="s">
        <v>1716</v>
      </c>
    </row>
    <row r="343" spans="3:3">
      <c r="C343" s="293" t="s">
        <v>758</v>
      </c>
    </row>
    <row r="344" spans="3:3">
      <c r="C344" s="293" t="s">
        <v>758</v>
      </c>
    </row>
    <row r="345" spans="3:3">
      <c r="C345" s="293" t="s">
        <v>1717</v>
      </c>
    </row>
    <row r="346" spans="3:3">
      <c r="C346" s="293" t="s">
        <v>758</v>
      </c>
    </row>
    <row r="347" spans="3:3">
      <c r="C347" s="293" t="s">
        <v>1718</v>
      </c>
    </row>
    <row r="348" spans="3:3">
      <c r="C348" s="293" t="s">
        <v>1719</v>
      </c>
    </row>
    <row r="349" spans="3:3">
      <c r="C349" s="293" t="s">
        <v>1720</v>
      </c>
    </row>
    <row r="350" spans="3:3">
      <c r="C350" s="293" t="s">
        <v>1722</v>
      </c>
    </row>
    <row r="351" spans="3:3">
      <c r="C351" s="293" t="s">
        <v>1723</v>
      </c>
    </row>
    <row r="352" spans="3:3">
      <c r="C352" s="293" t="s">
        <v>1724</v>
      </c>
    </row>
    <row r="353" spans="2:3">
      <c r="C353" s="293" t="s">
        <v>1725</v>
      </c>
    </row>
    <row r="354" spans="2:3">
      <c r="C354" s="293" t="s">
        <v>1726</v>
      </c>
    </row>
    <row r="355" spans="2:3">
      <c r="C355" s="293" t="s">
        <v>1727</v>
      </c>
    </row>
    <row r="356" spans="2:3">
      <c r="C356" s="293" t="s">
        <v>1728</v>
      </c>
    </row>
    <row r="357" spans="2:3">
      <c r="C357" s="293" t="s">
        <v>1729</v>
      </c>
    </row>
    <row r="358" spans="2:3">
      <c r="C358" s="293" t="s">
        <v>1730</v>
      </c>
    </row>
    <row r="359" spans="2:3">
      <c r="C359" s="293" t="s">
        <v>1731</v>
      </c>
    </row>
    <row r="360" spans="2:3">
      <c r="C360" s="293" t="s">
        <v>1732</v>
      </c>
    </row>
    <row r="361" spans="2:3">
      <c r="B361" s="296"/>
      <c r="C361" s="296" t="s">
        <v>1733</v>
      </c>
    </row>
    <row r="362" spans="2:3">
      <c r="B362" s="296"/>
      <c r="C362" s="296" t="s">
        <v>1734</v>
      </c>
    </row>
    <row r="363" spans="2:3">
      <c r="B363" s="296"/>
      <c r="C363" s="293" t="s">
        <v>1735</v>
      </c>
    </row>
    <row r="364" spans="2:3">
      <c r="C364" s="293" t="s">
        <v>1736</v>
      </c>
    </row>
    <row r="365" spans="2:3">
      <c r="C365" s="293" t="s">
        <v>1737</v>
      </c>
    </row>
    <row r="366" spans="2:3">
      <c r="C366" s="293" t="s">
        <v>1738</v>
      </c>
    </row>
    <row r="367" spans="2:3">
      <c r="C367" s="293" t="s">
        <v>1739</v>
      </c>
    </row>
    <row r="368" spans="2:3">
      <c r="C368" s="293" t="s">
        <v>1740</v>
      </c>
    </row>
    <row r="369" spans="3:3">
      <c r="C369" s="293" t="s">
        <v>1741</v>
      </c>
    </row>
    <row r="370" spans="3:3">
      <c r="C370" s="293" t="s">
        <v>1742</v>
      </c>
    </row>
    <row r="371" spans="3:3">
      <c r="C371" s="293" t="s">
        <v>1743</v>
      </c>
    </row>
    <row r="372" spans="3:3">
      <c r="C372" s="293" t="s">
        <v>1744</v>
      </c>
    </row>
    <row r="373" spans="3:3">
      <c r="C373" s="293" t="s">
        <v>1745</v>
      </c>
    </row>
    <row r="374" spans="3:3">
      <c r="C374" s="293" t="s">
        <v>1746</v>
      </c>
    </row>
    <row r="375" spans="3:3">
      <c r="C375" s="293" t="s">
        <v>1747</v>
      </c>
    </row>
    <row r="376" spans="3:3">
      <c r="C376" s="293" t="s">
        <v>1748</v>
      </c>
    </row>
    <row r="377" spans="3:3">
      <c r="C377" s="293" t="s">
        <v>1749</v>
      </c>
    </row>
    <row r="378" spans="3:3">
      <c r="C378" s="293" t="s">
        <v>1750</v>
      </c>
    </row>
    <row r="379" spans="3:3">
      <c r="C379" s="293" t="s">
        <v>1751</v>
      </c>
    </row>
    <row r="380" spans="3:3">
      <c r="C380" s="293" t="s">
        <v>1752</v>
      </c>
    </row>
    <row r="381" spans="3:3">
      <c r="C381" s="293" t="s">
        <v>1753</v>
      </c>
    </row>
    <row r="382" spans="3:3">
      <c r="C382" s="293" t="s">
        <v>1754</v>
      </c>
    </row>
    <row r="383" spans="3:3">
      <c r="C383" s="293" t="s">
        <v>1755</v>
      </c>
    </row>
    <row r="384" spans="3:3">
      <c r="C384" s="293" t="s">
        <v>1756</v>
      </c>
    </row>
    <row r="385" spans="3:3">
      <c r="C385" s="293" t="s">
        <v>1757</v>
      </c>
    </row>
    <row r="386" spans="3:3">
      <c r="C386" s="293" t="s">
        <v>1758</v>
      </c>
    </row>
    <row r="387" spans="3:3">
      <c r="C387" s="293" t="s">
        <v>1759</v>
      </c>
    </row>
    <row r="388" spans="3:3">
      <c r="C388" s="293" t="s">
        <v>1760</v>
      </c>
    </row>
    <row r="389" spans="3:3">
      <c r="C389" s="293" t="s">
        <v>1761</v>
      </c>
    </row>
    <row r="390" spans="3:3">
      <c r="C390" s="293" t="s">
        <v>1762</v>
      </c>
    </row>
    <row r="391" spans="3:3">
      <c r="C391" s="293" t="s">
        <v>1763</v>
      </c>
    </row>
    <row r="392" spans="3:3">
      <c r="C392" s="293" t="s">
        <v>1764</v>
      </c>
    </row>
    <row r="393" spans="3:3">
      <c r="C393" s="293" t="s">
        <v>1765</v>
      </c>
    </row>
    <row r="395" spans="3:3">
      <c r="C395" s="293" t="s">
        <v>758</v>
      </c>
    </row>
    <row r="396" spans="3:3">
      <c r="C396" s="293" t="s">
        <v>1766</v>
      </c>
    </row>
    <row r="398" spans="3:3">
      <c r="C398" s="293" t="s">
        <v>1767</v>
      </c>
    </row>
    <row r="399" spans="3:3">
      <c r="C399" s="293" t="s">
        <v>1768</v>
      </c>
    </row>
    <row r="400" spans="3:3">
      <c r="C400" s="293" t="s">
        <v>1769</v>
      </c>
    </row>
    <row r="401" spans="3:3">
      <c r="C401" s="293" t="s">
        <v>1770</v>
      </c>
    </row>
    <row r="402" spans="3:3">
      <c r="C402" s="293" t="s">
        <v>1771</v>
      </c>
    </row>
    <row r="403" spans="3:3">
      <c r="C403" s="293" t="s">
        <v>1772</v>
      </c>
    </row>
    <row r="404" spans="3:3">
      <c r="C404" s="293" t="s">
        <v>1773</v>
      </c>
    </row>
    <row r="405" spans="3:3">
      <c r="C405" s="293" t="s">
        <v>1774</v>
      </c>
    </row>
    <row r="406" spans="3:3">
      <c r="C406" s="293" t="s">
        <v>1775</v>
      </c>
    </row>
    <row r="407" spans="3:3">
      <c r="C407" s="293" t="s">
        <v>1776</v>
      </c>
    </row>
    <row r="408" spans="3:3">
      <c r="C408" s="293" t="s">
        <v>1777</v>
      </c>
    </row>
    <row r="409" spans="3:3">
      <c r="C409" s="293" t="s">
        <v>1778</v>
      </c>
    </row>
    <row r="411" spans="3:3">
      <c r="C411" s="293" t="s">
        <v>1779</v>
      </c>
    </row>
    <row r="412" spans="3:3">
      <c r="C412" s="293" t="s">
        <v>1780</v>
      </c>
    </row>
    <row r="413" spans="3:3">
      <c r="C413" s="293" t="s">
        <v>1781</v>
      </c>
    </row>
    <row r="414" spans="3:3">
      <c r="C414" s="293" t="s">
        <v>1782</v>
      </c>
    </row>
    <row r="415" spans="3:3">
      <c r="C415" s="293" t="s">
        <v>1783</v>
      </c>
    </row>
    <row r="416" spans="3:3">
      <c r="C416" s="293" t="s">
        <v>1784</v>
      </c>
    </row>
    <row r="417" spans="3:3">
      <c r="C417" s="293" t="s">
        <v>1785</v>
      </c>
    </row>
    <row r="418" spans="3:3">
      <c r="C418" s="293" t="s">
        <v>1786</v>
      </c>
    </row>
    <row r="420" spans="3:3">
      <c r="C420" s="293" t="s">
        <v>1787</v>
      </c>
    </row>
    <row r="421" spans="3:3">
      <c r="C421" s="293" t="s">
        <v>1788</v>
      </c>
    </row>
    <row r="422" spans="3:3">
      <c r="C422" s="293" t="s">
        <v>1789</v>
      </c>
    </row>
    <row r="423" spans="3:3">
      <c r="C423" s="293" t="s">
        <v>1790</v>
      </c>
    </row>
    <row r="424" spans="3:3">
      <c r="C424" s="293" t="s">
        <v>1791</v>
      </c>
    </row>
    <row r="425" spans="3:3">
      <c r="C425" s="293" t="s">
        <v>1792</v>
      </c>
    </row>
    <row r="426" spans="3:3">
      <c r="C426" s="293" t="s">
        <v>1793</v>
      </c>
    </row>
    <row r="427" spans="3:3">
      <c r="C427" s="293" t="s">
        <v>1794</v>
      </c>
    </row>
    <row r="429" spans="3:3">
      <c r="C429" s="293" t="s">
        <v>758</v>
      </c>
    </row>
    <row r="430" spans="3:3">
      <c r="C430" s="293" t="s">
        <v>1796</v>
      </c>
    </row>
    <row r="431" spans="3:3">
      <c r="C431" s="293" t="s">
        <v>758</v>
      </c>
    </row>
    <row r="432" spans="3:3">
      <c r="C432" s="293" t="s">
        <v>1797</v>
      </c>
    </row>
    <row r="433" spans="3:3">
      <c r="C433" s="293" t="s">
        <v>1798</v>
      </c>
    </row>
    <row r="434" spans="3:3">
      <c r="C434" s="293" t="s">
        <v>1799</v>
      </c>
    </row>
    <row r="435" spans="3:3">
      <c r="C435" s="293" t="s">
        <v>1800</v>
      </c>
    </row>
    <row r="436" spans="3:3">
      <c r="C436" s="293" t="s">
        <v>1801</v>
      </c>
    </row>
    <row r="437" spans="3:3">
      <c r="C437" s="293" t="s">
        <v>1804</v>
      </c>
    </row>
    <row r="438" spans="3:3">
      <c r="C438" s="293" t="s">
        <v>1805</v>
      </c>
    </row>
    <row r="439" spans="3:3">
      <c r="C439" s="293" t="s">
        <v>1806</v>
      </c>
    </row>
    <row r="440" spans="3:3">
      <c r="C440" s="293" t="s">
        <v>1807</v>
      </c>
    </row>
    <row r="441" spans="3:3">
      <c r="C441" s="293" t="s">
        <v>1808</v>
      </c>
    </row>
    <row r="442" spans="3:3">
      <c r="C442" s="293" t="s">
        <v>1809</v>
      </c>
    </row>
    <row r="443" spans="3:3">
      <c r="C443" s="293" t="s">
        <v>1810</v>
      </c>
    </row>
    <row r="444" spans="3:3">
      <c r="C444" s="293" t="s">
        <v>1812</v>
      </c>
    </row>
    <row r="445" spans="3:3">
      <c r="C445" s="293" t="s">
        <v>1813</v>
      </c>
    </row>
    <row r="446" spans="3:3">
      <c r="C446" s="293" t="s">
        <v>1815</v>
      </c>
    </row>
    <row r="447" spans="3:3">
      <c r="C447" s="293" t="s">
        <v>1819</v>
      </c>
    </row>
    <row r="448" spans="3:3">
      <c r="C448" s="293" t="s">
        <v>1820</v>
      </c>
    </row>
    <row r="449" spans="3:3">
      <c r="C449" s="293" t="s">
        <v>1821</v>
      </c>
    </row>
    <row r="450" spans="3:3">
      <c r="C450" s="293" t="s">
        <v>1822</v>
      </c>
    </row>
    <row r="451" spans="3:3">
      <c r="C451" s="293" t="s">
        <v>1823</v>
      </c>
    </row>
    <row r="452" spans="3:3">
      <c r="C452" s="293" t="s">
        <v>1824</v>
      </c>
    </row>
    <row r="453" spans="3:3">
      <c r="C453" s="293" t="s">
        <v>1825</v>
      </c>
    </row>
    <row r="454" spans="3:3">
      <c r="C454" s="293" t="s">
        <v>1826</v>
      </c>
    </row>
    <row r="455" spans="3:3">
      <c r="C455" s="293" t="s">
        <v>1827</v>
      </c>
    </row>
    <row r="456" spans="3:3">
      <c r="C456" s="293" t="s">
        <v>1828</v>
      </c>
    </row>
    <row r="457" spans="3:3">
      <c r="C457" s="293" t="s">
        <v>1829</v>
      </c>
    </row>
    <row r="458" spans="3:3">
      <c r="C458" s="293" t="s">
        <v>1830</v>
      </c>
    </row>
    <row r="459" spans="3:3">
      <c r="C459" s="293" t="s">
        <v>1831</v>
      </c>
    </row>
    <row r="460" spans="3:3">
      <c r="C460" s="293" t="s">
        <v>1832</v>
      </c>
    </row>
    <row r="461" spans="3:3">
      <c r="C461" s="293" t="s">
        <v>1833</v>
      </c>
    </row>
    <row r="462" spans="3:3">
      <c r="C462" s="293" t="s">
        <v>1834</v>
      </c>
    </row>
    <row r="463" spans="3:3">
      <c r="C463" s="293" t="s">
        <v>1835</v>
      </c>
    </row>
    <row r="464" spans="3:3">
      <c r="C464" s="293" t="s">
        <v>1836</v>
      </c>
    </row>
    <row r="465" spans="2:3">
      <c r="C465" s="293" t="s">
        <v>1837</v>
      </c>
    </row>
    <row r="466" spans="2:3">
      <c r="C466" s="293" t="s">
        <v>1838</v>
      </c>
    </row>
    <row r="467" spans="2:3">
      <c r="C467" s="293" t="s">
        <v>1839</v>
      </c>
    </row>
    <row r="468" spans="2:3">
      <c r="C468" s="293" t="s">
        <v>1840</v>
      </c>
    </row>
    <row r="469" spans="2:3">
      <c r="C469" s="293" t="s">
        <v>1841</v>
      </c>
    </row>
    <row r="470" spans="2:3">
      <c r="C470" s="293" t="s">
        <v>1842</v>
      </c>
    </row>
    <row r="471" spans="2:3">
      <c r="C471" s="293" t="s">
        <v>1844</v>
      </c>
    </row>
    <row r="472" spans="2:3">
      <c r="C472" s="293" t="s">
        <v>1846</v>
      </c>
    </row>
    <row r="473" spans="2:3">
      <c r="C473" s="293" t="s">
        <v>1847</v>
      </c>
    </row>
    <row r="474" spans="2:3">
      <c r="C474" s="293" t="s">
        <v>1848</v>
      </c>
    </row>
    <row r="475" spans="2:3">
      <c r="C475" s="293" t="s">
        <v>1850</v>
      </c>
    </row>
    <row r="476" spans="2:3">
      <c r="B476" s="296"/>
      <c r="C476" s="296" t="s">
        <v>1851</v>
      </c>
    </row>
    <row r="477" spans="2:3">
      <c r="B477" s="296"/>
      <c r="C477" s="296" t="s">
        <v>1853</v>
      </c>
    </row>
    <row r="478" spans="2:3">
      <c r="B478" s="296"/>
      <c r="C478" s="296" t="s">
        <v>1854</v>
      </c>
    </row>
    <row r="479" spans="2:3">
      <c r="B479" s="296"/>
      <c r="C479" s="296" t="s">
        <v>1855</v>
      </c>
    </row>
    <row r="480" spans="2:3">
      <c r="B480" s="296"/>
      <c r="C480" s="296" t="s">
        <v>1857</v>
      </c>
    </row>
    <row r="481" spans="2:3">
      <c r="B481" s="296"/>
      <c r="C481" s="296" t="s">
        <v>1858</v>
      </c>
    </row>
    <row r="482" spans="2:3">
      <c r="B482" s="296"/>
      <c r="C482" s="296" t="s">
        <v>1859</v>
      </c>
    </row>
    <row r="483" spans="2:3">
      <c r="B483" s="296"/>
      <c r="C483" s="296" t="s">
        <v>1860</v>
      </c>
    </row>
    <row r="484" spans="2:3">
      <c r="B484" s="296"/>
      <c r="C484" s="296" t="s">
        <v>1861</v>
      </c>
    </row>
    <row r="485" spans="2:3">
      <c r="B485" s="296"/>
      <c r="C485" s="296" t="s">
        <v>1862</v>
      </c>
    </row>
    <row r="486" spans="2:3">
      <c r="B486" s="296"/>
      <c r="C486" s="296" t="s">
        <v>1863</v>
      </c>
    </row>
    <row r="487" spans="2:3">
      <c r="B487" s="296"/>
      <c r="C487" s="296" t="s">
        <v>1864</v>
      </c>
    </row>
    <row r="488" spans="2:3">
      <c r="B488" s="296"/>
      <c r="C488" s="296" t="s">
        <v>1865</v>
      </c>
    </row>
    <row r="489" spans="2:3">
      <c r="B489" s="296"/>
      <c r="C489" s="296" t="s">
        <v>1866</v>
      </c>
    </row>
    <row r="490" spans="2:3">
      <c r="B490" s="296"/>
      <c r="C490" s="296" t="s">
        <v>1867</v>
      </c>
    </row>
    <row r="491" spans="2:3">
      <c r="B491" s="296"/>
      <c r="C491" s="296" t="s">
        <v>1868</v>
      </c>
    </row>
    <row r="492" spans="2:3">
      <c r="B492" s="296"/>
      <c r="C492" s="296" t="s">
        <v>1869</v>
      </c>
    </row>
    <row r="493" spans="2:3">
      <c r="B493" s="296"/>
      <c r="C493" s="296" t="s">
        <v>1870</v>
      </c>
    </row>
    <row r="494" spans="2:3">
      <c r="B494" s="296"/>
      <c r="C494" s="296" t="s">
        <v>1871</v>
      </c>
    </row>
    <row r="495" spans="2:3">
      <c r="B495" s="296"/>
      <c r="C495" s="296" t="s">
        <v>1872</v>
      </c>
    </row>
    <row r="496" spans="2:3">
      <c r="B496" s="296"/>
      <c r="C496" s="296" t="s">
        <v>1873</v>
      </c>
    </row>
    <row r="497" spans="3:3">
      <c r="C497" s="293" t="s">
        <v>1874</v>
      </c>
    </row>
    <row r="498" spans="3:3">
      <c r="C498" s="293" t="s">
        <v>1875</v>
      </c>
    </row>
    <row r="499" spans="3:3">
      <c r="C499" s="293" t="s">
        <v>1876</v>
      </c>
    </row>
    <row r="500" spans="3:3">
      <c r="C500" s="293" t="s">
        <v>1877</v>
      </c>
    </row>
    <row r="501" spans="3:3">
      <c r="C501" s="293" t="s">
        <v>1878</v>
      </c>
    </row>
    <row r="502" spans="3:3">
      <c r="C502" s="293" t="s">
        <v>1879</v>
      </c>
    </row>
    <row r="503" spans="3:3">
      <c r="C503" s="293" t="s">
        <v>1880</v>
      </c>
    </row>
    <row r="504" spans="3:3">
      <c r="C504" s="293" t="s">
        <v>1881</v>
      </c>
    </row>
    <row r="505" spans="3:3">
      <c r="C505" s="293" t="s">
        <v>1882</v>
      </c>
    </row>
    <row r="506" spans="3:3">
      <c r="C506" s="293" t="s">
        <v>1884</v>
      </c>
    </row>
    <row r="507" spans="3:3">
      <c r="C507" s="293" t="s">
        <v>1886</v>
      </c>
    </row>
    <row r="508" spans="3:3">
      <c r="C508" s="293" t="s">
        <v>1887</v>
      </c>
    </row>
    <row r="509" spans="3:3">
      <c r="C509" s="293" t="s">
        <v>1888</v>
      </c>
    </row>
    <row r="510" spans="3:3">
      <c r="C510" s="293" t="s">
        <v>1889</v>
      </c>
    </row>
    <row r="511" spans="3:3">
      <c r="C511" s="293" t="s">
        <v>1890</v>
      </c>
    </row>
    <row r="512" spans="3:3">
      <c r="C512" s="293" t="s">
        <v>1891</v>
      </c>
    </row>
    <row r="513" spans="3:3">
      <c r="C513" s="293" t="s">
        <v>1892</v>
      </c>
    </row>
    <row r="514" spans="3:3">
      <c r="C514" s="293" t="s">
        <v>1893</v>
      </c>
    </row>
    <row r="515" spans="3:3">
      <c r="C515" s="293" t="s">
        <v>1894</v>
      </c>
    </row>
    <row r="516" spans="3:3">
      <c r="C516" s="293" t="s">
        <v>1895</v>
      </c>
    </row>
    <row r="517" spans="3:3">
      <c r="C517" s="293" t="s">
        <v>1896</v>
      </c>
    </row>
    <row r="518" spans="3:3">
      <c r="C518" s="293" t="s">
        <v>1897</v>
      </c>
    </row>
    <row r="519" spans="3:3">
      <c r="C519" s="293" t="s">
        <v>1898</v>
      </c>
    </row>
    <row r="520" spans="3:3">
      <c r="C520" s="293" t="s">
        <v>1899</v>
      </c>
    </row>
    <row r="521" spans="3:3">
      <c r="C521" s="293" t="s">
        <v>1900</v>
      </c>
    </row>
    <row r="522" spans="3:3">
      <c r="C522" s="293" t="s">
        <v>1901</v>
      </c>
    </row>
    <row r="523" spans="3:3">
      <c r="C523" s="293" t="s">
        <v>1902</v>
      </c>
    </row>
    <row r="524" spans="3:3">
      <c r="C524" s="293" t="s">
        <v>1903</v>
      </c>
    </row>
    <row r="525" spans="3:3">
      <c r="C525" s="293" t="s">
        <v>1904</v>
      </c>
    </row>
    <row r="526" spans="3:3">
      <c r="C526" s="293" t="s">
        <v>1905</v>
      </c>
    </row>
    <row r="527" spans="3:3">
      <c r="C527" s="293" t="s">
        <v>1907</v>
      </c>
    </row>
    <row r="528" spans="3:3">
      <c r="C528" s="293" t="s">
        <v>1908</v>
      </c>
    </row>
    <row r="529" spans="3:3">
      <c r="C529" s="293" t="s">
        <v>1909</v>
      </c>
    </row>
    <row r="530" spans="3:3">
      <c r="C530" s="293" t="s">
        <v>1910</v>
      </c>
    </row>
    <row r="531" spans="3:3">
      <c r="C531" s="293" t="s">
        <v>1911</v>
      </c>
    </row>
    <row r="532" spans="3:3">
      <c r="C532" s="293" t="s">
        <v>1912</v>
      </c>
    </row>
    <row r="533" spans="3:3">
      <c r="C533" s="293" t="s">
        <v>1913</v>
      </c>
    </row>
    <row r="534" spans="3:3">
      <c r="C534" s="293" t="s">
        <v>1914</v>
      </c>
    </row>
    <row r="535" spans="3:3">
      <c r="C535" s="293" t="s">
        <v>1915</v>
      </c>
    </row>
    <row r="536" spans="3:3">
      <c r="C536" s="293" t="s">
        <v>1916</v>
      </c>
    </row>
    <row r="537" spans="3:3">
      <c r="C537" s="293" t="s">
        <v>1920</v>
      </c>
    </row>
    <row r="538" spans="3:3">
      <c r="C538" s="293" t="s">
        <v>1921</v>
      </c>
    </row>
    <row r="539" spans="3:3">
      <c r="C539" s="293" t="s">
        <v>1922</v>
      </c>
    </row>
    <row r="540" spans="3:3">
      <c r="C540" s="293" t="s">
        <v>1923</v>
      </c>
    </row>
    <row r="541" spans="3:3">
      <c r="C541" s="293" t="s">
        <v>1924</v>
      </c>
    </row>
    <row r="542" spans="3:3">
      <c r="C542" s="293" t="s">
        <v>1926</v>
      </c>
    </row>
    <row r="543" spans="3:3">
      <c r="C543" s="293" t="s">
        <v>1927</v>
      </c>
    </row>
    <row r="544" spans="3:3">
      <c r="C544" s="293" t="s">
        <v>1928</v>
      </c>
    </row>
    <row r="545" spans="3:3">
      <c r="C545" s="293" t="s">
        <v>1929</v>
      </c>
    </row>
    <row r="546" spans="3:3">
      <c r="C546" s="293" t="s">
        <v>1930</v>
      </c>
    </row>
    <row r="547" spans="3:3">
      <c r="C547" s="293" t="s">
        <v>1931</v>
      </c>
    </row>
    <row r="548" spans="3:3">
      <c r="C548" s="293" t="s">
        <v>1932</v>
      </c>
    </row>
    <row r="549" spans="3:3">
      <c r="C549" s="293" t="s">
        <v>1933</v>
      </c>
    </row>
    <row r="550" spans="3:3">
      <c r="C550" s="293" t="s">
        <v>1934</v>
      </c>
    </row>
    <row r="551" spans="3:3">
      <c r="C551" s="293" t="s">
        <v>1935</v>
      </c>
    </row>
    <row r="552" spans="3:3">
      <c r="C552" s="293" t="s">
        <v>1936</v>
      </c>
    </row>
    <row r="553" spans="3:3">
      <c r="C553" s="293" t="s">
        <v>1937</v>
      </c>
    </row>
    <row r="554" spans="3:3">
      <c r="C554" s="293" t="s">
        <v>1938</v>
      </c>
    </row>
    <row r="555" spans="3:3">
      <c r="C555" s="293" t="s">
        <v>1939</v>
      </c>
    </row>
    <row r="556" spans="3:3">
      <c r="C556" s="293" t="s">
        <v>1940</v>
      </c>
    </row>
    <row r="557" spans="3:3">
      <c r="C557" s="293" t="s">
        <v>1941</v>
      </c>
    </row>
    <row r="558" spans="3:3">
      <c r="C558" s="293" t="s">
        <v>1942</v>
      </c>
    </row>
    <row r="559" spans="3:3">
      <c r="C559" s="293" t="s">
        <v>1943</v>
      </c>
    </row>
    <row r="560" spans="3:3">
      <c r="C560" s="293" t="s">
        <v>1944</v>
      </c>
    </row>
    <row r="561" spans="3:3">
      <c r="C561" s="293" t="s">
        <v>1945</v>
      </c>
    </row>
    <row r="562" spans="3:3">
      <c r="C562" s="293" t="s">
        <v>1946</v>
      </c>
    </row>
    <row r="563" spans="3:3">
      <c r="C563" s="293" t="s">
        <v>1947</v>
      </c>
    </row>
    <row r="564" spans="3:3">
      <c r="C564" s="293" t="s">
        <v>1948</v>
      </c>
    </row>
    <row r="565" spans="3:3">
      <c r="C565" s="293" t="s">
        <v>1949</v>
      </c>
    </row>
    <row r="566" spans="3:3">
      <c r="C566" s="293" t="s">
        <v>1950</v>
      </c>
    </row>
    <row r="567" spans="3:3">
      <c r="C567" s="293" t="s">
        <v>1951</v>
      </c>
    </row>
    <row r="568" spans="3:3">
      <c r="C568" s="293" t="s">
        <v>1952</v>
      </c>
    </row>
    <row r="569" spans="3:3">
      <c r="C569" s="293" t="s">
        <v>1953</v>
      </c>
    </row>
    <row r="570" spans="3:3">
      <c r="C570" s="293" t="s">
        <v>1954</v>
      </c>
    </row>
    <row r="571" spans="3:3">
      <c r="C571" s="293" t="s">
        <v>1955</v>
      </c>
    </row>
    <row r="572" spans="3:3">
      <c r="C572" s="293" t="s">
        <v>1956</v>
      </c>
    </row>
    <row r="573" spans="3:3">
      <c r="C573" s="293" t="s">
        <v>1957</v>
      </c>
    </row>
    <row r="574" spans="3:3">
      <c r="C574" s="293" t="s">
        <v>1958</v>
      </c>
    </row>
    <row r="575" spans="3:3">
      <c r="C575" s="293" t="s">
        <v>1959</v>
      </c>
    </row>
    <row r="576" spans="3:3">
      <c r="C576" s="293" t="s">
        <v>1960</v>
      </c>
    </row>
    <row r="577" spans="3:3">
      <c r="C577" s="293" t="s">
        <v>1961</v>
      </c>
    </row>
    <row r="578" spans="3:3">
      <c r="C578" s="293" t="s">
        <v>1962</v>
      </c>
    </row>
    <row r="579" spans="3:3">
      <c r="C579" s="293" t="s">
        <v>1963</v>
      </c>
    </row>
    <row r="580" spans="3:3">
      <c r="C580" s="293" t="s">
        <v>1964</v>
      </c>
    </row>
    <row r="581" spans="3:3">
      <c r="C581" s="293" t="s">
        <v>1965</v>
      </c>
    </row>
    <row r="582" spans="3:3">
      <c r="C582" s="293" t="s">
        <v>1966</v>
      </c>
    </row>
    <row r="583" spans="3:3">
      <c r="C583" s="293" t="s">
        <v>1967</v>
      </c>
    </row>
    <row r="584" spans="3:3">
      <c r="C584" s="293" t="s">
        <v>1968</v>
      </c>
    </row>
    <row r="585" spans="3:3">
      <c r="C585" s="293" t="s">
        <v>1969</v>
      </c>
    </row>
    <row r="586" spans="3:3">
      <c r="C586" s="293" t="s">
        <v>1970</v>
      </c>
    </row>
    <row r="587" spans="3:3">
      <c r="C587" s="293" t="s">
        <v>1971</v>
      </c>
    </row>
    <row r="588" spans="3:3">
      <c r="C588" s="293" t="s">
        <v>1972</v>
      </c>
    </row>
    <row r="589" spans="3:3">
      <c r="C589" s="293" t="s">
        <v>1973</v>
      </c>
    </row>
    <row r="590" spans="3:3">
      <c r="C590" s="293" t="s">
        <v>1974</v>
      </c>
    </row>
    <row r="591" spans="3:3">
      <c r="C591" s="293" t="s">
        <v>1975</v>
      </c>
    </row>
    <row r="592" spans="3:3">
      <c r="C592" s="293" t="s">
        <v>1976</v>
      </c>
    </row>
    <row r="593" spans="3:3">
      <c r="C593" s="293" t="s">
        <v>1977</v>
      </c>
    </row>
    <row r="594" spans="3:3">
      <c r="C594" s="293" t="s">
        <v>1978</v>
      </c>
    </row>
    <row r="595" spans="3:3">
      <c r="C595" s="293" t="s">
        <v>1979</v>
      </c>
    </row>
    <row r="596" spans="3:3">
      <c r="C596" s="293" t="s">
        <v>1980</v>
      </c>
    </row>
    <row r="597" spans="3:3">
      <c r="C597" s="293" t="s">
        <v>1981</v>
      </c>
    </row>
    <row r="598" spans="3:3">
      <c r="C598" s="293" t="s">
        <v>1982</v>
      </c>
    </row>
    <row r="599" spans="3:3">
      <c r="C599" s="293" t="s">
        <v>1983</v>
      </c>
    </row>
    <row r="600" spans="3:3">
      <c r="C600" s="293" t="s">
        <v>1984</v>
      </c>
    </row>
    <row r="601" spans="3:3">
      <c r="C601" s="293" t="s">
        <v>1985</v>
      </c>
    </row>
    <row r="602" spans="3:3">
      <c r="C602" s="293" t="s">
        <v>1986</v>
      </c>
    </row>
    <row r="603" spans="3:3">
      <c r="C603" s="293" t="s">
        <v>1987</v>
      </c>
    </row>
    <row r="604" spans="3:3">
      <c r="C604" s="293" t="s">
        <v>1988</v>
      </c>
    </row>
    <row r="605" spans="3:3">
      <c r="C605" s="293" t="s">
        <v>1989</v>
      </c>
    </row>
    <row r="606" spans="3:3">
      <c r="C606" s="293" t="s">
        <v>1990</v>
      </c>
    </row>
    <row r="607" spans="3:3">
      <c r="C607" s="293" t="s">
        <v>1991</v>
      </c>
    </row>
    <row r="608" spans="3:3">
      <c r="C608" s="293" t="s">
        <v>1992</v>
      </c>
    </row>
    <row r="609" spans="3:3">
      <c r="C609" s="293" t="s">
        <v>2028</v>
      </c>
    </row>
    <row r="610" spans="3:3">
      <c r="C610" s="293" t="s">
        <v>2029</v>
      </c>
    </row>
    <row r="611" spans="3:3">
      <c r="C611" s="293" t="s">
        <v>2030</v>
      </c>
    </row>
    <row r="612" spans="3:3">
      <c r="C612" s="293" t="s">
        <v>2031</v>
      </c>
    </row>
    <row r="613" spans="3:3">
      <c r="C613" s="293" t="s">
        <v>2032</v>
      </c>
    </row>
    <row r="614" spans="3:3">
      <c r="C614" s="293" t="s">
        <v>2033</v>
      </c>
    </row>
    <row r="615" spans="3:3">
      <c r="C615" s="293" t="s">
        <v>2034</v>
      </c>
    </row>
    <row r="616" spans="3:3">
      <c r="C616" s="293" t="s">
        <v>2035</v>
      </c>
    </row>
    <row r="617" spans="3:3">
      <c r="C617" s="293" t="s">
        <v>2036</v>
      </c>
    </row>
    <row r="618" spans="3:3">
      <c r="C618" s="293" t="s">
        <v>2037</v>
      </c>
    </row>
    <row r="619" spans="3:3">
      <c r="C619" s="293" t="s">
        <v>2038</v>
      </c>
    </row>
    <row r="620" spans="3:3">
      <c r="C620" s="293" t="s">
        <v>2039</v>
      </c>
    </row>
    <row r="621" spans="3:3">
      <c r="C621" s="293" t="s">
        <v>2040</v>
      </c>
    </row>
    <row r="623" spans="3:3">
      <c r="C623" s="293" t="s">
        <v>1993</v>
      </c>
    </row>
    <row r="625" spans="3:3">
      <c r="C625" s="293" t="s">
        <v>754</v>
      </c>
    </row>
    <row r="626" spans="3:3">
      <c r="C626" s="293" t="s">
        <v>1087</v>
      </c>
    </row>
    <row r="627" spans="3:3">
      <c r="C627" s="293" t="s">
        <v>1994</v>
      </c>
    </row>
    <row r="628" spans="3:3">
      <c r="C628" s="293" t="s">
        <v>1087</v>
      </c>
    </row>
    <row r="629" spans="3:3">
      <c r="C629" s="293" t="s">
        <v>754</v>
      </c>
    </row>
    <row r="630" spans="3:3">
      <c r="C630" s="293" t="s">
        <v>1966</v>
      </c>
    </row>
    <row r="631" spans="3:3">
      <c r="C631" s="293" t="s">
        <v>1967</v>
      </c>
    </row>
    <row r="632" spans="3:3">
      <c r="C632" s="293" t="s">
        <v>1968</v>
      </c>
    </row>
    <row r="633" spans="3:3">
      <c r="C633" s="293" t="s">
        <v>1969</v>
      </c>
    </row>
    <row r="634" spans="3:3">
      <c r="C634" s="293" t="s">
        <v>1970</v>
      </c>
    </row>
    <row r="635" spans="3:3">
      <c r="C635" s="293" t="s">
        <v>1971</v>
      </c>
    </row>
    <row r="636" spans="3:3">
      <c r="C636" s="293" t="s">
        <v>1972</v>
      </c>
    </row>
    <row r="637" spans="3:3">
      <c r="C637" s="293" t="s">
        <v>1973</v>
      </c>
    </row>
    <row r="638" spans="3:3">
      <c r="C638" s="293" t="s">
        <v>1974</v>
      </c>
    </row>
    <row r="639" spans="3:3">
      <c r="C639" s="293" t="s">
        <v>1975</v>
      </c>
    </row>
    <row r="640" spans="3:3">
      <c r="C640" s="293" t="s">
        <v>1976</v>
      </c>
    </row>
    <row r="641" spans="3:3">
      <c r="C641" s="293" t="s">
        <v>1977</v>
      </c>
    </row>
    <row r="642" spans="3:3">
      <c r="C642" s="293" t="s">
        <v>1978</v>
      </c>
    </row>
    <row r="643" spans="3:3">
      <c r="C643" s="293" t="s">
        <v>1979</v>
      </c>
    </row>
    <row r="644" spans="3:3">
      <c r="C644" s="293" t="s">
        <v>1980</v>
      </c>
    </row>
    <row r="645" spans="3:3">
      <c r="C645" s="293" t="s">
        <v>1981</v>
      </c>
    </row>
    <row r="646" spans="3:3">
      <c r="C646" s="293" t="s">
        <v>1982</v>
      </c>
    </row>
    <row r="647" spans="3:3">
      <c r="C647" s="293" t="s">
        <v>1983</v>
      </c>
    </row>
    <row r="648" spans="3:3">
      <c r="C648" s="293" t="s">
        <v>1984</v>
      </c>
    </row>
    <row r="649" spans="3:3">
      <c r="C649" s="293" t="s">
        <v>1985</v>
      </c>
    </row>
    <row r="650" spans="3:3">
      <c r="C650" s="293" t="s">
        <v>1986</v>
      </c>
    </row>
    <row r="651" spans="3:3">
      <c r="C651" s="293" t="s">
        <v>1987</v>
      </c>
    </row>
    <row r="652" spans="3:3">
      <c r="C652" s="293" t="s">
        <v>1988</v>
      </c>
    </row>
    <row r="653" spans="3:3">
      <c r="C653" s="293" t="s">
        <v>1989</v>
      </c>
    </row>
    <row r="654" spans="3:3">
      <c r="C654" s="293" t="s">
        <v>1990</v>
      </c>
    </row>
    <row r="655" spans="3:3">
      <c r="C655" s="293" t="s">
        <v>1991</v>
      </c>
    </row>
    <row r="656" spans="3:3">
      <c r="C656" s="293" t="s">
        <v>1992</v>
      </c>
    </row>
    <row r="658" spans="2:3">
      <c r="C658" s="293" t="s">
        <v>1993</v>
      </c>
    </row>
    <row r="660" spans="2:3">
      <c r="C660" s="293" t="s">
        <v>754</v>
      </c>
    </row>
    <row r="661" spans="2:3">
      <c r="C661" s="293" t="s">
        <v>1087</v>
      </c>
    </row>
    <row r="662" spans="2:3">
      <c r="C662" s="293" t="s">
        <v>1994</v>
      </c>
    </row>
    <row r="663" spans="2:3">
      <c r="C663" s="293" t="s">
        <v>1087</v>
      </c>
    </row>
    <row r="664" spans="2:3">
      <c r="C664" s="293" t="s">
        <v>754</v>
      </c>
    </row>
    <row r="667" spans="2:3">
      <c r="C667" s="295" t="s">
        <v>1071</v>
      </c>
    </row>
    <row r="668" spans="2:3">
      <c r="B668" s="296"/>
      <c r="C668" s="296" t="s">
        <v>2041</v>
      </c>
    </row>
    <row r="669" spans="2:3">
      <c r="B669" s="296"/>
      <c r="C669" s="296" t="s">
        <v>754</v>
      </c>
    </row>
    <row r="670" spans="2:3">
      <c r="B670" s="296"/>
      <c r="C670" s="296" t="s">
        <v>1085</v>
      </c>
    </row>
    <row r="671" spans="2:3">
      <c r="B671" s="296"/>
      <c r="C671" s="296" t="s">
        <v>754</v>
      </c>
    </row>
    <row r="672" spans="2:3">
      <c r="B672" s="296"/>
      <c r="C672" s="296" t="s">
        <v>1086</v>
      </c>
    </row>
    <row r="673" spans="2:3">
      <c r="B673" s="296"/>
      <c r="C673" s="296" t="s">
        <v>1087</v>
      </c>
    </row>
    <row r="674" spans="2:3">
      <c r="B674" s="296"/>
      <c r="C674" s="296" t="s">
        <v>754</v>
      </c>
    </row>
    <row r="675" spans="2:3">
      <c r="B675" s="296"/>
      <c r="C675" s="296"/>
    </row>
    <row r="676" spans="2:3">
      <c r="B676" s="296"/>
      <c r="C676" s="296" t="s">
        <v>758</v>
      </c>
    </row>
    <row r="677" spans="2:3">
      <c r="B677" s="296"/>
      <c r="C677" s="296" t="s">
        <v>1088</v>
      </c>
    </row>
    <row r="678" spans="2:3">
      <c r="B678" s="296"/>
      <c r="C678" s="296" t="s">
        <v>758</v>
      </c>
    </row>
    <row r="679" spans="2:3">
      <c r="B679" s="296"/>
      <c r="C679" s="296" t="s">
        <v>1089</v>
      </c>
    </row>
    <row r="680" spans="2:3">
      <c r="B680" s="296"/>
      <c r="C680" s="296" t="s">
        <v>2042</v>
      </c>
    </row>
    <row r="681" spans="2:3">
      <c r="B681" s="296"/>
      <c r="C681" s="296" t="s">
        <v>1091</v>
      </c>
    </row>
    <row r="682" spans="2:3">
      <c r="B682" s="296"/>
      <c r="C682" s="296"/>
    </row>
    <row r="683" spans="2:3">
      <c r="B683" s="296"/>
      <c r="C683" s="296" t="s">
        <v>758</v>
      </c>
    </row>
    <row r="684" spans="2:3">
      <c r="B684" s="296"/>
      <c r="C684" s="296" t="s">
        <v>1092</v>
      </c>
    </row>
    <row r="685" spans="2:3">
      <c r="B685" s="296"/>
      <c r="C685" s="296" t="s">
        <v>758</v>
      </c>
    </row>
    <row r="686" spans="2:3">
      <c r="B686" s="296"/>
      <c r="C686" s="296" t="s">
        <v>764</v>
      </c>
    </row>
    <row r="687" spans="2:3">
      <c r="B687" s="296"/>
      <c r="C687" s="296" t="s">
        <v>765</v>
      </c>
    </row>
    <row r="688" spans="2:3">
      <c r="B688" s="296"/>
      <c r="C688" s="296" t="s">
        <v>766</v>
      </c>
    </row>
    <row r="689" spans="2:3">
      <c r="B689" s="296"/>
      <c r="C689" s="296"/>
    </row>
    <row r="690" spans="2:3">
      <c r="B690" s="296"/>
      <c r="C690" s="296" t="s">
        <v>1093</v>
      </c>
    </row>
    <row r="691" spans="2:3">
      <c r="B691" s="296"/>
      <c r="C691" s="296"/>
    </row>
    <row r="692" spans="2:3">
      <c r="B692" s="296"/>
      <c r="C692" s="296" t="s">
        <v>758</v>
      </c>
    </row>
    <row r="693" spans="2:3">
      <c r="B693" s="296"/>
      <c r="C693" s="296" t="s">
        <v>1094</v>
      </c>
    </row>
    <row r="694" spans="2:3">
      <c r="B694" s="296"/>
      <c r="C694" s="296" t="s">
        <v>758</v>
      </c>
    </row>
    <row r="695" spans="2:3">
      <c r="B695" s="296"/>
      <c r="C695" s="296" t="s">
        <v>769</v>
      </c>
    </row>
    <row r="696" spans="2:3">
      <c r="B696" s="296"/>
      <c r="C696" s="296" t="s">
        <v>770</v>
      </c>
    </row>
    <row r="697" spans="2:3">
      <c r="B697" s="296"/>
      <c r="C697" s="296" t="s">
        <v>771</v>
      </c>
    </row>
    <row r="698" spans="2:3">
      <c r="B698" s="296"/>
      <c r="C698" s="296"/>
    </row>
    <row r="699" spans="2:3">
      <c r="B699" s="296"/>
      <c r="C699" s="296" t="s">
        <v>758</v>
      </c>
    </row>
    <row r="700" spans="2:3">
      <c r="B700" s="296"/>
      <c r="C700" s="296" t="s">
        <v>1095</v>
      </c>
    </row>
    <row r="701" spans="2:3">
      <c r="B701" s="296"/>
      <c r="C701" s="296" t="s">
        <v>758</v>
      </c>
    </row>
    <row r="702" spans="2:3">
      <c r="B702" s="296"/>
      <c r="C702" s="296" t="s">
        <v>1096</v>
      </c>
    </row>
    <row r="703" spans="2:3">
      <c r="B703" s="296"/>
      <c r="C703" s="296" t="s">
        <v>1097</v>
      </c>
    </row>
    <row r="704" spans="2:3">
      <c r="B704" s="296"/>
      <c r="C704" s="296" t="s">
        <v>771</v>
      </c>
    </row>
    <row r="705" spans="2:3">
      <c r="B705" s="296"/>
      <c r="C705" s="296" t="s">
        <v>1098</v>
      </c>
    </row>
    <row r="706" spans="2:3">
      <c r="B706" s="296"/>
      <c r="C706" s="296" t="s">
        <v>1099</v>
      </c>
    </row>
    <row r="707" spans="2:3">
      <c r="B707" s="296"/>
      <c r="C707" s="296" t="s">
        <v>771</v>
      </c>
    </row>
    <row r="708" spans="2:3">
      <c r="B708" s="296"/>
      <c r="C708" s="296" t="s">
        <v>1100</v>
      </c>
    </row>
    <row r="709" spans="2:3">
      <c r="B709" s="296"/>
      <c r="C709" s="296" t="s">
        <v>1101</v>
      </c>
    </row>
    <row r="710" spans="2:3">
      <c r="B710" s="296"/>
      <c r="C710" s="296" t="s">
        <v>771</v>
      </c>
    </row>
    <row r="711" spans="2:3">
      <c r="B711" s="296"/>
      <c r="C711" s="296" t="s">
        <v>1102</v>
      </c>
    </row>
    <row r="712" spans="2:3">
      <c r="B712" s="296"/>
      <c r="C712" s="296" t="s">
        <v>1103</v>
      </c>
    </row>
    <row r="713" spans="2:3">
      <c r="B713" s="296"/>
      <c r="C713" s="296" t="s">
        <v>771</v>
      </c>
    </row>
    <row r="714" spans="2:3">
      <c r="B714" s="296"/>
      <c r="C714" s="296" t="s">
        <v>1104</v>
      </c>
    </row>
    <row r="715" spans="2:3">
      <c r="B715" s="296"/>
      <c r="C715" s="296" t="s">
        <v>1105</v>
      </c>
    </row>
    <row r="716" spans="2:3">
      <c r="B716" s="296"/>
      <c r="C716" s="296" t="s">
        <v>771</v>
      </c>
    </row>
    <row r="717" spans="2:3">
      <c r="B717" s="296"/>
      <c r="C717" s="296" t="s">
        <v>783</v>
      </c>
    </row>
    <row r="718" spans="2:3">
      <c r="B718" s="296"/>
      <c r="C718" s="296" t="s">
        <v>784</v>
      </c>
    </row>
    <row r="719" spans="2:3">
      <c r="B719" s="296"/>
      <c r="C719" s="296" t="s">
        <v>771</v>
      </c>
    </row>
    <row r="720" spans="2:3">
      <c r="B720" s="296"/>
      <c r="C720" s="296" t="s">
        <v>785</v>
      </c>
    </row>
    <row r="721" spans="2:3">
      <c r="B721" s="296"/>
      <c r="C721" s="296" t="s">
        <v>786</v>
      </c>
    </row>
    <row r="722" spans="2:3">
      <c r="B722" s="296"/>
      <c r="C722" s="296" t="s">
        <v>771</v>
      </c>
    </row>
    <row r="723" spans="2:3">
      <c r="B723" s="296" t="s">
        <v>2001</v>
      </c>
      <c r="C723" s="294" t="s">
        <v>1109</v>
      </c>
    </row>
    <row r="724" spans="2:3">
      <c r="B724" s="296" t="s">
        <v>1995</v>
      </c>
      <c r="C724" s="294" t="s">
        <v>1110</v>
      </c>
    </row>
    <row r="725" spans="2:3">
      <c r="B725" s="296" t="s">
        <v>1995</v>
      </c>
      <c r="C725" s="294" t="s">
        <v>771</v>
      </c>
    </row>
    <row r="726" spans="2:3">
      <c r="B726" s="296"/>
      <c r="C726" s="296"/>
    </row>
    <row r="727" spans="2:3">
      <c r="B727" s="296"/>
      <c r="C727" s="296" t="s">
        <v>758</v>
      </c>
    </row>
    <row r="728" spans="2:3">
      <c r="B728" s="296"/>
      <c r="C728" s="296" t="s">
        <v>1111</v>
      </c>
    </row>
    <row r="729" spans="2:3">
      <c r="B729" s="296"/>
      <c r="C729" s="296" t="s">
        <v>758</v>
      </c>
    </row>
    <row r="730" spans="2:3">
      <c r="B730" s="296"/>
      <c r="C730" s="296" t="s">
        <v>1112</v>
      </c>
    </row>
    <row r="731" spans="2:3">
      <c r="B731" s="296"/>
      <c r="C731" s="296"/>
    </row>
    <row r="732" spans="2:3">
      <c r="B732" s="296"/>
      <c r="C732" s="296" t="s">
        <v>1113</v>
      </c>
    </row>
    <row r="733" spans="2:3">
      <c r="B733" s="296"/>
      <c r="C733" s="296" t="s">
        <v>1114</v>
      </c>
    </row>
    <row r="734" spans="2:3">
      <c r="B734" s="296"/>
      <c r="C734" s="296"/>
    </row>
    <row r="735" spans="2:3">
      <c r="B735" s="296"/>
      <c r="C735" s="296" t="s">
        <v>1115</v>
      </c>
    </row>
    <row r="736" spans="2:3">
      <c r="B736" s="296"/>
      <c r="C736" s="296"/>
    </row>
    <row r="737" spans="2:3">
      <c r="B737" s="296"/>
      <c r="C737" s="296" t="s">
        <v>758</v>
      </c>
    </row>
    <row r="738" spans="2:3">
      <c r="B738" s="296"/>
      <c r="C738" s="296" t="s">
        <v>1116</v>
      </c>
    </row>
    <row r="739" spans="2:3">
      <c r="B739" s="296"/>
      <c r="C739" s="296" t="s">
        <v>758</v>
      </c>
    </row>
    <row r="740" spans="2:3">
      <c r="B740" s="296"/>
      <c r="C740" s="296" t="s">
        <v>758</v>
      </c>
    </row>
    <row r="741" spans="2:3">
      <c r="B741" s="296"/>
      <c r="C741" s="296" t="s">
        <v>1117</v>
      </c>
    </row>
    <row r="742" spans="2:3">
      <c r="B742" s="296"/>
      <c r="C742" s="296" t="s">
        <v>758</v>
      </c>
    </row>
    <row r="743" spans="2:3">
      <c r="B743" s="296"/>
      <c r="C743" s="296" t="s">
        <v>758</v>
      </c>
    </row>
    <row r="744" spans="2:3">
      <c r="B744" s="296"/>
      <c r="C744" s="296" t="s">
        <v>1118</v>
      </c>
    </row>
    <row r="745" spans="2:3">
      <c r="B745" s="296"/>
      <c r="C745" s="296" t="s">
        <v>758</v>
      </c>
    </row>
    <row r="746" spans="2:3">
      <c r="B746" s="296"/>
      <c r="C746" s="296" t="s">
        <v>1119</v>
      </c>
    </row>
    <row r="747" spans="2:3">
      <c r="B747" s="296"/>
      <c r="C747" s="296" t="s">
        <v>1120</v>
      </c>
    </row>
    <row r="748" spans="2:3">
      <c r="B748" s="296"/>
      <c r="C748" s="296" t="s">
        <v>1121</v>
      </c>
    </row>
    <row r="749" spans="2:3">
      <c r="B749" s="296"/>
      <c r="C749" s="296" t="s">
        <v>1122</v>
      </c>
    </row>
    <row r="750" spans="2:3">
      <c r="B750" s="296"/>
      <c r="C750" s="296" t="s">
        <v>801</v>
      </c>
    </row>
    <row r="751" spans="2:3">
      <c r="B751" s="296"/>
      <c r="C751" s="296" t="s">
        <v>1123</v>
      </c>
    </row>
    <row r="752" spans="2:3">
      <c r="B752" s="296"/>
      <c r="C752" s="296" t="s">
        <v>803</v>
      </c>
    </row>
    <row r="753" spans="2:3">
      <c r="B753" s="296"/>
      <c r="C753" s="296" t="s">
        <v>804</v>
      </c>
    </row>
    <row r="754" spans="2:3">
      <c r="B754" s="296"/>
      <c r="C754" s="296" t="s">
        <v>1124</v>
      </c>
    </row>
    <row r="755" spans="2:3">
      <c r="B755" s="296"/>
      <c r="C755" s="296" t="s">
        <v>806</v>
      </c>
    </row>
    <row r="756" spans="2:3">
      <c r="B756" s="296"/>
      <c r="C756" s="296" t="s">
        <v>1125</v>
      </c>
    </row>
    <row r="757" spans="2:3">
      <c r="B757" s="296" t="s">
        <v>2001</v>
      </c>
      <c r="C757" s="294" t="s">
        <v>1126</v>
      </c>
    </row>
    <row r="758" spans="2:3">
      <c r="B758" s="296"/>
      <c r="C758" s="296"/>
    </row>
    <row r="759" spans="2:3">
      <c r="B759" s="296"/>
      <c r="C759" s="296" t="s">
        <v>758</v>
      </c>
    </row>
    <row r="760" spans="2:3">
      <c r="B760" s="296"/>
      <c r="C760" s="296" t="s">
        <v>1127</v>
      </c>
    </row>
    <row r="761" spans="2:3">
      <c r="B761" s="296"/>
      <c r="C761" s="296" t="s">
        <v>758</v>
      </c>
    </row>
    <row r="762" spans="2:3">
      <c r="B762" s="296"/>
      <c r="C762" s="296" t="s">
        <v>2043</v>
      </c>
    </row>
    <row r="763" spans="2:3">
      <c r="B763" s="296"/>
      <c r="C763" s="296" t="s">
        <v>2044</v>
      </c>
    </row>
    <row r="764" spans="2:3">
      <c r="B764" s="296"/>
      <c r="C764" s="296" t="s">
        <v>2045</v>
      </c>
    </row>
    <row r="765" spans="2:3">
      <c r="B765" s="296"/>
      <c r="C765" s="296" t="s">
        <v>2046</v>
      </c>
    </row>
    <row r="766" spans="2:3">
      <c r="B766" s="296"/>
      <c r="C766" s="296" t="s">
        <v>2047</v>
      </c>
    </row>
    <row r="767" spans="2:3">
      <c r="B767" s="296"/>
      <c r="C767" s="296" t="s">
        <v>2048</v>
      </c>
    </row>
    <row r="768" spans="2:3">
      <c r="B768" s="296"/>
      <c r="C768" s="296" t="s">
        <v>2049</v>
      </c>
    </row>
    <row r="769" spans="2:3">
      <c r="B769" s="296"/>
      <c r="C769" s="296"/>
    </row>
    <row r="770" spans="2:3">
      <c r="B770" s="296"/>
      <c r="C770" s="296" t="s">
        <v>758</v>
      </c>
    </row>
    <row r="771" spans="2:3">
      <c r="B771" s="296"/>
      <c r="C771" s="296" t="s">
        <v>1134</v>
      </c>
    </row>
    <row r="772" spans="2:3">
      <c r="B772" s="296"/>
      <c r="C772" s="296" t="s">
        <v>758</v>
      </c>
    </row>
    <row r="773" spans="2:3">
      <c r="B773" s="296"/>
      <c r="C773" s="296" t="s">
        <v>1135</v>
      </c>
    </row>
    <row r="774" spans="2:3">
      <c r="B774" s="296"/>
      <c r="C774" s="296" t="s">
        <v>1136</v>
      </c>
    </row>
    <row r="775" spans="2:3">
      <c r="B775" s="296"/>
      <c r="C775" s="296" t="s">
        <v>1137</v>
      </c>
    </row>
    <row r="776" spans="2:3">
      <c r="B776" s="296"/>
      <c r="C776" s="296" t="s">
        <v>1138</v>
      </c>
    </row>
    <row r="777" spans="2:3">
      <c r="B777" s="296"/>
      <c r="C777" s="296" t="s">
        <v>1139</v>
      </c>
    </row>
    <row r="778" spans="2:3">
      <c r="B778" s="296"/>
      <c r="C778" s="296" t="s">
        <v>1140</v>
      </c>
    </row>
    <row r="779" spans="2:3">
      <c r="B779" s="296"/>
      <c r="C779" s="296" t="s">
        <v>1141</v>
      </c>
    </row>
    <row r="780" spans="2:3">
      <c r="B780" s="296"/>
      <c r="C780" s="296" t="s">
        <v>1142</v>
      </c>
    </row>
    <row r="781" spans="2:3">
      <c r="B781" s="296"/>
      <c r="C781" s="296" t="s">
        <v>1143</v>
      </c>
    </row>
    <row r="782" spans="2:3">
      <c r="B782" s="296"/>
      <c r="C782" s="296" t="s">
        <v>1144</v>
      </c>
    </row>
    <row r="783" spans="2:3">
      <c r="B783" s="296"/>
      <c r="C783" s="296" t="s">
        <v>1145</v>
      </c>
    </row>
    <row r="784" spans="2:3">
      <c r="B784" s="296"/>
      <c r="C784" s="296" t="s">
        <v>1146</v>
      </c>
    </row>
    <row r="785" spans="2:3">
      <c r="B785" s="296"/>
      <c r="C785" s="296" t="s">
        <v>1147</v>
      </c>
    </row>
    <row r="786" spans="2:3">
      <c r="B786" s="296"/>
      <c r="C786" s="296" t="s">
        <v>1148</v>
      </c>
    </row>
    <row r="787" spans="2:3">
      <c r="B787" s="296"/>
      <c r="C787" s="296" t="s">
        <v>1149</v>
      </c>
    </row>
    <row r="788" spans="2:3">
      <c r="B788" s="296"/>
      <c r="C788" s="296" t="s">
        <v>1150</v>
      </c>
    </row>
    <row r="789" spans="2:3">
      <c r="B789" s="296"/>
      <c r="C789" s="296" t="s">
        <v>835</v>
      </c>
    </row>
    <row r="790" spans="2:3">
      <c r="B790" s="296"/>
      <c r="C790" s="296" t="s">
        <v>1151</v>
      </c>
    </row>
    <row r="791" spans="2:3">
      <c r="B791" s="296"/>
      <c r="C791" s="296" t="s">
        <v>1152</v>
      </c>
    </row>
    <row r="792" spans="2:3">
      <c r="B792" s="296"/>
      <c r="C792" s="296" t="s">
        <v>1153</v>
      </c>
    </row>
    <row r="793" spans="2:3">
      <c r="B793" s="296"/>
      <c r="C793" s="296" t="s">
        <v>1154</v>
      </c>
    </row>
    <row r="794" spans="2:3">
      <c r="B794" s="296"/>
      <c r="C794" s="296" t="s">
        <v>1155</v>
      </c>
    </row>
    <row r="795" spans="2:3">
      <c r="B795" s="296"/>
      <c r="C795" s="296" t="s">
        <v>1156</v>
      </c>
    </row>
    <row r="796" spans="2:3">
      <c r="B796" s="296"/>
      <c r="C796" s="296" t="s">
        <v>1157</v>
      </c>
    </row>
    <row r="797" spans="2:3">
      <c r="B797" s="296"/>
      <c r="C797" s="296" t="s">
        <v>1158</v>
      </c>
    </row>
    <row r="798" spans="2:3">
      <c r="B798" s="296"/>
      <c r="C798" s="296" t="s">
        <v>1159</v>
      </c>
    </row>
    <row r="799" spans="2:3">
      <c r="B799" s="296"/>
      <c r="C799" s="296" t="s">
        <v>1160</v>
      </c>
    </row>
    <row r="800" spans="2:3">
      <c r="B800" s="296"/>
      <c r="C800" s="296" t="s">
        <v>1161</v>
      </c>
    </row>
    <row r="801" spans="2:3">
      <c r="B801" s="296"/>
      <c r="C801" s="296" t="s">
        <v>1162</v>
      </c>
    </row>
    <row r="802" spans="2:3">
      <c r="B802" s="296"/>
      <c r="C802" s="296" t="s">
        <v>1163</v>
      </c>
    </row>
    <row r="803" spans="2:3">
      <c r="B803" s="296"/>
      <c r="C803" s="296" t="s">
        <v>1164</v>
      </c>
    </row>
    <row r="804" spans="2:3">
      <c r="B804" s="296"/>
      <c r="C804" s="296" t="s">
        <v>1165</v>
      </c>
    </row>
    <row r="805" spans="2:3">
      <c r="B805" s="296"/>
      <c r="C805" s="296" t="s">
        <v>1150</v>
      </c>
    </row>
    <row r="806" spans="2:3">
      <c r="B806" s="296"/>
      <c r="C806" s="296" t="s">
        <v>835</v>
      </c>
    </row>
    <row r="807" spans="2:3">
      <c r="B807" s="296"/>
      <c r="C807" s="296" t="s">
        <v>1166</v>
      </c>
    </row>
    <row r="808" spans="2:3">
      <c r="B808" s="296"/>
      <c r="C808" s="296" t="s">
        <v>1167</v>
      </c>
    </row>
    <row r="809" spans="2:3">
      <c r="B809" s="296"/>
      <c r="C809" s="296" t="s">
        <v>1168</v>
      </c>
    </row>
    <row r="810" spans="2:3">
      <c r="B810" s="296"/>
      <c r="C810" s="296" t="s">
        <v>1169</v>
      </c>
    </row>
    <row r="811" spans="2:3">
      <c r="B811" s="296"/>
      <c r="C811" s="296" t="s">
        <v>1170</v>
      </c>
    </row>
    <row r="812" spans="2:3">
      <c r="B812" s="296"/>
      <c r="C812" s="296" t="s">
        <v>1171</v>
      </c>
    </row>
    <row r="813" spans="2:3">
      <c r="B813" s="296"/>
      <c r="C813" s="296" t="s">
        <v>1172</v>
      </c>
    </row>
    <row r="814" spans="2:3">
      <c r="B814" s="296"/>
      <c r="C814" s="296" t="s">
        <v>1173</v>
      </c>
    </row>
    <row r="815" spans="2:3">
      <c r="B815" s="296"/>
      <c r="C815" s="296" t="s">
        <v>1174</v>
      </c>
    </row>
    <row r="816" spans="2:3">
      <c r="B816" s="296"/>
      <c r="C816" s="296" t="s">
        <v>1175</v>
      </c>
    </row>
    <row r="817" spans="2:3">
      <c r="B817" s="296"/>
      <c r="C817" s="296" t="s">
        <v>1176</v>
      </c>
    </row>
    <row r="818" spans="2:3">
      <c r="B818" s="296"/>
      <c r="C818" s="296" t="s">
        <v>1177</v>
      </c>
    </row>
    <row r="819" spans="2:3">
      <c r="B819" s="296"/>
      <c r="C819" s="296" t="s">
        <v>1178</v>
      </c>
    </row>
    <row r="820" spans="2:3">
      <c r="B820" s="296"/>
      <c r="C820" s="296" t="s">
        <v>1179</v>
      </c>
    </row>
    <row r="821" spans="2:3">
      <c r="B821" s="296"/>
      <c r="C821" s="296" t="s">
        <v>1180</v>
      </c>
    </row>
    <row r="822" spans="2:3">
      <c r="B822" s="296"/>
      <c r="C822" s="296" t="s">
        <v>1181</v>
      </c>
    </row>
    <row r="823" spans="2:3">
      <c r="B823" s="296"/>
      <c r="C823" s="296" t="s">
        <v>835</v>
      </c>
    </row>
    <row r="824" spans="2:3">
      <c r="B824" s="296"/>
      <c r="C824" s="296"/>
    </row>
    <row r="825" spans="2:3">
      <c r="B825" s="296"/>
      <c r="C825" s="296" t="s">
        <v>758</v>
      </c>
    </row>
    <row r="826" spans="2:3">
      <c r="B826" s="296"/>
      <c r="C826" s="296" t="s">
        <v>867</v>
      </c>
    </row>
    <row r="827" spans="2:3">
      <c r="B827" s="296"/>
      <c r="C827" s="296" t="s">
        <v>1182</v>
      </c>
    </row>
    <row r="828" spans="2:3">
      <c r="B828" s="296"/>
      <c r="C828" s="296" t="s">
        <v>1183</v>
      </c>
    </row>
    <row r="829" spans="2:3">
      <c r="B829" s="296"/>
      <c r="C829" s="296" t="s">
        <v>1184</v>
      </c>
    </row>
    <row r="830" spans="2:3">
      <c r="B830" s="296"/>
      <c r="C830" s="296"/>
    </row>
    <row r="831" spans="2:3">
      <c r="B831" s="296"/>
      <c r="C831" s="296" t="s">
        <v>1185</v>
      </c>
    </row>
    <row r="832" spans="2:3">
      <c r="B832" s="296"/>
      <c r="C832" s="296" t="s">
        <v>1186</v>
      </c>
    </row>
    <row r="833" spans="2:3">
      <c r="B833" s="296"/>
      <c r="C833" s="296"/>
    </row>
    <row r="834" spans="2:3">
      <c r="B834" s="296"/>
      <c r="C834" s="296" t="s">
        <v>1187</v>
      </c>
    </row>
    <row r="835" spans="2:3">
      <c r="B835" s="296"/>
      <c r="C835" s="296" t="s">
        <v>1188</v>
      </c>
    </row>
    <row r="836" spans="2:3">
      <c r="B836" s="296"/>
      <c r="C836" s="296" t="s">
        <v>1189</v>
      </c>
    </row>
    <row r="837" spans="2:3">
      <c r="B837" s="296"/>
      <c r="C837" s="296" t="s">
        <v>1190</v>
      </c>
    </row>
    <row r="838" spans="2:3">
      <c r="B838" s="296"/>
      <c r="C838" s="296" t="s">
        <v>835</v>
      </c>
    </row>
    <row r="839" spans="2:3">
      <c r="B839" s="296"/>
      <c r="C839" s="296"/>
    </row>
    <row r="840" spans="2:3">
      <c r="B840" s="296"/>
      <c r="C840" s="296" t="s">
        <v>758</v>
      </c>
    </row>
    <row r="841" spans="2:3">
      <c r="B841" s="296"/>
      <c r="C841" s="296" t="s">
        <v>1191</v>
      </c>
    </row>
    <row r="842" spans="2:3">
      <c r="B842" s="296"/>
      <c r="C842" s="296" t="s">
        <v>758</v>
      </c>
    </row>
    <row r="843" spans="2:3">
      <c r="B843" s="296"/>
      <c r="C843" s="296" t="s">
        <v>754</v>
      </c>
    </row>
    <row r="844" spans="2:3">
      <c r="B844" s="296"/>
      <c r="C844" s="296" t="s">
        <v>1192</v>
      </c>
    </row>
    <row r="845" spans="2:3">
      <c r="B845" s="296"/>
      <c r="C845" s="296" t="s">
        <v>879</v>
      </c>
    </row>
    <row r="846" spans="2:3">
      <c r="B846" s="296"/>
      <c r="C846" s="296" t="s">
        <v>1193</v>
      </c>
    </row>
    <row r="847" spans="2:3">
      <c r="B847" s="296"/>
      <c r="C847" s="296" t="s">
        <v>1194</v>
      </c>
    </row>
    <row r="848" spans="2:3">
      <c r="B848" s="296"/>
      <c r="C848" s="296" t="s">
        <v>754</v>
      </c>
    </row>
    <row r="849" spans="2:3">
      <c r="B849" s="296"/>
      <c r="C849" s="296" t="s">
        <v>1195</v>
      </c>
    </row>
    <row r="850" spans="2:3">
      <c r="B850" s="296"/>
      <c r="C850" s="296" t="s">
        <v>883</v>
      </c>
    </row>
    <row r="851" spans="2:3">
      <c r="B851" s="296"/>
      <c r="C851" s="296" t="s">
        <v>1196</v>
      </c>
    </row>
    <row r="852" spans="2:3">
      <c r="B852" s="296"/>
      <c r="C852" s="296" t="s">
        <v>1197</v>
      </c>
    </row>
    <row r="853" spans="2:3">
      <c r="B853" s="296"/>
      <c r="C853" s="296" t="s">
        <v>1198</v>
      </c>
    </row>
    <row r="854" spans="2:3">
      <c r="B854" s="296"/>
      <c r="C854" s="296" t="s">
        <v>1199</v>
      </c>
    </row>
    <row r="855" spans="2:3">
      <c r="B855" s="296"/>
      <c r="C855" s="296" t="s">
        <v>1200</v>
      </c>
    </row>
    <row r="856" spans="2:3">
      <c r="B856" s="296"/>
      <c r="C856" s="296" t="s">
        <v>801</v>
      </c>
    </row>
    <row r="857" spans="2:3">
      <c r="B857" s="296"/>
      <c r="C857" s="296" t="s">
        <v>1201</v>
      </c>
    </row>
    <row r="858" spans="2:3">
      <c r="B858" s="296"/>
      <c r="C858" s="296" t="s">
        <v>803</v>
      </c>
    </row>
    <row r="859" spans="2:3">
      <c r="B859" s="296"/>
      <c r="C859" s="296" t="s">
        <v>804</v>
      </c>
    </row>
    <row r="860" spans="2:3">
      <c r="B860" s="296"/>
      <c r="C860" s="296" t="s">
        <v>1202</v>
      </c>
    </row>
    <row r="861" spans="2:3">
      <c r="B861" s="296"/>
      <c r="C861" s="296" t="s">
        <v>806</v>
      </c>
    </row>
    <row r="862" spans="2:3">
      <c r="B862" s="296" t="s">
        <v>2001</v>
      </c>
      <c r="C862" s="294" t="s">
        <v>1203</v>
      </c>
    </row>
    <row r="863" spans="2:3">
      <c r="B863" s="296"/>
      <c r="C863" s="296" t="s">
        <v>892</v>
      </c>
    </row>
    <row r="864" spans="2:3">
      <c r="B864" s="296"/>
      <c r="C864" s="296"/>
    </row>
    <row r="865" spans="2:3">
      <c r="B865" s="296"/>
      <c r="C865" s="296" t="s">
        <v>754</v>
      </c>
    </row>
    <row r="866" spans="2:3">
      <c r="B866" s="296"/>
      <c r="C866" s="296" t="s">
        <v>1204</v>
      </c>
    </row>
    <row r="867" spans="2:3">
      <c r="B867" s="296"/>
      <c r="C867" s="296" t="s">
        <v>879</v>
      </c>
    </row>
    <row r="868" spans="2:3">
      <c r="B868" s="296"/>
      <c r="C868" s="296" t="s">
        <v>1193</v>
      </c>
    </row>
    <row r="869" spans="2:3">
      <c r="B869" s="296"/>
      <c r="C869" s="296" t="s">
        <v>1194</v>
      </c>
    </row>
    <row r="870" spans="2:3">
      <c r="B870" s="296"/>
      <c r="C870" s="296" t="s">
        <v>754</v>
      </c>
    </row>
    <row r="871" spans="2:3">
      <c r="B871" s="296"/>
      <c r="C871" s="296" t="s">
        <v>2050</v>
      </c>
    </row>
    <row r="872" spans="2:3">
      <c r="B872" s="296"/>
      <c r="C872" s="296" t="s">
        <v>883</v>
      </c>
    </row>
    <row r="873" spans="2:3">
      <c r="B873" s="296"/>
      <c r="C873" s="296" t="s">
        <v>1205</v>
      </c>
    </row>
    <row r="874" spans="2:3">
      <c r="B874" s="296"/>
      <c r="C874" s="296" t="s">
        <v>1206</v>
      </c>
    </row>
    <row r="875" spans="2:3">
      <c r="B875" s="296"/>
      <c r="C875" s="296" t="s">
        <v>1207</v>
      </c>
    </row>
    <row r="876" spans="2:3">
      <c r="B876" s="296"/>
      <c r="C876" s="296" t="s">
        <v>1208</v>
      </c>
    </row>
    <row r="877" spans="2:3">
      <c r="B877" s="296"/>
      <c r="C877" s="296" t="s">
        <v>1209</v>
      </c>
    </row>
    <row r="878" spans="2:3">
      <c r="B878" s="296"/>
      <c r="C878" s="296" t="s">
        <v>1210</v>
      </c>
    </row>
    <row r="879" spans="2:3">
      <c r="B879" s="296"/>
      <c r="C879" s="296" t="s">
        <v>1211</v>
      </c>
    </row>
    <row r="880" spans="2:3">
      <c r="B880" s="296"/>
      <c r="C880" s="296" t="s">
        <v>1212</v>
      </c>
    </row>
    <row r="881" spans="2:3">
      <c r="B881" s="296"/>
      <c r="C881" s="296" t="s">
        <v>1213</v>
      </c>
    </row>
    <row r="882" spans="2:3">
      <c r="B882" s="296"/>
      <c r="C882" s="296" t="s">
        <v>1214</v>
      </c>
    </row>
    <row r="883" spans="2:3">
      <c r="B883" s="296"/>
      <c r="C883" s="296" t="s">
        <v>1215</v>
      </c>
    </row>
    <row r="884" spans="2:3">
      <c r="B884" s="296"/>
      <c r="C884" s="296" t="s">
        <v>1216</v>
      </c>
    </row>
    <row r="885" spans="2:3">
      <c r="B885" s="296"/>
      <c r="C885" s="296" t="s">
        <v>1217</v>
      </c>
    </row>
    <row r="886" spans="2:3">
      <c r="B886" s="296"/>
      <c r="C886" s="296" t="s">
        <v>1218</v>
      </c>
    </row>
    <row r="887" spans="2:3">
      <c r="B887" s="296"/>
      <c r="C887" s="296" t="s">
        <v>1219</v>
      </c>
    </row>
    <row r="888" spans="2:3">
      <c r="B888" s="296"/>
      <c r="C888" s="296" t="s">
        <v>1220</v>
      </c>
    </row>
    <row r="889" spans="2:3">
      <c r="B889" s="296"/>
      <c r="C889" s="296"/>
    </row>
    <row r="890" spans="2:3">
      <c r="B890" s="296"/>
      <c r="C890" s="296" t="s">
        <v>1221</v>
      </c>
    </row>
    <row r="891" spans="2:3">
      <c r="B891" s="296"/>
      <c r="C891" s="296" t="s">
        <v>1222</v>
      </c>
    </row>
    <row r="892" spans="2:3">
      <c r="B892" s="296"/>
      <c r="C892" s="296" t="s">
        <v>1223</v>
      </c>
    </row>
    <row r="893" spans="2:3">
      <c r="B893" s="296"/>
      <c r="C893" s="296" t="s">
        <v>1190</v>
      </c>
    </row>
    <row r="894" spans="2:3">
      <c r="B894" s="296"/>
      <c r="C894" s="296"/>
    </row>
    <row r="895" spans="2:3">
      <c r="B895" s="296"/>
      <c r="C895" s="296" t="s">
        <v>1224</v>
      </c>
    </row>
    <row r="896" spans="2:3">
      <c r="B896" s="296"/>
      <c r="C896" s="296" t="s">
        <v>1225</v>
      </c>
    </row>
    <row r="897" spans="2:3">
      <c r="B897" s="296"/>
      <c r="C897" s="296" t="s">
        <v>1226</v>
      </c>
    </row>
    <row r="898" spans="2:3">
      <c r="B898" s="296"/>
      <c r="C898" s="296" t="s">
        <v>1227</v>
      </c>
    </row>
    <row r="899" spans="2:3">
      <c r="B899" s="296"/>
      <c r="C899" s="296" t="s">
        <v>1228</v>
      </c>
    </row>
    <row r="900" spans="2:3">
      <c r="B900" s="296"/>
      <c r="C900" s="296" t="s">
        <v>1229</v>
      </c>
    </row>
    <row r="901" spans="2:3">
      <c r="B901" s="296"/>
      <c r="C901" s="296"/>
    </row>
    <row r="902" spans="2:3">
      <c r="B902" s="296"/>
      <c r="C902" s="296" t="s">
        <v>1230</v>
      </c>
    </row>
    <row r="903" spans="2:3">
      <c r="B903" s="296"/>
      <c r="C903" s="296"/>
    </row>
    <row r="904" spans="2:3">
      <c r="B904" s="296"/>
      <c r="C904" s="296" t="s">
        <v>1231</v>
      </c>
    </row>
    <row r="905" spans="2:3">
      <c r="B905" s="296"/>
      <c r="C905" s="296" t="s">
        <v>1232</v>
      </c>
    </row>
    <row r="906" spans="2:3">
      <c r="B906" s="296"/>
      <c r="C906" s="296" t="s">
        <v>1190</v>
      </c>
    </row>
    <row r="907" spans="2:3">
      <c r="B907" s="296"/>
      <c r="C907" s="296"/>
    </row>
    <row r="908" spans="2:3">
      <c r="B908" s="296"/>
      <c r="C908" s="296" t="s">
        <v>1233</v>
      </c>
    </row>
    <row r="909" spans="2:3">
      <c r="B909" s="296"/>
      <c r="C909" s="296" t="s">
        <v>1234</v>
      </c>
    </row>
    <row r="910" spans="2:3">
      <c r="B910" s="296"/>
      <c r="C910" s="296" t="s">
        <v>1190</v>
      </c>
    </row>
    <row r="911" spans="2:3">
      <c r="B911" s="296"/>
      <c r="C911" s="296"/>
    </row>
    <row r="912" spans="2:3">
      <c r="B912" s="296"/>
      <c r="C912" s="296" t="s">
        <v>1235</v>
      </c>
    </row>
    <row r="913" spans="2:3">
      <c r="B913" s="296"/>
      <c r="C913" s="296" t="s">
        <v>1236</v>
      </c>
    </row>
    <row r="914" spans="2:3">
      <c r="B914" s="296"/>
      <c r="C914" s="296" t="s">
        <v>1190</v>
      </c>
    </row>
    <row r="915" spans="2:3">
      <c r="B915" s="296"/>
      <c r="C915" s="296"/>
    </row>
    <row r="916" spans="2:3">
      <c r="B916" s="296"/>
      <c r="C916" s="296" t="s">
        <v>1237</v>
      </c>
    </row>
    <row r="917" spans="2:3">
      <c r="B917" s="296"/>
      <c r="C917" s="296" t="s">
        <v>1238</v>
      </c>
    </row>
    <row r="918" spans="2:3">
      <c r="B918" s="296"/>
      <c r="C918" s="296" t="s">
        <v>1190</v>
      </c>
    </row>
    <row r="919" spans="2:3">
      <c r="B919" s="296"/>
      <c r="C919" s="296"/>
    </row>
    <row r="920" spans="2:3">
      <c r="B920" s="296"/>
      <c r="C920" s="296" t="s">
        <v>1239</v>
      </c>
    </row>
    <row r="921" spans="2:3">
      <c r="B921" s="296"/>
      <c r="C921" s="296" t="s">
        <v>892</v>
      </c>
    </row>
    <row r="922" spans="2:3">
      <c r="B922" s="296"/>
      <c r="C922" s="296"/>
    </row>
    <row r="923" spans="2:3">
      <c r="B923" s="296"/>
      <c r="C923" s="296" t="s">
        <v>754</v>
      </c>
    </row>
    <row r="924" spans="2:3">
      <c r="B924" s="296"/>
      <c r="C924" s="296" t="s">
        <v>1240</v>
      </c>
    </row>
    <row r="925" spans="2:3">
      <c r="B925" s="296"/>
      <c r="C925" s="296" t="s">
        <v>879</v>
      </c>
    </row>
    <row r="926" spans="2:3">
      <c r="B926" s="296"/>
      <c r="C926" s="296" t="s">
        <v>1193</v>
      </c>
    </row>
    <row r="927" spans="2:3">
      <c r="B927" s="296"/>
      <c r="C927" s="296" t="s">
        <v>1194</v>
      </c>
    </row>
    <row r="928" spans="2:3">
      <c r="B928" s="296"/>
      <c r="C928" s="296" t="s">
        <v>754</v>
      </c>
    </row>
    <row r="929" spans="2:3">
      <c r="B929" s="296"/>
      <c r="C929" s="296" t="s">
        <v>1241</v>
      </c>
    </row>
    <row r="930" spans="2:3">
      <c r="B930" s="296"/>
      <c r="C930" s="296" t="s">
        <v>883</v>
      </c>
    </row>
    <row r="931" spans="2:3">
      <c r="B931" s="296"/>
      <c r="C931" s="296" t="s">
        <v>1242</v>
      </c>
    </row>
    <row r="932" spans="2:3">
      <c r="B932" s="296"/>
      <c r="C932" s="296" t="s">
        <v>1243</v>
      </c>
    </row>
    <row r="933" spans="2:3">
      <c r="B933" s="296"/>
      <c r="C933" s="296" t="s">
        <v>1244</v>
      </c>
    </row>
    <row r="934" spans="2:3">
      <c r="B934" s="296"/>
      <c r="C934" s="296" t="s">
        <v>1245</v>
      </c>
    </row>
    <row r="935" spans="2:3">
      <c r="B935" s="296"/>
      <c r="C935" s="296" t="s">
        <v>1246</v>
      </c>
    </row>
    <row r="936" spans="2:3">
      <c r="B936" s="296"/>
      <c r="C936" s="296" t="s">
        <v>1247</v>
      </c>
    </row>
    <row r="937" spans="2:3">
      <c r="B937" s="296"/>
      <c r="C937" s="296" t="s">
        <v>1248</v>
      </c>
    </row>
    <row r="938" spans="2:3">
      <c r="B938" s="296"/>
      <c r="C938" s="296" t="s">
        <v>1249</v>
      </c>
    </row>
    <row r="939" spans="2:3">
      <c r="B939" s="296"/>
      <c r="C939" s="296" t="s">
        <v>1250</v>
      </c>
    </row>
    <row r="940" spans="2:3">
      <c r="B940" s="296"/>
      <c r="C940" s="296" t="s">
        <v>1251</v>
      </c>
    </row>
    <row r="941" spans="2:3">
      <c r="B941" s="296"/>
      <c r="C941" s="296" t="s">
        <v>1252</v>
      </c>
    </row>
    <row r="942" spans="2:3">
      <c r="B942" s="296"/>
      <c r="C942" s="296" t="s">
        <v>1253</v>
      </c>
    </row>
    <row r="943" spans="2:3">
      <c r="B943" s="296"/>
      <c r="C943" s="296" t="s">
        <v>2051</v>
      </c>
    </row>
    <row r="944" spans="2:3">
      <c r="B944" s="296"/>
      <c r="C944" s="296" t="s">
        <v>2052</v>
      </c>
    </row>
    <row r="945" spans="2:3">
      <c r="B945" s="296"/>
      <c r="C945" s="296" t="s">
        <v>2053</v>
      </c>
    </row>
    <row r="946" spans="2:3">
      <c r="B946" s="296"/>
      <c r="C946" s="296" t="s">
        <v>2054</v>
      </c>
    </row>
    <row r="947" spans="2:3">
      <c r="B947" s="296"/>
      <c r="C947" s="296" t="s">
        <v>2055</v>
      </c>
    </row>
    <row r="948" spans="2:3">
      <c r="B948" s="296"/>
      <c r="C948" s="296"/>
    </row>
    <row r="949" spans="2:3">
      <c r="B949" s="296"/>
      <c r="C949" s="296" t="s">
        <v>1254</v>
      </c>
    </row>
    <row r="950" spans="2:3">
      <c r="B950" s="296"/>
      <c r="C950" s="296" t="s">
        <v>1255</v>
      </c>
    </row>
    <row r="951" spans="2:3">
      <c r="B951" s="296"/>
      <c r="C951" s="296" t="s">
        <v>1256</v>
      </c>
    </row>
    <row r="952" spans="2:3">
      <c r="B952" s="296"/>
      <c r="C952" s="296" t="s">
        <v>1257</v>
      </c>
    </row>
    <row r="953" spans="2:3">
      <c r="B953" s="296"/>
      <c r="C953" s="296" t="s">
        <v>1255</v>
      </c>
    </row>
    <row r="954" spans="2:3">
      <c r="B954" s="296"/>
      <c r="C954" s="296" t="s">
        <v>1258</v>
      </c>
    </row>
    <row r="955" spans="2:3">
      <c r="B955" s="296"/>
      <c r="C955" s="296" t="s">
        <v>1259</v>
      </c>
    </row>
    <row r="956" spans="2:3">
      <c r="B956" s="296"/>
      <c r="C956" s="296" t="s">
        <v>1260</v>
      </c>
    </row>
    <row r="957" spans="2:3">
      <c r="B957" s="296"/>
      <c r="C957" s="296"/>
    </row>
    <row r="958" spans="2:3">
      <c r="B958" s="296"/>
      <c r="C958" s="296" t="s">
        <v>1261</v>
      </c>
    </row>
    <row r="959" spans="2:3">
      <c r="B959" s="296"/>
      <c r="C959" s="296" t="s">
        <v>1262</v>
      </c>
    </row>
    <row r="960" spans="2:3">
      <c r="B960" s="296"/>
      <c r="C960" s="296"/>
    </row>
    <row r="961" spans="2:3">
      <c r="B961" s="296"/>
      <c r="C961" s="296" t="s">
        <v>1263</v>
      </c>
    </row>
    <row r="962" spans="2:3">
      <c r="B962" s="296"/>
      <c r="C962" s="296"/>
    </row>
    <row r="963" spans="2:3">
      <c r="B963" s="296"/>
      <c r="C963" s="296" t="s">
        <v>2056</v>
      </c>
    </row>
    <row r="964" spans="2:3">
      <c r="B964" s="296"/>
      <c r="C964" s="296" t="s">
        <v>2057</v>
      </c>
    </row>
    <row r="965" spans="2:3">
      <c r="B965" s="296"/>
      <c r="C965" s="296" t="s">
        <v>2058</v>
      </c>
    </row>
    <row r="966" spans="2:3">
      <c r="B966" s="296"/>
      <c r="C966" s="296" t="s">
        <v>2059</v>
      </c>
    </row>
    <row r="967" spans="2:3">
      <c r="B967" s="296"/>
      <c r="C967" s="296" t="s">
        <v>2060</v>
      </c>
    </row>
    <row r="968" spans="2:3">
      <c r="B968" s="296"/>
      <c r="C968" s="296"/>
    </row>
    <row r="969" spans="2:3">
      <c r="B969" s="296"/>
      <c r="C969" s="296" t="s">
        <v>1264</v>
      </c>
    </row>
    <row r="970" spans="2:3">
      <c r="B970" s="296"/>
      <c r="C970" s="296" t="s">
        <v>1265</v>
      </c>
    </row>
    <row r="971" spans="2:3">
      <c r="B971" s="296"/>
      <c r="C971" s="296"/>
    </row>
    <row r="972" spans="2:3">
      <c r="B972" s="296"/>
      <c r="C972" s="296" t="s">
        <v>1266</v>
      </c>
    </row>
    <row r="973" spans="2:3">
      <c r="B973" s="296"/>
      <c r="C973" s="296" t="s">
        <v>1267</v>
      </c>
    </row>
    <row r="974" spans="2:3">
      <c r="B974" s="296"/>
      <c r="C974" s="296" t="s">
        <v>1268</v>
      </c>
    </row>
    <row r="975" spans="2:3">
      <c r="B975" s="296"/>
      <c r="C975" s="296"/>
    </row>
    <row r="976" spans="2:3">
      <c r="B976" s="296"/>
      <c r="C976" s="296" t="s">
        <v>2061</v>
      </c>
    </row>
    <row r="977" spans="2:3">
      <c r="B977" s="296"/>
      <c r="C977" s="296" t="s">
        <v>1270</v>
      </c>
    </row>
    <row r="978" spans="2:3">
      <c r="B978" s="296"/>
      <c r="C978" s="296" t="s">
        <v>1271</v>
      </c>
    </row>
    <row r="979" spans="2:3">
      <c r="B979" s="296"/>
      <c r="C979" s="296" t="s">
        <v>1272</v>
      </c>
    </row>
    <row r="980" spans="2:3">
      <c r="B980" s="296"/>
      <c r="C980" s="296" t="s">
        <v>1273</v>
      </c>
    </row>
    <row r="981" spans="2:3">
      <c r="B981" s="296"/>
      <c r="C981" s="296"/>
    </row>
    <row r="982" spans="2:3">
      <c r="B982" s="296"/>
      <c r="C982" s="296" t="s">
        <v>2062</v>
      </c>
    </row>
    <row r="983" spans="2:3">
      <c r="B983" s="296"/>
      <c r="C983" s="296" t="s">
        <v>1270</v>
      </c>
    </row>
    <row r="984" spans="2:3">
      <c r="B984" s="296"/>
      <c r="C984" s="296" t="s">
        <v>1275</v>
      </c>
    </row>
    <row r="985" spans="2:3">
      <c r="B985" s="296"/>
      <c r="C985" s="296" t="s">
        <v>1276</v>
      </c>
    </row>
    <row r="986" spans="2:3">
      <c r="B986" s="296"/>
      <c r="C986" s="296" t="s">
        <v>1273</v>
      </c>
    </row>
    <row r="987" spans="2:3">
      <c r="B987" s="296"/>
      <c r="C987" s="296"/>
    </row>
    <row r="988" spans="2:3">
      <c r="B988" s="296"/>
      <c r="C988" s="296" t="s">
        <v>2063</v>
      </c>
    </row>
    <row r="989" spans="2:3">
      <c r="B989" s="296"/>
      <c r="C989" s="296" t="s">
        <v>1270</v>
      </c>
    </row>
    <row r="990" spans="2:3">
      <c r="B990" s="296"/>
      <c r="C990" s="296" t="s">
        <v>1278</v>
      </c>
    </row>
    <row r="991" spans="2:3">
      <c r="B991" s="296"/>
      <c r="C991" s="296" t="s">
        <v>1279</v>
      </c>
    </row>
    <row r="992" spans="2:3">
      <c r="B992" s="296"/>
      <c r="C992" s="296" t="s">
        <v>1273</v>
      </c>
    </row>
    <row r="993" spans="2:3">
      <c r="B993" s="296"/>
      <c r="C993" s="296"/>
    </row>
    <row r="994" spans="2:3">
      <c r="B994" s="296"/>
      <c r="C994" s="296" t="s">
        <v>2064</v>
      </c>
    </row>
    <row r="995" spans="2:3">
      <c r="B995" s="296"/>
      <c r="C995" s="296" t="s">
        <v>1270</v>
      </c>
    </row>
    <row r="996" spans="2:3">
      <c r="B996" s="296"/>
      <c r="C996" s="296" t="s">
        <v>1281</v>
      </c>
    </row>
    <row r="997" spans="2:3">
      <c r="B997" s="296"/>
      <c r="C997" s="296" t="s">
        <v>1282</v>
      </c>
    </row>
    <row r="998" spans="2:3">
      <c r="B998" s="296"/>
      <c r="C998" s="296" t="s">
        <v>1273</v>
      </c>
    </row>
    <row r="999" spans="2:3">
      <c r="B999" s="296"/>
      <c r="C999" s="296"/>
    </row>
    <row r="1000" spans="2:3">
      <c r="B1000" s="296"/>
      <c r="C1000" s="296" t="s">
        <v>1190</v>
      </c>
    </row>
    <row r="1001" spans="2:3">
      <c r="B1001" s="296"/>
      <c r="C1001" s="294"/>
    </row>
    <row r="1002" spans="2:3">
      <c r="B1002" s="296"/>
      <c r="C1002" s="296" t="s">
        <v>2065</v>
      </c>
    </row>
    <row r="1003" spans="2:3">
      <c r="B1003" s="296"/>
      <c r="C1003" s="296" t="s">
        <v>1284</v>
      </c>
    </row>
    <row r="1004" spans="2:3">
      <c r="B1004" s="296"/>
      <c r="C1004" s="296" t="s">
        <v>1270</v>
      </c>
    </row>
    <row r="1005" spans="2:3">
      <c r="B1005" s="296"/>
      <c r="C1005" s="296" t="s">
        <v>1285</v>
      </c>
    </row>
    <row r="1006" spans="2:3">
      <c r="B1006" s="296"/>
      <c r="C1006" s="296" t="s">
        <v>1286</v>
      </c>
    </row>
    <row r="1007" spans="2:3">
      <c r="B1007" s="296"/>
      <c r="C1007" s="296" t="s">
        <v>1273</v>
      </c>
    </row>
    <row r="1008" spans="2:3">
      <c r="B1008" s="296"/>
      <c r="C1008" s="296" t="s">
        <v>1190</v>
      </c>
    </row>
    <row r="1009" spans="2:3">
      <c r="B1009" s="296"/>
      <c r="C1009" s="294"/>
    </row>
    <row r="1010" spans="2:3">
      <c r="B1010" s="296"/>
      <c r="C1010" s="296" t="s">
        <v>1287</v>
      </c>
    </row>
    <row r="1011" spans="2:3">
      <c r="B1011" s="296"/>
      <c r="C1011" s="296" t="s">
        <v>892</v>
      </c>
    </row>
    <row r="1012" spans="2:3">
      <c r="B1012" s="296"/>
      <c r="C1012" s="296"/>
    </row>
    <row r="1013" spans="2:3">
      <c r="B1013" s="296"/>
      <c r="C1013" s="296" t="s">
        <v>754</v>
      </c>
    </row>
    <row r="1014" spans="2:3">
      <c r="B1014" s="296"/>
      <c r="C1014" s="296" t="s">
        <v>1288</v>
      </c>
    </row>
    <row r="1015" spans="2:3">
      <c r="B1015" s="296"/>
      <c r="C1015" s="296" t="s">
        <v>879</v>
      </c>
    </row>
    <row r="1016" spans="2:3">
      <c r="B1016" s="296"/>
      <c r="C1016" s="296" t="s">
        <v>1193</v>
      </c>
    </row>
    <row r="1017" spans="2:3">
      <c r="B1017" s="296"/>
      <c r="C1017" s="296" t="s">
        <v>1194</v>
      </c>
    </row>
    <row r="1018" spans="2:3">
      <c r="B1018" s="296"/>
      <c r="C1018" s="296" t="s">
        <v>754</v>
      </c>
    </row>
    <row r="1019" spans="2:3">
      <c r="B1019" s="296"/>
      <c r="C1019" s="296" t="s">
        <v>2066</v>
      </c>
    </row>
    <row r="1020" spans="2:3">
      <c r="B1020" s="296"/>
      <c r="C1020" s="296" t="s">
        <v>883</v>
      </c>
    </row>
    <row r="1021" spans="2:3">
      <c r="B1021" s="296"/>
      <c r="C1021" s="296" t="s">
        <v>801</v>
      </c>
    </row>
    <row r="1022" spans="2:3">
      <c r="B1022" s="296"/>
      <c r="C1022" s="296" t="s">
        <v>1289</v>
      </c>
    </row>
    <row r="1023" spans="2:3">
      <c r="B1023" s="296"/>
      <c r="C1023" s="296" t="s">
        <v>1290</v>
      </c>
    </row>
    <row r="1024" spans="2:3">
      <c r="B1024" s="296"/>
      <c r="C1024" s="296" t="s">
        <v>803</v>
      </c>
    </row>
    <row r="1025" spans="2:3">
      <c r="B1025" s="296"/>
      <c r="C1025" s="296" t="s">
        <v>804</v>
      </c>
    </row>
    <row r="1026" spans="2:3">
      <c r="B1026" s="296"/>
      <c r="C1026" s="296" t="s">
        <v>1291</v>
      </c>
    </row>
    <row r="1027" spans="2:3">
      <c r="B1027" s="296"/>
      <c r="C1027" s="296" t="s">
        <v>1292</v>
      </c>
    </row>
    <row r="1028" spans="2:3">
      <c r="B1028" s="296"/>
      <c r="C1028" s="296" t="s">
        <v>1293</v>
      </c>
    </row>
    <row r="1029" spans="2:3">
      <c r="B1029" s="296"/>
      <c r="C1029" s="296" t="s">
        <v>806</v>
      </c>
    </row>
    <row r="1030" spans="2:3">
      <c r="B1030" s="296"/>
      <c r="C1030" s="296" t="s">
        <v>988</v>
      </c>
    </row>
    <row r="1031" spans="2:3">
      <c r="B1031" s="296"/>
      <c r="C1031" s="296" t="s">
        <v>1250</v>
      </c>
    </row>
    <row r="1032" spans="2:3">
      <c r="B1032" s="296"/>
      <c r="C1032" s="296" t="s">
        <v>989</v>
      </c>
    </row>
    <row r="1033" spans="2:3">
      <c r="B1033" s="296"/>
      <c r="C1033" s="296" t="s">
        <v>1251</v>
      </c>
    </row>
    <row r="1034" spans="2:3">
      <c r="B1034" s="296"/>
      <c r="C1034" s="296"/>
    </row>
    <row r="1035" spans="2:3">
      <c r="B1035" s="296"/>
      <c r="C1035" s="296" t="s">
        <v>801</v>
      </c>
    </row>
    <row r="1036" spans="2:3">
      <c r="B1036" s="296"/>
      <c r="C1036" s="296" t="s">
        <v>2067</v>
      </c>
    </row>
    <row r="1037" spans="2:3">
      <c r="B1037" s="296"/>
      <c r="C1037" s="296" t="s">
        <v>2068</v>
      </c>
    </row>
    <row r="1038" spans="2:3">
      <c r="B1038" s="296"/>
      <c r="C1038" s="296" t="s">
        <v>2069</v>
      </c>
    </row>
    <row r="1039" spans="2:3">
      <c r="B1039" s="296"/>
      <c r="C1039" s="296" t="s">
        <v>2070</v>
      </c>
    </row>
    <row r="1040" spans="2:3">
      <c r="B1040" s="296"/>
      <c r="C1040" s="296" t="s">
        <v>2071</v>
      </c>
    </row>
    <row r="1041" spans="2:3">
      <c r="B1041" s="296"/>
      <c r="C1041" s="296" t="s">
        <v>803</v>
      </c>
    </row>
    <row r="1042" spans="2:3">
      <c r="B1042" s="296"/>
      <c r="C1042" s="296" t="s">
        <v>804</v>
      </c>
    </row>
    <row r="1043" spans="2:3">
      <c r="B1043" s="296"/>
      <c r="C1043" s="296" t="s">
        <v>2072</v>
      </c>
    </row>
    <row r="1044" spans="2:3">
      <c r="B1044" s="296"/>
      <c r="C1044" s="296" t="s">
        <v>2068</v>
      </c>
    </row>
    <row r="1045" spans="2:3">
      <c r="B1045" s="296"/>
      <c r="C1045" s="296" t="s">
        <v>2073</v>
      </c>
    </row>
    <row r="1046" spans="2:3">
      <c r="B1046" s="296"/>
      <c r="C1046" s="296" t="s">
        <v>2074</v>
      </c>
    </row>
    <row r="1047" spans="2:3">
      <c r="B1047" s="296"/>
      <c r="C1047" s="296" t="s">
        <v>2075</v>
      </c>
    </row>
    <row r="1048" spans="2:3">
      <c r="B1048" s="296"/>
      <c r="C1048" s="296" t="s">
        <v>806</v>
      </c>
    </row>
    <row r="1049" spans="2:3">
      <c r="B1049" s="296"/>
      <c r="C1049" s="296"/>
    </row>
    <row r="1050" spans="2:3">
      <c r="B1050" s="296"/>
      <c r="C1050" s="296" t="s">
        <v>1263</v>
      </c>
    </row>
    <row r="1051" spans="2:3">
      <c r="B1051" s="296"/>
      <c r="C1051" s="296"/>
    </row>
    <row r="1052" spans="2:3">
      <c r="B1052" s="296"/>
      <c r="C1052" s="296" t="s">
        <v>801</v>
      </c>
    </row>
    <row r="1053" spans="2:3">
      <c r="B1053" s="296"/>
      <c r="C1053" s="296" t="s">
        <v>2076</v>
      </c>
    </row>
    <row r="1054" spans="2:3">
      <c r="B1054" s="296"/>
      <c r="C1054" s="296" t="s">
        <v>1266</v>
      </c>
    </row>
    <row r="1055" spans="2:3">
      <c r="B1055" s="296"/>
      <c r="C1055" s="296" t="s">
        <v>2077</v>
      </c>
    </row>
    <row r="1056" spans="2:3">
      <c r="B1056" s="296"/>
      <c r="C1056" s="296" t="s">
        <v>2078</v>
      </c>
    </row>
    <row r="1057" spans="2:3">
      <c r="B1057" s="296"/>
      <c r="C1057" s="296" t="s">
        <v>1190</v>
      </c>
    </row>
    <row r="1058" spans="2:3">
      <c r="B1058" s="296"/>
      <c r="C1058" s="296" t="s">
        <v>803</v>
      </c>
    </row>
    <row r="1059" spans="2:3">
      <c r="B1059" s="296"/>
      <c r="C1059" s="296"/>
    </row>
    <row r="1060" spans="2:3">
      <c r="B1060" s="296"/>
      <c r="C1060" s="296" t="s">
        <v>804</v>
      </c>
    </row>
    <row r="1061" spans="2:3">
      <c r="B1061" s="296"/>
      <c r="C1061" s="296" t="s">
        <v>2079</v>
      </c>
    </row>
    <row r="1062" spans="2:3">
      <c r="B1062" s="296"/>
      <c r="C1062" s="296" t="s">
        <v>1266</v>
      </c>
    </row>
    <row r="1063" spans="2:3">
      <c r="B1063" s="296"/>
      <c r="C1063" s="296" t="s">
        <v>2080</v>
      </c>
    </row>
    <row r="1064" spans="2:3">
      <c r="B1064" s="296"/>
      <c r="C1064" s="296" t="s">
        <v>2081</v>
      </c>
    </row>
    <row r="1065" spans="2:3">
      <c r="B1065" s="296"/>
      <c r="C1065" s="296" t="s">
        <v>1190</v>
      </c>
    </row>
    <row r="1066" spans="2:3">
      <c r="B1066" s="296"/>
      <c r="C1066" s="296" t="s">
        <v>806</v>
      </c>
    </row>
    <row r="1067" spans="2:3">
      <c r="B1067" s="296"/>
      <c r="C1067" s="296"/>
    </row>
    <row r="1068" spans="2:3">
      <c r="B1068" s="296"/>
      <c r="C1068" s="296" t="s">
        <v>1287</v>
      </c>
    </row>
    <row r="1069" spans="2:3">
      <c r="B1069" s="296"/>
      <c r="C1069" s="296" t="s">
        <v>892</v>
      </c>
    </row>
    <row r="1070" spans="2:3">
      <c r="B1070" s="296"/>
      <c r="C1070" s="296"/>
    </row>
    <row r="1071" spans="2:3">
      <c r="B1071" s="296"/>
      <c r="C1071" s="296" t="s">
        <v>754</v>
      </c>
    </row>
    <row r="1072" spans="2:3">
      <c r="B1072" s="296"/>
      <c r="C1072" s="296" t="s">
        <v>1311</v>
      </c>
    </row>
    <row r="1073" spans="2:3">
      <c r="B1073" s="296"/>
      <c r="C1073" s="296" t="s">
        <v>879</v>
      </c>
    </row>
    <row r="1074" spans="2:3">
      <c r="B1074" s="296"/>
      <c r="C1074" s="296" t="s">
        <v>1193</v>
      </c>
    </row>
    <row r="1075" spans="2:3">
      <c r="B1075" s="296"/>
      <c r="C1075" s="296" t="s">
        <v>1194</v>
      </c>
    </row>
    <row r="1076" spans="2:3">
      <c r="B1076" s="296"/>
      <c r="C1076" s="296" t="s">
        <v>754</v>
      </c>
    </row>
    <row r="1077" spans="2:3">
      <c r="B1077" s="296"/>
      <c r="C1077" s="296" t="s">
        <v>1312</v>
      </c>
    </row>
    <row r="1078" spans="2:3">
      <c r="B1078" s="296"/>
      <c r="C1078" s="296" t="s">
        <v>883</v>
      </c>
    </row>
    <row r="1079" spans="2:3">
      <c r="B1079" s="296" t="s">
        <v>2001</v>
      </c>
      <c r="C1079" s="294" t="s">
        <v>1313</v>
      </c>
    </row>
    <row r="1080" spans="2:3">
      <c r="B1080" s="296" t="s">
        <v>1995</v>
      </c>
      <c r="C1080" s="294" t="s">
        <v>1314</v>
      </c>
    </row>
    <row r="1081" spans="2:3">
      <c r="B1081" s="296" t="s">
        <v>1995</v>
      </c>
      <c r="C1081" s="294" t="s">
        <v>1315</v>
      </c>
    </row>
    <row r="1082" spans="2:3">
      <c r="B1082" s="296" t="s">
        <v>1995</v>
      </c>
      <c r="C1082" s="294" t="s">
        <v>1316</v>
      </c>
    </row>
    <row r="1083" spans="2:3">
      <c r="B1083" s="296" t="s">
        <v>1995</v>
      </c>
      <c r="C1083" s="294" t="s">
        <v>1317</v>
      </c>
    </row>
    <row r="1084" spans="2:3">
      <c r="B1084" s="296" t="s">
        <v>1995</v>
      </c>
      <c r="C1084" s="294" t="s">
        <v>1318</v>
      </c>
    </row>
    <row r="1085" spans="2:3">
      <c r="B1085" s="296" t="s">
        <v>1995</v>
      </c>
      <c r="C1085" s="294" t="s">
        <v>1250</v>
      </c>
    </row>
    <row r="1086" spans="2:3">
      <c r="B1086" s="296"/>
      <c r="C1086" s="296" t="s">
        <v>1251</v>
      </c>
    </row>
    <row r="1087" spans="2:3">
      <c r="B1087" s="296" t="s">
        <v>2099</v>
      </c>
      <c r="C1087" s="294" t="s">
        <v>2082</v>
      </c>
    </row>
    <row r="1088" spans="2:3">
      <c r="B1088" s="296"/>
      <c r="C1088" s="296"/>
    </row>
    <row r="1089" spans="2:3">
      <c r="B1089" s="296" t="s">
        <v>2100</v>
      </c>
      <c r="C1089" s="294" t="s">
        <v>2083</v>
      </c>
    </row>
    <row r="1090" spans="2:3">
      <c r="B1090" s="296"/>
      <c r="C1090" s="296"/>
    </row>
    <row r="1091" spans="2:3">
      <c r="B1091" s="296" t="s">
        <v>2006</v>
      </c>
      <c r="C1091" s="294" t="s">
        <v>2084</v>
      </c>
    </row>
    <row r="1092" spans="2:3">
      <c r="B1092" s="296" t="s">
        <v>1995</v>
      </c>
      <c r="C1092" s="294" t="s">
        <v>1320</v>
      </c>
    </row>
    <row r="1093" spans="2:3">
      <c r="B1093" s="296" t="s">
        <v>1995</v>
      </c>
      <c r="C1093" s="296" t="s">
        <v>1321</v>
      </c>
    </row>
    <row r="1094" spans="2:3">
      <c r="B1094" s="296" t="s">
        <v>1995</v>
      </c>
      <c r="C1094" s="296" t="s">
        <v>1296</v>
      </c>
    </row>
    <row r="1095" spans="2:3">
      <c r="B1095" s="296" t="s">
        <v>1995</v>
      </c>
      <c r="C1095" s="296" t="s">
        <v>1322</v>
      </c>
    </row>
    <row r="1096" spans="2:3">
      <c r="B1096" s="296" t="s">
        <v>1995</v>
      </c>
      <c r="C1096" s="296" t="s">
        <v>1323</v>
      </c>
    </row>
    <row r="1097" spans="2:3">
      <c r="B1097" s="296" t="s">
        <v>1995</v>
      </c>
      <c r="C1097" s="296" t="s">
        <v>1324</v>
      </c>
    </row>
    <row r="1098" spans="2:3">
      <c r="B1098" s="296" t="s">
        <v>1995</v>
      </c>
      <c r="C1098" s="294" t="s">
        <v>771</v>
      </c>
    </row>
    <row r="1099" spans="2:3">
      <c r="B1099" s="296" t="s">
        <v>1995</v>
      </c>
      <c r="C1099" s="294" t="s">
        <v>1190</v>
      </c>
    </row>
    <row r="1100" spans="2:3">
      <c r="B1100" s="296"/>
      <c r="C1100" s="296" t="s">
        <v>1263</v>
      </c>
    </row>
    <row r="1101" spans="2:3">
      <c r="B1101" s="296"/>
      <c r="C1101" s="296"/>
    </row>
    <row r="1102" spans="2:3">
      <c r="B1102" s="296" t="s">
        <v>2006</v>
      </c>
      <c r="C1102" s="294" t="s">
        <v>2084</v>
      </c>
    </row>
    <row r="1103" spans="2:3">
      <c r="B1103" s="296" t="s">
        <v>1995</v>
      </c>
      <c r="C1103" s="294" t="s">
        <v>1320</v>
      </c>
    </row>
    <row r="1104" spans="2:3">
      <c r="B1104" s="296" t="s">
        <v>1995</v>
      </c>
      <c r="C1104" s="296" t="s">
        <v>1325</v>
      </c>
    </row>
    <row r="1105" spans="2:3">
      <c r="B1105" s="296" t="s">
        <v>1995</v>
      </c>
      <c r="C1105" s="296" t="s">
        <v>1326</v>
      </c>
    </row>
    <row r="1106" spans="2:3">
      <c r="B1106" s="296" t="s">
        <v>1995</v>
      </c>
      <c r="C1106" s="296" t="s">
        <v>1327</v>
      </c>
    </row>
    <row r="1107" spans="2:3">
      <c r="B1107" s="296" t="s">
        <v>1995</v>
      </c>
      <c r="C1107" s="296" t="s">
        <v>1328</v>
      </c>
    </row>
    <row r="1108" spans="2:3">
      <c r="B1108" s="296" t="s">
        <v>1995</v>
      </c>
      <c r="C1108" s="296" t="s">
        <v>1329</v>
      </c>
    </row>
    <row r="1109" spans="2:3">
      <c r="B1109" s="296" t="s">
        <v>1995</v>
      </c>
      <c r="C1109" s="296" t="s">
        <v>1273</v>
      </c>
    </row>
    <row r="1110" spans="2:3">
      <c r="B1110" s="296" t="s">
        <v>1995</v>
      </c>
      <c r="C1110" s="294" t="s">
        <v>771</v>
      </c>
    </row>
    <row r="1111" spans="2:3">
      <c r="B1111" s="296" t="s">
        <v>1995</v>
      </c>
      <c r="C1111" s="294" t="s">
        <v>1190</v>
      </c>
    </row>
    <row r="1112" spans="2:3">
      <c r="B1112" s="296"/>
      <c r="C1112" s="296"/>
    </row>
    <row r="1113" spans="2:3">
      <c r="B1113" s="296"/>
      <c r="C1113" s="296" t="s">
        <v>1287</v>
      </c>
    </row>
    <row r="1114" spans="2:3">
      <c r="B1114" s="296"/>
      <c r="C1114" s="296" t="s">
        <v>892</v>
      </c>
    </row>
    <row r="1115" spans="2:3">
      <c r="B1115" s="296"/>
      <c r="C1115" s="296"/>
    </row>
    <row r="1116" spans="2:3">
      <c r="B1116" s="296"/>
      <c r="C1116" s="296" t="s">
        <v>754</v>
      </c>
    </row>
    <row r="1117" spans="2:3">
      <c r="B1117" s="296"/>
      <c r="C1117" s="296" t="s">
        <v>1330</v>
      </c>
    </row>
    <row r="1118" spans="2:3">
      <c r="B1118" s="296"/>
      <c r="C1118" s="296" t="s">
        <v>879</v>
      </c>
    </row>
    <row r="1119" spans="2:3">
      <c r="B1119" s="296"/>
      <c r="C1119" s="296" t="s">
        <v>1193</v>
      </c>
    </row>
    <row r="1120" spans="2:3">
      <c r="B1120" s="296"/>
      <c r="C1120" s="296" t="s">
        <v>1194</v>
      </c>
    </row>
    <row r="1121" spans="2:3">
      <c r="B1121" s="296"/>
      <c r="C1121" s="296" t="s">
        <v>754</v>
      </c>
    </row>
    <row r="1122" spans="2:3">
      <c r="B1122" s="296"/>
      <c r="C1122" s="296" t="s">
        <v>1331</v>
      </c>
    </row>
    <row r="1123" spans="2:3">
      <c r="B1123" s="296"/>
      <c r="C1123" s="296" t="s">
        <v>883</v>
      </c>
    </row>
    <row r="1124" spans="2:3">
      <c r="B1124" s="296"/>
      <c r="C1124" s="296" t="s">
        <v>1332</v>
      </c>
    </row>
    <row r="1125" spans="2:3">
      <c r="B1125" s="296"/>
      <c r="C1125" s="296" t="s">
        <v>1333</v>
      </c>
    </row>
    <row r="1126" spans="2:3">
      <c r="B1126" s="296"/>
      <c r="C1126" s="296" t="s">
        <v>1334</v>
      </c>
    </row>
    <row r="1127" spans="2:3">
      <c r="B1127" s="296"/>
      <c r="C1127" s="296" t="s">
        <v>1335</v>
      </c>
    </row>
    <row r="1128" spans="2:3">
      <c r="B1128" s="296"/>
      <c r="C1128" s="296"/>
    </row>
    <row r="1129" spans="2:3">
      <c r="B1129" s="296"/>
      <c r="C1129" s="296" t="s">
        <v>1336</v>
      </c>
    </row>
    <row r="1130" spans="2:3">
      <c r="B1130" s="296"/>
      <c r="C1130" s="296" t="s">
        <v>1337</v>
      </c>
    </row>
    <row r="1131" spans="2:3">
      <c r="B1131" s="296"/>
      <c r="C1131" s="296" t="s">
        <v>1338</v>
      </c>
    </row>
    <row r="1132" spans="2:3">
      <c r="B1132" s="296"/>
      <c r="C1132" s="296" t="s">
        <v>1339</v>
      </c>
    </row>
    <row r="1133" spans="2:3">
      <c r="B1133" s="296"/>
      <c r="C1133" s="296" t="s">
        <v>1190</v>
      </c>
    </row>
    <row r="1134" spans="2:3">
      <c r="B1134" s="296"/>
      <c r="C1134" s="296" t="s">
        <v>1340</v>
      </c>
    </row>
    <row r="1135" spans="2:3">
      <c r="B1135" s="296"/>
      <c r="C1135" s="296" t="s">
        <v>1341</v>
      </c>
    </row>
    <row r="1136" spans="2:3">
      <c r="B1136" s="296"/>
      <c r="C1136" s="296" t="s">
        <v>1190</v>
      </c>
    </row>
    <row r="1137" spans="2:3">
      <c r="B1137" s="296"/>
      <c r="C1137" s="296" t="s">
        <v>1342</v>
      </c>
    </row>
    <row r="1138" spans="2:3">
      <c r="B1138" s="296"/>
      <c r="C1138" s="296" t="s">
        <v>1343</v>
      </c>
    </row>
    <row r="1139" spans="2:3">
      <c r="B1139" s="296"/>
      <c r="C1139" s="296" t="s">
        <v>1344</v>
      </c>
    </row>
    <row r="1140" spans="2:3">
      <c r="B1140" s="296"/>
      <c r="C1140" s="296" t="s">
        <v>1190</v>
      </c>
    </row>
    <row r="1141" spans="2:3">
      <c r="B1141" s="296"/>
      <c r="C1141" s="296" t="s">
        <v>1345</v>
      </c>
    </row>
    <row r="1142" spans="2:3">
      <c r="B1142" s="296"/>
      <c r="C1142" s="296" t="s">
        <v>1346</v>
      </c>
    </row>
    <row r="1143" spans="2:3">
      <c r="B1143" s="296"/>
      <c r="C1143" s="296" t="s">
        <v>1190</v>
      </c>
    </row>
    <row r="1144" spans="2:3">
      <c r="B1144" s="296"/>
      <c r="C1144" s="296"/>
    </row>
    <row r="1145" spans="2:3">
      <c r="B1145" s="296"/>
      <c r="C1145" s="296" t="s">
        <v>1347</v>
      </c>
    </row>
    <row r="1146" spans="2:3">
      <c r="B1146" s="296"/>
      <c r="C1146" s="296"/>
    </row>
    <row r="1147" spans="2:3">
      <c r="B1147" s="296"/>
      <c r="C1147" s="296" t="s">
        <v>1348</v>
      </c>
    </row>
    <row r="1148" spans="2:3">
      <c r="B1148" s="296"/>
      <c r="C1148" s="296" t="s">
        <v>892</v>
      </c>
    </row>
    <row r="1149" spans="2:3">
      <c r="B1149" s="296"/>
      <c r="C1149" s="296"/>
    </row>
    <row r="1150" spans="2:3">
      <c r="B1150" s="296"/>
      <c r="C1150" s="296" t="s">
        <v>754</v>
      </c>
    </row>
    <row r="1151" spans="2:3">
      <c r="B1151" s="296"/>
      <c r="C1151" s="296" t="s">
        <v>1349</v>
      </c>
    </row>
    <row r="1152" spans="2:3">
      <c r="B1152" s="296"/>
      <c r="C1152" s="296" t="s">
        <v>879</v>
      </c>
    </row>
    <row r="1153" spans="2:3">
      <c r="B1153" s="296"/>
      <c r="C1153" s="296" t="s">
        <v>1193</v>
      </c>
    </row>
    <row r="1154" spans="2:3">
      <c r="B1154" s="296"/>
      <c r="C1154" s="296" t="s">
        <v>1194</v>
      </c>
    </row>
    <row r="1155" spans="2:3">
      <c r="B1155" s="296"/>
      <c r="C1155" s="296" t="s">
        <v>754</v>
      </c>
    </row>
    <row r="1156" spans="2:3">
      <c r="B1156" s="296"/>
      <c r="C1156" s="296" t="s">
        <v>1350</v>
      </c>
    </row>
    <row r="1157" spans="2:3">
      <c r="B1157" s="296"/>
      <c r="C1157" s="296" t="s">
        <v>883</v>
      </c>
    </row>
    <row r="1158" spans="2:3">
      <c r="B1158" s="296"/>
      <c r="C1158" s="296" t="s">
        <v>1351</v>
      </c>
    </row>
    <row r="1159" spans="2:3">
      <c r="B1159" s="296"/>
      <c r="C1159" s="296" t="s">
        <v>1352</v>
      </c>
    </row>
    <row r="1160" spans="2:3">
      <c r="B1160" s="296"/>
      <c r="C1160" s="296" t="s">
        <v>1353</v>
      </c>
    </row>
    <row r="1161" spans="2:3">
      <c r="B1161" s="296"/>
      <c r="C1161" s="296" t="s">
        <v>1354</v>
      </c>
    </row>
    <row r="1162" spans="2:3">
      <c r="B1162" s="296"/>
      <c r="C1162" s="296" t="s">
        <v>1355</v>
      </c>
    </row>
    <row r="1163" spans="2:3">
      <c r="B1163" s="296"/>
      <c r="C1163" s="296"/>
    </row>
    <row r="1164" spans="2:3">
      <c r="B1164" s="296"/>
      <c r="C1164" s="296" t="s">
        <v>1356</v>
      </c>
    </row>
    <row r="1165" spans="2:3">
      <c r="B1165" s="296"/>
      <c r="C1165" s="296" t="s">
        <v>1357</v>
      </c>
    </row>
    <row r="1166" spans="2:3">
      <c r="B1166" s="296"/>
      <c r="C1166" s="296" t="s">
        <v>1358</v>
      </c>
    </row>
    <row r="1167" spans="2:3">
      <c r="B1167" s="296"/>
      <c r="C1167" s="296"/>
    </row>
    <row r="1168" spans="2:3">
      <c r="B1168" s="296"/>
      <c r="C1168" s="296" t="s">
        <v>1359</v>
      </c>
    </row>
    <row r="1169" spans="2:3">
      <c r="B1169" s="296"/>
      <c r="C1169" s="296" t="s">
        <v>1360</v>
      </c>
    </row>
    <row r="1170" spans="2:3">
      <c r="B1170" s="296"/>
      <c r="C1170" s="296" t="s">
        <v>1361</v>
      </c>
    </row>
    <row r="1171" spans="2:3">
      <c r="B1171" s="296"/>
      <c r="C1171" s="296" t="s">
        <v>1273</v>
      </c>
    </row>
    <row r="1172" spans="2:3">
      <c r="B1172" s="296"/>
      <c r="C1172" s="296" t="s">
        <v>1362</v>
      </c>
    </row>
    <row r="1173" spans="2:3">
      <c r="B1173" s="296"/>
      <c r="C1173" s="296" t="s">
        <v>1363</v>
      </c>
    </row>
    <row r="1174" spans="2:3">
      <c r="B1174" s="296"/>
      <c r="C1174" s="296" t="s">
        <v>1361</v>
      </c>
    </row>
    <row r="1175" spans="2:3">
      <c r="B1175" s="296"/>
      <c r="C1175" s="296" t="s">
        <v>1273</v>
      </c>
    </row>
    <row r="1176" spans="2:3">
      <c r="B1176" s="296"/>
      <c r="C1176" s="296" t="s">
        <v>1364</v>
      </c>
    </row>
    <row r="1177" spans="2:3">
      <c r="B1177" s="296"/>
      <c r="C1177" s="296" t="s">
        <v>1365</v>
      </c>
    </row>
    <row r="1178" spans="2:3">
      <c r="B1178" s="296"/>
      <c r="C1178" s="296" t="s">
        <v>1273</v>
      </c>
    </row>
    <row r="1179" spans="2:3">
      <c r="B1179" s="296"/>
      <c r="C1179" s="296" t="s">
        <v>1190</v>
      </c>
    </row>
    <row r="1180" spans="2:3">
      <c r="B1180" s="296"/>
      <c r="C1180" s="296"/>
    </row>
    <row r="1181" spans="2:3">
      <c r="B1181" s="296"/>
      <c r="C1181" s="296" t="s">
        <v>1366</v>
      </c>
    </row>
    <row r="1182" spans="2:3">
      <c r="B1182" s="296"/>
      <c r="C1182" s="296"/>
    </row>
    <row r="1183" spans="2:3">
      <c r="B1183" s="296"/>
      <c r="C1183" s="296" t="s">
        <v>1367</v>
      </c>
    </row>
    <row r="1184" spans="2:3">
      <c r="B1184" s="296"/>
      <c r="C1184" s="296" t="s">
        <v>892</v>
      </c>
    </row>
    <row r="1185" spans="2:3">
      <c r="B1185" s="296"/>
      <c r="C1185" s="296"/>
    </row>
    <row r="1186" spans="2:3">
      <c r="B1186" s="296"/>
      <c r="C1186" s="296" t="s">
        <v>754</v>
      </c>
    </row>
    <row r="1187" spans="2:3">
      <c r="B1187" s="296"/>
      <c r="C1187" s="296" t="s">
        <v>2085</v>
      </c>
    </row>
    <row r="1188" spans="2:3">
      <c r="B1188" s="296"/>
      <c r="C1188" s="296" t="s">
        <v>879</v>
      </c>
    </row>
    <row r="1189" spans="2:3">
      <c r="B1189" s="296"/>
      <c r="C1189" s="296" t="s">
        <v>2086</v>
      </c>
    </row>
    <row r="1190" spans="2:3">
      <c r="B1190" s="296"/>
      <c r="C1190" s="296" t="s">
        <v>2087</v>
      </c>
    </row>
    <row r="1191" spans="2:3">
      <c r="B1191" s="296"/>
      <c r="C1191" s="296" t="s">
        <v>2088</v>
      </c>
    </row>
    <row r="1192" spans="2:3">
      <c r="B1192" s="296"/>
      <c r="C1192" s="296" t="s">
        <v>2089</v>
      </c>
    </row>
    <row r="1193" spans="2:3">
      <c r="B1193" s="296"/>
      <c r="C1193" s="296" t="s">
        <v>754</v>
      </c>
    </row>
    <row r="1194" spans="2:3">
      <c r="B1194" s="296"/>
      <c r="C1194" s="296" t="s">
        <v>2090</v>
      </c>
    </row>
    <row r="1195" spans="2:3">
      <c r="B1195" s="296"/>
      <c r="C1195" s="296" t="s">
        <v>883</v>
      </c>
    </row>
    <row r="1196" spans="2:3">
      <c r="B1196" s="296"/>
      <c r="C1196" s="296" t="s">
        <v>2091</v>
      </c>
    </row>
    <row r="1197" spans="2:3">
      <c r="B1197" s="296"/>
      <c r="C1197" s="296"/>
    </row>
    <row r="1198" spans="2:3">
      <c r="B1198" s="296"/>
      <c r="C1198" s="296" t="s">
        <v>2092</v>
      </c>
    </row>
    <row r="1199" spans="2:3">
      <c r="B1199" s="296"/>
      <c r="C1199" s="296" t="s">
        <v>2093</v>
      </c>
    </row>
    <row r="1200" spans="2:3">
      <c r="B1200" s="296"/>
      <c r="C1200" s="296" t="s">
        <v>2094</v>
      </c>
    </row>
    <row r="1201" spans="2:3">
      <c r="B1201" s="296"/>
      <c r="C1201" s="296" t="s">
        <v>1190</v>
      </c>
    </row>
    <row r="1202" spans="2:3">
      <c r="B1202" s="296"/>
      <c r="C1202" s="296"/>
    </row>
    <row r="1203" spans="2:3">
      <c r="C1203" s="293" t="s">
        <v>2095</v>
      </c>
    </row>
    <row r="1204" spans="2:3">
      <c r="C1204" s="293" t="s">
        <v>892</v>
      </c>
    </row>
    <row r="1206" spans="2:3">
      <c r="C1206" s="293" t="s">
        <v>754</v>
      </c>
    </row>
    <row r="1207" spans="2:3">
      <c r="C1207" s="293" t="s">
        <v>1087</v>
      </c>
    </row>
    <row r="1208" spans="2:3">
      <c r="C1208" s="293" t="s">
        <v>1368</v>
      </c>
    </row>
    <row r="1209" spans="2:3">
      <c r="C1209" s="293" t="s">
        <v>1087</v>
      </c>
    </row>
    <row r="1210" spans="2:3">
      <c r="C1210" s="293" t="s">
        <v>754</v>
      </c>
    </row>
    <row r="1211" spans="2:3">
      <c r="C1211" s="293" t="s">
        <v>1087</v>
      </c>
    </row>
    <row r="1212" spans="2:3">
      <c r="C1212" s="293" t="s">
        <v>1369</v>
      </c>
    </row>
    <row r="1213" spans="2:3">
      <c r="C1213" s="293" t="s">
        <v>1370</v>
      </c>
    </row>
    <row r="1214" spans="2:3">
      <c r="C1214" s="293" t="s">
        <v>1371</v>
      </c>
    </row>
    <row r="1215" spans="2:3">
      <c r="C1215" s="293" t="s">
        <v>1372</v>
      </c>
    </row>
    <row r="1216" spans="2:3">
      <c r="C1216" s="293" t="s">
        <v>1373</v>
      </c>
    </row>
    <row r="1217" spans="3:3">
      <c r="C1217" s="293" t="s">
        <v>1374</v>
      </c>
    </row>
    <row r="1218" spans="3:3">
      <c r="C1218" s="293" t="s">
        <v>1375</v>
      </c>
    </row>
    <row r="1219" spans="3:3">
      <c r="C1219" s="293" t="s">
        <v>1376</v>
      </c>
    </row>
    <row r="1220" spans="3:3">
      <c r="C1220" s="293" t="s">
        <v>2096</v>
      </c>
    </row>
    <row r="1221" spans="3:3">
      <c r="C1221" s="293" t="s">
        <v>2097</v>
      </c>
    </row>
    <row r="1222" spans="3:3">
      <c r="C1222" s="293" t="s">
        <v>1087</v>
      </c>
    </row>
    <row r="1223" spans="3:3">
      <c r="C1223" s="293" t="s">
        <v>1377</v>
      </c>
    </row>
    <row r="1224" spans="3:3">
      <c r="C1224" s="293" t="s">
        <v>1378</v>
      </c>
    </row>
    <row r="1225" spans="3:3">
      <c r="C1225" s="293" t="s">
        <v>1379</v>
      </c>
    </row>
    <row r="1226" spans="3:3">
      <c r="C1226" s="293" t="s">
        <v>1380</v>
      </c>
    </row>
    <row r="1227" spans="3:3">
      <c r="C1227" s="293" t="s">
        <v>1381</v>
      </c>
    </row>
    <row r="1228" spans="3:3">
      <c r="C1228" s="293" t="s">
        <v>2098</v>
      </c>
    </row>
    <row r="1229" spans="3:3">
      <c r="C1229" s="293" t="s">
        <v>1087</v>
      </c>
    </row>
    <row r="1230" spans="3:3">
      <c r="C1230" s="293" t="s">
        <v>754</v>
      </c>
    </row>
  </sheetData>
  <phoneticPr fontId="2"/>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56" t="s">
        <v>86</v>
      </c>
      <c r="C2" s="57">
        <f>MAX(B4:B28)</f>
        <v>20</v>
      </c>
      <c r="D2" s="57"/>
    </row>
    <row r="3" spans="2:4" ht="14.25" thickBot="1">
      <c r="B3" s="50" t="s">
        <v>86</v>
      </c>
      <c r="C3" s="58" t="s">
        <v>90</v>
      </c>
      <c r="D3" s="51" t="s">
        <v>87</v>
      </c>
    </row>
    <row r="4" spans="2:4" ht="14.25" thickTop="1">
      <c r="B4" s="13">
        <v>0</v>
      </c>
      <c r="C4" s="59" t="s">
        <v>91</v>
      </c>
      <c r="D4" s="14" t="s">
        <v>20</v>
      </c>
    </row>
    <row r="5" spans="2:4" ht="40.5">
      <c r="B5" s="2">
        <v>1</v>
      </c>
      <c r="C5" s="60" t="s">
        <v>91</v>
      </c>
      <c r="D5" s="62" t="s">
        <v>92</v>
      </c>
    </row>
    <row r="6" spans="2:4" ht="27">
      <c r="B6" s="2">
        <v>2</v>
      </c>
      <c r="C6" s="60" t="s">
        <v>94</v>
      </c>
      <c r="D6" s="62" t="s">
        <v>95</v>
      </c>
    </row>
    <row r="7" spans="2:4" ht="54">
      <c r="B7" s="2">
        <v>3</v>
      </c>
      <c r="C7" s="60" t="s">
        <v>91</v>
      </c>
      <c r="D7" s="62" t="s">
        <v>98</v>
      </c>
    </row>
    <row r="8" spans="2:4" ht="81">
      <c r="B8" s="2">
        <v>4</v>
      </c>
      <c r="C8" s="60" t="s">
        <v>106</v>
      </c>
      <c r="D8" s="62" t="s">
        <v>112</v>
      </c>
    </row>
    <row r="9" spans="2:4" ht="41.25" customHeight="1">
      <c r="B9" s="2">
        <v>5</v>
      </c>
      <c r="C9" s="60" t="s">
        <v>107</v>
      </c>
      <c r="D9" s="62" t="s">
        <v>108</v>
      </c>
    </row>
    <row r="10" spans="2:4" ht="27">
      <c r="B10" s="2">
        <v>6</v>
      </c>
      <c r="C10" s="60" t="s">
        <v>91</v>
      </c>
      <c r="D10" s="62" t="s">
        <v>111</v>
      </c>
    </row>
    <row r="11" spans="2:4" ht="27">
      <c r="B11" s="2">
        <v>7</v>
      </c>
      <c r="C11" s="60" t="s">
        <v>106</v>
      </c>
      <c r="D11" s="62" t="s">
        <v>110</v>
      </c>
    </row>
    <row r="12" spans="2:4" ht="27">
      <c r="B12" s="2">
        <v>8</v>
      </c>
      <c r="C12" s="60" t="s">
        <v>91</v>
      </c>
      <c r="D12" s="62" t="s">
        <v>113</v>
      </c>
    </row>
    <row r="13" spans="2:4" ht="27">
      <c r="B13" s="2">
        <v>9</v>
      </c>
      <c r="C13" s="60" t="s">
        <v>91</v>
      </c>
      <c r="D13" s="62" t="s">
        <v>114</v>
      </c>
    </row>
    <row r="14" spans="2:4" ht="27">
      <c r="B14" s="2">
        <v>10</v>
      </c>
      <c r="C14" s="60" t="s">
        <v>115</v>
      </c>
      <c r="D14" s="62" t="s">
        <v>116</v>
      </c>
    </row>
    <row r="15" spans="2:4" ht="135">
      <c r="B15" s="2">
        <v>11</v>
      </c>
      <c r="C15" s="60" t="s">
        <v>91</v>
      </c>
      <c r="D15" s="62" t="s">
        <v>128</v>
      </c>
    </row>
    <row r="16" spans="2:4" ht="191.25" customHeight="1">
      <c r="B16" s="2">
        <v>12</v>
      </c>
      <c r="C16" s="60" t="s">
        <v>155</v>
      </c>
      <c r="D16" s="62" t="s">
        <v>163</v>
      </c>
    </row>
    <row r="17" spans="2:4" ht="27">
      <c r="B17" s="2">
        <v>13</v>
      </c>
      <c r="C17" s="60" t="s">
        <v>94</v>
      </c>
      <c r="D17" s="62" t="s">
        <v>166</v>
      </c>
    </row>
    <row r="18" spans="2:4" ht="67.5">
      <c r="B18" s="2">
        <v>14</v>
      </c>
      <c r="C18" s="60" t="s">
        <v>94</v>
      </c>
      <c r="D18" s="62" t="s">
        <v>168</v>
      </c>
    </row>
    <row r="19" spans="2:4" ht="40.5">
      <c r="B19" s="2">
        <v>15</v>
      </c>
      <c r="C19" s="60" t="s">
        <v>107</v>
      </c>
      <c r="D19" s="62" t="s">
        <v>172</v>
      </c>
    </row>
    <row r="20" spans="2:4" ht="64.5" customHeight="1">
      <c r="B20" s="2">
        <v>16</v>
      </c>
      <c r="C20" s="60" t="s">
        <v>107</v>
      </c>
      <c r="D20" s="62" t="s">
        <v>176</v>
      </c>
    </row>
    <row r="21" spans="2:4" ht="66.75" customHeight="1">
      <c r="B21" s="2">
        <v>17</v>
      </c>
      <c r="C21" s="60" t="s">
        <v>106</v>
      </c>
      <c r="D21" s="62" t="s">
        <v>191</v>
      </c>
    </row>
    <row r="22" spans="2:4" ht="27">
      <c r="B22" s="2">
        <v>18</v>
      </c>
      <c r="C22" s="60" t="s">
        <v>319</v>
      </c>
      <c r="D22" s="62" t="s">
        <v>320</v>
      </c>
    </row>
    <row r="23" spans="2:4" ht="27">
      <c r="B23" s="2">
        <v>19</v>
      </c>
      <c r="C23" s="60" t="s">
        <v>319</v>
      </c>
      <c r="D23" s="62" t="s">
        <v>321</v>
      </c>
    </row>
    <row r="24" spans="2:4" ht="94.5">
      <c r="B24" s="2">
        <v>20</v>
      </c>
      <c r="C24" s="60" t="s">
        <v>694</v>
      </c>
      <c r="D24" s="62" t="s">
        <v>695</v>
      </c>
    </row>
    <row r="25" spans="2:4">
      <c r="B25" s="2"/>
      <c r="C25" s="60"/>
      <c r="D25" s="3"/>
    </row>
    <row r="26" spans="2:4">
      <c r="B26" s="2"/>
      <c r="C26" s="60"/>
      <c r="D26" s="3"/>
    </row>
    <row r="27" spans="2:4" ht="14.25" thickBot="1">
      <c r="B27" s="4"/>
      <c r="C27" s="61"/>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vt:lpstr>
      <vt:lpstr>はじめに</vt:lpstr>
      <vt:lpstr>Matrix</vt:lpstr>
      <vt:lpstr>Config_IF</vt:lpstr>
      <vt:lpstr>CH_Design</vt:lpstr>
      <vt:lpstr>B_TDOOR</vt:lpstr>
      <vt:lpstr>Reference</vt:lpstr>
      <vt:lpstr>Reference2</vt:lpstr>
      <vt:lpstr>Reference3</vt:lpstr>
      <vt:lpstr>Reference4</vt:lpstr>
      <vt:lpstr>Reference5</vt:lpstr>
      <vt:lpstr>Reference6</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2024-05-29T00:24:23Z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2024-03-15T08:13:57Z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c046aab8-bc16-497d-a2d7-6f2cb66d8d36</vt:lpwstr>
  </property>
  <property fmtid="{D5CDD505-2E9C-101B-9397-08002B2CF9AE}" pid="8" name="MSIP_Label_6add209e-37c4-4e15-ab1b-f9befe71def1_ContentBits">
    <vt:lpwstr>0</vt:lpwstr>
  </property>
</Properties>
</file>