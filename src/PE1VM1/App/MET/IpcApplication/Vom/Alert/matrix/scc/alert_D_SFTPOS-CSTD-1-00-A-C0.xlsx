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C)RYO\03_BEV_Step3\03_soft\01_sinken\Buzzer\D_SFTPOS\19PFv3_D1L1_v049_LEXS\mainline\ren_d1x\src\IpcApplication\Vom\Alert\matrix\scc\"/>
    </mc:Choice>
  </mc:AlternateContent>
  <xr:revisionPtr revIDLastSave="0" documentId="13_ncr:1_{4733B458-8C5F-4CD3-A3F8-F255870F79D7}" xr6:coauthVersionLast="47" xr6:coauthVersionMax="47" xr10:uidLastSave="{00000000-0000-0000-0000-000000000000}"/>
  <bookViews>
    <workbookView xWindow="28680" yWindow="-120" windowWidth="29040" windowHeight="15840" tabRatio="709" activeTab="4" xr2:uid="{00000000-000D-0000-FFFF-FFFF00000000}"/>
  </bookViews>
  <sheets>
    <sheet name="表紙" sheetId="1" r:id="rId1"/>
    <sheet name="はじめに" sheetId="10" r:id="rId2"/>
    <sheet name="Matrix" sheetId="4" r:id="rId3"/>
    <sheet name="Config_IF" sheetId="11" r:id="rId4"/>
    <sheet name="CH_Design" sheetId="5" r:id="rId5"/>
    <sheet name="B_RJTB" sheetId="13" r:id="rId6"/>
    <sheet name="B_RSBW" sheetId="14" r:id="rId7"/>
    <sheet name="Reference" sheetId="3" r:id="rId8"/>
    <sheet name="【参考】Reference (19PFv3)" sheetId="15" state="hidden" r:id="rId9"/>
    <sheet name="History" sheetId="7" r:id="rId10"/>
  </sheets>
  <definedNames>
    <definedName name="_xlnm._FilterDatabase" localSheetId="8" hidden="1">'【参考】Reference (19PFv3)'!$B$9:$T$69</definedName>
    <definedName name="_xlnm._FilterDatabase" localSheetId="7" hidden="1">Reference!$B$9:$T$19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K195" i="14"/>
  <c r="J195" i="14"/>
  <c r="I195" i="14"/>
  <c r="H195" i="14"/>
  <c r="G195" i="14"/>
  <c r="F195" i="14"/>
  <c r="E195" i="14"/>
  <c r="D195" i="14"/>
  <c r="AO194"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AN194" i="14" s="1"/>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2"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AN192" i="14" s="1"/>
  <c r="N192" i="14"/>
  <c r="M192" i="14"/>
  <c r="L192" i="14"/>
  <c r="K192" i="14"/>
  <c r="J192" i="14"/>
  <c r="I192" i="14"/>
  <c r="H192" i="14"/>
  <c r="G192" i="14"/>
  <c r="F192" i="14"/>
  <c r="E192" i="14"/>
  <c r="D192" i="14"/>
  <c r="AJ191" i="14"/>
  <c r="AI191" i="14"/>
  <c r="AH191" i="14"/>
  <c r="AG191" i="14"/>
  <c r="AF191" i="14"/>
  <c r="AE191" i="14"/>
  <c r="AL191" i="14" s="1"/>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O191" i="14" s="1"/>
  <c r="AJ190" i="14"/>
  <c r="AI190" i="14"/>
  <c r="AH190" i="14"/>
  <c r="AG190" i="14"/>
  <c r="AF190" i="14"/>
  <c r="AE190" i="14"/>
  <c r="AD190" i="14"/>
  <c r="AC190" i="14"/>
  <c r="AB190" i="14"/>
  <c r="AA190" i="14"/>
  <c r="Z190" i="14"/>
  <c r="Y190" i="14"/>
  <c r="X190" i="14"/>
  <c r="W190" i="14"/>
  <c r="V190" i="14"/>
  <c r="U190" i="14"/>
  <c r="T190" i="14"/>
  <c r="S190" i="14"/>
  <c r="R190" i="14"/>
  <c r="Q190" i="14"/>
  <c r="P190" i="14"/>
  <c r="O190" i="14"/>
  <c r="AN190" i="14" s="1"/>
  <c r="N190" i="14"/>
  <c r="M190" i="14"/>
  <c r="L190" i="14"/>
  <c r="K190" i="14"/>
  <c r="J190" i="14"/>
  <c r="I190" i="14"/>
  <c r="H190" i="14"/>
  <c r="G190" i="14"/>
  <c r="F190" i="14"/>
  <c r="E190" i="14"/>
  <c r="D190" i="14"/>
  <c r="AJ189" i="14"/>
  <c r="AI189" i="14"/>
  <c r="AH189" i="14"/>
  <c r="AG189" i="14"/>
  <c r="AF189" i="14"/>
  <c r="AE189" i="14"/>
  <c r="AL189" i="14" s="1"/>
  <c r="AD189" i="14"/>
  <c r="AC189" i="14"/>
  <c r="AB189" i="14"/>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O188"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AN188" i="14" s="1"/>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AN186" i="14" s="1"/>
  <c r="K186" i="14"/>
  <c r="J186" i="14"/>
  <c r="I186" i="14"/>
  <c r="H186" i="14"/>
  <c r="G186" i="14"/>
  <c r="F186" i="14"/>
  <c r="AO186" i="14" s="1"/>
  <c r="E186" i="14"/>
  <c r="D186" i="14"/>
  <c r="AJ185" i="14"/>
  <c r="AI185" i="14"/>
  <c r="AH185" i="14"/>
  <c r="AG185" i="14"/>
  <c r="AF185" i="14"/>
  <c r="AE185" i="14"/>
  <c r="AD185" i="14"/>
  <c r="AC185" i="14"/>
  <c r="AB185" i="14"/>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AO182" i="14" s="1"/>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O179" i="14"/>
  <c r="AN179" i="14"/>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AO178" i="14" s="1"/>
  <c r="E178" i="14"/>
  <c r="D178" i="14"/>
  <c r="AJ177" i="14"/>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AO175" i="14" s="1"/>
  <c r="F175" i="14"/>
  <c r="E175" i="14"/>
  <c r="D175" i="14"/>
  <c r="AJ174" i="14"/>
  <c r="AI174" i="14"/>
  <c r="AH174" i="14"/>
  <c r="AG174" i="14"/>
  <c r="AF174" i="14"/>
  <c r="AE174" i="14"/>
  <c r="AL174" i="14" s="1"/>
  <c r="AD174" i="14"/>
  <c r="AC174" i="14"/>
  <c r="AB174" i="14"/>
  <c r="AA174" i="14"/>
  <c r="Z174" i="14"/>
  <c r="Y174" i="14"/>
  <c r="X174" i="14"/>
  <c r="W174" i="14"/>
  <c r="V174" i="14"/>
  <c r="U174" i="14"/>
  <c r="T174" i="14"/>
  <c r="S174" i="14"/>
  <c r="R174" i="14"/>
  <c r="Q174" i="14"/>
  <c r="P174" i="14"/>
  <c r="O174" i="14"/>
  <c r="N174" i="14"/>
  <c r="M174" i="14"/>
  <c r="AN174" i="14" s="1"/>
  <c r="L174" i="14"/>
  <c r="K174" i="14"/>
  <c r="J174" i="14"/>
  <c r="I174" i="14"/>
  <c r="H174" i="14"/>
  <c r="G174" i="14"/>
  <c r="F174" i="14"/>
  <c r="E174" i="14"/>
  <c r="D174" i="14"/>
  <c r="AO173" i="14"/>
  <c r="AN173" i="14"/>
  <c r="AJ173" i="14"/>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AN172" i="14" s="1"/>
  <c r="K172" i="14"/>
  <c r="J172" i="14"/>
  <c r="I172" i="14"/>
  <c r="H172" i="14"/>
  <c r="G172" i="14"/>
  <c r="F172" i="14"/>
  <c r="AO172" i="14" s="1"/>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O171" i="14" s="1"/>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M170" i="14"/>
  <c r="L170" i="14"/>
  <c r="AN170" i="14" s="1"/>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AO169" i="14" s="1"/>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AN168" i="14" s="1"/>
  <c r="L168" i="14"/>
  <c r="K168" i="14"/>
  <c r="J168" i="14"/>
  <c r="I168" i="14"/>
  <c r="H168" i="14"/>
  <c r="G168" i="14"/>
  <c r="F168" i="14"/>
  <c r="E168" i="14"/>
  <c r="D168" i="14"/>
  <c r="AO167" i="14"/>
  <c r="AN167" i="14"/>
  <c r="AJ167" i="14"/>
  <c r="AI167" i="14"/>
  <c r="AH167" i="14"/>
  <c r="AG167" i="14"/>
  <c r="AF167" i="14"/>
  <c r="AE167" i="14"/>
  <c r="AD167" i="14"/>
  <c r="AC167" i="14"/>
  <c r="AB167" i="14"/>
  <c r="AA167" i="14"/>
  <c r="Z167" i="14"/>
  <c r="Y167" i="14"/>
  <c r="X167" i="14"/>
  <c r="W167" i="14"/>
  <c r="V167" i="14"/>
  <c r="U167" i="14"/>
  <c r="T167" i="14"/>
  <c r="AM167" i="14" s="1"/>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AN166" i="14" s="1"/>
  <c r="K166" i="14"/>
  <c r="J166" i="14"/>
  <c r="I166" i="14"/>
  <c r="H166" i="14"/>
  <c r="G166" i="14"/>
  <c r="F166" i="14"/>
  <c r="AO166" i="14" s="1"/>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AO163" i="14" s="1"/>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O161" i="14"/>
  <c r="AN161" i="14"/>
  <c r="AJ161" i="14"/>
  <c r="AI161" i="14"/>
  <c r="AH161" i="14"/>
  <c r="AG161" i="14"/>
  <c r="AF161" i="14"/>
  <c r="AE161" i="14"/>
  <c r="AD161" i="14"/>
  <c r="AC161" i="14"/>
  <c r="AB161" i="14"/>
  <c r="AA161" i="14"/>
  <c r="Z161" i="14"/>
  <c r="Y161" i="14"/>
  <c r="X161" i="14"/>
  <c r="W161" i="14"/>
  <c r="V161" i="14"/>
  <c r="U161" i="14"/>
  <c r="T161" i="14"/>
  <c r="AM161" i="14" s="1"/>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AO160" i="14" s="1"/>
  <c r="E160" i="14"/>
  <c r="D160" i="14"/>
  <c r="AJ159" i="14"/>
  <c r="AI159" i="14"/>
  <c r="AH159" i="14"/>
  <c r="AG159" i="14"/>
  <c r="AF159" i="14"/>
  <c r="AE159" i="14"/>
  <c r="AD159" i="14"/>
  <c r="AC159" i="14"/>
  <c r="AB159" i="14"/>
  <c r="AL159" i="14" s="1"/>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AO157" i="14" s="1"/>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O155" i="14"/>
  <c r="AN155" i="14"/>
  <c r="AJ155" i="14"/>
  <c r="AI155" i="14"/>
  <c r="AH155" i="14"/>
  <c r="AG155" i="14"/>
  <c r="AF155" i="14"/>
  <c r="AE155" i="14"/>
  <c r="AD155" i="14"/>
  <c r="AC155" i="14"/>
  <c r="AB155" i="14"/>
  <c r="AA155" i="14"/>
  <c r="Z155" i="14"/>
  <c r="Y155" i="14"/>
  <c r="X155" i="14"/>
  <c r="W155" i="14"/>
  <c r="V155" i="14"/>
  <c r="U155" i="14"/>
  <c r="T155" i="14"/>
  <c r="AM155" i="14" s="1"/>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AO154" i="14" s="1"/>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AO151" i="14" s="1"/>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AN150" i="14" s="1"/>
  <c r="L150" i="14"/>
  <c r="K150" i="14"/>
  <c r="J150" i="14"/>
  <c r="I150" i="14"/>
  <c r="H150" i="14"/>
  <c r="G150" i="14"/>
  <c r="F150" i="14"/>
  <c r="E150" i="14"/>
  <c r="D150" i="14"/>
  <c r="AO149" i="14"/>
  <c r="AN149" i="14"/>
  <c r="AJ149" i="14"/>
  <c r="AI149" i="14"/>
  <c r="AH149" i="14"/>
  <c r="AG149" i="14"/>
  <c r="AF149" i="14"/>
  <c r="AE149" i="14"/>
  <c r="AD149" i="14"/>
  <c r="AC149" i="14"/>
  <c r="AB149" i="14"/>
  <c r="AA149" i="14"/>
  <c r="Z149" i="14"/>
  <c r="Y149" i="14"/>
  <c r="X149" i="14"/>
  <c r="W149" i="14"/>
  <c r="V149" i="14"/>
  <c r="U149" i="14"/>
  <c r="T149" i="14"/>
  <c r="AM149" i="14" s="1"/>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AO148" i="14" s="1"/>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O147" i="14" s="1"/>
  <c r="AJ146" i="14"/>
  <c r="AI146" i="14"/>
  <c r="AH146" i="14"/>
  <c r="AG146" i="14"/>
  <c r="AF146" i="14"/>
  <c r="AE146" i="14"/>
  <c r="AD146" i="14"/>
  <c r="AC146" i="14"/>
  <c r="AB146" i="14"/>
  <c r="AA146" i="14"/>
  <c r="Z146" i="14"/>
  <c r="Y146" i="14"/>
  <c r="X146" i="14"/>
  <c r="W146" i="14"/>
  <c r="V146" i="14"/>
  <c r="U146" i="14"/>
  <c r="T146" i="14"/>
  <c r="AM146" i="14" s="1"/>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AN144" i="14" s="1"/>
  <c r="L144" i="14"/>
  <c r="K144" i="14"/>
  <c r="J144" i="14"/>
  <c r="I144" i="14"/>
  <c r="H144" i="14"/>
  <c r="G144" i="14"/>
  <c r="F144" i="14"/>
  <c r="E144" i="14"/>
  <c r="D144" i="14"/>
  <c r="AO143" i="14"/>
  <c r="AN143"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AO142" i="14" s="1"/>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39"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N138"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O137" i="14"/>
  <c r="AN137"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AM134" i="14" s="1"/>
  <c r="V134" i="14"/>
  <c r="U134" i="14"/>
  <c r="T134" i="14"/>
  <c r="S134" i="14"/>
  <c r="R134" i="14"/>
  <c r="Q134" i="14"/>
  <c r="P134" i="14"/>
  <c r="O134" i="14"/>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AN133" i="14" s="1"/>
  <c r="K133" i="14"/>
  <c r="J133" i="14"/>
  <c r="I133" i="14"/>
  <c r="H133" i="14"/>
  <c r="G133" i="14"/>
  <c r="AO133" i="14" s="1"/>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O132" i="14" s="1"/>
  <c r="AO131"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0" i="14"/>
  <c r="AJ130" i="14"/>
  <c r="AI130" i="14"/>
  <c r="AH130" i="14"/>
  <c r="AG130" i="14"/>
  <c r="AF130" i="14"/>
  <c r="AE130" i="14"/>
  <c r="AD130" i="14"/>
  <c r="AC130" i="14"/>
  <c r="AB130" i="14"/>
  <c r="AL130" i="14" s="1"/>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J129" i="14"/>
  <c r="AI129" i="14"/>
  <c r="AH129" i="14"/>
  <c r="AG129" i="14"/>
  <c r="AF129" i="14"/>
  <c r="AE129" i="14"/>
  <c r="AL129" i="14" s="1"/>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AM128" i="14" s="1"/>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L127" i="14" s="1"/>
  <c r="AD127" i="14"/>
  <c r="AC127" i="14"/>
  <c r="AB127" i="14"/>
  <c r="AA127" i="14"/>
  <c r="Z127" i="14"/>
  <c r="Y127" i="14"/>
  <c r="X127" i="14"/>
  <c r="W127" i="14"/>
  <c r="V127" i="14"/>
  <c r="U127" i="14"/>
  <c r="T127" i="14"/>
  <c r="S127" i="14"/>
  <c r="R127" i="14"/>
  <c r="Q127" i="14"/>
  <c r="P127" i="14"/>
  <c r="O127" i="14"/>
  <c r="N127" i="14"/>
  <c r="M127" i="14"/>
  <c r="AN127" i="14" s="1"/>
  <c r="L127" i="14"/>
  <c r="K127" i="14"/>
  <c r="J127" i="14"/>
  <c r="I127" i="14"/>
  <c r="H127" i="14"/>
  <c r="G127" i="14"/>
  <c r="AO127" i="14" s="1"/>
  <c r="F127" i="14"/>
  <c r="E127" i="14"/>
  <c r="D127" i="14"/>
  <c r="AJ126" i="14"/>
  <c r="AI126" i="14"/>
  <c r="AH126" i="14"/>
  <c r="AG126" i="14"/>
  <c r="AF126" i="14"/>
  <c r="AE126" i="14"/>
  <c r="AD126" i="14"/>
  <c r="AC126" i="14"/>
  <c r="AB126" i="14"/>
  <c r="AL126" i="14" s="1"/>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O126" i="14" s="1"/>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M125" i="14"/>
  <c r="L125" i="14"/>
  <c r="K125" i="14"/>
  <c r="J125" i="14"/>
  <c r="I125" i="14"/>
  <c r="H125" i="14"/>
  <c r="AO125" i="14" s="1"/>
  <c r="G125" i="14"/>
  <c r="F125" i="14"/>
  <c r="E125" i="14"/>
  <c r="D125" i="14"/>
  <c r="AO124" i="14"/>
  <c r="AJ124" i="14"/>
  <c r="AI124" i="14"/>
  <c r="AH124" i="14"/>
  <c r="AG124" i="14"/>
  <c r="AF124" i="14"/>
  <c r="AE124" i="14"/>
  <c r="AD124" i="14"/>
  <c r="AC124" i="14"/>
  <c r="AB124" i="14"/>
  <c r="AA124" i="14"/>
  <c r="Z124" i="14"/>
  <c r="Y124" i="14"/>
  <c r="X124" i="14"/>
  <c r="W124" i="14"/>
  <c r="V124" i="14"/>
  <c r="U124" i="14"/>
  <c r="T124" i="14"/>
  <c r="AM124" i="14" s="1"/>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AN123" i="14" s="1"/>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AM122" i="14" s="1"/>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AJ120" i="14"/>
  <c r="AI120" i="14"/>
  <c r="AH120" i="14"/>
  <c r="AG120" i="14"/>
  <c r="AF120" i="14"/>
  <c r="AE120" i="14"/>
  <c r="AD120" i="14"/>
  <c r="AC120" i="14"/>
  <c r="AB120" i="14"/>
  <c r="AA120" i="14"/>
  <c r="Z120" i="14"/>
  <c r="Y120" i="14"/>
  <c r="X120" i="14"/>
  <c r="W120" i="14"/>
  <c r="AM120" i="14" s="1"/>
  <c r="V120" i="14"/>
  <c r="U120" i="14"/>
  <c r="T120" i="14"/>
  <c r="S120" i="14"/>
  <c r="R120" i="14"/>
  <c r="Q120" i="14"/>
  <c r="P120" i="14"/>
  <c r="O120" i="14"/>
  <c r="N120" i="14"/>
  <c r="M120" i="14"/>
  <c r="L120" i="14"/>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O118" i="14"/>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AN118" i="14" s="1"/>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AM116" i="14" s="1"/>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AN115" i="14" s="1"/>
  <c r="L115" i="14"/>
  <c r="K115" i="14"/>
  <c r="J115" i="14"/>
  <c r="I115" i="14"/>
  <c r="H115" i="14"/>
  <c r="G115" i="14"/>
  <c r="F115" i="14"/>
  <c r="E115" i="14"/>
  <c r="D115" i="14"/>
  <c r="AM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AO114" i="14" s="1"/>
  <c r="G114" i="14"/>
  <c r="F114" i="14"/>
  <c r="E114" i="14"/>
  <c r="D114" i="14"/>
  <c r="AJ113" i="14"/>
  <c r="AI113" i="14"/>
  <c r="AH113" i="14"/>
  <c r="AG113" i="14"/>
  <c r="AF113" i="14"/>
  <c r="AE113" i="14"/>
  <c r="AD113" i="14"/>
  <c r="AC113" i="14"/>
  <c r="AB113" i="14"/>
  <c r="AA113" i="14"/>
  <c r="Z113" i="14"/>
  <c r="Y113" i="14"/>
  <c r="X113" i="14"/>
  <c r="W113" i="14"/>
  <c r="V113" i="14"/>
  <c r="U113" i="14"/>
  <c r="T113" i="14"/>
  <c r="AM113" i="14" s="1"/>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K111" i="14"/>
  <c r="J111" i="14"/>
  <c r="I111" i="14"/>
  <c r="H111" i="14"/>
  <c r="G111" i="14"/>
  <c r="F111" i="14"/>
  <c r="E111" i="14"/>
  <c r="D111" i="14"/>
  <c r="AM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AN110" i="14" s="1"/>
  <c r="M110" i="14"/>
  <c r="L110" i="14"/>
  <c r="K110" i="14"/>
  <c r="J110" i="14"/>
  <c r="I110" i="14"/>
  <c r="H110" i="14"/>
  <c r="G110" i="14"/>
  <c r="F110" i="14"/>
  <c r="E110" i="14"/>
  <c r="D110" i="14"/>
  <c r="AM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M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AN108" i="14" s="1"/>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T105" i="14"/>
  <c r="AM105" i="14" s="1"/>
  <c r="S105" i="14"/>
  <c r="R105" i="14"/>
  <c r="Q105" i="14"/>
  <c r="P105" i="14"/>
  <c r="O105" i="14"/>
  <c r="N105" i="14"/>
  <c r="M105" i="14"/>
  <c r="L105" i="14"/>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AN104" i="14" s="1"/>
  <c r="L104" i="14"/>
  <c r="K104" i="14"/>
  <c r="J104" i="14"/>
  <c r="I104" i="14"/>
  <c r="H104" i="14"/>
  <c r="G104" i="14"/>
  <c r="F104" i="14"/>
  <c r="E104" i="14"/>
  <c r="D104" i="14"/>
  <c r="AO103"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L102" i="14" s="1"/>
  <c r="AD102" i="14"/>
  <c r="AC102" i="14"/>
  <c r="AB102" i="14"/>
  <c r="AA102" i="14"/>
  <c r="Z102" i="14"/>
  <c r="Y102" i="14"/>
  <c r="X102" i="14"/>
  <c r="W102" i="14"/>
  <c r="V102" i="14"/>
  <c r="U102" i="14"/>
  <c r="T102" i="14"/>
  <c r="AM102" i="14" s="1"/>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L100" i="14" s="1"/>
  <c r="AD100" i="14"/>
  <c r="AC100" i="14"/>
  <c r="AB100" i="14"/>
  <c r="AA100" i="14"/>
  <c r="Z100" i="14"/>
  <c r="Y100" i="14"/>
  <c r="X100" i="14"/>
  <c r="W100" i="14"/>
  <c r="V100" i="14"/>
  <c r="U100" i="14"/>
  <c r="T100" i="14"/>
  <c r="AM100" i="14" s="1"/>
  <c r="S100" i="14"/>
  <c r="R100" i="14"/>
  <c r="Q100" i="14"/>
  <c r="P100" i="14"/>
  <c r="O100" i="14"/>
  <c r="N100" i="14"/>
  <c r="M100" i="14"/>
  <c r="L100" i="14"/>
  <c r="K100" i="14"/>
  <c r="J100" i="14"/>
  <c r="I100" i="14"/>
  <c r="H100" i="14"/>
  <c r="G100" i="14"/>
  <c r="F100" i="14"/>
  <c r="E100" i="14"/>
  <c r="D100" i="14"/>
  <c r="AO100" i="14" s="1"/>
  <c r="AJ99" i="14"/>
  <c r="AI99" i="14"/>
  <c r="AH99" i="14"/>
  <c r="AG99" i="14"/>
  <c r="AF99" i="14"/>
  <c r="AE99" i="14"/>
  <c r="AD99" i="14"/>
  <c r="AC99" i="14"/>
  <c r="AB99" i="14"/>
  <c r="AL99" i="14" s="1"/>
  <c r="AA99" i="14"/>
  <c r="Z99" i="14"/>
  <c r="Y99" i="14"/>
  <c r="X99" i="14"/>
  <c r="W99" i="14"/>
  <c r="V99" i="14"/>
  <c r="U99" i="14"/>
  <c r="T99" i="14"/>
  <c r="AM99" i="14" s="1"/>
  <c r="S99" i="14"/>
  <c r="R99" i="14"/>
  <c r="Q99" i="14"/>
  <c r="P99" i="14"/>
  <c r="O99" i="14"/>
  <c r="N99" i="14"/>
  <c r="M99" i="14"/>
  <c r="L99" i="14"/>
  <c r="K99" i="14"/>
  <c r="J99" i="14"/>
  <c r="I99" i="14"/>
  <c r="H99" i="14"/>
  <c r="G99" i="14"/>
  <c r="F99" i="14"/>
  <c r="E99" i="14"/>
  <c r="D99" i="14"/>
  <c r="AO99" i="14" s="1"/>
  <c r="AJ98" i="14"/>
  <c r="AI98" i="14"/>
  <c r="AH98" i="14"/>
  <c r="AG98" i="14"/>
  <c r="AF98" i="14"/>
  <c r="AE98" i="14"/>
  <c r="AL98" i="14" s="1"/>
  <c r="AD98" i="14"/>
  <c r="AC98" i="14"/>
  <c r="AB98" i="14"/>
  <c r="AA98" i="14"/>
  <c r="Z98" i="14"/>
  <c r="Y98" i="14"/>
  <c r="X98" i="14"/>
  <c r="W98" i="14"/>
  <c r="V98" i="14"/>
  <c r="U98" i="14"/>
  <c r="T98" i="14"/>
  <c r="AM98" i="14" s="1"/>
  <c r="S98" i="14"/>
  <c r="R98" i="14"/>
  <c r="Q98" i="14"/>
  <c r="P98" i="14"/>
  <c r="O98" i="14"/>
  <c r="N98" i="14"/>
  <c r="M98" i="14"/>
  <c r="AN98" i="14" s="1"/>
  <c r="L98" i="14"/>
  <c r="K98" i="14"/>
  <c r="J98" i="14"/>
  <c r="I98" i="14"/>
  <c r="H98" i="14"/>
  <c r="G98" i="14"/>
  <c r="F98" i="14"/>
  <c r="E98" i="14"/>
  <c r="D98" i="14"/>
  <c r="AO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AN97" i="14" s="1"/>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AN96" i="14" s="1"/>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AM94" i="14" s="1"/>
  <c r="S94" i="14"/>
  <c r="R94" i="14"/>
  <c r="Q94" i="14"/>
  <c r="P94" i="14"/>
  <c r="O94" i="14"/>
  <c r="N94" i="14"/>
  <c r="M94" i="14"/>
  <c r="L94" i="14"/>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AO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AN91" i="14" s="1"/>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AM87" i="14" s="1"/>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O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O82" i="14" s="1"/>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AN80" i="14" s="1"/>
  <c r="L80" i="14"/>
  <c r="K80" i="14"/>
  <c r="J80" i="14"/>
  <c r="I80" i="14"/>
  <c r="H80" i="14"/>
  <c r="G80" i="14"/>
  <c r="F80" i="14"/>
  <c r="E80" i="14"/>
  <c r="D80" i="14"/>
  <c r="AO79"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AN79" i="14" s="1"/>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AM78" i="14" s="1"/>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O75" i="14" s="1"/>
  <c r="AM74" i="14"/>
  <c r="AJ74" i="14"/>
  <c r="AI74" i="14"/>
  <c r="AH74" i="14"/>
  <c r="AG74" i="14"/>
  <c r="AF74" i="14"/>
  <c r="AE74" i="14"/>
  <c r="AD74" i="14"/>
  <c r="AC74" i="14"/>
  <c r="AB74" i="14"/>
  <c r="AA74" i="14"/>
  <c r="Z74" i="14"/>
  <c r="Y74" i="14"/>
  <c r="X74" i="14"/>
  <c r="W74" i="14"/>
  <c r="V74" i="14"/>
  <c r="U74" i="14"/>
  <c r="T74" i="14"/>
  <c r="S74" i="14"/>
  <c r="R74" i="14"/>
  <c r="Q74" i="14"/>
  <c r="P74" i="14"/>
  <c r="O74" i="14"/>
  <c r="N74" i="14"/>
  <c r="AN74" i="14" s="1"/>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AN72" i="14" s="1"/>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AT70" i="14"/>
  <c r="C69" i="14"/>
  <c r="AT68" i="14"/>
  <c r="C68" i="14"/>
  <c r="AT67" i="14"/>
  <c r="C67" i="14"/>
  <c r="C66" i="14"/>
  <c r="C131" i="14" s="1"/>
  <c r="AT65" i="14"/>
  <c r="C65" i="14"/>
  <c r="AT64" i="14"/>
  <c r="C64" i="14"/>
  <c r="C63" i="14"/>
  <c r="C62" i="14"/>
  <c r="C61" i="14"/>
  <c r="AT60" i="14"/>
  <c r="C60" i="14"/>
  <c r="AT59" i="14"/>
  <c r="C59" i="14"/>
  <c r="C58" i="14"/>
  <c r="C57" i="14"/>
  <c r="C56" i="14"/>
  <c r="C186" i="14" s="1"/>
  <c r="C55" i="14"/>
  <c r="AT54" i="14"/>
  <c r="C54" i="14"/>
  <c r="AT53" i="14"/>
  <c r="C53" i="14"/>
  <c r="C52" i="14"/>
  <c r="C182" i="14" s="1"/>
  <c r="C51" i="14"/>
  <c r="C50" i="14"/>
  <c r="C49" i="14"/>
  <c r="AT48" i="14"/>
  <c r="C48" i="14"/>
  <c r="AT47" i="14"/>
  <c r="C47" i="14"/>
  <c r="C46" i="14"/>
  <c r="C45" i="14"/>
  <c r="C44" i="14"/>
  <c r="AT43" i="14"/>
  <c r="C43" i="14"/>
  <c r="AT42"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AW13" i="14"/>
  <c r="C13" i="14"/>
  <c r="C12" i="14"/>
  <c r="C11" i="14"/>
  <c r="C10" i="14"/>
  <c r="C9" i="14"/>
  <c r="C139" i="14" s="1"/>
  <c r="C8" i="14"/>
  <c r="C7" i="14"/>
  <c r="C137" i="14" s="1"/>
  <c r="AW6" i="14"/>
  <c r="B6" i="14" s="1"/>
  <c r="C6" i="14"/>
  <c r="B3" i="14"/>
  <c r="AW7" i="14" s="1"/>
  <c r="AM76" i="14" l="1"/>
  <c r="AM84" i="14"/>
  <c r="AM91" i="14"/>
  <c r="AM79" i="14"/>
  <c r="AM92" i="14"/>
  <c r="AM137" i="14"/>
  <c r="AM72" i="14"/>
  <c r="AM86" i="14"/>
  <c r="AM93" i="14"/>
  <c r="AM81" i="14"/>
  <c r="AM88" i="14"/>
  <c r="AM138" i="14"/>
  <c r="AM90" i="14"/>
  <c r="AO140" i="14"/>
  <c r="AL156" i="14"/>
  <c r="AO73" i="14"/>
  <c r="AL87" i="14"/>
  <c r="AL71" i="14"/>
  <c r="AL141" i="14"/>
  <c r="AL194" i="14"/>
  <c r="AL195" i="14"/>
  <c r="AL197" i="14"/>
  <c r="AL86" i="14"/>
  <c r="AL88" i="14"/>
  <c r="AL90" i="14"/>
  <c r="AL138" i="14"/>
  <c r="AL150" i="14"/>
  <c r="AL153" i="14"/>
  <c r="AL168" i="14"/>
  <c r="AL171" i="14"/>
  <c r="AL183" i="14"/>
  <c r="AL185" i="14"/>
  <c r="AL192" i="14"/>
  <c r="AL193" i="14"/>
  <c r="AL73" i="14"/>
  <c r="AL105" i="14"/>
  <c r="AL106" i="14"/>
  <c r="AL152" i="14"/>
  <c r="AQ152" i="14" s="1"/>
  <c r="AL170" i="14"/>
  <c r="AL75" i="14"/>
  <c r="AL115" i="14"/>
  <c r="AL134" i="14"/>
  <c r="AL139" i="14"/>
  <c r="AL162" i="14"/>
  <c r="AL198" i="14"/>
  <c r="AL74" i="14"/>
  <c r="AL104" i="14"/>
  <c r="AL119" i="14"/>
  <c r="AL151" i="14"/>
  <c r="AL155" i="14"/>
  <c r="AL169" i="14"/>
  <c r="AL173" i="14"/>
  <c r="AL76" i="14"/>
  <c r="AL78" i="14"/>
  <c r="AL116" i="14"/>
  <c r="AL132" i="14"/>
  <c r="AL133" i="14"/>
  <c r="AL144" i="14"/>
  <c r="AL147" i="14"/>
  <c r="AL165" i="14"/>
  <c r="AL180" i="14"/>
  <c r="AL80" i="14"/>
  <c r="AL81" i="14"/>
  <c r="AL82" i="14"/>
  <c r="AL84" i="14"/>
  <c r="AL140" i="14"/>
  <c r="AQ140" i="14" s="1"/>
  <c r="AL143" i="14"/>
  <c r="AQ143" i="14" s="1"/>
  <c r="AL157" i="14"/>
  <c r="AL158" i="14"/>
  <c r="AL161" i="14"/>
  <c r="AL175" i="14"/>
  <c r="AL176" i="14"/>
  <c r="AL179" i="14"/>
  <c r="AQ179" i="14" s="1"/>
  <c r="AS49" i="14" s="1"/>
  <c r="AL187" i="14"/>
  <c r="AQ187" i="14" s="1"/>
  <c r="AS57" i="14" s="1"/>
  <c r="AL92" i="14"/>
  <c r="AL93" i="14"/>
  <c r="AL94" i="14"/>
  <c r="AL96" i="14"/>
  <c r="AL108" i="14"/>
  <c r="AL118" i="14"/>
  <c r="AL120" i="14"/>
  <c r="AL123" i="14"/>
  <c r="AL124" i="14"/>
  <c r="AL137" i="14"/>
  <c r="AL145" i="14"/>
  <c r="AL146" i="14"/>
  <c r="AQ146" i="14" s="1"/>
  <c r="AL149" i="14"/>
  <c r="AQ149" i="14" s="1"/>
  <c r="AL163" i="14"/>
  <c r="AL164" i="14"/>
  <c r="AL167" i="14"/>
  <c r="AL181" i="14"/>
  <c r="AQ181" i="14" s="1"/>
  <c r="AL188" i="14"/>
  <c r="C149" i="14"/>
  <c r="C84" i="14"/>
  <c r="C162" i="14"/>
  <c r="C97" i="14"/>
  <c r="C168" i="14"/>
  <c r="C103" i="14"/>
  <c r="C193" i="14"/>
  <c r="C128" i="14"/>
  <c r="AT63" i="14"/>
  <c r="AQ126" i="14"/>
  <c r="AR61" i="14" s="1"/>
  <c r="C144" i="14"/>
  <c r="C79" i="14"/>
  <c r="AT38" i="14"/>
  <c r="C191" i="14"/>
  <c r="C126" i="14"/>
  <c r="B136" i="14"/>
  <c r="B71" i="14"/>
  <c r="C140" i="14"/>
  <c r="C75" i="14"/>
  <c r="C141" i="14"/>
  <c r="C76" i="14"/>
  <c r="C77" i="14"/>
  <c r="C142" i="14"/>
  <c r="C156" i="14"/>
  <c r="C91" i="14"/>
  <c r="C158" i="14"/>
  <c r="C93" i="14"/>
  <c r="C163" i="14"/>
  <c r="C98" i="14"/>
  <c r="C169" i="14"/>
  <c r="C104" i="14"/>
  <c r="C109" i="14"/>
  <c r="C174" i="14"/>
  <c r="AQ174" i="14" s="1"/>
  <c r="C179" i="14"/>
  <c r="C114" i="14"/>
  <c r="AT51" i="14"/>
  <c r="C71" i="14"/>
  <c r="C136" i="14"/>
  <c r="AT44" i="14"/>
  <c r="C187" i="14"/>
  <c r="C122" i="14"/>
  <c r="AT61" i="14"/>
  <c r="C199" i="14"/>
  <c r="C134" i="14"/>
  <c r="AT69" i="14"/>
  <c r="AL72" i="14"/>
  <c r="AQ72" i="14" s="1"/>
  <c r="AM73" i="14"/>
  <c r="C74" i="14"/>
  <c r="AM115" i="14"/>
  <c r="AQ134" i="14"/>
  <c r="C161" i="14"/>
  <c r="C96" i="14"/>
  <c r="C150" i="14"/>
  <c r="C85" i="14"/>
  <c r="C152" i="14"/>
  <c r="C87" i="14"/>
  <c r="C167" i="14"/>
  <c r="C102" i="14"/>
  <c r="C175" i="14"/>
  <c r="C110" i="14"/>
  <c r="AT49" i="14"/>
  <c r="AO74" i="14"/>
  <c r="AO77" i="14"/>
  <c r="AL77" i="14"/>
  <c r="AO83" i="14"/>
  <c r="AL83" i="14"/>
  <c r="AO89" i="14"/>
  <c r="AL89" i="14"/>
  <c r="AO95" i="14"/>
  <c r="AL95" i="14"/>
  <c r="AO101" i="14"/>
  <c r="AL101" i="14"/>
  <c r="AO107" i="14"/>
  <c r="AM107" i="14"/>
  <c r="AL107" i="14"/>
  <c r="AM126" i="14"/>
  <c r="C143" i="14"/>
  <c r="C78" i="14"/>
  <c r="C145" i="14"/>
  <c r="C80" i="14"/>
  <c r="C151" i="14"/>
  <c r="C86" i="14"/>
  <c r="C116" i="14"/>
  <c r="C181" i="14"/>
  <c r="C155" i="14"/>
  <c r="C90" i="14"/>
  <c r="C157" i="14"/>
  <c r="C92" i="14"/>
  <c r="C173" i="14"/>
  <c r="C108" i="14"/>
  <c r="C180" i="14"/>
  <c r="C115" i="14"/>
  <c r="C120" i="14"/>
  <c r="C185" i="14"/>
  <c r="AM71" i="14"/>
  <c r="C138" i="14"/>
  <c r="C73" i="14"/>
  <c r="C146" i="14"/>
  <c r="C81" i="14"/>
  <c r="C147" i="14"/>
  <c r="C82" i="14"/>
  <c r="C83" i="14"/>
  <c r="C148" i="14"/>
  <c r="C89" i="14"/>
  <c r="C154" i="14"/>
  <c r="C95" i="14"/>
  <c r="C160" i="14"/>
  <c r="C101" i="14"/>
  <c r="C166" i="14"/>
  <c r="C107" i="14"/>
  <c r="C172" i="14"/>
  <c r="C113" i="14"/>
  <c r="C178" i="14"/>
  <c r="C119" i="14"/>
  <c r="C184" i="14"/>
  <c r="C125" i="14"/>
  <c r="C190" i="14"/>
  <c r="C195" i="14"/>
  <c r="C130" i="14"/>
  <c r="AO80" i="14"/>
  <c r="AO86" i="14"/>
  <c r="AO92" i="14"/>
  <c r="AQ92" i="14" s="1"/>
  <c r="AO98" i="14"/>
  <c r="AQ98" i="14" s="1"/>
  <c r="AO104" i="14"/>
  <c r="AO128" i="14"/>
  <c r="AL128" i="14"/>
  <c r="C153" i="14"/>
  <c r="C88" i="14"/>
  <c r="C159" i="14"/>
  <c r="C94" i="14"/>
  <c r="C165" i="14"/>
  <c r="C100" i="14"/>
  <c r="C171" i="14"/>
  <c r="C106" i="14"/>
  <c r="C177" i="14"/>
  <c r="C112" i="14"/>
  <c r="C118" i="14"/>
  <c r="C183" i="14"/>
  <c r="C189" i="14"/>
  <c r="C124" i="14"/>
  <c r="AQ124" i="14" s="1"/>
  <c r="AN71" i="14"/>
  <c r="AN73" i="14"/>
  <c r="AN75" i="14"/>
  <c r="AN76" i="14"/>
  <c r="AM77" i="14"/>
  <c r="AL79" i="14"/>
  <c r="AQ79" i="14" s="1"/>
  <c r="AN81" i="14"/>
  <c r="AN82" i="14"/>
  <c r="AM83" i="14"/>
  <c r="AL85" i="14"/>
  <c r="AQ85" i="14" s="1"/>
  <c r="AN87" i="14"/>
  <c r="AN88" i="14"/>
  <c r="AM89" i="14"/>
  <c r="AL91" i="14"/>
  <c r="AQ91" i="14" s="1"/>
  <c r="AN93" i="14"/>
  <c r="AN94" i="14"/>
  <c r="AQ94" i="14" s="1"/>
  <c r="AM95" i="14"/>
  <c r="AL97" i="14"/>
  <c r="AQ97" i="14" s="1"/>
  <c r="AN99" i="14"/>
  <c r="AQ99" i="14" s="1"/>
  <c r="AR34" i="14" s="1"/>
  <c r="AN100" i="14"/>
  <c r="AQ100" i="14" s="1"/>
  <c r="AM101" i="14"/>
  <c r="AL103" i="14"/>
  <c r="AQ103" i="14" s="1"/>
  <c r="AR38" i="14" s="1"/>
  <c r="AN105" i="14"/>
  <c r="AN106" i="14"/>
  <c r="AO121" i="14"/>
  <c r="AL121" i="14"/>
  <c r="AO122" i="14"/>
  <c r="AL122" i="14"/>
  <c r="C164" i="14"/>
  <c r="C99" i="14"/>
  <c r="C170" i="14"/>
  <c r="AQ170" i="14" s="1"/>
  <c r="C105" i="14"/>
  <c r="C176" i="14"/>
  <c r="AQ176" i="14" s="1"/>
  <c r="C111" i="14"/>
  <c r="C123" i="14"/>
  <c r="C188" i="14"/>
  <c r="C129" i="14"/>
  <c r="C194" i="14"/>
  <c r="AO78" i="14"/>
  <c r="AO84" i="14"/>
  <c r="AO90" i="14"/>
  <c r="AO96" i="14"/>
  <c r="AQ96" i="14" s="1"/>
  <c r="AO102" i="14"/>
  <c r="AQ102" i="14" s="1"/>
  <c r="AM132" i="14"/>
  <c r="AM144" i="14"/>
  <c r="AM150" i="14"/>
  <c r="AM156" i="14"/>
  <c r="AM162" i="14"/>
  <c r="AM168" i="14"/>
  <c r="AM174" i="14"/>
  <c r="AM180" i="14"/>
  <c r="AM199" i="14"/>
  <c r="AO108" i="14"/>
  <c r="AO117" i="14"/>
  <c r="AN122" i="14"/>
  <c r="AM123" i="14"/>
  <c r="AN128" i="14"/>
  <c r="AM129" i="14"/>
  <c r="AN134" i="14"/>
  <c r="AN141" i="14"/>
  <c r="AN147" i="14"/>
  <c r="AN153" i="14"/>
  <c r="AN159" i="14"/>
  <c r="AQ159" i="14" s="1"/>
  <c r="AN171" i="14"/>
  <c r="AQ171" i="14" s="1"/>
  <c r="AS41" i="14" s="1"/>
  <c r="AN177" i="14"/>
  <c r="AM184" i="14"/>
  <c r="AQ192" i="14"/>
  <c r="AQ198" i="14"/>
  <c r="C127" i="14"/>
  <c r="C192" i="14"/>
  <c r="C133" i="14"/>
  <c r="C198" i="14"/>
  <c r="AO109" i="14"/>
  <c r="AL109" i="14"/>
  <c r="AO110" i="14"/>
  <c r="AO111" i="14"/>
  <c r="AL111" i="14"/>
  <c r="AO112" i="14"/>
  <c r="AO113" i="14"/>
  <c r="AL113" i="14"/>
  <c r="AO115" i="14"/>
  <c r="AQ115" i="14" s="1"/>
  <c r="AL117" i="14"/>
  <c r="AL125" i="14"/>
  <c r="AL131" i="14"/>
  <c r="AO138" i="14"/>
  <c r="AO144" i="14"/>
  <c r="AO150" i="14"/>
  <c r="AO156" i="14"/>
  <c r="AO162" i="14"/>
  <c r="AN165" i="14"/>
  <c r="AQ165" i="14" s="1"/>
  <c r="AS35" i="14" s="1"/>
  <c r="AO168" i="14"/>
  <c r="AQ168" i="14" s="1"/>
  <c r="AO174" i="14"/>
  <c r="AO180" i="14"/>
  <c r="AO199" i="14"/>
  <c r="AL199" i="14"/>
  <c r="C197" i="14"/>
  <c r="C132" i="14"/>
  <c r="AL110" i="14"/>
  <c r="AL112" i="14"/>
  <c r="AL114" i="14"/>
  <c r="AN119" i="14"/>
  <c r="AN121" i="14"/>
  <c r="AO123" i="14"/>
  <c r="AO129" i="14"/>
  <c r="AQ158" i="14"/>
  <c r="AQ164" i="14"/>
  <c r="AS34" i="14" s="1"/>
  <c r="AM183" i="14"/>
  <c r="AQ185" i="14"/>
  <c r="AM186" i="14"/>
  <c r="C196" i="14"/>
  <c r="AN109" i="14"/>
  <c r="AN111" i="14"/>
  <c r="AN113" i="14"/>
  <c r="AM119" i="14"/>
  <c r="AM121" i="14"/>
  <c r="AN124" i="14"/>
  <c r="AM127" i="14"/>
  <c r="AQ127" i="14" s="1"/>
  <c r="AR62" i="14" s="1"/>
  <c r="AN130" i="14"/>
  <c r="AQ130" i="14" s="1"/>
  <c r="AM133" i="14"/>
  <c r="AQ133" i="14" s="1"/>
  <c r="AL136" i="14"/>
  <c r="AN139" i="14"/>
  <c r="AL142" i="14"/>
  <c r="AN145" i="14"/>
  <c r="AL148" i="14"/>
  <c r="AN151" i="14"/>
  <c r="AL154" i="14"/>
  <c r="AQ154" i="14" s="1"/>
  <c r="AN157" i="14"/>
  <c r="AL160" i="14"/>
  <c r="AN163" i="14"/>
  <c r="AQ163" i="14" s="1"/>
  <c r="AL166" i="14"/>
  <c r="AN169" i="14"/>
  <c r="AQ169" i="14"/>
  <c r="AS39" i="14" s="1"/>
  <c r="AL172" i="14"/>
  <c r="AQ172" i="14" s="1"/>
  <c r="AN175" i="14"/>
  <c r="AQ175" i="14" s="1"/>
  <c r="AL178" i="14"/>
  <c r="AN181" i="14"/>
  <c r="AO190" i="14"/>
  <c r="AL190" i="14"/>
  <c r="AO196" i="14"/>
  <c r="AL196" i="14"/>
  <c r="AN116" i="14"/>
  <c r="AN129" i="14"/>
  <c r="AM139" i="14"/>
  <c r="AM145" i="14"/>
  <c r="AM151" i="14"/>
  <c r="AM157" i="14"/>
  <c r="AM163" i="14"/>
  <c r="AM169" i="14"/>
  <c r="AM175" i="14"/>
  <c r="AM181" i="14"/>
  <c r="AM187" i="14"/>
  <c r="AO189" i="14"/>
  <c r="AQ189" i="14" s="1"/>
  <c r="AN191" i="14"/>
  <c r="AQ191" i="14"/>
  <c r="AM193" i="14"/>
  <c r="AO195" i="14"/>
  <c r="AN197" i="14"/>
  <c r="AN114" i="14"/>
  <c r="AN120" i="14"/>
  <c r="AQ120" i="14" s="1"/>
  <c r="AN131" i="14"/>
  <c r="AM141" i="14"/>
  <c r="AM147" i="14"/>
  <c r="AM153" i="14"/>
  <c r="AM159" i="14"/>
  <c r="AQ161" i="14"/>
  <c r="AM165" i="14"/>
  <c r="AQ167" i="14"/>
  <c r="AM171" i="14"/>
  <c r="AQ173" i="14"/>
  <c r="AS43" i="14" s="1"/>
  <c r="AM177" i="14"/>
  <c r="AQ177" i="14" s="1"/>
  <c r="AS47" i="14" s="1"/>
  <c r="AO187" i="14"/>
  <c r="AN189" i="14"/>
  <c r="AM191" i="14"/>
  <c r="AO193" i="14"/>
  <c r="AQ193" i="14" s="1"/>
  <c r="AS63" i="14" s="1"/>
  <c r="AN195" i="14"/>
  <c r="AQ195" i="14"/>
  <c r="AS65" i="14" s="1"/>
  <c r="AM197" i="14"/>
  <c r="AQ197" i="14" s="1"/>
  <c r="AN125" i="14"/>
  <c r="AQ125" i="14" s="1"/>
  <c r="AN126" i="14"/>
  <c r="AN132" i="14"/>
  <c r="AM136" i="14"/>
  <c r="AM142" i="14"/>
  <c r="AM148" i="14"/>
  <c r="AM154" i="14"/>
  <c r="AQ156" i="14"/>
  <c r="AM160" i="14"/>
  <c r="AM166" i="14"/>
  <c r="AQ166" i="14" s="1"/>
  <c r="AS36" i="14" s="1"/>
  <c r="AM172" i="14"/>
  <c r="AM178" i="14"/>
  <c r="AQ178" i="14" s="1"/>
  <c r="AL182" i="14"/>
  <c r="AQ182" i="14" s="1"/>
  <c r="AO183" i="14"/>
  <c r="AL184" i="14"/>
  <c r="AO185" i="14"/>
  <c r="AL186" i="14"/>
  <c r="AQ186" i="14" s="1"/>
  <c r="AS56" i="14" s="1"/>
  <c r="AM190" i="14"/>
  <c r="AQ194" i="14"/>
  <c r="AM196" i="14"/>
  <c r="AQ196" i="14" s="1"/>
  <c r="AN199" i="14"/>
  <c r="AQ199" i="14"/>
  <c r="AQ145" i="14" l="1"/>
  <c r="AQ137" i="14"/>
  <c r="AQ153" i="14"/>
  <c r="AQ150" i="14"/>
  <c r="AS20" i="14" s="1"/>
  <c r="AQ73" i="14"/>
  <c r="AR8" i="14" s="1"/>
  <c r="AQ81" i="14"/>
  <c r="AQ147" i="14"/>
  <c r="AS17" i="14" s="1"/>
  <c r="AR27" i="14"/>
  <c r="AQ86" i="14"/>
  <c r="AR21" i="14" s="1"/>
  <c r="AQ76" i="14"/>
  <c r="AQ88" i="14"/>
  <c r="AQ82" i="14"/>
  <c r="AQ138" i="14"/>
  <c r="AS8" i="14" s="1"/>
  <c r="AQ144" i="14"/>
  <c r="AS15" i="14" s="1"/>
  <c r="AQ75" i="14"/>
  <c r="AR10" i="14" s="1"/>
  <c r="AQ71" i="14"/>
  <c r="AR6" i="14" s="1"/>
  <c r="AQ78" i="14"/>
  <c r="AQ141" i="14"/>
  <c r="AS11" i="14" s="1"/>
  <c r="AQ74" i="14"/>
  <c r="AR14" i="14"/>
  <c r="AQ136" i="14"/>
  <c r="AS6" i="14" s="1"/>
  <c r="AR32" i="14"/>
  <c r="AR59" i="14"/>
  <c r="AS33" i="14"/>
  <c r="AS64" i="14"/>
  <c r="AS52" i="14"/>
  <c r="AS37" i="14"/>
  <c r="AS23" i="14"/>
  <c r="AS45" i="14"/>
  <c r="AS29" i="14"/>
  <c r="AS46" i="14"/>
  <c r="AS48" i="14"/>
  <c r="AR60" i="14"/>
  <c r="AS42" i="14"/>
  <c r="AS68" i="14"/>
  <c r="AR35" i="14"/>
  <c r="AR55" i="14"/>
  <c r="AS66" i="14"/>
  <c r="AS51" i="14"/>
  <c r="AS67" i="14"/>
  <c r="AS24" i="14"/>
  <c r="AS38" i="14"/>
  <c r="AS62" i="14"/>
  <c r="AS40" i="14"/>
  <c r="AR33" i="14"/>
  <c r="AS44" i="14"/>
  <c r="AS16" i="14"/>
  <c r="AQ183" i="14"/>
  <c r="AS53" i="14" s="1"/>
  <c r="AQ139" i="14"/>
  <c r="AQ180" i="14"/>
  <c r="AS50" i="14" s="1"/>
  <c r="AQ151" i="14"/>
  <c r="AQ114" i="14"/>
  <c r="AR50" i="14" s="1"/>
  <c r="AQ116" i="14"/>
  <c r="AR51" i="14" s="1"/>
  <c r="AQ112" i="14"/>
  <c r="AR47" i="14" s="1"/>
  <c r="AQ106" i="14"/>
  <c r="AQ142" i="14"/>
  <c r="AS12" i="14" s="1"/>
  <c r="AQ90" i="14"/>
  <c r="AQ184" i="14"/>
  <c r="AQ160" i="14"/>
  <c r="AS30" i="14" s="1"/>
  <c r="AQ132" i="14"/>
  <c r="AR67" i="14" s="1"/>
  <c r="AQ131" i="14"/>
  <c r="AR66" i="14" s="1"/>
  <c r="AQ162" i="14"/>
  <c r="AS32" i="14" s="1"/>
  <c r="AQ188" i="14"/>
  <c r="AS58" i="14" s="1"/>
  <c r="AQ190" i="14"/>
  <c r="AS60" i="14" s="1"/>
  <c r="AQ80" i="14"/>
  <c r="AR15" i="14" s="1"/>
  <c r="AQ155" i="14"/>
  <c r="AS25" i="14" s="1"/>
  <c r="AQ157" i="14"/>
  <c r="AS27" i="14" s="1"/>
  <c r="AQ148" i="14"/>
  <c r="AQ118" i="14"/>
  <c r="AS69" i="14"/>
  <c r="AS70" i="14"/>
  <c r="AQ101" i="14"/>
  <c r="AR36" i="14" s="1"/>
  <c r="AQ129" i="14"/>
  <c r="AQ111" i="14"/>
  <c r="AQ117" i="14"/>
  <c r="AR52" i="14" s="1"/>
  <c r="AQ84" i="14"/>
  <c r="AQ121" i="14"/>
  <c r="AR56" i="14" s="1"/>
  <c r="AQ128" i="14"/>
  <c r="AR63" i="14" s="1"/>
  <c r="AQ83" i="14"/>
  <c r="AR18" i="14" s="1"/>
  <c r="AQ123" i="14"/>
  <c r="AR58" i="14" s="1"/>
  <c r="AQ110" i="14"/>
  <c r="AQ108" i="14"/>
  <c r="AQ105" i="14"/>
  <c r="AR40" i="14" s="1"/>
  <c r="AQ87" i="14"/>
  <c r="AQ104" i="14"/>
  <c r="AR39" i="14" s="1"/>
  <c r="AQ95" i="14"/>
  <c r="AR30" i="14" s="1"/>
  <c r="AQ77" i="14"/>
  <c r="AQ119" i="14"/>
  <c r="AQ113" i="14"/>
  <c r="AQ109" i="14"/>
  <c r="AR44" i="14" s="1"/>
  <c r="AQ122" i="14"/>
  <c r="AQ93" i="14"/>
  <c r="AR28" i="14" s="1"/>
  <c r="AQ107" i="14"/>
  <c r="AR42" i="14" s="1"/>
  <c r="AQ89" i="14"/>
  <c r="AR24" i="14" s="1"/>
  <c r="AR69" i="14"/>
  <c r="AR70" i="14"/>
  <c r="AS21" i="14" l="1"/>
  <c r="AR12" i="14"/>
  <c r="AR22" i="14"/>
  <c r="AS9" i="14"/>
  <c r="AS18" i="14"/>
  <c r="AR7" i="14"/>
  <c r="AR17" i="14"/>
  <c r="AR9" i="14"/>
  <c r="AR11" i="14"/>
  <c r="AR29" i="14"/>
  <c r="AS14" i="14"/>
  <c r="AR25" i="14"/>
  <c r="AS22" i="14"/>
  <c r="AS13" i="14"/>
  <c r="AS7" i="14"/>
  <c r="AS59" i="14"/>
  <c r="AR46" i="14"/>
  <c r="AR31" i="14"/>
  <c r="AR37" i="14"/>
  <c r="AS26" i="14"/>
  <c r="AS19" i="14"/>
  <c r="AR45" i="14"/>
  <c r="AR53" i="14"/>
  <c r="AR26" i="14"/>
  <c r="AR57" i="14"/>
  <c r="AR64" i="14"/>
  <c r="AR41" i="14"/>
  <c r="AS61" i="14"/>
  <c r="AS31" i="14"/>
  <c r="AS10" i="14"/>
  <c r="AR65" i="14"/>
  <c r="AR48" i="14"/>
  <c r="AR23" i="14"/>
  <c r="AR13" i="14"/>
  <c r="AR54" i="14"/>
  <c r="AR43" i="14"/>
  <c r="AR19" i="14"/>
  <c r="AS54" i="14"/>
  <c r="AR49" i="14"/>
  <c r="AR16" i="14"/>
  <c r="AS55" i="14"/>
  <c r="AR20" i="14"/>
  <c r="AS28" i="14"/>
  <c r="AR68" i="14"/>
  <c r="AJ199" i="13" l="1"/>
  <c r="AQ199" i="13" s="1"/>
  <c r="AI199" i="13"/>
  <c r="AH199" i="13"/>
  <c r="AG199" i="13"/>
  <c r="AF199" i="13"/>
  <c r="AE199" i="13"/>
  <c r="AD199" i="13"/>
  <c r="AC199" i="13"/>
  <c r="AB199" i="13"/>
  <c r="AA199" i="13"/>
  <c r="Z199" i="13"/>
  <c r="Y199" i="13"/>
  <c r="X199" i="13"/>
  <c r="W199" i="13"/>
  <c r="V199" i="13"/>
  <c r="U199" i="13"/>
  <c r="T199" i="13"/>
  <c r="AM199" i="13" s="1"/>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L198" i="13" s="1"/>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M197" i="13"/>
  <c r="AJ197" i="13"/>
  <c r="AI197" i="13"/>
  <c r="AH197" i="13"/>
  <c r="AG197" i="13"/>
  <c r="AF197" i="13"/>
  <c r="AE197" i="13"/>
  <c r="AD197" i="13"/>
  <c r="AC197" i="13"/>
  <c r="AB197" i="13"/>
  <c r="AL197" i="13" s="1"/>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Q196" i="13"/>
  <c r="AJ196" i="13"/>
  <c r="AI196" i="13"/>
  <c r="AH196" i="13"/>
  <c r="AG196" i="13"/>
  <c r="AF196" i="13"/>
  <c r="AE196" i="13"/>
  <c r="AD196" i="13"/>
  <c r="AC196" i="13"/>
  <c r="AL196" i="13" s="1"/>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Q194" i="13"/>
  <c r="AJ194" i="13"/>
  <c r="AI194" i="13"/>
  <c r="AH194" i="13"/>
  <c r="AG194" i="13"/>
  <c r="AF194" i="13"/>
  <c r="AE194" i="13"/>
  <c r="AD194" i="13"/>
  <c r="AC194" i="13"/>
  <c r="AL194" i="13" s="1"/>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Q193" i="13"/>
  <c r="AM193" i="13"/>
  <c r="AJ193" i="13"/>
  <c r="AI193" i="13"/>
  <c r="AH193" i="13"/>
  <c r="AG193" i="13"/>
  <c r="AF193" i="13"/>
  <c r="AE193" i="13"/>
  <c r="AD193" i="13"/>
  <c r="AC193" i="13"/>
  <c r="AB193" i="13"/>
  <c r="AL193" i="13" s="1"/>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O193" i="13" s="1"/>
  <c r="AQ192" i="13"/>
  <c r="AJ192" i="13"/>
  <c r="AI192" i="13"/>
  <c r="AH192" i="13"/>
  <c r="AG192" i="13"/>
  <c r="AF192" i="13"/>
  <c r="AE192" i="13"/>
  <c r="AD192" i="13"/>
  <c r="AC192" i="13"/>
  <c r="AL192" i="13" s="1"/>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Q191" i="13"/>
  <c r="AM191" i="13"/>
  <c r="AJ191" i="13"/>
  <c r="AI191" i="13"/>
  <c r="AH191" i="13"/>
  <c r="AG191" i="13"/>
  <c r="AF191" i="13"/>
  <c r="AE191" i="13"/>
  <c r="AD191" i="13"/>
  <c r="AC191" i="13"/>
  <c r="AB191" i="13"/>
  <c r="AL191" i="13" s="1"/>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O191" i="13" s="1"/>
  <c r="AQ190" i="13"/>
  <c r="AJ190" i="13"/>
  <c r="AI190" i="13"/>
  <c r="AH190" i="13"/>
  <c r="AG190" i="13"/>
  <c r="AF190" i="13"/>
  <c r="AE190" i="13"/>
  <c r="AD190" i="13"/>
  <c r="AC190" i="13"/>
  <c r="AL190" i="13" s="1"/>
  <c r="AB190" i="13"/>
  <c r="AA190" i="13"/>
  <c r="Z190" i="13"/>
  <c r="Y190" i="13"/>
  <c r="X190" i="13"/>
  <c r="W190" i="13"/>
  <c r="V190" i="13"/>
  <c r="U190" i="13"/>
  <c r="T190" i="13"/>
  <c r="AM190" i="13" s="1"/>
  <c r="S190" i="13"/>
  <c r="R190" i="13"/>
  <c r="Q190" i="13"/>
  <c r="P190" i="13"/>
  <c r="O190" i="13"/>
  <c r="N190" i="13"/>
  <c r="M190" i="13"/>
  <c r="L190" i="13"/>
  <c r="K190" i="13"/>
  <c r="J190" i="13"/>
  <c r="I190" i="13"/>
  <c r="H190" i="13"/>
  <c r="G190" i="13"/>
  <c r="F190" i="13"/>
  <c r="E190" i="13"/>
  <c r="D190" i="13"/>
  <c r="AQ189" i="13"/>
  <c r="AM189" i="13"/>
  <c r="AJ189" i="13"/>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O189" i="13" s="1"/>
  <c r="AQ188" i="13"/>
  <c r="AJ188" i="13"/>
  <c r="AI188" i="13"/>
  <c r="AH188" i="13"/>
  <c r="AG188" i="13"/>
  <c r="AF188" i="13"/>
  <c r="AE188" i="13"/>
  <c r="AD188" i="13"/>
  <c r="AC188" i="13"/>
  <c r="AL188" i="13" s="1"/>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Q187" i="13"/>
  <c r="AM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AN185" i="13" s="1"/>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AN184" i="13" s="1"/>
  <c r="K184" i="13"/>
  <c r="J184" i="13"/>
  <c r="I184" i="13"/>
  <c r="H184" i="13"/>
  <c r="G184" i="13"/>
  <c r="F184" i="13"/>
  <c r="E184" i="13"/>
  <c r="D184" i="13"/>
  <c r="AQ183" i="13"/>
  <c r="AJ183" i="13"/>
  <c r="AI183" i="13"/>
  <c r="AH183" i="13"/>
  <c r="AG183" i="13"/>
  <c r="AF183" i="13"/>
  <c r="AE183" i="13"/>
  <c r="AD183" i="13"/>
  <c r="AC183" i="13"/>
  <c r="AB183" i="13"/>
  <c r="AA183" i="13"/>
  <c r="Z183" i="13"/>
  <c r="Y183" i="13"/>
  <c r="X183" i="13"/>
  <c r="W183" i="13"/>
  <c r="V183" i="13"/>
  <c r="U183" i="13"/>
  <c r="T183" i="13"/>
  <c r="AM183" i="13" s="1"/>
  <c r="S183" i="13"/>
  <c r="R183" i="13"/>
  <c r="Q183" i="13"/>
  <c r="P183" i="13"/>
  <c r="O183" i="13"/>
  <c r="N183" i="13"/>
  <c r="AN183" i="13" s="1"/>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Q181" i="13"/>
  <c r="AJ181" i="13"/>
  <c r="AI181" i="13"/>
  <c r="AH181" i="13"/>
  <c r="AG181" i="13"/>
  <c r="AF181" i="13"/>
  <c r="AE181" i="13"/>
  <c r="AD181" i="13"/>
  <c r="AC181" i="13"/>
  <c r="AB181" i="13"/>
  <c r="AL181" i="13" s="1"/>
  <c r="AA181" i="13"/>
  <c r="Z181" i="13"/>
  <c r="Y181" i="13"/>
  <c r="X181" i="13"/>
  <c r="W181" i="13"/>
  <c r="V181" i="13"/>
  <c r="AM181" i="13" s="1"/>
  <c r="U181" i="13"/>
  <c r="T181" i="13"/>
  <c r="S181" i="13"/>
  <c r="R181" i="13"/>
  <c r="Q181" i="13"/>
  <c r="P181" i="13"/>
  <c r="O181" i="13"/>
  <c r="N181" i="13"/>
  <c r="M181" i="13"/>
  <c r="L181" i="13"/>
  <c r="K181" i="13"/>
  <c r="J181" i="13"/>
  <c r="I181" i="13"/>
  <c r="H181" i="13"/>
  <c r="G181" i="13"/>
  <c r="F181" i="13"/>
  <c r="E181" i="13"/>
  <c r="D181" i="13"/>
  <c r="AO181" i="13" s="1"/>
  <c r="AQ180" i="13"/>
  <c r="AJ180" i="13"/>
  <c r="AI180" i="13"/>
  <c r="AH180" i="13"/>
  <c r="AG180" i="13"/>
  <c r="AF180" i="13"/>
  <c r="AE180" i="13"/>
  <c r="AD180" i="13"/>
  <c r="AC180" i="13"/>
  <c r="AL180" i="13" s="1"/>
  <c r="AB180" i="13"/>
  <c r="AA180" i="13"/>
  <c r="Z180" i="13"/>
  <c r="Y180" i="13"/>
  <c r="X180" i="13"/>
  <c r="W180" i="13"/>
  <c r="AM180" i="13" s="1"/>
  <c r="V180" i="13"/>
  <c r="U180" i="13"/>
  <c r="T180" i="13"/>
  <c r="S180" i="13"/>
  <c r="R180" i="13"/>
  <c r="Q180" i="13"/>
  <c r="P180" i="13"/>
  <c r="O180" i="13"/>
  <c r="N180" i="13"/>
  <c r="M180" i="13"/>
  <c r="L180" i="13"/>
  <c r="K180" i="13"/>
  <c r="J180" i="13"/>
  <c r="I180" i="13"/>
  <c r="H180" i="13"/>
  <c r="G180" i="13"/>
  <c r="F180" i="13"/>
  <c r="E180" i="13"/>
  <c r="D180" i="13"/>
  <c r="AO180" i="13" s="1"/>
  <c r="AQ179" i="13"/>
  <c r="AJ179" i="13"/>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N177"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AN175" i="13" s="1"/>
  <c r="M175" i="13"/>
  <c r="L175" i="13"/>
  <c r="K175" i="13"/>
  <c r="J175" i="13"/>
  <c r="I175" i="13"/>
  <c r="AO175" i="13" s="1"/>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K174" i="13"/>
  <c r="J174" i="13"/>
  <c r="I174" i="13"/>
  <c r="H174" i="13"/>
  <c r="G174" i="13"/>
  <c r="F174" i="13"/>
  <c r="E174" i="13"/>
  <c r="D174" i="13"/>
  <c r="AO174" i="13" s="1"/>
  <c r="AQ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AO173" i="13" s="1"/>
  <c r="D173" i="13"/>
  <c r="AJ172" i="13"/>
  <c r="AQ172" i="13" s="1"/>
  <c r="AI172" i="13"/>
  <c r="AH172" i="13"/>
  <c r="AG172" i="13"/>
  <c r="AF172" i="13"/>
  <c r="AE172" i="13"/>
  <c r="AL172" i="13" s="1"/>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Q171" i="13"/>
  <c r="AM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E171" i="13"/>
  <c r="D171" i="13"/>
  <c r="AO171" i="13" s="1"/>
  <c r="AJ170" i="13"/>
  <c r="AQ170" i="13" s="1"/>
  <c r="AI170" i="13"/>
  <c r="AH170" i="13"/>
  <c r="AG170" i="13"/>
  <c r="AF170" i="13"/>
  <c r="AE170" i="13"/>
  <c r="AL170" i="13" s="1"/>
  <c r="AD170" i="13"/>
  <c r="AC170" i="13"/>
  <c r="AB170" i="13"/>
  <c r="AA170" i="13"/>
  <c r="Z170" i="13"/>
  <c r="Y170" i="13"/>
  <c r="X170" i="13"/>
  <c r="W170" i="13"/>
  <c r="V170" i="13"/>
  <c r="U170" i="13"/>
  <c r="T170" i="13"/>
  <c r="AM170" i="13" s="1"/>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AN169" i="13" s="1"/>
  <c r="M169" i="13"/>
  <c r="L169" i="13"/>
  <c r="K169" i="13"/>
  <c r="J169" i="13"/>
  <c r="I169" i="13"/>
  <c r="H169" i="13"/>
  <c r="AO169" i="13" s="1"/>
  <c r="G169" i="13"/>
  <c r="F169" i="13"/>
  <c r="E169" i="13"/>
  <c r="D169" i="13"/>
  <c r="AQ168" i="13"/>
  <c r="AS39" i="13" s="1"/>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AN168" i="13" s="1"/>
  <c r="N168" i="13"/>
  <c r="M168" i="13"/>
  <c r="L168" i="13"/>
  <c r="K168" i="13"/>
  <c r="J168" i="13"/>
  <c r="I168" i="13"/>
  <c r="H168" i="13"/>
  <c r="G168" i="13"/>
  <c r="F168" i="13"/>
  <c r="E168" i="13"/>
  <c r="D168" i="13"/>
  <c r="AN167" i="13"/>
  <c r="AJ167" i="13"/>
  <c r="AI167" i="13"/>
  <c r="AH167" i="13"/>
  <c r="AG167" i="13"/>
  <c r="AF167" i="13"/>
  <c r="AE167" i="13"/>
  <c r="AD167" i="13"/>
  <c r="AC167" i="13"/>
  <c r="AB167" i="13"/>
  <c r="AA167" i="13"/>
  <c r="Z167" i="13"/>
  <c r="Y167" i="13"/>
  <c r="X167" i="13"/>
  <c r="W167" i="13"/>
  <c r="V167" i="13"/>
  <c r="U167" i="13"/>
  <c r="T167" i="13"/>
  <c r="AM167" i="13" s="1"/>
  <c r="S167" i="13"/>
  <c r="R167" i="13"/>
  <c r="Q167" i="13"/>
  <c r="P167" i="13"/>
  <c r="O167" i="13"/>
  <c r="N167" i="13"/>
  <c r="M167" i="13"/>
  <c r="L167" i="13"/>
  <c r="K167" i="13"/>
  <c r="J167" i="13"/>
  <c r="I167" i="13"/>
  <c r="H167" i="13"/>
  <c r="G167" i="13"/>
  <c r="F167" i="13"/>
  <c r="E167" i="13"/>
  <c r="D167" i="13"/>
  <c r="AN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AN164" i="13" s="1"/>
  <c r="K164" i="13"/>
  <c r="J164" i="13"/>
  <c r="I164" i="13"/>
  <c r="H164" i="13"/>
  <c r="G164" i="13"/>
  <c r="F164" i="13"/>
  <c r="E164" i="13"/>
  <c r="D164" i="13"/>
  <c r="AM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E163" i="13"/>
  <c r="D163" i="13"/>
  <c r="AO163" i="13" s="1"/>
  <c r="AN162"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AM161" i="13" s="1"/>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AN160" i="13" s="1"/>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O157" i="13"/>
  <c r="AJ157" i="13"/>
  <c r="AI157" i="13"/>
  <c r="AH157" i="13"/>
  <c r="AG157" i="13"/>
  <c r="AF157" i="13"/>
  <c r="AE157" i="13"/>
  <c r="AD157" i="13"/>
  <c r="AC157" i="13"/>
  <c r="AB157" i="13"/>
  <c r="AA157" i="13"/>
  <c r="Z157" i="13"/>
  <c r="Y157" i="13"/>
  <c r="X157" i="13"/>
  <c r="W157" i="13"/>
  <c r="V157" i="13"/>
  <c r="U157" i="13"/>
  <c r="AM157" i="13" s="1"/>
  <c r="T157" i="13"/>
  <c r="S157" i="13"/>
  <c r="R157" i="13"/>
  <c r="Q157" i="13"/>
  <c r="P157" i="13"/>
  <c r="O157" i="13"/>
  <c r="N157" i="13"/>
  <c r="AN157" i="13" s="1"/>
  <c r="M157" i="13"/>
  <c r="L157" i="13"/>
  <c r="K157" i="13"/>
  <c r="J157" i="13"/>
  <c r="I157" i="13"/>
  <c r="H157" i="13"/>
  <c r="G157" i="13"/>
  <c r="F157" i="13"/>
  <c r="E157" i="13"/>
  <c r="D157" i="13"/>
  <c r="AN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O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N151" i="13"/>
  <c r="AJ151" i="13"/>
  <c r="AI151" i="13"/>
  <c r="AH151" i="13"/>
  <c r="AG151" i="13"/>
  <c r="AF151" i="13"/>
  <c r="AE151" i="13"/>
  <c r="AD151" i="13"/>
  <c r="AC151" i="13"/>
  <c r="AB151" i="13"/>
  <c r="AA151" i="13"/>
  <c r="Z151" i="13"/>
  <c r="Y151" i="13"/>
  <c r="X151" i="13"/>
  <c r="W151" i="13"/>
  <c r="V151" i="13"/>
  <c r="U151" i="13"/>
  <c r="T151" i="13"/>
  <c r="AM151" i="13" s="1"/>
  <c r="S151" i="13"/>
  <c r="R151" i="13"/>
  <c r="Q151" i="13"/>
  <c r="P151" i="13"/>
  <c r="O151" i="13"/>
  <c r="N151" i="13"/>
  <c r="M151" i="13"/>
  <c r="L151" i="13"/>
  <c r="K151" i="13"/>
  <c r="J151" i="13"/>
  <c r="I151" i="13"/>
  <c r="H151" i="13"/>
  <c r="AO151" i="13" s="1"/>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AN150" i="13" s="1"/>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N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AN146" i="13" s="1"/>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AN144" i="13" s="1"/>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AM143" i="13" s="1"/>
  <c r="V143" i="13"/>
  <c r="U143" i="13"/>
  <c r="T143" i="13"/>
  <c r="S143" i="13"/>
  <c r="R143" i="13"/>
  <c r="Q143" i="13"/>
  <c r="P143" i="13"/>
  <c r="O143" i="13"/>
  <c r="N143" i="13"/>
  <c r="AN143" i="13" s="1"/>
  <c r="M143" i="13"/>
  <c r="L143" i="13"/>
  <c r="K143" i="13"/>
  <c r="J143" i="13"/>
  <c r="I143" i="13"/>
  <c r="H143" i="13"/>
  <c r="G143" i="13"/>
  <c r="F143" i="13"/>
  <c r="E143" i="13"/>
  <c r="D143" i="13"/>
  <c r="AJ142" i="13"/>
  <c r="AI142" i="13"/>
  <c r="AH142" i="13"/>
  <c r="AG142" i="13"/>
  <c r="AF142" i="13"/>
  <c r="AE142" i="13"/>
  <c r="AD142" i="13"/>
  <c r="AC142" i="13"/>
  <c r="AB142" i="13"/>
  <c r="AA142" i="13"/>
  <c r="AM142" i="13" s="1"/>
  <c r="Z142" i="13"/>
  <c r="Y142" i="13"/>
  <c r="X142" i="13"/>
  <c r="W142" i="13"/>
  <c r="V142" i="13"/>
  <c r="U142" i="13"/>
  <c r="T142" i="13"/>
  <c r="S142" i="13"/>
  <c r="R142" i="13"/>
  <c r="Q142" i="13"/>
  <c r="P142" i="13"/>
  <c r="O142" i="13"/>
  <c r="N142" i="13"/>
  <c r="AN142" i="13" s="1"/>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AM139" i="13" s="1"/>
  <c r="T139" i="13"/>
  <c r="S139" i="13"/>
  <c r="R139" i="13"/>
  <c r="Q139" i="13"/>
  <c r="P139" i="13"/>
  <c r="O139" i="13"/>
  <c r="N139" i="13"/>
  <c r="M139" i="13"/>
  <c r="L139" i="13"/>
  <c r="K139" i="13"/>
  <c r="J139" i="13"/>
  <c r="I139" i="13"/>
  <c r="AO139" i="13" s="1"/>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AN138" i="13" s="1"/>
  <c r="N138" i="13"/>
  <c r="M138" i="13"/>
  <c r="L138" i="13"/>
  <c r="K138" i="13"/>
  <c r="J138" i="13"/>
  <c r="I138" i="13"/>
  <c r="H138" i="13"/>
  <c r="G138" i="13"/>
  <c r="F138" i="13"/>
  <c r="E138" i="13"/>
  <c r="D138" i="13"/>
  <c r="AJ137" i="13"/>
  <c r="AI137" i="13"/>
  <c r="AH137" i="13"/>
  <c r="AG137" i="13"/>
  <c r="AF137" i="13"/>
  <c r="AE137" i="13"/>
  <c r="AD137" i="13"/>
  <c r="AC137" i="13"/>
  <c r="AB137" i="13"/>
  <c r="AA137" i="13"/>
  <c r="AM137" i="13" s="1"/>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Q134" i="13"/>
  <c r="AR69" i="13" s="1"/>
  <c r="AJ134" i="13"/>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L133" i="13" s="1"/>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R67" i="13" s="1"/>
  <c r="AJ132" i="13"/>
  <c r="AI132" i="13"/>
  <c r="AH132" i="13"/>
  <c r="AG132" i="13"/>
  <c r="AF132" i="13"/>
  <c r="AE132" i="13"/>
  <c r="AD132" i="13"/>
  <c r="AC132" i="13"/>
  <c r="AB132" i="13"/>
  <c r="AL132" i="13" s="1"/>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O132" i="13" s="1"/>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AN131" i="13" s="1"/>
  <c r="K131" i="13"/>
  <c r="J131" i="13"/>
  <c r="I131" i="13"/>
  <c r="H131" i="13"/>
  <c r="G131" i="13"/>
  <c r="F131" i="13"/>
  <c r="E131" i="13"/>
  <c r="D131" i="13"/>
  <c r="AJ130" i="13"/>
  <c r="AQ130" i="13" s="1"/>
  <c r="AR66" i="13" s="1"/>
  <c r="AI130" i="13"/>
  <c r="AH130" i="13"/>
  <c r="AG130" i="13"/>
  <c r="AF130" i="13"/>
  <c r="AE130" i="13"/>
  <c r="AD130" i="13"/>
  <c r="AL130" i="13" s="1"/>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AO130" i="13" s="1"/>
  <c r="E130" i="13"/>
  <c r="D130" i="13"/>
  <c r="AJ129" i="13"/>
  <c r="AQ129" i="13" s="1"/>
  <c r="AI129" i="13"/>
  <c r="AH129" i="13"/>
  <c r="AG129" i="13"/>
  <c r="AF129" i="13"/>
  <c r="AE129" i="13"/>
  <c r="AD129" i="13"/>
  <c r="AC129" i="13"/>
  <c r="AB129" i="13"/>
  <c r="AL129" i="13" s="1"/>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O129" i="13" s="1"/>
  <c r="AQ128" i="13"/>
  <c r="AJ128" i="13"/>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O128" i="13" s="1"/>
  <c r="AJ127" i="13"/>
  <c r="AQ127" i="13" s="1"/>
  <c r="AI127" i="13"/>
  <c r="AH127" i="13"/>
  <c r="AG127" i="13"/>
  <c r="AF127" i="13"/>
  <c r="AE127" i="13"/>
  <c r="AL127" i="13" s="1"/>
  <c r="AD127" i="13"/>
  <c r="AC127" i="13"/>
  <c r="AB127" i="13"/>
  <c r="AA127" i="13"/>
  <c r="Z127" i="13"/>
  <c r="Y127" i="13"/>
  <c r="X127" i="13"/>
  <c r="W127" i="13"/>
  <c r="V127" i="13"/>
  <c r="U127" i="13"/>
  <c r="T127" i="13"/>
  <c r="AM127" i="13" s="1"/>
  <c r="S127" i="13"/>
  <c r="R127" i="13"/>
  <c r="Q127" i="13"/>
  <c r="P127" i="13"/>
  <c r="O127" i="13"/>
  <c r="N127" i="13"/>
  <c r="M127" i="13"/>
  <c r="AN127" i="13" s="1"/>
  <c r="L127" i="13"/>
  <c r="K127" i="13"/>
  <c r="J127" i="13"/>
  <c r="I127" i="13"/>
  <c r="H127" i="13"/>
  <c r="G127" i="13"/>
  <c r="F127" i="13"/>
  <c r="E127" i="13"/>
  <c r="D127" i="13"/>
  <c r="AQ126" i="13"/>
  <c r="AO126" i="13"/>
  <c r="AJ126" i="13"/>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AN125" i="13" s="1"/>
  <c r="K125" i="13"/>
  <c r="J125" i="13"/>
  <c r="I125" i="13"/>
  <c r="H125" i="13"/>
  <c r="G125" i="13"/>
  <c r="F125" i="13"/>
  <c r="AO125" i="13" s="1"/>
  <c r="E125" i="13"/>
  <c r="D125" i="13"/>
  <c r="AJ124" i="13"/>
  <c r="AQ124" i="13" s="1"/>
  <c r="AI124" i="13"/>
  <c r="AH124" i="13"/>
  <c r="AG124" i="13"/>
  <c r="AF124" i="13"/>
  <c r="AE124" i="13"/>
  <c r="AD124" i="13"/>
  <c r="AL124" i="13" s="1"/>
  <c r="AC124" i="13"/>
  <c r="AB124" i="13"/>
  <c r="AA124" i="13"/>
  <c r="Z124" i="13"/>
  <c r="Y124" i="13"/>
  <c r="X124" i="13"/>
  <c r="W124" i="13"/>
  <c r="V124" i="13"/>
  <c r="U124" i="13"/>
  <c r="T124" i="13"/>
  <c r="S124" i="13"/>
  <c r="R124" i="13"/>
  <c r="Q124" i="13"/>
  <c r="P124" i="13"/>
  <c r="O124" i="13"/>
  <c r="N124" i="13"/>
  <c r="M124" i="13"/>
  <c r="L124" i="13"/>
  <c r="AN124" i="13" s="1"/>
  <c r="K124" i="13"/>
  <c r="J124" i="13"/>
  <c r="I124" i="13"/>
  <c r="H124" i="13"/>
  <c r="G124" i="13"/>
  <c r="F124" i="13"/>
  <c r="AO124" i="13" s="1"/>
  <c r="E124" i="13"/>
  <c r="D124" i="13"/>
  <c r="AO123" i="13"/>
  <c r="AJ123" i="13"/>
  <c r="AQ123" i="13" s="1"/>
  <c r="AI123" i="13"/>
  <c r="AH123" i="13"/>
  <c r="AG123" i="13"/>
  <c r="AF123" i="13"/>
  <c r="AE123" i="13"/>
  <c r="AD123" i="13"/>
  <c r="AC123" i="13"/>
  <c r="AB123" i="13"/>
  <c r="AA123" i="13"/>
  <c r="Z123" i="13"/>
  <c r="Y123" i="13"/>
  <c r="X123" i="13"/>
  <c r="W123" i="13"/>
  <c r="V123" i="13"/>
  <c r="U123" i="13"/>
  <c r="AM123" i="13" s="1"/>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L122" i="13" s="1"/>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L121" i="13" s="1"/>
  <c r="AC121" i="13"/>
  <c r="AB121" i="13"/>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Q120" i="13"/>
  <c r="AO120" i="13"/>
  <c r="AN120" i="13"/>
  <c r="AJ120" i="13"/>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L119" i="13" s="1"/>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N118" i="13"/>
  <c r="AJ118" i="13"/>
  <c r="AQ118" i="13" s="1"/>
  <c r="AI118" i="13"/>
  <c r="AH118" i="13"/>
  <c r="AG118" i="13"/>
  <c r="AF118" i="13"/>
  <c r="AE118" i="13"/>
  <c r="AL118" i="13" s="1"/>
  <c r="AD118" i="13"/>
  <c r="AC118" i="13"/>
  <c r="AB118" i="13"/>
  <c r="AA118" i="13"/>
  <c r="Z118" i="13"/>
  <c r="Y118" i="13"/>
  <c r="X118" i="13"/>
  <c r="W118" i="13"/>
  <c r="V118" i="13"/>
  <c r="U118" i="13"/>
  <c r="T118" i="13"/>
  <c r="AM118" i="13" s="1"/>
  <c r="S118" i="13"/>
  <c r="R118" i="13"/>
  <c r="Q118" i="13"/>
  <c r="P118" i="13"/>
  <c r="O118" i="13"/>
  <c r="N118" i="13"/>
  <c r="M118" i="13"/>
  <c r="L118" i="13"/>
  <c r="K118" i="13"/>
  <c r="J118" i="13"/>
  <c r="I118" i="13"/>
  <c r="H118" i="13"/>
  <c r="G118" i="13"/>
  <c r="F118" i="13"/>
  <c r="AO118" i="13" s="1"/>
  <c r="E118" i="13"/>
  <c r="D118" i="13"/>
  <c r="AN117"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AO117" i="13" s="1"/>
  <c r="G117" i="13"/>
  <c r="F117" i="13"/>
  <c r="E117" i="13"/>
  <c r="D117" i="13"/>
  <c r="AQ116" i="13"/>
  <c r="AJ116" i="13"/>
  <c r="AI116" i="13"/>
  <c r="AH116" i="13"/>
  <c r="AG116" i="13"/>
  <c r="AF116" i="13"/>
  <c r="AE116" i="13"/>
  <c r="AD116" i="13"/>
  <c r="AC116" i="13"/>
  <c r="AL116" i="13" s="1"/>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O114" i="13" s="1"/>
  <c r="AQ113" i="13"/>
  <c r="AJ113" i="13"/>
  <c r="AI113" i="13"/>
  <c r="AH113" i="13"/>
  <c r="AG113" i="13"/>
  <c r="AF113" i="13"/>
  <c r="AE113" i="13"/>
  <c r="AL113" i="13" s="1"/>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Q112" i="13"/>
  <c r="AN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L111" i="13" s="1"/>
  <c r="AC111" i="13"/>
  <c r="AB111" i="13"/>
  <c r="AA111" i="13"/>
  <c r="Z111" i="13"/>
  <c r="Y111" i="13"/>
  <c r="X111" i="13"/>
  <c r="W111" i="13"/>
  <c r="V111" i="13"/>
  <c r="U111" i="13"/>
  <c r="T111" i="13"/>
  <c r="S111" i="13"/>
  <c r="R111" i="13"/>
  <c r="Q111" i="13"/>
  <c r="P111" i="13"/>
  <c r="O111" i="13"/>
  <c r="N111" i="13"/>
  <c r="M111" i="13"/>
  <c r="L111" i="13"/>
  <c r="AN111" i="13" s="1"/>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AN110" i="13" s="1"/>
  <c r="M110" i="13"/>
  <c r="L110" i="13"/>
  <c r="K110" i="13"/>
  <c r="J110" i="13"/>
  <c r="I110" i="13"/>
  <c r="H110" i="13"/>
  <c r="G110" i="13"/>
  <c r="F110" i="13"/>
  <c r="E110" i="13"/>
  <c r="D110" i="13"/>
  <c r="AQ109" i="13"/>
  <c r="AJ109" i="13"/>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AM108" i="13" s="1"/>
  <c r="T108" i="13"/>
  <c r="S108" i="13"/>
  <c r="R108" i="13"/>
  <c r="Q108" i="13"/>
  <c r="P108" i="13"/>
  <c r="O108" i="13"/>
  <c r="N108" i="13"/>
  <c r="M108" i="13"/>
  <c r="L108" i="13"/>
  <c r="K108" i="13"/>
  <c r="J108" i="13"/>
  <c r="I108" i="13"/>
  <c r="H108" i="13"/>
  <c r="G108" i="13"/>
  <c r="F108" i="13"/>
  <c r="E108" i="13"/>
  <c r="D108" i="13"/>
  <c r="AO108" i="13" s="1"/>
  <c r="AQ107" i="13"/>
  <c r="AJ107" i="13"/>
  <c r="AI107" i="13"/>
  <c r="AH107" i="13"/>
  <c r="AG107" i="13"/>
  <c r="AF107" i="13"/>
  <c r="AE107" i="13"/>
  <c r="AL107" i="13" s="1"/>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O107" i="13" s="1"/>
  <c r="AQ106" i="13"/>
  <c r="AJ106" i="13"/>
  <c r="AI106" i="13"/>
  <c r="AH106" i="13"/>
  <c r="AG106" i="13"/>
  <c r="AF106" i="13"/>
  <c r="AE106" i="13"/>
  <c r="AD106" i="13"/>
  <c r="AC106" i="13"/>
  <c r="AB106" i="13"/>
  <c r="AA106" i="13"/>
  <c r="Z106" i="13"/>
  <c r="Y106" i="13"/>
  <c r="X106" i="13"/>
  <c r="W106" i="13"/>
  <c r="V106" i="13"/>
  <c r="U106" i="13"/>
  <c r="T106" i="13"/>
  <c r="AM106" i="13" s="1"/>
  <c r="S106" i="13"/>
  <c r="R106" i="13"/>
  <c r="Q106" i="13"/>
  <c r="P106" i="13"/>
  <c r="O106" i="13"/>
  <c r="N106" i="13"/>
  <c r="AN106" i="13" s="1"/>
  <c r="M106" i="13"/>
  <c r="L106" i="13"/>
  <c r="K106" i="13"/>
  <c r="J106" i="13"/>
  <c r="I106" i="13"/>
  <c r="H106" i="13"/>
  <c r="G106" i="13"/>
  <c r="F106" i="13"/>
  <c r="E106" i="13"/>
  <c r="D106" i="13"/>
  <c r="AQ105" i="13"/>
  <c r="AJ105" i="13"/>
  <c r="AI105" i="13"/>
  <c r="AH105" i="13"/>
  <c r="AG105" i="13"/>
  <c r="AF105" i="13"/>
  <c r="AE105" i="13"/>
  <c r="AL105" i="13" s="1"/>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AM104" i="13" s="1"/>
  <c r="X104" i="13"/>
  <c r="W104" i="13"/>
  <c r="V104" i="13"/>
  <c r="U104" i="13"/>
  <c r="T104" i="13"/>
  <c r="S104" i="13"/>
  <c r="R104" i="13"/>
  <c r="Q104" i="13"/>
  <c r="P104" i="13"/>
  <c r="O104" i="13"/>
  <c r="N104" i="13"/>
  <c r="M104" i="13"/>
  <c r="AN104" i="13" s="1"/>
  <c r="L104" i="13"/>
  <c r="K104" i="13"/>
  <c r="J104" i="13"/>
  <c r="I104" i="13"/>
  <c r="H104" i="13"/>
  <c r="G104" i="13"/>
  <c r="F104" i="13"/>
  <c r="E104" i="13"/>
  <c r="D104" i="13"/>
  <c r="AQ103" i="13"/>
  <c r="AJ103" i="13"/>
  <c r="AI103" i="13"/>
  <c r="AH103" i="13"/>
  <c r="AG103" i="13"/>
  <c r="AF103" i="13"/>
  <c r="AE103" i="13"/>
  <c r="AL103" i="13" s="1"/>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AO103" i="13" s="1"/>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AO101" i="13" s="1"/>
  <c r="F101" i="13"/>
  <c r="E101" i="13"/>
  <c r="D101" i="13"/>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AN99" i="13" s="1"/>
  <c r="L99" i="13"/>
  <c r="K99" i="13"/>
  <c r="J99" i="13"/>
  <c r="I99" i="13"/>
  <c r="H99" i="13"/>
  <c r="G99" i="13"/>
  <c r="AO99" i="13" s="1"/>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AO97" i="13" s="1"/>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AO95" i="13" s="1"/>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K94" i="13"/>
  <c r="J94" i="13"/>
  <c r="I94" i="13"/>
  <c r="H94" i="13"/>
  <c r="G94" i="13"/>
  <c r="F94" i="13"/>
  <c r="E94" i="13"/>
  <c r="D94" i="13"/>
  <c r="AO94" i="13" s="1"/>
  <c r="AJ93" i="13"/>
  <c r="AI93" i="13"/>
  <c r="AH93" i="13"/>
  <c r="AG93" i="13"/>
  <c r="AF93" i="13"/>
  <c r="AE93" i="13"/>
  <c r="AL93" i="13" s="1"/>
  <c r="AQ93" i="13" s="1"/>
  <c r="AD93" i="13"/>
  <c r="AC93" i="13"/>
  <c r="AB93" i="13"/>
  <c r="AA93" i="13"/>
  <c r="Z93" i="13"/>
  <c r="Y93" i="13"/>
  <c r="X93" i="13"/>
  <c r="W93" i="13"/>
  <c r="V93" i="13"/>
  <c r="U93" i="13"/>
  <c r="T93" i="13"/>
  <c r="S93" i="13"/>
  <c r="R93" i="13"/>
  <c r="Q93" i="13"/>
  <c r="P93" i="13"/>
  <c r="O93" i="13"/>
  <c r="N93" i="13"/>
  <c r="M93" i="13"/>
  <c r="L93" i="13"/>
  <c r="K93" i="13"/>
  <c r="J93" i="13"/>
  <c r="I93" i="13"/>
  <c r="H93" i="13"/>
  <c r="G93" i="13"/>
  <c r="AO93" i="13" s="1"/>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AO91" i="13" s="1"/>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AN90" i="13" s="1"/>
  <c r="N90" i="13"/>
  <c r="M90" i="13"/>
  <c r="L90" i="13"/>
  <c r="K90" i="13"/>
  <c r="J90" i="13"/>
  <c r="I90" i="13"/>
  <c r="H90" i="13"/>
  <c r="G90" i="13"/>
  <c r="F90" i="13"/>
  <c r="E90" i="13"/>
  <c r="D90" i="13"/>
  <c r="AO90" i="13" s="1"/>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AN88" i="13" s="1"/>
  <c r="N88" i="13"/>
  <c r="M88" i="13"/>
  <c r="L88" i="13"/>
  <c r="K88" i="13"/>
  <c r="J88" i="13"/>
  <c r="I88" i="13"/>
  <c r="H88" i="13"/>
  <c r="G88" i="13"/>
  <c r="F88" i="13"/>
  <c r="E88" i="13"/>
  <c r="D88" i="13"/>
  <c r="AO88"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AN86" i="13" s="1"/>
  <c r="N86" i="13"/>
  <c r="M86" i="13"/>
  <c r="L86" i="13"/>
  <c r="K86" i="13"/>
  <c r="J86" i="13"/>
  <c r="I86" i="13"/>
  <c r="H86" i="13"/>
  <c r="G86" i="13"/>
  <c r="F86" i="13"/>
  <c r="E86" i="13"/>
  <c r="D86" i="13"/>
  <c r="AO86" i="13" s="1"/>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AN85" i="13" s="1"/>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AN84" i="13" s="1"/>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AN82" i="13" s="1"/>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AN81" i="13" s="1"/>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AN80" i="13" s="1"/>
  <c r="N80" i="13"/>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AN78" i="13" s="1"/>
  <c r="N78" i="13"/>
  <c r="M78" i="13"/>
  <c r="L78" i="13"/>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AN76" i="13" s="1"/>
  <c r="N76" i="13"/>
  <c r="M76" i="13"/>
  <c r="L76" i="13"/>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L73" i="13"/>
  <c r="AN73" i="13" s="1"/>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AN72" i="13" s="1"/>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O71" i="13" s="1"/>
  <c r="AT70" i="13"/>
  <c r="AS70" i="13"/>
  <c r="AT69" i="13"/>
  <c r="AS69" i="13"/>
  <c r="C69" i="13"/>
  <c r="AT68" i="13"/>
  <c r="AS68" i="13"/>
  <c r="AR68" i="13"/>
  <c r="C68" i="13"/>
  <c r="C198" i="13" s="1"/>
  <c r="AT67" i="13"/>
  <c r="AS67" i="13"/>
  <c r="C67" i="13"/>
  <c r="C197" i="13" s="1"/>
  <c r="AT66" i="13"/>
  <c r="AS66" i="13"/>
  <c r="C66" i="13"/>
  <c r="AT65" i="13"/>
  <c r="AS65" i="13"/>
  <c r="AR65" i="13"/>
  <c r="C65" i="13"/>
  <c r="C195" i="13" s="1"/>
  <c r="AT64" i="13"/>
  <c r="AS64" i="13"/>
  <c r="AR64" i="13"/>
  <c r="C64" i="13"/>
  <c r="AT63" i="13"/>
  <c r="AS63" i="13"/>
  <c r="AR63" i="13"/>
  <c r="C63" i="13"/>
  <c r="AT62" i="13"/>
  <c r="AS62" i="13"/>
  <c r="AR62" i="13"/>
  <c r="C62" i="13"/>
  <c r="AT61" i="13"/>
  <c r="AS61" i="13"/>
  <c r="AR61" i="13"/>
  <c r="C61" i="13"/>
  <c r="AT60" i="13"/>
  <c r="AS60" i="13"/>
  <c r="AR60" i="13"/>
  <c r="C60" i="13"/>
  <c r="AT59" i="13"/>
  <c r="AS59" i="13"/>
  <c r="AR59" i="13"/>
  <c r="C59" i="13"/>
  <c r="AT58" i="13"/>
  <c r="AS58" i="13"/>
  <c r="AR58" i="13"/>
  <c r="C58" i="13"/>
  <c r="C188" i="13" s="1"/>
  <c r="AT57" i="13"/>
  <c r="AS57" i="13"/>
  <c r="AR57" i="13"/>
  <c r="C57" i="13"/>
  <c r="AT56" i="13"/>
  <c r="AS56" i="13"/>
  <c r="AR56" i="13"/>
  <c r="C56" i="13"/>
  <c r="C186" i="13" s="1"/>
  <c r="AT55" i="13"/>
  <c r="AS55" i="13"/>
  <c r="AR55" i="13"/>
  <c r="C55" i="13"/>
  <c r="C120" i="13" s="1"/>
  <c r="AT54" i="13"/>
  <c r="AS54" i="13"/>
  <c r="AR54" i="13"/>
  <c r="C54" i="13"/>
  <c r="AT53" i="13"/>
  <c r="AS53" i="13"/>
  <c r="AR53" i="13"/>
  <c r="C53" i="13"/>
  <c r="C118" i="13" s="1"/>
  <c r="AT52" i="13"/>
  <c r="AS52" i="13"/>
  <c r="AR52" i="13"/>
  <c r="C52" i="13"/>
  <c r="C182" i="13" s="1"/>
  <c r="AT51" i="13"/>
  <c r="AS51" i="13"/>
  <c r="AR51" i="13"/>
  <c r="C51" i="13"/>
  <c r="AT50" i="13"/>
  <c r="AS50" i="13"/>
  <c r="AR50" i="13"/>
  <c r="C50" i="13"/>
  <c r="C180" i="13" s="1"/>
  <c r="AT49" i="13"/>
  <c r="AS49" i="13"/>
  <c r="AR49" i="13"/>
  <c r="C49" i="13"/>
  <c r="C179" i="13" s="1"/>
  <c r="AT48" i="13"/>
  <c r="AS48" i="13"/>
  <c r="AR48" i="13"/>
  <c r="C48" i="13"/>
  <c r="AT47" i="13"/>
  <c r="AS47" i="13"/>
  <c r="C47" i="13"/>
  <c r="AT46" i="13"/>
  <c r="AS46" i="13"/>
  <c r="C46" i="13"/>
  <c r="AT45" i="13"/>
  <c r="AS45" i="13"/>
  <c r="AR45" i="13"/>
  <c r="C45" i="13"/>
  <c r="C110" i="13" s="1"/>
  <c r="AT44" i="13"/>
  <c r="AS44" i="13"/>
  <c r="AR44" i="13"/>
  <c r="C44" i="13"/>
  <c r="AT43" i="13"/>
  <c r="AS43" i="13"/>
  <c r="AR43" i="13"/>
  <c r="C43" i="13"/>
  <c r="C108" i="13" s="1"/>
  <c r="AT42" i="13"/>
  <c r="AS42" i="13"/>
  <c r="AR42" i="13"/>
  <c r="C42" i="13"/>
  <c r="AT41" i="13"/>
  <c r="AS41" i="13"/>
  <c r="AR41" i="13"/>
  <c r="C41" i="13"/>
  <c r="AT40" i="13"/>
  <c r="AS40" i="13"/>
  <c r="AR40" i="13"/>
  <c r="C40" i="13"/>
  <c r="AT39" i="13"/>
  <c r="AR39" i="13"/>
  <c r="C39" i="13"/>
  <c r="C104" i="13" s="1"/>
  <c r="AT38" i="13"/>
  <c r="C38" i="13"/>
  <c r="C103" i="13" s="1"/>
  <c r="C37" i="13"/>
  <c r="C36" i="13"/>
  <c r="C101" i="13" s="1"/>
  <c r="C35" i="13"/>
  <c r="C100" i="13" s="1"/>
  <c r="C34" i="13"/>
  <c r="C33" i="13"/>
  <c r="C32" i="13"/>
  <c r="C31" i="13"/>
  <c r="C30" i="13"/>
  <c r="C29" i="13"/>
  <c r="C28" i="13"/>
  <c r="C27" i="13"/>
  <c r="C92" i="13" s="1"/>
  <c r="C26" i="13"/>
  <c r="C91"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L165" i="13" l="1"/>
  <c r="AQ165" i="13" s="1"/>
  <c r="AL98" i="13"/>
  <c r="AQ98" i="13" s="1"/>
  <c r="AL166" i="13"/>
  <c r="AQ166" i="13" s="1"/>
  <c r="AS36" i="13" s="1"/>
  <c r="AL96" i="13"/>
  <c r="AQ96" i="13" s="1"/>
  <c r="AQ94" i="13"/>
  <c r="AR29" i="13" s="1"/>
  <c r="AL162" i="13"/>
  <c r="AQ162" i="13" s="1"/>
  <c r="AL95" i="13"/>
  <c r="AQ95" i="13" s="1"/>
  <c r="AR30" i="13" s="1"/>
  <c r="AL100" i="13"/>
  <c r="AQ100" i="13" s="1"/>
  <c r="AL97" i="13"/>
  <c r="AQ97" i="13" s="1"/>
  <c r="AL102" i="13"/>
  <c r="AQ102" i="13" s="1"/>
  <c r="AL92" i="13"/>
  <c r="AQ92" i="13" s="1"/>
  <c r="AR28" i="13" s="1"/>
  <c r="AL99" i="13"/>
  <c r="AQ99" i="13" s="1"/>
  <c r="AR34" i="13" s="1"/>
  <c r="AL158" i="13"/>
  <c r="AQ158" i="13" s="1"/>
  <c r="AL163" i="13"/>
  <c r="AQ163" i="13" s="1"/>
  <c r="AS33" i="13" s="1"/>
  <c r="AL94" i="13"/>
  <c r="AL101" i="13"/>
  <c r="AQ101" i="13" s="1"/>
  <c r="AR36" i="13" s="1"/>
  <c r="AL164" i="13"/>
  <c r="AQ164" i="13" s="1"/>
  <c r="AM145" i="13"/>
  <c r="AM74" i="13"/>
  <c r="AL152" i="13"/>
  <c r="AM155" i="13"/>
  <c r="AM88" i="13"/>
  <c r="AM153" i="13"/>
  <c r="AM90" i="13"/>
  <c r="AL154" i="13"/>
  <c r="AL91" i="13"/>
  <c r="AL90" i="13"/>
  <c r="AM152" i="13"/>
  <c r="AL89" i="13"/>
  <c r="AM154" i="13"/>
  <c r="AM89" i="13"/>
  <c r="AL148" i="13"/>
  <c r="AL87" i="13"/>
  <c r="AL144" i="13"/>
  <c r="AM87" i="13"/>
  <c r="AL75" i="13"/>
  <c r="AQ75" i="13" s="1"/>
  <c r="AL77" i="13"/>
  <c r="AQ77" i="13" s="1"/>
  <c r="AL79" i="13"/>
  <c r="AQ79" i="13" s="1"/>
  <c r="AR14" i="13" s="1"/>
  <c r="AL81" i="13"/>
  <c r="AQ81" i="13" s="1"/>
  <c r="AR16" i="13" s="1"/>
  <c r="AL83" i="13"/>
  <c r="AQ83" i="13" s="1"/>
  <c r="AL85" i="13"/>
  <c r="AQ85" i="13" s="1"/>
  <c r="AL76" i="13"/>
  <c r="AQ76" i="13" s="1"/>
  <c r="AL78" i="13"/>
  <c r="AQ78" i="13" s="1"/>
  <c r="AL80" i="13"/>
  <c r="AQ80" i="13" s="1"/>
  <c r="AR15" i="13" s="1"/>
  <c r="AL82" i="13"/>
  <c r="AQ82" i="13" s="1"/>
  <c r="AL84" i="13"/>
  <c r="AQ84" i="13" s="1"/>
  <c r="AR19" i="13" s="1"/>
  <c r="AL86" i="13"/>
  <c r="AQ86" i="13" s="1"/>
  <c r="AR21" i="13" s="1"/>
  <c r="AL88" i="13"/>
  <c r="AL142" i="13"/>
  <c r="AQ142" i="13" s="1"/>
  <c r="AL145" i="13"/>
  <c r="AQ145" i="13" s="1"/>
  <c r="AL146" i="13"/>
  <c r="AL153" i="13"/>
  <c r="AM72" i="13"/>
  <c r="AL74" i="13"/>
  <c r="AQ74" i="13" s="1"/>
  <c r="AO73" i="13"/>
  <c r="AL73" i="13"/>
  <c r="AL72" i="13"/>
  <c r="AL71" i="13"/>
  <c r="AM71" i="13"/>
  <c r="AM136" i="13"/>
  <c r="AL136" i="13"/>
  <c r="AR46" i="13"/>
  <c r="AR47" i="13"/>
  <c r="C161" i="13"/>
  <c r="C96" i="13"/>
  <c r="C167" i="13"/>
  <c r="C102" i="13"/>
  <c r="C191" i="13"/>
  <c r="C126" i="13"/>
  <c r="C95" i="13"/>
  <c r="C160" i="13"/>
  <c r="C172" i="13"/>
  <c r="C107" i="13"/>
  <c r="C178" i="13"/>
  <c r="C113" i="13"/>
  <c r="C184" i="13"/>
  <c r="C119" i="13"/>
  <c r="C190" i="13"/>
  <c r="C125" i="13"/>
  <c r="C196" i="13"/>
  <c r="C131" i="13"/>
  <c r="C71" i="13"/>
  <c r="C73" i="13"/>
  <c r="C75" i="13"/>
  <c r="C77" i="13"/>
  <c r="C79" i="13"/>
  <c r="C81" i="13"/>
  <c r="C83" i="13"/>
  <c r="C85" i="13"/>
  <c r="C87" i="13"/>
  <c r="C89" i="13"/>
  <c r="AO104" i="13"/>
  <c r="AL104" i="13"/>
  <c r="AM111" i="13"/>
  <c r="AO113" i="13"/>
  <c r="C121" i="13"/>
  <c r="AM125" i="13"/>
  <c r="C130" i="13"/>
  <c r="AO136" i="13"/>
  <c r="AM141" i="13"/>
  <c r="AM149" i="13"/>
  <c r="C166" i="13"/>
  <c r="AL168" i="13"/>
  <c r="AN173" i="13"/>
  <c r="AM173" i="13"/>
  <c r="AM178" i="13"/>
  <c r="AM188" i="13"/>
  <c r="AM192" i="13"/>
  <c r="AM196" i="13"/>
  <c r="AO112" i="13"/>
  <c r="AL115" i="13"/>
  <c r="AM117" i="13"/>
  <c r="C133" i="13"/>
  <c r="AN147" i="13"/>
  <c r="AM148" i="13"/>
  <c r="AN154" i="13"/>
  <c r="C157" i="13"/>
  <c r="AL160" i="13"/>
  <c r="AQ160" i="13" s="1"/>
  <c r="AS30" i="13" s="1"/>
  <c r="AN161" i="13"/>
  <c r="AO162" i="13"/>
  <c r="AO166" i="13"/>
  <c r="AM172" i="13"/>
  <c r="C173" i="13"/>
  <c r="AL176" i="13"/>
  <c r="AM177" i="13"/>
  <c r="AN181" i="13"/>
  <c r="C185" i="13"/>
  <c r="B6" i="13"/>
  <c r="C94" i="13"/>
  <c r="C159" i="13"/>
  <c r="C171" i="13"/>
  <c r="C106" i="13"/>
  <c r="C177" i="13"/>
  <c r="C112" i="13"/>
  <c r="C189" i="13"/>
  <c r="C124" i="13"/>
  <c r="C158" i="13"/>
  <c r="C93" i="13"/>
  <c r="C164" i="13"/>
  <c r="C99" i="13"/>
  <c r="C170" i="13"/>
  <c r="C105" i="13"/>
  <c r="C176" i="13"/>
  <c r="C111" i="13"/>
  <c r="C194" i="13"/>
  <c r="C129" i="13"/>
  <c r="AR70" i="13"/>
  <c r="AN91" i="13"/>
  <c r="AN92" i="13"/>
  <c r="AN93" i="13"/>
  <c r="AN94" i="13"/>
  <c r="AN95" i="13"/>
  <c r="AN96" i="13"/>
  <c r="AN97" i="13"/>
  <c r="AN98" i="13"/>
  <c r="AN100" i="13"/>
  <c r="AN101" i="13"/>
  <c r="AN102" i="13"/>
  <c r="AN103" i="13"/>
  <c r="AN105" i="13"/>
  <c r="AN108" i="13"/>
  <c r="AO110" i="13"/>
  <c r="AL110" i="13"/>
  <c r="C117" i="13"/>
  <c r="AN122" i="13"/>
  <c r="AM124" i="13"/>
  <c r="AL125" i="13"/>
  <c r="C132" i="13"/>
  <c r="AN132" i="13"/>
  <c r="AN139" i="13"/>
  <c r="AO141" i="13"/>
  <c r="AL150" i="13"/>
  <c r="C156" i="13"/>
  <c r="C165" i="13"/>
  <c r="AM169" i="13"/>
  <c r="AM184" i="13"/>
  <c r="C98" i="13"/>
  <c r="C163" i="13"/>
  <c r="C116" i="13"/>
  <c r="C181" i="13"/>
  <c r="C187" i="13"/>
  <c r="C122" i="13"/>
  <c r="C193" i="13"/>
  <c r="C128" i="13"/>
  <c r="C199" i="13"/>
  <c r="C134" i="13"/>
  <c r="C72" i="13"/>
  <c r="C74" i="13"/>
  <c r="C76" i="13"/>
  <c r="C78" i="13"/>
  <c r="C80" i="13"/>
  <c r="C82" i="13"/>
  <c r="C84" i="13"/>
  <c r="C86" i="13"/>
  <c r="C88" i="13"/>
  <c r="C90" i="13"/>
  <c r="C169" i="13"/>
  <c r="C162" i="13"/>
  <c r="C97" i="13"/>
  <c r="C174" i="13"/>
  <c r="C109" i="13"/>
  <c r="C192" i="13"/>
  <c r="C127" i="13"/>
  <c r="AM91" i="13"/>
  <c r="AM93" i="13"/>
  <c r="AM95" i="13"/>
  <c r="AM97" i="13"/>
  <c r="AM99" i="13"/>
  <c r="AM101" i="13"/>
  <c r="AM103" i="13"/>
  <c r="AM105" i="13"/>
  <c r="AL108" i="13"/>
  <c r="AM113" i="13"/>
  <c r="C115" i="13"/>
  <c r="C123" i="13"/>
  <c r="AN141" i="13"/>
  <c r="AN158" i="13"/>
  <c r="C168" i="13"/>
  <c r="C175" i="13"/>
  <c r="AO106" i="13"/>
  <c r="AM112" i="13"/>
  <c r="C114" i="13"/>
  <c r="AN114" i="13"/>
  <c r="AM119" i="13"/>
  <c r="AM121" i="13"/>
  <c r="AN126" i="13"/>
  <c r="AO127" i="13"/>
  <c r="AO131" i="13"/>
  <c r="AL131" i="13"/>
  <c r="AL140" i="13"/>
  <c r="AQ140" i="13" s="1"/>
  <c r="AO143" i="13"/>
  <c r="AM146" i="13"/>
  <c r="AQ146" i="13" s="1"/>
  <c r="AS16" i="13" s="1"/>
  <c r="AO147" i="13"/>
  <c r="AL147" i="13"/>
  <c r="AM150" i="13"/>
  <c r="AN165" i="13"/>
  <c r="AM166" i="13"/>
  <c r="AL175" i="13"/>
  <c r="C183" i="13"/>
  <c r="AO105" i="13"/>
  <c r="AN109" i="13"/>
  <c r="AO111" i="13"/>
  <c r="AN116" i="13"/>
  <c r="AO121" i="13"/>
  <c r="AO122" i="13"/>
  <c r="AL123" i="13"/>
  <c r="AN134" i="13"/>
  <c r="AO137" i="13"/>
  <c r="AO138" i="13"/>
  <c r="AL139" i="13"/>
  <c r="AQ139" i="13" s="1"/>
  <c r="AM144" i="13"/>
  <c r="AQ144" i="13" s="1"/>
  <c r="AO155" i="13"/>
  <c r="AO156" i="13"/>
  <c r="AL157" i="13"/>
  <c r="AQ157" i="13" s="1"/>
  <c r="AM162" i="13"/>
  <c r="AN176" i="13"/>
  <c r="AN178" i="13"/>
  <c r="AN198" i="13"/>
  <c r="AL106" i="13"/>
  <c r="AL112" i="13"/>
  <c r="AM114" i="13"/>
  <c r="AN119" i="13"/>
  <c r="AL126" i="13"/>
  <c r="AM130" i="13"/>
  <c r="AM131" i="13"/>
  <c r="AM132" i="13"/>
  <c r="AL138" i="13"/>
  <c r="AL141" i="13"/>
  <c r="AO142" i="13"/>
  <c r="AM147" i="13"/>
  <c r="AQ147" i="13" s="1"/>
  <c r="AS17" i="13" s="1"/>
  <c r="AN152" i="13"/>
  <c r="AN153" i="13"/>
  <c r="AL156" i="13"/>
  <c r="AL159" i="13"/>
  <c r="AQ159" i="13" s="1"/>
  <c r="AS29" i="13" s="1"/>
  <c r="AO160" i="13"/>
  <c r="AM165" i="13"/>
  <c r="AN170" i="13"/>
  <c r="AN172" i="13"/>
  <c r="AN179" i="13"/>
  <c r="AM179" i="13"/>
  <c r="AO188" i="13"/>
  <c r="AN190" i="13"/>
  <c r="AO192" i="13"/>
  <c r="AN194" i="13"/>
  <c r="AO196" i="13"/>
  <c r="AN107" i="13"/>
  <c r="AO109" i="13"/>
  <c r="AN113" i="13"/>
  <c r="AO115" i="13"/>
  <c r="AO116" i="13"/>
  <c r="AL117" i="13"/>
  <c r="AN128" i="13"/>
  <c r="AO133" i="13"/>
  <c r="AO134" i="13"/>
  <c r="AM138" i="13"/>
  <c r="AO149" i="13"/>
  <c r="AO150" i="13"/>
  <c r="AL151" i="13"/>
  <c r="AQ151" i="13" s="1"/>
  <c r="AM156" i="13"/>
  <c r="AO167" i="13"/>
  <c r="AO168" i="13"/>
  <c r="AL169" i="13"/>
  <c r="AL173" i="13"/>
  <c r="AL174" i="13"/>
  <c r="AO177" i="13"/>
  <c r="AO178" i="13"/>
  <c r="AM198" i="13"/>
  <c r="AO199" i="13"/>
  <c r="AL199" i="13"/>
  <c r="AM116" i="13"/>
  <c r="AM122" i="13"/>
  <c r="AM128" i="13"/>
  <c r="AM134" i="13"/>
  <c r="AO170" i="13"/>
  <c r="AN174" i="13"/>
  <c r="AO176" i="13"/>
  <c r="AN180" i="13"/>
  <c r="AO182" i="13"/>
  <c r="AO183" i="13"/>
  <c r="AL183" i="13"/>
  <c r="AO184" i="13"/>
  <c r="AO185" i="13"/>
  <c r="AL185" i="13"/>
  <c r="AO186" i="13"/>
  <c r="AL137" i="13"/>
  <c r="AO140" i="13"/>
  <c r="AL143" i="13"/>
  <c r="AQ143" i="13" s="1"/>
  <c r="AS13" i="13" s="1"/>
  <c r="AO146" i="13"/>
  <c r="AL149" i="13"/>
  <c r="AO152" i="13"/>
  <c r="AL155" i="13"/>
  <c r="AO158" i="13"/>
  <c r="AL161" i="13"/>
  <c r="AQ161" i="13" s="1"/>
  <c r="AS31" i="13" s="1"/>
  <c r="AO164" i="13"/>
  <c r="AL167" i="13"/>
  <c r="AQ167" i="13" s="1"/>
  <c r="AL171" i="13"/>
  <c r="AL177" i="13"/>
  <c r="AL182" i="13"/>
  <c r="AL184" i="13"/>
  <c r="AL186" i="13"/>
  <c r="AN187" i="13"/>
  <c r="AN188" i="13"/>
  <c r="AO190" i="13"/>
  <c r="AN191" i="13"/>
  <c r="AN192" i="13"/>
  <c r="AO194" i="13"/>
  <c r="AN195" i="13"/>
  <c r="AN196" i="13"/>
  <c r="AO198" i="13"/>
  <c r="AN199" i="13"/>
  <c r="AS10" i="13" l="1"/>
  <c r="AS32" i="13"/>
  <c r="AR17" i="13"/>
  <c r="AS28" i="13"/>
  <c r="AR31" i="13"/>
  <c r="AS14" i="13"/>
  <c r="AR13" i="13"/>
  <c r="AS15" i="13"/>
  <c r="AR33" i="13"/>
  <c r="AR20" i="13"/>
  <c r="AR32" i="13"/>
  <c r="AS35" i="13"/>
  <c r="AR18" i="13"/>
  <c r="AR35" i="13"/>
  <c r="AR38" i="13"/>
  <c r="AR37" i="13"/>
  <c r="AS38" i="13"/>
  <c r="AS37" i="13"/>
  <c r="AS34" i="13"/>
  <c r="AQ148" i="13"/>
  <c r="AS18" i="13" s="1"/>
  <c r="AR10" i="13"/>
  <c r="AQ73" i="13"/>
  <c r="AR8" i="13" s="1"/>
  <c r="AQ152" i="13"/>
  <c r="AS22" i="13" s="1"/>
  <c r="AQ150" i="13"/>
  <c r="AS20" i="13" s="1"/>
  <c r="AQ141" i="13"/>
  <c r="AS12" i="13" s="1"/>
  <c r="AQ149" i="13"/>
  <c r="AQ88" i="13"/>
  <c r="AR12" i="13"/>
  <c r="AQ138" i="13"/>
  <c r="AS9" i="13" s="1"/>
  <c r="AQ87" i="13"/>
  <c r="AR22" i="13" s="1"/>
  <c r="AQ155" i="13"/>
  <c r="AQ156" i="13"/>
  <c r="AS27" i="13" s="1"/>
  <c r="AQ90" i="13"/>
  <c r="AQ89" i="13"/>
  <c r="AQ154" i="13"/>
  <c r="AQ91" i="13"/>
  <c r="AR27" i="13" s="1"/>
  <c r="AQ153" i="13"/>
  <c r="AS21" i="13"/>
  <c r="AR11" i="13"/>
  <c r="AQ72" i="13"/>
  <c r="AQ137" i="13"/>
  <c r="AQ71" i="13"/>
  <c r="AQ136" i="13"/>
  <c r="B136" i="13"/>
  <c r="B71" i="13"/>
  <c r="AR9" i="13" l="1"/>
  <c r="AR23" i="13"/>
  <c r="AR24" i="13"/>
  <c r="AS19" i="13"/>
  <c r="AS11" i="13"/>
  <c r="AS24" i="13"/>
  <c r="AS23" i="13"/>
  <c r="AS25" i="13"/>
  <c r="AS8" i="13"/>
  <c r="AS26" i="13"/>
  <c r="AR26" i="13"/>
  <c r="AR25" i="13"/>
  <c r="AR7" i="13"/>
  <c r="AS7" i="13"/>
  <c r="AR6" i="13"/>
  <c r="AS6" i="13"/>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s="1"/>
  <c r="AL6" i="14" s="1"/>
  <c r="AT6" i="14" s="1"/>
  <c r="AL65" i="14" l="1"/>
  <c r="AL60" i="14"/>
  <c r="AL51" i="14"/>
  <c r="AL46" i="14"/>
  <c r="AT46" i="14" s="1"/>
  <c r="AL20" i="14"/>
  <c r="AT20" i="14" s="1"/>
  <c r="AL13" i="14"/>
  <c r="AT13" i="14" s="1"/>
  <c r="AL67" i="14"/>
  <c r="AL50" i="14"/>
  <c r="AT50" i="14" s="1"/>
  <c r="AL19" i="14"/>
  <c r="AT19" i="14" s="1"/>
  <c r="AL17" i="14"/>
  <c r="AT17" i="14" s="1"/>
  <c r="AL10" i="14"/>
  <c r="AT10" i="14" s="1"/>
  <c r="AL66" i="14"/>
  <c r="AT66" i="14" s="1"/>
  <c r="AL64" i="14"/>
  <c r="AL61" i="14"/>
  <c r="AL59" i="14"/>
  <c r="AL38" i="14"/>
  <c r="AL21" i="14"/>
  <c r="AT21" i="14" s="1"/>
  <c r="AL14" i="14"/>
  <c r="AT14" i="14" s="1"/>
  <c r="AL12" i="14"/>
  <c r="AT12" i="14" s="1"/>
  <c r="AL69" i="14"/>
  <c r="AL43" i="14"/>
  <c r="AL68" i="14"/>
  <c r="AL52" i="14"/>
  <c r="AT52" i="14" s="1"/>
  <c r="AL49" i="14"/>
  <c r="AL47" i="14"/>
  <c r="AL44" i="14"/>
  <c r="AL42" i="14"/>
  <c r="AL11" i="14"/>
  <c r="AT11" i="14" s="1"/>
  <c r="AL62" i="14"/>
  <c r="AT62" i="14" s="1"/>
  <c r="AL48" i="14"/>
  <c r="AL15" i="14"/>
  <c r="AT15" i="14" s="1"/>
  <c r="AL53" i="14"/>
  <c r="AL45" i="14"/>
  <c r="AT45" i="14" s="1"/>
  <c r="AL63" i="14"/>
  <c r="AL58" i="14"/>
  <c r="AT58" i="14" s="1"/>
  <c r="AL54" i="14"/>
  <c r="AL18" i="14"/>
  <c r="AT18" i="14" s="1"/>
  <c r="AL16" i="14"/>
  <c r="AT16" i="14" s="1"/>
  <c r="AL41" i="14"/>
  <c r="AT41" i="14" s="1"/>
  <c r="AL35" i="14"/>
  <c r="AT35" i="14" s="1"/>
  <c r="AL36" i="14"/>
  <c r="AT36" i="14" s="1"/>
  <c r="AL30" i="14"/>
  <c r="AT30" i="14" s="1"/>
  <c r="AL24" i="14"/>
  <c r="AT24" i="14" s="1"/>
  <c r="AL55" i="14"/>
  <c r="AT55" i="14" s="1"/>
  <c r="AL37" i="14"/>
  <c r="AT37" i="14" s="1"/>
  <c r="AL31" i="14"/>
  <c r="AT31" i="14" s="1"/>
  <c r="AL25" i="14"/>
  <c r="AT25" i="14" s="1"/>
  <c r="AL7" i="14"/>
  <c r="AT7" i="14" s="1"/>
  <c r="AL22" i="14"/>
  <c r="AT22" i="14" s="1"/>
  <c r="AL32" i="14"/>
  <c r="AT32" i="14" s="1"/>
  <c r="AW11" i="14"/>
  <c r="AL57" i="14"/>
  <c r="AT57" i="14" s="1"/>
  <c r="AL9" i="14"/>
  <c r="AT9" i="14" s="1"/>
  <c r="AL8" i="14"/>
  <c r="AT8" i="14" s="1"/>
  <c r="AL39" i="14"/>
  <c r="AT39" i="14" s="1"/>
  <c r="AL26" i="14"/>
  <c r="AT26" i="14" s="1"/>
  <c r="AL33" i="14"/>
  <c r="AT33" i="14" s="1"/>
  <c r="AL28" i="14"/>
  <c r="AT28" i="14" s="1"/>
  <c r="AL23" i="14"/>
  <c r="AT23" i="14" s="1"/>
  <c r="AL56" i="14"/>
  <c r="AT56" i="14" s="1"/>
  <c r="AL29" i="14"/>
  <c r="AT29" i="14" s="1"/>
  <c r="AW10" i="14"/>
  <c r="AL40" i="14"/>
  <c r="AT40" i="14" s="1"/>
  <c r="AL34" i="14"/>
  <c r="AT34" i="14" s="1"/>
  <c r="AL27" i="14"/>
  <c r="AT27" i="14" s="1"/>
  <c r="AW16" i="14"/>
  <c r="AU15" i="14" s="1"/>
  <c r="AW8" i="14"/>
  <c r="AU11" i="14" s="1"/>
  <c r="AW9" i="14"/>
  <c r="AU10" i="14"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l="1"/>
  <c r="AU5" i="13" s="1"/>
  <c r="AW12" i="14"/>
  <c r="AU5" i="14" s="1"/>
  <c r="AS5" i="14"/>
  <c r="AU14" i="14"/>
  <c r="AV5" i="14"/>
  <c r="AR5" i="14"/>
  <c r="AU13" i="14"/>
  <c r="AT5" i="14"/>
  <c r="AL68" i="13"/>
  <c r="AL69" i="13"/>
  <c r="AL63" i="13"/>
  <c r="AL57" i="13"/>
  <c r="AL51" i="13"/>
  <c r="AL45" i="13"/>
  <c r="AL39" i="13"/>
  <c r="AL33" i="13"/>
  <c r="AT33" i="13" s="1"/>
  <c r="AL27" i="13"/>
  <c r="AT27" i="13" s="1"/>
  <c r="AL21" i="13"/>
  <c r="AT21" i="13" s="1"/>
  <c r="AL13" i="13"/>
  <c r="AT13" i="13" s="1"/>
  <c r="AL12" i="13"/>
  <c r="AT12" i="13" s="1"/>
  <c r="AL64" i="13"/>
  <c r="AL58" i="13"/>
  <c r="AL52" i="13"/>
  <c r="AL46" i="13"/>
  <c r="AL40" i="13"/>
  <c r="AL34" i="13"/>
  <c r="AT34" i="13" s="1"/>
  <c r="AL28" i="13"/>
  <c r="AT28" i="13" s="1"/>
  <c r="AL22" i="13"/>
  <c r="AT22" i="13" s="1"/>
  <c r="AL11" i="13"/>
  <c r="AT11" i="13" s="1"/>
  <c r="AL10" i="13"/>
  <c r="AT10" i="13" s="1"/>
  <c r="AL60" i="13"/>
  <c r="AL48" i="13"/>
  <c r="AL30" i="13"/>
  <c r="AT30" i="13" s="1"/>
  <c r="AL24" i="13"/>
  <c r="AT24" i="13" s="1"/>
  <c r="AL18" i="13"/>
  <c r="AT18" i="13" s="1"/>
  <c r="AL16" i="13"/>
  <c r="AT16" i="13" s="1"/>
  <c r="AL65" i="13"/>
  <c r="AL59" i="13"/>
  <c r="AL53" i="13"/>
  <c r="AL47" i="13"/>
  <c r="AL41" i="13"/>
  <c r="AL35" i="13"/>
  <c r="AT35" i="13" s="1"/>
  <c r="AL29" i="13"/>
  <c r="AT29" i="13" s="1"/>
  <c r="AL23" i="13"/>
  <c r="AT23" i="13" s="1"/>
  <c r="AL9" i="13"/>
  <c r="AT9" i="13" s="1"/>
  <c r="AL54" i="13"/>
  <c r="AL42" i="13"/>
  <c r="AL36" i="13"/>
  <c r="AT36" i="13" s="1"/>
  <c r="AL17" i="13"/>
  <c r="AT17" i="13" s="1"/>
  <c r="AL8" i="13"/>
  <c r="AT8" i="13" s="1"/>
  <c r="AL26" i="13"/>
  <c r="AT26" i="13" s="1"/>
  <c r="AL66" i="13"/>
  <c r="AL67" i="13"/>
  <c r="AL61" i="13"/>
  <c r="AL55" i="13"/>
  <c r="AL49" i="13"/>
  <c r="AL43" i="13"/>
  <c r="AL37" i="13"/>
  <c r="AT37" i="13" s="1"/>
  <c r="AL31" i="13"/>
  <c r="AT31" i="13" s="1"/>
  <c r="AL25" i="13"/>
  <c r="AT25" i="13" s="1"/>
  <c r="AL19" i="13"/>
  <c r="AT19" i="13" s="1"/>
  <c r="AL15" i="13"/>
  <c r="AT15" i="13" s="1"/>
  <c r="AL7" i="13"/>
  <c r="AT7" i="13" s="1"/>
  <c r="AL6" i="13"/>
  <c r="AT6" i="13" s="1"/>
  <c r="AL62" i="13"/>
  <c r="AL56" i="13"/>
  <c r="AL50" i="13"/>
  <c r="AL44" i="13"/>
  <c r="AL38" i="13"/>
  <c r="AL32" i="13"/>
  <c r="AT32" i="13" s="1"/>
  <c r="AL20" i="13"/>
  <c r="AT20" i="13" s="1"/>
  <c r="AL14" i="13"/>
  <c r="AT14" i="13" s="1"/>
  <c r="AW11" i="13"/>
  <c r="AW16" i="13"/>
  <c r="AU15" i="13" s="1"/>
  <c r="AW8" i="13"/>
  <c r="AW9" i="13"/>
  <c r="AW10" i="13"/>
  <c r="L14" i="4"/>
  <c r="AT5" i="13" l="1"/>
  <c r="AU13" i="13"/>
  <c r="AU14" i="13"/>
  <c r="AV5" i="13"/>
  <c r="AS5" i="13"/>
  <c r="AU10" i="13"/>
  <c r="AR5" i="13"/>
  <c r="AU11" i="13"/>
  <c r="B11"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G14" i="4"/>
  <c r="F16" i="4"/>
  <c r="G15" i="4"/>
  <c r="AW15" i="14" s="1"/>
  <c r="AU8" i="14" s="1"/>
  <c r="G13" i="4" l="1"/>
  <c r="F13" i="4"/>
  <c r="AW14" i="13" s="1"/>
  <c r="AU7" i="13" s="1"/>
  <c r="AW15" i="13" l="1"/>
  <c r="AU8" i="13" s="1"/>
  <c r="I13" i="4" l="1"/>
  <c r="H13" i="4"/>
  <c r="H5" i="1" l="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・吹鳴中の再度吹鳴条件成立のマスクはVSVの責務とする
・2周期鳴らし切り後の再吹鳴及び、吹鳴要求のストックはVSV側にて実施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24" authorId="0" shapeId="0" xr:uid="{03936091-C49A-4A8A-8C23-BEF2531C6AB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 authorId="1" shapeId="0" xr:uid="{45E8C23C-EAA9-4256-80F1-7D43DA20B47D}">
      <text>
        <r>
          <rPr>
            <b/>
            <sz val="9"/>
            <color indexed="81"/>
            <rFont val="MS P ゴシック"/>
            <family val="3"/>
            <charset val="128"/>
          </rPr>
          <t xml:space="preserve">リモート送信条件成立：IG ON 且つ PTS ONが15[s]以上
</t>
        </r>
      </text>
    </comment>
    <comment ref="E27" authorId="1" shapeId="0" xr:uid="{9D76771B-422E-4F17-BC41-9655EF02A063}">
      <text>
        <r>
          <rPr>
            <b/>
            <sz val="9"/>
            <color indexed="81"/>
            <rFont val="MS P ゴシック"/>
            <family val="3"/>
            <charset val="128"/>
          </rPr>
          <t xml:space="preserve">IG ON 且つ ST OFF
</t>
        </r>
      </text>
    </comment>
    <comment ref="F27" authorId="1" shapeId="0" xr:uid="{5DC6D2F8-97FF-435D-BC80-7928C50BBF6B}">
      <text>
        <r>
          <rPr>
            <b/>
            <sz val="9"/>
            <color indexed="81"/>
            <rFont val="MS P ゴシック"/>
            <family val="3"/>
            <charset val="128"/>
          </rPr>
          <t>IG ON</t>
        </r>
      </text>
    </comment>
    <comment ref="G27" authorId="1" shapeId="0" xr:uid="{CCBFBF6D-44F3-49E8-9C8F-502A71628919}">
      <text>
        <r>
          <rPr>
            <b/>
            <sz val="9"/>
            <color indexed="81"/>
            <rFont val="MS P ゴシック"/>
            <family val="3"/>
            <charset val="128"/>
          </rPr>
          <t xml:space="preserve">IG OFF 且つ IG OFF後25[m]未満
</t>
        </r>
      </text>
    </comment>
    <comment ref="H27" authorId="1" shapeId="0" xr:uid="{B7140778-7FBA-4901-BC20-1C8500EF0992}">
      <text>
        <r>
          <rPr>
            <b/>
            <sz val="9"/>
            <color indexed="81"/>
            <rFont val="MS P ゴシック"/>
            <family val="3"/>
            <charset val="128"/>
          </rPr>
          <t xml:space="preserve">IG OFF
</t>
        </r>
      </text>
    </comment>
    <comment ref="I27" authorId="1" shapeId="0" xr:uid="{DB7E599A-B3CC-44A2-A39C-04BD500221D2}">
      <text>
        <r>
          <rPr>
            <b/>
            <sz val="9"/>
            <color indexed="81"/>
            <rFont val="MS P ゴシック"/>
            <family val="3"/>
            <charset val="128"/>
          </rPr>
          <t xml:space="preserve">IG ON 又は IG OFF後25[m]未満
</t>
        </r>
      </text>
    </comment>
    <comment ref="J27" authorId="1" shapeId="0" xr:uid="{66011287-66A6-4DC2-BEA1-27EE64944939}">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9276104B-7B3E-4EC4-B5AB-83F0DE5BFBE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468CF05F-B3BD-45E3-BBB9-322BE3189C4B}">
      <text>
        <r>
          <rPr>
            <b/>
            <sz val="9"/>
            <color indexed="81"/>
            <rFont val="MS P ゴシック"/>
            <family val="3"/>
            <charset val="128"/>
          </rPr>
          <t xml:space="preserve">リモート送信条件成立：IG ON 且つ PTS ONが15[s]以上
</t>
        </r>
      </text>
    </comment>
    <comment ref="E9" authorId="1" shapeId="0" xr:uid="{C9D563DF-8B94-49BA-A3F2-348062095C8E}">
      <text>
        <r>
          <rPr>
            <b/>
            <sz val="9"/>
            <color indexed="81"/>
            <rFont val="MS P ゴシック"/>
            <family val="3"/>
            <charset val="128"/>
          </rPr>
          <t xml:space="preserve">IG ON 且つ ST OFF
</t>
        </r>
      </text>
    </comment>
    <comment ref="F9" authorId="1" shapeId="0" xr:uid="{04487768-A3AB-4AF5-B339-285AC98E9CF9}">
      <text>
        <r>
          <rPr>
            <b/>
            <sz val="9"/>
            <color indexed="81"/>
            <rFont val="MS P ゴシック"/>
            <family val="3"/>
            <charset val="128"/>
          </rPr>
          <t>IG ON</t>
        </r>
      </text>
    </comment>
    <comment ref="G9" authorId="1" shapeId="0" xr:uid="{034540F0-CA71-4122-9F61-5A56EB270292}">
      <text>
        <r>
          <rPr>
            <b/>
            <sz val="9"/>
            <color indexed="81"/>
            <rFont val="MS P ゴシック"/>
            <family val="3"/>
            <charset val="128"/>
          </rPr>
          <t xml:space="preserve">IG OFF 且つ IG OFF後25[m]未満
</t>
        </r>
      </text>
    </comment>
    <comment ref="H9" authorId="1" shapeId="0" xr:uid="{F3114868-F299-4354-92CF-904F54E37E65}">
      <text>
        <r>
          <rPr>
            <b/>
            <sz val="9"/>
            <color indexed="81"/>
            <rFont val="MS P ゴシック"/>
            <family val="3"/>
            <charset val="128"/>
          </rPr>
          <t xml:space="preserve">IG OFF
</t>
        </r>
      </text>
    </comment>
    <comment ref="I9" authorId="1" shapeId="0" xr:uid="{9AE5A299-7B2D-416B-AF79-A8E01FF20B59}">
      <text>
        <r>
          <rPr>
            <b/>
            <sz val="9"/>
            <color indexed="81"/>
            <rFont val="MS P ゴシック"/>
            <family val="3"/>
            <charset val="128"/>
          </rPr>
          <t xml:space="preserve">IG ON 又は IG OFF後25[m]未満
</t>
        </r>
      </text>
    </comment>
    <comment ref="J9" authorId="1" shapeId="0" xr:uid="{30A8C16C-9EF4-467F-9D4A-25943B2512E4}">
      <text>
        <r>
          <rPr>
            <b/>
            <sz val="9"/>
            <color indexed="81"/>
            <rFont val="MS P ゴシック"/>
            <family val="3"/>
            <charset val="128"/>
          </rPr>
          <t>+B ON 又は ACC ON</t>
        </r>
      </text>
    </comment>
    <comment ref="B54" authorId="0" shapeId="0" xr:uid="{FC85A63B-9299-430B-A127-3EBD04D7DE0E}">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E9AB4E37-F746-42B9-8104-75B143A68F12}">
      <text>
        <r>
          <rPr>
            <b/>
            <sz val="9"/>
            <color indexed="81"/>
            <rFont val="MS P ゴシック"/>
            <family val="3"/>
            <charset val="128"/>
          </rPr>
          <t xml:space="preserve">リモート送信条件成立：IG ON 且つ PTS ONが15[s]以上
</t>
        </r>
      </text>
    </comment>
    <comment ref="E57" authorId="1" shapeId="0" xr:uid="{E1C16060-89E9-4A4E-BDD2-61223636DDE9}">
      <text>
        <r>
          <rPr>
            <b/>
            <sz val="9"/>
            <color indexed="81"/>
            <rFont val="MS P ゴシック"/>
            <family val="3"/>
            <charset val="128"/>
          </rPr>
          <t xml:space="preserve">IG ON 且つ ST OFF
</t>
        </r>
      </text>
    </comment>
    <comment ref="F57" authorId="1" shapeId="0" xr:uid="{2C55149E-722C-4D49-A140-4A06008D52B4}">
      <text>
        <r>
          <rPr>
            <b/>
            <sz val="9"/>
            <color indexed="81"/>
            <rFont val="MS P ゴシック"/>
            <family val="3"/>
            <charset val="128"/>
          </rPr>
          <t>IG ON</t>
        </r>
      </text>
    </comment>
    <comment ref="G57" authorId="1" shapeId="0" xr:uid="{4A265874-F3C7-493F-8B09-F3890E22D420}">
      <text>
        <r>
          <rPr>
            <b/>
            <sz val="9"/>
            <color indexed="81"/>
            <rFont val="MS P ゴシック"/>
            <family val="3"/>
            <charset val="128"/>
          </rPr>
          <t xml:space="preserve">IG OFF 且つ IG OFF後25[m]未満
</t>
        </r>
      </text>
    </comment>
    <comment ref="H57" authorId="1" shapeId="0" xr:uid="{BD27C209-3C24-416C-957E-792CE31AB5F2}">
      <text>
        <r>
          <rPr>
            <b/>
            <sz val="9"/>
            <color indexed="81"/>
            <rFont val="MS P ゴシック"/>
            <family val="3"/>
            <charset val="128"/>
          </rPr>
          <t xml:space="preserve">IG OFF
</t>
        </r>
      </text>
    </comment>
    <comment ref="I57" authorId="1" shapeId="0" xr:uid="{33D411E6-0723-4896-A57D-11F667398778}">
      <text>
        <r>
          <rPr>
            <b/>
            <sz val="9"/>
            <color indexed="81"/>
            <rFont val="MS P ゴシック"/>
            <family val="3"/>
            <charset val="128"/>
          </rPr>
          <t xml:space="preserve">IG ON 又は IG OFF後25[m]未満
</t>
        </r>
      </text>
    </comment>
    <comment ref="J57" authorId="1" shapeId="0" xr:uid="{82EEC570-69C9-4DF4-A650-DB7F4139394F}">
      <text>
        <r>
          <rPr>
            <b/>
            <sz val="9"/>
            <color indexed="81"/>
            <rFont val="MS P ゴシック"/>
            <family val="3"/>
            <charset val="128"/>
          </rPr>
          <t>+B ON 又は ACC ON</t>
        </r>
      </text>
    </comment>
    <comment ref="B81" authorId="0" shapeId="0" xr:uid="{7B9592BB-FE2A-4B0D-B40D-F5A7FA258BE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4" authorId="1" shapeId="0" xr:uid="{7CA8D35A-6050-4D05-A2E0-262E29C0A198}">
      <text>
        <r>
          <rPr>
            <b/>
            <sz val="9"/>
            <color indexed="81"/>
            <rFont val="MS P ゴシック"/>
            <family val="3"/>
            <charset val="128"/>
          </rPr>
          <t xml:space="preserve">リモート送信条件成立：IG ON 且つ PTS ONが15[s]以上
</t>
        </r>
      </text>
    </comment>
    <comment ref="E84" authorId="1" shapeId="0" xr:uid="{5585673E-28CB-4170-B7F4-039231CF056B}">
      <text>
        <r>
          <rPr>
            <b/>
            <sz val="9"/>
            <color indexed="81"/>
            <rFont val="MS P ゴシック"/>
            <family val="3"/>
            <charset val="128"/>
          </rPr>
          <t xml:space="preserve">IG ON 且つ ST OFF
</t>
        </r>
      </text>
    </comment>
    <comment ref="F84" authorId="1" shapeId="0" xr:uid="{0D7FAF1F-DF2A-48DE-BE24-0813D0AA7AC5}">
      <text>
        <r>
          <rPr>
            <b/>
            <sz val="9"/>
            <color indexed="81"/>
            <rFont val="MS P ゴシック"/>
            <family val="3"/>
            <charset val="128"/>
          </rPr>
          <t>IG ON</t>
        </r>
      </text>
    </comment>
    <comment ref="G84" authorId="1" shapeId="0" xr:uid="{AB8DCA26-9738-42B7-9BD2-03DF5CD7281F}">
      <text>
        <r>
          <rPr>
            <b/>
            <sz val="9"/>
            <color indexed="81"/>
            <rFont val="MS P ゴシック"/>
            <family val="3"/>
            <charset val="128"/>
          </rPr>
          <t xml:space="preserve">IG OFF 且つ IG OFF後25[m]未満
</t>
        </r>
      </text>
    </comment>
    <comment ref="H84" authorId="1" shapeId="0" xr:uid="{62F68DC4-5C20-4D00-8514-301B6EB450E9}">
      <text>
        <r>
          <rPr>
            <b/>
            <sz val="9"/>
            <color indexed="81"/>
            <rFont val="MS P ゴシック"/>
            <family val="3"/>
            <charset val="128"/>
          </rPr>
          <t xml:space="preserve">IG OFF
</t>
        </r>
      </text>
    </comment>
    <comment ref="I84" authorId="1" shapeId="0" xr:uid="{8C1BD9C0-2E14-4C41-A207-8ADBE6102BBE}">
      <text>
        <r>
          <rPr>
            <b/>
            <sz val="9"/>
            <color indexed="81"/>
            <rFont val="MS P ゴシック"/>
            <family val="3"/>
            <charset val="128"/>
          </rPr>
          <t xml:space="preserve">IG ON 又は IG OFF後25[m]未満
</t>
        </r>
      </text>
    </comment>
    <comment ref="J84" authorId="1" shapeId="0" xr:uid="{72B2FB79-49E6-44F4-A0D9-25409C6270F2}">
      <text>
        <r>
          <rPr>
            <b/>
            <sz val="9"/>
            <color indexed="81"/>
            <rFont val="MS P ゴシック"/>
            <family val="3"/>
            <charset val="128"/>
          </rPr>
          <t>+B ON 又は ACC ON</t>
        </r>
      </text>
    </comment>
  </commentList>
</comments>
</file>

<file path=xl/sharedStrings.xml><?xml version="1.0" encoding="utf-8"?>
<sst xmlns="http://schemas.openxmlformats.org/spreadsheetml/2006/main" count="5873" uniqueCount="361">
  <si>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</si>
  <si>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</si>
  <si>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</si>
  <si>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</si>
  <si>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</si>
  <si>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</si>
  <si>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</si>
  <si>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</si>
  <si>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</si>
  <si>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</si>
  <si>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</si>
  <si>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</si>
  <si>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</si>
  <si>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</si>
  <si>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</si>
  <si>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</si>
  <si>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</si>
  <si>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</si>
  <si>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</si>
  <si>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</si>
  <si>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</si>
  <si>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</si>
  <si>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</si>
  <si>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</si>
  <si>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</si>
  <si>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</si>
  <si>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</si>
  <si>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</si>
  <si>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</si>
  <si>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</si>
  <si>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</si>
  <si>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</si>
  <si>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</si>
  <si>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</si>
  <si>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</si>
  <si>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</si>
  <si>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</si>
  <si>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</si>
  <si>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</si>
  <si>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</si>
  <si>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</si>
  <si>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</si>
  <si>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</si>
  <si>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</si>
  <si>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</si>
  <si>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</si>
  <si>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</si>
  <si>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</si>
  <si>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</si>
  <si>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</si>
  <si>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</si>
  <si>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</si>
  <si>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</si>
  <si>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</si>
  <si>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</si>
  <si>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</si>
  <si>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</si>
  <si>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</si>
  <si>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</si>
  <si>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</si>
  <si>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</si>
  <si>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</si>
  <si>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</si>
  <si>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</si>
  <si>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</si>
  <si>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</si>
  <si>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</si>
  <si>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</si>
  <si>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</si>
  <si>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</si>
  <si>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</si>
  <si>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</si>
  <si>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</si>
  <si>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</si>
  <si>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</si>
  <si>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</si>
  <si>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</si>
  <si>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</si>
  <si>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</si>
  <si>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</si>
  <si>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</si>
  <si>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</si>
  <si>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</si>
  <si>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</si>
  <si>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</si>
  <si>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</si>
  <si>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</si>
  <si>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</si>
  <si>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</si>
  <si>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</si>
  <si>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</si>
  <si>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</si>
  <si>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</si>
  <si>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</si>
  <si>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</si>
  <si>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</si>
  <si>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</si>
  <si>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</si>
  <si>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</si>
  <si>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</si>
  <si>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</si>
  <si>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</si>
  <si>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</si>
  <si>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</si>
  <si>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</si>
  <si>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</si>
  <si>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</si>
  <si>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</si>
  <si>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</si>
  <si>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</si>
  <si>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</si>
  <si>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</si>
  <si>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</si>
  <si>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</si>
  <si>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</si>
  <si>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</si>
  <si>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</si>
  <si>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</si>
  <si>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</si>
  <si>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</si>
  <si>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</si>
  <si>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</si>
  <si>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</si>
  <si>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</si>
  <si>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</si>
  <si>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</si>
  <si>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</si>
  <si>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</si>
  <si>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</si>
  <si>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</si>
  <si>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</si>
  <si>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</si>
  <si>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</si>
  <si>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</si>
  <si>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</si>
  <si>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</si>
  <si>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</si>
  <si>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</si>
  <si>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</si>
  <si>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</si>
  <si>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</si>
  <si>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</si>
  <si>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</si>
  <si>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</si>
  <si>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</si>
  <si>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</si>
  <si>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</si>
  <si>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</si>
  <si>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</si>
  <si>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</si>
  <si>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</si>
  <si>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</si>
  <si>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</si>
  <si>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</si>
  <si>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</si>
  <si>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</si>
  <si>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</si>
  <si>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</si>
  <si>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</si>
  <si>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</si>
  <si>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</si>
  <si>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</si>
  <si>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</si>
  <si>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</si>
  <si>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</si>
  <si>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</si>
  <si>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</si>
  <si>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</si>
  <si>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</si>
  <si>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</si>
  <si>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</si>
  <si>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</si>
  <si>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</si>
  <si>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</si>
  <si>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</si>
  <si>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</si>
  <si>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</si>
  <si>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</si>
  <si>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</si>
  <si>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</si>
  <si>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</si>
  <si>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</si>
  <si>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</si>
  <si>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</si>
  <si>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</si>
  <si>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</si>
  <si>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</si>
  <si>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</si>
  <si>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</si>
  <si>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</si>
  <si>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</si>
  <si>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</si>
  <si>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</si>
  <si>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</si>
  <si>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</si>
  <si>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</si>
  <si>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</si>
  <si>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</si>
  <si>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</si>
  <si>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</si>
  <si>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</si>
  <si>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</si>
  <si>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</si>
  <si>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</si>
  <si>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</si>
  <si>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</si>
  <si>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5.5.0</t>
    <phoneticPr fontId="2"/>
  </si>
  <si>
    <t>通常(0b)/
未受信(1b)</t>
    <phoneticPr fontId="2"/>
  </si>
  <si>
    <t>1b</t>
    <phoneticPr fontId="2"/>
  </si>
  <si>
    <t>*b</t>
    <phoneticPr fontId="2"/>
  </si>
  <si>
    <t>-</t>
    <phoneticPr fontId="2"/>
  </si>
  <si>
    <t>制御仕様→BZR</t>
    <rPh sb="0" eb="4">
      <t>セイギョシヨウ</t>
    </rPh>
    <phoneticPr fontId="2"/>
  </si>
  <si>
    <t>制御仕様→TT</t>
    <rPh sb="0" eb="4">
      <t>セイギョシヨウ</t>
    </rPh>
    <phoneticPr fontId="2"/>
  </si>
  <si>
    <t>-</t>
    <phoneticPr fontId="2"/>
  </si>
  <si>
    <t>vd_g_AlertD_sftposInit</t>
  </si>
  <si>
    <t>Matrix Search</t>
  </si>
  <si>
    <t>001b</t>
  </si>
  <si>
    <t>010b</t>
  </si>
  <si>
    <t>011b</t>
  </si>
  <si>
    <t>100b</t>
  </si>
  <si>
    <t>101b</t>
  </si>
  <si>
    <t>110b</t>
  </si>
  <si>
    <t>111b</t>
  </si>
  <si>
    <t>000b</t>
  </si>
  <si>
    <t>2連発/
-</t>
    <phoneticPr fontId="2"/>
  </si>
  <si>
    <t>2連発</t>
  </si>
  <si>
    <t>0b</t>
  </si>
  <si>
    <t>その他</t>
    <rPh sb="2" eb="3">
      <t>タ</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</si>
  <si>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</si>
  <si>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</si>
  <si>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</si>
  <si>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制御仕様→MID</t>
    <rPh sb="0" eb="4">
      <t>セイギョシヨウ</t>
    </rPh>
    <phoneticPr fontId="2"/>
  </si>
  <si>
    <t>IG-ON</t>
  </si>
  <si>
    <t>1b</t>
  </si>
  <si>
    <t>*b</t>
  </si>
  <si>
    <t>***b</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</si>
  <si>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</si>
  <si>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</si>
  <si>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</si>
  <si>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CYCLE</t>
  </si>
  <si>
    <t>B_RJTB2_SIG</t>
  </si>
  <si>
    <t>B_RJTB_SIG</t>
  </si>
  <si>
    <t>■MET-M_CONTBUZZ-CSTD-0036-C7（添付資料1）.xlsx</t>
  </si>
  <si>
    <t>ECT1G92</t>
  </si>
  <si>
    <t>ECT1G92_STS</t>
  </si>
  <si>
    <t>非吹鳴(0b)/
2連発(1b)</t>
  </si>
  <si>
    <t>IG-ON + 前回値非吹鳴 + 前回値非吹鳴 + 通常 +  非吹鳴 + 非吹鳴</t>
  </si>
  <si>
    <t>IG-ON + 前回値非吹鳴 + 前回値非吹鳴 + 通常 +  非吹鳴 + 2連発</t>
  </si>
  <si>
    <t>非吹鳴(001b以外)/
2連発(001b)/</t>
  </si>
  <si>
    <t>IG-ON + *** + *** + * +  *** + *</t>
  </si>
  <si>
    <t xml:space="preserve">UNKNOWN/
CYCLE
</t>
  </si>
  <si>
    <t>断続/
-</t>
  </si>
  <si>
    <t>通常(00b)/
未受信(01b)/
途絶(10b)/
未受信途絶(11b)/</t>
  </si>
  <si>
    <t>00b</t>
  </si>
  <si>
    <t>B_RSBW</t>
  </si>
  <si>
    <t>ALERT_CH_D_SFTPOS_B_RCVT</t>
  </si>
  <si>
    <t>ALERT_CH_D_SFTPOS_B_RSBW</t>
  </si>
  <si>
    <t>B_RJTB</t>
  </si>
  <si>
    <t>ALERT_CH_D_SFTPOS_B_RJTB</t>
  </si>
  <si>
    <t>DBL1</t>
  </si>
  <si>
    <t>DBL2</t>
  </si>
  <si>
    <t>DBL3</t>
  </si>
  <si>
    <t>ECT1S92_STS</t>
  </si>
  <si>
    <t>SFT_MET = 0010b</t>
  </si>
  <si>
    <t>SFT_METS = 0010b</t>
  </si>
  <si>
    <t>BC_RJTB判定</t>
  </si>
  <si>
    <t xml:space="preserve">UNKNOWN/
DBL1/DBL2/DBL3
</t>
  </si>
  <si>
    <t>IG-ON +通常 +  非吹鳴 + 非吹鳴</t>
  </si>
  <si>
    <t>IG-ON +通常 +  非吹鳴 + 2連発</t>
  </si>
  <si>
    <t>IG-ON +通常 +  2連発 + 非吹鳴</t>
  </si>
  <si>
    <t>IG-ON +通常 +  2連発 + 2連発</t>
  </si>
  <si>
    <t>IG-ON + 未受信 +  *** + *</t>
  </si>
  <si>
    <t>B_RCVT判定</t>
  </si>
  <si>
    <t>内部データ</t>
  </si>
  <si>
    <t>ECT1S92</t>
  </si>
  <si>
    <t>SFT_MET != 0010b (0b)/
SFT_MET = 0010b (1b)</t>
  </si>
  <si>
    <t>状態経過時間</t>
    <rPh sb="0" eb="2">
      <t>ジョウタイ</t>
    </rPh>
    <rPh sb="2" eb="4">
      <t>ケイカ</t>
    </rPh>
    <rPh sb="4" eb="6">
      <t>ジカン</t>
    </rPh>
    <phoneticPr fontId="2"/>
  </si>
  <si>
    <t>elpsd_03s</t>
    <phoneticPr fontId="2"/>
  </si>
  <si>
    <t>0.3s未満(0b)/
0.3s以上(1b)</t>
    <phoneticPr fontId="2"/>
  </si>
  <si>
    <t>他ドメイン情報</t>
    <rPh sb="0" eb="1">
      <t>タ</t>
    </rPh>
    <rPh sb="5" eb="7">
      <t>ジョウホウ</t>
    </rPh>
    <phoneticPr fontId="2"/>
  </si>
  <si>
    <t>走行可能フラグ</t>
    <rPh sb="0" eb="2">
      <t>ソウコウ</t>
    </rPh>
    <rPh sb="2" eb="4">
      <t>カノウ</t>
    </rPh>
    <phoneticPr fontId="2"/>
  </si>
  <si>
    <t>トランスミッション判定フラグ</t>
    <rPh sb="9" eb="11">
      <t>ハンテイ</t>
    </rPh>
    <phoneticPr fontId="2"/>
  </si>
  <si>
    <t>Ready to travel flag</t>
    <phoneticPr fontId="2"/>
  </si>
  <si>
    <t>フラグOFF(0b)/
フラグON(1b)/</t>
    <phoneticPr fontId="2"/>
  </si>
  <si>
    <t>リバース音の設定</t>
  </si>
  <si>
    <t>無音(0b)/
断続音(1b)</t>
  </si>
  <si>
    <t>**b</t>
  </si>
  <si>
    <t>01b</t>
  </si>
  <si>
    <t>10b</t>
  </si>
  <si>
    <t>11b</t>
  </si>
  <si>
    <t>B_RSBW判定</t>
  </si>
  <si>
    <t>SFT_METS</t>
  </si>
  <si>
    <t>SFT_METS != 0010b (0b)/
SFT_METS = 0010b (1b)</t>
  </si>
  <si>
    <t>IG-ON + 無音 + * + * + * + ** + *</t>
  </si>
  <si>
    <t>IG-ON + 断続音 + MT + * + * + ** + *</t>
  </si>
  <si>
    <t>MT(0b)/
MT以外(1b)</t>
  </si>
  <si>
    <t>IG-ON + 断続音 + MT以外 + フラグOFF + * + ** + *</t>
  </si>
  <si>
    <t>IG-ON + 断続音 + MT以外 + フラグON + 0.3s未満 + ** + *</t>
  </si>
  <si>
    <t xml:space="preserve">IG-ON + 断続音 + MT以外 + フラグON + 0.3s以上 + 通常 + SFT_MET != 0010b </t>
  </si>
  <si>
    <t xml:space="preserve">IG-ON + 断続音 + MT以外 + フラグON + 0.3s以上 + 通常 + SFT_MET = 0010b </t>
  </si>
  <si>
    <t xml:space="preserve">IG-ON + 断続音 + MT以外 + フラグON + 0.3s以上 + 未受信 + SFT_MET != 0010b </t>
  </si>
  <si>
    <t xml:space="preserve">IG-ON + 断続音 + MT以外 + フラグON + 0.3s以上 + 未受信 + SFT_MET = 0010b </t>
  </si>
  <si>
    <t xml:space="preserve">IG-ON + 断続音 + MT以外 + フラグON + 0.3s以上 + 途絶 + SFT_MET != 0010b </t>
  </si>
  <si>
    <t xml:space="preserve">IG-ON + 断続音 + MT以外 + フラグON + 0.3s以上 + 途絶 + SFT_MET = 0010b </t>
  </si>
  <si>
    <t xml:space="preserve">IG-ON + 断続音 + MT以外 + フラグON + 0.3s以上 + 未受信途絶 + SFT_MET != 0010b </t>
  </si>
  <si>
    <t xml:space="preserve">IG-ON + 断続音 + MT以外 + フラグON + 0.3s以上 + 未受信途絶 + SFT_MET = 0010b </t>
  </si>
  <si>
    <t>IG-OFF +* + * + * + * + ** + *</t>
  </si>
  <si>
    <t>IG-OFF + * +  *** + *</t>
  </si>
  <si>
    <t>断続音判定</t>
  </si>
  <si>
    <t>u4_g_AlertRevBzrSoundType</t>
  </si>
  <si>
    <t>u1_g_VardefBzRevDstByPid() == JPN</t>
  </si>
  <si>
    <t>FALSE(0b)/
TRUE(1b)</t>
  </si>
  <si>
    <t>Index</t>
  </si>
  <si>
    <t>承認欄 [DT]</t>
    <phoneticPr fontId="2"/>
  </si>
  <si>
    <t>DT成瀬哲</t>
    <rPh sb="2" eb="5">
      <t>ナルセテツ</t>
    </rPh>
    <phoneticPr fontId="2"/>
  </si>
  <si>
    <t>MET-D_SFTPOS-CSTD-1-00-A-C0.xlsm</t>
    <phoneticPr fontId="2"/>
  </si>
  <si>
    <t>https://svn.geniie.net/bevs3/bevs3cdc/仕様書/MET/%231/tags/00.Product/v0.1.0/制御仕様/MET-D_SFTPOS-CSTD-1-00-A-C0/</t>
    <phoneticPr fontId="2"/>
  </si>
  <si>
    <t>IG-ON +通常 + 非吹鳴</t>
    <phoneticPr fontId="2"/>
  </si>
  <si>
    <t>IG-ON +通常 + 2連発</t>
    <rPh sb="13" eb="15">
      <t>レンパツ</t>
    </rPh>
    <phoneticPr fontId="2"/>
  </si>
  <si>
    <t>IG-ON + 未受信 + *</t>
    <phoneticPr fontId="2"/>
  </si>
  <si>
    <t>IG-OFF + * + *</t>
    <phoneticPr fontId="2"/>
  </si>
  <si>
    <t>SFT_METS != 0010b 吹鳴要求なし/
SFT_METS = 0010b 吹鳴要求あり</t>
    <rPh sb="18" eb="20">
      <t>スイメイ</t>
    </rPh>
    <rPh sb="20" eb="22">
      <t>ヨウキュウ</t>
    </rPh>
    <rPh sb="43" eb="47">
      <t>スイメイヨウキュウ</t>
    </rPh>
    <phoneticPr fontId="2"/>
  </si>
  <si>
    <t>断続</t>
    <rPh sb="0" eb="2">
      <t>ダンゾク</t>
    </rPh>
    <phoneticPr fontId="2"/>
  </si>
  <si>
    <t>IG-ON + 無音 + ** + ****</t>
    <rPh sb="8" eb="10">
      <t>ムオン</t>
    </rPh>
    <phoneticPr fontId="2"/>
  </si>
  <si>
    <t>IG-OFF + * + ** + ****</t>
    <phoneticPr fontId="2"/>
  </si>
  <si>
    <t>****b</t>
  </si>
  <si>
    <t>****b</t>
    <phoneticPr fontId="2"/>
  </si>
  <si>
    <t>0010b</t>
    <phoneticPr fontId="2"/>
  </si>
  <si>
    <t>01b</t>
    <phoneticPr fontId="2"/>
  </si>
  <si>
    <t>10b</t>
    <phoneticPr fontId="2"/>
  </si>
  <si>
    <t>11b</t>
    <phoneticPr fontId="2"/>
  </si>
  <si>
    <t>IG-ON + 断続音 + 未受信 + ****</t>
    <rPh sb="8" eb="10">
      <t>ダンゾク</t>
    </rPh>
    <rPh sb="10" eb="11">
      <t>オン</t>
    </rPh>
    <rPh sb="14" eb="17">
      <t>ミジュシン</t>
    </rPh>
    <phoneticPr fontId="2"/>
  </si>
  <si>
    <t>IG-ON + 断続音 + 途絶 + ****</t>
    <rPh sb="8" eb="10">
      <t>ダンゾク</t>
    </rPh>
    <rPh sb="10" eb="11">
      <t>オン</t>
    </rPh>
    <rPh sb="14" eb="16">
      <t>トゼツ</t>
    </rPh>
    <phoneticPr fontId="2"/>
  </si>
  <si>
    <t>IG-ON + 断続音 + 未受信途絶 + ****</t>
    <rPh sb="8" eb="10">
      <t>ダンゾク</t>
    </rPh>
    <rPh sb="10" eb="11">
      <t>オン</t>
    </rPh>
    <rPh sb="14" eb="17">
      <t>ミジュシン</t>
    </rPh>
    <rPh sb="17" eb="19">
      <t>トゼツ</t>
    </rPh>
    <phoneticPr fontId="2"/>
  </si>
  <si>
    <t>IG-ON + 断続音 + 通常 + 吹鳴要求あり</t>
    <rPh sb="8" eb="10">
      <t>ダンゾク</t>
    </rPh>
    <rPh sb="10" eb="11">
      <t>オン</t>
    </rPh>
    <rPh sb="14" eb="16">
      <t>ツウジョウ</t>
    </rPh>
    <rPh sb="19" eb="23">
      <t>スイメイヨウキュウ</t>
    </rPh>
    <phoneticPr fontId="2"/>
  </si>
  <si>
    <t>IG-ON + 断続音 + 通常 + 吹鳴要求なし</t>
    <rPh sb="8" eb="10">
      <t>ダンゾク</t>
    </rPh>
    <rPh sb="10" eb="11">
      <t>オン</t>
    </rPh>
    <rPh sb="14" eb="16">
      <t>ツウジョウ</t>
    </rPh>
    <rPh sb="19" eb="23">
      <t>スイメイヨウキュウ</t>
    </rPh>
    <phoneticPr fontId="2"/>
  </si>
  <si>
    <t>0000b</t>
    <phoneticPr fontId="2"/>
  </si>
  <si>
    <t>0001b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</si>
  <si>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</si>
  <si>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</si>
  <si>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</si>
  <si>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</si>
  <si>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</si>
  <si>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</si>
  <si>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</si>
  <si>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</si>
  <si>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</si>
  <si>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</si>
  <si>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</si>
  <si>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</si>
  <si>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</si>
  <si>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SFT_METS</t>
    <phoneticPr fontId="2"/>
  </si>
  <si>
    <t>■MET-M_CONTBUZZ2-CSTD-0004-C1（添付資料1）.xlsx</t>
    <phoneticPr fontId="2"/>
  </si>
  <si>
    <t>制御仕様→Variable_MID</t>
    <rPh sb="0" eb="4">
      <t>セイギョシヨウ</t>
    </rPh>
    <phoneticPr fontId="2"/>
  </si>
  <si>
    <t xml:space="preserve">UNKNOWN/
DBL1
</t>
    <phoneticPr fontId="2"/>
  </si>
  <si>
    <t>Matrix Search</t>
    <phoneticPr fontId="2"/>
  </si>
  <si>
    <t>1.0.1</t>
    <phoneticPr fontId="2"/>
  </si>
  <si>
    <t>B_RSBW のマトリクステーブルを網羅的になるように修正</t>
    <rPh sb="18" eb="20">
      <t>モウラ</t>
    </rPh>
    <rPh sb="20" eb="29">
      <t>テキニナルヨウニシュウセイ</t>
    </rPh>
    <phoneticPr fontId="2"/>
  </si>
  <si>
    <t>5.5.0</t>
  </si>
  <si>
    <t>D_SFTPOS-CSTD-1-BZR01-REQ02</t>
    <phoneticPr fontId="2"/>
  </si>
  <si>
    <t>D_SFTPOS-CSTD-1-BZR01-REQ03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</si>
</sst>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name val="ＭＳ Ｐゴシック"/>
      <family val="2"/>
      <scheme val="minor"/>
    </font>
    <font>
      <b/>
      <sz val="12"/>
      <name val="ＭＳ Ｐゴシック"/>
      <family val="2"/>
      <scheme val="minor"/>
    </font>
    <font>
      <b/>
      <sz val="11"/>
      <name val="ＭＳ Ｐゴシック"/>
      <family val="2"/>
      <scheme val="minor"/>
    </font>
    <font>
      <sz val="12"/>
      <name val="ＭＳ Ｐゴシック"/>
      <family val="2"/>
      <scheme val="minor"/>
    </font>
    <font>
      <sz val="11"/>
      <color theme="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3">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13" fillId="7" borderId="61" xfId="0" applyFont="1" applyFill="1" applyBorder="1">
      <alignment vertical="center"/>
    </xf>
    <xf numFmtId="0" fontId="0" fillId="22" borderId="2" xfId="0" applyFill="1" applyBorder="1" applyAlignment="1">
      <alignment vertical="center" textRotation="90"/>
    </xf>
    <xf numFmtId="0" fontId="17" fillId="0" borderId="0" xfId="0" applyFont="1">
      <alignment vertical="center"/>
    </xf>
    <xf numFmtId="0" fontId="18" fillId="0" borderId="0" xfId="0" applyFont="1">
      <alignment vertical="center"/>
    </xf>
    <xf numFmtId="0" fontId="19" fillId="25" borderId="0" xfId="0" applyFont="1" applyFill="1">
      <alignment vertical="center"/>
    </xf>
    <xf numFmtId="0" fontId="17" fillId="25" borderId="0" xfId="0" applyFont="1" applyFill="1">
      <alignment vertical="center"/>
    </xf>
    <xf numFmtId="0" fontId="20" fillId="12" borderId="42" xfId="0" applyFont="1" applyFill="1" applyBorder="1">
      <alignment vertical="center"/>
    </xf>
    <xf numFmtId="0" fontId="17" fillId="12" borderId="73" xfId="0" applyFont="1" applyFill="1" applyBorder="1">
      <alignment vertical="center"/>
    </xf>
    <xf numFmtId="0" fontId="17" fillId="12" borderId="43" xfId="0" applyFont="1" applyFill="1" applyBorder="1">
      <alignment vertical="center"/>
    </xf>
    <xf numFmtId="0" fontId="17" fillId="13" borderId="73" xfId="0" applyFont="1" applyFill="1" applyBorder="1">
      <alignment vertical="center"/>
    </xf>
    <xf numFmtId="0" fontId="17" fillId="13" borderId="43" xfId="0" applyFont="1" applyFill="1" applyBorder="1">
      <alignment vertical="center"/>
    </xf>
    <xf numFmtId="0" fontId="17" fillId="12" borderId="46" xfId="0" applyFont="1" applyFill="1" applyBorder="1">
      <alignment vertical="center"/>
    </xf>
    <xf numFmtId="0" fontId="17" fillId="12" borderId="23" xfId="0" applyFont="1" applyFill="1" applyBorder="1">
      <alignment vertical="center"/>
    </xf>
    <xf numFmtId="0" fontId="17" fillId="12" borderId="75" xfId="0" applyFont="1" applyFill="1" applyBorder="1">
      <alignment vertical="center"/>
    </xf>
    <xf numFmtId="0" fontId="17" fillId="12" borderId="22" xfId="0" applyFont="1" applyFill="1" applyBorder="1">
      <alignment vertical="center"/>
    </xf>
    <xf numFmtId="0" fontId="17" fillId="13" borderId="35"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0" borderId="12" xfId="0" applyFont="1" applyBorder="1">
      <alignment vertical="center"/>
    </xf>
    <xf numFmtId="0" fontId="17" fillId="0" borderId="27" xfId="0" applyFont="1" applyBorder="1">
      <alignment vertical="center"/>
    </xf>
    <xf numFmtId="0" fontId="17" fillId="0" borderId="32" xfId="0" applyFont="1" applyBorder="1">
      <alignment vertical="center"/>
    </xf>
    <xf numFmtId="0" fontId="17" fillId="15" borderId="2" xfId="0" applyFont="1" applyFill="1" applyBorder="1">
      <alignment vertical="center"/>
    </xf>
    <xf numFmtId="0" fontId="17" fillId="23" borderId="2" xfId="0" applyFont="1" applyFill="1" applyBorder="1">
      <alignment vertical="center"/>
    </xf>
    <xf numFmtId="0" fontId="17" fillId="15" borderId="7" xfId="0" applyFont="1" applyFill="1" applyBorder="1">
      <alignment vertical="center"/>
    </xf>
    <xf numFmtId="0" fontId="17" fillId="18" borderId="30" xfId="0" quotePrefix="1" applyFont="1" applyFill="1" applyBorder="1">
      <alignment vertical="center"/>
    </xf>
    <xf numFmtId="0" fontId="17" fillId="0" borderId="27" xfId="0" quotePrefix="1" applyFont="1" applyBorder="1">
      <alignment vertical="center"/>
    </xf>
    <xf numFmtId="0" fontId="17" fillId="0" borderId="2" xfId="0" quotePrefix="1" applyFont="1" applyBorder="1">
      <alignment vertical="center"/>
    </xf>
    <xf numFmtId="0" fontId="17" fillId="20" borderId="2" xfId="0" applyFont="1" applyFill="1" applyBorder="1">
      <alignment vertical="center"/>
    </xf>
    <xf numFmtId="0" fontId="17" fillId="24" borderId="2" xfId="0" applyFont="1" applyFill="1" applyBorder="1">
      <alignment vertical="center"/>
    </xf>
    <xf numFmtId="0" fontId="17" fillId="12" borderId="19" xfId="0" applyFont="1" applyFill="1" applyBorder="1" applyAlignment="1">
      <alignment vertical="center" wrapText="1"/>
    </xf>
    <xf numFmtId="0" fontId="17" fillId="18" borderId="67" xfId="0" applyFont="1" applyFill="1" applyBorder="1" applyAlignment="1">
      <alignment horizontal="left" vertical="center"/>
    </xf>
    <xf numFmtId="0" fontId="17" fillId="0" borderId="2" xfId="0" applyFont="1" applyBorder="1">
      <alignment vertical="center"/>
    </xf>
    <xf numFmtId="0" fontId="17" fillId="14" borderId="32" xfId="0" applyFont="1" applyFill="1" applyBorder="1">
      <alignment vertical="center"/>
    </xf>
    <xf numFmtId="0" fontId="17" fillId="18" borderId="30" xfId="0" applyFont="1" applyFill="1" applyBorder="1" applyAlignment="1">
      <alignment vertical="center" textRotation="255"/>
    </xf>
    <xf numFmtId="0" fontId="17" fillId="12" borderId="47" xfId="0" applyFont="1" applyFill="1" applyBorder="1">
      <alignment vertical="center"/>
    </xf>
    <xf numFmtId="0" fontId="17" fillId="18" borderId="31" xfId="0" applyFont="1" applyFill="1" applyBorder="1" applyAlignment="1">
      <alignment vertical="center" wrapText="1"/>
    </xf>
    <xf numFmtId="0" fontId="17" fillId="0" borderId="16" xfId="0" applyFont="1" applyBorder="1" applyAlignment="1">
      <alignment vertical="center" wrapText="1"/>
    </xf>
    <xf numFmtId="0" fontId="17" fillId="0" borderId="33" xfId="0" applyFont="1" applyBorder="1" applyAlignment="1">
      <alignment vertical="center" wrapText="1"/>
    </xf>
    <xf numFmtId="0" fontId="17" fillId="15" borderId="16" xfId="0" applyFont="1" applyFill="1" applyBorder="1" applyAlignment="1">
      <alignment vertical="center" wrapText="1"/>
    </xf>
    <xf numFmtId="0" fontId="17" fillId="0" borderId="31" xfId="0" applyFont="1" applyBorder="1" applyAlignment="1">
      <alignment vertical="center" wrapText="1"/>
    </xf>
    <xf numFmtId="0" fontId="17" fillId="15" borderId="17" xfId="0" applyFont="1" applyFill="1" applyBorder="1" applyAlignment="1">
      <alignment vertical="center" wrapText="1"/>
    </xf>
    <xf numFmtId="0" fontId="17" fillId="0" borderId="48" xfId="0" applyFont="1" applyBorder="1">
      <alignment vertical="center"/>
    </xf>
    <xf numFmtId="0" fontId="17" fillId="15" borderId="25" xfId="0" applyFont="1" applyFill="1" applyBorder="1" applyAlignment="1">
      <alignment horizontal="center" vertical="center"/>
    </xf>
    <xf numFmtId="0" fontId="17" fillId="0" borderId="28" xfId="0" applyFont="1" applyBorder="1" applyAlignment="1">
      <alignment horizontal="center" vertical="center"/>
    </xf>
    <xf numFmtId="0" fontId="17" fillId="0" borderId="14" xfId="0" applyFont="1" applyBorder="1" applyAlignment="1">
      <alignment horizontal="center" vertical="center"/>
    </xf>
    <xf numFmtId="0" fontId="17" fillId="0" borderId="24" xfId="0" applyFont="1" applyBorder="1" applyAlignment="1">
      <alignment horizontal="center" vertical="center"/>
    </xf>
    <xf numFmtId="0" fontId="17" fillId="15" borderId="14" xfId="0" applyFont="1" applyFill="1" applyBorder="1" applyAlignment="1">
      <alignment horizontal="center" vertical="center"/>
    </xf>
    <xf numFmtId="0" fontId="17" fillId="23"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15" borderId="30" xfId="0" applyFont="1" applyFill="1" applyBorder="1" applyAlignment="1">
      <alignment horizontal="center" vertical="center"/>
    </xf>
    <xf numFmtId="0" fontId="17" fillId="0" borderId="32" xfId="0" applyFont="1" applyBorder="1" applyAlignment="1">
      <alignment horizontal="center" vertical="center"/>
    </xf>
    <xf numFmtId="0" fontId="17" fillId="15" borderId="2" xfId="0" applyFont="1" applyFill="1" applyBorder="1" applyAlignment="1">
      <alignment horizontal="center" vertical="center"/>
    </xf>
    <xf numFmtId="0" fontId="17" fillId="23" borderId="2" xfId="0" applyFont="1" applyFill="1" applyBorder="1" applyAlignment="1">
      <alignment horizontal="center" vertical="center"/>
    </xf>
    <xf numFmtId="0" fontId="17" fillId="15" borderId="7"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76" xfId="0" applyFont="1" applyBorder="1">
      <alignment vertical="center"/>
    </xf>
    <xf numFmtId="0" fontId="17" fillId="15" borderId="77" xfId="0" applyFont="1" applyFill="1" applyBorder="1" applyAlignment="1">
      <alignment horizontal="center" vertical="center"/>
    </xf>
    <xf numFmtId="0" fontId="17" fillId="0" borderId="29" xfId="0" applyFont="1" applyBorder="1" applyAlignment="1">
      <alignment horizontal="center" vertical="center"/>
    </xf>
    <xf numFmtId="0" fontId="17" fillId="0" borderId="78" xfId="0" applyFont="1" applyBorder="1" applyAlignment="1">
      <alignment horizontal="center" vertical="center"/>
    </xf>
    <xf numFmtId="0" fontId="17" fillId="0" borderId="41" xfId="0" applyFont="1" applyBorder="1" applyAlignment="1">
      <alignment horizontal="center" vertical="center"/>
    </xf>
    <xf numFmtId="0" fontId="17" fillId="15" borderId="78" xfId="0" applyFont="1" applyFill="1" applyBorder="1" applyAlignment="1">
      <alignment horizontal="center" vertical="center"/>
    </xf>
    <xf numFmtId="0" fontId="17" fillId="23" borderId="78" xfId="0" applyFont="1" applyFill="1" applyBorder="1" applyAlignment="1">
      <alignment horizontal="center" vertical="center"/>
    </xf>
    <xf numFmtId="0" fontId="17" fillId="15" borderId="79" xfId="0" applyFont="1" applyFill="1" applyBorder="1" applyAlignment="1">
      <alignment horizontal="center" vertical="center"/>
    </xf>
    <xf numFmtId="0" fontId="17" fillId="0" borderId="27" xfId="0" applyFont="1" applyBorder="1" applyAlignment="1">
      <alignment vertical="center" wrapText="1"/>
    </xf>
    <xf numFmtId="0" fontId="0" fillId="0" borderId="2" xfId="0" applyBorder="1" applyAlignment="1">
      <alignment vertical="center" textRotation="90"/>
    </xf>
    <xf numFmtId="0" fontId="21" fillId="0" borderId="2" xfId="0" quotePrefix="1" applyFont="1" applyBorder="1">
      <alignment vertical="center"/>
    </xf>
    <xf numFmtId="0" fontId="21" fillId="0" borderId="2" xfId="0" applyFont="1" applyBorder="1" applyAlignment="1">
      <alignment vertical="center" wrapText="1"/>
    </xf>
    <xf numFmtId="0" fontId="21" fillId="0" borderId="2" xfId="0" applyFont="1" applyBorder="1">
      <alignment vertical="center"/>
    </xf>
    <xf numFmtId="0" fontId="21" fillId="0" borderId="16" xfId="0" applyFont="1" applyBorder="1" applyAlignment="1">
      <alignment vertical="center" wrapText="1"/>
    </xf>
    <xf numFmtId="0" fontId="21" fillId="0" borderId="27" xfId="0" applyFont="1" applyBorder="1">
      <alignment vertical="center"/>
    </xf>
    <xf numFmtId="0" fontId="21" fillId="0" borderId="12" xfId="0" applyFont="1" applyBorder="1">
      <alignment vertical="center"/>
    </xf>
    <xf numFmtId="0" fontId="21" fillId="0" borderId="27" xfId="0" quotePrefix="1" applyFont="1" applyBorder="1">
      <alignment vertical="center"/>
    </xf>
    <xf numFmtId="0" fontId="21" fillId="0" borderId="27" xfId="0" applyFont="1" applyBorder="1" applyAlignment="1">
      <alignment vertical="center" wrapText="1"/>
    </xf>
    <xf numFmtId="0" fontId="21" fillId="0" borderId="80" xfId="0" applyFont="1" applyBorder="1" applyAlignment="1">
      <alignment vertical="center" wrapText="1"/>
    </xf>
    <xf numFmtId="0" fontId="21" fillId="0" borderId="30" xfId="0" applyFont="1" applyBorder="1">
      <alignment vertical="center"/>
    </xf>
    <xf numFmtId="0" fontId="17" fillId="0" borderId="34" xfId="0" applyFont="1" applyBorder="1" applyAlignment="1">
      <alignment horizontal="center"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5" fillId="0" borderId="2" xfId="0" applyFont="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16" fillId="0" borderId="2" xfId="0" applyFont="1" applyBorder="1" applyAlignment="1">
      <alignment vertical="center" wrapText="1"/>
    </xf>
    <xf numFmtId="0" fontId="17" fillId="15" borderId="12" xfId="0" applyFont="1" applyFill="1" applyBorder="1">
      <alignment vertical="center"/>
    </xf>
    <xf numFmtId="0" fontId="17" fillId="15" borderId="12" xfId="0" quotePrefix="1" applyFont="1" applyFill="1" applyBorder="1">
      <alignment vertical="center"/>
    </xf>
    <xf numFmtId="0" fontId="17" fillId="15" borderId="81" xfId="0" applyFont="1" applyFill="1" applyBorder="1" applyAlignment="1">
      <alignment vertical="center" wrapText="1"/>
    </xf>
    <xf numFmtId="0" fontId="17" fillId="15" borderId="11" xfId="0" applyFont="1" applyFill="1" applyBorder="1" applyAlignment="1">
      <alignment horizontal="center" vertical="center"/>
    </xf>
    <xf numFmtId="0" fontId="17" fillId="15" borderId="12" xfId="0" applyFont="1" applyFill="1" applyBorder="1" applyAlignment="1">
      <alignment horizontal="center" vertical="center"/>
    </xf>
    <xf numFmtId="0" fontId="17" fillId="15" borderId="82" xfId="0" applyFont="1" applyFill="1" applyBorder="1" applyAlignment="1">
      <alignment horizontal="center" vertical="center"/>
    </xf>
    <xf numFmtId="0" fontId="0" fillId="0" borderId="70" xfId="0" applyBorder="1">
      <alignment vertical="center"/>
    </xf>
    <xf numFmtId="0" fontId="0" fillId="0" borderId="62" xfId="0" applyBorder="1">
      <alignment vertical="center"/>
    </xf>
    <xf numFmtId="14" fontId="0" fillId="0" borderId="62" xfId="0" applyNumberFormat="1" applyBorder="1">
      <alignment vertical="center"/>
    </xf>
    <xf numFmtId="14" fontId="0" fillId="0" borderId="71"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quotePrefix="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0" fillId="22" borderId="12" xfId="0" applyFill="1" applyBorder="1" applyAlignment="1">
      <alignment horizontal="center" vertical="center" textRotation="90" wrapText="1"/>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cellXfs>
  <cellStyles count="2">
    <cellStyle name="ハイパーリンク" xfId="1" builtinId="8"/>
    <cellStyle name="標準" xfId="0" builtinId="0"/>
  </cellStyles>
  <dxfs count="66">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emf"/><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574F971-055C-44F1-9FF9-6C8587EC5BE1}"/>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E9A9381-CEC3-46C2-A27D-80E4905D298A}"/>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36" name="線吹き出し 1 (枠付き) 35">
          <a:extLst>
            <a:ext uri="{FF2B5EF4-FFF2-40B4-BE49-F238E27FC236}">
              <a16:creationId xmlns:a16="http://schemas.microsoft.com/office/drawing/2014/main" id="{00000000-0008-0000-0700-000024000000}"/>
            </a:ext>
          </a:extLst>
        </xdr:cNvPr>
        <xdr:cNvSpPr/>
      </xdr:nvSpPr>
      <xdr:spPr>
        <a:xfrm>
          <a:off x="7115734" y="44823"/>
          <a:ext cx="4105089" cy="342325"/>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2644588" y="1647264"/>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xdr:col>
      <xdr:colOff>1877785</xdr:colOff>
      <xdr:row>14</xdr:row>
      <xdr:rowOff>84848</xdr:rowOff>
    </xdr:from>
    <xdr:ext cx="4767304" cy="728485"/>
    <xdr:sp macro="" textlink="">
      <xdr:nvSpPr>
        <xdr:cNvPr id="130" name="線吹き出し 1 (枠付き) 36">
          <a:extLst>
            <a:ext uri="{FF2B5EF4-FFF2-40B4-BE49-F238E27FC236}">
              <a16:creationId xmlns:a16="http://schemas.microsoft.com/office/drawing/2014/main" id="{A41E8C6F-B3BB-4447-AB04-7812A894C1DD}"/>
            </a:ext>
          </a:extLst>
        </xdr:cNvPr>
        <xdr:cNvSpPr/>
      </xdr:nvSpPr>
      <xdr:spPr>
        <a:xfrm>
          <a:off x="2572550" y="4612024"/>
          <a:ext cx="4767304" cy="728485"/>
        </a:xfrm>
        <a:prstGeom prst="borderCallout1">
          <a:avLst>
            <a:gd name="adj1" fmla="val -5140"/>
            <a:gd name="adj2" fmla="val 47354"/>
            <a:gd name="adj3" fmla="val -33102"/>
            <a:gd name="adj4" fmla="val 778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13</xdr:row>
      <xdr:rowOff>82442</xdr:rowOff>
    </xdr:from>
    <xdr:ext cx="4625706" cy="818030"/>
    <xdr:sp macro="" textlink="">
      <xdr:nvSpPr>
        <xdr:cNvPr id="131" name="線吹き出し 1 (枠付き) 37">
          <a:extLst>
            <a:ext uri="{FF2B5EF4-FFF2-40B4-BE49-F238E27FC236}">
              <a16:creationId xmlns:a16="http://schemas.microsoft.com/office/drawing/2014/main" id="{D7AEEC3F-867F-4FF2-8B1E-DF4C7F54D6A2}"/>
            </a:ext>
          </a:extLst>
        </xdr:cNvPr>
        <xdr:cNvSpPr/>
      </xdr:nvSpPr>
      <xdr:spPr>
        <a:xfrm>
          <a:off x="8646062" y="10641585"/>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104587</xdr:colOff>
      <xdr:row>18</xdr:row>
      <xdr:rowOff>33618</xdr:rowOff>
    </xdr:from>
    <xdr:ext cx="3918324" cy="394619"/>
    <xdr:sp macro="" textlink="">
      <xdr:nvSpPr>
        <xdr:cNvPr id="133" name="線吹き出し 1 (枠付き) 35">
          <a:extLst>
            <a:ext uri="{FF2B5EF4-FFF2-40B4-BE49-F238E27FC236}">
              <a16:creationId xmlns:a16="http://schemas.microsoft.com/office/drawing/2014/main" id="{292614D3-4D0E-451A-974E-F61352F73D47}"/>
            </a:ext>
          </a:extLst>
        </xdr:cNvPr>
        <xdr:cNvSpPr/>
      </xdr:nvSpPr>
      <xdr:spPr>
        <a:xfrm>
          <a:off x="7522881" y="5233147"/>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xdr:col>
      <xdr:colOff>2406863</xdr:colOff>
      <xdr:row>49</xdr:row>
      <xdr:rowOff>122469</xdr:rowOff>
    </xdr:from>
    <xdr:ext cx="4608019" cy="728485"/>
    <xdr:sp macro="" textlink="">
      <xdr:nvSpPr>
        <xdr:cNvPr id="136" name="線吹き出し 1 (枠付き) 36">
          <a:extLst>
            <a:ext uri="{FF2B5EF4-FFF2-40B4-BE49-F238E27FC236}">
              <a16:creationId xmlns:a16="http://schemas.microsoft.com/office/drawing/2014/main" id="{FB79CBB3-A5DC-0DDE-1E62-C00F13025CD6}"/>
            </a:ext>
          </a:extLst>
        </xdr:cNvPr>
        <xdr:cNvSpPr/>
      </xdr:nvSpPr>
      <xdr:spPr>
        <a:xfrm>
          <a:off x="3101628" y="11025793"/>
          <a:ext cx="4608019"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twoCellAnchor editAs="oneCell">
    <xdr:from>
      <xdr:col>22</xdr:col>
      <xdr:colOff>0</xdr:colOff>
      <xdr:row>2</xdr:row>
      <xdr:rowOff>47625</xdr:rowOff>
    </xdr:from>
    <xdr:to>
      <xdr:col>35</xdr:col>
      <xdr:colOff>448540</xdr:colOff>
      <xdr:row>23</xdr:row>
      <xdr:rowOff>155767</xdr:rowOff>
    </xdr:to>
    <xdr:pic>
      <xdr:nvPicPr>
        <xdr:cNvPr id="6" name="図 5">
          <a:extLst>
            <a:ext uri="{FF2B5EF4-FFF2-40B4-BE49-F238E27FC236}">
              <a16:creationId xmlns:a16="http://schemas.microsoft.com/office/drawing/2014/main" id="{6872D3A6-ABA2-47C8-AE11-8BE4B0D4BE0F}"/>
            </a:ext>
          </a:extLst>
        </xdr:cNvPr>
        <xdr:cNvPicPr>
          <a:picLocks noChangeArrowheads="1"/>
        </xdr:cNvPicPr>
      </xdr:nvPicPr>
      <xdr:blipFill>
        <a:blip xmlns:r="http://schemas.openxmlformats.org/officeDocument/2006/relationships" r:embed="rId1"/>
        <a:srcRect/>
        <a:stretch>
          <a:fillRect/>
        </a:stretch>
      </xdr:blipFill>
      <xdr:spPr bwMode="auto">
        <a:xfrm>
          <a:off x="22747941" y="406213"/>
          <a:ext cx="9480481" cy="583434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22</xdr:col>
      <xdr:colOff>133351</xdr:colOff>
      <xdr:row>24</xdr:row>
      <xdr:rowOff>222436</xdr:rowOff>
    </xdr:from>
    <xdr:to>
      <xdr:col>28</xdr:col>
      <xdr:colOff>353042</xdr:colOff>
      <xdr:row>26</xdr:row>
      <xdr:rowOff>4650</xdr:rowOff>
    </xdr:to>
    <xdr:pic>
      <xdr:nvPicPr>
        <xdr:cNvPr id="8" name="図 7">
          <a:extLst>
            <a:ext uri="{FF2B5EF4-FFF2-40B4-BE49-F238E27FC236}">
              <a16:creationId xmlns:a16="http://schemas.microsoft.com/office/drawing/2014/main" id="{95B885F4-6DC5-6DED-2090-A5419941D60D}"/>
            </a:ext>
          </a:extLst>
        </xdr:cNvPr>
        <xdr:cNvPicPr>
          <a:picLocks noChangeAspect="1"/>
        </xdr:cNvPicPr>
      </xdr:nvPicPr>
      <xdr:blipFill>
        <a:blip xmlns:r="http://schemas.openxmlformats.org/officeDocument/2006/relationships" r:embed="rId2"/>
        <a:stretch>
          <a:fillRect/>
        </a:stretch>
      </xdr:blipFill>
      <xdr:spPr>
        <a:xfrm>
          <a:off x="22881292" y="6475318"/>
          <a:ext cx="4388279" cy="1866508"/>
        </a:xfrm>
        <a:prstGeom prst="rect">
          <a:avLst/>
        </a:prstGeom>
      </xdr:spPr>
    </xdr:pic>
    <xdr:clientData/>
  </xdr:twoCellAnchor>
  <xdr:twoCellAnchor editAs="oneCell">
    <xdr:from>
      <xdr:col>29</xdr:col>
      <xdr:colOff>28575</xdr:colOff>
      <xdr:row>24</xdr:row>
      <xdr:rowOff>265298</xdr:rowOff>
    </xdr:from>
    <xdr:to>
      <xdr:col>34</xdr:col>
      <xdr:colOff>656212</xdr:colOff>
      <xdr:row>25</xdr:row>
      <xdr:rowOff>1500594</xdr:rowOff>
    </xdr:to>
    <xdr:pic>
      <xdr:nvPicPr>
        <xdr:cNvPr id="9" name="図 8">
          <a:extLst>
            <a:ext uri="{FF2B5EF4-FFF2-40B4-BE49-F238E27FC236}">
              <a16:creationId xmlns:a16="http://schemas.microsoft.com/office/drawing/2014/main" id="{A98ACFB1-303E-D52F-28FA-9795386C6D24}"/>
            </a:ext>
          </a:extLst>
        </xdr:cNvPr>
        <xdr:cNvPicPr>
          <a:picLocks noChangeAspect="1"/>
        </xdr:cNvPicPr>
      </xdr:nvPicPr>
      <xdr:blipFill>
        <a:blip xmlns:r="http://schemas.openxmlformats.org/officeDocument/2006/relationships" r:embed="rId3"/>
        <a:stretch>
          <a:fillRect/>
        </a:stretch>
      </xdr:blipFill>
      <xdr:spPr>
        <a:xfrm>
          <a:off x="27639869" y="6518180"/>
          <a:ext cx="4101461" cy="1582679"/>
        </a:xfrm>
        <a:prstGeom prst="rect">
          <a:avLst/>
        </a:prstGeom>
      </xdr:spPr>
    </xdr:pic>
    <xdr:clientData/>
  </xdr:twoCellAnchor>
  <xdr:twoCellAnchor editAs="oneCell">
    <xdr:from>
      <xdr:col>35</xdr:col>
      <xdr:colOff>190500</xdr:colOff>
      <xdr:row>24</xdr:row>
      <xdr:rowOff>203386</xdr:rowOff>
    </xdr:from>
    <xdr:to>
      <xdr:col>41</xdr:col>
      <xdr:colOff>184734</xdr:colOff>
      <xdr:row>25</xdr:row>
      <xdr:rowOff>1391047</xdr:rowOff>
    </xdr:to>
    <xdr:pic>
      <xdr:nvPicPr>
        <xdr:cNvPr id="13" name="図 12">
          <a:extLst>
            <a:ext uri="{FF2B5EF4-FFF2-40B4-BE49-F238E27FC236}">
              <a16:creationId xmlns:a16="http://schemas.microsoft.com/office/drawing/2014/main" id="{EBA987C3-5FDC-6E10-D4FD-76CA37632C0A}"/>
            </a:ext>
          </a:extLst>
        </xdr:cNvPr>
        <xdr:cNvPicPr>
          <a:picLocks noChangeAspect="1"/>
        </xdr:cNvPicPr>
      </xdr:nvPicPr>
      <xdr:blipFill>
        <a:blip xmlns:r="http://schemas.openxmlformats.org/officeDocument/2006/relationships" r:embed="rId4"/>
        <a:stretch>
          <a:fillRect/>
        </a:stretch>
      </xdr:blipFill>
      <xdr:spPr>
        <a:xfrm>
          <a:off x="31970382" y="6456268"/>
          <a:ext cx="4162823" cy="1535044"/>
        </a:xfrm>
        <a:prstGeom prst="rect">
          <a:avLst/>
        </a:prstGeom>
      </xdr:spPr>
    </xdr:pic>
    <xdr:clientData/>
  </xdr:twoCellAnchor>
  <xdr:twoCellAnchor editAs="oneCell">
    <xdr:from>
      <xdr:col>22</xdr:col>
      <xdr:colOff>1</xdr:colOff>
      <xdr:row>29</xdr:row>
      <xdr:rowOff>0</xdr:rowOff>
    </xdr:from>
    <xdr:to>
      <xdr:col>48</xdr:col>
      <xdr:colOff>56029</xdr:colOff>
      <xdr:row>68</xdr:row>
      <xdr:rowOff>103349</xdr:rowOff>
    </xdr:to>
    <xdr:pic>
      <xdr:nvPicPr>
        <xdr:cNvPr id="15" name="図 14">
          <a:extLst>
            <a:ext uri="{FF2B5EF4-FFF2-40B4-BE49-F238E27FC236}">
              <a16:creationId xmlns:a16="http://schemas.microsoft.com/office/drawing/2014/main" id="{66FD4131-222C-4887-9504-17820D691A17}"/>
            </a:ext>
          </a:extLst>
        </xdr:cNvPr>
        <xdr:cNvPicPr>
          <a:picLocks noChangeArrowheads="1"/>
        </xdr:cNvPicPr>
      </xdr:nvPicPr>
      <xdr:blipFill>
        <a:blip xmlns:r="http://schemas.openxmlformats.org/officeDocument/2006/relationships" r:embed="rId5"/>
        <a:srcRect/>
        <a:stretch>
          <a:fillRect/>
        </a:stretch>
      </xdr:blipFill>
      <xdr:spPr bwMode="auto">
        <a:xfrm>
          <a:off x="22747942" y="9379324"/>
          <a:ext cx="18119911" cy="66699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31</xdr:col>
      <xdr:colOff>616323</xdr:colOff>
      <xdr:row>35</xdr:row>
      <xdr:rowOff>33619</xdr:rowOff>
    </xdr:from>
    <xdr:to>
      <xdr:col>33</xdr:col>
      <xdr:colOff>443502</xdr:colOff>
      <xdr:row>49</xdr:row>
      <xdr:rowOff>67236</xdr:rowOff>
    </xdr:to>
    <xdr:sp macro="" textlink="">
      <xdr:nvSpPr>
        <xdr:cNvPr id="16" name="正方形/長方形 15">
          <a:extLst>
            <a:ext uri="{FF2B5EF4-FFF2-40B4-BE49-F238E27FC236}">
              <a16:creationId xmlns:a16="http://schemas.microsoft.com/office/drawing/2014/main" id="{BFA3128E-8346-4BFF-9472-AEE8DB23E7D7}"/>
            </a:ext>
          </a:extLst>
        </xdr:cNvPr>
        <xdr:cNvSpPr/>
      </xdr:nvSpPr>
      <xdr:spPr>
        <a:xfrm>
          <a:off x="29617147" y="10421472"/>
          <a:ext cx="1216708" cy="2398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586130</xdr:colOff>
      <xdr:row>30</xdr:row>
      <xdr:rowOff>145677</xdr:rowOff>
    </xdr:from>
    <xdr:to>
      <xdr:col>36</xdr:col>
      <xdr:colOff>214583</xdr:colOff>
      <xdr:row>32</xdr:row>
      <xdr:rowOff>140996</xdr:rowOff>
    </xdr:to>
    <xdr:sp macro="" textlink="">
      <xdr:nvSpPr>
        <xdr:cNvPr id="18" name="線吹き出し 1 (枠付き) 18">
          <a:extLst>
            <a:ext uri="{FF2B5EF4-FFF2-40B4-BE49-F238E27FC236}">
              <a16:creationId xmlns:a16="http://schemas.microsoft.com/office/drawing/2014/main" id="{3EE1848C-A589-4E81-83D2-966C708A5242}"/>
            </a:ext>
          </a:extLst>
        </xdr:cNvPr>
        <xdr:cNvSpPr/>
      </xdr:nvSpPr>
      <xdr:spPr>
        <a:xfrm>
          <a:off x="30281718" y="9693089"/>
          <a:ext cx="2407512" cy="331495"/>
        </a:xfrm>
        <a:prstGeom prst="borderCallout1">
          <a:avLst>
            <a:gd name="adj1" fmla="val 44823"/>
            <a:gd name="adj2" fmla="val -3207"/>
            <a:gd name="adj3" fmla="val 224769"/>
            <a:gd name="adj4" fmla="val -194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430692</xdr:colOff>
      <xdr:row>52</xdr:row>
      <xdr:rowOff>100854</xdr:rowOff>
    </xdr:from>
    <xdr:to>
      <xdr:col>36</xdr:col>
      <xdr:colOff>112060</xdr:colOff>
      <xdr:row>59</xdr:row>
      <xdr:rowOff>109659</xdr:rowOff>
    </xdr:to>
    <xdr:sp macro="" textlink="">
      <xdr:nvSpPr>
        <xdr:cNvPr id="19" name="正方形/長方形 18">
          <a:extLst>
            <a:ext uri="{FF2B5EF4-FFF2-40B4-BE49-F238E27FC236}">
              <a16:creationId xmlns:a16="http://schemas.microsoft.com/office/drawing/2014/main" id="{6EDBCEEF-D10F-4C46-8595-CFAF6CE52961}"/>
            </a:ext>
          </a:extLst>
        </xdr:cNvPr>
        <xdr:cNvSpPr/>
      </xdr:nvSpPr>
      <xdr:spPr>
        <a:xfrm>
          <a:off x="30821045" y="13357413"/>
          <a:ext cx="1765662" cy="1185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452695</xdr:colOff>
      <xdr:row>42</xdr:row>
      <xdr:rowOff>67235</xdr:rowOff>
    </xdr:from>
    <xdr:to>
      <xdr:col>36</xdr:col>
      <xdr:colOff>112059</xdr:colOff>
      <xdr:row>49</xdr:row>
      <xdr:rowOff>78440</xdr:rowOff>
    </xdr:to>
    <xdr:sp macro="" textlink="">
      <xdr:nvSpPr>
        <xdr:cNvPr id="20" name="正方形/長方形 19">
          <a:extLst>
            <a:ext uri="{FF2B5EF4-FFF2-40B4-BE49-F238E27FC236}">
              <a16:creationId xmlns:a16="http://schemas.microsoft.com/office/drawing/2014/main" id="{E97B22D4-53A3-4CB2-B4A3-E0D07EA6D7DF}"/>
            </a:ext>
          </a:extLst>
        </xdr:cNvPr>
        <xdr:cNvSpPr/>
      </xdr:nvSpPr>
      <xdr:spPr>
        <a:xfrm>
          <a:off x="30843048" y="11631706"/>
          <a:ext cx="1743658" cy="1199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128132</xdr:colOff>
      <xdr:row>42</xdr:row>
      <xdr:rowOff>72039</xdr:rowOff>
    </xdr:from>
    <xdr:to>
      <xdr:col>38</xdr:col>
      <xdr:colOff>459442</xdr:colOff>
      <xdr:row>49</xdr:row>
      <xdr:rowOff>78441</xdr:rowOff>
    </xdr:to>
    <xdr:sp macro="" textlink="">
      <xdr:nvSpPr>
        <xdr:cNvPr id="22" name="正方形/長方形 21">
          <a:extLst>
            <a:ext uri="{FF2B5EF4-FFF2-40B4-BE49-F238E27FC236}">
              <a16:creationId xmlns:a16="http://schemas.microsoft.com/office/drawing/2014/main" id="{1BAC83A4-02BA-5BFD-E289-4ED885DD2793}"/>
            </a:ext>
          </a:extLst>
        </xdr:cNvPr>
        <xdr:cNvSpPr/>
      </xdr:nvSpPr>
      <xdr:spPr>
        <a:xfrm>
          <a:off x="32602779" y="11636510"/>
          <a:ext cx="1720839" cy="1194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593911</xdr:colOff>
      <xdr:row>61</xdr:row>
      <xdr:rowOff>100853</xdr:rowOff>
    </xdr:from>
    <xdr:to>
      <xdr:col>35</xdr:col>
      <xdr:colOff>218222</xdr:colOff>
      <xdr:row>64</xdr:row>
      <xdr:rowOff>92613</xdr:rowOff>
    </xdr:to>
    <xdr:sp macro="" textlink="">
      <xdr:nvSpPr>
        <xdr:cNvPr id="23" name="線吹き出し 1 (枠付き) 28">
          <a:extLst>
            <a:ext uri="{FF2B5EF4-FFF2-40B4-BE49-F238E27FC236}">
              <a16:creationId xmlns:a16="http://schemas.microsoft.com/office/drawing/2014/main" id="{09CA2C6D-8A91-494E-83B1-3DE78283F229}"/>
            </a:ext>
          </a:extLst>
        </xdr:cNvPr>
        <xdr:cNvSpPr/>
      </xdr:nvSpPr>
      <xdr:spPr>
        <a:xfrm>
          <a:off x="29594735" y="14870206"/>
          <a:ext cx="2403369" cy="496025"/>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128132</xdr:colOff>
      <xdr:row>56</xdr:row>
      <xdr:rowOff>112058</xdr:rowOff>
    </xdr:from>
    <xdr:to>
      <xdr:col>40</xdr:col>
      <xdr:colOff>661147</xdr:colOff>
      <xdr:row>58</xdr:row>
      <xdr:rowOff>22411</xdr:rowOff>
    </xdr:to>
    <xdr:sp macro="" textlink="">
      <xdr:nvSpPr>
        <xdr:cNvPr id="24" name="正方形/長方形 23">
          <a:extLst>
            <a:ext uri="{FF2B5EF4-FFF2-40B4-BE49-F238E27FC236}">
              <a16:creationId xmlns:a16="http://schemas.microsoft.com/office/drawing/2014/main" id="{E3F06C06-585A-3A01-B36C-69D422133FFF}"/>
            </a:ext>
          </a:extLst>
        </xdr:cNvPr>
        <xdr:cNvSpPr/>
      </xdr:nvSpPr>
      <xdr:spPr>
        <a:xfrm>
          <a:off x="32602779" y="14040970"/>
          <a:ext cx="3312074" cy="246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128132</xdr:colOff>
      <xdr:row>58</xdr:row>
      <xdr:rowOff>33619</xdr:rowOff>
    </xdr:from>
    <xdr:to>
      <xdr:col>40</xdr:col>
      <xdr:colOff>672353</xdr:colOff>
      <xdr:row>59</xdr:row>
      <xdr:rowOff>100853</xdr:rowOff>
    </xdr:to>
    <xdr:sp macro="" textlink="">
      <xdr:nvSpPr>
        <xdr:cNvPr id="25" name="正方形/長方形 24">
          <a:extLst>
            <a:ext uri="{FF2B5EF4-FFF2-40B4-BE49-F238E27FC236}">
              <a16:creationId xmlns:a16="http://schemas.microsoft.com/office/drawing/2014/main" id="{AC89A0F1-6795-59F7-3634-E47C570ED83D}"/>
            </a:ext>
          </a:extLst>
        </xdr:cNvPr>
        <xdr:cNvSpPr/>
      </xdr:nvSpPr>
      <xdr:spPr>
        <a:xfrm>
          <a:off x="32602779" y="14298707"/>
          <a:ext cx="3323280" cy="235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78444</xdr:colOff>
      <xdr:row>51</xdr:row>
      <xdr:rowOff>145676</xdr:rowOff>
    </xdr:from>
    <xdr:to>
      <xdr:col>45</xdr:col>
      <xdr:colOff>556864</xdr:colOff>
      <xdr:row>56</xdr:row>
      <xdr:rowOff>7520</xdr:rowOff>
    </xdr:to>
    <xdr:sp macro="" textlink="">
      <xdr:nvSpPr>
        <xdr:cNvPr id="26" name="線吹き出し 1 (枠付き) 30">
          <a:extLst>
            <a:ext uri="{FF2B5EF4-FFF2-40B4-BE49-F238E27FC236}">
              <a16:creationId xmlns:a16="http://schemas.microsoft.com/office/drawing/2014/main" id="{A4C2785C-EB12-43AF-B868-8B2E34D34203}"/>
            </a:ext>
          </a:extLst>
        </xdr:cNvPr>
        <xdr:cNvSpPr/>
      </xdr:nvSpPr>
      <xdr:spPr>
        <a:xfrm>
          <a:off x="36026915" y="13234147"/>
          <a:ext cx="3257478" cy="702285"/>
        </a:xfrm>
        <a:prstGeom prst="borderCallout1">
          <a:avLst>
            <a:gd name="adj1" fmla="val 38295"/>
            <a:gd name="adj2" fmla="val -1002"/>
            <a:gd name="adj3" fmla="val 131842"/>
            <a:gd name="adj4" fmla="val -103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224118</xdr:colOff>
      <xdr:row>60</xdr:row>
      <xdr:rowOff>8804</xdr:rowOff>
    </xdr:from>
    <xdr:to>
      <xdr:col>45</xdr:col>
      <xdr:colOff>389574</xdr:colOff>
      <xdr:row>63</xdr:row>
      <xdr:rowOff>139589</xdr:rowOff>
    </xdr:to>
    <xdr:sp macro="" textlink="">
      <xdr:nvSpPr>
        <xdr:cNvPr id="27" name="線吹き出し 1 (枠付き) 30">
          <a:extLst>
            <a:ext uri="{FF2B5EF4-FFF2-40B4-BE49-F238E27FC236}">
              <a16:creationId xmlns:a16="http://schemas.microsoft.com/office/drawing/2014/main" id="{07558CB2-6C5C-478A-A4A9-EC6BF32BFBE3}"/>
            </a:ext>
          </a:extLst>
        </xdr:cNvPr>
        <xdr:cNvSpPr/>
      </xdr:nvSpPr>
      <xdr:spPr>
        <a:xfrm>
          <a:off x="36172589" y="14610069"/>
          <a:ext cx="2944514" cy="635049"/>
        </a:xfrm>
        <a:prstGeom prst="borderCallout1">
          <a:avLst>
            <a:gd name="adj1" fmla="val 38295"/>
            <a:gd name="adj2" fmla="val -1002"/>
            <a:gd name="adj3" fmla="val -26317"/>
            <a:gd name="adj4" fmla="val -14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403413</xdr:colOff>
      <xdr:row>29</xdr:row>
      <xdr:rowOff>33617</xdr:rowOff>
    </xdr:from>
    <xdr:to>
      <xdr:col>55</xdr:col>
      <xdr:colOff>128067</xdr:colOff>
      <xdr:row>34</xdr:row>
      <xdr:rowOff>104197</xdr:rowOff>
    </xdr:to>
    <xdr:sp macro="" textlink="">
      <xdr:nvSpPr>
        <xdr:cNvPr id="28" name="線吹き出し 1 (枠付き) 19">
          <a:extLst>
            <a:ext uri="{FF2B5EF4-FFF2-40B4-BE49-F238E27FC236}">
              <a16:creationId xmlns:a16="http://schemas.microsoft.com/office/drawing/2014/main" id="{01049924-AA8D-402D-844A-042E5D63D489}"/>
            </a:ext>
          </a:extLst>
        </xdr:cNvPr>
        <xdr:cNvSpPr/>
      </xdr:nvSpPr>
      <xdr:spPr>
        <a:xfrm>
          <a:off x="39825707" y="9412941"/>
          <a:ext cx="5977536" cy="91102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55</xdr:col>
      <xdr:colOff>1</xdr:colOff>
      <xdr:row>26</xdr:row>
      <xdr:rowOff>201705</xdr:rowOff>
    </xdr:from>
    <xdr:to>
      <xdr:col>75</xdr:col>
      <xdr:colOff>78441</xdr:colOff>
      <xdr:row>88</xdr:row>
      <xdr:rowOff>123264</xdr:rowOff>
    </xdr:to>
    <xdr:pic>
      <xdr:nvPicPr>
        <xdr:cNvPr id="31" name="図 30">
          <a:extLst>
            <a:ext uri="{FF2B5EF4-FFF2-40B4-BE49-F238E27FC236}">
              <a16:creationId xmlns:a16="http://schemas.microsoft.com/office/drawing/2014/main" id="{93D9BBA8-F3F7-43C9-83C9-84718E72DB83}"/>
            </a:ext>
          </a:extLst>
        </xdr:cNvPr>
        <xdr:cNvPicPr>
          <a:picLocks noChangeArrowheads="1"/>
        </xdr:cNvPicPr>
      </xdr:nvPicPr>
      <xdr:blipFill>
        <a:blip xmlns:r="http://schemas.openxmlformats.org/officeDocument/2006/relationships" r:embed="rId6"/>
        <a:srcRect/>
        <a:stretch>
          <a:fillRect/>
        </a:stretch>
      </xdr:blipFill>
      <xdr:spPr bwMode="auto">
        <a:xfrm>
          <a:off x="45675177" y="8538881"/>
          <a:ext cx="13973735" cy="108921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64</xdr:col>
      <xdr:colOff>571500</xdr:colOff>
      <xdr:row>37</xdr:row>
      <xdr:rowOff>78443</xdr:rowOff>
    </xdr:from>
    <xdr:to>
      <xdr:col>69</xdr:col>
      <xdr:colOff>493059</xdr:colOff>
      <xdr:row>41</xdr:row>
      <xdr:rowOff>89648</xdr:rowOff>
    </xdr:to>
    <xdr:sp macro="" textlink="">
      <xdr:nvSpPr>
        <xdr:cNvPr id="32" name="正方形/長方形 31">
          <a:extLst>
            <a:ext uri="{FF2B5EF4-FFF2-40B4-BE49-F238E27FC236}">
              <a16:creationId xmlns:a16="http://schemas.microsoft.com/office/drawing/2014/main" id="{FF80392F-63FD-4955-84AE-7224B597899F}"/>
            </a:ext>
          </a:extLst>
        </xdr:cNvPr>
        <xdr:cNvSpPr/>
      </xdr:nvSpPr>
      <xdr:spPr>
        <a:xfrm>
          <a:off x="52499559" y="10802472"/>
          <a:ext cx="3395382" cy="683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75</xdr:col>
      <xdr:colOff>526676</xdr:colOff>
      <xdr:row>25</xdr:row>
      <xdr:rowOff>1591235</xdr:rowOff>
    </xdr:from>
    <xdr:to>
      <xdr:col>87</xdr:col>
      <xdr:colOff>212912</xdr:colOff>
      <xdr:row>88</xdr:row>
      <xdr:rowOff>134471</xdr:rowOff>
    </xdr:to>
    <xdr:pic>
      <xdr:nvPicPr>
        <xdr:cNvPr id="34" name="図 33">
          <a:extLst>
            <a:ext uri="{FF2B5EF4-FFF2-40B4-BE49-F238E27FC236}">
              <a16:creationId xmlns:a16="http://schemas.microsoft.com/office/drawing/2014/main" id="{D1DC4ACA-8A40-4F13-ACF0-90DA25F21B23}"/>
            </a:ext>
          </a:extLst>
        </xdr:cNvPr>
        <xdr:cNvPicPr>
          <a:picLocks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097147" y="8191500"/>
          <a:ext cx="8023412" cy="1125070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50</xdr:col>
      <xdr:colOff>613122</xdr:colOff>
      <xdr:row>34</xdr:row>
      <xdr:rowOff>104197</xdr:rowOff>
    </xdr:from>
    <xdr:to>
      <xdr:col>64</xdr:col>
      <xdr:colOff>571500</xdr:colOff>
      <xdr:row>39</xdr:row>
      <xdr:rowOff>84045</xdr:rowOff>
    </xdr:to>
    <xdr:cxnSp macro="">
      <xdr:nvCxnSpPr>
        <xdr:cNvPr id="37" name="直線コネクタ 36">
          <a:extLst>
            <a:ext uri="{FF2B5EF4-FFF2-40B4-BE49-F238E27FC236}">
              <a16:creationId xmlns:a16="http://schemas.microsoft.com/office/drawing/2014/main" id="{6042C03D-EFDA-4CAC-ABF0-6A6E63BDF3B5}"/>
            </a:ext>
          </a:extLst>
        </xdr:cNvPr>
        <xdr:cNvCxnSpPr>
          <a:stCxn id="28" idx="1"/>
          <a:endCxn id="32" idx="1"/>
        </xdr:cNvCxnSpPr>
      </xdr:nvCxnSpPr>
      <xdr:spPr>
        <a:xfrm>
          <a:off x="42814475" y="10323962"/>
          <a:ext cx="9685084" cy="82028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571500</xdr:colOff>
      <xdr:row>45</xdr:row>
      <xdr:rowOff>67235</xdr:rowOff>
    </xdr:from>
    <xdr:to>
      <xdr:col>69</xdr:col>
      <xdr:colOff>493059</xdr:colOff>
      <xdr:row>47</xdr:row>
      <xdr:rowOff>33617</xdr:rowOff>
    </xdr:to>
    <xdr:sp macro="" textlink="">
      <xdr:nvSpPr>
        <xdr:cNvPr id="41" name="正方形/長方形 40">
          <a:extLst>
            <a:ext uri="{FF2B5EF4-FFF2-40B4-BE49-F238E27FC236}">
              <a16:creationId xmlns:a16="http://schemas.microsoft.com/office/drawing/2014/main" id="{73B2D932-74BB-B434-6CCF-707EFC2E9E84}"/>
            </a:ext>
          </a:extLst>
        </xdr:cNvPr>
        <xdr:cNvSpPr/>
      </xdr:nvSpPr>
      <xdr:spPr>
        <a:xfrm>
          <a:off x="52499559" y="12135970"/>
          <a:ext cx="3395382" cy="302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369795</xdr:colOff>
      <xdr:row>37</xdr:row>
      <xdr:rowOff>56030</xdr:rowOff>
    </xdr:from>
    <xdr:to>
      <xdr:col>86</xdr:col>
      <xdr:colOff>134471</xdr:colOff>
      <xdr:row>51</xdr:row>
      <xdr:rowOff>134470</xdr:rowOff>
    </xdr:to>
    <xdr:sp macro="" textlink="">
      <xdr:nvSpPr>
        <xdr:cNvPr id="42" name="正方形/長方形 41">
          <a:extLst>
            <a:ext uri="{FF2B5EF4-FFF2-40B4-BE49-F238E27FC236}">
              <a16:creationId xmlns:a16="http://schemas.microsoft.com/office/drawing/2014/main" id="{DC5A4F10-FD98-C0A8-25DC-A0B66A0EB224}"/>
            </a:ext>
          </a:extLst>
        </xdr:cNvPr>
        <xdr:cNvSpPr/>
      </xdr:nvSpPr>
      <xdr:spPr>
        <a:xfrm>
          <a:off x="61329795" y="10780059"/>
          <a:ext cx="6017558" cy="2442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268942</xdr:colOff>
      <xdr:row>28</xdr:row>
      <xdr:rowOff>33618</xdr:rowOff>
    </xdr:from>
    <xdr:to>
      <xdr:col>76</xdr:col>
      <xdr:colOff>688361</xdr:colOff>
      <xdr:row>34</xdr:row>
      <xdr:rowOff>59373</xdr:rowOff>
    </xdr:to>
    <xdr:sp macro="" textlink="">
      <xdr:nvSpPr>
        <xdr:cNvPr id="46" name="線吹き出し 1 (枠付き) 19">
          <a:extLst>
            <a:ext uri="{FF2B5EF4-FFF2-40B4-BE49-F238E27FC236}">
              <a16:creationId xmlns:a16="http://schemas.microsoft.com/office/drawing/2014/main" id="{E7E539F7-BC32-CCED-C666-7B88AD352CA3}"/>
            </a:ext>
          </a:extLst>
        </xdr:cNvPr>
        <xdr:cNvSpPr/>
      </xdr:nvSpPr>
      <xdr:spPr>
        <a:xfrm>
          <a:off x="54976060" y="9244853"/>
          <a:ext cx="5977536" cy="1034285"/>
        </a:xfrm>
        <a:prstGeom prst="borderCallout1">
          <a:avLst>
            <a:gd name="adj1" fmla="val 99098"/>
            <a:gd name="adj2" fmla="val 50109"/>
            <a:gd name="adj3" fmla="val 301854"/>
            <a:gd name="adj4" fmla="val 152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市販以外の切り分けは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から提供される無音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断続音の切り分けで実現する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市販時は常に断続音が提供され、市販以外時に無音</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断続音が提供される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72</xdr:col>
      <xdr:colOff>478652</xdr:colOff>
      <xdr:row>34</xdr:row>
      <xdr:rowOff>59373</xdr:rowOff>
    </xdr:from>
    <xdr:to>
      <xdr:col>77</xdr:col>
      <xdr:colOff>369795</xdr:colOff>
      <xdr:row>44</xdr:row>
      <xdr:rowOff>100853</xdr:rowOff>
    </xdr:to>
    <xdr:cxnSp macro="">
      <xdr:nvCxnSpPr>
        <xdr:cNvPr id="49" name="直線コネクタ 48">
          <a:extLst>
            <a:ext uri="{FF2B5EF4-FFF2-40B4-BE49-F238E27FC236}">
              <a16:creationId xmlns:a16="http://schemas.microsoft.com/office/drawing/2014/main" id="{88A11ED9-AE17-44A8-986F-3F997C4ABAF0}"/>
            </a:ext>
          </a:extLst>
        </xdr:cNvPr>
        <xdr:cNvCxnSpPr>
          <a:stCxn id="46" idx="1"/>
          <a:endCxn id="42" idx="1"/>
        </xdr:cNvCxnSpPr>
      </xdr:nvCxnSpPr>
      <xdr:spPr>
        <a:xfrm>
          <a:off x="57964828" y="10279138"/>
          <a:ext cx="3364967" cy="17223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1</xdr:colOff>
      <xdr:row>73</xdr:row>
      <xdr:rowOff>0</xdr:rowOff>
    </xdr:from>
    <xdr:to>
      <xdr:col>54</xdr:col>
      <xdr:colOff>649942</xdr:colOff>
      <xdr:row>79</xdr:row>
      <xdr:rowOff>19051</xdr:rowOff>
    </xdr:to>
    <xdr:pic>
      <xdr:nvPicPr>
        <xdr:cNvPr id="56" name="図 55">
          <a:extLst>
            <a:ext uri="{FF2B5EF4-FFF2-40B4-BE49-F238E27FC236}">
              <a16:creationId xmlns:a16="http://schemas.microsoft.com/office/drawing/2014/main" id="{1062469A-F8B3-4FDE-9ABA-B5C59E97BF14}"/>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2747942" y="16786412"/>
          <a:ext cx="22882412" cy="102758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22</xdr:col>
      <xdr:colOff>0</xdr:colOff>
      <xdr:row>84</xdr:row>
      <xdr:rowOff>0</xdr:rowOff>
    </xdr:from>
    <xdr:to>
      <xdr:col>34</xdr:col>
      <xdr:colOff>150783</xdr:colOff>
      <xdr:row>91</xdr:row>
      <xdr:rowOff>4647</xdr:rowOff>
    </xdr:to>
    <xdr:pic>
      <xdr:nvPicPr>
        <xdr:cNvPr id="57" name="図 56">
          <a:extLst>
            <a:ext uri="{FF2B5EF4-FFF2-40B4-BE49-F238E27FC236}">
              <a16:creationId xmlns:a16="http://schemas.microsoft.com/office/drawing/2014/main" id="{88160A0A-2097-7097-6D2C-6A890BFBBF12}"/>
            </a:ext>
          </a:extLst>
        </xdr:cNvPr>
        <xdr:cNvPicPr>
          <a:picLocks noChangeAspect="1"/>
        </xdr:cNvPicPr>
      </xdr:nvPicPr>
      <xdr:blipFill>
        <a:blip xmlns:r="http://schemas.openxmlformats.org/officeDocument/2006/relationships" r:embed="rId9"/>
        <a:stretch>
          <a:fillRect/>
        </a:stretch>
      </xdr:blipFill>
      <xdr:spPr>
        <a:xfrm>
          <a:off x="22747941" y="18635382"/>
          <a:ext cx="8487960" cy="1181265"/>
        </a:xfrm>
        <a:prstGeom prst="rect">
          <a:avLst/>
        </a:prstGeom>
      </xdr:spPr>
    </xdr:pic>
    <xdr:clientData/>
  </xdr:twoCellAnchor>
  <xdr:twoCellAnchor editAs="oneCell">
    <xdr:from>
      <xdr:col>22</xdr:col>
      <xdr:colOff>0</xdr:colOff>
      <xdr:row>97</xdr:row>
      <xdr:rowOff>0</xdr:rowOff>
    </xdr:from>
    <xdr:to>
      <xdr:col>33</xdr:col>
      <xdr:colOff>502600</xdr:colOff>
      <xdr:row>105</xdr:row>
      <xdr:rowOff>17559</xdr:rowOff>
    </xdr:to>
    <xdr:pic>
      <xdr:nvPicPr>
        <xdr:cNvPr id="58" name="図 57">
          <a:extLst>
            <a:ext uri="{FF2B5EF4-FFF2-40B4-BE49-F238E27FC236}">
              <a16:creationId xmlns:a16="http://schemas.microsoft.com/office/drawing/2014/main" id="{18E78F4A-70B9-E87A-10B0-233DED076CEF}"/>
            </a:ext>
          </a:extLst>
        </xdr:cNvPr>
        <xdr:cNvPicPr>
          <a:picLocks noChangeAspect="1"/>
        </xdr:cNvPicPr>
      </xdr:nvPicPr>
      <xdr:blipFill>
        <a:blip xmlns:r="http://schemas.openxmlformats.org/officeDocument/2006/relationships" r:embed="rId10"/>
        <a:stretch>
          <a:fillRect/>
        </a:stretch>
      </xdr:blipFill>
      <xdr:spPr>
        <a:xfrm>
          <a:off x="22747941" y="20820529"/>
          <a:ext cx="8145012" cy="1362265"/>
        </a:xfrm>
        <a:prstGeom prst="rect">
          <a:avLst/>
        </a:prstGeom>
      </xdr:spPr>
    </xdr:pic>
    <xdr:clientData/>
  </xdr:twoCellAnchor>
  <xdr:twoCellAnchor>
    <xdr:from>
      <xdr:col>22</xdr:col>
      <xdr:colOff>437030</xdr:colOff>
      <xdr:row>100</xdr:row>
      <xdr:rowOff>93262</xdr:rowOff>
    </xdr:from>
    <xdr:to>
      <xdr:col>25</xdr:col>
      <xdr:colOff>246530</xdr:colOff>
      <xdr:row>103</xdr:row>
      <xdr:rowOff>67235</xdr:rowOff>
    </xdr:to>
    <xdr:sp macro="" textlink="">
      <xdr:nvSpPr>
        <xdr:cNvPr id="59" name="正方形/長方形 58">
          <a:extLst>
            <a:ext uri="{FF2B5EF4-FFF2-40B4-BE49-F238E27FC236}">
              <a16:creationId xmlns:a16="http://schemas.microsoft.com/office/drawing/2014/main" id="{F0C2C060-7292-40DF-9323-736D6A853EB4}"/>
            </a:ext>
          </a:extLst>
        </xdr:cNvPr>
        <xdr:cNvSpPr/>
      </xdr:nvSpPr>
      <xdr:spPr>
        <a:xfrm>
          <a:off x="23184971" y="21418056"/>
          <a:ext cx="1893794" cy="478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694752</xdr:colOff>
      <xdr:row>105</xdr:row>
      <xdr:rowOff>11206</xdr:rowOff>
    </xdr:from>
    <xdr:to>
      <xdr:col>30</xdr:col>
      <xdr:colOff>208036</xdr:colOff>
      <xdr:row>109</xdr:row>
      <xdr:rowOff>89467</xdr:rowOff>
    </xdr:to>
    <xdr:sp macro="" textlink="">
      <xdr:nvSpPr>
        <xdr:cNvPr id="60" name="線吹き出し 1 (枠付き) 159">
          <a:extLst>
            <a:ext uri="{FF2B5EF4-FFF2-40B4-BE49-F238E27FC236}">
              <a16:creationId xmlns:a16="http://schemas.microsoft.com/office/drawing/2014/main" id="{B171145F-DC09-4089-ACD7-AB1A1532F641}"/>
            </a:ext>
          </a:extLst>
        </xdr:cNvPr>
        <xdr:cNvSpPr/>
      </xdr:nvSpPr>
      <xdr:spPr>
        <a:xfrm>
          <a:off x="25526987" y="22176441"/>
          <a:ext cx="2987108" cy="750614"/>
        </a:xfrm>
        <a:prstGeom prst="borderCallout1">
          <a:avLst>
            <a:gd name="adj1" fmla="val 48478"/>
            <a:gd name="adj2" fmla="val 627"/>
            <a:gd name="adj3" fmla="val -37078"/>
            <a:gd name="adj4" fmla="val -176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2" name="線吹き出し 1 (枠付き) 35">
          <a:extLst>
            <a:ext uri="{FF2B5EF4-FFF2-40B4-BE49-F238E27FC236}">
              <a16:creationId xmlns:a16="http://schemas.microsoft.com/office/drawing/2014/main" id="{A64B9EC3-9964-453F-BF76-84E73BEA62EF}"/>
            </a:ext>
          </a:extLst>
        </xdr:cNvPr>
        <xdr:cNvSpPr/>
      </xdr:nvSpPr>
      <xdr:spPr>
        <a:xfrm>
          <a:off x="7795184" y="44823"/>
          <a:ext cx="4418667" cy="353157"/>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3" name="線吹き出し 1 (枠付き) 44">
          <a:extLst>
            <a:ext uri="{FF2B5EF4-FFF2-40B4-BE49-F238E27FC236}">
              <a16:creationId xmlns:a16="http://schemas.microsoft.com/office/drawing/2014/main" id="{8E1C138F-9CFD-422A-A7D5-5DF73C1D0B1B}"/>
            </a:ext>
          </a:extLst>
        </xdr:cNvPr>
        <xdr:cNvSpPr/>
      </xdr:nvSpPr>
      <xdr:spPr>
        <a:xfrm>
          <a:off x="2734795" y="1488140"/>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119062</xdr:colOff>
      <xdr:row>2</xdr:row>
      <xdr:rowOff>0</xdr:rowOff>
    </xdr:from>
    <xdr:to>
      <xdr:col>44</xdr:col>
      <xdr:colOff>129651</xdr:colOff>
      <xdr:row>35</xdr:row>
      <xdr:rowOff>23812</xdr:rowOff>
    </xdr:to>
    <xdr:pic>
      <xdr:nvPicPr>
        <xdr:cNvPr id="4" name="図 3">
          <a:extLst>
            <a:ext uri="{FF2B5EF4-FFF2-40B4-BE49-F238E27FC236}">
              <a16:creationId xmlns:a16="http://schemas.microsoft.com/office/drawing/2014/main" id="{7598894B-5B85-4DC3-8C5F-54ED0F538AA2}"/>
            </a:ext>
          </a:extLst>
        </xdr:cNvPr>
        <xdr:cNvPicPr>
          <a:picLocks noChangeAspect="1"/>
        </xdr:cNvPicPr>
      </xdr:nvPicPr>
      <xdr:blipFill>
        <a:blip xmlns:r="http://schemas.openxmlformats.org/officeDocument/2006/relationships" r:embed="rId1"/>
        <a:stretch>
          <a:fillRect/>
        </a:stretch>
      </xdr:blipFill>
      <xdr:spPr>
        <a:xfrm>
          <a:off x="22855237" y="361950"/>
          <a:ext cx="15307739" cy="7796212"/>
        </a:xfrm>
        <a:prstGeom prst="rect">
          <a:avLst/>
        </a:prstGeom>
      </xdr:spPr>
    </xdr:pic>
    <xdr:clientData/>
  </xdr:twoCellAnchor>
  <xdr:twoCellAnchor editAs="oneCell">
    <xdr:from>
      <xdr:col>21</xdr:col>
      <xdr:colOff>612320</xdr:colOff>
      <xdr:row>41</xdr:row>
      <xdr:rowOff>-1</xdr:rowOff>
    </xdr:from>
    <xdr:to>
      <xdr:col>48</xdr:col>
      <xdr:colOff>3965</xdr:colOff>
      <xdr:row>64</xdr:row>
      <xdr:rowOff>961</xdr:rowOff>
    </xdr:to>
    <xdr:pic>
      <xdr:nvPicPr>
        <xdr:cNvPr id="5" name="図 4">
          <a:extLst>
            <a:ext uri="{FF2B5EF4-FFF2-40B4-BE49-F238E27FC236}">
              <a16:creationId xmlns:a16="http://schemas.microsoft.com/office/drawing/2014/main" id="{1B878FA3-51A7-4827-AC42-810741DA76E6}"/>
            </a:ext>
          </a:extLst>
        </xdr:cNvPr>
        <xdr:cNvPicPr>
          <a:picLocks noChangeAspect="1"/>
        </xdr:cNvPicPr>
      </xdr:nvPicPr>
      <xdr:blipFill>
        <a:blip xmlns:r="http://schemas.openxmlformats.org/officeDocument/2006/relationships" r:embed="rId2"/>
        <a:stretch>
          <a:fillRect/>
        </a:stretch>
      </xdr:blipFill>
      <xdr:spPr>
        <a:xfrm>
          <a:off x="22653170" y="9163049"/>
          <a:ext cx="18165420" cy="6255525"/>
        </a:xfrm>
        <a:prstGeom prst="rect">
          <a:avLst/>
        </a:prstGeom>
      </xdr:spPr>
    </xdr:pic>
    <xdr:clientData/>
  </xdr:twoCellAnchor>
  <xdr:twoCellAnchor editAs="oneCell">
    <xdr:from>
      <xdr:col>22</xdr:col>
      <xdr:colOff>1</xdr:colOff>
      <xdr:row>82</xdr:row>
      <xdr:rowOff>0</xdr:rowOff>
    </xdr:from>
    <xdr:to>
      <xdr:col>49</xdr:col>
      <xdr:colOff>13607</xdr:colOff>
      <xdr:row>82</xdr:row>
      <xdr:rowOff>1731390</xdr:rowOff>
    </xdr:to>
    <xdr:pic>
      <xdr:nvPicPr>
        <xdr:cNvPr id="6" name="図 5">
          <a:extLst>
            <a:ext uri="{FF2B5EF4-FFF2-40B4-BE49-F238E27FC236}">
              <a16:creationId xmlns:a16="http://schemas.microsoft.com/office/drawing/2014/main" id="{1001E8C7-4E1E-496F-BB28-1639BFC99490}"/>
            </a:ext>
          </a:extLst>
        </xdr:cNvPr>
        <xdr:cNvPicPr>
          <a:picLocks noChangeAspect="1"/>
        </xdr:cNvPicPr>
      </xdr:nvPicPr>
      <xdr:blipFill>
        <a:blip xmlns:r="http://schemas.openxmlformats.org/officeDocument/2006/relationships" r:embed="rId3"/>
        <a:stretch>
          <a:fillRect/>
        </a:stretch>
      </xdr:blipFill>
      <xdr:spPr>
        <a:xfrm>
          <a:off x="22736176" y="18726150"/>
          <a:ext cx="18787381" cy="1731390"/>
        </a:xfrm>
        <a:prstGeom prst="rect">
          <a:avLst/>
        </a:prstGeom>
      </xdr:spPr>
    </xdr:pic>
    <xdr:clientData/>
  </xdr:twoCellAnchor>
  <xdr:twoCellAnchor>
    <xdr:from>
      <xdr:col>50</xdr:col>
      <xdr:colOff>1</xdr:colOff>
      <xdr:row>41</xdr:row>
      <xdr:rowOff>0</xdr:rowOff>
    </xdr:from>
    <xdr:to>
      <xdr:col>67</xdr:col>
      <xdr:colOff>457201</xdr:colOff>
      <xdr:row>82</xdr:row>
      <xdr:rowOff>495300</xdr:rowOff>
    </xdr:to>
    <xdr:grpSp>
      <xdr:nvGrpSpPr>
        <xdr:cNvPr id="7" name="グループ化 6">
          <a:extLst>
            <a:ext uri="{FF2B5EF4-FFF2-40B4-BE49-F238E27FC236}">
              <a16:creationId xmlns:a16="http://schemas.microsoft.com/office/drawing/2014/main" id="{AB6407DB-07AF-4939-9889-C74919C3C07B}"/>
            </a:ext>
          </a:extLst>
        </xdr:cNvPr>
        <xdr:cNvGrpSpPr/>
      </xdr:nvGrpSpPr>
      <xdr:grpSpPr>
        <a:xfrm>
          <a:off x="42201354" y="9054353"/>
          <a:ext cx="12268200" cy="9964271"/>
          <a:chOff x="37216773" y="10183091"/>
          <a:chExt cx="14701735" cy="11057371"/>
        </a:xfrm>
      </xdr:grpSpPr>
      <xdr:pic>
        <xdr:nvPicPr>
          <xdr:cNvPr id="8" name="図 7">
            <a:extLst>
              <a:ext uri="{FF2B5EF4-FFF2-40B4-BE49-F238E27FC236}">
                <a16:creationId xmlns:a16="http://schemas.microsoft.com/office/drawing/2014/main" id="{0B49BFBA-F55D-A36F-4950-16161CB005C7}"/>
              </a:ext>
            </a:extLst>
          </xdr:cNvPr>
          <xdr:cNvPicPr>
            <a:picLocks noChangeAspect="1"/>
          </xdr:cNvPicPr>
        </xdr:nvPicPr>
        <xdr:blipFill>
          <a:blip xmlns:r="http://schemas.openxmlformats.org/officeDocument/2006/relationships" r:embed="rId4"/>
          <a:stretch>
            <a:fillRect/>
          </a:stretch>
        </xdr:blipFill>
        <xdr:spPr>
          <a:xfrm>
            <a:off x="37216773" y="10183091"/>
            <a:ext cx="14701735" cy="6971538"/>
          </a:xfrm>
          <a:prstGeom prst="rect">
            <a:avLst/>
          </a:prstGeom>
        </xdr:spPr>
      </xdr:pic>
      <xdr:pic>
        <xdr:nvPicPr>
          <xdr:cNvPr id="9" name="図 8">
            <a:extLst>
              <a:ext uri="{FF2B5EF4-FFF2-40B4-BE49-F238E27FC236}">
                <a16:creationId xmlns:a16="http://schemas.microsoft.com/office/drawing/2014/main" id="{F1A78910-0344-C499-6D55-D5214E784DB1}"/>
              </a:ext>
            </a:extLst>
          </xdr:cNvPr>
          <xdr:cNvPicPr>
            <a:picLocks noChangeAspect="1"/>
          </xdr:cNvPicPr>
        </xdr:nvPicPr>
        <xdr:blipFill>
          <a:blip xmlns:r="http://schemas.openxmlformats.org/officeDocument/2006/relationships" r:embed="rId5"/>
          <a:stretch>
            <a:fillRect/>
          </a:stretch>
        </xdr:blipFill>
        <xdr:spPr>
          <a:xfrm>
            <a:off x="37216773" y="17138073"/>
            <a:ext cx="14682683" cy="4102389"/>
          </a:xfrm>
          <a:prstGeom prst="rect">
            <a:avLst/>
          </a:prstGeom>
        </xdr:spPr>
      </xdr:pic>
    </xdr:grpSp>
    <xdr:clientData/>
  </xdr:twoCellAnchor>
  <xdr:twoCellAnchor editAs="oneCell">
    <xdr:from>
      <xdr:col>22</xdr:col>
      <xdr:colOff>0</xdr:colOff>
      <xdr:row>89</xdr:row>
      <xdr:rowOff>0</xdr:rowOff>
    </xdr:from>
    <xdr:to>
      <xdr:col>47</xdr:col>
      <xdr:colOff>449864</xdr:colOff>
      <xdr:row>120</xdr:row>
      <xdr:rowOff>32527</xdr:rowOff>
    </xdr:to>
    <xdr:pic>
      <xdr:nvPicPr>
        <xdr:cNvPr id="10" name="図 9">
          <a:extLst>
            <a:ext uri="{FF2B5EF4-FFF2-40B4-BE49-F238E27FC236}">
              <a16:creationId xmlns:a16="http://schemas.microsoft.com/office/drawing/2014/main" id="{A11085ED-67CA-4185-9B47-B323131AAD20}"/>
            </a:ext>
          </a:extLst>
        </xdr:cNvPr>
        <xdr:cNvPicPr>
          <a:picLocks noChangeAspect="1"/>
        </xdr:cNvPicPr>
      </xdr:nvPicPr>
      <xdr:blipFill>
        <a:blip xmlns:r="http://schemas.openxmlformats.org/officeDocument/2006/relationships" r:embed="rId6"/>
        <a:stretch>
          <a:fillRect/>
        </a:stretch>
      </xdr:blipFill>
      <xdr:spPr>
        <a:xfrm>
          <a:off x="22736175" y="22021800"/>
          <a:ext cx="17832989" cy="5357002"/>
        </a:xfrm>
        <a:prstGeom prst="rect">
          <a:avLst/>
        </a:prstGeom>
      </xdr:spPr>
    </xdr:pic>
    <xdr:clientData/>
  </xdr:twoCellAnchor>
  <xdr:twoCellAnchor editAs="oneCell">
    <xdr:from>
      <xdr:col>23</xdr:col>
      <xdr:colOff>0</xdr:colOff>
      <xdr:row>127</xdr:row>
      <xdr:rowOff>0</xdr:rowOff>
    </xdr:from>
    <xdr:to>
      <xdr:col>28</xdr:col>
      <xdr:colOff>131351</xdr:colOff>
      <xdr:row>131</xdr:row>
      <xdr:rowOff>1732</xdr:rowOff>
    </xdr:to>
    <xdr:pic>
      <xdr:nvPicPr>
        <xdr:cNvPr id="11" name="図 10">
          <a:extLst>
            <a:ext uri="{FF2B5EF4-FFF2-40B4-BE49-F238E27FC236}">
              <a16:creationId xmlns:a16="http://schemas.microsoft.com/office/drawing/2014/main" id="{2B828F90-5041-4AEB-BE36-AF1E0C8ADFCE}"/>
            </a:ext>
          </a:extLst>
        </xdr:cNvPr>
        <xdr:cNvPicPr>
          <a:picLocks noChangeAspect="1"/>
        </xdr:cNvPicPr>
      </xdr:nvPicPr>
      <xdr:blipFill>
        <a:blip xmlns:r="http://schemas.openxmlformats.org/officeDocument/2006/relationships" r:embed="rId7"/>
        <a:stretch>
          <a:fillRect/>
        </a:stretch>
      </xdr:blipFill>
      <xdr:spPr>
        <a:xfrm>
          <a:off x="23431500" y="28546425"/>
          <a:ext cx="3607976" cy="687532"/>
        </a:xfrm>
        <a:prstGeom prst="rect">
          <a:avLst/>
        </a:prstGeom>
      </xdr:spPr>
    </xdr:pic>
    <xdr:clientData/>
  </xdr:twoCellAnchor>
  <xdr:twoCellAnchor editAs="oneCell">
    <xdr:from>
      <xdr:col>23</xdr:col>
      <xdr:colOff>0</xdr:colOff>
      <xdr:row>131</xdr:row>
      <xdr:rowOff>190499</xdr:rowOff>
    </xdr:from>
    <xdr:to>
      <xdr:col>28</xdr:col>
      <xdr:colOff>103910</xdr:colOff>
      <xdr:row>136</xdr:row>
      <xdr:rowOff>94085</xdr:rowOff>
    </xdr:to>
    <xdr:pic>
      <xdr:nvPicPr>
        <xdr:cNvPr id="12" name="図 11">
          <a:extLst>
            <a:ext uri="{FF2B5EF4-FFF2-40B4-BE49-F238E27FC236}">
              <a16:creationId xmlns:a16="http://schemas.microsoft.com/office/drawing/2014/main" id="{71F59F9F-0B84-41EF-A3D7-4B44B17A684E}"/>
            </a:ext>
          </a:extLst>
        </xdr:cNvPr>
        <xdr:cNvPicPr>
          <a:picLocks noChangeAspect="1"/>
        </xdr:cNvPicPr>
      </xdr:nvPicPr>
      <xdr:blipFill>
        <a:blip xmlns:r="http://schemas.openxmlformats.org/officeDocument/2006/relationships" r:embed="rId8"/>
        <a:stretch>
          <a:fillRect/>
        </a:stretch>
      </xdr:blipFill>
      <xdr:spPr>
        <a:xfrm>
          <a:off x="23431500" y="29403674"/>
          <a:ext cx="3580535" cy="779886"/>
        </a:xfrm>
        <a:prstGeom prst="rect">
          <a:avLst/>
        </a:prstGeom>
      </xdr:spPr>
    </xdr:pic>
    <xdr:clientData/>
  </xdr:twoCellAnchor>
  <xdr:twoCellAnchor editAs="oneCell">
    <xdr:from>
      <xdr:col>23</xdr:col>
      <xdr:colOff>0</xdr:colOff>
      <xdr:row>138</xdr:row>
      <xdr:rowOff>0</xdr:rowOff>
    </xdr:from>
    <xdr:to>
      <xdr:col>28</xdr:col>
      <xdr:colOff>51955</xdr:colOff>
      <xdr:row>142</xdr:row>
      <xdr:rowOff>49220</xdr:rowOff>
    </xdr:to>
    <xdr:pic>
      <xdr:nvPicPr>
        <xdr:cNvPr id="13" name="図 12">
          <a:extLst>
            <a:ext uri="{FF2B5EF4-FFF2-40B4-BE49-F238E27FC236}">
              <a16:creationId xmlns:a16="http://schemas.microsoft.com/office/drawing/2014/main" id="{511FCCF3-F87B-4271-9660-83F4DEC4ED50}"/>
            </a:ext>
          </a:extLst>
        </xdr:cNvPr>
        <xdr:cNvPicPr>
          <a:picLocks noChangeAspect="1"/>
        </xdr:cNvPicPr>
      </xdr:nvPicPr>
      <xdr:blipFill>
        <a:blip xmlns:r="http://schemas.openxmlformats.org/officeDocument/2006/relationships" r:embed="rId9"/>
        <a:stretch>
          <a:fillRect/>
        </a:stretch>
      </xdr:blipFill>
      <xdr:spPr>
        <a:xfrm>
          <a:off x="23431500" y="30432375"/>
          <a:ext cx="3528580" cy="735020"/>
        </a:xfrm>
        <a:prstGeom prst="rect">
          <a:avLst/>
        </a:prstGeom>
      </xdr:spPr>
    </xdr:pic>
    <xdr:clientData/>
  </xdr:twoCellAnchor>
  <xdr:twoCellAnchor editAs="oneCell">
    <xdr:from>
      <xdr:col>23</xdr:col>
      <xdr:colOff>0</xdr:colOff>
      <xdr:row>144</xdr:row>
      <xdr:rowOff>0</xdr:rowOff>
    </xdr:from>
    <xdr:to>
      <xdr:col>47</xdr:col>
      <xdr:colOff>571501</xdr:colOff>
      <xdr:row>168</xdr:row>
      <xdr:rowOff>24389</xdr:rowOff>
    </xdr:to>
    <xdr:pic>
      <xdr:nvPicPr>
        <xdr:cNvPr id="14" name="図 13">
          <a:extLst>
            <a:ext uri="{FF2B5EF4-FFF2-40B4-BE49-F238E27FC236}">
              <a16:creationId xmlns:a16="http://schemas.microsoft.com/office/drawing/2014/main" id="{4BCF73C2-AB04-47BC-B359-23BEEB280ECC}"/>
            </a:ext>
          </a:extLst>
        </xdr:cNvPr>
        <xdr:cNvPicPr>
          <a:picLocks noChangeAspect="1"/>
        </xdr:cNvPicPr>
      </xdr:nvPicPr>
      <xdr:blipFill>
        <a:blip xmlns:r="http://schemas.openxmlformats.org/officeDocument/2006/relationships" r:embed="rId10"/>
        <a:stretch>
          <a:fillRect/>
        </a:stretch>
      </xdr:blipFill>
      <xdr:spPr>
        <a:xfrm>
          <a:off x="23431500" y="31461075"/>
          <a:ext cx="17259301" cy="4139189"/>
        </a:xfrm>
        <a:prstGeom prst="rect">
          <a:avLst/>
        </a:prstGeom>
      </xdr:spPr>
    </xdr:pic>
    <xdr:clientData/>
  </xdr:twoCellAnchor>
  <xdr:twoCellAnchor>
    <xdr:from>
      <xdr:col>31</xdr:col>
      <xdr:colOff>529710</xdr:colOff>
      <xdr:row>49</xdr:row>
      <xdr:rowOff>95251</xdr:rowOff>
    </xdr:from>
    <xdr:to>
      <xdr:col>33</xdr:col>
      <xdr:colOff>356889</xdr:colOff>
      <xdr:row>55</xdr:row>
      <xdr:rowOff>340179</xdr:rowOff>
    </xdr:to>
    <xdr:sp macro="" textlink="">
      <xdr:nvSpPr>
        <xdr:cNvPr id="15" name="正方形/長方形 14">
          <a:extLst>
            <a:ext uri="{FF2B5EF4-FFF2-40B4-BE49-F238E27FC236}">
              <a16:creationId xmlns:a16="http://schemas.microsoft.com/office/drawing/2014/main" id="{C964C1F3-92E4-449B-B1BF-EE3D780272ED}"/>
            </a:ext>
          </a:extLst>
        </xdr:cNvPr>
        <xdr:cNvSpPr/>
      </xdr:nvSpPr>
      <xdr:spPr>
        <a:xfrm>
          <a:off x="29523810" y="10639426"/>
          <a:ext cx="1217829" cy="1483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6458</xdr:colOff>
      <xdr:row>42</xdr:row>
      <xdr:rowOff>136072</xdr:rowOff>
    </xdr:from>
    <xdr:to>
      <xdr:col>37</xdr:col>
      <xdr:colOff>329676</xdr:colOff>
      <xdr:row>44</xdr:row>
      <xdr:rowOff>120184</xdr:rowOff>
    </xdr:to>
    <xdr:sp macro="" textlink="">
      <xdr:nvSpPr>
        <xdr:cNvPr id="16" name="線吹き出し 1 (枠付き) 18">
          <a:extLst>
            <a:ext uri="{FF2B5EF4-FFF2-40B4-BE49-F238E27FC236}">
              <a16:creationId xmlns:a16="http://schemas.microsoft.com/office/drawing/2014/main" id="{3B0048A8-31FC-47DC-8E76-E76BC4316DBC}"/>
            </a:ext>
          </a:extLst>
        </xdr:cNvPr>
        <xdr:cNvSpPr/>
      </xdr:nvSpPr>
      <xdr:spPr>
        <a:xfrm>
          <a:off x="31086533" y="9470572"/>
          <a:ext cx="2409193" cy="336537"/>
        </a:xfrm>
        <a:prstGeom prst="borderCallout1">
          <a:avLst>
            <a:gd name="adj1" fmla="val 44823"/>
            <a:gd name="adj2" fmla="val -3207"/>
            <a:gd name="adj3" fmla="val 383648"/>
            <a:gd name="adj4" fmla="val -520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366490</xdr:colOff>
      <xdr:row>51</xdr:row>
      <xdr:rowOff>163287</xdr:rowOff>
    </xdr:from>
    <xdr:to>
      <xdr:col>36</xdr:col>
      <xdr:colOff>66723</xdr:colOff>
      <xdr:row>55</xdr:row>
      <xdr:rowOff>312965</xdr:rowOff>
    </xdr:to>
    <xdr:sp macro="" textlink="">
      <xdr:nvSpPr>
        <xdr:cNvPr id="17" name="正方形/長方形 16">
          <a:extLst>
            <a:ext uri="{FF2B5EF4-FFF2-40B4-BE49-F238E27FC236}">
              <a16:creationId xmlns:a16="http://schemas.microsoft.com/office/drawing/2014/main" id="{179C33FF-EB17-49B5-BCAA-0A21E2E3CBE5}"/>
            </a:ext>
          </a:extLst>
        </xdr:cNvPr>
        <xdr:cNvSpPr/>
      </xdr:nvSpPr>
      <xdr:spPr>
        <a:xfrm>
          <a:off x="30751240" y="11088462"/>
          <a:ext cx="1786208" cy="1006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108347</xdr:colOff>
      <xdr:row>52</xdr:row>
      <xdr:rowOff>14244</xdr:rowOff>
    </xdr:from>
    <xdr:to>
      <xdr:col>38</xdr:col>
      <xdr:colOff>383830</xdr:colOff>
      <xdr:row>55</xdr:row>
      <xdr:rowOff>367393</xdr:rowOff>
    </xdr:to>
    <xdr:sp macro="" textlink="">
      <xdr:nvSpPr>
        <xdr:cNvPr id="18" name="正方形/長方形 17">
          <a:extLst>
            <a:ext uri="{FF2B5EF4-FFF2-40B4-BE49-F238E27FC236}">
              <a16:creationId xmlns:a16="http://schemas.microsoft.com/office/drawing/2014/main" id="{22CE51E4-50A8-4970-BBF8-4CB540137FB0}"/>
            </a:ext>
          </a:extLst>
        </xdr:cNvPr>
        <xdr:cNvSpPr/>
      </xdr:nvSpPr>
      <xdr:spPr>
        <a:xfrm>
          <a:off x="32579072" y="11110869"/>
          <a:ext cx="1666133" cy="10389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353786</xdr:colOff>
      <xdr:row>55</xdr:row>
      <xdr:rowOff>1442357</xdr:rowOff>
    </xdr:from>
    <xdr:to>
      <xdr:col>35</xdr:col>
      <xdr:colOff>220937</xdr:colOff>
      <xdr:row>57</xdr:row>
      <xdr:rowOff>13608</xdr:rowOff>
    </xdr:to>
    <xdr:sp macro="" textlink="">
      <xdr:nvSpPr>
        <xdr:cNvPr id="19" name="正方形/長方形 18">
          <a:extLst>
            <a:ext uri="{FF2B5EF4-FFF2-40B4-BE49-F238E27FC236}">
              <a16:creationId xmlns:a16="http://schemas.microsoft.com/office/drawing/2014/main" id="{76D830DB-AE78-41F4-BB77-D78448B1514B}"/>
            </a:ext>
          </a:extLst>
        </xdr:cNvPr>
        <xdr:cNvSpPr/>
      </xdr:nvSpPr>
      <xdr:spPr>
        <a:xfrm>
          <a:off x="30738536" y="13224782"/>
          <a:ext cx="1257801" cy="10001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84015</xdr:colOff>
      <xdr:row>57</xdr:row>
      <xdr:rowOff>34533</xdr:rowOff>
    </xdr:from>
    <xdr:to>
      <xdr:col>34</xdr:col>
      <xdr:colOff>403090</xdr:colOff>
      <xdr:row>60</xdr:row>
      <xdr:rowOff>15087</xdr:rowOff>
    </xdr:to>
    <xdr:sp macro="" textlink="">
      <xdr:nvSpPr>
        <xdr:cNvPr id="20" name="線吹き出し 1 (枠付き) 28">
          <a:extLst>
            <a:ext uri="{FF2B5EF4-FFF2-40B4-BE49-F238E27FC236}">
              <a16:creationId xmlns:a16="http://schemas.microsoft.com/office/drawing/2014/main" id="{D7EE56D1-9C85-4161-A252-71D6B8383234}"/>
            </a:ext>
          </a:extLst>
        </xdr:cNvPr>
        <xdr:cNvSpPr/>
      </xdr:nvSpPr>
      <xdr:spPr>
        <a:xfrm>
          <a:off x="29078115" y="14245833"/>
          <a:ext cx="2405050" cy="504429"/>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144095</xdr:colOff>
      <xdr:row>55</xdr:row>
      <xdr:rowOff>1464298</xdr:rowOff>
    </xdr:from>
    <xdr:to>
      <xdr:col>40</xdr:col>
      <xdr:colOff>597719</xdr:colOff>
      <xdr:row>56</xdr:row>
      <xdr:rowOff>0</xdr:rowOff>
    </xdr:to>
    <xdr:sp macro="" textlink="">
      <xdr:nvSpPr>
        <xdr:cNvPr id="21" name="正方形/長方形 20">
          <a:extLst>
            <a:ext uri="{FF2B5EF4-FFF2-40B4-BE49-F238E27FC236}">
              <a16:creationId xmlns:a16="http://schemas.microsoft.com/office/drawing/2014/main" id="{57D1D2C9-060A-4AB1-9E7F-E99DA4742575}"/>
            </a:ext>
          </a:extLst>
        </xdr:cNvPr>
        <xdr:cNvSpPr/>
      </xdr:nvSpPr>
      <xdr:spPr>
        <a:xfrm>
          <a:off x="32614820" y="13246723"/>
          <a:ext cx="3234924" cy="269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542918</xdr:colOff>
      <xdr:row>55</xdr:row>
      <xdr:rowOff>1414026</xdr:rowOff>
    </xdr:from>
    <xdr:to>
      <xdr:col>47</xdr:col>
      <xdr:colOff>326572</xdr:colOff>
      <xdr:row>56</xdr:row>
      <xdr:rowOff>244929</xdr:rowOff>
    </xdr:to>
    <xdr:sp macro="" textlink="">
      <xdr:nvSpPr>
        <xdr:cNvPr id="22" name="線吹き出し 1 (枠付き) 30">
          <a:extLst>
            <a:ext uri="{FF2B5EF4-FFF2-40B4-BE49-F238E27FC236}">
              <a16:creationId xmlns:a16="http://schemas.microsoft.com/office/drawing/2014/main" id="{1EEA5BB4-A324-4EB6-8F5F-6D570F929829}"/>
            </a:ext>
          </a:extLst>
        </xdr:cNvPr>
        <xdr:cNvSpPr/>
      </xdr:nvSpPr>
      <xdr:spPr>
        <a:xfrm>
          <a:off x="37185593" y="13196451"/>
          <a:ext cx="3260279" cy="564453"/>
        </a:xfrm>
        <a:prstGeom prst="borderCallout1">
          <a:avLst>
            <a:gd name="adj1" fmla="val 38295"/>
            <a:gd name="adj2" fmla="val -1002"/>
            <a:gd name="adj3" fmla="val 34594"/>
            <a:gd name="adj4" fmla="val -417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144094</xdr:colOff>
      <xdr:row>56</xdr:row>
      <xdr:rowOff>11761</xdr:rowOff>
    </xdr:from>
    <xdr:to>
      <xdr:col>40</xdr:col>
      <xdr:colOff>597718</xdr:colOff>
      <xdr:row>56</xdr:row>
      <xdr:rowOff>717753</xdr:rowOff>
    </xdr:to>
    <xdr:sp macro="" textlink="">
      <xdr:nvSpPr>
        <xdr:cNvPr id="23" name="正方形/長方形 22">
          <a:extLst>
            <a:ext uri="{FF2B5EF4-FFF2-40B4-BE49-F238E27FC236}">
              <a16:creationId xmlns:a16="http://schemas.microsoft.com/office/drawing/2014/main" id="{A3E8C846-1724-4787-BC84-8236852FAF01}"/>
            </a:ext>
          </a:extLst>
        </xdr:cNvPr>
        <xdr:cNvSpPr/>
      </xdr:nvSpPr>
      <xdr:spPr>
        <a:xfrm>
          <a:off x="32614819" y="13527736"/>
          <a:ext cx="3234924" cy="686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542916</xdr:colOff>
      <xdr:row>56</xdr:row>
      <xdr:rowOff>447919</xdr:rowOff>
    </xdr:from>
    <xdr:to>
      <xdr:col>47</xdr:col>
      <xdr:colOff>13606</xdr:colOff>
      <xdr:row>59</xdr:row>
      <xdr:rowOff>40821</xdr:rowOff>
    </xdr:to>
    <xdr:sp macro="" textlink="">
      <xdr:nvSpPr>
        <xdr:cNvPr id="24" name="線吹き出し 1 (枠付き) 30">
          <a:extLst>
            <a:ext uri="{FF2B5EF4-FFF2-40B4-BE49-F238E27FC236}">
              <a16:creationId xmlns:a16="http://schemas.microsoft.com/office/drawing/2014/main" id="{7F44949D-525F-4C89-B7D7-DD3B911D32D0}"/>
            </a:ext>
          </a:extLst>
        </xdr:cNvPr>
        <xdr:cNvSpPr/>
      </xdr:nvSpPr>
      <xdr:spPr>
        <a:xfrm>
          <a:off x="37185591" y="13963894"/>
          <a:ext cx="2947315" cy="640652"/>
        </a:xfrm>
        <a:prstGeom prst="borderCallout1">
          <a:avLst>
            <a:gd name="adj1" fmla="val 38295"/>
            <a:gd name="adj2" fmla="val -1002"/>
            <a:gd name="adj3" fmla="val 1916"/>
            <a:gd name="adj4" fmla="val -43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340178</xdr:colOff>
      <xdr:row>49</xdr:row>
      <xdr:rowOff>190501</xdr:rowOff>
    </xdr:from>
    <xdr:to>
      <xdr:col>63</xdr:col>
      <xdr:colOff>149678</xdr:colOff>
      <xdr:row>55</xdr:row>
      <xdr:rowOff>1741715</xdr:rowOff>
    </xdr:to>
    <xdr:sp macro="" textlink="">
      <xdr:nvSpPr>
        <xdr:cNvPr id="25" name="正方形/長方形 24">
          <a:extLst>
            <a:ext uri="{FF2B5EF4-FFF2-40B4-BE49-F238E27FC236}">
              <a16:creationId xmlns:a16="http://schemas.microsoft.com/office/drawing/2014/main" id="{B9ED90F3-7602-4CB0-AFD9-8B4A69123DCC}"/>
            </a:ext>
          </a:extLst>
        </xdr:cNvPr>
        <xdr:cNvSpPr/>
      </xdr:nvSpPr>
      <xdr:spPr>
        <a:xfrm>
          <a:off x="48108053" y="10734676"/>
          <a:ext cx="3286125" cy="27799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27214</xdr:colOff>
      <xdr:row>40</xdr:row>
      <xdr:rowOff>176893</xdr:rowOff>
    </xdr:from>
    <xdr:to>
      <xdr:col>55</xdr:col>
      <xdr:colOff>446633</xdr:colOff>
      <xdr:row>46</xdr:row>
      <xdr:rowOff>58654</xdr:rowOff>
    </xdr:to>
    <xdr:sp macro="" textlink="">
      <xdr:nvSpPr>
        <xdr:cNvPr id="26" name="線吹き出し 1 (枠付き) 19">
          <a:extLst>
            <a:ext uri="{FF2B5EF4-FFF2-40B4-BE49-F238E27FC236}">
              <a16:creationId xmlns:a16="http://schemas.microsoft.com/office/drawing/2014/main" id="{622C8DEE-3C0A-440F-A460-1FF3FB27F0CD}"/>
            </a:ext>
          </a:extLst>
        </xdr:cNvPr>
        <xdr:cNvSpPr/>
      </xdr:nvSpPr>
      <xdr:spPr>
        <a:xfrm>
          <a:off x="40146514" y="9158968"/>
          <a:ext cx="5982019" cy="92951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側にて実施を想定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236923</xdr:colOff>
      <xdr:row>46</xdr:row>
      <xdr:rowOff>58654</xdr:rowOff>
    </xdr:from>
    <xdr:to>
      <xdr:col>58</xdr:col>
      <xdr:colOff>340178</xdr:colOff>
      <xdr:row>55</xdr:row>
      <xdr:rowOff>285751</xdr:rowOff>
    </xdr:to>
    <xdr:cxnSp macro="">
      <xdr:nvCxnSpPr>
        <xdr:cNvPr id="27" name="直線コネクタ 26">
          <a:extLst>
            <a:ext uri="{FF2B5EF4-FFF2-40B4-BE49-F238E27FC236}">
              <a16:creationId xmlns:a16="http://schemas.microsoft.com/office/drawing/2014/main" id="{44DC75F3-9511-42E4-BDFB-B41B434E3372}"/>
            </a:ext>
          </a:extLst>
        </xdr:cNvPr>
        <xdr:cNvCxnSpPr>
          <a:stCxn id="26" idx="1"/>
          <a:endCxn id="25" idx="1"/>
        </xdr:cNvCxnSpPr>
      </xdr:nvCxnSpPr>
      <xdr:spPr>
        <a:xfrm>
          <a:off x="43137523" y="10088479"/>
          <a:ext cx="4970530" cy="197969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376518</xdr:colOff>
      <xdr:row>61</xdr:row>
      <xdr:rowOff>27215</xdr:rowOff>
    </xdr:from>
    <xdr:to>
      <xdr:col>63</xdr:col>
      <xdr:colOff>149678</xdr:colOff>
      <xdr:row>64</xdr:row>
      <xdr:rowOff>81643</xdr:rowOff>
    </xdr:to>
    <xdr:sp macro="" textlink="">
      <xdr:nvSpPr>
        <xdr:cNvPr id="28" name="正方形/長方形 27">
          <a:extLst>
            <a:ext uri="{FF2B5EF4-FFF2-40B4-BE49-F238E27FC236}">
              <a16:creationId xmlns:a16="http://schemas.microsoft.com/office/drawing/2014/main" id="{C277311E-B40B-4642-BF93-BE581F558730}"/>
            </a:ext>
          </a:extLst>
        </xdr:cNvPr>
        <xdr:cNvSpPr/>
      </xdr:nvSpPr>
      <xdr:spPr>
        <a:xfrm>
          <a:off x="48144393" y="14933840"/>
          <a:ext cx="3249785" cy="56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190499</xdr:colOff>
      <xdr:row>57</xdr:row>
      <xdr:rowOff>13607</xdr:rowOff>
    </xdr:from>
    <xdr:to>
      <xdr:col>52</xdr:col>
      <xdr:colOff>13607</xdr:colOff>
      <xdr:row>60</xdr:row>
      <xdr:rowOff>140298</xdr:rowOff>
    </xdr:to>
    <xdr:sp macro="" textlink="">
      <xdr:nvSpPr>
        <xdr:cNvPr id="29" name="線吹き出し 1 (枠付き) 19">
          <a:extLst>
            <a:ext uri="{FF2B5EF4-FFF2-40B4-BE49-F238E27FC236}">
              <a16:creationId xmlns:a16="http://schemas.microsoft.com/office/drawing/2014/main" id="{7E1D677F-C231-4AFA-9AA4-44B841B0F4D8}"/>
            </a:ext>
          </a:extLst>
        </xdr:cNvPr>
        <xdr:cNvSpPr/>
      </xdr:nvSpPr>
      <xdr:spPr>
        <a:xfrm>
          <a:off x="41005124" y="14224907"/>
          <a:ext cx="2604408" cy="650566"/>
        </a:xfrm>
        <a:prstGeom prst="borderCallout1">
          <a:avLst>
            <a:gd name="adj1" fmla="val -17751"/>
            <a:gd name="adj2" fmla="val 54219"/>
            <a:gd name="adj3" fmla="val -403980"/>
            <a:gd name="adj4" fmla="val -2583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機能有無判定の処理を適用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13607</xdr:colOff>
      <xdr:row>58</xdr:row>
      <xdr:rowOff>165399</xdr:rowOff>
    </xdr:from>
    <xdr:to>
      <xdr:col>58</xdr:col>
      <xdr:colOff>376518</xdr:colOff>
      <xdr:row>62</xdr:row>
      <xdr:rowOff>149679</xdr:rowOff>
    </xdr:to>
    <xdr:cxnSp macro="">
      <xdr:nvCxnSpPr>
        <xdr:cNvPr id="30" name="直線コネクタ 29">
          <a:extLst>
            <a:ext uri="{FF2B5EF4-FFF2-40B4-BE49-F238E27FC236}">
              <a16:creationId xmlns:a16="http://schemas.microsoft.com/office/drawing/2014/main" id="{B760FEBF-F948-4949-A291-98328B1A88C5}"/>
            </a:ext>
          </a:extLst>
        </xdr:cNvPr>
        <xdr:cNvCxnSpPr>
          <a:stCxn id="29" idx="0"/>
          <a:endCxn id="28" idx="1"/>
        </xdr:cNvCxnSpPr>
      </xdr:nvCxnSpPr>
      <xdr:spPr>
        <a:xfrm>
          <a:off x="43609532" y="14557674"/>
          <a:ext cx="4534861" cy="6700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402777</xdr:colOff>
      <xdr:row>128</xdr:row>
      <xdr:rowOff>-1</xdr:rowOff>
    </xdr:from>
    <xdr:to>
      <xdr:col>25</xdr:col>
      <xdr:colOff>340180</xdr:colOff>
      <xdr:row>142</xdr:row>
      <xdr:rowOff>81642</xdr:rowOff>
    </xdr:to>
    <xdr:sp macro="" textlink="">
      <xdr:nvSpPr>
        <xdr:cNvPr id="31" name="正方形/長方形 30">
          <a:extLst>
            <a:ext uri="{FF2B5EF4-FFF2-40B4-BE49-F238E27FC236}">
              <a16:creationId xmlns:a16="http://schemas.microsoft.com/office/drawing/2014/main" id="{4601FE5B-D11D-4BE7-9664-C034F720DC57}"/>
            </a:ext>
          </a:extLst>
        </xdr:cNvPr>
        <xdr:cNvSpPr/>
      </xdr:nvSpPr>
      <xdr:spPr>
        <a:xfrm>
          <a:off x="23834277" y="28717874"/>
          <a:ext cx="1328053" cy="24819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516894</xdr:colOff>
      <xdr:row>133</xdr:row>
      <xdr:rowOff>106946</xdr:rowOff>
    </xdr:from>
    <xdr:to>
      <xdr:col>30</xdr:col>
      <xdr:colOff>351184</xdr:colOff>
      <xdr:row>136</xdr:row>
      <xdr:rowOff>44723</xdr:rowOff>
    </xdr:to>
    <xdr:sp macro="" textlink="">
      <xdr:nvSpPr>
        <xdr:cNvPr id="32" name="線吹き出し 1 (枠付き) 45">
          <a:extLst>
            <a:ext uri="{FF2B5EF4-FFF2-40B4-BE49-F238E27FC236}">
              <a16:creationId xmlns:a16="http://schemas.microsoft.com/office/drawing/2014/main" id="{8E710031-74A7-4788-87E8-EC726122F8B6}"/>
            </a:ext>
          </a:extLst>
        </xdr:cNvPr>
        <xdr:cNvSpPr/>
      </xdr:nvSpPr>
      <xdr:spPr>
        <a:xfrm>
          <a:off x="26034369" y="29682071"/>
          <a:ext cx="2615590" cy="452127"/>
        </a:xfrm>
        <a:prstGeom prst="borderCallout1">
          <a:avLst>
            <a:gd name="adj1" fmla="val 3023"/>
            <a:gd name="adj2" fmla="val 1906"/>
            <a:gd name="adj3" fmla="val 22752"/>
            <a:gd name="adj4" fmla="val -19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p>
      </xdr:txBody>
    </xdr:sp>
    <xdr:clientData/>
  </xdr:twoCellAnchor>
  <xdr:twoCellAnchor>
    <xdr:from>
      <xdr:col>22</xdr:col>
      <xdr:colOff>503463</xdr:colOff>
      <xdr:row>143</xdr:row>
      <xdr:rowOff>60768</xdr:rowOff>
    </xdr:from>
    <xdr:to>
      <xdr:col>26</xdr:col>
      <xdr:colOff>309558</xdr:colOff>
      <xdr:row>147</xdr:row>
      <xdr:rowOff>158125</xdr:rowOff>
    </xdr:to>
    <xdr:sp macro="" textlink="">
      <xdr:nvSpPr>
        <xdr:cNvPr id="33" name="正方形/長方形 32">
          <a:extLst>
            <a:ext uri="{FF2B5EF4-FFF2-40B4-BE49-F238E27FC236}">
              <a16:creationId xmlns:a16="http://schemas.microsoft.com/office/drawing/2014/main" id="{665E6594-CE85-45F8-9C23-7103C876D0F0}"/>
            </a:ext>
          </a:extLst>
        </xdr:cNvPr>
        <xdr:cNvSpPr/>
      </xdr:nvSpPr>
      <xdr:spPr>
        <a:xfrm>
          <a:off x="23239638" y="31350393"/>
          <a:ext cx="2587395" cy="7831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503449</xdr:colOff>
      <xdr:row>138</xdr:row>
      <xdr:rowOff>45948</xdr:rowOff>
    </xdr:from>
    <xdr:to>
      <xdr:col>32</xdr:col>
      <xdr:colOff>16734</xdr:colOff>
      <xdr:row>142</xdr:row>
      <xdr:rowOff>124209</xdr:rowOff>
    </xdr:to>
    <xdr:sp macro="" textlink="">
      <xdr:nvSpPr>
        <xdr:cNvPr id="34" name="線吹き出し 1 (枠付き) 159">
          <a:extLst>
            <a:ext uri="{FF2B5EF4-FFF2-40B4-BE49-F238E27FC236}">
              <a16:creationId xmlns:a16="http://schemas.microsoft.com/office/drawing/2014/main" id="{95C4361A-DC50-4A11-919A-4ECE24A4B90F}"/>
            </a:ext>
          </a:extLst>
        </xdr:cNvPr>
        <xdr:cNvSpPr/>
      </xdr:nvSpPr>
      <xdr:spPr>
        <a:xfrm>
          <a:off x="26716249" y="30478323"/>
          <a:ext cx="2989910" cy="764061"/>
        </a:xfrm>
        <a:prstGeom prst="borderCallout1">
          <a:avLst>
            <a:gd name="adj1" fmla="val 48478"/>
            <a:gd name="adj2" fmla="val 627"/>
            <a:gd name="adj3" fmla="val 142070"/>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oneCellAnchor>
    <xdr:from>
      <xdr:col>0</xdr:col>
      <xdr:colOff>477049</xdr:colOff>
      <xdr:row>43</xdr:row>
      <xdr:rowOff>118466</xdr:rowOff>
    </xdr:from>
    <xdr:ext cx="6108807" cy="728485"/>
    <xdr:sp macro="" textlink="">
      <xdr:nvSpPr>
        <xdr:cNvPr id="35" name="線吹き出し 1 (枠付き) 36">
          <a:extLst>
            <a:ext uri="{FF2B5EF4-FFF2-40B4-BE49-F238E27FC236}">
              <a16:creationId xmlns:a16="http://schemas.microsoft.com/office/drawing/2014/main" id="{41FBE800-1D6B-4F36-BA77-FC4407428101}"/>
            </a:ext>
          </a:extLst>
        </xdr:cNvPr>
        <xdr:cNvSpPr/>
      </xdr:nvSpPr>
      <xdr:spPr>
        <a:xfrm>
          <a:off x="477049" y="9633941"/>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43</xdr:row>
      <xdr:rowOff>82442</xdr:rowOff>
    </xdr:from>
    <xdr:ext cx="4625706" cy="818030"/>
    <xdr:sp macro="" textlink="">
      <xdr:nvSpPr>
        <xdr:cNvPr id="36" name="線吹き出し 1 (枠付き) 37">
          <a:extLst>
            <a:ext uri="{FF2B5EF4-FFF2-40B4-BE49-F238E27FC236}">
              <a16:creationId xmlns:a16="http://schemas.microsoft.com/office/drawing/2014/main" id="{C8DDFAF0-B442-455C-B8EE-D119D48A8D0C}"/>
            </a:ext>
          </a:extLst>
        </xdr:cNvPr>
        <xdr:cNvSpPr/>
      </xdr:nvSpPr>
      <xdr:spPr>
        <a:xfrm>
          <a:off x="9676123" y="9597917"/>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48</xdr:row>
      <xdr:rowOff>44823</xdr:rowOff>
    </xdr:from>
    <xdr:ext cx="3918324" cy="394619"/>
    <xdr:sp macro="" textlink="">
      <xdr:nvSpPr>
        <xdr:cNvPr id="37" name="線吹き出し 1 (枠付き) 35">
          <a:extLst>
            <a:ext uri="{FF2B5EF4-FFF2-40B4-BE49-F238E27FC236}">
              <a16:creationId xmlns:a16="http://schemas.microsoft.com/office/drawing/2014/main" id="{453A9CB2-32C8-4273-83EA-861C87C02115}"/>
            </a:ext>
          </a:extLst>
        </xdr:cNvPr>
        <xdr:cNvSpPr/>
      </xdr:nvSpPr>
      <xdr:spPr>
        <a:xfrm>
          <a:off x="7795184" y="10417548"/>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75</xdr:row>
      <xdr:rowOff>44823</xdr:rowOff>
    </xdr:from>
    <xdr:ext cx="3918324" cy="394619"/>
    <xdr:sp macro="" textlink="">
      <xdr:nvSpPr>
        <xdr:cNvPr id="38" name="線吹き出し 1 (枠付き) 35">
          <a:extLst>
            <a:ext uri="{FF2B5EF4-FFF2-40B4-BE49-F238E27FC236}">
              <a16:creationId xmlns:a16="http://schemas.microsoft.com/office/drawing/2014/main" id="{A4D6D2A7-4050-4278-A63B-FE40BC123101}"/>
            </a:ext>
          </a:extLst>
        </xdr:cNvPr>
        <xdr:cNvSpPr/>
      </xdr:nvSpPr>
      <xdr:spPr>
        <a:xfrm>
          <a:off x="7795184" y="17361273"/>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70</xdr:row>
      <xdr:rowOff>158488</xdr:rowOff>
    </xdr:from>
    <xdr:ext cx="6108807" cy="728485"/>
    <xdr:sp macro="" textlink="">
      <xdr:nvSpPr>
        <xdr:cNvPr id="39" name="線吹き出し 1 (枠付き) 36">
          <a:extLst>
            <a:ext uri="{FF2B5EF4-FFF2-40B4-BE49-F238E27FC236}">
              <a16:creationId xmlns:a16="http://schemas.microsoft.com/office/drawing/2014/main" id="{5B9DBE6C-37FF-4AD5-8289-30CFEE3FD9C1}"/>
            </a:ext>
          </a:extLst>
        </xdr:cNvPr>
        <xdr:cNvSpPr/>
      </xdr:nvSpPr>
      <xdr:spPr>
        <a:xfrm>
          <a:off x="367393" y="16617688"/>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14</xdr:col>
      <xdr:colOff>1351834</xdr:colOff>
      <xdr:row>70</xdr:row>
      <xdr:rowOff>122464</xdr:rowOff>
    </xdr:from>
    <xdr:ext cx="4625706" cy="818030"/>
    <xdr:sp macro="" textlink="">
      <xdr:nvSpPr>
        <xdr:cNvPr id="40" name="線吹き出し 1 (枠付き) 37">
          <a:extLst>
            <a:ext uri="{FF2B5EF4-FFF2-40B4-BE49-F238E27FC236}">
              <a16:creationId xmlns:a16="http://schemas.microsoft.com/office/drawing/2014/main" id="{745D29BA-8FF2-4910-A42D-E2A89B014D22}"/>
            </a:ext>
          </a:extLst>
        </xdr:cNvPr>
        <xdr:cNvSpPr/>
      </xdr:nvSpPr>
      <xdr:spPr>
        <a:xfrm>
          <a:off x="14477284" y="16581664"/>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94</xdr:row>
      <xdr:rowOff>144881</xdr:rowOff>
    </xdr:from>
    <xdr:ext cx="6108807" cy="728485"/>
    <xdr:sp macro="" textlink="">
      <xdr:nvSpPr>
        <xdr:cNvPr id="41" name="線吹き出し 1 (枠付き) 36">
          <a:extLst>
            <a:ext uri="{FF2B5EF4-FFF2-40B4-BE49-F238E27FC236}">
              <a16:creationId xmlns:a16="http://schemas.microsoft.com/office/drawing/2014/main" id="{BD637962-0C1A-4B05-885A-10558A635BD6}"/>
            </a:ext>
          </a:extLst>
        </xdr:cNvPr>
        <xdr:cNvSpPr/>
      </xdr:nvSpPr>
      <xdr:spPr>
        <a:xfrm>
          <a:off x="367393" y="23033456"/>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12</xdr:col>
      <xdr:colOff>59156</xdr:colOff>
      <xdr:row>94</xdr:row>
      <xdr:rowOff>108857</xdr:rowOff>
    </xdr:from>
    <xdr:ext cx="4625706" cy="818030"/>
    <xdr:sp macro="" textlink="">
      <xdr:nvSpPr>
        <xdr:cNvPr id="42" name="線吹き出し 1 (枠付き) 37">
          <a:extLst>
            <a:ext uri="{FF2B5EF4-FFF2-40B4-BE49-F238E27FC236}">
              <a16:creationId xmlns:a16="http://schemas.microsoft.com/office/drawing/2014/main" id="{A62B25FB-E16D-40E6-9CE2-1A54CF9BD5C9}"/>
            </a:ext>
          </a:extLst>
        </xdr:cNvPr>
        <xdr:cNvSpPr/>
      </xdr:nvSpPr>
      <xdr:spPr>
        <a:xfrm>
          <a:off x="10136606" y="22997432"/>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69</xdr:col>
      <xdr:colOff>231322</xdr:colOff>
      <xdr:row>55</xdr:row>
      <xdr:rowOff>1474930</xdr:rowOff>
    </xdr:from>
    <xdr:to>
      <xdr:col>76</xdr:col>
      <xdr:colOff>476250</xdr:colOff>
      <xdr:row>73</xdr:row>
      <xdr:rowOff>2189</xdr:rowOff>
    </xdr:to>
    <xdr:pic>
      <xdr:nvPicPr>
        <xdr:cNvPr id="43" name="図 42">
          <a:extLst>
            <a:ext uri="{FF2B5EF4-FFF2-40B4-BE49-F238E27FC236}">
              <a16:creationId xmlns:a16="http://schemas.microsoft.com/office/drawing/2014/main" id="{5A21B0E6-3546-4CF2-8D4D-5BAB92E9A15A}"/>
            </a:ext>
          </a:extLst>
        </xdr:cNvPr>
        <xdr:cNvPicPr>
          <a:picLocks noChangeAspect="1"/>
        </xdr:cNvPicPr>
      </xdr:nvPicPr>
      <xdr:blipFill>
        <a:blip xmlns:r="http://schemas.openxmlformats.org/officeDocument/2006/relationships" r:embed="rId11"/>
        <a:stretch>
          <a:fillRect/>
        </a:stretch>
      </xdr:blipFill>
      <xdr:spPr>
        <a:xfrm>
          <a:off x="55647772" y="13257355"/>
          <a:ext cx="5112203" cy="3718384"/>
        </a:xfrm>
        <a:prstGeom prst="rect">
          <a:avLst/>
        </a:prstGeom>
        <a:ln>
          <a:solidFill>
            <a:sysClr val="windowText" lastClr="000000"/>
          </a:solidFill>
        </a:ln>
      </xdr:spPr>
    </xdr:pic>
    <xdr:clientData/>
  </xdr:twoCellAnchor>
  <xdr:twoCellAnchor editAs="oneCell">
    <xdr:from>
      <xdr:col>77</xdr:col>
      <xdr:colOff>272143</xdr:colOff>
      <xdr:row>55</xdr:row>
      <xdr:rowOff>1477905</xdr:rowOff>
    </xdr:from>
    <xdr:to>
      <xdr:col>87</xdr:col>
      <xdr:colOff>353786</xdr:colOff>
      <xdr:row>73</xdr:row>
      <xdr:rowOff>49175</xdr:rowOff>
    </xdr:to>
    <xdr:pic>
      <xdr:nvPicPr>
        <xdr:cNvPr id="44" name="図 43">
          <a:extLst>
            <a:ext uri="{FF2B5EF4-FFF2-40B4-BE49-F238E27FC236}">
              <a16:creationId xmlns:a16="http://schemas.microsoft.com/office/drawing/2014/main" id="{0BF7E52B-A495-4472-802A-30B0EABC745C}"/>
            </a:ext>
          </a:extLst>
        </xdr:cNvPr>
        <xdr:cNvPicPr>
          <a:picLocks noChangeAspect="1"/>
        </xdr:cNvPicPr>
      </xdr:nvPicPr>
      <xdr:blipFill>
        <a:blip xmlns:r="http://schemas.openxmlformats.org/officeDocument/2006/relationships" r:embed="rId12"/>
        <a:stretch>
          <a:fillRect/>
        </a:stretch>
      </xdr:blipFill>
      <xdr:spPr>
        <a:xfrm>
          <a:off x="61251193" y="13260330"/>
          <a:ext cx="7034893" cy="3762395"/>
        </a:xfrm>
        <a:prstGeom prst="rect">
          <a:avLst/>
        </a:prstGeom>
        <a:ln>
          <a:solidFill>
            <a:sysClr val="windowText" lastClr="000000"/>
          </a:solidFill>
        </a:ln>
      </xdr:spPr>
    </xdr:pic>
    <xdr:clientData/>
  </xdr:twoCellAnchor>
  <xdr:twoCellAnchor editAs="oneCell">
    <xdr:from>
      <xdr:col>69</xdr:col>
      <xdr:colOff>204110</xdr:colOff>
      <xdr:row>43</xdr:row>
      <xdr:rowOff>149678</xdr:rowOff>
    </xdr:from>
    <xdr:to>
      <xdr:col>76</xdr:col>
      <xdr:colOff>584096</xdr:colOff>
      <xdr:row>55</xdr:row>
      <xdr:rowOff>816428</xdr:rowOff>
    </xdr:to>
    <xdr:pic>
      <xdr:nvPicPr>
        <xdr:cNvPr id="45" name="図 44">
          <a:extLst>
            <a:ext uri="{FF2B5EF4-FFF2-40B4-BE49-F238E27FC236}">
              <a16:creationId xmlns:a16="http://schemas.microsoft.com/office/drawing/2014/main" id="{1E03D33D-A775-44BA-B518-F1666A8DA37C}"/>
            </a:ext>
          </a:extLst>
        </xdr:cNvPr>
        <xdr:cNvPicPr>
          <a:picLocks noChangeAspect="1"/>
        </xdr:cNvPicPr>
      </xdr:nvPicPr>
      <xdr:blipFill>
        <a:blip xmlns:r="http://schemas.openxmlformats.org/officeDocument/2006/relationships" r:embed="rId13"/>
        <a:stretch>
          <a:fillRect/>
        </a:stretch>
      </xdr:blipFill>
      <xdr:spPr>
        <a:xfrm>
          <a:off x="55620560" y="9665153"/>
          <a:ext cx="5247261" cy="2933700"/>
        </a:xfrm>
        <a:prstGeom prst="rect">
          <a:avLst/>
        </a:prstGeom>
        <a:ln>
          <a:solidFill>
            <a:sysClr val="windowText" lastClr="000000"/>
          </a:solidFill>
        </a:ln>
      </xdr:spPr>
    </xdr:pic>
    <xdr:clientData/>
  </xdr:twoCellAnchor>
  <xdr:twoCellAnchor editAs="oneCell">
    <xdr:from>
      <xdr:col>78</xdr:col>
      <xdr:colOff>27214</xdr:colOff>
      <xdr:row>39</xdr:row>
      <xdr:rowOff>21947</xdr:rowOff>
    </xdr:from>
    <xdr:to>
      <xdr:col>86</xdr:col>
      <xdr:colOff>81642</xdr:colOff>
      <xdr:row>55</xdr:row>
      <xdr:rowOff>842441</xdr:rowOff>
    </xdr:to>
    <xdr:pic>
      <xdr:nvPicPr>
        <xdr:cNvPr id="46" name="図 45">
          <a:extLst>
            <a:ext uri="{FF2B5EF4-FFF2-40B4-BE49-F238E27FC236}">
              <a16:creationId xmlns:a16="http://schemas.microsoft.com/office/drawing/2014/main" id="{2AAF8860-363E-42E3-96F0-4A124CCDA5F2}"/>
            </a:ext>
          </a:extLst>
        </xdr:cNvPr>
        <xdr:cNvPicPr>
          <a:picLocks noChangeAspect="1"/>
        </xdr:cNvPicPr>
      </xdr:nvPicPr>
      <xdr:blipFill>
        <a:blip xmlns:r="http://schemas.openxmlformats.org/officeDocument/2006/relationships" r:embed="rId14"/>
        <a:stretch>
          <a:fillRect/>
        </a:stretch>
      </xdr:blipFill>
      <xdr:spPr>
        <a:xfrm>
          <a:off x="61701589" y="8842097"/>
          <a:ext cx="5617028" cy="3782769"/>
        </a:xfrm>
        <a:prstGeom prst="rect">
          <a:avLst/>
        </a:prstGeom>
        <a:ln>
          <a:solidFill>
            <a:sysClr val="windowText" lastClr="000000"/>
          </a:solidFill>
        </a:ln>
      </xdr:spPr>
    </xdr:pic>
    <xdr:clientData/>
  </xdr:twoCellAnchor>
  <xdr:twoCellAnchor>
    <xdr:from>
      <xdr:col>69</xdr:col>
      <xdr:colOff>27215</xdr:colOff>
      <xdr:row>34</xdr:row>
      <xdr:rowOff>68035</xdr:rowOff>
    </xdr:from>
    <xdr:to>
      <xdr:col>77</xdr:col>
      <xdr:colOff>585107</xdr:colOff>
      <xdr:row>36</xdr:row>
      <xdr:rowOff>95249</xdr:rowOff>
    </xdr:to>
    <xdr:sp macro="" textlink="">
      <xdr:nvSpPr>
        <xdr:cNvPr id="47" name="正方形/長方形 46">
          <a:extLst>
            <a:ext uri="{FF2B5EF4-FFF2-40B4-BE49-F238E27FC236}">
              <a16:creationId xmlns:a16="http://schemas.microsoft.com/office/drawing/2014/main" id="{4774C9A8-F5FA-451E-822A-82A29114148A}"/>
            </a:ext>
          </a:extLst>
        </xdr:cNvPr>
        <xdr:cNvSpPr/>
      </xdr:nvSpPr>
      <xdr:spPr>
        <a:xfrm>
          <a:off x="55443665" y="8030935"/>
          <a:ext cx="6120492" cy="3701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MET-D_SFTPOS-CSTD-A0-XX-X-XX_Appendix.docx</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1"/>
  <sheetViews>
    <sheetView showGridLines="0" zoomScale="85" zoomScaleNormal="85" workbookViewId="0">
      <selection activeCell="H33" sqref="H33"/>
    </sheetView>
  </sheetViews>
  <sheetFormatPr defaultRowHeight="13.5"/>
  <cols>
    <col min="1" max="1" width="4.375" customWidth="1"/>
    <col min="2" max="2" width="9" style="8" hidden="1" customWidth="1"/>
    <col min="4" max="4" width="69.375" customWidth="1"/>
    <col min="5" max="6" width="12.75" customWidth="1"/>
    <col min="7" max="18" width="13.125" customWidth="1"/>
  </cols>
  <sheetData>
    <row r="2" spans="2:18" ht="25.5" customHeight="1">
      <c r="C2" s="5"/>
      <c r="D2" s="5"/>
      <c r="E2" s="5"/>
      <c r="F2" s="5"/>
      <c r="H2" s="6" t="s">
        <v>12</v>
      </c>
      <c r="I2" s="251" t="s">
        <v>13</v>
      </c>
      <c r="J2" s="251"/>
      <c r="K2" s="251"/>
      <c r="L2" s="251"/>
      <c r="M2" s="251"/>
      <c r="N2" s="251"/>
      <c r="O2" s="251"/>
      <c r="P2" s="251"/>
      <c r="Q2" s="251"/>
      <c r="R2" s="251"/>
    </row>
    <row r="3" spans="2:18" ht="25.5" customHeight="1">
      <c r="C3" s="5"/>
      <c r="D3" s="9" t="str">
        <f ca="1">REPLACE(LEFT(CELL("filename",$B$1),FIND(".xls",CELL("filename",$B$1))-1),1,FIND("[",CELL("filename",$B$1)),)</f>
        <v>alert_D_SFTPOS-CSTD-1-00-A-C0</v>
      </c>
      <c r="E3" s="5"/>
      <c r="F3" s="5"/>
      <c r="H3" s="7" t="s">
        <v>183</v>
      </c>
      <c r="I3" s="252" t="s">
        <v>127</v>
      </c>
      <c r="J3" s="253"/>
      <c r="K3" s="253"/>
      <c r="L3" s="253"/>
      <c r="M3" s="253"/>
      <c r="N3" s="253"/>
      <c r="O3" s="253"/>
      <c r="P3" s="253"/>
      <c r="Q3" s="253"/>
      <c r="R3" s="253"/>
    </row>
    <row r="4" spans="2:18" ht="25.5" customHeight="1">
      <c r="C4" s="5"/>
      <c r="D4" s="5"/>
      <c r="E4" s="21" t="str">
        <f>DGET(B8:C12,"Ver.",H4:H5)</f>
        <v>1.0.0</v>
      </c>
      <c r="F4" s="5"/>
      <c r="H4" s="8" t="s">
        <v>15</v>
      </c>
    </row>
    <row r="5" spans="2:18" ht="25.5" customHeight="1">
      <c r="C5" s="5"/>
      <c r="D5" s="5"/>
      <c r="E5" s="5"/>
      <c r="F5" s="5"/>
      <c r="H5" s="10">
        <f>MAX(B9:B12)</f>
        <v>1</v>
      </c>
    </row>
    <row r="6" spans="2:18" ht="14.25" thickBot="1"/>
    <row r="7" spans="2:18">
      <c r="C7" s="245" t="s">
        <v>0</v>
      </c>
      <c r="D7" s="246"/>
      <c r="E7" s="247" t="s">
        <v>2</v>
      </c>
      <c r="F7" s="247"/>
      <c r="G7" s="248" t="s">
        <v>5</v>
      </c>
      <c r="H7" s="248"/>
      <c r="I7" s="248"/>
      <c r="J7" s="248"/>
      <c r="K7" s="248"/>
      <c r="L7" s="248"/>
      <c r="M7" s="249" t="s">
        <v>313</v>
      </c>
      <c r="N7" s="249"/>
      <c r="O7" s="249"/>
      <c r="P7" s="249"/>
      <c r="Q7" s="249"/>
      <c r="R7" s="250"/>
    </row>
    <row r="8" spans="2:18" ht="27.75" thickBot="1">
      <c r="B8" s="8" t="s">
        <v>92</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4.25" thickTop="1">
      <c r="B9" s="8">
        <f>IF(C9=0,0,ROW()-ROW($B$8))</f>
        <v>1</v>
      </c>
      <c r="C9" s="11" t="s">
        <v>14</v>
      </c>
      <c r="D9" s="12" t="s">
        <v>19</v>
      </c>
      <c r="E9" s="12" t="s">
        <v>31</v>
      </c>
      <c r="F9" s="12" t="s">
        <v>206</v>
      </c>
      <c r="G9" s="12" t="s">
        <v>31</v>
      </c>
      <c r="H9" s="12" t="s">
        <v>31</v>
      </c>
      <c r="I9" s="12" t="s">
        <v>31</v>
      </c>
      <c r="J9" s="12" t="s">
        <v>31</v>
      </c>
      <c r="K9" s="12" t="s">
        <v>31</v>
      </c>
      <c r="L9" s="12" t="s">
        <v>31</v>
      </c>
      <c r="M9" s="12"/>
      <c r="N9" s="142"/>
      <c r="O9" s="12"/>
      <c r="P9" s="142"/>
      <c r="Q9" s="12" t="s">
        <v>314</v>
      </c>
      <c r="R9" s="141">
        <v>45568</v>
      </c>
    </row>
    <row r="10" spans="2:18">
      <c r="C10" s="241" t="s">
        <v>356</v>
      </c>
      <c r="D10" s="242" t="s">
        <v>357</v>
      </c>
      <c r="E10" s="242" t="s">
        <v>31</v>
      </c>
      <c r="F10" s="242" t="s">
        <v>358</v>
      </c>
      <c r="G10" s="242" t="s">
        <v>31</v>
      </c>
      <c r="H10" s="242" t="s">
        <v>31</v>
      </c>
      <c r="I10" s="242" t="s">
        <v>31</v>
      </c>
      <c r="J10" s="242" t="s">
        <v>31</v>
      </c>
      <c r="K10" s="242" t="s">
        <v>31</v>
      </c>
      <c r="L10" s="242" t="s">
        <v>31</v>
      </c>
      <c r="M10" s="242"/>
      <c r="N10" s="243"/>
      <c r="O10" s="242"/>
      <c r="P10" s="243"/>
      <c r="Q10" s="242" t="s">
        <v>314</v>
      </c>
      <c r="R10" s="244">
        <v>45637</v>
      </c>
    </row>
    <row r="11" spans="2:18" ht="14.25" thickBot="1">
      <c r="B11" s="8">
        <f t="shared" ref="B11" si="0">IF(C11=0,0,ROW()-ROW($B$8))</f>
        <v>0</v>
      </c>
      <c r="C11" s="2"/>
      <c r="D11" s="3"/>
      <c r="E11" s="3"/>
      <c r="F11" s="3"/>
      <c r="G11" s="3"/>
      <c r="H11" s="3"/>
      <c r="I11" s="3"/>
      <c r="J11" s="3"/>
      <c r="K11" s="3"/>
      <c r="L11" s="3"/>
      <c r="M11" s="3"/>
      <c r="N11" s="3"/>
      <c r="O11" s="3"/>
      <c r="P11" s="3"/>
      <c r="Q11" s="3"/>
      <c r="R11" s="4"/>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15" t="s">
        <v>129</v>
      </c>
    </row>
    <row r="3" spans="2:5">
      <c r="C3" t="s">
        <v>139</v>
      </c>
    </row>
    <row r="6" spans="2:5" ht="14.25" thickBot="1">
      <c r="B6" s="115" t="s">
        <v>130</v>
      </c>
      <c r="C6" s="115"/>
    </row>
    <row r="7" spans="2:5" ht="14.25" thickBot="1">
      <c r="C7" s="48" t="s">
        <v>132</v>
      </c>
      <c r="D7" s="56"/>
      <c r="E7" s="49" t="s">
        <v>140</v>
      </c>
    </row>
    <row r="8" spans="2:5" ht="20.25" customHeight="1" thickTop="1">
      <c r="C8" s="118">
        <v>0</v>
      </c>
      <c r="D8" s="57" t="s">
        <v>141</v>
      </c>
      <c r="E8" s="117" t="s">
        <v>236</v>
      </c>
    </row>
    <row r="9" spans="2:5">
      <c r="C9" s="124"/>
      <c r="D9" s="126"/>
      <c r="E9" s="125"/>
    </row>
    <row r="10" spans="2:5" ht="14.25" thickBot="1">
      <c r="C10" s="122"/>
      <c r="D10" s="59"/>
      <c r="E10" s="4"/>
    </row>
    <row r="11" spans="2:5">
      <c r="C11" s="120"/>
    </row>
    <row r="12" spans="2:5" ht="14.25" thickBot="1">
      <c r="B12" s="115" t="s">
        <v>131</v>
      </c>
      <c r="C12" s="55"/>
      <c r="D12" s="55"/>
    </row>
    <row r="13" spans="2:5" ht="14.25" thickBot="1">
      <c r="B13" s="116"/>
      <c r="C13" s="121" t="s">
        <v>132</v>
      </c>
      <c r="D13" s="56" t="s">
        <v>133</v>
      </c>
      <c r="E13" s="49" t="s">
        <v>134</v>
      </c>
    </row>
    <row r="14" spans="2:5" ht="14.25" thickTop="1">
      <c r="C14" s="118">
        <v>0</v>
      </c>
      <c r="D14" s="57" t="s">
        <v>146</v>
      </c>
      <c r="E14" s="123" t="s">
        <v>147</v>
      </c>
    </row>
    <row r="15" spans="2:5">
      <c r="C15" s="119">
        <v>1</v>
      </c>
      <c r="D15" s="58" t="s">
        <v>23</v>
      </c>
      <c r="E15" s="47" t="s">
        <v>135</v>
      </c>
    </row>
    <row r="16" spans="2:5">
      <c r="C16" s="119">
        <v>2</v>
      </c>
      <c r="D16" s="58" t="s">
        <v>24</v>
      </c>
      <c r="E16" s="47" t="s">
        <v>136</v>
      </c>
    </row>
    <row r="17" spans="2:5">
      <c r="C17" s="119">
        <v>3</v>
      </c>
      <c r="D17" s="58" t="s">
        <v>25</v>
      </c>
      <c r="E17" s="47" t="s">
        <v>137</v>
      </c>
    </row>
    <row r="18" spans="2:5">
      <c r="C18" s="119">
        <v>4</v>
      </c>
      <c r="D18" s="58" t="s">
        <v>26</v>
      </c>
      <c r="E18" s="47" t="s">
        <v>138</v>
      </c>
    </row>
    <row r="19" spans="2:5">
      <c r="C19" s="119">
        <v>5</v>
      </c>
      <c r="D19" s="58" t="s">
        <v>148</v>
      </c>
      <c r="E19" s="47" t="s">
        <v>150</v>
      </c>
    </row>
    <row r="20" spans="2:5">
      <c r="C20" s="119">
        <v>6</v>
      </c>
      <c r="D20" s="58" t="s">
        <v>154</v>
      </c>
      <c r="E20" s="47" t="s">
        <v>177</v>
      </c>
    </row>
    <row r="21" spans="2:5" ht="14.25" thickBot="1">
      <c r="C21" s="122"/>
      <c r="D21" s="59"/>
      <c r="E21" s="4"/>
    </row>
    <row r="24" spans="2:5" ht="14.25" thickBot="1">
      <c r="B24" s="115" t="s">
        <v>142</v>
      </c>
    </row>
    <row r="25" spans="2:5" ht="14.25" thickBot="1">
      <c r="C25" s="121" t="s">
        <v>132</v>
      </c>
      <c r="D25" s="56" t="s">
        <v>133</v>
      </c>
      <c r="E25" s="49" t="s">
        <v>134</v>
      </c>
    </row>
    <row r="26" spans="2:5" ht="30.75" customHeight="1" thickTop="1">
      <c r="C26" s="118">
        <v>0</v>
      </c>
      <c r="D26" s="57" t="s">
        <v>143</v>
      </c>
      <c r="E26" s="123" t="s">
        <v>151</v>
      </c>
    </row>
    <row r="27" spans="2:5" ht="120" customHeight="1">
      <c r="C27" s="119">
        <v>1</v>
      </c>
      <c r="D27" s="58" t="s">
        <v>180</v>
      </c>
      <c r="E27" s="60" t="s">
        <v>182</v>
      </c>
    </row>
    <row r="28" spans="2:5" ht="81" customHeight="1">
      <c r="C28" s="119">
        <v>2</v>
      </c>
      <c r="D28" s="58" t="s">
        <v>176</v>
      </c>
      <c r="E28" s="60" t="s">
        <v>187</v>
      </c>
    </row>
    <row r="29" spans="2:5" ht="45" customHeight="1">
      <c r="C29" s="119">
        <v>3</v>
      </c>
      <c r="D29" s="58" t="s">
        <v>149</v>
      </c>
      <c r="E29" s="60" t="s">
        <v>152</v>
      </c>
    </row>
    <row r="30" spans="2:5" ht="16.5" customHeight="1">
      <c r="C30" s="119">
        <v>4</v>
      </c>
      <c r="D30" s="58" t="s">
        <v>144</v>
      </c>
      <c r="E30" s="47" t="s">
        <v>157</v>
      </c>
    </row>
    <row r="31" spans="2:5" ht="16.5" customHeight="1">
      <c r="C31" s="119">
        <v>5</v>
      </c>
      <c r="D31" s="58" t="s">
        <v>145</v>
      </c>
      <c r="E31" s="47" t="s">
        <v>153</v>
      </c>
    </row>
    <row r="32" spans="2:5">
      <c r="C32" s="119"/>
      <c r="D32" s="58"/>
      <c r="E32" s="47"/>
    </row>
    <row r="33" spans="2:5">
      <c r="C33" s="119"/>
      <c r="D33" s="58"/>
      <c r="E33" s="47"/>
    </row>
    <row r="34" spans="2:5" ht="14.25" thickBot="1">
      <c r="C34" s="122"/>
      <c r="D34" s="59"/>
      <c r="E34" s="4"/>
    </row>
    <row r="37" spans="2:5" ht="14.25" thickBot="1">
      <c r="B37" s="115" t="s">
        <v>173</v>
      </c>
    </row>
    <row r="38" spans="2:5">
      <c r="C38" s="254"/>
      <c r="D38" s="255"/>
      <c r="E38" s="80" t="s">
        <v>118</v>
      </c>
    </row>
    <row r="39" spans="2:5" ht="14.25" thickBot="1">
      <c r="C39" s="256"/>
      <c r="D39" s="257"/>
      <c r="E39" s="4"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C15" sqref="C14:E15"/>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18</v>
      </c>
      <c r="C2" s="259"/>
      <c r="D2" s="264" t="s">
        <v>315</v>
      </c>
      <c r="E2" s="265"/>
      <c r="F2" s="265"/>
      <c r="G2" s="265"/>
      <c r="H2" s="266"/>
    </row>
    <row r="3" spans="2:14">
      <c r="B3" s="260" t="s">
        <v>116</v>
      </c>
      <c r="C3" s="261"/>
      <c r="D3" s="267" t="s">
        <v>316</v>
      </c>
      <c r="E3" s="268"/>
      <c r="F3" s="268"/>
      <c r="G3" s="268"/>
      <c r="H3" s="269"/>
    </row>
    <row r="4" spans="2:14" ht="14.25" thickBot="1">
      <c r="B4" s="262" t="s">
        <v>17</v>
      </c>
      <c r="C4" s="263"/>
      <c r="D4" s="270" t="str">
        <f ca="1">表紙!D3&amp;".c"</f>
        <v>alert_D_SFTPOS-CSTD-1-00-A-C0.c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36</v>
      </c>
      <c r="C6" s="259"/>
      <c r="D6" s="273" t="str">
        <f ca="1">MID(D4, LEN("alert_") + 1, FIND("-",D4,1) - LEN("alert_") - 1)</f>
        <v>D_SFTPOS</v>
      </c>
      <c r="E6" s="274"/>
      <c r="F6" s="274"/>
      <c r="G6" s="274"/>
      <c r="H6" s="275"/>
    </row>
    <row r="7" spans="2:14">
      <c r="B7" s="260" t="s">
        <v>37</v>
      </c>
      <c r="C7" s="261"/>
      <c r="D7" s="276">
        <f>COUNTA($D$13:$D$37)</f>
        <v>2</v>
      </c>
      <c r="E7" s="277"/>
      <c r="F7" s="277"/>
      <c r="G7" s="277"/>
      <c r="H7" s="278"/>
    </row>
    <row r="8" spans="2:14">
      <c r="B8" s="260" t="s">
        <v>95</v>
      </c>
      <c r="C8" s="261"/>
      <c r="D8" s="276" t="str">
        <f ca="1">"st_gp_ALERT_"&amp;UPPER(D6)&amp;"_MTRX"</f>
        <v>st_gp_ALERT_D_SFTPOS_MTRX</v>
      </c>
      <c r="E8" s="277"/>
      <c r="F8" s="277"/>
      <c r="G8" s="277"/>
      <c r="H8" s="278"/>
    </row>
    <row r="9" spans="2:14">
      <c r="B9" s="260" t="s">
        <v>38</v>
      </c>
      <c r="C9" s="261"/>
      <c r="D9" s="279" t="s">
        <v>214</v>
      </c>
      <c r="E9" s="280"/>
      <c r="F9" s="280"/>
      <c r="G9" s="280"/>
      <c r="H9" s="281"/>
    </row>
    <row r="10" spans="2:14" ht="14.25" thickBot="1">
      <c r="B10" s="262" t="s">
        <v>44</v>
      </c>
      <c r="C10" s="263"/>
      <c r="D10" s="282"/>
      <c r="E10" s="283"/>
      <c r="F10" s="283"/>
      <c r="G10" s="283"/>
      <c r="H10" s="284"/>
    </row>
    <row r="11" spans="2:14" ht="14.25" thickBot="1"/>
    <row r="12" spans="2:14" ht="14.25" thickBot="1">
      <c r="B12" s="106" t="s">
        <v>34</v>
      </c>
      <c r="C12" s="73" t="s">
        <v>43</v>
      </c>
      <c r="D12" s="74" t="s">
        <v>35</v>
      </c>
      <c r="E12" s="74" t="s">
        <v>39</v>
      </c>
      <c r="F12" s="74" t="s">
        <v>40</v>
      </c>
      <c r="G12" s="74" t="s">
        <v>41</v>
      </c>
      <c r="H12" s="75" t="s">
        <v>42</v>
      </c>
      <c r="I12" s="111" t="s">
        <v>51</v>
      </c>
      <c r="K12" t="s">
        <v>45</v>
      </c>
      <c r="L12" t="s">
        <v>38</v>
      </c>
      <c r="M12" t="s">
        <v>87</v>
      </c>
    </row>
    <row r="13" spans="2:14" ht="14.25" thickTop="1">
      <c r="B13" s="76">
        <v>1</v>
      </c>
      <c r="C13" s="78" t="s">
        <v>257</v>
      </c>
      <c r="D13" s="79" t="s">
        <v>48</v>
      </c>
      <c r="E13" s="79" t="s">
        <v>172</v>
      </c>
      <c r="F13" s="30" t="str">
        <f t="shared" ref="F13:F37" ca="1" si="0">IF($D13&lt;&gt;"","u4_s_Alert"&amp;UPPER(LEFT($D$6,1))&amp;LOWER(MID($D$6,2,100))&amp;IF($D$7=1,"",N13)&amp;"Srcchk","")</f>
        <v>u4_s_AlertD_sftposBRjtbSrcchk</v>
      </c>
      <c r="G13" s="30" t="str">
        <f t="shared" ref="G13:G37" si="1">IF($D13&lt;&gt;"",IF($E13="○","vd_s_Alert"&amp;UPPER(LEFT($D$6,1))&amp;LOWER(MID($D$6,2,100))&amp;IF($D$7=1,"",N13)&amp;"RwTx","NULL"),"")</f>
        <v>NULL</v>
      </c>
      <c r="H13" s="77" t="str">
        <f ca="1">IF($D13&lt;&gt;"","ALERT_CH_"&amp;UPPER($D$6)&amp;IF($D$7=1,"","_"&amp;UPPER($C13)),"")</f>
        <v>ALERT_CH_D_SFTPOS_B_RJTB</v>
      </c>
      <c r="I13" s="112" t="str">
        <f ca="1">IF($D13&lt;&gt;"","ALERT_REQ_"&amp;UPPER($D$6)&amp;IF($D$7=1,"","_"&amp;UPPER($C13)),"")</f>
        <v>ALERT_REQ_D_SFTPOS_B_RJTB</v>
      </c>
      <c r="K13" t="s">
        <v>46</v>
      </c>
      <c r="L13" t="s">
        <v>50</v>
      </c>
      <c r="M13">
        <f t="shared" ref="M13:M37" si="2">FIND("_",C13,1)</f>
        <v>2</v>
      </c>
      <c r="N13" t="str">
        <f t="shared" ref="N13:N37" si="3">IF(IFERROR(M13,0),UPPER(LEFT(C13,1))&amp;LOWER(MID(C13,2,M13-2))&amp;UPPER(MID(C13,M13+1,1))&amp;LOWER(MID(C13,M13+2,100)),UPPER(LEFT(C13,1))&amp;LOWER(MID(C13,2,100)))</f>
        <v>BRjtb</v>
      </c>
    </row>
    <row r="14" spans="2:14">
      <c r="B14" s="66">
        <v>2</v>
      </c>
      <c r="C14" s="109" t="s">
        <v>254</v>
      </c>
      <c r="D14" s="110" t="s">
        <v>48</v>
      </c>
      <c r="E14" s="110" t="s">
        <v>172</v>
      </c>
      <c r="F14" s="25" t="str">
        <f t="shared" ca="1" si="0"/>
        <v>u4_s_AlertD_sftposBRsbwSrcchk</v>
      </c>
      <c r="G14" s="25" t="str">
        <f t="shared" si="1"/>
        <v>NULL</v>
      </c>
      <c r="H14" s="45" t="str">
        <f t="shared" ref="H14:H37" ca="1" si="4">IF($D14&lt;&gt;"","ALERT_CH_"&amp;UPPER($D$6)&amp;IF($D$7=1,"","_"&amp;UPPER($C14)),"")</f>
        <v>ALERT_CH_D_SFTPOS_B_RSBW</v>
      </c>
      <c r="I14" s="113" t="str">
        <f t="shared" ref="I14:I37" ca="1" si="5">IF($D14&lt;&gt;"","ALERT_REQ_"&amp;UPPER($D$6)&amp;IF($D$7=1,"","_"&amp;UPPER($C14)),"")</f>
        <v>ALERT_REQ_D_SFTPOS_B_RSBW</v>
      </c>
      <c r="K14" t="s">
        <v>47</v>
      </c>
      <c r="L14" t="str">
        <f ca="1">"vd_g_Alert"&amp;UPPER(LEFT(D6,1))&amp;LOWER(MID(D6,2,100))&amp;"Init"</f>
        <v>vd_g_AlertD_sftposInit</v>
      </c>
      <c r="M14">
        <f t="shared" si="2"/>
        <v>2</v>
      </c>
      <c r="N14" t="str">
        <f t="shared" si="3"/>
        <v>BRsbw</v>
      </c>
    </row>
    <row r="15" spans="2:14">
      <c r="B15" s="66">
        <v>3</v>
      </c>
      <c r="C15" s="109"/>
      <c r="D15" s="110"/>
      <c r="E15" s="110"/>
      <c r="F15" s="25" t="str">
        <f t="shared" si="0"/>
        <v/>
      </c>
      <c r="G15" s="25" t="str">
        <f t="shared" si="1"/>
        <v/>
      </c>
      <c r="H15" s="45" t="str">
        <f t="shared" si="4"/>
        <v/>
      </c>
      <c r="I15" s="113" t="str">
        <f t="shared" si="5"/>
        <v/>
      </c>
      <c r="K15" t="s">
        <v>120</v>
      </c>
      <c r="M15" t="e">
        <f t="shared" si="2"/>
        <v>#VALUE!</v>
      </c>
      <c r="N15" t="str">
        <f t="shared" si="3"/>
        <v/>
      </c>
    </row>
    <row r="16" spans="2:14">
      <c r="B16" s="66">
        <v>4</v>
      </c>
      <c r="C16" s="109"/>
      <c r="D16" s="110"/>
      <c r="E16" s="110"/>
      <c r="F16" s="25" t="str">
        <f t="shared" si="0"/>
        <v/>
      </c>
      <c r="G16" s="25" t="str">
        <f t="shared" si="1"/>
        <v/>
      </c>
      <c r="H16" s="45" t="str">
        <f t="shared" si="4"/>
        <v/>
      </c>
      <c r="I16" s="113" t="str">
        <f t="shared" si="5"/>
        <v/>
      </c>
      <c r="K16" t="s">
        <v>121</v>
      </c>
      <c r="M16" t="e">
        <f t="shared" si="2"/>
        <v>#VALUE!</v>
      </c>
      <c r="N16" t="str">
        <f t="shared" si="3"/>
        <v/>
      </c>
    </row>
    <row r="17" spans="2:14">
      <c r="B17" s="66">
        <v>5</v>
      </c>
      <c r="C17" s="109"/>
      <c r="D17" s="110"/>
      <c r="E17" s="110"/>
      <c r="F17" s="25" t="str">
        <f t="shared" si="0"/>
        <v/>
      </c>
      <c r="G17" s="25" t="str">
        <f t="shared" si="1"/>
        <v/>
      </c>
      <c r="H17" s="45" t="str">
        <f t="shared" si="4"/>
        <v/>
      </c>
      <c r="I17" s="113" t="str">
        <f t="shared" si="5"/>
        <v/>
      </c>
      <c r="K17" t="s">
        <v>48</v>
      </c>
      <c r="M17" t="e">
        <f t="shared" si="2"/>
        <v>#VALUE!</v>
      </c>
      <c r="N17" t="str">
        <f t="shared" si="3"/>
        <v/>
      </c>
    </row>
    <row r="18" spans="2:14">
      <c r="B18" s="66">
        <v>6</v>
      </c>
      <c r="C18" s="109"/>
      <c r="D18" s="110"/>
      <c r="E18" s="110"/>
      <c r="F18" s="25" t="str">
        <f t="shared" si="0"/>
        <v/>
      </c>
      <c r="G18" s="25" t="str">
        <f t="shared" si="1"/>
        <v/>
      </c>
      <c r="H18" s="45" t="str">
        <f t="shared" si="4"/>
        <v/>
      </c>
      <c r="I18" s="113" t="str">
        <f t="shared" si="5"/>
        <v/>
      </c>
      <c r="K18" t="s">
        <v>49</v>
      </c>
      <c r="M18" t="e">
        <f t="shared" si="2"/>
        <v>#VALUE!</v>
      </c>
      <c r="N18" t="str">
        <f t="shared" si="3"/>
        <v/>
      </c>
    </row>
    <row r="19" spans="2:14">
      <c r="B19" s="66">
        <v>7</v>
      </c>
      <c r="C19" s="109"/>
      <c r="D19" s="110"/>
      <c r="E19" s="110"/>
      <c r="F19" s="25" t="str">
        <f t="shared" si="0"/>
        <v/>
      </c>
      <c r="G19" s="25" t="str">
        <f t="shared" si="1"/>
        <v/>
      </c>
      <c r="H19" s="45" t="str">
        <f t="shared" si="4"/>
        <v/>
      </c>
      <c r="I19" s="113" t="str">
        <f t="shared" si="5"/>
        <v/>
      </c>
      <c r="K19" t="s">
        <v>49</v>
      </c>
      <c r="M19" t="e">
        <f t="shared" si="2"/>
        <v>#VALUE!</v>
      </c>
      <c r="N19" t="str">
        <f t="shared" si="3"/>
        <v/>
      </c>
    </row>
    <row r="20" spans="2:14">
      <c r="B20" s="66">
        <v>8</v>
      </c>
      <c r="C20" s="109"/>
      <c r="D20" s="110"/>
      <c r="E20" s="110"/>
      <c r="F20" s="25" t="str">
        <f t="shared" si="0"/>
        <v/>
      </c>
      <c r="G20" s="25" t="str">
        <f t="shared" si="1"/>
        <v/>
      </c>
      <c r="H20" s="45" t="str">
        <f t="shared" si="4"/>
        <v/>
      </c>
      <c r="I20" s="113" t="str">
        <f t="shared" si="5"/>
        <v/>
      </c>
      <c r="K20" t="s">
        <v>49</v>
      </c>
      <c r="M20" t="e">
        <f t="shared" si="2"/>
        <v>#VALUE!</v>
      </c>
      <c r="N20" t="str">
        <f t="shared" si="3"/>
        <v/>
      </c>
    </row>
    <row r="21" spans="2:14">
      <c r="B21" s="66">
        <v>9</v>
      </c>
      <c r="C21" s="109"/>
      <c r="D21" s="110"/>
      <c r="E21" s="110"/>
      <c r="F21" s="25" t="str">
        <f t="shared" si="0"/>
        <v/>
      </c>
      <c r="G21" s="25" t="str">
        <f t="shared" si="1"/>
        <v/>
      </c>
      <c r="H21" s="45" t="str">
        <f t="shared" si="4"/>
        <v/>
      </c>
      <c r="I21" s="113" t="str">
        <f t="shared" si="5"/>
        <v/>
      </c>
      <c r="K21" t="s">
        <v>49</v>
      </c>
      <c r="M21" t="e">
        <f t="shared" si="2"/>
        <v>#VALUE!</v>
      </c>
      <c r="N21" t="str">
        <f t="shared" si="3"/>
        <v/>
      </c>
    </row>
    <row r="22" spans="2:14">
      <c r="B22" s="66">
        <v>10</v>
      </c>
      <c r="C22" s="109"/>
      <c r="D22" s="110"/>
      <c r="E22" s="110"/>
      <c r="F22" s="25" t="str">
        <f t="shared" si="0"/>
        <v/>
      </c>
      <c r="G22" s="25" t="str">
        <f t="shared" si="1"/>
        <v/>
      </c>
      <c r="H22" s="45" t="str">
        <f t="shared" si="4"/>
        <v/>
      </c>
      <c r="I22" s="113" t="str">
        <f t="shared" si="5"/>
        <v/>
      </c>
      <c r="K22" t="s">
        <v>49</v>
      </c>
      <c r="M22" t="e">
        <f t="shared" si="2"/>
        <v>#VALUE!</v>
      </c>
      <c r="N22" t="str">
        <f t="shared" si="3"/>
        <v/>
      </c>
    </row>
    <row r="23" spans="2:14">
      <c r="B23" s="66">
        <v>11</v>
      </c>
      <c r="C23" s="109"/>
      <c r="D23" s="110"/>
      <c r="E23" s="110"/>
      <c r="F23" s="25" t="str">
        <f t="shared" si="0"/>
        <v/>
      </c>
      <c r="G23" s="25" t="str">
        <f t="shared" si="1"/>
        <v/>
      </c>
      <c r="H23" s="45" t="str">
        <f t="shared" si="4"/>
        <v/>
      </c>
      <c r="I23" s="113" t="str">
        <f t="shared" si="5"/>
        <v/>
      </c>
      <c r="K23" t="s">
        <v>49</v>
      </c>
      <c r="M23" t="e">
        <f t="shared" si="2"/>
        <v>#VALUE!</v>
      </c>
      <c r="N23" t="str">
        <f t="shared" si="3"/>
        <v/>
      </c>
    </row>
    <row r="24" spans="2:14">
      <c r="B24" s="66">
        <v>12</v>
      </c>
      <c r="C24" s="109"/>
      <c r="D24" s="110"/>
      <c r="E24" s="110"/>
      <c r="F24" s="25" t="str">
        <f t="shared" si="0"/>
        <v/>
      </c>
      <c r="G24" s="25" t="str">
        <f t="shared" si="1"/>
        <v/>
      </c>
      <c r="H24" s="45" t="str">
        <f t="shared" si="4"/>
        <v/>
      </c>
      <c r="I24" s="113" t="str">
        <f t="shared" si="5"/>
        <v/>
      </c>
      <c r="K24" t="s">
        <v>49</v>
      </c>
      <c r="M24" t="e">
        <f t="shared" si="2"/>
        <v>#VALUE!</v>
      </c>
      <c r="N24" t="str">
        <f t="shared" si="3"/>
        <v/>
      </c>
    </row>
    <row r="25" spans="2:14">
      <c r="B25" s="66">
        <v>13</v>
      </c>
      <c r="C25" s="109"/>
      <c r="D25" s="110"/>
      <c r="E25" s="110"/>
      <c r="F25" s="25" t="str">
        <f t="shared" si="0"/>
        <v/>
      </c>
      <c r="G25" s="25" t="str">
        <f t="shared" si="1"/>
        <v/>
      </c>
      <c r="H25" s="45" t="str">
        <f t="shared" si="4"/>
        <v/>
      </c>
      <c r="I25" s="113" t="str">
        <f t="shared" si="5"/>
        <v/>
      </c>
      <c r="K25" t="s">
        <v>49</v>
      </c>
      <c r="M25" t="e">
        <f t="shared" si="2"/>
        <v>#VALUE!</v>
      </c>
      <c r="N25" t="str">
        <f t="shared" si="3"/>
        <v/>
      </c>
    </row>
    <row r="26" spans="2:14">
      <c r="B26" s="66">
        <v>14</v>
      </c>
      <c r="C26" s="109"/>
      <c r="D26" s="110"/>
      <c r="E26" s="110"/>
      <c r="F26" s="25" t="str">
        <f t="shared" si="0"/>
        <v/>
      </c>
      <c r="G26" s="25" t="str">
        <f t="shared" si="1"/>
        <v/>
      </c>
      <c r="H26" s="45" t="str">
        <f t="shared" si="4"/>
        <v/>
      </c>
      <c r="I26" s="113" t="str">
        <f t="shared" si="5"/>
        <v/>
      </c>
      <c r="K26" t="s">
        <v>49</v>
      </c>
      <c r="M26" t="e">
        <f t="shared" si="2"/>
        <v>#VALUE!</v>
      </c>
      <c r="N26" t="str">
        <f t="shared" si="3"/>
        <v/>
      </c>
    </row>
    <row r="27" spans="2:14">
      <c r="B27" s="66">
        <v>15</v>
      </c>
      <c r="C27" s="109"/>
      <c r="D27" s="110"/>
      <c r="E27" s="110"/>
      <c r="F27" s="25" t="str">
        <f t="shared" si="0"/>
        <v/>
      </c>
      <c r="G27" s="25" t="str">
        <f t="shared" si="1"/>
        <v/>
      </c>
      <c r="H27" s="45" t="str">
        <f t="shared" si="4"/>
        <v/>
      </c>
      <c r="I27" s="113" t="str">
        <f t="shared" si="5"/>
        <v/>
      </c>
      <c r="K27" t="s">
        <v>49</v>
      </c>
      <c r="M27" t="e">
        <f t="shared" si="2"/>
        <v>#VALUE!</v>
      </c>
      <c r="N27" t="str">
        <f t="shared" si="3"/>
        <v/>
      </c>
    </row>
    <row r="28" spans="2:14">
      <c r="B28" s="66">
        <v>16</v>
      </c>
      <c r="C28" s="109"/>
      <c r="D28" s="110"/>
      <c r="E28" s="110"/>
      <c r="F28" s="25" t="str">
        <f t="shared" si="0"/>
        <v/>
      </c>
      <c r="G28" s="25" t="str">
        <f t="shared" si="1"/>
        <v/>
      </c>
      <c r="H28" s="45" t="str">
        <f t="shared" si="4"/>
        <v/>
      </c>
      <c r="I28" s="113" t="str">
        <f t="shared" si="5"/>
        <v/>
      </c>
      <c r="K28" t="s">
        <v>49</v>
      </c>
      <c r="M28" t="e">
        <f t="shared" si="2"/>
        <v>#VALUE!</v>
      </c>
      <c r="N28" t="str">
        <f t="shared" si="3"/>
        <v/>
      </c>
    </row>
    <row r="29" spans="2:14">
      <c r="B29" s="66">
        <v>17</v>
      </c>
      <c r="C29" s="109"/>
      <c r="D29" s="110"/>
      <c r="E29" s="110"/>
      <c r="F29" s="25" t="str">
        <f t="shared" si="0"/>
        <v/>
      </c>
      <c r="G29" s="25" t="str">
        <f t="shared" si="1"/>
        <v/>
      </c>
      <c r="H29" s="45" t="str">
        <f t="shared" si="4"/>
        <v/>
      </c>
      <c r="I29" s="113" t="str">
        <f t="shared" si="5"/>
        <v/>
      </c>
      <c r="K29" t="s">
        <v>49</v>
      </c>
      <c r="M29" t="e">
        <f t="shared" si="2"/>
        <v>#VALUE!</v>
      </c>
      <c r="N29" t="str">
        <f t="shared" si="3"/>
        <v/>
      </c>
    </row>
    <row r="30" spans="2:14">
      <c r="B30" s="66">
        <v>18</v>
      </c>
      <c r="C30" s="109"/>
      <c r="D30" s="110"/>
      <c r="E30" s="110"/>
      <c r="F30" s="25" t="str">
        <f t="shared" si="0"/>
        <v/>
      </c>
      <c r="G30" s="25" t="str">
        <f t="shared" si="1"/>
        <v/>
      </c>
      <c r="H30" s="45" t="str">
        <f t="shared" si="4"/>
        <v/>
      </c>
      <c r="I30" s="113" t="str">
        <f t="shared" si="5"/>
        <v/>
      </c>
      <c r="K30" t="s">
        <v>49</v>
      </c>
      <c r="M30" t="e">
        <f t="shared" si="2"/>
        <v>#VALUE!</v>
      </c>
      <c r="N30" t="str">
        <f t="shared" si="3"/>
        <v/>
      </c>
    </row>
    <row r="31" spans="2:14">
      <c r="B31" s="66">
        <v>19</v>
      </c>
      <c r="C31" s="109"/>
      <c r="D31" s="110"/>
      <c r="E31" s="110"/>
      <c r="F31" s="25" t="str">
        <f t="shared" si="0"/>
        <v/>
      </c>
      <c r="G31" s="25" t="str">
        <f t="shared" si="1"/>
        <v/>
      </c>
      <c r="H31" s="45" t="str">
        <f t="shared" si="4"/>
        <v/>
      </c>
      <c r="I31" s="113" t="str">
        <f t="shared" si="5"/>
        <v/>
      </c>
      <c r="K31" t="s">
        <v>49</v>
      </c>
      <c r="M31" t="e">
        <f t="shared" si="2"/>
        <v>#VALUE!</v>
      </c>
      <c r="N31" t="str">
        <f t="shared" si="3"/>
        <v/>
      </c>
    </row>
    <row r="32" spans="2:14">
      <c r="B32" s="66">
        <v>20</v>
      </c>
      <c r="C32" s="109"/>
      <c r="D32" s="110"/>
      <c r="E32" s="110"/>
      <c r="F32" s="25" t="str">
        <f t="shared" si="0"/>
        <v/>
      </c>
      <c r="G32" s="25" t="str">
        <f t="shared" si="1"/>
        <v/>
      </c>
      <c r="H32" s="45" t="str">
        <f t="shared" si="4"/>
        <v/>
      </c>
      <c r="I32" s="113" t="str">
        <f t="shared" si="5"/>
        <v/>
      </c>
      <c r="K32" t="s">
        <v>49</v>
      </c>
      <c r="M32" t="e">
        <f t="shared" si="2"/>
        <v>#VALUE!</v>
      </c>
      <c r="N32" t="str">
        <f t="shared" si="3"/>
        <v/>
      </c>
    </row>
    <row r="33" spans="2:14">
      <c r="B33" s="66">
        <v>21</v>
      </c>
      <c r="C33" s="109"/>
      <c r="D33" s="110"/>
      <c r="E33" s="110"/>
      <c r="F33" s="25" t="str">
        <f t="shared" si="0"/>
        <v/>
      </c>
      <c r="G33" s="25" t="str">
        <f t="shared" si="1"/>
        <v/>
      </c>
      <c r="H33" s="45" t="str">
        <f t="shared" si="4"/>
        <v/>
      </c>
      <c r="I33" s="113" t="str">
        <f t="shared" si="5"/>
        <v/>
      </c>
      <c r="K33" t="s">
        <v>49</v>
      </c>
      <c r="M33" t="e">
        <f t="shared" si="2"/>
        <v>#VALUE!</v>
      </c>
      <c r="N33" t="str">
        <f t="shared" si="3"/>
        <v/>
      </c>
    </row>
    <row r="34" spans="2:14">
      <c r="B34" s="66">
        <v>22</v>
      </c>
      <c r="C34" s="109"/>
      <c r="D34" s="110"/>
      <c r="E34" s="110"/>
      <c r="F34" s="25" t="str">
        <f t="shared" si="0"/>
        <v/>
      </c>
      <c r="G34" s="25" t="str">
        <f t="shared" si="1"/>
        <v/>
      </c>
      <c r="H34" s="45" t="str">
        <f t="shared" si="4"/>
        <v/>
      </c>
      <c r="I34" s="113" t="str">
        <f t="shared" si="5"/>
        <v/>
      </c>
      <c r="K34" t="s">
        <v>49</v>
      </c>
      <c r="M34" t="e">
        <f t="shared" si="2"/>
        <v>#VALUE!</v>
      </c>
      <c r="N34" t="str">
        <f t="shared" si="3"/>
        <v/>
      </c>
    </row>
    <row r="35" spans="2:14">
      <c r="B35" s="66">
        <v>23</v>
      </c>
      <c r="C35" s="109"/>
      <c r="D35" s="110"/>
      <c r="E35" s="110"/>
      <c r="F35" s="25" t="str">
        <f t="shared" si="0"/>
        <v/>
      </c>
      <c r="G35" s="25" t="str">
        <f t="shared" si="1"/>
        <v/>
      </c>
      <c r="H35" s="45" t="str">
        <f t="shared" si="4"/>
        <v/>
      </c>
      <c r="I35" s="113" t="str">
        <f t="shared" si="5"/>
        <v/>
      </c>
      <c r="K35" t="s">
        <v>49</v>
      </c>
      <c r="M35" t="e">
        <f t="shared" si="2"/>
        <v>#VALUE!</v>
      </c>
      <c r="N35" t="str">
        <f t="shared" si="3"/>
        <v/>
      </c>
    </row>
    <row r="36" spans="2:14">
      <c r="B36" s="66">
        <v>24</v>
      </c>
      <c r="C36" s="109"/>
      <c r="D36" s="110"/>
      <c r="E36" s="110"/>
      <c r="F36" s="25" t="str">
        <f t="shared" si="0"/>
        <v/>
      </c>
      <c r="G36" s="25" t="str">
        <f t="shared" si="1"/>
        <v/>
      </c>
      <c r="H36" s="45" t="str">
        <f t="shared" si="4"/>
        <v/>
      </c>
      <c r="I36" s="113" t="str">
        <f t="shared" si="5"/>
        <v/>
      </c>
      <c r="K36" t="s">
        <v>49</v>
      </c>
      <c r="M36" t="e">
        <f t="shared" si="2"/>
        <v>#VALUE!</v>
      </c>
      <c r="N36" t="str">
        <f t="shared" si="3"/>
        <v/>
      </c>
    </row>
    <row r="37" spans="2:14" ht="14.25" thickBot="1">
      <c r="B37" s="67">
        <v>25</v>
      </c>
      <c r="C37" s="107"/>
      <c r="D37" s="108"/>
      <c r="E37" s="108"/>
      <c r="F37" s="33" t="str">
        <f t="shared" si="0"/>
        <v/>
      </c>
      <c r="G37" s="33" t="str">
        <f t="shared" si="1"/>
        <v/>
      </c>
      <c r="H37" s="46"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5" priority="4">
      <formula>14&lt;LEN($D$6)+LEN($C13)</formula>
    </cfRule>
  </conditionalFormatting>
  <conditionalFormatting sqref="D5">
    <cfRule type="containsText" dxfId="64" priority="1" operator="containsText" text="NG">
      <formula>NOT(ISERROR(SEARCH("NG",D5)))</formula>
    </cfRule>
  </conditionalFormatting>
  <conditionalFormatting sqref="D6">
    <cfRule type="expression" dxfId="6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06" t="s">
        <v>34</v>
      </c>
      <c r="C3" s="74" t="s">
        <v>189</v>
      </c>
      <c r="D3" s="74" t="s">
        <v>195</v>
      </c>
      <c r="E3" s="75" t="s">
        <v>196</v>
      </c>
      <c r="F3" s="139" t="s">
        <v>191</v>
      </c>
      <c r="G3" s="136" t="s">
        <v>204</v>
      </c>
      <c r="O3" s="106" t="s">
        <v>34</v>
      </c>
      <c r="P3" s="135" t="s">
        <v>185</v>
      </c>
      <c r="Q3" s="135" t="s">
        <v>198</v>
      </c>
      <c r="R3" s="136" t="s">
        <v>191</v>
      </c>
    </row>
    <row r="4" spans="2:18" ht="14.25" hidden="1" thickTop="1">
      <c r="B4" s="127">
        <v>0</v>
      </c>
      <c r="C4" s="128" t="s">
        <v>174</v>
      </c>
      <c r="D4" s="128"/>
      <c r="E4" s="129"/>
      <c r="F4" s="140"/>
      <c r="G4" s="47"/>
      <c r="O4" s="137">
        <v>0</v>
      </c>
      <c r="P4" s="134" t="s">
        <v>174</v>
      </c>
      <c r="Q4" s="134" t="s">
        <v>174</v>
      </c>
      <c r="R4" s="105"/>
    </row>
    <row r="5" spans="2:18" ht="14.25" thickTop="1">
      <c r="B5" s="130">
        <v>1</v>
      </c>
      <c r="C5" s="110"/>
      <c r="D5" s="22"/>
      <c r="E5" s="45" t="str">
        <f>IF($C5&lt;&gt;"","ALERT_" &amp; D5 &amp; "_ID_"&amp;UPPER(Matrix!$D$6) &amp; "_" &amp; $C5,"")</f>
        <v/>
      </c>
      <c r="F5" s="84"/>
      <c r="G5" s="45" t="str">
        <f>IF(E5&lt;&gt;"",LEN(E5),"")</f>
        <v/>
      </c>
      <c r="O5" s="130">
        <v>1</v>
      </c>
      <c r="P5" s="110"/>
      <c r="Q5" s="110"/>
      <c r="R5" s="85"/>
    </row>
    <row r="6" spans="2:18">
      <c r="B6" s="130">
        <v>2</v>
      </c>
      <c r="C6" s="110"/>
      <c r="D6" s="22"/>
      <c r="E6" s="45" t="str">
        <f>IF($C6&lt;&gt;"","ALERT_" &amp; D6 &amp; "_ID_"&amp;UPPER(Matrix!$D$6) &amp; "_" &amp; $C6,"")</f>
        <v/>
      </c>
      <c r="F6" s="84"/>
      <c r="G6" s="45" t="str">
        <f t="shared" ref="G6:G29" si="0">IF(E6&lt;&gt;"",LEN(E6),"")</f>
        <v/>
      </c>
      <c r="O6" s="130">
        <v>2</v>
      </c>
      <c r="P6" s="110"/>
      <c r="Q6" s="110"/>
      <c r="R6" s="85"/>
    </row>
    <row r="7" spans="2:18">
      <c r="B7" s="130">
        <v>3</v>
      </c>
      <c r="C7" s="110"/>
      <c r="D7" s="22"/>
      <c r="E7" s="45" t="str">
        <f>IF($C7&lt;&gt;"","ALERT_" &amp; D7 &amp; "_ID_"&amp;UPPER(Matrix!$D$6) &amp; "_" &amp; $C7,"")</f>
        <v/>
      </c>
      <c r="F7" s="84"/>
      <c r="G7" s="45" t="str">
        <f t="shared" si="0"/>
        <v/>
      </c>
      <c r="O7" s="130">
        <v>3</v>
      </c>
      <c r="P7" s="110"/>
      <c r="Q7" s="110"/>
      <c r="R7" s="85"/>
    </row>
    <row r="8" spans="2:18">
      <c r="B8" s="130">
        <v>4</v>
      </c>
      <c r="C8" s="110"/>
      <c r="D8" s="22"/>
      <c r="E8" s="45" t="str">
        <f>IF($C8&lt;&gt;"","ALERT_" &amp; D8 &amp; "_ID_"&amp;UPPER(Matrix!$D$6) &amp; "_" &amp; $C8,"")</f>
        <v/>
      </c>
      <c r="F8" s="84"/>
      <c r="G8" s="45" t="str">
        <f t="shared" si="0"/>
        <v/>
      </c>
      <c r="O8" s="130">
        <v>4</v>
      </c>
      <c r="P8" s="110"/>
      <c r="Q8" s="110"/>
      <c r="R8" s="85"/>
    </row>
    <row r="9" spans="2:18">
      <c r="B9" s="130">
        <v>5</v>
      </c>
      <c r="C9" s="110"/>
      <c r="D9" s="22"/>
      <c r="E9" s="45" t="str">
        <f>IF($C9&lt;&gt;"","ALERT_" &amp; D9 &amp; "_ID_"&amp;UPPER(Matrix!$D$6) &amp; "_" &amp; $C9,"")</f>
        <v/>
      </c>
      <c r="F9" s="84"/>
      <c r="G9" s="45" t="str">
        <f t="shared" si="0"/>
        <v/>
      </c>
      <c r="O9" s="130">
        <v>5</v>
      </c>
      <c r="P9" s="110"/>
      <c r="Q9" s="110"/>
      <c r="R9" s="85"/>
    </row>
    <row r="10" spans="2:18">
      <c r="B10" s="130">
        <v>6</v>
      </c>
      <c r="C10" s="110"/>
      <c r="D10" s="22"/>
      <c r="E10" s="45" t="str">
        <f>IF($C10&lt;&gt;"","ALERT_" &amp; D10 &amp; "_ID_"&amp;UPPER(Matrix!$D$6) &amp; "_" &amp; $C10,"")</f>
        <v/>
      </c>
      <c r="F10" s="84"/>
      <c r="G10" s="45" t="str">
        <f t="shared" si="0"/>
        <v/>
      </c>
      <c r="O10" s="130">
        <v>6</v>
      </c>
      <c r="P10" s="110"/>
      <c r="Q10" s="110"/>
      <c r="R10" s="85"/>
    </row>
    <row r="11" spans="2:18">
      <c r="B11" s="130">
        <v>7</v>
      </c>
      <c r="C11" s="110"/>
      <c r="D11" s="22"/>
      <c r="E11" s="45" t="str">
        <f>IF($C11&lt;&gt;"","ALERT_" &amp; D11 &amp; "_ID_"&amp;UPPER(Matrix!$D$6) &amp; "_" &amp; $C11,"")</f>
        <v/>
      </c>
      <c r="F11" s="84"/>
      <c r="G11" s="45" t="str">
        <f t="shared" si="0"/>
        <v/>
      </c>
      <c r="O11" s="130">
        <v>7</v>
      </c>
      <c r="P11" s="110"/>
      <c r="Q11" s="110"/>
      <c r="R11" s="85"/>
    </row>
    <row r="12" spans="2:18">
      <c r="B12" s="130">
        <v>8</v>
      </c>
      <c r="C12" s="110"/>
      <c r="D12" s="22"/>
      <c r="E12" s="45" t="str">
        <f>IF($C12&lt;&gt;"","ALERT_" &amp; D12 &amp; "_ID_"&amp;UPPER(Matrix!$D$6) &amp; "_" &amp; $C12,"")</f>
        <v/>
      </c>
      <c r="F12" s="84"/>
      <c r="G12" s="45" t="str">
        <f t="shared" si="0"/>
        <v/>
      </c>
      <c r="O12" s="130">
        <v>8</v>
      </c>
      <c r="P12" s="110"/>
      <c r="Q12" s="110"/>
      <c r="R12" s="85"/>
    </row>
    <row r="13" spans="2:18">
      <c r="B13" s="130">
        <v>9</v>
      </c>
      <c r="C13" s="110"/>
      <c r="D13" s="22"/>
      <c r="E13" s="45" t="str">
        <f>IF($C13&lt;&gt;"","ALERT_" &amp; D13 &amp; "_ID_"&amp;UPPER(Matrix!$D$6) &amp; "_" &amp; $C13,"")</f>
        <v/>
      </c>
      <c r="F13" s="84"/>
      <c r="G13" s="45" t="str">
        <f t="shared" si="0"/>
        <v/>
      </c>
      <c r="O13" s="130">
        <v>9</v>
      </c>
      <c r="P13" s="110"/>
      <c r="Q13" s="110"/>
      <c r="R13" s="85"/>
    </row>
    <row r="14" spans="2:18">
      <c r="B14" s="130">
        <v>10</v>
      </c>
      <c r="C14" s="110"/>
      <c r="D14" s="22"/>
      <c r="E14" s="45" t="str">
        <f>IF($C14&lt;&gt;"","ALERT_" &amp; D14 &amp; "_ID_"&amp;UPPER(Matrix!$D$6) &amp; "_" &amp; $C14,"")</f>
        <v/>
      </c>
      <c r="F14" s="84"/>
      <c r="G14" s="45" t="str">
        <f t="shared" si="0"/>
        <v/>
      </c>
      <c r="O14" s="130">
        <v>10</v>
      </c>
      <c r="P14" s="110"/>
      <c r="Q14" s="110"/>
      <c r="R14" s="85"/>
    </row>
    <row r="15" spans="2:18">
      <c r="B15" s="130">
        <v>11</v>
      </c>
      <c r="C15" s="110"/>
      <c r="D15" s="22"/>
      <c r="E15" s="45" t="str">
        <f>IF($C15&lt;&gt;"","ALERT_" &amp; D15 &amp; "_ID_"&amp;UPPER(Matrix!$D$6) &amp; "_" &amp; $C15,"")</f>
        <v/>
      </c>
      <c r="F15" s="84"/>
      <c r="G15" s="45" t="str">
        <f t="shared" si="0"/>
        <v/>
      </c>
      <c r="O15" s="130">
        <v>11</v>
      </c>
      <c r="P15" s="110"/>
      <c r="Q15" s="110"/>
      <c r="R15" s="85"/>
    </row>
    <row r="16" spans="2:18">
      <c r="B16" s="130">
        <v>12</v>
      </c>
      <c r="C16" s="110"/>
      <c r="D16" s="22"/>
      <c r="E16" s="45" t="str">
        <f>IF($C16&lt;&gt;"","ALERT_" &amp; D16 &amp; "_ID_"&amp;UPPER(Matrix!$D$6) &amp; "_" &amp; $C16,"")</f>
        <v/>
      </c>
      <c r="F16" s="84"/>
      <c r="G16" s="45" t="str">
        <f t="shared" si="0"/>
        <v/>
      </c>
      <c r="O16" s="130">
        <v>12</v>
      </c>
      <c r="P16" s="110"/>
      <c r="Q16" s="110"/>
      <c r="R16" s="85"/>
    </row>
    <row r="17" spans="2:18">
      <c r="B17" s="130">
        <v>13</v>
      </c>
      <c r="C17" s="110"/>
      <c r="D17" s="22"/>
      <c r="E17" s="45" t="str">
        <f>IF($C17&lt;&gt;"","ALERT_" &amp; D17 &amp; "_ID_"&amp;UPPER(Matrix!$D$6) &amp; "_" &amp; $C17,"")</f>
        <v/>
      </c>
      <c r="F17" s="84"/>
      <c r="G17" s="45" t="str">
        <f t="shared" si="0"/>
        <v/>
      </c>
      <c r="O17" s="130">
        <v>13</v>
      </c>
      <c r="P17" s="110"/>
      <c r="Q17" s="110"/>
      <c r="R17" s="85"/>
    </row>
    <row r="18" spans="2:18">
      <c r="B18" s="130">
        <v>14</v>
      </c>
      <c r="C18" s="110"/>
      <c r="D18" s="22"/>
      <c r="E18" s="45" t="str">
        <f>IF($C18&lt;&gt;"","ALERT_" &amp; D18 &amp; "_ID_"&amp;UPPER(Matrix!$D$6) &amp; "_" &amp; $C18,"")</f>
        <v/>
      </c>
      <c r="F18" s="84"/>
      <c r="G18" s="45" t="str">
        <f t="shared" si="0"/>
        <v/>
      </c>
      <c r="O18" s="130">
        <v>14</v>
      </c>
      <c r="P18" s="110"/>
      <c r="Q18" s="110"/>
      <c r="R18" s="85"/>
    </row>
    <row r="19" spans="2:18">
      <c r="B19" s="130">
        <v>15</v>
      </c>
      <c r="C19" s="110"/>
      <c r="D19" s="22"/>
      <c r="E19" s="45" t="str">
        <f>IF($C19&lt;&gt;"","ALERT_" &amp; D19 &amp; "_ID_"&amp;UPPER(Matrix!$D$6) &amp; "_" &amp; $C19,"")</f>
        <v/>
      </c>
      <c r="F19" s="84"/>
      <c r="G19" s="45" t="str">
        <f t="shared" si="0"/>
        <v/>
      </c>
      <c r="O19" s="130">
        <v>15</v>
      </c>
      <c r="P19" s="110"/>
      <c r="Q19" s="110"/>
      <c r="R19" s="85"/>
    </row>
    <row r="20" spans="2:18">
      <c r="B20" s="130">
        <v>16</v>
      </c>
      <c r="C20" s="110"/>
      <c r="D20" s="22"/>
      <c r="E20" s="45" t="str">
        <f>IF($C20&lt;&gt;"","ALERT_" &amp; D20 &amp; "_ID_"&amp;UPPER(Matrix!$D$6) &amp; "_" &amp; $C20,"")</f>
        <v/>
      </c>
      <c r="F20" s="84"/>
      <c r="G20" s="45" t="str">
        <f t="shared" si="0"/>
        <v/>
      </c>
      <c r="O20" s="130">
        <v>16</v>
      </c>
      <c r="P20" s="110"/>
      <c r="Q20" s="110"/>
      <c r="R20" s="85"/>
    </row>
    <row r="21" spans="2:18">
      <c r="B21" s="130">
        <v>17</v>
      </c>
      <c r="C21" s="110"/>
      <c r="D21" s="22"/>
      <c r="E21" s="45" t="str">
        <f>IF($C21&lt;&gt;"","ALERT_" &amp; D21 &amp; "_ID_"&amp;UPPER(Matrix!$D$6) &amp; "_" &amp; $C21,"")</f>
        <v/>
      </c>
      <c r="F21" s="84"/>
      <c r="G21" s="45" t="str">
        <f t="shared" si="0"/>
        <v/>
      </c>
      <c r="O21" s="130">
        <v>17</v>
      </c>
      <c r="P21" s="110"/>
      <c r="Q21" s="110"/>
      <c r="R21" s="85"/>
    </row>
    <row r="22" spans="2:18">
      <c r="B22" s="130">
        <v>18</v>
      </c>
      <c r="C22" s="110"/>
      <c r="D22" s="22"/>
      <c r="E22" s="45" t="str">
        <f>IF($C22&lt;&gt;"","ALERT_" &amp; D22 &amp; "_ID_"&amp;UPPER(Matrix!$D$6) &amp; "_" &amp; $C22,"")</f>
        <v/>
      </c>
      <c r="F22" s="84"/>
      <c r="G22" s="45" t="str">
        <f t="shared" si="0"/>
        <v/>
      </c>
      <c r="O22" s="130">
        <v>18</v>
      </c>
      <c r="P22" s="110"/>
      <c r="Q22" s="110"/>
      <c r="R22" s="85"/>
    </row>
    <row r="23" spans="2:18">
      <c r="B23" s="130">
        <v>19</v>
      </c>
      <c r="C23" s="110"/>
      <c r="D23" s="22"/>
      <c r="E23" s="45" t="str">
        <f>IF($C23&lt;&gt;"","ALERT_" &amp; D23 &amp; "_ID_"&amp;UPPER(Matrix!$D$6) &amp; "_" &amp; $C23,"")</f>
        <v/>
      </c>
      <c r="F23" s="84"/>
      <c r="G23" s="45" t="str">
        <f t="shared" si="0"/>
        <v/>
      </c>
      <c r="O23" s="130">
        <v>19</v>
      </c>
      <c r="P23" s="110"/>
      <c r="Q23" s="110"/>
      <c r="R23" s="85"/>
    </row>
    <row r="24" spans="2:18">
      <c r="B24" s="130">
        <v>20</v>
      </c>
      <c r="C24" s="110"/>
      <c r="D24" s="22"/>
      <c r="E24" s="45" t="str">
        <f>IF($C24&lt;&gt;"","ALERT_" &amp; D24 &amp; "_ID_"&amp;UPPER(Matrix!$D$6) &amp; "_" &amp; $C24,"")</f>
        <v/>
      </c>
      <c r="F24" s="84"/>
      <c r="G24" s="45" t="str">
        <f t="shared" si="0"/>
        <v/>
      </c>
      <c r="O24" s="130">
        <v>20</v>
      </c>
      <c r="P24" s="110"/>
      <c r="Q24" s="110"/>
      <c r="R24" s="85"/>
    </row>
    <row r="25" spans="2:18">
      <c r="B25" s="130">
        <v>21</v>
      </c>
      <c r="C25" s="110"/>
      <c r="D25" s="22"/>
      <c r="E25" s="45" t="str">
        <f>IF($C25&lt;&gt;"","ALERT_" &amp; D25 &amp; "_ID_"&amp;UPPER(Matrix!$D$6) &amp; "_" &amp; $C25,"")</f>
        <v/>
      </c>
      <c r="F25" s="84"/>
      <c r="G25" s="45" t="str">
        <f t="shared" si="0"/>
        <v/>
      </c>
      <c r="O25" s="130">
        <v>21</v>
      </c>
      <c r="P25" s="110"/>
      <c r="Q25" s="110"/>
      <c r="R25" s="85"/>
    </row>
    <row r="26" spans="2:18">
      <c r="B26" s="130">
        <v>22</v>
      </c>
      <c r="C26" s="110"/>
      <c r="D26" s="22"/>
      <c r="E26" s="45" t="str">
        <f>IF($C26&lt;&gt;"","ALERT_" &amp; D26 &amp; "_ID_"&amp;UPPER(Matrix!$D$6) &amp; "_" &amp; $C26,"")</f>
        <v/>
      </c>
      <c r="F26" s="84"/>
      <c r="G26" s="45" t="str">
        <f t="shared" si="0"/>
        <v/>
      </c>
      <c r="O26" s="130">
        <v>22</v>
      </c>
      <c r="P26" s="110"/>
      <c r="Q26" s="110"/>
      <c r="R26" s="85"/>
    </row>
    <row r="27" spans="2:18">
      <c r="B27" s="130">
        <v>23</v>
      </c>
      <c r="C27" s="110"/>
      <c r="D27" s="22"/>
      <c r="E27" s="45" t="str">
        <f>IF($C27&lt;&gt;"","ALERT_" &amp; D27 &amp; "_ID_"&amp;UPPER(Matrix!$D$6) &amp; "_" &amp; $C27,"")</f>
        <v/>
      </c>
      <c r="F27" s="84"/>
      <c r="G27" s="45" t="str">
        <f t="shared" si="0"/>
        <v/>
      </c>
      <c r="O27" s="130">
        <v>23</v>
      </c>
      <c r="P27" s="110"/>
      <c r="Q27" s="110"/>
      <c r="R27" s="85"/>
    </row>
    <row r="28" spans="2:18">
      <c r="B28" s="130">
        <v>24</v>
      </c>
      <c r="C28" s="110"/>
      <c r="D28" s="22"/>
      <c r="E28" s="45" t="str">
        <f>IF($C28&lt;&gt;"","ALERT_" &amp; D28 &amp; "_ID_"&amp;UPPER(Matrix!$D$6) &amp; "_" &amp; $C28,"")</f>
        <v/>
      </c>
      <c r="F28" s="84"/>
      <c r="G28" s="45" t="str">
        <f t="shared" si="0"/>
        <v/>
      </c>
      <c r="O28" s="130">
        <v>24</v>
      </c>
      <c r="P28" s="110"/>
      <c r="Q28" s="110"/>
      <c r="R28" s="85"/>
    </row>
    <row r="29" spans="2:18" ht="14.25" thickBot="1">
      <c r="B29" s="131">
        <v>25</v>
      </c>
      <c r="C29" s="108"/>
      <c r="D29" s="32"/>
      <c r="E29" s="46" t="str">
        <f>IF($C29&lt;&gt;"","ALERT_" &amp; D29 &amp; "_ID_"&amp;UPPER(Matrix!$D$6) &amp; "_" &amp; $C29,"")</f>
        <v/>
      </c>
      <c r="F29" s="86"/>
      <c r="G29" s="46" t="str">
        <f t="shared" si="0"/>
        <v/>
      </c>
      <c r="O29" s="131">
        <v>25</v>
      </c>
      <c r="P29" s="108"/>
      <c r="Q29" s="108"/>
      <c r="R29" s="87"/>
    </row>
    <row r="32" spans="2:18" ht="14.25" thickBot="1">
      <c r="B32" t="s">
        <v>200</v>
      </c>
      <c r="O32" t="s">
        <v>197</v>
      </c>
    </row>
    <row r="33" spans="2:18" ht="14.25" thickBot="1">
      <c r="B33" s="106" t="s">
        <v>34</v>
      </c>
      <c r="C33" s="74" t="s">
        <v>189</v>
      </c>
      <c r="D33" s="74" t="s">
        <v>194</v>
      </c>
      <c r="E33" s="75" t="s">
        <v>192</v>
      </c>
      <c r="F33" s="136" t="s">
        <v>193</v>
      </c>
      <c r="G33" s="136" t="s">
        <v>204</v>
      </c>
      <c r="O33" s="106" t="s">
        <v>34</v>
      </c>
      <c r="P33" s="135" t="s">
        <v>186</v>
      </c>
      <c r="Q33" s="135" t="s">
        <v>202</v>
      </c>
      <c r="R33" s="136" t="s">
        <v>190</v>
      </c>
    </row>
    <row r="34" spans="2:18" ht="14.25" hidden="1" thickTop="1">
      <c r="B34" s="127">
        <v>0</v>
      </c>
      <c r="C34" s="128" t="s">
        <v>174</v>
      </c>
      <c r="D34" s="128"/>
      <c r="E34" s="129"/>
      <c r="F34" s="138" t="s">
        <v>174</v>
      </c>
      <c r="G34" s="47"/>
      <c r="O34" s="137">
        <v>0</v>
      </c>
      <c r="P34" s="134" t="s">
        <v>174</v>
      </c>
      <c r="Q34" s="134" t="s">
        <v>174</v>
      </c>
      <c r="R34" s="138" t="s">
        <v>174</v>
      </c>
    </row>
    <row r="35" spans="2:18" ht="14.25" thickTop="1">
      <c r="B35" s="130">
        <v>1</v>
      </c>
      <c r="C35" s="110"/>
      <c r="D35" s="22"/>
      <c r="E35" s="45" t="str">
        <f>IF($C35&lt;&gt;"","ALERT_" &amp; UPPER(Matrix!$D$6) &amp; "_" &amp; $C35,"")</f>
        <v/>
      </c>
      <c r="F35" s="132"/>
      <c r="G35" s="45" t="str">
        <f>IF(E35&lt;&gt;"",LEN(E35),"")</f>
        <v/>
      </c>
      <c r="O35" s="130">
        <v>1</v>
      </c>
      <c r="P35" s="110"/>
      <c r="Q35" s="110"/>
      <c r="R35" s="132"/>
    </row>
    <row r="36" spans="2:18">
      <c r="B36" s="130">
        <v>2</v>
      </c>
      <c r="C36" s="110"/>
      <c r="D36" s="22"/>
      <c r="E36" s="45" t="str">
        <f>IF($C36&lt;&gt;"","ALERT_" &amp; UPPER(Matrix!$D$6) &amp; "_" &amp; $C36,"")</f>
        <v/>
      </c>
      <c r="F36" s="132"/>
      <c r="G36" s="45" t="str">
        <f>IF(E36&lt;&gt;"",LEN(E36),"")</f>
        <v/>
      </c>
      <c r="O36" s="130">
        <v>2</v>
      </c>
      <c r="P36" s="110"/>
      <c r="Q36" s="110"/>
      <c r="R36" s="132"/>
    </row>
    <row r="37" spans="2:18">
      <c r="B37" s="130">
        <v>3</v>
      </c>
      <c r="C37" s="110"/>
      <c r="D37" s="22"/>
      <c r="E37" s="45" t="str">
        <f>IF($C37&lt;&gt;"","ALERT_" &amp; UPPER(Matrix!$D$6) &amp; "_" &amp; $C37,"")</f>
        <v/>
      </c>
      <c r="F37" s="132"/>
      <c r="G37" s="45" t="str">
        <f>IF(E37&lt;&gt;"",LEN(E37),"")</f>
        <v/>
      </c>
      <c r="O37" s="130">
        <v>3</v>
      </c>
      <c r="P37" s="110"/>
      <c r="Q37" s="110"/>
      <c r="R37" s="132"/>
    </row>
    <row r="38" spans="2:18">
      <c r="B38" s="130">
        <v>4</v>
      </c>
      <c r="C38" s="110"/>
      <c r="D38" s="22"/>
      <c r="E38" s="45" t="str">
        <f>IF($C38&lt;&gt;"","ALERT_" &amp; UPPER(Matrix!$D$6) &amp; "_" &amp; $C38,"")</f>
        <v/>
      </c>
      <c r="F38" s="132"/>
      <c r="G38" s="45" t="str">
        <f t="shared" ref="G38:G59" si="1">IF(E38&lt;&gt;"",LEN(E38),"")</f>
        <v/>
      </c>
      <c r="O38" s="130">
        <v>4</v>
      </c>
      <c r="P38" s="110"/>
      <c r="Q38" s="110"/>
      <c r="R38" s="132"/>
    </row>
    <row r="39" spans="2:18">
      <c r="B39" s="130">
        <v>5</v>
      </c>
      <c r="C39" s="110"/>
      <c r="D39" s="22"/>
      <c r="E39" s="45" t="str">
        <f>IF($C39&lt;&gt;"","ALERT_" &amp; UPPER(Matrix!$D$6) &amp; "_" &amp; $C39,"")</f>
        <v/>
      </c>
      <c r="F39" s="132"/>
      <c r="G39" s="45" t="str">
        <f t="shared" si="1"/>
        <v/>
      </c>
      <c r="O39" s="130">
        <v>5</v>
      </c>
      <c r="P39" s="110"/>
      <c r="Q39" s="110"/>
      <c r="R39" s="132"/>
    </row>
    <row r="40" spans="2:18">
      <c r="B40" s="130">
        <v>6</v>
      </c>
      <c r="C40" s="110"/>
      <c r="D40" s="22"/>
      <c r="E40" s="45" t="str">
        <f>IF($C40&lt;&gt;"","ALERT_" &amp; UPPER(Matrix!$D$6) &amp; "_" &amp; $C40,"")</f>
        <v/>
      </c>
      <c r="F40" s="132"/>
      <c r="G40" s="45" t="str">
        <f t="shared" si="1"/>
        <v/>
      </c>
      <c r="O40" s="130">
        <v>6</v>
      </c>
      <c r="P40" s="110"/>
      <c r="Q40" s="110"/>
      <c r="R40" s="132"/>
    </row>
    <row r="41" spans="2:18">
      <c r="B41" s="130">
        <v>7</v>
      </c>
      <c r="C41" s="110"/>
      <c r="D41" s="22"/>
      <c r="E41" s="45" t="str">
        <f>IF($C41&lt;&gt;"","ALERT_" &amp; UPPER(Matrix!$D$6) &amp; "_" &amp; $C41,"")</f>
        <v/>
      </c>
      <c r="F41" s="132"/>
      <c r="G41" s="45" t="str">
        <f t="shared" si="1"/>
        <v/>
      </c>
      <c r="O41" s="130">
        <v>7</v>
      </c>
      <c r="P41" s="110"/>
      <c r="Q41" s="110"/>
      <c r="R41" s="132"/>
    </row>
    <row r="42" spans="2:18">
      <c r="B42" s="130">
        <v>8</v>
      </c>
      <c r="C42" s="110"/>
      <c r="D42" s="22"/>
      <c r="E42" s="45" t="str">
        <f>IF($C42&lt;&gt;"","ALERT_" &amp; UPPER(Matrix!$D$6) &amp; "_" &amp; $C42,"")</f>
        <v/>
      </c>
      <c r="F42" s="132"/>
      <c r="G42" s="45" t="str">
        <f t="shared" si="1"/>
        <v/>
      </c>
      <c r="O42" s="130">
        <v>8</v>
      </c>
      <c r="P42" s="110"/>
      <c r="Q42" s="110"/>
      <c r="R42" s="132"/>
    </row>
    <row r="43" spans="2:18">
      <c r="B43" s="130">
        <v>9</v>
      </c>
      <c r="C43" s="110"/>
      <c r="D43" s="22"/>
      <c r="E43" s="45" t="str">
        <f>IF($C43&lt;&gt;"","ALERT_" &amp; UPPER(Matrix!$D$6) &amp; "_" &amp; $C43,"")</f>
        <v/>
      </c>
      <c r="F43" s="132"/>
      <c r="G43" s="45" t="str">
        <f t="shared" si="1"/>
        <v/>
      </c>
      <c r="O43" s="130">
        <v>9</v>
      </c>
      <c r="P43" s="110"/>
      <c r="Q43" s="110"/>
      <c r="R43" s="132"/>
    </row>
    <row r="44" spans="2:18">
      <c r="B44" s="130">
        <v>10</v>
      </c>
      <c r="C44" s="110"/>
      <c r="D44" s="22"/>
      <c r="E44" s="45" t="str">
        <f>IF($C44&lt;&gt;"","ALERT_" &amp; UPPER(Matrix!$D$6) &amp; "_" &amp; $C44,"")</f>
        <v/>
      </c>
      <c r="F44" s="132"/>
      <c r="G44" s="45" t="str">
        <f t="shared" si="1"/>
        <v/>
      </c>
      <c r="O44" s="130">
        <v>10</v>
      </c>
      <c r="P44" s="110"/>
      <c r="Q44" s="110"/>
      <c r="R44" s="132"/>
    </row>
    <row r="45" spans="2:18">
      <c r="B45" s="130">
        <v>11</v>
      </c>
      <c r="C45" s="110"/>
      <c r="D45" s="22"/>
      <c r="E45" s="45" t="str">
        <f>IF($C45&lt;&gt;"","ALERT_" &amp; UPPER(Matrix!$D$6) &amp; "_" &amp; $C45,"")</f>
        <v/>
      </c>
      <c r="F45" s="132"/>
      <c r="G45" s="45" t="str">
        <f t="shared" si="1"/>
        <v/>
      </c>
      <c r="O45" s="130">
        <v>11</v>
      </c>
      <c r="P45" s="110"/>
      <c r="Q45" s="110"/>
      <c r="R45" s="132"/>
    </row>
    <row r="46" spans="2:18">
      <c r="B46" s="130">
        <v>12</v>
      </c>
      <c r="C46" s="110"/>
      <c r="D46" s="22"/>
      <c r="E46" s="45" t="str">
        <f>IF($C46&lt;&gt;"","ALERT_" &amp; UPPER(Matrix!$D$6) &amp; "_" &amp; $C46,"")</f>
        <v/>
      </c>
      <c r="F46" s="132"/>
      <c r="G46" s="45" t="str">
        <f t="shared" si="1"/>
        <v/>
      </c>
      <c r="O46" s="130">
        <v>12</v>
      </c>
      <c r="P46" s="110"/>
      <c r="Q46" s="110"/>
      <c r="R46" s="132"/>
    </row>
    <row r="47" spans="2:18">
      <c r="B47" s="130">
        <v>13</v>
      </c>
      <c r="C47" s="110"/>
      <c r="D47" s="22"/>
      <c r="E47" s="45" t="str">
        <f>IF($C47&lt;&gt;"","ALERT_" &amp; UPPER(Matrix!$D$6) &amp; "_" &amp; $C47,"")</f>
        <v/>
      </c>
      <c r="F47" s="132"/>
      <c r="G47" s="45" t="str">
        <f t="shared" si="1"/>
        <v/>
      </c>
      <c r="O47" s="130">
        <v>13</v>
      </c>
      <c r="P47" s="110"/>
      <c r="Q47" s="110"/>
      <c r="R47" s="132"/>
    </row>
    <row r="48" spans="2:18">
      <c r="B48" s="130">
        <v>14</v>
      </c>
      <c r="C48" s="110"/>
      <c r="D48" s="22"/>
      <c r="E48" s="45" t="str">
        <f>IF($C48&lt;&gt;"","ALERT_" &amp; UPPER(Matrix!$D$6) &amp; "_" &amp; $C48,"")</f>
        <v/>
      </c>
      <c r="F48" s="132"/>
      <c r="G48" s="45" t="str">
        <f t="shared" si="1"/>
        <v/>
      </c>
      <c r="O48" s="130">
        <v>14</v>
      </c>
      <c r="P48" s="110"/>
      <c r="Q48" s="110"/>
      <c r="R48" s="132"/>
    </row>
    <row r="49" spans="2:18">
      <c r="B49" s="130">
        <v>15</v>
      </c>
      <c r="C49" s="110"/>
      <c r="D49" s="22"/>
      <c r="E49" s="45" t="str">
        <f>IF($C49&lt;&gt;"","ALERT_" &amp; UPPER(Matrix!$D$6) &amp; "_" &amp; $C49,"")</f>
        <v/>
      </c>
      <c r="F49" s="132"/>
      <c r="G49" s="45" t="str">
        <f t="shared" si="1"/>
        <v/>
      </c>
      <c r="O49" s="130">
        <v>15</v>
      </c>
      <c r="P49" s="110"/>
      <c r="Q49" s="110"/>
      <c r="R49" s="132"/>
    </row>
    <row r="50" spans="2:18">
      <c r="B50" s="130">
        <v>16</v>
      </c>
      <c r="C50" s="110"/>
      <c r="D50" s="22"/>
      <c r="E50" s="45" t="str">
        <f>IF($C50&lt;&gt;"","ALERT_" &amp; UPPER(Matrix!$D$6) &amp; "_" &amp; $C50,"")</f>
        <v/>
      </c>
      <c r="F50" s="132"/>
      <c r="G50" s="45" t="str">
        <f t="shared" si="1"/>
        <v/>
      </c>
      <c r="O50" s="130">
        <v>16</v>
      </c>
      <c r="P50" s="110"/>
      <c r="Q50" s="110"/>
      <c r="R50" s="132"/>
    </row>
    <row r="51" spans="2:18">
      <c r="B51" s="130">
        <v>17</v>
      </c>
      <c r="C51" s="110"/>
      <c r="D51" s="22"/>
      <c r="E51" s="45" t="str">
        <f>IF($C51&lt;&gt;"","ALERT_" &amp; UPPER(Matrix!$D$6) &amp; "_" &amp; $C51,"")</f>
        <v/>
      </c>
      <c r="F51" s="132"/>
      <c r="G51" s="45" t="str">
        <f t="shared" si="1"/>
        <v/>
      </c>
      <c r="O51" s="130">
        <v>17</v>
      </c>
      <c r="P51" s="110"/>
      <c r="Q51" s="110"/>
      <c r="R51" s="132"/>
    </row>
    <row r="52" spans="2:18">
      <c r="B52" s="130">
        <v>18</v>
      </c>
      <c r="C52" s="110"/>
      <c r="D52" s="22"/>
      <c r="E52" s="45" t="str">
        <f>IF($C52&lt;&gt;"","ALERT_" &amp; UPPER(Matrix!$D$6) &amp; "_" &amp; $C52,"")</f>
        <v/>
      </c>
      <c r="F52" s="132"/>
      <c r="G52" s="45" t="str">
        <f t="shared" si="1"/>
        <v/>
      </c>
      <c r="O52" s="130">
        <v>18</v>
      </c>
      <c r="P52" s="110"/>
      <c r="Q52" s="110"/>
      <c r="R52" s="132"/>
    </row>
    <row r="53" spans="2:18">
      <c r="B53" s="130">
        <v>19</v>
      </c>
      <c r="C53" s="110"/>
      <c r="D53" s="22"/>
      <c r="E53" s="45" t="str">
        <f>IF($C53&lt;&gt;"","ALERT_" &amp; UPPER(Matrix!$D$6) &amp; "_" &amp; $C53,"")</f>
        <v/>
      </c>
      <c r="F53" s="132"/>
      <c r="G53" s="45" t="str">
        <f t="shared" si="1"/>
        <v/>
      </c>
      <c r="O53" s="130">
        <v>19</v>
      </c>
      <c r="P53" s="110"/>
      <c r="Q53" s="110"/>
      <c r="R53" s="132"/>
    </row>
    <row r="54" spans="2:18">
      <c r="B54" s="130">
        <v>20</v>
      </c>
      <c r="C54" s="110"/>
      <c r="D54" s="22"/>
      <c r="E54" s="45" t="str">
        <f>IF($C54&lt;&gt;"","ALERT_" &amp; UPPER(Matrix!$D$6) &amp; "_" &amp; $C54,"")</f>
        <v/>
      </c>
      <c r="F54" s="132"/>
      <c r="G54" s="45" t="str">
        <f t="shared" si="1"/>
        <v/>
      </c>
      <c r="O54" s="130">
        <v>20</v>
      </c>
      <c r="P54" s="110"/>
      <c r="Q54" s="110"/>
      <c r="R54" s="132"/>
    </row>
    <row r="55" spans="2:18">
      <c r="B55" s="130">
        <v>21</v>
      </c>
      <c r="C55" s="110"/>
      <c r="D55" s="22"/>
      <c r="E55" s="45" t="str">
        <f>IF($C55&lt;&gt;"","ALERT_" &amp; UPPER(Matrix!$D$6) &amp; "_" &amp; $C55,"")</f>
        <v/>
      </c>
      <c r="F55" s="132"/>
      <c r="G55" s="45" t="str">
        <f t="shared" si="1"/>
        <v/>
      </c>
      <c r="O55" s="130">
        <v>21</v>
      </c>
      <c r="P55" s="110"/>
      <c r="Q55" s="110"/>
      <c r="R55" s="132"/>
    </row>
    <row r="56" spans="2:18">
      <c r="B56" s="130">
        <v>22</v>
      </c>
      <c r="C56" s="110"/>
      <c r="D56" s="22"/>
      <c r="E56" s="45" t="str">
        <f>IF($C56&lt;&gt;"","ALERT_" &amp; UPPER(Matrix!$D$6) &amp; "_" &amp; $C56,"")</f>
        <v/>
      </c>
      <c r="F56" s="132"/>
      <c r="G56" s="45" t="str">
        <f t="shared" si="1"/>
        <v/>
      </c>
      <c r="O56" s="130">
        <v>22</v>
      </c>
      <c r="P56" s="110"/>
      <c r="Q56" s="110"/>
      <c r="R56" s="132"/>
    </row>
    <row r="57" spans="2:18">
      <c r="B57" s="130">
        <v>23</v>
      </c>
      <c r="C57" s="110"/>
      <c r="D57" s="22"/>
      <c r="E57" s="45" t="str">
        <f>IF($C57&lt;&gt;"","ALERT_" &amp; UPPER(Matrix!$D$6) &amp; "_" &amp; $C57,"")</f>
        <v/>
      </c>
      <c r="F57" s="132"/>
      <c r="G57" s="45" t="str">
        <f t="shared" si="1"/>
        <v/>
      </c>
      <c r="O57" s="130">
        <v>23</v>
      </c>
      <c r="P57" s="110"/>
      <c r="Q57" s="110"/>
      <c r="R57" s="132"/>
    </row>
    <row r="58" spans="2:18">
      <c r="B58" s="130">
        <v>24</v>
      </c>
      <c r="C58" s="110"/>
      <c r="D58" s="22"/>
      <c r="E58" s="45" t="str">
        <f>IF($C58&lt;&gt;"","ALERT_" &amp; UPPER(Matrix!$D$6) &amp; "_" &amp; $C58,"")</f>
        <v/>
      </c>
      <c r="F58" s="132"/>
      <c r="G58" s="45" t="str">
        <f t="shared" si="1"/>
        <v/>
      </c>
      <c r="O58" s="130">
        <v>24</v>
      </c>
      <c r="P58" s="110"/>
      <c r="Q58" s="110"/>
      <c r="R58" s="132"/>
    </row>
    <row r="59" spans="2:18" ht="14.25" thickBot="1">
      <c r="B59" s="131">
        <v>25</v>
      </c>
      <c r="C59" s="108"/>
      <c r="D59" s="32"/>
      <c r="E59" s="46" t="str">
        <f>IF($C59&lt;&gt;"","ALERT_" &amp; UPPER(Matrix!$D$6) &amp; "_" &amp; $C59,"")</f>
        <v/>
      </c>
      <c r="F59" s="133"/>
      <c r="G59" s="46" t="str">
        <f t="shared" si="1"/>
        <v/>
      </c>
      <c r="O59" s="131">
        <v>25</v>
      </c>
      <c r="P59" s="108"/>
      <c r="Q59" s="108"/>
      <c r="R59" s="13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115" zoomScaleNormal="115" workbookViewId="0">
      <pane ySplit="2" topLeftCell="A4" activePane="bottomLeft" state="frozen"/>
      <selection pane="bottomLeft" activeCell="E15" sqref="A14:E15"/>
    </sheetView>
  </sheetViews>
  <sheetFormatPr defaultRowHeight="13.5"/>
  <cols>
    <col min="2" max="2" width="28.375" customWidth="1"/>
    <col min="3" max="3" width="15.875" customWidth="1"/>
    <col min="5" max="5" width="12.375" customWidth="1"/>
    <col min="6" max="6" width="19.75" customWidth="1"/>
    <col min="7" max="7" width="12.375" customWidth="1"/>
    <col min="8" max="8" width="33.37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1" t="s">
        <v>104</v>
      </c>
    </row>
    <row r="2" spans="2:21" ht="14.25" thickBot="1">
      <c r="B2" s="68" t="s">
        <v>58</v>
      </c>
      <c r="C2" s="69" t="s">
        <v>122</v>
      </c>
      <c r="D2" s="70" t="s">
        <v>52</v>
      </c>
      <c r="E2" s="71" t="s">
        <v>53</v>
      </c>
      <c r="F2" s="72" t="s">
        <v>23</v>
      </c>
      <c r="G2" s="71" t="s">
        <v>54</v>
      </c>
      <c r="H2" s="72" t="s">
        <v>25</v>
      </c>
      <c r="I2" s="71" t="s">
        <v>55</v>
      </c>
      <c r="J2" s="72" t="s">
        <v>171</v>
      </c>
      <c r="K2" s="71" t="s">
        <v>56</v>
      </c>
      <c r="L2" s="72" t="s">
        <v>26</v>
      </c>
      <c r="M2" s="69" t="s">
        <v>57</v>
      </c>
      <c r="N2" s="72" t="s">
        <v>117</v>
      </c>
      <c r="O2" s="88" t="s">
        <v>83</v>
      </c>
    </row>
    <row r="3" spans="2:21" ht="15" hidden="1" thickTop="1" thickBot="1">
      <c r="B3" s="23"/>
      <c r="C3" s="29" t="s">
        <v>108</v>
      </c>
      <c r="D3" s="81"/>
      <c r="E3" s="11"/>
      <c r="F3" s="13"/>
      <c r="G3" s="11"/>
      <c r="H3" s="13"/>
      <c r="I3" s="11"/>
      <c r="J3" s="13"/>
      <c r="K3" s="11"/>
      <c r="L3" s="13"/>
      <c r="M3" s="30"/>
      <c r="N3" s="77"/>
      <c r="O3" s="89"/>
      <c r="U3" s="65" t="s">
        <v>98</v>
      </c>
    </row>
    <row r="4" spans="2:21" ht="14.25" thickTop="1">
      <c r="B4" s="23" t="s">
        <v>258</v>
      </c>
      <c r="C4" s="29" t="s">
        <v>259</v>
      </c>
      <c r="D4" s="81">
        <v>0</v>
      </c>
      <c r="E4" s="82" t="s">
        <v>126</v>
      </c>
      <c r="F4" s="83" t="s">
        <v>210</v>
      </c>
      <c r="G4" s="82"/>
      <c r="H4" s="83" t="s">
        <v>359</v>
      </c>
      <c r="I4" s="82" t="s">
        <v>126</v>
      </c>
      <c r="J4" s="83" t="s">
        <v>213</v>
      </c>
      <c r="K4" s="82" t="s">
        <v>126</v>
      </c>
      <c r="L4" s="83" t="s">
        <v>127</v>
      </c>
      <c r="M4" s="30">
        <f ca="1">LEN(N4)</f>
        <v>30</v>
      </c>
      <c r="N4" s="77" t="str">
        <f ca="1">VLOOKUP($B4,Matrix!$H$13:$I$37,2,FALSE)&amp;"_"&amp;C4</f>
        <v>ALERT_REQ_D_SFTPOS_B_RJTB_DBL1</v>
      </c>
      <c r="O4" s="89" t="str">
        <f t="shared" ref="O4:O35" ca="1" si="0">"#define "&amp;N4&amp;REPT(" ",48-M4)&amp;"("&amp;D4&amp;"U)"</f>
        <v>#define ALERT_REQ_D_SFTPOS_B_RJTB_DBL1                  (0U)</v>
      </c>
      <c r="U4" s="65" t="s">
        <v>98</v>
      </c>
    </row>
    <row r="5" spans="2:21">
      <c r="B5" s="23" t="s">
        <v>256</v>
      </c>
      <c r="C5" s="22" t="s">
        <v>239</v>
      </c>
      <c r="D5" s="84">
        <v>0</v>
      </c>
      <c r="E5" s="23" t="s">
        <v>126</v>
      </c>
      <c r="F5" s="85" t="s">
        <v>127</v>
      </c>
      <c r="G5" s="23"/>
      <c r="H5" s="85" t="s">
        <v>360</v>
      </c>
      <c r="I5" s="23" t="s">
        <v>126</v>
      </c>
      <c r="J5" s="85" t="s">
        <v>127</v>
      </c>
      <c r="K5" s="23" t="s">
        <v>126</v>
      </c>
      <c r="L5" s="85" t="s">
        <v>127</v>
      </c>
      <c r="M5" s="25">
        <f t="shared" ref="M5:M68" ca="1" si="1">LEN(N5)</f>
        <v>31</v>
      </c>
      <c r="N5" s="77" t="str">
        <f ca="1">VLOOKUP($B5,Matrix!$H$13:$I$37,2,FALSE)&amp;"_"&amp;C5</f>
        <v>ALERT_REQ_D_SFTPOS_B_RSBW_CYCLE</v>
      </c>
      <c r="O5" s="90" t="str">
        <f t="shared" ca="1" si="0"/>
        <v>#define ALERT_REQ_D_SFTPOS_B_RSBW_CYCLE                 (0U)</v>
      </c>
      <c r="U5" s="63" t="s">
        <v>99</v>
      </c>
    </row>
    <row r="6" spans="2:21">
      <c r="B6" s="23"/>
      <c r="C6" s="29"/>
      <c r="D6" s="81"/>
      <c r="E6" s="23"/>
      <c r="F6" s="85"/>
      <c r="G6" s="23"/>
      <c r="H6" s="85"/>
      <c r="I6" s="23"/>
      <c r="J6" s="85"/>
      <c r="K6" s="23"/>
      <c r="L6" s="85"/>
      <c r="M6" s="25" t="e">
        <f t="shared" ca="1" si="1"/>
        <v>#N/A</v>
      </c>
      <c r="N6" s="77" t="e">
        <f ca="1">VLOOKUP($B6,Matrix!$H$13:$I$37,2,FALSE)&amp;"_"&amp;C6</f>
        <v>#N/A</v>
      </c>
      <c r="O6" s="90" t="e">
        <f t="shared" ca="1" si="0"/>
        <v>#N/A</v>
      </c>
      <c r="U6" s="24" t="s">
        <v>100</v>
      </c>
    </row>
    <row r="7" spans="2:21">
      <c r="B7" s="23"/>
      <c r="C7" s="22"/>
      <c r="D7" s="84"/>
      <c r="E7" s="23"/>
      <c r="F7" s="85"/>
      <c r="G7" s="23"/>
      <c r="H7" s="85"/>
      <c r="I7" s="23"/>
      <c r="J7" s="85"/>
      <c r="K7" s="23"/>
      <c r="L7" s="85"/>
      <c r="M7" s="25" t="e">
        <f t="shared" ca="1" si="1"/>
        <v>#N/A</v>
      </c>
      <c r="N7" s="77" t="e">
        <f ca="1">VLOOKUP($B7,Matrix!$H$13:$I$37,2,FALSE)&amp;"_"&amp;C7</f>
        <v>#N/A</v>
      </c>
      <c r="O7" s="90" t="e">
        <f t="shared" ca="1" si="0"/>
        <v>#N/A</v>
      </c>
      <c r="U7" s="24" t="s">
        <v>101</v>
      </c>
    </row>
    <row r="8" spans="2:21">
      <c r="B8" s="23"/>
      <c r="C8" s="22"/>
      <c r="D8" s="81"/>
      <c r="E8" s="23"/>
      <c r="F8" s="85"/>
      <c r="G8" s="23"/>
      <c r="H8" s="85"/>
      <c r="I8" s="23"/>
      <c r="J8" s="85"/>
      <c r="K8" s="23"/>
      <c r="L8" s="85"/>
      <c r="M8" s="25" t="e">
        <f t="shared" ca="1" si="1"/>
        <v>#N/A</v>
      </c>
      <c r="N8" s="77" t="e">
        <f ca="1">VLOOKUP($B8,Matrix!$H$13:$I$37,2,FALSE)&amp;"_"&amp;C8</f>
        <v>#N/A</v>
      </c>
      <c r="O8" s="90" t="e">
        <f t="shared" ca="1" si="0"/>
        <v>#N/A</v>
      </c>
      <c r="U8" s="24" t="s">
        <v>102</v>
      </c>
    </row>
    <row r="9" spans="2:21">
      <c r="B9" s="23"/>
      <c r="C9" s="22"/>
      <c r="D9" s="84"/>
      <c r="E9" s="23"/>
      <c r="F9" s="85"/>
      <c r="G9" s="23"/>
      <c r="H9" s="85"/>
      <c r="I9" s="23"/>
      <c r="J9" s="85"/>
      <c r="K9" s="23"/>
      <c r="L9" s="85"/>
      <c r="M9" s="25" t="e">
        <f t="shared" ca="1" si="1"/>
        <v>#N/A</v>
      </c>
      <c r="N9" s="77" t="e">
        <f ca="1">VLOOKUP($B9,Matrix!$H$13:$I$37,2,FALSE)&amp;"_"&amp;C9</f>
        <v>#N/A</v>
      </c>
      <c r="O9" s="90" t="e">
        <f t="shared" ca="1" si="0"/>
        <v>#N/A</v>
      </c>
      <c r="U9" s="24" t="s">
        <v>103</v>
      </c>
    </row>
    <row r="10" spans="2:21">
      <c r="B10" s="23"/>
      <c r="C10" s="22"/>
      <c r="D10" s="81"/>
      <c r="E10" s="23"/>
      <c r="F10" s="85"/>
      <c r="G10" s="23"/>
      <c r="H10" s="85"/>
      <c r="I10" s="23"/>
      <c r="J10" s="85"/>
      <c r="K10" s="23"/>
      <c r="L10" s="85"/>
      <c r="M10" s="25" t="e">
        <f t="shared" ca="1" si="1"/>
        <v>#N/A</v>
      </c>
      <c r="N10" s="77" t="e">
        <f ca="1">VLOOKUP($B10,Matrix!$H$13:$I$37,2,FALSE)&amp;"_"&amp;C10</f>
        <v>#N/A</v>
      </c>
      <c r="O10" s="90" t="e">
        <f t="shared" ca="1" si="0"/>
        <v>#N/A</v>
      </c>
      <c r="U10" s="24"/>
    </row>
    <row r="11" spans="2:21">
      <c r="B11" s="23"/>
      <c r="C11" s="22"/>
      <c r="D11" s="84"/>
      <c r="E11" s="23"/>
      <c r="F11" s="85"/>
      <c r="G11" s="23"/>
      <c r="H11" s="85"/>
      <c r="I11" s="23"/>
      <c r="J11" s="85"/>
      <c r="K11" s="23"/>
      <c r="L11" s="85"/>
      <c r="M11" s="25" t="e">
        <f t="shared" ca="1" si="1"/>
        <v>#N/A</v>
      </c>
      <c r="N11" s="77" t="e">
        <f ca="1">VLOOKUP($B11,Matrix!$H$13:$I$37,2,FALSE)&amp;"_"&amp;C11</f>
        <v>#N/A</v>
      </c>
      <c r="O11" s="90" t="e">
        <f t="shared" ca="1" si="0"/>
        <v>#N/A</v>
      </c>
      <c r="U11" s="24"/>
    </row>
    <row r="12" spans="2:21">
      <c r="B12" s="23"/>
      <c r="C12" s="22"/>
      <c r="D12" s="84"/>
      <c r="E12" s="23"/>
      <c r="F12" s="85"/>
      <c r="G12" s="23"/>
      <c r="H12" s="85"/>
      <c r="I12" s="23"/>
      <c r="J12" s="85"/>
      <c r="K12" s="23"/>
      <c r="L12" s="85"/>
      <c r="M12" s="25" t="e">
        <f t="shared" ca="1" si="1"/>
        <v>#N/A</v>
      </c>
      <c r="N12" s="77" t="e">
        <f ca="1">VLOOKUP($B12,Matrix!$H$13:$I$37,2,FALSE)&amp;"_"&amp;C12</f>
        <v>#N/A</v>
      </c>
      <c r="O12" s="90" t="e">
        <f t="shared" ca="1" si="0"/>
        <v>#N/A</v>
      </c>
      <c r="U12" s="24"/>
    </row>
    <row r="13" spans="2:21" ht="14.25" thickBot="1">
      <c r="B13" s="23"/>
      <c r="C13" s="22"/>
      <c r="D13" s="84"/>
      <c r="E13" s="23"/>
      <c r="F13" s="85"/>
      <c r="G13" s="23"/>
      <c r="H13" s="85"/>
      <c r="I13" s="23"/>
      <c r="J13" s="85"/>
      <c r="K13" s="23"/>
      <c r="L13" s="85"/>
      <c r="M13" s="25" t="e">
        <f t="shared" ca="1" si="1"/>
        <v>#N/A</v>
      </c>
      <c r="N13" s="77" t="e">
        <f ca="1">VLOOKUP($B13,Matrix!$H$13:$I$37,2,FALSE)&amp;"_"&amp;C13</f>
        <v>#N/A</v>
      </c>
      <c r="O13" s="90" t="e">
        <f t="shared" ca="1" si="0"/>
        <v>#N/A</v>
      </c>
      <c r="U13" s="64"/>
    </row>
    <row r="14" spans="2:21">
      <c r="B14" s="23"/>
      <c r="C14" s="22"/>
      <c r="D14" s="84"/>
      <c r="E14" s="23"/>
      <c r="F14" s="85"/>
      <c r="G14" s="23"/>
      <c r="H14" s="85"/>
      <c r="I14" s="23"/>
      <c r="J14" s="85"/>
      <c r="K14" s="23"/>
      <c r="L14" s="85"/>
      <c r="M14" s="25" t="e">
        <f t="shared" ca="1" si="1"/>
        <v>#N/A</v>
      </c>
      <c r="N14" s="77" t="e">
        <f ca="1">VLOOKUP($B14,Matrix!$H$13:$I$37,2,FALSE)&amp;"_"&amp;C14</f>
        <v>#N/A</v>
      </c>
      <c r="O14" s="90" t="e">
        <f t="shared" ca="1" si="0"/>
        <v>#N/A</v>
      </c>
    </row>
    <row r="15" spans="2:21">
      <c r="B15" s="23"/>
      <c r="C15" s="22"/>
      <c r="D15" s="84"/>
      <c r="E15" s="23"/>
      <c r="F15" s="85"/>
      <c r="G15" s="23"/>
      <c r="H15" s="85"/>
      <c r="I15" s="23"/>
      <c r="J15" s="85"/>
      <c r="K15" s="23"/>
      <c r="L15" s="85"/>
      <c r="M15" s="25" t="e">
        <f t="shared" ca="1" si="1"/>
        <v>#N/A</v>
      </c>
      <c r="N15" s="77" t="e">
        <f ca="1">VLOOKUP($B15,Matrix!$H$13:$I$37,2,FALSE)&amp;"_"&amp;C15</f>
        <v>#N/A</v>
      </c>
      <c r="O15" s="90" t="e">
        <f t="shared" ca="1" si="0"/>
        <v>#N/A</v>
      </c>
    </row>
    <row r="16" spans="2:21">
      <c r="B16" s="23"/>
      <c r="C16" s="22"/>
      <c r="D16" s="84"/>
      <c r="E16" s="23"/>
      <c r="F16" s="85"/>
      <c r="G16" s="23"/>
      <c r="H16" s="85"/>
      <c r="I16" s="23"/>
      <c r="J16" s="85"/>
      <c r="K16" s="23"/>
      <c r="L16" s="85"/>
      <c r="M16" s="25" t="e">
        <f t="shared" ca="1" si="1"/>
        <v>#N/A</v>
      </c>
      <c r="N16" s="77" t="e">
        <f ca="1">VLOOKUP($B16,Matrix!$H$13:$I$37,2,FALSE)&amp;"_"&amp;C16</f>
        <v>#N/A</v>
      </c>
      <c r="O16" s="90" t="e">
        <f t="shared" ca="1" si="0"/>
        <v>#N/A</v>
      </c>
    </row>
    <row r="17" spans="2:15">
      <c r="B17" s="23"/>
      <c r="C17" s="22"/>
      <c r="D17" s="84"/>
      <c r="E17" s="23"/>
      <c r="F17" s="85"/>
      <c r="G17" s="23"/>
      <c r="H17" s="85"/>
      <c r="I17" s="23"/>
      <c r="J17" s="85"/>
      <c r="K17" s="23"/>
      <c r="L17" s="85"/>
      <c r="M17" s="25" t="e">
        <f t="shared" ca="1" si="1"/>
        <v>#N/A</v>
      </c>
      <c r="N17" s="77" t="e">
        <f ca="1">VLOOKUP($B17,Matrix!$H$13:$I$37,2,FALSE)&amp;"_"&amp;C17</f>
        <v>#N/A</v>
      </c>
      <c r="O17" s="90" t="e">
        <f t="shared" ca="1" si="0"/>
        <v>#N/A</v>
      </c>
    </row>
    <row r="18" spans="2:15">
      <c r="B18" s="23"/>
      <c r="C18" s="22"/>
      <c r="D18" s="84"/>
      <c r="E18" s="23"/>
      <c r="F18" s="85"/>
      <c r="G18" s="23"/>
      <c r="H18" s="85"/>
      <c r="I18" s="23"/>
      <c r="J18" s="85"/>
      <c r="K18" s="23"/>
      <c r="L18" s="85"/>
      <c r="M18" s="25" t="e">
        <f t="shared" ca="1" si="1"/>
        <v>#N/A</v>
      </c>
      <c r="N18" s="77" t="e">
        <f ca="1">VLOOKUP($B18,Matrix!$H$13:$I$37,2,FALSE)&amp;"_"&amp;C18</f>
        <v>#N/A</v>
      </c>
      <c r="O18" s="90" t="e">
        <f t="shared" ca="1" si="0"/>
        <v>#N/A</v>
      </c>
    </row>
    <row r="19" spans="2:15">
      <c r="B19" s="23"/>
      <c r="C19" s="22"/>
      <c r="D19" s="84"/>
      <c r="E19" s="23"/>
      <c r="F19" s="85"/>
      <c r="G19" s="23"/>
      <c r="H19" s="85"/>
      <c r="I19" s="23"/>
      <c r="J19" s="85"/>
      <c r="K19" s="23"/>
      <c r="L19" s="85"/>
      <c r="M19" s="25" t="e">
        <f t="shared" ca="1" si="1"/>
        <v>#N/A</v>
      </c>
      <c r="N19" s="77" t="e">
        <f ca="1">VLOOKUP($B19,Matrix!$H$13:$I$37,2,FALSE)&amp;"_"&amp;C19</f>
        <v>#N/A</v>
      </c>
      <c r="O19" s="90" t="e">
        <f t="shared" ca="1" si="0"/>
        <v>#N/A</v>
      </c>
    </row>
    <row r="20" spans="2:15">
      <c r="B20" s="23"/>
      <c r="C20" s="22"/>
      <c r="D20" s="84"/>
      <c r="E20" s="23"/>
      <c r="F20" s="85"/>
      <c r="G20" s="23"/>
      <c r="H20" s="85"/>
      <c r="I20" s="23"/>
      <c r="J20" s="85"/>
      <c r="K20" s="23"/>
      <c r="L20" s="85"/>
      <c r="M20" s="25" t="e">
        <f t="shared" ca="1" si="1"/>
        <v>#N/A</v>
      </c>
      <c r="N20" s="77" t="e">
        <f ca="1">VLOOKUP($B20,Matrix!$H$13:$I$37,2,FALSE)&amp;"_"&amp;C20</f>
        <v>#N/A</v>
      </c>
      <c r="O20" s="90" t="e">
        <f t="shared" ca="1" si="0"/>
        <v>#N/A</v>
      </c>
    </row>
    <row r="21" spans="2:15">
      <c r="B21" s="23"/>
      <c r="C21" s="22"/>
      <c r="D21" s="84"/>
      <c r="E21" s="23"/>
      <c r="F21" s="85"/>
      <c r="G21" s="23"/>
      <c r="H21" s="85"/>
      <c r="I21" s="23"/>
      <c r="J21" s="85"/>
      <c r="K21" s="23"/>
      <c r="L21" s="85"/>
      <c r="M21" s="25" t="e">
        <f t="shared" ca="1" si="1"/>
        <v>#N/A</v>
      </c>
      <c r="N21" s="77" t="e">
        <f ca="1">VLOOKUP($B21,Matrix!$H$13:$I$37,2,FALSE)&amp;"_"&amp;C21</f>
        <v>#N/A</v>
      </c>
      <c r="O21" s="90" t="e">
        <f t="shared" ca="1" si="0"/>
        <v>#N/A</v>
      </c>
    </row>
    <row r="22" spans="2:15">
      <c r="B22" s="23"/>
      <c r="C22" s="22"/>
      <c r="D22" s="84"/>
      <c r="E22" s="23"/>
      <c r="F22" s="85"/>
      <c r="G22" s="23"/>
      <c r="H22" s="85"/>
      <c r="I22" s="23"/>
      <c r="J22" s="85"/>
      <c r="K22" s="23"/>
      <c r="L22" s="85"/>
      <c r="M22" s="25" t="e">
        <f t="shared" ca="1" si="1"/>
        <v>#N/A</v>
      </c>
      <c r="N22" s="77" t="e">
        <f ca="1">VLOOKUP($B22,Matrix!$H$13:$I$37,2,FALSE)&amp;"_"&amp;C22</f>
        <v>#N/A</v>
      </c>
      <c r="O22" s="90" t="e">
        <f t="shared" ca="1" si="0"/>
        <v>#N/A</v>
      </c>
    </row>
    <row r="23" spans="2:15">
      <c r="B23" s="23"/>
      <c r="C23" s="22"/>
      <c r="D23" s="84"/>
      <c r="E23" s="23"/>
      <c r="F23" s="85"/>
      <c r="G23" s="23"/>
      <c r="H23" s="85"/>
      <c r="I23" s="23"/>
      <c r="J23" s="85"/>
      <c r="K23" s="23"/>
      <c r="L23" s="85"/>
      <c r="M23" s="25" t="e">
        <f t="shared" ca="1" si="1"/>
        <v>#N/A</v>
      </c>
      <c r="N23" s="77" t="e">
        <f ca="1">VLOOKUP($B23,Matrix!$H$13:$I$37,2,FALSE)&amp;"_"&amp;C23</f>
        <v>#N/A</v>
      </c>
      <c r="O23" s="90" t="e">
        <f t="shared" ca="1" si="0"/>
        <v>#N/A</v>
      </c>
    </row>
    <row r="24" spans="2:15">
      <c r="B24" s="23"/>
      <c r="C24" s="22"/>
      <c r="D24" s="84"/>
      <c r="E24" s="23"/>
      <c r="F24" s="85"/>
      <c r="G24" s="23"/>
      <c r="H24" s="85"/>
      <c r="I24" s="23"/>
      <c r="J24" s="85"/>
      <c r="K24" s="23"/>
      <c r="L24" s="85"/>
      <c r="M24" s="25" t="e">
        <f t="shared" ca="1" si="1"/>
        <v>#N/A</v>
      </c>
      <c r="N24" s="77" t="e">
        <f ca="1">VLOOKUP($B24,Matrix!$H$13:$I$37,2,FALSE)&amp;"_"&amp;C24</f>
        <v>#N/A</v>
      </c>
      <c r="O24" s="90" t="e">
        <f t="shared" ca="1" si="0"/>
        <v>#N/A</v>
      </c>
    </row>
    <row r="25" spans="2:15">
      <c r="B25" s="23"/>
      <c r="C25" s="22"/>
      <c r="D25" s="84"/>
      <c r="E25" s="23"/>
      <c r="F25" s="85"/>
      <c r="G25" s="23"/>
      <c r="H25" s="85"/>
      <c r="I25" s="23"/>
      <c r="J25" s="85"/>
      <c r="K25" s="23"/>
      <c r="L25" s="85"/>
      <c r="M25" s="25" t="e">
        <f t="shared" ca="1" si="1"/>
        <v>#N/A</v>
      </c>
      <c r="N25" s="77" t="e">
        <f ca="1">VLOOKUP($B25,Matrix!$H$13:$I$37,2,FALSE)&amp;"_"&amp;C25</f>
        <v>#N/A</v>
      </c>
      <c r="O25" s="90" t="e">
        <f t="shared" ca="1" si="0"/>
        <v>#N/A</v>
      </c>
    </row>
    <row r="26" spans="2:15">
      <c r="B26" s="23"/>
      <c r="C26" s="22"/>
      <c r="D26" s="84"/>
      <c r="E26" s="23"/>
      <c r="F26" s="85"/>
      <c r="G26" s="23"/>
      <c r="H26" s="85"/>
      <c r="I26" s="23"/>
      <c r="J26" s="85"/>
      <c r="K26" s="23"/>
      <c r="L26" s="85"/>
      <c r="M26" s="25" t="e">
        <f t="shared" ca="1" si="1"/>
        <v>#N/A</v>
      </c>
      <c r="N26" s="77" t="e">
        <f ca="1">VLOOKUP($B26,Matrix!$H$13:$I$37,2,FALSE)&amp;"_"&amp;C26</f>
        <v>#N/A</v>
      </c>
      <c r="O26" s="90" t="e">
        <f t="shared" ca="1" si="0"/>
        <v>#N/A</v>
      </c>
    </row>
    <row r="27" spans="2:15">
      <c r="B27" s="23"/>
      <c r="C27" s="22"/>
      <c r="D27" s="84"/>
      <c r="E27" s="23"/>
      <c r="F27" s="85"/>
      <c r="G27" s="23"/>
      <c r="H27" s="85"/>
      <c r="I27" s="23"/>
      <c r="J27" s="85"/>
      <c r="K27" s="23"/>
      <c r="L27" s="85"/>
      <c r="M27" s="25" t="e">
        <f t="shared" ca="1" si="1"/>
        <v>#N/A</v>
      </c>
      <c r="N27" s="77" t="e">
        <f ca="1">VLOOKUP($B27,Matrix!$H$13:$I$37,2,FALSE)&amp;"_"&amp;C27</f>
        <v>#N/A</v>
      </c>
      <c r="O27" s="90" t="e">
        <f t="shared" ca="1" si="0"/>
        <v>#N/A</v>
      </c>
    </row>
    <row r="28" spans="2:15">
      <c r="B28" s="23"/>
      <c r="C28" s="22"/>
      <c r="D28" s="84"/>
      <c r="E28" s="23"/>
      <c r="F28" s="85"/>
      <c r="G28" s="23"/>
      <c r="H28" s="85"/>
      <c r="I28" s="23"/>
      <c r="J28" s="85"/>
      <c r="K28" s="23"/>
      <c r="L28" s="85"/>
      <c r="M28" s="25" t="e">
        <f t="shared" ca="1" si="1"/>
        <v>#N/A</v>
      </c>
      <c r="N28" s="77" t="e">
        <f ca="1">VLOOKUP($B28,Matrix!$H$13:$I$37,2,FALSE)&amp;"_"&amp;C28</f>
        <v>#N/A</v>
      </c>
      <c r="O28" s="90" t="e">
        <f t="shared" ca="1" si="0"/>
        <v>#N/A</v>
      </c>
    </row>
    <row r="29" spans="2:15">
      <c r="B29" s="23"/>
      <c r="C29" s="22"/>
      <c r="D29" s="84"/>
      <c r="E29" s="23"/>
      <c r="F29" s="85"/>
      <c r="G29" s="23"/>
      <c r="H29" s="85"/>
      <c r="I29" s="23"/>
      <c r="J29" s="85"/>
      <c r="K29" s="23"/>
      <c r="L29" s="85"/>
      <c r="M29" s="25" t="e">
        <f t="shared" ca="1" si="1"/>
        <v>#N/A</v>
      </c>
      <c r="N29" s="77" t="e">
        <f ca="1">VLOOKUP($B29,Matrix!$H$13:$I$37,2,FALSE)&amp;"_"&amp;C29</f>
        <v>#N/A</v>
      </c>
      <c r="O29" s="90" t="e">
        <f t="shared" ca="1" si="0"/>
        <v>#N/A</v>
      </c>
    </row>
    <row r="30" spans="2:15">
      <c r="B30" s="23"/>
      <c r="C30" s="22"/>
      <c r="D30" s="84"/>
      <c r="E30" s="23"/>
      <c r="F30" s="85"/>
      <c r="G30" s="23"/>
      <c r="H30" s="85"/>
      <c r="I30" s="23"/>
      <c r="J30" s="85"/>
      <c r="K30" s="23"/>
      <c r="L30" s="85"/>
      <c r="M30" s="25" t="e">
        <f t="shared" ca="1" si="1"/>
        <v>#N/A</v>
      </c>
      <c r="N30" s="77" t="e">
        <f ca="1">VLOOKUP($B30,Matrix!$H$13:$I$37,2,FALSE)&amp;"_"&amp;C30</f>
        <v>#N/A</v>
      </c>
      <c r="O30" s="90" t="e">
        <f t="shared" ca="1" si="0"/>
        <v>#N/A</v>
      </c>
    </row>
    <row r="31" spans="2:15">
      <c r="B31" s="23"/>
      <c r="C31" s="22"/>
      <c r="D31" s="84"/>
      <c r="E31" s="23"/>
      <c r="F31" s="85"/>
      <c r="G31" s="23"/>
      <c r="H31" s="85"/>
      <c r="I31" s="23"/>
      <c r="J31" s="85"/>
      <c r="K31" s="23"/>
      <c r="L31" s="85"/>
      <c r="M31" s="25" t="e">
        <f t="shared" ca="1" si="1"/>
        <v>#N/A</v>
      </c>
      <c r="N31" s="77" t="e">
        <f ca="1">VLOOKUP($B31,Matrix!$H$13:$I$37,2,FALSE)&amp;"_"&amp;C31</f>
        <v>#N/A</v>
      </c>
      <c r="O31" s="90" t="e">
        <f t="shared" ca="1" si="0"/>
        <v>#N/A</v>
      </c>
    </row>
    <row r="32" spans="2:15">
      <c r="B32" s="23"/>
      <c r="C32" s="22"/>
      <c r="D32" s="84"/>
      <c r="E32" s="23"/>
      <c r="F32" s="85"/>
      <c r="G32" s="23"/>
      <c r="H32" s="85"/>
      <c r="I32" s="23"/>
      <c r="J32" s="85"/>
      <c r="K32" s="23"/>
      <c r="L32" s="85"/>
      <c r="M32" s="25" t="e">
        <f t="shared" ca="1" si="1"/>
        <v>#N/A</v>
      </c>
      <c r="N32" s="77" t="e">
        <f ca="1">VLOOKUP($B32,Matrix!$H$13:$I$37,2,FALSE)&amp;"_"&amp;C32</f>
        <v>#N/A</v>
      </c>
      <c r="O32" s="90" t="e">
        <f t="shared" ca="1" si="0"/>
        <v>#N/A</v>
      </c>
    </row>
    <row r="33" spans="2:15">
      <c r="B33" s="23"/>
      <c r="C33" s="22"/>
      <c r="D33" s="84"/>
      <c r="E33" s="23"/>
      <c r="F33" s="85"/>
      <c r="G33" s="23"/>
      <c r="H33" s="85"/>
      <c r="I33" s="23"/>
      <c r="J33" s="85"/>
      <c r="K33" s="23"/>
      <c r="L33" s="85"/>
      <c r="M33" s="25" t="e">
        <f t="shared" ca="1" si="1"/>
        <v>#N/A</v>
      </c>
      <c r="N33" s="77" t="e">
        <f ca="1">VLOOKUP($B33,Matrix!$H$13:$I$37,2,FALSE)&amp;"_"&amp;C33</f>
        <v>#N/A</v>
      </c>
      <c r="O33" s="90" t="e">
        <f t="shared" ca="1" si="0"/>
        <v>#N/A</v>
      </c>
    </row>
    <row r="34" spans="2:15">
      <c r="B34" s="23"/>
      <c r="C34" s="22"/>
      <c r="D34" s="84"/>
      <c r="E34" s="23"/>
      <c r="F34" s="85"/>
      <c r="G34" s="23"/>
      <c r="H34" s="85"/>
      <c r="I34" s="23"/>
      <c r="J34" s="85"/>
      <c r="K34" s="23"/>
      <c r="L34" s="85"/>
      <c r="M34" s="25" t="e">
        <f t="shared" ca="1" si="1"/>
        <v>#N/A</v>
      </c>
      <c r="N34" s="77" t="e">
        <f ca="1">VLOOKUP($B34,Matrix!$H$13:$I$37,2,FALSE)&amp;"_"&amp;C34</f>
        <v>#N/A</v>
      </c>
      <c r="O34" s="90" t="e">
        <f t="shared" ca="1" si="0"/>
        <v>#N/A</v>
      </c>
    </row>
    <row r="35" spans="2:15">
      <c r="B35" s="23"/>
      <c r="C35" s="22"/>
      <c r="D35" s="84"/>
      <c r="E35" s="23"/>
      <c r="F35" s="85"/>
      <c r="G35" s="23"/>
      <c r="H35" s="85"/>
      <c r="I35" s="23"/>
      <c r="J35" s="85"/>
      <c r="K35" s="23"/>
      <c r="L35" s="85"/>
      <c r="M35" s="25" t="e">
        <f t="shared" ca="1" si="1"/>
        <v>#N/A</v>
      </c>
      <c r="N35" s="77" t="e">
        <f ca="1">VLOOKUP($B35,Matrix!$H$13:$I$37,2,FALSE)&amp;"_"&amp;C35</f>
        <v>#N/A</v>
      </c>
      <c r="O35" s="90" t="e">
        <f t="shared" ca="1" si="0"/>
        <v>#N/A</v>
      </c>
    </row>
    <row r="36" spans="2:15">
      <c r="B36" s="23"/>
      <c r="C36" s="22"/>
      <c r="D36" s="84"/>
      <c r="E36" s="23"/>
      <c r="F36" s="85"/>
      <c r="G36" s="23"/>
      <c r="H36" s="85"/>
      <c r="I36" s="23"/>
      <c r="J36" s="85"/>
      <c r="K36" s="23"/>
      <c r="L36" s="85"/>
      <c r="M36" s="25" t="e">
        <f t="shared" ca="1" si="1"/>
        <v>#N/A</v>
      </c>
      <c r="N36" s="77" t="e">
        <f ca="1">VLOOKUP($B36,Matrix!$H$13:$I$37,2,FALSE)&amp;"_"&amp;C36</f>
        <v>#N/A</v>
      </c>
      <c r="O36" s="90" t="e">
        <f t="shared" ref="O36:O67" ca="1" si="2">"#define "&amp;N36&amp;REPT(" ",48-M36)&amp;"("&amp;D36&amp;"U)"</f>
        <v>#N/A</v>
      </c>
    </row>
    <row r="37" spans="2:15">
      <c r="B37" s="23"/>
      <c r="C37" s="22"/>
      <c r="D37" s="84"/>
      <c r="E37" s="23"/>
      <c r="F37" s="85"/>
      <c r="G37" s="23"/>
      <c r="H37" s="85"/>
      <c r="I37" s="23"/>
      <c r="J37" s="85"/>
      <c r="K37" s="23"/>
      <c r="L37" s="85"/>
      <c r="M37" s="25" t="e">
        <f t="shared" ca="1" si="1"/>
        <v>#N/A</v>
      </c>
      <c r="N37" s="77" t="e">
        <f ca="1">VLOOKUP($B37,Matrix!$H$13:$I$37,2,FALSE)&amp;"_"&amp;C37</f>
        <v>#N/A</v>
      </c>
      <c r="O37" s="90" t="e">
        <f t="shared" ca="1" si="2"/>
        <v>#N/A</v>
      </c>
    </row>
    <row r="38" spans="2:15">
      <c r="B38" s="23"/>
      <c r="C38" s="22"/>
      <c r="D38" s="84"/>
      <c r="E38" s="23"/>
      <c r="F38" s="85"/>
      <c r="G38" s="23"/>
      <c r="H38" s="85"/>
      <c r="I38" s="23"/>
      <c r="J38" s="85"/>
      <c r="K38" s="23"/>
      <c r="L38" s="85"/>
      <c r="M38" s="25" t="e">
        <f t="shared" ca="1" si="1"/>
        <v>#N/A</v>
      </c>
      <c r="N38" s="77" t="e">
        <f ca="1">VLOOKUP($B38,Matrix!$H$13:$I$37,2,FALSE)&amp;"_"&amp;C38</f>
        <v>#N/A</v>
      </c>
      <c r="O38" s="90" t="e">
        <f t="shared" ca="1" si="2"/>
        <v>#N/A</v>
      </c>
    </row>
    <row r="39" spans="2:15">
      <c r="B39" s="23"/>
      <c r="C39" s="22"/>
      <c r="D39" s="84"/>
      <c r="E39" s="23"/>
      <c r="F39" s="85"/>
      <c r="G39" s="23"/>
      <c r="H39" s="85"/>
      <c r="I39" s="23"/>
      <c r="J39" s="85"/>
      <c r="K39" s="23"/>
      <c r="L39" s="85"/>
      <c r="M39" s="25" t="e">
        <f t="shared" ca="1" si="1"/>
        <v>#N/A</v>
      </c>
      <c r="N39" s="77" t="e">
        <f ca="1">VLOOKUP($B39,Matrix!$H$13:$I$37,2,FALSE)&amp;"_"&amp;C39</f>
        <v>#N/A</v>
      </c>
      <c r="O39" s="90" t="e">
        <f t="shared" ca="1" si="2"/>
        <v>#N/A</v>
      </c>
    </row>
    <row r="40" spans="2:15">
      <c r="B40" s="23"/>
      <c r="C40" s="22"/>
      <c r="D40" s="84"/>
      <c r="E40" s="23"/>
      <c r="F40" s="85"/>
      <c r="G40" s="23"/>
      <c r="H40" s="85"/>
      <c r="I40" s="23"/>
      <c r="J40" s="85"/>
      <c r="K40" s="23"/>
      <c r="L40" s="85"/>
      <c r="M40" s="25" t="e">
        <f t="shared" ca="1" si="1"/>
        <v>#N/A</v>
      </c>
      <c r="N40" s="77" t="e">
        <f ca="1">VLOOKUP($B40,Matrix!$H$13:$I$37,2,FALSE)&amp;"_"&amp;C40</f>
        <v>#N/A</v>
      </c>
      <c r="O40" s="90" t="e">
        <f t="shared" ca="1" si="2"/>
        <v>#N/A</v>
      </c>
    </row>
    <row r="41" spans="2:15">
      <c r="B41" s="23"/>
      <c r="C41" s="22"/>
      <c r="D41" s="84"/>
      <c r="E41" s="23"/>
      <c r="F41" s="85"/>
      <c r="G41" s="23"/>
      <c r="H41" s="85"/>
      <c r="I41" s="23"/>
      <c r="J41" s="85"/>
      <c r="K41" s="23"/>
      <c r="L41" s="85"/>
      <c r="M41" s="25" t="e">
        <f t="shared" ca="1" si="1"/>
        <v>#N/A</v>
      </c>
      <c r="N41" s="77" t="e">
        <f ca="1">VLOOKUP($B41,Matrix!$H$13:$I$37,2,FALSE)&amp;"_"&amp;C41</f>
        <v>#N/A</v>
      </c>
      <c r="O41" s="90" t="e">
        <f t="shared" ca="1" si="2"/>
        <v>#N/A</v>
      </c>
    </row>
    <row r="42" spans="2:15">
      <c r="B42" s="23"/>
      <c r="C42" s="22"/>
      <c r="D42" s="84"/>
      <c r="E42" s="23"/>
      <c r="F42" s="85"/>
      <c r="G42" s="23"/>
      <c r="H42" s="85"/>
      <c r="I42" s="23"/>
      <c r="J42" s="85"/>
      <c r="K42" s="23"/>
      <c r="L42" s="85"/>
      <c r="M42" s="25" t="e">
        <f t="shared" ca="1" si="1"/>
        <v>#N/A</v>
      </c>
      <c r="N42" s="77" t="e">
        <f ca="1">VLOOKUP($B42,Matrix!$H$13:$I$37,2,FALSE)&amp;"_"&amp;C42</f>
        <v>#N/A</v>
      </c>
      <c r="O42" s="90" t="e">
        <f t="shared" ca="1" si="2"/>
        <v>#N/A</v>
      </c>
    </row>
    <row r="43" spans="2:15">
      <c r="B43" s="23"/>
      <c r="C43" s="22"/>
      <c r="D43" s="84"/>
      <c r="E43" s="23"/>
      <c r="F43" s="85"/>
      <c r="G43" s="23"/>
      <c r="H43" s="85"/>
      <c r="I43" s="23"/>
      <c r="J43" s="85"/>
      <c r="K43" s="23"/>
      <c r="L43" s="85"/>
      <c r="M43" s="25" t="e">
        <f t="shared" ca="1" si="1"/>
        <v>#N/A</v>
      </c>
      <c r="N43" s="77" t="e">
        <f ca="1">VLOOKUP($B43,Matrix!$H$13:$I$37,2,FALSE)&amp;"_"&amp;C43</f>
        <v>#N/A</v>
      </c>
      <c r="O43" s="90" t="e">
        <f t="shared" ca="1" si="2"/>
        <v>#N/A</v>
      </c>
    </row>
    <row r="44" spans="2:15">
      <c r="B44" s="23"/>
      <c r="C44" s="22"/>
      <c r="D44" s="84"/>
      <c r="E44" s="23"/>
      <c r="F44" s="85"/>
      <c r="G44" s="23"/>
      <c r="H44" s="85"/>
      <c r="I44" s="23"/>
      <c r="J44" s="85"/>
      <c r="K44" s="23"/>
      <c r="L44" s="85"/>
      <c r="M44" s="25" t="e">
        <f t="shared" ca="1" si="1"/>
        <v>#N/A</v>
      </c>
      <c r="N44" s="77" t="e">
        <f ca="1">VLOOKUP($B44,Matrix!$H$13:$I$37,2,FALSE)&amp;"_"&amp;C44</f>
        <v>#N/A</v>
      </c>
      <c r="O44" s="90" t="e">
        <f t="shared" ca="1" si="2"/>
        <v>#N/A</v>
      </c>
    </row>
    <row r="45" spans="2:15">
      <c r="B45" s="23"/>
      <c r="C45" s="22"/>
      <c r="D45" s="84"/>
      <c r="E45" s="23"/>
      <c r="F45" s="85"/>
      <c r="G45" s="23"/>
      <c r="H45" s="85"/>
      <c r="I45" s="23"/>
      <c r="J45" s="85"/>
      <c r="K45" s="23"/>
      <c r="L45" s="85"/>
      <c r="M45" s="25" t="e">
        <f t="shared" ca="1" si="1"/>
        <v>#N/A</v>
      </c>
      <c r="N45" s="77" t="e">
        <f ca="1">VLOOKUP($B45,Matrix!$H$13:$I$37,2,FALSE)&amp;"_"&amp;C45</f>
        <v>#N/A</v>
      </c>
      <c r="O45" s="90" t="e">
        <f t="shared" ca="1" si="2"/>
        <v>#N/A</v>
      </c>
    </row>
    <row r="46" spans="2:15">
      <c r="B46" s="23"/>
      <c r="C46" s="22"/>
      <c r="D46" s="84"/>
      <c r="E46" s="23"/>
      <c r="F46" s="85"/>
      <c r="G46" s="23"/>
      <c r="H46" s="85"/>
      <c r="I46" s="23"/>
      <c r="J46" s="85"/>
      <c r="K46" s="23"/>
      <c r="L46" s="85"/>
      <c r="M46" s="25" t="e">
        <f t="shared" ca="1" si="1"/>
        <v>#N/A</v>
      </c>
      <c r="N46" s="77" t="e">
        <f ca="1">VLOOKUP($B46,Matrix!$H$13:$I$37,2,FALSE)&amp;"_"&amp;C46</f>
        <v>#N/A</v>
      </c>
      <c r="O46" s="90" t="e">
        <f t="shared" ca="1" si="2"/>
        <v>#N/A</v>
      </c>
    </row>
    <row r="47" spans="2:15">
      <c r="B47" s="23"/>
      <c r="C47" s="22"/>
      <c r="D47" s="84"/>
      <c r="E47" s="23"/>
      <c r="F47" s="85"/>
      <c r="G47" s="23"/>
      <c r="H47" s="85"/>
      <c r="I47" s="23"/>
      <c r="J47" s="85"/>
      <c r="K47" s="23"/>
      <c r="L47" s="85"/>
      <c r="M47" s="25" t="e">
        <f t="shared" ca="1" si="1"/>
        <v>#N/A</v>
      </c>
      <c r="N47" s="77" t="e">
        <f ca="1">VLOOKUP($B47,Matrix!$H$13:$I$37,2,FALSE)&amp;"_"&amp;C47</f>
        <v>#N/A</v>
      </c>
      <c r="O47" s="90" t="e">
        <f t="shared" ca="1" si="2"/>
        <v>#N/A</v>
      </c>
    </row>
    <row r="48" spans="2:15">
      <c r="B48" s="23"/>
      <c r="C48" s="22"/>
      <c r="D48" s="84"/>
      <c r="E48" s="23"/>
      <c r="F48" s="85"/>
      <c r="G48" s="23"/>
      <c r="H48" s="85"/>
      <c r="I48" s="23"/>
      <c r="J48" s="85"/>
      <c r="K48" s="23"/>
      <c r="L48" s="85"/>
      <c r="M48" s="25" t="e">
        <f t="shared" ca="1" si="1"/>
        <v>#N/A</v>
      </c>
      <c r="N48" s="77" t="e">
        <f ca="1">VLOOKUP($B48,Matrix!$H$13:$I$37,2,FALSE)&amp;"_"&amp;C48</f>
        <v>#N/A</v>
      </c>
      <c r="O48" s="90" t="e">
        <f t="shared" ca="1" si="2"/>
        <v>#N/A</v>
      </c>
    </row>
    <row r="49" spans="2:15">
      <c r="B49" s="23"/>
      <c r="C49" s="22"/>
      <c r="D49" s="84"/>
      <c r="E49" s="23"/>
      <c r="F49" s="85"/>
      <c r="G49" s="23"/>
      <c r="H49" s="85"/>
      <c r="I49" s="23"/>
      <c r="J49" s="85"/>
      <c r="K49" s="23"/>
      <c r="L49" s="85"/>
      <c r="M49" s="25" t="e">
        <f t="shared" ca="1" si="1"/>
        <v>#N/A</v>
      </c>
      <c r="N49" s="77" t="e">
        <f ca="1">VLOOKUP($B49,Matrix!$H$13:$I$37,2,FALSE)&amp;"_"&amp;C49</f>
        <v>#N/A</v>
      </c>
      <c r="O49" s="90" t="e">
        <f t="shared" ca="1" si="2"/>
        <v>#N/A</v>
      </c>
    </row>
    <row r="50" spans="2:15">
      <c r="B50" s="23"/>
      <c r="C50" s="22"/>
      <c r="D50" s="84"/>
      <c r="E50" s="23"/>
      <c r="F50" s="85"/>
      <c r="G50" s="23"/>
      <c r="H50" s="85"/>
      <c r="I50" s="23"/>
      <c r="J50" s="85"/>
      <c r="K50" s="23"/>
      <c r="L50" s="85"/>
      <c r="M50" s="25" t="e">
        <f t="shared" ca="1" si="1"/>
        <v>#N/A</v>
      </c>
      <c r="N50" s="77" t="e">
        <f ca="1">VLOOKUP($B50,Matrix!$H$13:$I$37,2,FALSE)&amp;"_"&amp;C50</f>
        <v>#N/A</v>
      </c>
      <c r="O50" s="90" t="e">
        <f t="shared" ca="1" si="2"/>
        <v>#N/A</v>
      </c>
    </row>
    <row r="51" spans="2:15">
      <c r="B51" s="23"/>
      <c r="C51" s="22"/>
      <c r="D51" s="84"/>
      <c r="E51" s="23"/>
      <c r="F51" s="85"/>
      <c r="G51" s="23"/>
      <c r="H51" s="85"/>
      <c r="I51" s="23"/>
      <c r="J51" s="85"/>
      <c r="K51" s="23"/>
      <c r="L51" s="85"/>
      <c r="M51" s="25" t="e">
        <f t="shared" ca="1" si="1"/>
        <v>#N/A</v>
      </c>
      <c r="N51" s="77" t="e">
        <f ca="1">VLOOKUP($B51,Matrix!$H$13:$I$37,2,FALSE)&amp;"_"&amp;C51</f>
        <v>#N/A</v>
      </c>
      <c r="O51" s="90" t="e">
        <f t="shared" ca="1" si="2"/>
        <v>#N/A</v>
      </c>
    </row>
    <row r="52" spans="2:15">
      <c r="B52" s="23"/>
      <c r="C52" s="22"/>
      <c r="D52" s="84"/>
      <c r="E52" s="23"/>
      <c r="F52" s="85"/>
      <c r="G52" s="23"/>
      <c r="H52" s="85"/>
      <c r="I52" s="23"/>
      <c r="J52" s="85"/>
      <c r="K52" s="23"/>
      <c r="L52" s="85"/>
      <c r="M52" s="25" t="e">
        <f t="shared" ca="1" si="1"/>
        <v>#N/A</v>
      </c>
      <c r="N52" s="77" t="e">
        <f ca="1">VLOOKUP($B52,Matrix!$H$13:$I$37,2,FALSE)&amp;"_"&amp;C52</f>
        <v>#N/A</v>
      </c>
      <c r="O52" s="90" t="e">
        <f t="shared" ca="1" si="2"/>
        <v>#N/A</v>
      </c>
    </row>
    <row r="53" spans="2:15">
      <c r="B53" s="23"/>
      <c r="C53" s="22"/>
      <c r="D53" s="84"/>
      <c r="E53" s="23"/>
      <c r="F53" s="85"/>
      <c r="G53" s="23"/>
      <c r="H53" s="85"/>
      <c r="I53" s="23"/>
      <c r="J53" s="85"/>
      <c r="K53" s="23"/>
      <c r="L53" s="85"/>
      <c r="M53" s="25" t="e">
        <f t="shared" ca="1" si="1"/>
        <v>#N/A</v>
      </c>
      <c r="N53" s="77" t="e">
        <f ca="1">VLOOKUP($B53,Matrix!$H$13:$I$37,2,FALSE)&amp;"_"&amp;C53</f>
        <v>#N/A</v>
      </c>
      <c r="O53" s="90" t="e">
        <f t="shared" ca="1" si="2"/>
        <v>#N/A</v>
      </c>
    </row>
    <row r="54" spans="2:15">
      <c r="B54" s="23"/>
      <c r="C54" s="22"/>
      <c r="D54" s="84"/>
      <c r="E54" s="23"/>
      <c r="F54" s="85"/>
      <c r="G54" s="23"/>
      <c r="H54" s="85"/>
      <c r="I54" s="23"/>
      <c r="J54" s="85"/>
      <c r="K54" s="23"/>
      <c r="L54" s="85"/>
      <c r="M54" s="25" t="e">
        <f t="shared" ca="1" si="1"/>
        <v>#N/A</v>
      </c>
      <c r="N54" s="77" t="e">
        <f ca="1">VLOOKUP($B54,Matrix!$H$13:$I$37,2,FALSE)&amp;"_"&amp;C54</f>
        <v>#N/A</v>
      </c>
      <c r="O54" s="90" t="e">
        <f t="shared" ca="1" si="2"/>
        <v>#N/A</v>
      </c>
    </row>
    <row r="55" spans="2:15">
      <c r="B55" s="23"/>
      <c r="C55" s="22"/>
      <c r="D55" s="84"/>
      <c r="E55" s="23"/>
      <c r="F55" s="85"/>
      <c r="G55" s="23"/>
      <c r="H55" s="85"/>
      <c r="I55" s="23"/>
      <c r="J55" s="85"/>
      <c r="K55" s="23"/>
      <c r="L55" s="85"/>
      <c r="M55" s="25" t="e">
        <f t="shared" ca="1" si="1"/>
        <v>#N/A</v>
      </c>
      <c r="N55" s="77" t="e">
        <f ca="1">VLOOKUP($B55,Matrix!$H$13:$I$37,2,FALSE)&amp;"_"&amp;C55</f>
        <v>#N/A</v>
      </c>
      <c r="O55" s="90" t="e">
        <f t="shared" ca="1" si="2"/>
        <v>#N/A</v>
      </c>
    </row>
    <row r="56" spans="2:15">
      <c r="B56" s="23"/>
      <c r="C56" s="22"/>
      <c r="D56" s="84"/>
      <c r="E56" s="23"/>
      <c r="F56" s="85"/>
      <c r="G56" s="23"/>
      <c r="H56" s="85"/>
      <c r="I56" s="23"/>
      <c r="J56" s="85"/>
      <c r="K56" s="23"/>
      <c r="L56" s="85"/>
      <c r="M56" s="25" t="e">
        <f t="shared" ca="1" si="1"/>
        <v>#N/A</v>
      </c>
      <c r="N56" s="77" t="e">
        <f ca="1">VLOOKUP($B56,Matrix!$H$13:$I$37,2,FALSE)&amp;"_"&amp;C56</f>
        <v>#N/A</v>
      </c>
      <c r="O56" s="90" t="e">
        <f t="shared" ca="1" si="2"/>
        <v>#N/A</v>
      </c>
    </row>
    <row r="57" spans="2:15">
      <c r="B57" s="23"/>
      <c r="C57" s="22"/>
      <c r="D57" s="84"/>
      <c r="E57" s="23"/>
      <c r="F57" s="85"/>
      <c r="G57" s="23"/>
      <c r="H57" s="85"/>
      <c r="I57" s="23"/>
      <c r="J57" s="85"/>
      <c r="K57" s="23"/>
      <c r="L57" s="85"/>
      <c r="M57" s="25" t="e">
        <f t="shared" ca="1" si="1"/>
        <v>#N/A</v>
      </c>
      <c r="N57" s="77" t="e">
        <f ca="1">VLOOKUP($B57,Matrix!$H$13:$I$37,2,FALSE)&amp;"_"&amp;C57</f>
        <v>#N/A</v>
      </c>
      <c r="O57" s="90" t="e">
        <f t="shared" ca="1" si="2"/>
        <v>#N/A</v>
      </c>
    </row>
    <row r="58" spans="2:15">
      <c r="B58" s="23"/>
      <c r="C58" s="22"/>
      <c r="D58" s="84"/>
      <c r="E58" s="23"/>
      <c r="F58" s="85"/>
      <c r="G58" s="23"/>
      <c r="H58" s="85"/>
      <c r="I58" s="23"/>
      <c r="J58" s="85"/>
      <c r="K58" s="23"/>
      <c r="L58" s="85"/>
      <c r="M58" s="25" t="e">
        <f t="shared" ca="1" si="1"/>
        <v>#N/A</v>
      </c>
      <c r="N58" s="77" t="e">
        <f ca="1">VLOOKUP($B58,Matrix!$H$13:$I$37,2,FALSE)&amp;"_"&amp;C58</f>
        <v>#N/A</v>
      </c>
      <c r="O58" s="90" t="e">
        <f t="shared" ca="1" si="2"/>
        <v>#N/A</v>
      </c>
    </row>
    <row r="59" spans="2:15">
      <c r="B59" s="23"/>
      <c r="C59" s="22"/>
      <c r="D59" s="84"/>
      <c r="E59" s="23"/>
      <c r="F59" s="85"/>
      <c r="G59" s="23"/>
      <c r="H59" s="85"/>
      <c r="I59" s="23"/>
      <c r="J59" s="85"/>
      <c r="K59" s="23"/>
      <c r="L59" s="85"/>
      <c r="M59" s="25" t="e">
        <f t="shared" ca="1" si="1"/>
        <v>#N/A</v>
      </c>
      <c r="N59" s="77" t="e">
        <f ca="1">VLOOKUP($B59,Matrix!$H$13:$I$37,2,FALSE)&amp;"_"&amp;C59</f>
        <v>#N/A</v>
      </c>
      <c r="O59" s="90" t="e">
        <f t="shared" ca="1" si="2"/>
        <v>#N/A</v>
      </c>
    </row>
    <row r="60" spans="2:15">
      <c r="B60" s="23"/>
      <c r="C60" s="22"/>
      <c r="D60" s="84"/>
      <c r="E60" s="23"/>
      <c r="F60" s="85"/>
      <c r="G60" s="23"/>
      <c r="H60" s="85"/>
      <c r="I60" s="23"/>
      <c r="J60" s="85"/>
      <c r="K60" s="23"/>
      <c r="L60" s="85"/>
      <c r="M60" s="25" t="e">
        <f t="shared" ca="1" si="1"/>
        <v>#N/A</v>
      </c>
      <c r="N60" s="77" t="e">
        <f ca="1">VLOOKUP($B60,Matrix!$H$13:$I$37,2,FALSE)&amp;"_"&amp;C60</f>
        <v>#N/A</v>
      </c>
      <c r="O60" s="90" t="e">
        <f t="shared" ca="1" si="2"/>
        <v>#N/A</v>
      </c>
    </row>
    <row r="61" spans="2:15">
      <c r="B61" s="23"/>
      <c r="C61" s="22"/>
      <c r="D61" s="84"/>
      <c r="E61" s="23"/>
      <c r="F61" s="85"/>
      <c r="G61" s="23"/>
      <c r="H61" s="85"/>
      <c r="I61" s="23"/>
      <c r="J61" s="85"/>
      <c r="K61" s="23"/>
      <c r="L61" s="85"/>
      <c r="M61" s="25" t="e">
        <f t="shared" ca="1" si="1"/>
        <v>#N/A</v>
      </c>
      <c r="N61" s="77" t="e">
        <f ca="1">VLOOKUP($B61,Matrix!$H$13:$I$37,2,FALSE)&amp;"_"&amp;C61</f>
        <v>#N/A</v>
      </c>
      <c r="O61" s="90" t="e">
        <f t="shared" ca="1" si="2"/>
        <v>#N/A</v>
      </c>
    </row>
    <row r="62" spans="2:15">
      <c r="B62" s="23"/>
      <c r="C62" s="22"/>
      <c r="D62" s="84"/>
      <c r="E62" s="23"/>
      <c r="F62" s="85"/>
      <c r="G62" s="23"/>
      <c r="H62" s="85"/>
      <c r="I62" s="23"/>
      <c r="J62" s="85"/>
      <c r="K62" s="23"/>
      <c r="L62" s="85"/>
      <c r="M62" s="25" t="e">
        <f t="shared" ca="1" si="1"/>
        <v>#N/A</v>
      </c>
      <c r="N62" s="77" t="e">
        <f ca="1">VLOOKUP($B62,Matrix!$H$13:$I$37,2,FALSE)&amp;"_"&amp;C62</f>
        <v>#N/A</v>
      </c>
      <c r="O62" s="90" t="e">
        <f t="shared" ca="1" si="2"/>
        <v>#N/A</v>
      </c>
    </row>
    <row r="63" spans="2:15">
      <c r="B63" s="23"/>
      <c r="C63" s="22"/>
      <c r="D63" s="84"/>
      <c r="E63" s="23"/>
      <c r="F63" s="85"/>
      <c r="G63" s="23"/>
      <c r="H63" s="85"/>
      <c r="I63" s="23"/>
      <c r="J63" s="85"/>
      <c r="K63" s="23"/>
      <c r="L63" s="85"/>
      <c r="M63" s="25" t="e">
        <f t="shared" ca="1" si="1"/>
        <v>#N/A</v>
      </c>
      <c r="N63" s="77" t="e">
        <f ca="1">VLOOKUP($B63,Matrix!$H$13:$I$37,2,FALSE)&amp;"_"&amp;C63</f>
        <v>#N/A</v>
      </c>
      <c r="O63" s="90" t="e">
        <f t="shared" ca="1" si="2"/>
        <v>#N/A</v>
      </c>
    </row>
    <row r="64" spans="2:15">
      <c r="B64" s="23"/>
      <c r="C64" s="22"/>
      <c r="D64" s="84"/>
      <c r="E64" s="23"/>
      <c r="F64" s="85"/>
      <c r="G64" s="23"/>
      <c r="H64" s="85"/>
      <c r="I64" s="23"/>
      <c r="J64" s="85"/>
      <c r="K64" s="23"/>
      <c r="L64" s="85"/>
      <c r="M64" s="25" t="e">
        <f t="shared" ca="1" si="1"/>
        <v>#N/A</v>
      </c>
      <c r="N64" s="77" t="e">
        <f ca="1">VLOOKUP($B64,Matrix!$H$13:$I$37,2,FALSE)&amp;"_"&amp;C64</f>
        <v>#N/A</v>
      </c>
      <c r="O64" s="90" t="e">
        <f t="shared" ca="1" si="2"/>
        <v>#N/A</v>
      </c>
    </row>
    <row r="65" spans="2:15">
      <c r="B65" s="23"/>
      <c r="C65" s="22"/>
      <c r="D65" s="84"/>
      <c r="E65" s="23"/>
      <c r="F65" s="85"/>
      <c r="G65" s="23"/>
      <c r="H65" s="85"/>
      <c r="I65" s="23"/>
      <c r="J65" s="85"/>
      <c r="K65" s="23"/>
      <c r="L65" s="85"/>
      <c r="M65" s="25" t="e">
        <f t="shared" ca="1" si="1"/>
        <v>#N/A</v>
      </c>
      <c r="N65" s="77" t="e">
        <f ca="1">VLOOKUP($B65,Matrix!$H$13:$I$37,2,FALSE)&amp;"_"&amp;C65</f>
        <v>#N/A</v>
      </c>
      <c r="O65" s="90" t="e">
        <f t="shared" ca="1" si="2"/>
        <v>#N/A</v>
      </c>
    </row>
    <row r="66" spans="2:15">
      <c r="B66" s="23"/>
      <c r="C66" s="22"/>
      <c r="D66" s="84"/>
      <c r="E66" s="23"/>
      <c r="F66" s="85"/>
      <c r="G66" s="23"/>
      <c r="H66" s="85"/>
      <c r="I66" s="23"/>
      <c r="J66" s="85"/>
      <c r="K66" s="23"/>
      <c r="L66" s="85"/>
      <c r="M66" s="25" t="e">
        <f t="shared" ca="1" si="1"/>
        <v>#N/A</v>
      </c>
      <c r="N66" s="77" t="e">
        <f ca="1">VLOOKUP($B66,Matrix!$H$13:$I$37,2,FALSE)&amp;"_"&amp;C66</f>
        <v>#N/A</v>
      </c>
      <c r="O66" s="90" t="e">
        <f t="shared" ca="1" si="2"/>
        <v>#N/A</v>
      </c>
    </row>
    <row r="67" spans="2:15">
      <c r="B67" s="23"/>
      <c r="C67" s="22"/>
      <c r="D67" s="84"/>
      <c r="E67" s="23"/>
      <c r="F67" s="85"/>
      <c r="G67" s="23"/>
      <c r="H67" s="85"/>
      <c r="I67" s="23"/>
      <c r="J67" s="85"/>
      <c r="K67" s="23"/>
      <c r="L67" s="85"/>
      <c r="M67" s="25" t="e">
        <f t="shared" ca="1" si="1"/>
        <v>#N/A</v>
      </c>
      <c r="N67" s="77" t="e">
        <f ca="1">VLOOKUP($B67,Matrix!$H$13:$I$37,2,FALSE)&amp;"_"&amp;C67</f>
        <v>#N/A</v>
      </c>
      <c r="O67" s="90" t="e">
        <f t="shared" ca="1" si="2"/>
        <v>#N/A</v>
      </c>
    </row>
    <row r="68" spans="2:15">
      <c r="B68" s="23"/>
      <c r="C68" s="22"/>
      <c r="D68" s="84"/>
      <c r="E68" s="23"/>
      <c r="F68" s="85"/>
      <c r="G68" s="23"/>
      <c r="H68" s="85"/>
      <c r="I68" s="23"/>
      <c r="J68" s="85"/>
      <c r="K68" s="23"/>
      <c r="L68" s="85"/>
      <c r="M68" s="25" t="e">
        <f t="shared" ca="1" si="1"/>
        <v>#N/A</v>
      </c>
      <c r="N68" s="77" t="e">
        <f ca="1">VLOOKUP($B68,Matrix!$H$13:$I$37,2,FALSE)&amp;"_"&amp;C68</f>
        <v>#N/A</v>
      </c>
      <c r="O68" s="90" t="e">
        <f t="shared" ref="O68:O99" ca="1" si="3">"#define "&amp;N68&amp;REPT(" ",48-M68)&amp;"("&amp;D68&amp;"U)"</f>
        <v>#N/A</v>
      </c>
    </row>
    <row r="69" spans="2:15">
      <c r="B69" s="23"/>
      <c r="C69" s="22"/>
      <c r="D69" s="84"/>
      <c r="E69" s="23"/>
      <c r="F69" s="85"/>
      <c r="G69" s="23"/>
      <c r="H69" s="85"/>
      <c r="I69" s="23"/>
      <c r="J69" s="85"/>
      <c r="K69" s="23"/>
      <c r="L69" s="85"/>
      <c r="M69" s="25" t="e">
        <f t="shared" ref="M69:M103" ca="1" si="4">LEN(N69)</f>
        <v>#N/A</v>
      </c>
      <c r="N69" s="77" t="e">
        <f ca="1">VLOOKUP($B69,Matrix!$H$13:$I$37,2,FALSE)&amp;"_"&amp;C69</f>
        <v>#N/A</v>
      </c>
      <c r="O69" s="90" t="e">
        <f t="shared" ca="1" si="3"/>
        <v>#N/A</v>
      </c>
    </row>
    <row r="70" spans="2:15">
      <c r="B70" s="23"/>
      <c r="C70" s="22"/>
      <c r="D70" s="84"/>
      <c r="E70" s="23"/>
      <c r="F70" s="85"/>
      <c r="G70" s="23"/>
      <c r="H70" s="85"/>
      <c r="I70" s="23"/>
      <c r="J70" s="85"/>
      <c r="K70" s="23"/>
      <c r="L70" s="85"/>
      <c r="M70" s="25" t="e">
        <f t="shared" ca="1" si="4"/>
        <v>#N/A</v>
      </c>
      <c r="N70" s="77" t="e">
        <f ca="1">VLOOKUP($B70,Matrix!$H$13:$I$37,2,FALSE)&amp;"_"&amp;C70</f>
        <v>#N/A</v>
      </c>
      <c r="O70" s="90" t="e">
        <f t="shared" ca="1" si="3"/>
        <v>#N/A</v>
      </c>
    </row>
    <row r="71" spans="2:15">
      <c r="B71" s="23"/>
      <c r="C71" s="22"/>
      <c r="D71" s="84"/>
      <c r="E71" s="23"/>
      <c r="F71" s="85"/>
      <c r="G71" s="23"/>
      <c r="H71" s="85"/>
      <c r="I71" s="23"/>
      <c r="J71" s="85"/>
      <c r="K71" s="23"/>
      <c r="L71" s="85"/>
      <c r="M71" s="25" t="e">
        <f t="shared" ca="1" si="4"/>
        <v>#N/A</v>
      </c>
      <c r="N71" s="77" t="e">
        <f ca="1">VLOOKUP($B71,Matrix!$H$13:$I$37,2,FALSE)&amp;"_"&amp;C71</f>
        <v>#N/A</v>
      </c>
      <c r="O71" s="90" t="e">
        <f t="shared" ca="1" si="3"/>
        <v>#N/A</v>
      </c>
    </row>
    <row r="72" spans="2:15">
      <c r="B72" s="23"/>
      <c r="C72" s="22"/>
      <c r="D72" s="84"/>
      <c r="E72" s="23"/>
      <c r="F72" s="85"/>
      <c r="G72" s="23"/>
      <c r="H72" s="85"/>
      <c r="I72" s="23"/>
      <c r="J72" s="85"/>
      <c r="K72" s="23"/>
      <c r="L72" s="85"/>
      <c r="M72" s="25" t="e">
        <f t="shared" ca="1" si="4"/>
        <v>#N/A</v>
      </c>
      <c r="N72" s="77" t="e">
        <f ca="1">VLOOKUP($B72,Matrix!$H$13:$I$37,2,FALSE)&amp;"_"&amp;C72</f>
        <v>#N/A</v>
      </c>
      <c r="O72" s="90" t="e">
        <f t="shared" ca="1" si="3"/>
        <v>#N/A</v>
      </c>
    </row>
    <row r="73" spans="2:15">
      <c r="B73" s="23"/>
      <c r="C73" s="22"/>
      <c r="D73" s="84"/>
      <c r="E73" s="23"/>
      <c r="F73" s="85"/>
      <c r="G73" s="23"/>
      <c r="H73" s="85"/>
      <c r="I73" s="23"/>
      <c r="J73" s="85"/>
      <c r="K73" s="23"/>
      <c r="L73" s="85"/>
      <c r="M73" s="25" t="e">
        <f t="shared" ca="1" si="4"/>
        <v>#N/A</v>
      </c>
      <c r="N73" s="77" t="e">
        <f ca="1">VLOOKUP($B73,Matrix!$H$13:$I$37,2,FALSE)&amp;"_"&amp;C73</f>
        <v>#N/A</v>
      </c>
      <c r="O73" s="90" t="e">
        <f t="shared" ca="1" si="3"/>
        <v>#N/A</v>
      </c>
    </row>
    <row r="74" spans="2:15">
      <c r="B74" s="23"/>
      <c r="C74" s="22"/>
      <c r="D74" s="84"/>
      <c r="E74" s="23"/>
      <c r="F74" s="85"/>
      <c r="G74" s="23"/>
      <c r="H74" s="85"/>
      <c r="I74" s="23"/>
      <c r="J74" s="85"/>
      <c r="K74" s="23"/>
      <c r="L74" s="85"/>
      <c r="M74" s="25" t="e">
        <f t="shared" ca="1" si="4"/>
        <v>#N/A</v>
      </c>
      <c r="N74" s="77" t="e">
        <f ca="1">VLOOKUP($B74,Matrix!$H$13:$I$37,2,FALSE)&amp;"_"&amp;C74</f>
        <v>#N/A</v>
      </c>
      <c r="O74" s="90" t="e">
        <f t="shared" ca="1" si="3"/>
        <v>#N/A</v>
      </c>
    </row>
    <row r="75" spans="2:15">
      <c r="B75" s="23"/>
      <c r="C75" s="22"/>
      <c r="D75" s="84"/>
      <c r="E75" s="23"/>
      <c r="F75" s="85"/>
      <c r="G75" s="23"/>
      <c r="H75" s="85"/>
      <c r="I75" s="23"/>
      <c r="J75" s="85"/>
      <c r="K75" s="23"/>
      <c r="L75" s="85"/>
      <c r="M75" s="25" t="e">
        <f t="shared" ca="1" si="4"/>
        <v>#N/A</v>
      </c>
      <c r="N75" s="77" t="e">
        <f ca="1">VLOOKUP($B75,Matrix!$H$13:$I$37,2,FALSE)&amp;"_"&amp;C75</f>
        <v>#N/A</v>
      </c>
      <c r="O75" s="90" t="e">
        <f t="shared" ca="1" si="3"/>
        <v>#N/A</v>
      </c>
    </row>
    <row r="76" spans="2:15">
      <c r="B76" s="23"/>
      <c r="C76" s="22"/>
      <c r="D76" s="84"/>
      <c r="E76" s="23"/>
      <c r="F76" s="85"/>
      <c r="G76" s="23"/>
      <c r="H76" s="85"/>
      <c r="I76" s="23"/>
      <c r="J76" s="85"/>
      <c r="K76" s="23"/>
      <c r="L76" s="85"/>
      <c r="M76" s="25" t="e">
        <f t="shared" ca="1" si="4"/>
        <v>#N/A</v>
      </c>
      <c r="N76" s="77" t="e">
        <f ca="1">VLOOKUP($B76,Matrix!$H$13:$I$37,2,FALSE)&amp;"_"&amp;C76</f>
        <v>#N/A</v>
      </c>
      <c r="O76" s="90" t="e">
        <f t="shared" ca="1" si="3"/>
        <v>#N/A</v>
      </c>
    </row>
    <row r="77" spans="2:15">
      <c r="B77" s="23"/>
      <c r="C77" s="22"/>
      <c r="D77" s="84"/>
      <c r="E77" s="23"/>
      <c r="F77" s="85"/>
      <c r="G77" s="23"/>
      <c r="H77" s="85"/>
      <c r="I77" s="23"/>
      <c r="J77" s="85"/>
      <c r="K77" s="23"/>
      <c r="L77" s="85"/>
      <c r="M77" s="25" t="e">
        <f t="shared" ca="1" si="4"/>
        <v>#N/A</v>
      </c>
      <c r="N77" s="77" t="e">
        <f ca="1">VLOOKUP($B77,Matrix!$H$13:$I$37,2,FALSE)&amp;"_"&amp;C77</f>
        <v>#N/A</v>
      </c>
      <c r="O77" s="90" t="e">
        <f t="shared" ca="1" si="3"/>
        <v>#N/A</v>
      </c>
    </row>
    <row r="78" spans="2:15">
      <c r="B78" s="23"/>
      <c r="C78" s="22"/>
      <c r="D78" s="84"/>
      <c r="E78" s="23"/>
      <c r="F78" s="85"/>
      <c r="G78" s="23"/>
      <c r="H78" s="85"/>
      <c r="I78" s="23"/>
      <c r="J78" s="85"/>
      <c r="K78" s="23"/>
      <c r="L78" s="85"/>
      <c r="M78" s="25" t="e">
        <f t="shared" ca="1" si="4"/>
        <v>#N/A</v>
      </c>
      <c r="N78" s="77" t="e">
        <f ca="1">VLOOKUP($B78,Matrix!$H$13:$I$37,2,FALSE)&amp;"_"&amp;C78</f>
        <v>#N/A</v>
      </c>
      <c r="O78" s="90" t="e">
        <f t="shared" ca="1" si="3"/>
        <v>#N/A</v>
      </c>
    </row>
    <row r="79" spans="2:15">
      <c r="B79" s="23"/>
      <c r="C79" s="22"/>
      <c r="D79" s="84"/>
      <c r="E79" s="23"/>
      <c r="F79" s="85"/>
      <c r="G79" s="23"/>
      <c r="H79" s="85"/>
      <c r="I79" s="23"/>
      <c r="J79" s="85"/>
      <c r="K79" s="23"/>
      <c r="L79" s="85"/>
      <c r="M79" s="25" t="e">
        <f t="shared" ca="1" si="4"/>
        <v>#N/A</v>
      </c>
      <c r="N79" s="77" t="e">
        <f ca="1">VLOOKUP($B79,Matrix!$H$13:$I$37,2,FALSE)&amp;"_"&amp;C79</f>
        <v>#N/A</v>
      </c>
      <c r="O79" s="90" t="e">
        <f t="shared" ca="1" si="3"/>
        <v>#N/A</v>
      </c>
    </row>
    <row r="80" spans="2:15">
      <c r="B80" s="23"/>
      <c r="C80" s="22"/>
      <c r="D80" s="84"/>
      <c r="E80" s="23"/>
      <c r="F80" s="85"/>
      <c r="G80" s="23"/>
      <c r="H80" s="85"/>
      <c r="I80" s="23"/>
      <c r="J80" s="85"/>
      <c r="K80" s="23"/>
      <c r="L80" s="85"/>
      <c r="M80" s="25" t="e">
        <f t="shared" ca="1" si="4"/>
        <v>#N/A</v>
      </c>
      <c r="N80" s="77" t="e">
        <f ca="1">VLOOKUP($B80,Matrix!$H$13:$I$37,2,FALSE)&amp;"_"&amp;C80</f>
        <v>#N/A</v>
      </c>
      <c r="O80" s="90" t="e">
        <f t="shared" ca="1" si="3"/>
        <v>#N/A</v>
      </c>
    </row>
    <row r="81" spans="2:15">
      <c r="B81" s="23"/>
      <c r="C81" s="22"/>
      <c r="D81" s="84"/>
      <c r="E81" s="23"/>
      <c r="F81" s="85"/>
      <c r="G81" s="23"/>
      <c r="H81" s="85"/>
      <c r="I81" s="23"/>
      <c r="J81" s="85"/>
      <c r="K81" s="23"/>
      <c r="L81" s="85"/>
      <c r="M81" s="25" t="e">
        <f t="shared" ca="1" si="4"/>
        <v>#N/A</v>
      </c>
      <c r="N81" s="77" t="e">
        <f ca="1">VLOOKUP($B81,Matrix!$H$13:$I$37,2,FALSE)&amp;"_"&amp;C81</f>
        <v>#N/A</v>
      </c>
      <c r="O81" s="90" t="e">
        <f t="shared" ca="1" si="3"/>
        <v>#N/A</v>
      </c>
    </row>
    <row r="82" spans="2:15">
      <c r="B82" s="23"/>
      <c r="C82" s="22"/>
      <c r="D82" s="84"/>
      <c r="E82" s="23"/>
      <c r="F82" s="85"/>
      <c r="G82" s="23"/>
      <c r="H82" s="85"/>
      <c r="I82" s="23"/>
      <c r="J82" s="85"/>
      <c r="K82" s="23"/>
      <c r="L82" s="85"/>
      <c r="M82" s="25" t="e">
        <f t="shared" ca="1" si="4"/>
        <v>#N/A</v>
      </c>
      <c r="N82" s="77" t="e">
        <f ca="1">VLOOKUP($B82,Matrix!$H$13:$I$37,2,FALSE)&amp;"_"&amp;C82</f>
        <v>#N/A</v>
      </c>
      <c r="O82" s="90" t="e">
        <f t="shared" ca="1" si="3"/>
        <v>#N/A</v>
      </c>
    </row>
    <row r="83" spans="2:15">
      <c r="B83" s="23"/>
      <c r="C83" s="22"/>
      <c r="D83" s="84"/>
      <c r="E83" s="23"/>
      <c r="F83" s="85"/>
      <c r="G83" s="23"/>
      <c r="H83" s="85"/>
      <c r="I83" s="23"/>
      <c r="J83" s="85"/>
      <c r="K83" s="23"/>
      <c r="L83" s="85"/>
      <c r="M83" s="25" t="e">
        <f t="shared" ca="1" si="4"/>
        <v>#N/A</v>
      </c>
      <c r="N83" s="77" t="e">
        <f ca="1">VLOOKUP($B83,Matrix!$H$13:$I$37,2,FALSE)&amp;"_"&amp;C83</f>
        <v>#N/A</v>
      </c>
      <c r="O83" s="90" t="e">
        <f t="shared" ca="1" si="3"/>
        <v>#N/A</v>
      </c>
    </row>
    <row r="84" spans="2:15">
      <c r="B84" s="23"/>
      <c r="C84" s="22"/>
      <c r="D84" s="84"/>
      <c r="E84" s="23"/>
      <c r="F84" s="85"/>
      <c r="G84" s="23"/>
      <c r="H84" s="85"/>
      <c r="I84" s="23"/>
      <c r="J84" s="85"/>
      <c r="K84" s="23"/>
      <c r="L84" s="85"/>
      <c r="M84" s="25" t="e">
        <f t="shared" ca="1" si="4"/>
        <v>#N/A</v>
      </c>
      <c r="N84" s="77" t="e">
        <f ca="1">VLOOKUP($B84,Matrix!$H$13:$I$37,2,FALSE)&amp;"_"&amp;C84</f>
        <v>#N/A</v>
      </c>
      <c r="O84" s="90" t="e">
        <f t="shared" ca="1" si="3"/>
        <v>#N/A</v>
      </c>
    </row>
    <row r="85" spans="2:15">
      <c r="B85" s="23"/>
      <c r="C85" s="22"/>
      <c r="D85" s="84"/>
      <c r="E85" s="23"/>
      <c r="F85" s="85"/>
      <c r="G85" s="23"/>
      <c r="H85" s="85"/>
      <c r="I85" s="23"/>
      <c r="J85" s="85"/>
      <c r="K85" s="23"/>
      <c r="L85" s="85"/>
      <c r="M85" s="25" t="e">
        <f t="shared" ca="1" si="4"/>
        <v>#N/A</v>
      </c>
      <c r="N85" s="77" t="e">
        <f ca="1">VLOOKUP($B85,Matrix!$H$13:$I$37,2,FALSE)&amp;"_"&amp;C85</f>
        <v>#N/A</v>
      </c>
      <c r="O85" s="90" t="e">
        <f t="shared" ca="1" si="3"/>
        <v>#N/A</v>
      </c>
    </row>
    <row r="86" spans="2:15">
      <c r="B86" s="23"/>
      <c r="C86" s="22"/>
      <c r="D86" s="84"/>
      <c r="E86" s="23"/>
      <c r="F86" s="85"/>
      <c r="G86" s="23"/>
      <c r="H86" s="85"/>
      <c r="I86" s="23"/>
      <c r="J86" s="85"/>
      <c r="K86" s="23"/>
      <c r="L86" s="85"/>
      <c r="M86" s="25" t="e">
        <f t="shared" ca="1" si="4"/>
        <v>#N/A</v>
      </c>
      <c r="N86" s="77" t="e">
        <f ca="1">VLOOKUP($B86,Matrix!$H$13:$I$37,2,FALSE)&amp;"_"&amp;C86</f>
        <v>#N/A</v>
      </c>
      <c r="O86" s="90" t="e">
        <f t="shared" ca="1" si="3"/>
        <v>#N/A</v>
      </c>
    </row>
    <row r="87" spans="2:15">
      <c r="B87" s="23"/>
      <c r="C87" s="22"/>
      <c r="D87" s="84"/>
      <c r="E87" s="23"/>
      <c r="F87" s="85"/>
      <c r="G87" s="23"/>
      <c r="H87" s="85"/>
      <c r="I87" s="23"/>
      <c r="J87" s="85"/>
      <c r="K87" s="23"/>
      <c r="L87" s="85"/>
      <c r="M87" s="25" t="e">
        <f t="shared" ca="1" si="4"/>
        <v>#N/A</v>
      </c>
      <c r="N87" s="45" t="e">
        <f ca="1">VLOOKUP($B87,Matrix!$H$13:$I$37,2,FALSE)&amp;"_"&amp;C87</f>
        <v>#N/A</v>
      </c>
      <c r="O87" s="90" t="e">
        <f t="shared" ca="1" si="3"/>
        <v>#N/A</v>
      </c>
    </row>
    <row r="88" spans="2:15">
      <c r="B88" s="23"/>
      <c r="C88" s="22"/>
      <c r="D88" s="84"/>
      <c r="E88" s="23"/>
      <c r="F88" s="85"/>
      <c r="G88" s="23"/>
      <c r="H88" s="85"/>
      <c r="I88" s="23"/>
      <c r="J88" s="85"/>
      <c r="K88" s="23"/>
      <c r="L88" s="85"/>
      <c r="M88" s="25" t="e">
        <f t="shared" ca="1" si="4"/>
        <v>#N/A</v>
      </c>
      <c r="N88" s="45" t="e">
        <f ca="1">VLOOKUP($B88,Matrix!$H$13:$I$37,2,FALSE)&amp;"_"&amp;C88</f>
        <v>#N/A</v>
      </c>
      <c r="O88" s="90" t="e">
        <f t="shared" ca="1" si="3"/>
        <v>#N/A</v>
      </c>
    </row>
    <row r="89" spans="2:15">
      <c r="B89" s="23"/>
      <c r="C89" s="22"/>
      <c r="D89" s="84"/>
      <c r="E89" s="23"/>
      <c r="F89" s="85"/>
      <c r="G89" s="23"/>
      <c r="H89" s="85"/>
      <c r="I89" s="23"/>
      <c r="J89" s="85"/>
      <c r="K89" s="23"/>
      <c r="L89" s="85"/>
      <c r="M89" s="25" t="e">
        <f t="shared" ca="1" si="4"/>
        <v>#N/A</v>
      </c>
      <c r="N89" s="45" t="e">
        <f ca="1">VLOOKUP($B89,Matrix!$H$13:$I$37,2,FALSE)&amp;"_"&amp;C89</f>
        <v>#N/A</v>
      </c>
      <c r="O89" s="90" t="e">
        <f t="shared" ca="1" si="3"/>
        <v>#N/A</v>
      </c>
    </row>
    <row r="90" spans="2:15">
      <c r="B90" s="23"/>
      <c r="C90" s="22"/>
      <c r="D90" s="84"/>
      <c r="E90" s="23"/>
      <c r="F90" s="85"/>
      <c r="G90" s="23"/>
      <c r="H90" s="85"/>
      <c r="I90" s="23"/>
      <c r="J90" s="85"/>
      <c r="K90" s="23"/>
      <c r="L90" s="85"/>
      <c r="M90" s="25" t="e">
        <f t="shared" ca="1" si="4"/>
        <v>#N/A</v>
      </c>
      <c r="N90" s="45" t="e">
        <f ca="1">VLOOKUP($B90,Matrix!$H$13:$I$37,2,FALSE)&amp;"_"&amp;C90</f>
        <v>#N/A</v>
      </c>
      <c r="O90" s="90" t="e">
        <f t="shared" ca="1" si="3"/>
        <v>#N/A</v>
      </c>
    </row>
    <row r="91" spans="2:15">
      <c r="B91" s="23"/>
      <c r="C91" s="22"/>
      <c r="D91" s="84"/>
      <c r="E91" s="23"/>
      <c r="F91" s="85"/>
      <c r="G91" s="23"/>
      <c r="H91" s="85"/>
      <c r="I91" s="23"/>
      <c r="J91" s="85"/>
      <c r="K91" s="23"/>
      <c r="L91" s="85"/>
      <c r="M91" s="25" t="e">
        <f t="shared" ca="1" si="4"/>
        <v>#N/A</v>
      </c>
      <c r="N91" s="45" t="e">
        <f ca="1">VLOOKUP($B91,Matrix!$H$13:$I$37,2,FALSE)&amp;"_"&amp;C91</f>
        <v>#N/A</v>
      </c>
      <c r="O91" s="90" t="e">
        <f t="shared" ca="1" si="3"/>
        <v>#N/A</v>
      </c>
    </row>
    <row r="92" spans="2:15">
      <c r="B92" s="23"/>
      <c r="C92" s="22"/>
      <c r="D92" s="84"/>
      <c r="E92" s="23"/>
      <c r="F92" s="85"/>
      <c r="G92" s="23"/>
      <c r="H92" s="85"/>
      <c r="I92" s="23"/>
      <c r="J92" s="85"/>
      <c r="K92" s="23"/>
      <c r="L92" s="85"/>
      <c r="M92" s="25" t="e">
        <f t="shared" ca="1" si="4"/>
        <v>#N/A</v>
      </c>
      <c r="N92" s="45" t="e">
        <f ca="1">VLOOKUP($B92,Matrix!$H$13:$I$37,2,FALSE)&amp;"_"&amp;C92</f>
        <v>#N/A</v>
      </c>
      <c r="O92" s="90" t="e">
        <f t="shared" ca="1" si="3"/>
        <v>#N/A</v>
      </c>
    </row>
    <row r="93" spans="2:15">
      <c r="B93" s="23"/>
      <c r="C93" s="22"/>
      <c r="D93" s="84"/>
      <c r="E93" s="23"/>
      <c r="F93" s="85"/>
      <c r="G93" s="23"/>
      <c r="H93" s="85"/>
      <c r="I93" s="23"/>
      <c r="J93" s="85"/>
      <c r="K93" s="23"/>
      <c r="L93" s="85"/>
      <c r="M93" s="25" t="e">
        <f t="shared" ca="1" si="4"/>
        <v>#N/A</v>
      </c>
      <c r="N93" s="45" t="e">
        <f ca="1">VLOOKUP($B93,Matrix!$H$13:$I$37,2,FALSE)&amp;"_"&amp;C93</f>
        <v>#N/A</v>
      </c>
      <c r="O93" s="90" t="e">
        <f t="shared" ca="1" si="3"/>
        <v>#N/A</v>
      </c>
    </row>
    <row r="94" spans="2:15">
      <c r="B94" s="23"/>
      <c r="C94" s="22"/>
      <c r="D94" s="84"/>
      <c r="E94" s="23"/>
      <c r="F94" s="85"/>
      <c r="G94" s="23"/>
      <c r="H94" s="85"/>
      <c r="I94" s="23"/>
      <c r="J94" s="85"/>
      <c r="K94" s="23"/>
      <c r="L94" s="85"/>
      <c r="M94" s="25" t="e">
        <f t="shared" ca="1" si="4"/>
        <v>#N/A</v>
      </c>
      <c r="N94" s="45" t="e">
        <f ca="1">VLOOKUP($B94,Matrix!$H$13:$I$37,2,FALSE)&amp;"_"&amp;C94</f>
        <v>#N/A</v>
      </c>
      <c r="O94" s="90" t="e">
        <f t="shared" ca="1" si="3"/>
        <v>#N/A</v>
      </c>
    </row>
    <row r="95" spans="2:15">
      <c r="B95" s="23"/>
      <c r="C95" s="22"/>
      <c r="D95" s="84"/>
      <c r="E95" s="23"/>
      <c r="F95" s="85"/>
      <c r="G95" s="23"/>
      <c r="H95" s="85"/>
      <c r="I95" s="23"/>
      <c r="J95" s="85"/>
      <c r="K95" s="23"/>
      <c r="L95" s="85"/>
      <c r="M95" s="25" t="e">
        <f t="shared" ca="1" si="4"/>
        <v>#N/A</v>
      </c>
      <c r="N95" s="45" t="e">
        <f ca="1">VLOOKUP($B95,Matrix!$H$13:$I$37,2,FALSE)&amp;"_"&amp;C95</f>
        <v>#N/A</v>
      </c>
      <c r="O95" s="90" t="e">
        <f t="shared" ca="1" si="3"/>
        <v>#N/A</v>
      </c>
    </row>
    <row r="96" spans="2:15">
      <c r="B96" s="23"/>
      <c r="C96" s="22"/>
      <c r="D96" s="84"/>
      <c r="E96" s="23"/>
      <c r="F96" s="85"/>
      <c r="G96" s="23"/>
      <c r="H96" s="85"/>
      <c r="I96" s="23"/>
      <c r="J96" s="85"/>
      <c r="K96" s="23"/>
      <c r="L96" s="85"/>
      <c r="M96" s="25" t="e">
        <f t="shared" ca="1" si="4"/>
        <v>#N/A</v>
      </c>
      <c r="N96" s="45" t="e">
        <f ca="1">VLOOKUP($B96,Matrix!$H$13:$I$37,2,FALSE)&amp;"_"&amp;C96</f>
        <v>#N/A</v>
      </c>
      <c r="O96" s="90" t="e">
        <f t="shared" ca="1" si="3"/>
        <v>#N/A</v>
      </c>
    </row>
    <row r="97" spans="2:15">
      <c r="B97" s="23"/>
      <c r="C97" s="22"/>
      <c r="D97" s="84"/>
      <c r="E97" s="23"/>
      <c r="F97" s="85"/>
      <c r="G97" s="23"/>
      <c r="H97" s="85"/>
      <c r="I97" s="23"/>
      <c r="J97" s="85"/>
      <c r="K97" s="23"/>
      <c r="L97" s="85"/>
      <c r="M97" s="25" t="e">
        <f t="shared" ca="1" si="4"/>
        <v>#N/A</v>
      </c>
      <c r="N97" s="45" t="e">
        <f ca="1">VLOOKUP($B97,Matrix!$H$13:$I$37,2,FALSE)&amp;"_"&amp;C97</f>
        <v>#N/A</v>
      </c>
      <c r="O97" s="90" t="e">
        <f t="shared" ca="1" si="3"/>
        <v>#N/A</v>
      </c>
    </row>
    <row r="98" spans="2:15">
      <c r="B98" s="23"/>
      <c r="C98" s="22"/>
      <c r="D98" s="84"/>
      <c r="E98" s="23"/>
      <c r="F98" s="85"/>
      <c r="G98" s="23"/>
      <c r="H98" s="85"/>
      <c r="I98" s="23"/>
      <c r="J98" s="85"/>
      <c r="K98" s="23"/>
      <c r="L98" s="85"/>
      <c r="M98" s="25" t="e">
        <f t="shared" ca="1" si="4"/>
        <v>#N/A</v>
      </c>
      <c r="N98" s="45" t="e">
        <f ca="1">VLOOKUP($B98,Matrix!$H$13:$I$37,2,FALSE)&amp;"_"&amp;C98</f>
        <v>#N/A</v>
      </c>
      <c r="O98" s="90" t="e">
        <f t="shared" ca="1" si="3"/>
        <v>#N/A</v>
      </c>
    </row>
    <row r="99" spans="2:15">
      <c r="B99" s="23"/>
      <c r="C99" s="22"/>
      <c r="D99" s="84"/>
      <c r="E99" s="23"/>
      <c r="F99" s="85"/>
      <c r="G99" s="23"/>
      <c r="H99" s="85"/>
      <c r="I99" s="23"/>
      <c r="J99" s="85"/>
      <c r="K99" s="23"/>
      <c r="L99" s="85"/>
      <c r="M99" s="25" t="e">
        <f t="shared" ca="1" si="4"/>
        <v>#N/A</v>
      </c>
      <c r="N99" s="45" t="e">
        <f ca="1">VLOOKUP($B99,Matrix!$H$13:$I$37,2,FALSE)&amp;"_"&amp;C99</f>
        <v>#N/A</v>
      </c>
      <c r="O99" s="90" t="e">
        <f t="shared" ca="1" si="3"/>
        <v>#N/A</v>
      </c>
    </row>
    <row r="100" spans="2:15">
      <c r="B100" s="23"/>
      <c r="C100" s="22"/>
      <c r="D100" s="84"/>
      <c r="E100" s="23"/>
      <c r="F100" s="85"/>
      <c r="G100" s="23"/>
      <c r="H100" s="85"/>
      <c r="I100" s="23"/>
      <c r="J100" s="85"/>
      <c r="K100" s="23"/>
      <c r="L100" s="85"/>
      <c r="M100" s="25" t="e">
        <f t="shared" ca="1" si="4"/>
        <v>#N/A</v>
      </c>
      <c r="N100" s="45" t="e">
        <f ca="1">VLOOKUP($B100,Matrix!$H$13:$I$37,2,FALSE)&amp;"_"&amp;C100</f>
        <v>#N/A</v>
      </c>
      <c r="O100" s="90" t="e">
        <f t="shared" ref="O100:O103" ca="1" si="5">"#define "&amp;N100&amp;REPT(" ",48-M100)&amp;"("&amp;D100&amp;"U)"</f>
        <v>#N/A</v>
      </c>
    </row>
    <row r="101" spans="2:15">
      <c r="B101" s="23"/>
      <c r="C101" s="22"/>
      <c r="D101" s="84"/>
      <c r="E101" s="23"/>
      <c r="F101" s="85"/>
      <c r="G101" s="23"/>
      <c r="H101" s="85"/>
      <c r="I101" s="23"/>
      <c r="J101" s="85"/>
      <c r="K101" s="23"/>
      <c r="L101" s="85"/>
      <c r="M101" s="25" t="e">
        <f t="shared" ca="1" si="4"/>
        <v>#N/A</v>
      </c>
      <c r="N101" s="45" t="e">
        <f ca="1">VLOOKUP($B101,Matrix!$H$13:$I$37,2,FALSE)&amp;"_"&amp;C101</f>
        <v>#N/A</v>
      </c>
      <c r="O101" s="90" t="e">
        <f t="shared" ca="1" si="5"/>
        <v>#N/A</v>
      </c>
    </row>
    <row r="102" spans="2:15">
      <c r="B102" s="23"/>
      <c r="C102" s="22"/>
      <c r="D102" s="84"/>
      <c r="E102" s="23"/>
      <c r="F102" s="85"/>
      <c r="G102" s="23"/>
      <c r="H102" s="85"/>
      <c r="I102" s="23"/>
      <c r="J102" s="85"/>
      <c r="K102" s="23"/>
      <c r="L102" s="85"/>
      <c r="M102" s="25" t="e">
        <f t="shared" ca="1" si="4"/>
        <v>#N/A</v>
      </c>
      <c r="N102" s="45" t="e">
        <f ca="1">VLOOKUP($B102,Matrix!$H$13:$I$37,2,FALSE)&amp;"_"&amp;C102</f>
        <v>#N/A</v>
      </c>
      <c r="O102" s="90" t="e">
        <f t="shared" ca="1" si="5"/>
        <v>#N/A</v>
      </c>
    </row>
    <row r="103" spans="2:15" ht="14.25" thickBot="1">
      <c r="B103" s="31"/>
      <c r="C103" s="32"/>
      <c r="D103" s="86"/>
      <c r="E103" s="31"/>
      <c r="F103" s="87"/>
      <c r="G103" s="31"/>
      <c r="H103" s="87"/>
      <c r="I103" s="31"/>
      <c r="J103" s="87"/>
      <c r="K103" s="31"/>
      <c r="L103" s="87"/>
      <c r="M103" s="33" t="e">
        <f t="shared" ca="1" si="4"/>
        <v>#N/A</v>
      </c>
      <c r="N103" s="46" t="e">
        <f ca="1">VLOOKUP($B103,Matrix!$H$13:$I$37,2,FALSE)&amp;"_"&amp;C103</f>
        <v>#N/A</v>
      </c>
      <c r="O103" s="91" t="e">
        <f t="shared" ca="1" si="5"/>
        <v>#N/A</v>
      </c>
    </row>
  </sheetData>
  <sheetProtection sheet="1" objects="1" scenarios="1"/>
  <protectedRanges>
    <protectedRange sqref="B4:L103" name="範囲1"/>
  </protectedRanges>
  <phoneticPr fontId="2"/>
  <conditionalFormatting sqref="M3:M103">
    <cfRule type="cellIs" dxfId="6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F713-712E-44FE-94C9-E82CE25F3C4D}">
  <sheetPr codeName="Sheet8">
    <tabColor rgb="FFCCECFF"/>
  </sheetPr>
  <dimension ref="A1:AW199"/>
  <sheetViews>
    <sheetView zoomScale="115" zoomScaleNormal="115" workbookViewId="0">
      <pane ySplit="3" topLeftCell="A4" activePane="bottomLeft" state="frozen"/>
      <selection pane="bottomLeft" activeCell="B22" sqref="B2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123</v>
      </c>
      <c r="C2" s="285" t="s">
        <v>84</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87" t="s">
        <v>51</v>
      </c>
    </row>
    <row r="3" spans="1:49" ht="213" customHeight="1" thickBot="1">
      <c r="B3" s="143" t="str">
        <f>IF(OR(IF(COUNTIF(D6:AC69,"0")&lt;&gt;0,TRUE,FALSE),IF(COUNTIF(D6:AC69,"1")&lt;&gt;0,TRUE,FALSE)),"Search Table","Index Table")</f>
        <v>Index Table</v>
      </c>
      <c r="C3" s="286"/>
      <c r="D3" s="94" t="s">
        <v>61</v>
      </c>
      <c r="E3" s="94" t="s">
        <v>66</v>
      </c>
      <c r="F3" s="94" t="s">
        <v>49</v>
      </c>
      <c r="G3" s="94" t="s">
        <v>48</v>
      </c>
      <c r="H3" s="94" t="s">
        <v>121</v>
      </c>
      <c r="I3" s="94" t="s">
        <v>120</v>
      </c>
      <c r="J3" s="94" t="s">
        <v>125</v>
      </c>
      <c r="K3" s="94" t="s">
        <v>124</v>
      </c>
      <c r="L3" s="95" t="s">
        <v>66</v>
      </c>
      <c r="M3" s="95" t="s">
        <v>62</v>
      </c>
      <c r="N3" s="95" t="s">
        <v>62</v>
      </c>
      <c r="O3" s="95" t="s">
        <v>62</v>
      </c>
      <c r="P3" s="95" t="s">
        <v>62</v>
      </c>
      <c r="Q3" s="95" t="s">
        <v>62</v>
      </c>
      <c r="R3" s="95" t="s">
        <v>62</v>
      </c>
      <c r="S3" s="95" t="s">
        <v>62</v>
      </c>
      <c r="T3" s="95" t="s">
        <v>62</v>
      </c>
      <c r="U3" s="95" t="s">
        <v>62</v>
      </c>
      <c r="V3" s="95" t="s">
        <v>62</v>
      </c>
      <c r="W3" s="95" t="s">
        <v>62</v>
      </c>
      <c r="X3" s="95" t="s">
        <v>62</v>
      </c>
      <c r="Y3" s="95" t="s">
        <v>62</v>
      </c>
      <c r="Z3" s="95" t="s">
        <v>62</v>
      </c>
      <c r="AA3" s="95" t="s">
        <v>62</v>
      </c>
      <c r="AB3" s="95" t="s">
        <v>62</v>
      </c>
      <c r="AC3" s="95" t="s">
        <v>62</v>
      </c>
      <c r="AD3" s="95" t="s">
        <v>62</v>
      </c>
      <c r="AE3" s="95" t="s">
        <v>62</v>
      </c>
      <c r="AF3" s="95" t="s">
        <v>62</v>
      </c>
      <c r="AG3" s="95" t="s">
        <v>62</v>
      </c>
      <c r="AH3" s="144" t="s">
        <v>244</v>
      </c>
      <c r="AI3" s="144" t="s">
        <v>241</v>
      </c>
      <c r="AJ3" s="288"/>
      <c r="AR3" s="62" t="s">
        <v>96</v>
      </c>
    </row>
    <row r="4" spans="1:49" ht="14.25" thickBot="1">
      <c r="A4" s="289" t="s">
        <v>63</v>
      </c>
      <c r="B4" s="290"/>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82</v>
      </c>
      <c r="AS4" s="51"/>
      <c r="AT4" s="51"/>
      <c r="AU4" s="51"/>
      <c r="AV4" s="51"/>
      <c r="AW4" s="52"/>
    </row>
    <row r="5" spans="1:49" ht="14.25" thickBot="1">
      <c r="A5" s="291"/>
      <c r="B5" s="292"/>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u4_sp_ALERT_D_SFTPOS_B_RJTB_CRIT[ALERT_D_SFTPOS_B_RJTB_NUM_DST] = {</v>
      </c>
      <c r="AS5" s="53" t="str">
        <f ca="1">"static const U4  "&amp;$AW$9&amp;"["&amp;$AW$10&amp;"] = {"</f>
        <v>static const U4  u4_sp_ALERT_D_SFTPOS_B_RJTB_MASK[ALERT_D_SFTPOS_B_RJTB_NUM_DST] = {</v>
      </c>
      <c r="AT5" s="53" t="str">
        <f ca="1">"static const U1  "&amp;$AW$11&amp;"["&amp;$AW$10&amp;"] = {"</f>
        <v>static const U1  u1_sp_ALERT_D_SFTPOS_B_RJTB_DST[ALERT_D_SFTPOS_B_RJTB_NUM_DST] = {</v>
      </c>
      <c r="AU5" s="53" t="str">
        <f ca="1">"const ST_ALERT_MTRX "&amp;$AW$12&amp;" = {"</f>
        <v>const ST_ALERT_MTRX st_gp_ALERT_D_SFTPOS_MTRX[2] = {</v>
      </c>
      <c r="AV5" s="42" t="str">
        <f ca="1">"#define "&amp;AW10&amp;REPT(" ",41-LEN(AW10))&amp;"("&amp;AW13&amp;"U)"</f>
        <v>#define ALERT_D_SFTPOS_B_RJTB_NUM_DST            (4U)</v>
      </c>
      <c r="AW5" s="43"/>
    </row>
    <row r="6" spans="1:49">
      <c r="B6" s="100" t="str">
        <f ca="1">"Table "&amp;$AW$6</f>
        <v>Table B_RJTB</v>
      </c>
      <c r="C6" s="30">
        <f>ROW()-ROW($C$6)</f>
        <v>0</v>
      </c>
      <c r="D6" s="96" t="s">
        <v>67</v>
      </c>
      <c r="E6" s="96" t="s">
        <v>67</v>
      </c>
      <c r="F6" s="96" t="s">
        <v>67</v>
      </c>
      <c r="G6" s="96" t="s">
        <v>67</v>
      </c>
      <c r="H6" s="96" t="s">
        <v>67</v>
      </c>
      <c r="I6" s="96" t="s">
        <v>67</v>
      </c>
      <c r="J6" s="96" t="s">
        <v>67</v>
      </c>
      <c r="K6" s="39"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96" t="s">
        <v>67</v>
      </c>
      <c r="AA6" s="39" t="s">
        <v>67</v>
      </c>
      <c r="AB6" s="39" t="s">
        <v>67</v>
      </c>
      <c r="AC6" s="39" t="s">
        <v>67</v>
      </c>
      <c r="AD6" s="39" t="s">
        <v>67</v>
      </c>
      <c r="AE6" s="232" t="s">
        <v>67</v>
      </c>
      <c r="AF6" s="232" t="s">
        <v>67</v>
      </c>
      <c r="AG6" s="232" t="s">
        <v>67</v>
      </c>
      <c r="AH6" s="39">
        <v>0</v>
      </c>
      <c r="AI6" s="39">
        <v>0</v>
      </c>
      <c r="AJ6" s="29" t="s">
        <v>32</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(U4)0x00000003U,                                                           /* 00 UNKNOWN                                         */</v>
      </c>
      <c r="AT6" s="40" t="str">
        <f t="shared" ref="AT6:AT69" si="1">IF(AJ6&lt;&gt;"",AL6&amp;IF(AJ7&lt;&gt;"",","," ")&amp;REPT(" ",78-LEN(AL6))&amp;"/* "&amp;IF(C6&lt;10,"0"&amp;C6,C6)&amp;" "&amp;AJ6&amp;REPT(" ",48-LEN(AJ6))&amp;"*/",IF(AJ5&lt;&gt;"","};",""))</f>
        <v xml:space="preserve">    (U1)ALERT_REQ_UNKNOWN,                                                     /* 00 UNKNOWN                                         */</v>
      </c>
      <c r="AU6" s="40" t="s">
        <v>68</v>
      </c>
      <c r="AV6" s="26" t="s">
        <v>70</v>
      </c>
      <c r="AW6" s="44" t="str">
        <f ca="1">UPPER(RIGHT(CELL("filename",A1),LEN(CELL("filename",A1))-FIND("]",CELL("filename",A1))))</f>
        <v>B_RJTB</v>
      </c>
    </row>
    <row r="7" spans="1:49">
      <c r="B7" s="100"/>
      <c r="C7" s="25">
        <f t="shared" ref="C7:C69" si="2">ROW()-ROW($C$6)</f>
        <v>1</v>
      </c>
      <c r="D7" s="39" t="s">
        <v>67</v>
      </c>
      <c r="E7" s="39" t="s">
        <v>67</v>
      </c>
      <c r="F7" s="39" t="s">
        <v>67</v>
      </c>
      <c r="G7" s="96"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t="s">
        <v>67</v>
      </c>
      <c r="AB7" s="39" t="s">
        <v>67</v>
      </c>
      <c r="AC7" s="39" t="s">
        <v>67</v>
      </c>
      <c r="AD7" s="39" t="s">
        <v>67</v>
      </c>
      <c r="AE7" s="232" t="s">
        <v>67</v>
      </c>
      <c r="AF7" s="232" t="s">
        <v>67</v>
      </c>
      <c r="AG7" s="232" t="s">
        <v>67</v>
      </c>
      <c r="AH7" s="39">
        <v>0</v>
      </c>
      <c r="AI7" s="39">
        <v>1</v>
      </c>
      <c r="AJ7" s="22" t="s">
        <v>259</v>
      </c>
      <c r="AL7" t="str">
        <f t="shared" ca="1" si="0"/>
        <v xml:space="preserve">    (U1)ALERT_REQ_D_SFTPOS_B_RJTB_DBL1</v>
      </c>
      <c r="AR7" s="40" t="str">
        <f t="shared" ref="AR7:AR70" si="3">IF(AQ72&lt;&gt;"",AQ72,IF(AQ71&lt;&gt;"","};",""))</f>
        <v xml:space="preserve">    (U4)0x00000001U,                                                           /* 01 DBL1                                            */</v>
      </c>
      <c r="AS7" s="40" t="str">
        <f t="shared" ref="AS7:AS70" si="4">IF(AQ137&lt;&gt;"",AQ137,IF(AQ136&lt;&gt;"","};",""))</f>
        <v xml:space="preserve">    (U4)0x00000003U,                                                           /* 01 DBL1                                            */</v>
      </c>
      <c r="AT7" s="40" t="str">
        <f t="shared" ca="1" si="1"/>
        <v xml:space="preserve">    (U1)ALERT_REQ_D_SFTPOS_B_RJTB_DBL1,                                        /* 01 DBL1                                            */</v>
      </c>
      <c r="AU7" s="40" t="str">
        <f ca="1">"        &amp;"&amp;$AW$14&amp;","&amp;REPT(" ",69-LEN($AW$14))&amp;"/* fp_u4_SRC_CHK                                      */"</f>
        <v xml:space="preserve">        &amp;u4_s_AlertD_sftposBRjtbSrcchk,                                        /* fp_u4_SRC_CHK                                      */</v>
      </c>
      <c r="AV7" s="27" t="s">
        <v>71</v>
      </c>
      <c r="AW7" s="99">
        <f>IF(B3="Search Table",1,0)</f>
        <v>0</v>
      </c>
    </row>
    <row r="8" spans="1:49">
      <c r="B8" s="100"/>
      <c r="C8" s="25">
        <f t="shared" si="2"/>
        <v>2</v>
      </c>
      <c r="D8" s="39" t="s">
        <v>67</v>
      </c>
      <c r="E8" s="39" t="s">
        <v>67</v>
      </c>
      <c r="F8" s="39" t="s">
        <v>67</v>
      </c>
      <c r="G8" s="96"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t="s">
        <v>67</v>
      </c>
      <c r="AB8" s="39" t="s">
        <v>67</v>
      </c>
      <c r="AC8" s="39" t="s">
        <v>67</v>
      </c>
      <c r="AD8" s="39" t="s">
        <v>67</v>
      </c>
      <c r="AE8" s="232" t="s">
        <v>67</v>
      </c>
      <c r="AF8" s="232" t="s">
        <v>67</v>
      </c>
      <c r="AG8" s="232" t="s">
        <v>67</v>
      </c>
      <c r="AH8" s="96">
        <v>1</v>
      </c>
      <c r="AI8" s="232">
        <v>0</v>
      </c>
      <c r="AJ8" s="22" t="s">
        <v>32</v>
      </c>
      <c r="AL8" t="str">
        <f t="shared" si="0"/>
        <v xml:space="preserve">    (U1)ALERT_REQ_UNKNOWN</v>
      </c>
      <c r="AR8" s="40" t="str">
        <f t="shared" si="3"/>
        <v xml:space="preserve">    (U4)0x00000002U,                                                           /* 02 UNKNOWN                                         */</v>
      </c>
      <c r="AS8" s="40" t="str">
        <f t="shared" si="4"/>
        <v xml:space="preserve">    (U4)0x00000003U,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72</v>
      </c>
      <c r="AW8" s="45" t="str">
        <f ca="1">"u4_sp_ALERT_"&amp;IF(AW6&lt;&gt;AW17,$AW$17&amp;"_"&amp;$AW$6,AW17)&amp;"_CRIT"</f>
        <v>u4_sp_ALERT_D_SFTPOS_B_RJTB_CRIT</v>
      </c>
    </row>
    <row r="9" spans="1:49">
      <c r="B9" s="100"/>
      <c r="C9" s="25">
        <f t="shared" si="2"/>
        <v>3</v>
      </c>
      <c r="D9" s="39" t="s">
        <v>67</v>
      </c>
      <c r="E9" s="39" t="s">
        <v>67</v>
      </c>
      <c r="F9" s="39" t="s">
        <v>67</v>
      </c>
      <c r="G9" s="96"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232" t="s">
        <v>67</v>
      </c>
      <c r="AF9" s="232" t="s">
        <v>67</v>
      </c>
      <c r="AG9" s="232" t="s">
        <v>67</v>
      </c>
      <c r="AH9" s="96">
        <v>1</v>
      </c>
      <c r="AI9" s="96">
        <v>1</v>
      </c>
      <c r="AJ9" s="22" t="s">
        <v>32</v>
      </c>
      <c r="AL9" t="str">
        <f t="shared" si="0"/>
        <v xml:space="preserve">    (U1)ALERT_REQ_UNKNOWN</v>
      </c>
      <c r="AR9" s="40" t="str">
        <f t="shared" si="3"/>
        <v xml:space="preserve">    (U4)0x00000003U                                                            /* 03 UNKNOWN                                         */</v>
      </c>
      <c r="AS9" s="40" t="str">
        <f t="shared" si="4"/>
        <v xml:space="preserve">    (U4)0x00000003U                                                            /* 03 UNKNOWN                                         */</v>
      </c>
      <c r="AT9" s="40" t="str">
        <f t="shared" si="1"/>
        <v xml:space="preserve">    (U1)ALERT_REQ_UNKNOWN                                                      /* 03 UNKNOWN                                         */</v>
      </c>
      <c r="AU9" s="40"/>
      <c r="AV9" s="27" t="s">
        <v>73</v>
      </c>
      <c r="AW9" s="45" t="str">
        <f ca="1">"u4_sp_ALERT_"&amp;IF(AW6&lt;&gt;AW17,$AW$17&amp;"_"&amp;$AW$6,AW17)&amp;"_MASK"</f>
        <v>u4_sp_ALERT_D_SFTPOS_B_RJTB_MASK</v>
      </c>
    </row>
    <row r="10" spans="1:49">
      <c r="B10" s="100"/>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232" t="s">
        <v>67</v>
      </c>
      <c r="AF10" s="232" t="s">
        <v>67</v>
      </c>
      <c r="AG10" s="232" t="s">
        <v>67</v>
      </c>
      <c r="AH10" s="232" t="s">
        <v>67</v>
      </c>
      <c r="AI10" s="232" t="s">
        <v>67</v>
      </c>
      <c r="AJ10" s="29"/>
      <c r="AL10" t="str">
        <f t="shared" ca="1" si="0"/>
        <v xml:space="preserve">    (U1)ALERT_REQ_D_SFTPOS_B_RJTB_</v>
      </c>
      <c r="AR10" s="40" t="str">
        <f t="shared" si="3"/>
        <v>};</v>
      </c>
      <c r="AS10" s="40" t="str">
        <f t="shared" si="4"/>
        <v>};</v>
      </c>
      <c r="AT10" s="40" t="str">
        <f t="shared" si="1"/>
        <v>};</v>
      </c>
      <c r="AU10" s="40" t="str">
        <f>IF($AW$7=1,"        &amp;"&amp;$AW$9&amp;"[0],"&amp;REPT(" ",66-LEN($AW$9))&amp;"/* u4p_MASK                                           */","        (const U4 *)vdp_PTR_NA,                                                /* u4p_MASK                                           */")</f>
        <v xml:space="preserve">        (const U4 *)vdp_PTR_NA,                                                /* u4p_MASK                                           */</v>
      </c>
      <c r="AV10" s="27" t="s">
        <v>74</v>
      </c>
      <c r="AW10" s="45" t="str">
        <f ca="1">"ALERT_"&amp;IF(AW6&lt;&gt;AW17,$AW$17&amp;"_"&amp;$AW$6,AW17)&amp;"_NUM_DST"</f>
        <v>ALERT_D_SFTPOS_B_RJTB_NUM_DST</v>
      </c>
    </row>
    <row r="11" spans="1:49">
      <c r="B11" s="100"/>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232" t="s">
        <v>67</v>
      </c>
      <c r="AF11" s="232" t="s">
        <v>67</v>
      </c>
      <c r="AG11" s="232" t="s">
        <v>67</v>
      </c>
      <c r="AH11" s="232" t="s">
        <v>67</v>
      </c>
      <c r="AI11" s="232" t="s">
        <v>67</v>
      </c>
      <c r="AJ11" s="29"/>
      <c r="AL11" t="str">
        <f t="shared" ca="1" si="0"/>
        <v xml:space="preserve">    (U1)ALERT_REQ_D_SFTPOS_B_RJTB_</v>
      </c>
      <c r="AR11" s="40" t="str">
        <f t="shared" si="3"/>
        <v/>
      </c>
      <c r="AS11" s="40" t="str">
        <f t="shared" si="4"/>
        <v/>
      </c>
      <c r="AT11" s="40" t="str">
        <f t="shared" si="1"/>
        <v/>
      </c>
      <c r="AU11" s="40" t="str">
        <f>IF($AW$7=1,"        &amp;"&amp;$AW$8&amp;"[0],"&amp;REPT(" ",66-LEN($AW$8))&amp;"/* u4p_CRIT                                           */","        (const U4 *)vdp_PTR_NA,                                                /* u4p_CRIT                                           */")</f>
        <v xml:space="preserve">        (const U4 *)vdp_PTR_NA,                                                /* u4p_CRIT                                           */</v>
      </c>
      <c r="AV11" s="27" t="s">
        <v>75</v>
      </c>
      <c r="AW11" s="45" t="str">
        <f ca="1">"u1_sp_ALERT_"&amp;IF(AW6&lt;&gt;AW17,$AW$17&amp;"_"&amp;$AW$6,AW17)&amp;"_DST"</f>
        <v>u1_sp_ALERT_D_SFTPOS_B_RJTB_DST</v>
      </c>
    </row>
    <row r="12" spans="1:49">
      <c r="B12" s="100"/>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232" t="s">
        <v>67</v>
      </c>
      <c r="AF12" s="232" t="s">
        <v>67</v>
      </c>
      <c r="AG12" s="232" t="s">
        <v>67</v>
      </c>
      <c r="AH12" s="232" t="s">
        <v>67</v>
      </c>
      <c r="AI12" s="232" t="s">
        <v>67</v>
      </c>
      <c r="AJ12" s="29"/>
      <c r="AL12" t="str">
        <f t="shared" ca="1" si="0"/>
        <v xml:space="preserve">    (U1)ALERT_REQ_D_SFTPOS_B_RJTB_</v>
      </c>
      <c r="AR12" s="40" t="str">
        <f t="shared" si="3"/>
        <v/>
      </c>
      <c r="AS12" s="40" t="str">
        <f t="shared" si="4"/>
        <v/>
      </c>
      <c r="AT12" s="40" t="str">
        <f t="shared" si="1"/>
        <v/>
      </c>
      <c r="AU12" s="40"/>
      <c r="AV12" s="27" t="s">
        <v>88</v>
      </c>
      <c r="AW12" s="45" t="str">
        <f ca="1">Matrix!D8&amp;"["&amp;Matrix!D7&amp;"]"</f>
        <v>st_gp_ALERT_D_SFTPOS_MTRX[2]</v>
      </c>
    </row>
    <row r="13" spans="1:49">
      <c r="B13" s="100"/>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232" t="s">
        <v>67</v>
      </c>
      <c r="AF13" s="232" t="s">
        <v>67</v>
      </c>
      <c r="AG13" s="232" t="s">
        <v>67</v>
      </c>
      <c r="AH13" s="232" t="s">
        <v>67</v>
      </c>
      <c r="AI13" s="232" t="s">
        <v>67</v>
      </c>
      <c r="AJ13" s="29"/>
      <c r="AL13" t="str">
        <f t="shared" ca="1" si="0"/>
        <v xml:space="preserve">    (U1)ALERT_REQ_D_SFTPOS_B_RJTB_</v>
      </c>
      <c r="AR13" s="40" t="str">
        <f t="shared" si="3"/>
        <v/>
      </c>
      <c r="AS13" s="40" t="str">
        <f t="shared" si="4"/>
        <v/>
      </c>
      <c r="AT13" s="40" t="str">
        <f t="shared" si="1"/>
        <v/>
      </c>
      <c r="AU13" s="40" t="str">
        <f ca="1">"        &amp;"&amp;$AW$11&amp;"[0],"&amp;REPT(" ",66-LEN($AW$11))&amp;"/* u1p_DST                                            */"</f>
        <v xml:space="preserve">        &amp;u1_sp_ALERT_D_SFTPOS_B_RJTB_DST[0],                                   /* u1p_DST                                            */</v>
      </c>
      <c r="AV13" s="27" t="s">
        <v>76</v>
      </c>
      <c r="AW13" s="99">
        <f>COUNTA($AJ$6:$AJ$69)</f>
        <v>4</v>
      </c>
    </row>
    <row r="14" spans="1:49">
      <c r="B14" s="100"/>
      <c r="C14" s="25">
        <f t="shared" si="2"/>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232" t="s">
        <v>67</v>
      </c>
      <c r="AF14" s="232" t="s">
        <v>67</v>
      </c>
      <c r="AG14" s="232" t="s">
        <v>67</v>
      </c>
      <c r="AH14" s="232" t="s">
        <v>67</v>
      </c>
      <c r="AI14" s="232" t="s">
        <v>67</v>
      </c>
      <c r="AJ14" s="29"/>
      <c r="AL14" t="str">
        <f t="shared" ca="1" si="0"/>
        <v xml:space="preserve">    (U1)ALERT_REQ_D_SFTPOS_B_RJTB_</v>
      </c>
      <c r="AR14" s="40" t="str">
        <f t="shared" si="3"/>
        <v/>
      </c>
      <c r="AS14" s="40" t="str">
        <f t="shared" si="4"/>
        <v/>
      </c>
      <c r="AT14" s="40" t="str">
        <f t="shared" si="1"/>
        <v/>
      </c>
      <c r="AU14" s="40" t="str">
        <f ca="1">"        (U2)"&amp;$AW$10&amp;","&amp;REPT(" ",66-LEN($AW$10))&amp;"/* u2_num_srch                                        */"</f>
        <v xml:space="preserve">        (U2)ALERT_D_SFTPOS_B_RJTB_NUM_DST,                                     /* u2_num_srch                                        */</v>
      </c>
      <c r="AV14" s="27" t="s">
        <v>77</v>
      </c>
      <c r="AW14" s="45" t="str">
        <f ca="1">IF(AW6&lt;&gt;AW17,VLOOKUP(AW6,Matrix!$C$13:$G$37,4,FALSE),Matrix!F13)</f>
        <v>u4_s_AlertD_sftposBRjtbSrcchk</v>
      </c>
    </row>
    <row r="15" spans="1:49">
      <c r="B15" s="100"/>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232" t="s">
        <v>67</v>
      </c>
      <c r="AF15" s="232" t="s">
        <v>67</v>
      </c>
      <c r="AG15" s="232" t="s">
        <v>67</v>
      </c>
      <c r="AH15" s="232" t="s">
        <v>67</v>
      </c>
      <c r="AI15" s="232" t="s">
        <v>67</v>
      </c>
      <c r="AJ15" s="29"/>
      <c r="AL15" t="str">
        <f t="shared" ca="1" si="0"/>
        <v xml:space="preserve">    (U1)ALERT_REQ_D_SFTPOS_B_RJTB_</v>
      </c>
      <c r="AR15" s="40" t="str">
        <f t="shared" si="3"/>
        <v/>
      </c>
      <c r="AS15" s="40" t="str">
        <f t="shared" si="4"/>
        <v/>
      </c>
      <c r="AT15" s="40" t="str">
        <f t="shared" si="1"/>
        <v/>
      </c>
      <c r="AU15" s="40" t="str">
        <f ca="1">"        (U1)"&amp;$AW$16&amp;REPT(" ",67-LEN($AW$16))&amp;"/* u1_vom_act                                         */"</f>
        <v xml:space="preserve">        (U1)ALERT_VOM_IGN_ON                                                   /* u1_vom_act                                         */</v>
      </c>
      <c r="AV15" s="27" t="s">
        <v>80</v>
      </c>
      <c r="AW15" s="45" t="str">
        <f ca="1">IF(AW6&lt;&gt;AW17,VLOOKUP(AW6,Matrix!$C$13:$G$37,5,FALSE),Matrix!G13)</f>
        <v>NULL</v>
      </c>
    </row>
    <row r="16" spans="1:49">
      <c r="B16" s="100"/>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232" t="s">
        <v>67</v>
      </c>
      <c r="AF16" s="232" t="s">
        <v>67</v>
      </c>
      <c r="AG16" s="232" t="s">
        <v>67</v>
      </c>
      <c r="AH16" s="232" t="s">
        <v>67</v>
      </c>
      <c r="AI16" s="232" t="s">
        <v>67</v>
      </c>
      <c r="AJ16" s="29"/>
      <c r="AL16" t="str">
        <f t="shared" ca="1" si="0"/>
        <v xml:space="preserve">    (U1)ALERT_REQ_D_SFTPOS_B_RJTB_</v>
      </c>
      <c r="AR16" s="40" t="str">
        <f t="shared" si="3"/>
        <v/>
      </c>
      <c r="AS16" s="40" t="str">
        <f t="shared" si="4"/>
        <v/>
      </c>
      <c r="AT16" s="40" t="str">
        <f t="shared" si="1"/>
        <v/>
      </c>
      <c r="AU16" s="40" t="s">
        <v>69</v>
      </c>
      <c r="AV16" s="27" t="s">
        <v>78</v>
      </c>
      <c r="AW16" s="45" t="str">
        <f ca="1">IF(AW6&lt;&gt;AW17,VLOOKUP(AW6,Matrix!$C$13:$G$37,2,FALSE),Matrix!D13)</f>
        <v>ALERT_VOM_IGN_ON</v>
      </c>
    </row>
    <row r="17" spans="2:49" ht="14.25" thickBot="1">
      <c r="B17" s="100"/>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67</v>
      </c>
      <c r="AD17" s="39" t="s">
        <v>67</v>
      </c>
      <c r="AE17" s="232" t="s">
        <v>67</v>
      </c>
      <c r="AF17" s="232" t="s">
        <v>67</v>
      </c>
      <c r="AG17" s="232" t="s">
        <v>67</v>
      </c>
      <c r="AH17" s="232" t="s">
        <v>67</v>
      </c>
      <c r="AI17" s="232" t="s">
        <v>67</v>
      </c>
      <c r="AJ17" s="29"/>
      <c r="AL17" t="str">
        <f t="shared" ca="1" si="0"/>
        <v xml:space="preserve">    (U1)ALERT_REQ_D_SFTPOS_B_RJTB_</v>
      </c>
      <c r="AR17" s="40" t="str">
        <f t="shared" si="3"/>
        <v/>
      </c>
      <c r="AS17" s="40" t="str">
        <f t="shared" si="4"/>
        <v/>
      </c>
      <c r="AT17" s="40" t="str">
        <f t="shared" si="1"/>
        <v/>
      </c>
      <c r="AU17" s="41" t="s">
        <v>81</v>
      </c>
      <c r="AV17" s="28" t="s">
        <v>79</v>
      </c>
      <c r="AW17" s="46" t="str">
        <f ca="1">UPPER(Matrix!$D$6)</f>
        <v>D_SFTPOS</v>
      </c>
    </row>
    <row r="18" spans="2:49">
      <c r="B18" s="100"/>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232" t="s">
        <v>67</v>
      </c>
      <c r="AF18" s="232" t="s">
        <v>67</v>
      </c>
      <c r="AG18" s="232" t="s">
        <v>67</v>
      </c>
      <c r="AH18" s="232" t="s">
        <v>67</v>
      </c>
      <c r="AI18" s="232" t="s">
        <v>67</v>
      </c>
      <c r="AJ18" s="29"/>
      <c r="AL18" t="str">
        <f t="shared" ca="1" si="0"/>
        <v xml:space="preserve">    (U1)ALERT_REQ_D_SFTPOS_B_RJTB_</v>
      </c>
      <c r="AR18" s="40" t="str">
        <f t="shared" si="3"/>
        <v/>
      </c>
      <c r="AS18" s="40" t="str">
        <f t="shared" si="4"/>
        <v/>
      </c>
      <c r="AT18" s="40" t="str">
        <f t="shared" si="1"/>
        <v/>
      </c>
    </row>
    <row r="19" spans="2:49">
      <c r="B19" s="100"/>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232" t="s">
        <v>67</v>
      </c>
      <c r="AF19" s="232" t="s">
        <v>67</v>
      </c>
      <c r="AG19" s="232" t="s">
        <v>67</v>
      </c>
      <c r="AH19" s="232" t="s">
        <v>67</v>
      </c>
      <c r="AI19" s="232" t="s">
        <v>67</v>
      </c>
      <c r="AJ19" s="29"/>
      <c r="AL19" t="str">
        <f t="shared" ca="1" si="0"/>
        <v xml:space="preserve">    (U1)ALERT_REQ_D_SFTPOS_B_RJTB_</v>
      </c>
      <c r="AR19" s="40" t="str">
        <f t="shared" si="3"/>
        <v/>
      </c>
      <c r="AS19" s="40" t="str">
        <f t="shared" si="4"/>
        <v/>
      </c>
      <c r="AT19" s="40" t="str">
        <f t="shared" si="1"/>
        <v/>
      </c>
    </row>
    <row r="20" spans="2:49">
      <c r="B20" s="100"/>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232" t="s">
        <v>67</v>
      </c>
      <c r="AF20" s="232" t="s">
        <v>67</v>
      </c>
      <c r="AG20" s="232" t="s">
        <v>67</v>
      </c>
      <c r="AH20" s="232" t="s">
        <v>67</v>
      </c>
      <c r="AI20" s="232" t="s">
        <v>67</v>
      </c>
      <c r="AJ20" s="29"/>
      <c r="AL20" t="str">
        <f t="shared" ca="1" si="0"/>
        <v xml:space="preserve">    (U1)ALERT_REQ_D_SFTPOS_B_RJTB_</v>
      </c>
      <c r="AR20" s="40" t="str">
        <f t="shared" si="3"/>
        <v/>
      </c>
      <c r="AS20" s="40" t="str">
        <f t="shared" si="4"/>
        <v/>
      </c>
      <c r="AT20" s="40" t="str">
        <f t="shared" si="1"/>
        <v/>
      </c>
    </row>
    <row r="21" spans="2:49">
      <c r="B21" s="100"/>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232" t="s">
        <v>67</v>
      </c>
      <c r="AF21" s="232" t="s">
        <v>67</v>
      </c>
      <c r="AG21" s="232" t="s">
        <v>67</v>
      </c>
      <c r="AH21" s="232" t="s">
        <v>67</v>
      </c>
      <c r="AI21" s="232" t="s">
        <v>67</v>
      </c>
      <c r="AJ21" s="29"/>
      <c r="AL21" t="str">
        <f t="shared" ca="1" si="0"/>
        <v xml:space="preserve">    (U1)ALERT_REQ_D_SFTPOS_B_RJTB_</v>
      </c>
      <c r="AR21" s="40" t="str">
        <f t="shared" si="3"/>
        <v/>
      </c>
      <c r="AS21" s="40" t="str">
        <f t="shared" si="4"/>
        <v/>
      </c>
      <c r="AT21" s="40" t="str">
        <f t="shared" si="1"/>
        <v/>
      </c>
    </row>
    <row r="22" spans="2:49">
      <c r="B22" s="100"/>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232" t="s">
        <v>67</v>
      </c>
      <c r="AF22" s="232" t="s">
        <v>67</v>
      </c>
      <c r="AG22" s="232" t="s">
        <v>67</v>
      </c>
      <c r="AH22" s="232" t="s">
        <v>67</v>
      </c>
      <c r="AI22" s="232" t="s">
        <v>67</v>
      </c>
      <c r="AJ22" s="29"/>
      <c r="AL22" t="str">
        <f t="shared" ca="1" si="0"/>
        <v xml:space="preserve">    (U1)ALERT_REQ_D_SFTPOS_B_RJTB_</v>
      </c>
      <c r="AR22" s="40" t="str">
        <f t="shared" si="3"/>
        <v/>
      </c>
      <c r="AS22" s="40" t="str">
        <f t="shared" si="4"/>
        <v/>
      </c>
      <c r="AT22" s="40" t="str">
        <f t="shared" si="1"/>
        <v/>
      </c>
    </row>
    <row r="23" spans="2:49">
      <c r="B23" s="100"/>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232" t="s">
        <v>67</v>
      </c>
      <c r="AF23" s="232" t="s">
        <v>67</v>
      </c>
      <c r="AG23" s="232" t="s">
        <v>67</v>
      </c>
      <c r="AH23" s="232" t="s">
        <v>67</v>
      </c>
      <c r="AI23" s="232" t="s">
        <v>67</v>
      </c>
      <c r="AJ23" s="29"/>
      <c r="AL23" t="str">
        <f t="shared" ca="1" si="0"/>
        <v xml:space="preserve">    (U1)ALERT_REQ_D_SFTPOS_B_RJTB_</v>
      </c>
      <c r="AR23" s="40" t="str">
        <f t="shared" si="3"/>
        <v/>
      </c>
      <c r="AS23" s="40" t="str">
        <f t="shared" si="4"/>
        <v/>
      </c>
      <c r="AT23" s="40" t="str">
        <f t="shared" si="1"/>
        <v/>
      </c>
    </row>
    <row r="24" spans="2:49">
      <c r="B24" s="100"/>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232" t="s">
        <v>67</v>
      </c>
      <c r="AF24" s="232" t="s">
        <v>67</v>
      </c>
      <c r="AG24" s="232" t="s">
        <v>67</v>
      </c>
      <c r="AH24" s="232" t="s">
        <v>67</v>
      </c>
      <c r="AI24" s="232" t="s">
        <v>67</v>
      </c>
      <c r="AJ24" s="29"/>
      <c r="AL24" t="str">
        <f t="shared" ca="1" si="0"/>
        <v xml:space="preserve">    (U1)ALERT_REQ_D_SFTPOS_B_RJTB_</v>
      </c>
      <c r="AR24" s="40" t="str">
        <f t="shared" si="3"/>
        <v/>
      </c>
      <c r="AS24" s="40" t="str">
        <f t="shared" si="4"/>
        <v/>
      </c>
      <c r="AT24" s="40" t="str">
        <f t="shared" si="1"/>
        <v/>
      </c>
    </row>
    <row r="25" spans="2:49">
      <c r="B25" s="100"/>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232" t="s">
        <v>67</v>
      </c>
      <c r="AF25" s="232" t="s">
        <v>67</v>
      </c>
      <c r="AG25" s="232" t="s">
        <v>67</v>
      </c>
      <c r="AH25" s="232" t="s">
        <v>67</v>
      </c>
      <c r="AI25" s="232" t="s">
        <v>67</v>
      </c>
      <c r="AJ25" s="29"/>
      <c r="AL25" t="str">
        <f t="shared" ca="1" si="0"/>
        <v xml:space="preserve">    (U1)ALERT_REQ_D_SFTPOS_B_RJTB_</v>
      </c>
      <c r="AR25" s="40" t="str">
        <f t="shared" si="3"/>
        <v/>
      </c>
      <c r="AS25" s="40" t="str">
        <f t="shared" si="4"/>
        <v/>
      </c>
      <c r="AT25" s="40" t="str">
        <f t="shared" si="1"/>
        <v/>
      </c>
    </row>
    <row r="26" spans="2:49">
      <c r="B26" s="100"/>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232" t="s">
        <v>67</v>
      </c>
      <c r="AF26" s="232" t="s">
        <v>67</v>
      </c>
      <c r="AG26" s="232" t="s">
        <v>67</v>
      </c>
      <c r="AH26" s="232" t="s">
        <v>67</v>
      </c>
      <c r="AI26" s="232" t="s">
        <v>67</v>
      </c>
      <c r="AJ26" s="29"/>
      <c r="AL26" t="str">
        <f t="shared" ca="1" si="0"/>
        <v xml:space="preserve">    (U1)ALERT_REQ_D_SFTPOS_B_RJTB_</v>
      </c>
      <c r="AR26" s="40" t="str">
        <f t="shared" si="3"/>
        <v/>
      </c>
      <c r="AS26" s="40" t="str">
        <f t="shared" si="4"/>
        <v/>
      </c>
      <c r="AT26" s="40" t="str">
        <f t="shared" si="1"/>
        <v/>
      </c>
    </row>
    <row r="27" spans="2:49">
      <c r="B27" s="100"/>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232" t="s">
        <v>67</v>
      </c>
      <c r="AF27" s="232" t="s">
        <v>67</v>
      </c>
      <c r="AG27" s="232" t="s">
        <v>67</v>
      </c>
      <c r="AH27" s="232" t="s">
        <v>67</v>
      </c>
      <c r="AI27" s="232" t="s">
        <v>67</v>
      </c>
      <c r="AJ27" s="29"/>
      <c r="AL27" t="str">
        <f t="shared" ca="1" si="0"/>
        <v xml:space="preserve">    (U1)ALERT_REQ_D_SFTPOS_B_RJTB_</v>
      </c>
      <c r="AR27" s="40" t="str">
        <f t="shared" si="3"/>
        <v/>
      </c>
      <c r="AS27" s="40" t="str">
        <f t="shared" si="4"/>
        <v/>
      </c>
      <c r="AT27" s="40" t="str">
        <f t="shared" si="1"/>
        <v/>
      </c>
    </row>
    <row r="28" spans="2:49">
      <c r="B28" s="100"/>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232" t="s">
        <v>67</v>
      </c>
      <c r="AF28" s="232" t="s">
        <v>67</v>
      </c>
      <c r="AG28" s="232" t="s">
        <v>67</v>
      </c>
      <c r="AH28" s="232" t="s">
        <v>67</v>
      </c>
      <c r="AI28" s="232" t="s">
        <v>67</v>
      </c>
      <c r="AJ28" s="29"/>
      <c r="AL28" t="str">
        <f t="shared" ca="1" si="0"/>
        <v xml:space="preserve">    (U1)ALERT_REQ_D_SFTPOS_B_RJTB_</v>
      </c>
      <c r="AR28" s="40" t="str">
        <f t="shared" si="3"/>
        <v/>
      </c>
      <c r="AS28" s="40" t="str">
        <f t="shared" si="4"/>
        <v/>
      </c>
      <c r="AT28" s="40" t="str">
        <f t="shared" si="1"/>
        <v/>
      </c>
    </row>
    <row r="29" spans="2:49">
      <c r="B29" s="100"/>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232" t="s">
        <v>67</v>
      </c>
      <c r="AF29" s="232" t="s">
        <v>67</v>
      </c>
      <c r="AG29" s="232" t="s">
        <v>67</v>
      </c>
      <c r="AH29" s="232" t="s">
        <v>67</v>
      </c>
      <c r="AI29" s="232" t="s">
        <v>67</v>
      </c>
      <c r="AJ29" s="29"/>
      <c r="AL29" t="str">
        <f t="shared" ca="1" si="0"/>
        <v xml:space="preserve">    (U1)ALERT_REQ_D_SFTPOS_B_RJTB_</v>
      </c>
      <c r="AR29" s="40" t="str">
        <f t="shared" si="3"/>
        <v/>
      </c>
      <c r="AS29" s="40" t="str">
        <f t="shared" si="4"/>
        <v/>
      </c>
      <c r="AT29" s="40" t="str">
        <f t="shared" si="1"/>
        <v/>
      </c>
    </row>
    <row r="30" spans="2:49">
      <c r="B30" s="100"/>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232" t="s">
        <v>67</v>
      </c>
      <c r="AF30" s="232" t="s">
        <v>67</v>
      </c>
      <c r="AG30" s="232" t="s">
        <v>67</v>
      </c>
      <c r="AH30" s="232" t="s">
        <v>67</v>
      </c>
      <c r="AI30" s="232" t="s">
        <v>67</v>
      </c>
      <c r="AJ30" s="29"/>
      <c r="AL30" t="str">
        <f t="shared" ca="1" si="0"/>
        <v xml:space="preserve">    (U1)ALERT_REQ_D_SFTPOS_B_RJTB_</v>
      </c>
      <c r="AR30" s="40" t="str">
        <f t="shared" si="3"/>
        <v/>
      </c>
      <c r="AS30" s="40" t="str">
        <f t="shared" si="4"/>
        <v/>
      </c>
      <c r="AT30" s="40" t="str">
        <f t="shared" si="1"/>
        <v/>
      </c>
    </row>
    <row r="31" spans="2:49">
      <c r="B31" s="100"/>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232" t="s">
        <v>67</v>
      </c>
      <c r="AF31" s="232" t="s">
        <v>67</v>
      </c>
      <c r="AG31" s="232" t="s">
        <v>67</v>
      </c>
      <c r="AH31" s="232" t="s">
        <v>67</v>
      </c>
      <c r="AI31" s="232" t="s">
        <v>67</v>
      </c>
      <c r="AJ31" s="29"/>
      <c r="AL31" t="str">
        <f t="shared" ca="1" si="0"/>
        <v xml:space="preserve">    (U1)ALERT_REQ_D_SFTPOS_B_RJTB_</v>
      </c>
      <c r="AR31" s="40" t="str">
        <f t="shared" si="3"/>
        <v/>
      </c>
      <c r="AS31" s="40" t="str">
        <f t="shared" si="4"/>
        <v/>
      </c>
      <c r="AT31" s="40" t="str">
        <f t="shared" si="1"/>
        <v/>
      </c>
    </row>
    <row r="32" spans="2:49">
      <c r="B32" s="100"/>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232" t="s">
        <v>67</v>
      </c>
      <c r="AF32" s="232" t="s">
        <v>67</v>
      </c>
      <c r="AG32" s="232" t="s">
        <v>67</v>
      </c>
      <c r="AH32" s="232" t="s">
        <v>67</v>
      </c>
      <c r="AI32" s="232" t="s">
        <v>67</v>
      </c>
      <c r="AJ32" s="29"/>
      <c r="AL32" t="str">
        <f t="shared" ca="1" si="0"/>
        <v xml:space="preserve">    (U1)ALERT_REQ_D_SFTPOS_B_RJTB_</v>
      </c>
      <c r="AR32" s="40" t="str">
        <f t="shared" si="3"/>
        <v/>
      </c>
      <c r="AS32" s="40" t="str">
        <f t="shared" si="4"/>
        <v/>
      </c>
      <c r="AT32" s="40" t="str">
        <f t="shared" si="1"/>
        <v/>
      </c>
    </row>
    <row r="33" spans="2:46">
      <c r="B33" s="100"/>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232" t="s">
        <v>67</v>
      </c>
      <c r="AF33" s="232" t="s">
        <v>67</v>
      </c>
      <c r="AG33" s="232" t="s">
        <v>67</v>
      </c>
      <c r="AH33" s="232" t="s">
        <v>67</v>
      </c>
      <c r="AI33" s="232" t="s">
        <v>67</v>
      </c>
      <c r="AJ33" s="29"/>
      <c r="AL33" t="str">
        <f t="shared" ca="1" si="0"/>
        <v xml:space="preserve">    (U1)ALERT_REQ_D_SFTPOS_B_RJTB_</v>
      </c>
      <c r="AR33" s="40" t="str">
        <f t="shared" si="3"/>
        <v/>
      </c>
      <c r="AS33" s="40" t="str">
        <f t="shared" si="4"/>
        <v/>
      </c>
      <c r="AT33" s="40" t="str">
        <f t="shared" si="1"/>
        <v/>
      </c>
    </row>
    <row r="34" spans="2:46">
      <c r="B34" s="100"/>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232" t="s">
        <v>67</v>
      </c>
      <c r="AF34" s="232" t="s">
        <v>67</v>
      </c>
      <c r="AG34" s="232" t="s">
        <v>67</v>
      </c>
      <c r="AH34" s="232" t="s">
        <v>67</v>
      </c>
      <c r="AI34" s="232" t="s">
        <v>67</v>
      </c>
      <c r="AJ34" s="29"/>
      <c r="AL34" t="str">
        <f t="shared" ca="1" si="0"/>
        <v xml:space="preserve">    (U1)ALERT_REQ_D_SFTPOS_B_RJTB_</v>
      </c>
      <c r="AR34" s="40" t="str">
        <f t="shared" si="3"/>
        <v/>
      </c>
      <c r="AS34" s="40" t="str">
        <f t="shared" si="4"/>
        <v/>
      </c>
      <c r="AT34" s="40" t="str">
        <f t="shared" si="1"/>
        <v/>
      </c>
    </row>
    <row r="35" spans="2:46">
      <c r="B35" s="100"/>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232" t="s">
        <v>67</v>
      </c>
      <c r="AF35" s="232" t="s">
        <v>67</v>
      </c>
      <c r="AG35" s="232" t="s">
        <v>67</v>
      </c>
      <c r="AH35" s="232" t="s">
        <v>67</v>
      </c>
      <c r="AI35" s="232" t="s">
        <v>67</v>
      </c>
      <c r="AJ35" s="29"/>
      <c r="AL35" t="str">
        <f t="shared" ca="1" si="0"/>
        <v xml:space="preserve">    (U1)ALERT_REQ_D_SFTPOS_B_RJTB_</v>
      </c>
      <c r="AR35" s="40" t="str">
        <f t="shared" si="3"/>
        <v/>
      </c>
      <c r="AS35" s="40" t="str">
        <f t="shared" si="4"/>
        <v/>
      </c>
      <c r="AT35" s="40" t="str">
        <f t="shared" si="1"/>
        <v/>
      </c>
    </row>
    <row r="36" spans="2:46">
      <c r="B36" s="100"/>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232" t="s">
        <v>67</v>
      </c>
      <c r="AF36" s="232" t="s">
        <v>67</v>
      </c>
      <c r="AG36" s="232" t="s">
        <v>67</v>
      </c>
      <c r="AH36" s="232" t="s">
        <v>67</v>
      </c>
      <c r="AI36" s="232" t="s">
        <v>67</v>
      </c>
      <c r="AJ36" s="29"/>
      <c r="AL36" t="str">
        <f t="shared" ca="1" si="0"/>
        <v xml:space="preserve">    (U1)ALERT_REQ_D_SFTPOS_B_RJTB_</v>
      </c>
      <c r="AR36" s="40" t="str">
        <f t="shared" si="3"/>
        <v/>
      </c>
      <c r="AS36" s="40" t="str">
        <f t="shared" si="4"/>
        <v/>
      </c>
      <c r="AT36" s="40" t="str">
        <f t="shared" si="1"/>
        <v/>
      </c>
    </row>
    <row r="37" spans="2:46">
      <c r="B37" s="100"/>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232" t="s">
        <v>67</v>
      </c>
      <c r="AF37" s="232" t="s">
        <v>67</v>
      </c>
      <c r="AG37" s="232" t="s">
        <v>67</v>
      </c>
      <c r="AH37" s="232" t="s">
        <v>67</v>
      </c>
      <c r="AI37" s="232" t="s">
        <v>67</v>
      </c>
      <c r="AJ37" s="29"/>
      <c r="AL37" t="str">
        <f t="shared" ca="1" si="0"/>
        <v xml:space="preserve">    (U1)ALERT_REQ_D_SFTPOS_B_RJTB_</v>
      </c>
      <c r="AR37" s="40" t="str">
        <f t="shared" si="3"/>
        <v/>
      </c>
      <c r="AS37" s="40" t="str">
        <f t="shared" si="4"/>
        <v/>
      </c>
      <c r="AT37" s="40" t="str">
        <f t="shared" si="1"/>
        <v/>
      </c>
    </row>
    <row r="38" spans="2:46">
      <c r="B38" s="100"/>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(U1)ALERT_REQ_D_SFTPOS_B_RJTB_</v>
      </c>
      <c r="AR38" s="40" t="str">
        <f t="shared" si="3"/>
        <v/>
      </c>
      <c r="AS38" s="40" t="str">
        <f t="shared" si="4"/>
        <v/>
      </c>
      <c r="AT38" s="40" t="str">
        <f t="shared" si="1"/>
        <v/>
      </c>
    </row>
    <row r="39" spans="2:46">
      <c r="B39" s="100"/>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(U1)ALERT_REQ_D_SFTPOS_B_RJTB_</v>
      </c>
      <c r="AR39" s="40" t="str">
        <f t="shared" si="3"/>
        <v/>
      </c>
      <c r="AS39" s="40" t="str">
        <f t="shared" si="4"/>
        <v/>
      </c>
      <c r="AT39" s="40" t="str">
        <f t="shared" si="1"/>
        <v/>
      </c>
    </row>
    <row r="40" spans="2:46">
      <c r="B40" s="100"/>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(U1)ALERT_REQ_D_SFTPOS_B_RJTB_</v>
      </c>
      <c r="AR40" s="40" t="str">
        <f t="shared" si="3"/>
        <v/>
      </c>
      <c r="AS40" s="40" t="str">
        <f t="shared" si="4"/>
        <v/>
      </c>
      <c r="AT40" s="40" t="str">
        <f t="shared" si="1"/>
        <v/>
      </c>
    </row>
    <row r="41" spans="2:46">
      <c r="B41" s="100"/>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(U1)ALERT_REQ_D_SFTPOS_B_RJTB_</v>
      </c>
      <c r="AR41" s="40" t="str">
        <f t="shared" si="3"/>
        <v/>
      </c>
      <c r="AS41" s="40" t="str">
        <f t="shared" si="4"/>
        <v/>
      </c>
      <c r="AT41" s="40" t="str">
        <f t="shared" si="1"/>
        <v/>
      </c>
    </row>
    <row r="42" spans="2:46">
      <c r="B42" s="100"/>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(U1)ALERT_REQ_D_SFTPOS_B_RJTB_</v>
      </c>
      <c r="AR42" s="40" t="str">
        <f t="shared" si="3"/>
        <v/>
      </c>
      <c r="AS42" s="40" t="str">
        <f t="shared" si="4"/>
        <v/>
      </c>
      <c r="AT42" s="40" t="str">
        <f t="shared" si="1"/>
        <v/>
      </c>
    </row>
    <row r="43" spans="2:46">
      <c r="B43" s="100"/>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(U1)ALERT_REQ_D_SFTPOS_B_RJTB_</v>
      </c>
      <c r="AR43" s="40" t="str">
        <f t="shared" si="3"/>
        <v/>
      </c>
      <c r="AS43" s="40" t="str">
        <f t="shared" si="4"/>
        <v/>
      </c>
      <c r="AT43" s="40" t="str">
        <f t="shared" si="1"/>
        <v/>
      </c>
    </row>
    <row r="44" spans="2:46">
      <c r="B44" s="100"/>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(U1)ALERT_REQ_D_SFTPOS_B_RJTB_</v>
      </c>
      <c r="AR44" s="40" t="str">
        <f t="shared" si="3"/>
        <v/>
      </c>
      <c r="AS44" s="40" t="str">
        <f t="shared" si="4"/>
        <v/>
      </c>
      <c r="AT44" s="40" t="str">
        <f t="shared" si="1"/>
        <v/>
      </c>
    </row>
    <row r="45" spans="2:46">
      <c r="B45" s="100"/>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(U1)ALERT_REQ_D_SFTPOS_B_RJTB_</v>
      </c>
      <c r="AR45" s="40" t="str">
        <f t="shared" si="3"/>
        <v/>
      </c>
      <c r="AS45" s="40" t="str">
        <f t="shared" si="4"/>
        <v/>
      </c>
      <c r="AT45" s="40" t="str">
        <f t="shared" si="1"/>
        <v/>
      </c>
    </row>
    <row r="46" spans="2:46">
      <c r="B46" s="100"/>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(U1)ALERT_REQ_D_SFTPOS_B_RJTB_</v>
      </c>
      <c r="AR46" s="40" t="str">
        <f t="shared" si="3"/>
        <v/>
      </c>
      <c r="AS46" s="40" t="str">
        <f t="shared" si="4"/>
        <v/>
      </c>
      <c r="AT46" s="40" t="str">
        <f t="shared" si="1"/>
        <v/>
      </c>
    </row>
    <row r="47" spans="2:46">
      <c r="B47" s="100"/>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(U1)ALERT_REQ_D_SFTPOS_B_RJTB_</v>
      </c>
      <c r="AR47" s="40" t="str">
        <f t="shared" si="3"/>
        <v/>
      </c>
      <c r="AS47" s="40" t="str">
        <f t="shared" si="4"/>
        <v/>
      </c>
      <c r="AT47" s="40" t="str">
        <f t="shared" si="1"/>
        <v/>
      </c>
    </row>
    <row r="48" spans="2:46">
      <c r="B48" s="100"/>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(U1)ALERT_REQ_D_SFTPOS_B_RJTB_</v>
      </c>
      <c r="AR48" s="40" t="str">
        <f t="shared" si="3"/>
        <v/>
      </c>
      <c r="AS48" s="40" t="str">
        <f t="shared" si="4"/>
        <v/>
      </c>
      <c r="AT48" s="40" t="str">
        <f t="shared" si="1"/>
        <v/>
      </c>
    </row>
    <row r="49" spans="2:46">
      <c r="B49" s="100"/>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(U1)ALERT_REQ_D_SFTPOS_B_RJTB_</v>
      </c>
      <c r="AR49" s="40" t="str">
        <f t="shared" si="3"/>
        <v/>
      </c>
      <c r="AS49" s="40" t="str">
        <f t="shared" si="4"/>
        <v/>
      </c>
      <c r="AT49" s="40" t="str">
        <f t="shared" si="1"/>
        <v/>
      </c>
    </row>
    <row r="50" spans="2:46">
      <c r="B50" s="100"/>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(U1)ALERT_REQ_D_SFTPOS_B_RJTB_</v>
      </c>
      <c r="AR50" s="40" t="str">
        <f t="shared" si="3"/>
        <v/>
      </c>
      <c r="AS50" s="40" t="str">
        <f t="shared" si="4"/>
        <v/>
      </c>
      <c r="AT50" s="40" t="str">
        <f t="shared" si="1"/>
        <v/>
      </c>
    </row>
    <row r="51" spans="2:46">
      <c r="B51" s="100"/>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(U1)ALERT_REQ_D_SFTPOS_B_RJTB_</v>
      </c>
      <c r="AR51" s="40" t="str">
        <f t="shared" si="3"/>
        <v/>
      </c>
      <c r="AS51" s="40" t="str">
        <f t="shared" si="4"/>
        <v/>
      </c>
      <c r="AT51" s="40" t="str">
        <f t="shared" si="1"/>
        <v/>
      </c>
    </row>
    <row r="52" spans="2:46">
      <c r="B52" s="100"/>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(U1)ALERT_REQ_D_SFTPOS_B_RJTB_</v>
      </c>
      <c r="AR52" s="40" t="str">
        <f t="shared" si="3"/>
        <v/>
      </c>
      <c r="AS52" s="40" t="str">
        <f t="shared" si="4"/>
        <v/>
      </c>
      <c r="AT52" s="40" t="str">
        <f t="shared" si="1"/>
        <v/>
      </c>
    </row>
    <row r="53" spans="2:46">
      <c r="B53" s="100"/>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(U1)ALERT_REQ_D_SFTPOS_B_RJTB_</v>
      </c>
      <c r="AR53" s="40" t="str">
        <f t="shared" si="3"/>
        <v/>
      </c>
      <c r="AS53" s="40" t="str">
        <f t="shared" si="4"/>
        <v/>
      </c>
      <c r="AT53" s="40" t="str">
        <f t="shared" si="1"/>
        <v/>
      </c>
    </row>
    <row r="54" spans="2:46">
      <c r="B54" s="100"/>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(U1)ALERT_REQ_D_SFTPOS_B_RJTB_</v>
      </c>
      <c r="AR54" s="40" t="str">
        <f t="shared" si="3"/>
        <v/>
      </c>
      <c r="AS54" s="40" t="str">
        <f t="shared" si="4"/>
        <v/>
      </c>
      <c r="AT54" s="40" t="str">
        <f t="shared" si="1"/>
        <v/>
      </c>
    </row>
    <row r="55" spans="2:46">
      <c r="B55" s="100"/>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(U1)ALERT_REQ_D_SFTPOS_B_RJTB_</v>
      </c>
      <c r="AR55" s="40" t="str">
        <f t="shared" si="3"/>
        <v/>
      </c>
      <c r="AS55" s="40" t="str">
        <f t="shared" si="4"/>
        <v/>
      </c>
      <c r="AT55" s="40" t="str">
        <f t="shared" si="1"/>
        <v/>
      </c>
    </row>
    <row r="56" spans="2:46">
      <c r="B56" s="100"/>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(U1)ALERT_REQ_D_SFTPOS_B_RJTB_</v>
      </c>
      <c r="AR56" s="40" t="str">
        <f t="shared" si="3"/>
        <v/>
      </c>
      <c r="AS56" s="40" t="str">
        <f t="shared" si="4"/>
        <v/>
      </c>
      <c r="AT56" s="40" t="str">
        <f t="shared" si="1"/>
        <v/>
      </c>
    </row>
    <row r="57" spans="2:46">
      <c r="B57" s="100"/>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(U1)ALERT_REQ_D_SFTPOS_B_RJTB_</v>
      </c>
      <c r="AR57" s="40" t="str">
        <f t="shared" si="3"/>
        <v/>
      </c>
      <c r="AS57" s="40" t="str">
        <f t="shared" si="4"/>
        <v/>
      </c>
      <c r="AT57" s="40" t="str">
        <f t="shared" si="1"/>
        <v/>
      </c>
    </row>
    <row r="58" spans="2:46">
      <c r="B58" s="100"/>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(U1)ALERT_REQ_D_SFTPOS_B_RJTB_</v>
      </c>
      <c r="AR58" s="40" t="str">
        <f t="shared" si="3"/>
        <v/>
      </c>
      <c r="AS58" s="40" t="str">
        <f t="shared" si="4"/>
        <v/>
      </c>
      <c r="AT58" s="40" t="str">
        <f t="shared" si="1"/>
        <v/>
      </c>
    </row>
    <row r="59" spans="2:46">
      <c r="B59" s="100"/>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(U1)ALERT_REQ_D_SFTPOS_B_RJTB_</v>
      </c>
      <c r="AR59" s="40" t="str">
        <f t="shared" si="3"/>
        <v/>
      </c>
      <c r="AS59" s="40" t="str">
        <f t="shared" si="4"/>
        <v/>
      </c>
      <c r="AT59" s="40" t="str">
        <f t="shared" si="1"/>
        <v/>
      </c>
    </row>
    <row r="60" spans="2:46">
      <c r="B60" s="100"/>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(U1)ALERT_REQ_D_SFTPOS_B_RJTB_</v>
      </c>
      <c r="AR60" s="40" t="str">
        <f t="shared" si="3"/>
        <v/>
      </c>
      <c r="AS60" s="40" t="str">
        <f t="shared" si="4"/>
        <v/>
      </c>
      <c r="AT60" s="40" t="str">
        <f t="shared" si="1"/>
        <v/>
      </c>
    </row>
    <row r="61" spans="2:46">
      <c r="B61" s="100"/>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(U1)ALERT_REQ_D_SFTPOS_B_RJTB_</v>
      </c>
      <c r="AR61" s="40" t="str">
        <f t="shared" si="3"/>
        <v/>
      </c>
      <c r="AS61" s="40" t="str">
        <f t="shared" si="4"/>
        <v/>
      </c>
      <c r="AT61" s="40" t="str">
        <f t="shared" si="1"/>
        <v/>
      </c>
    </row>
    <row r="62" spans="2:46">
      <c r="B62" s="100"/>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(U1)ALERT_REQ_D_SFTPOS_B_RJTB_</v>
      </c>
      <c r="AR62" s="40" t="str">
        <f t="shared" si="3"/>
        <v/>
      </c>
      <c r="AS62" s="40" t="str">
        <f t="shared" si="4"/>
        <v/>
      </c>
      <c r="AT62" s="40" t="str">
        <f t="shared" si="1"/>
        <v/>
      </c>
    </row>
    <row r="63" spans="2:46">
      <c r="B63" s="100"/>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(U1)ALERT_REQ_D_SFTPOS_B_RJTB_</v>
      </c>
      <c r="AR63" s="40" t="str">
        <f t="shared" si="3"/>
        <v/>
      </c>
      <c r="AS63" s="40" t="str">
        <f t="shared" si="4"/>
        <v/>
      </c>
      <c r="AT63" s="40" t="str">
        <f t="shared" si="1"/>
        <v/>
      </c>
    </row>
    <row r="64" spans="2:46">
      <c r="B64" s="100"/>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(U1)ALERT_REQ_D_SFTPOS_B_RJTB_</v>
      </c>
      <c r="AR64" s="40" t="str">
        <f t="shared" si="3"/>
        <v/>
      </c>
      <c r="AS64" s="40" t="str">
        <f t="shared" si="4"/>
        <v/>
      </c>
      <c r="AT64" s="40" t="str">
        <f t="shared" si="1"/>
        <v/>
      </c>
    </row>
    <row r="65" spans="1:46">
      <c r="B65" s="100"/>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(U1)ALERT_REQ_D_SFTPOS_B_RJTB_</v>
      </c>
      <c r="AR65" s="40" t="str">
        <f t="shared" si="3"/>
        <v/>
      </c>
      <c r="AS65" s="40" t="str">
        <f t="shared" si="4"/>
        <v/>
      </c>
      <c r="AT65" s="40" t="str">
        <f t="shared" si="1"/>
        <v/>
      </c>
    </row>
    <row r="66" spans="1:46">
      <c r="B66" s="100"/>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(U1)ALERT_REQ_D_SFTPOS_B_RJTB_</v>
      </c>
      <c r="AR66" s="40" t="str">
        <f t="shared" si="3"/>
        <v/>
      </c>
      <c r="AS66" s="40" t="str">
        <f t="shared" si="4"/>
        <v/>
      </c>
      <c r="AT66" s="40" t="str">
        <f t="shared" si="1"/>
        <v/>
      </c>
    </row>
    <row r="67" spans="1:46">
      <c r="B67" s="100"/>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(U1)ALERT_REQ_D_SFTPOS_B_RJTB_</v>
      </c>
      <c r="AR67" s="40" t="str">
        <f t="shared" si="3"/>
        <v/>
      </c>
      <c r="AS67" s="40" t="str">
        <f t="shared" si="4"/>
        <v/>
      </c>
      <c r="AT67" s="40" t="str">
        <f t="shared" si="1"/>
        <v/>
      </c>
    </row>
    <row r="68" spans="1:46">
      <c r="B68" s="100"/>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(U1)ALERT_REQ_D_SFTPOS_B_RJTB_</v>
      </c>
      <c r="AR68" s="40" t="str">
        <f t="shared" si="3"/>
        <v/>
      </c>
      <c r="AS68" s="40" t="str">
        <f t="shared" si="4"/>
        <v/>
      </c>
      <c r="AT68" s="40" t="str">
        <f t="shared" si="1"/>
        <v/>
      </c>
    </row>
    <row r="69" spans="1:46">
      <c r="B69" s="101"/>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(U1)ALERT_REQ_D_SFTPOS_B_RJTB_</v>
      </c>
      <c r="AR69" s="40" t="str">
        <f t="shared" si="3"/>
        <v/>
      </c>
      <c r="AS69" s="40" t="str">
        <f t="shared" si="4"/>
        <v/>
      </c>
      <c r="AT69" s="40"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B_RJTB</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0</v>
      </c>
      <c r="AC72" s="93">
        <f t="shared" si="6"/>
        <v>0</v>
      </c>
      <c r="AD72" s="93">
        <f t="shared" si="6"/>
        <v>0</v>
      </c>
      <c r="AE72" s="93">
        <f t="shared" si="6"/>
        <v>0</v>
      </c>
      <c r="AF72" s="93">
        <f t="shared" si="6"/>
        <v>0</v>
      </c>
      <c r="AG72" s="93">
        <f t="shared" si="6"/>
        <v>0</v>
      </c>
      <c r="AH72" s="93">
        <f t="shared" si="6"/>
        <v>0</v>
      </c>
      <c r="AI72" s="93">
        <f t="shared" si="6"/>
        <v>1</v>
      </c>
      <c r="AJ72" s="25" t="str">
        <f t="shared" si="7"/>
        <v>DBL1</v>
      </c>
      <c r="AK72" s="38"/>
      <c r="AL72" s="38" t="str">
        <f t="shared" ref="AL72:AL134" si="10">BIN2HEX(AB72&amp;AC72&amp;AD72&amp;AE72&amp;AF72&amp;AG72&amp;AH72&amp;AI72,2)</f>
        <v>01</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(U4)0x00000001U,                                                           /* 01 DBL1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0</v>
      </c>
      <c r="AD73" s="93">
        <f t="shared" si="6"/>
        <v>0</v>
      </c>
      <c r="AE73" s="93">
        <f t="shared" si="6"/>
        <v>0</v>
      </c>
      <c r="AF73" s="93">
        <f t="shared" si="6"/>
        <v>0</v>
      </c>
      <c r="AG73" s="93">
        <f t="shared" si="6"/>
        <v>0</v>
      </c>
      <c r="AH73" s="93">
        <f t="shared" si="6"/>
        <v>1</v>
      </c>
      <c r="AI73" s="93">
        <f t="shared" si="6"/>
        <v>0</v>
      </c>
      <c r="AJ73" s="25" t="str">
        <f t="shared" si="7"/>
        <v>UNKNOWN</v>
      </c>
      <c r="AK73" s="38"/>
      <c r="AL73" s="38" t="str">
        <f t="shared" si="10"/>
        <v>02</v>
      </c>
      <c r="AM73" s="38" t="str">
        <f t="shared" si="11"/>
        <v>00</v>
      </c>
      <c r="AN73" s="38" t="str">
        <f t="shared" si="12"/>
        <v>00</v>
      </c>
      <c r="AO73" s="38" t="str">
        <f t="shared" si="13"/>
        <v>00</v>
      </c>
      <c r="AQ73" t="str">
        <f t="shared" si="8"/>
        <v xml:space="preserve">    (U4)0x00000002U,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0</v>
      </c>
      <c r="AD74" s="93">
        <f t="shared" si="6"/>
        <v>0</v>
      </c>
      <c r="AE74" s="93">
        <f t="shared" si="6"/>
        <v>0</v>
      </c>
      <c r="AF74" s="93">
        <f t="shared" si="6"/>
        <v>0</v>
      </c>
      <c r="AG74" s="93">
        <f t="shared" si="6"/>
        <v>0</v>
      </c>
      <c r="AH74" s="93">
        <f t="shared" si="6"/>
        <v>1</v>
      </c>
      <c r="AI74" s="93">
        <f t="shared" si="6"/>
        <v>1</v>
      </c>
      <c r="AJ74" s="25" t="str">
        <f t="shared" si="7"/>
        <v>UNKNOWN</v>
      </c>
      <c r="AK74" s="38"/>
      <c r="AL74" s="38" t="str">
        <f t="shared" si="10"/>
        <v>03</v>
      </c>
      <c r="AM74" s="38" t="str">
        <f t="shared" si="11"/>
        <v>00</v>
      </c>
      <c r="AN74" s="38" t="str">
        <f t="shared" si="12"/>
        <v>00</v>
      </c>
      <c r="AO74" s="38" t="str">
        <f t="shared" si="13"/>
        <v>00</v>
      </c>
      <c r="AQ74" t="str">
        <f t="shared" si="8"/>
        <v xml:space="preserve">    (U4)0x00000003U                                                            /* 03 UNKNOWN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0</v>
      </c>
      <c r="AD75" s="93">
        <f t="shared" si="6"/>
        <v>0</v>
      </c>
      <c r="AE75" s="93">
        <f t="shared" si="6"/>
        <v>0</v>
      </c>
      <c r="AF75" s="93">
        <f t="shared" si="6"/>
        <v>0</v>
      </c>
      <c r="AG75" s="93">
        <f t="shared" si="6"/>
        <v>0</v>
      </c>
      <c r="AH75" s="93">
        <f t="shared" si="6"/>
        <v>0</v>
      </c>
      <c r="AI75" s="93">
        <f t="shared" si="6"/>
        <v>0</v>
      </c>
      <c r="AJ75" s="25" t="str">
        <f t="shared" si="7"/>
        <v/>
      </c>
      <c r="AK75" s="38"/>
      <c r="AL75" s="38" t="str">
        <f t="shared" si="10"/>
        <v>00</v>
      </c>
      <c r="AM75" s="38" t="str">
        <f t="shared" si="11"/>
        <v>00</v>
      </c>
      <c r="AN75" s="38" t="str">
        <f t="shared" si="12"/>
        <v>00</v>
      </c>
      <c r="AO75" s="38" t="str">
        <f t="shared" si="13"/>
        <v>00</v>
      </c>
      <c r="AQ75" t="str">
        <f t="shared" si="8"/>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0</v>
      </c>
      <c r="AD76" s="93">
        <f t="shared" si="6"/>
        <v>0</v>
      </c>
      <c r="AE76" s="93">
        <f t="shared" si="6"/>
        <v>0</v>
      </c>
      <c r="AF76" s="93">
        <f t="shared" si="6"/>
        <v>0</v>
      </c>
      <c r="AG76" s="93">
        <f t="shared" si="6"/>
        <v>0</v>
      </c>
      <c r="AH76" s="93">
        <f t="shared" si="6"/>
        <v>0</v>
      </c>
      <c r="AI76" s="93">
        <f t="shared" si="6"/>
        <v>0</v>
      </c>
      <c r="AJ76" s="25" t="str">
        <f t="shared" si="7"/>
        <v/>
      </c>
      <c r="AK76" s="38"/>
      <c r="AL76" s="38" t="str">
        <f t="shared" si="10"/>
        <v>00</v>
      </c>
      <c r="AM76" s="38" t="str">
        <f t="shared" si="11"/>
        <v>00</v>
      </c>
      <c r="AN76" s="38" t="str">
        <f t="shared" si="12"/>
        <v>00</v>
      </c>
      <c r="AO76" s="38" t="str">
        <f t="shared" si="13"/>
        <v>00</v>
      </c>
      <c r="AQ76" t="str">
        <f t="shared" si="8"/>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0</v>
      </c>
      <c r="AD77" s="93">
        <f t="shared" si="6"/>
        <v>0</v>
      </c>
      <c r="AE77" s="93">
        <f t="shared" si="6"/>
        <v>0</v>
      </c>
      <c r="AF77" s="93">
        <f t="shared" si="6"/>
        <v>0</v>
      </c>
      <c r="AG77" s="93">
        <f t="shared" si="6"/>
        <v>0</v>
      </c>
      <c r="AH77" s="93">
        <f t="shared" si="6"/>
        <v>0</v>
      </c>
      <c r="AI77" s="93">
        <f t="shared" si="6"/>
        <v>0</v>
      </c>
      <c r="AJ77" s="25" t="str">
        <f t="shared" si="7"/>
        <v/>
      </c>
      <c r="AK77" s="38"/>
      <c r="AL77" s="38" t="str">
        <f t="shared" si="10"/>
        <v>00</v>
      </c>
      <c r="AM77" s="38" t="str">
        <f t="shared" si="11"/>
        <v>00</v>
      </c>
      <c r="AN77" s="38" t="str">
        <f t="shared" si="12"/>
        <v>00</v>
      </c>
      <c r="AO77" s="38" t="str">
        <f t="shared" si="13"/>
        <v>00</v>
      </c>
      <c r="AQ77" t="str">
        <f t="shared" si="8"/>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0</v>
      </c>
      <c r="AD78" s="93">
        <f t="shared" si="6"/>
        <v>0</v>
      </c>
      <c r="AE78" s="93">
        <f t="shared" si="6"/>
        <v>0</v>
      </c>
      <c r="AF78" s="93">
        <f t="shared" si="6"/>
        <v>0</v>
      </c>
      <c r="AG78" s="93">
        <f t="shared" si="6"/>
        <v>0</v>
      </c>
      <c r="AH78" s="93">
        <f t="shared" si="6"/>
        <v>0</v>
      </c>
      <c r="AI78" s="93">
        <f t="shared" ref="AI78" si="14">IF(AI13=1,1,0)</f>
        <v>0</v>
      </c>
      <c r="AJ78" s="25" t="str">
        <f t="shared" si="7"/>
        <v/>
      </c>
      <c r="AK78" s="38"/>
      <c r="AL78" s="38" t="str">
        <f t="shared" si="10"/>
        <v>00</v>
      </c>
      <c r="AM78" s="38" t="str">
        <f t="shared" si="11"/>
        <v>00</v>
      </c>
      <c r="AN78" s="38" t="str">
        <f t="shared" si="12"/>
        <v>00</v>
      </c>
      <c r="AO78" s="38" t="str">
        <f t="shared" si="13"/>
        <v>00</v>
      </c>
      <c r="AQ78" t="str">
        <f t="shared" si="8"/>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0</v>
      </c>
      <c r="AD79" s="93">
        <f t="shared" si="15"/>
        <v>0</v>
      </c>
      <c r="AE79" s="93">
        <f t="shared" si="15"/>
        <v>0</v>
      </c>
      <c r="AF79" s="93">
        <f t="shared" si="15"/>
        <v>0</v>
      </c>
      <c r="AG79" s="93">
        <f t="shared" si="15"/>
        <v>0</v>
      </c>
      <c r="AH79" s="93">
        <f t="shared" si="15"/>
        <v>0</v>
      </c>
      <c r="AI79" s="93">
        <f t="shared" si="15"/>
        <v>0</v>
      </c>
      <c r="AJ79" s="25" t="str">
        <f t="shared" si="7"/>
        <v/>
      </c>
      <c r="AK79" s="38"/>
      <c r="AL79" s="38" t="str">
        <f t="shared" si="10"/>
        <v>00</v>
      </c>
      <c r="AM79" s="38" t="str">
        <f t="shared" si="11"/>
        <v>00</v>
      </c>
      <c r="AN79" s="38" t="str">
        <f t="shared" si="12"/>
        <v>00</v>
      </c>
      <c r="AO79" s="38" t="str">
        <f t="shared" si="13"/>
        <v>00</v>
      </c>
      <c r="AQ79" t="str">
        <f t="shared" si="8"/>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0</v>
      </c>
      <c r="AD80" s="93">
        <f t="shared" si="15"/>
        <v>0</v>
      </c>
      <c r="AE80" s="93">
        <f t="shared" si="15"/>
        <v>0</v>
      </c>
      <c r="AF80" s="93">
        <f t="shared" si="15"/>
        <v>0</v>
      </c>
      <c r="AG80" s="93">
        <f t="shared" si="15"/>
        <v>0</v>
      </c>
      <c r="AH80" s="93">
        <f t="shared" si="15"/>
        <v>0</v>
      </c>
      <c r="AI80" s="93">
        <f t="shared" si="15"/>
        <v>0</v>
      </c>
      <c r="AJ80" s="25" t="str">
        <f t="shared" si="7"/>
        <v/>
      </c>
      <c r="AK80" s="38"/>
      <c r="AL80" s="38" t="str">
        <f t="shared" si="10"/>
        <v>00</v>
      </c>
      <c r="AM80" s="38" t="str">
        <f t="shared" si="11"/>
        <v>00</v>
      </c>
      <c r="AN80" s="38" t="str">
        <f t="shared" si="12"/>
        <v>00</v>
      </c>
      <c r="AO80" s="38" t="str">
        <f t="shared" si="13"/>
        <v>00</v>
      </c>
      <c r="AQ80" t="str">
        <f t="shared" si="8"/>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0</v>
      </c>
      <c r="AD81" s="93">
        <f t="shared" si="15"/>
        <v>0</v>
      </c>
      <c r="AE81" s="93">
        <f t="shared" si="15"/>
        <v>0</v>
      </c>
      <c r="AF81" s="93">
        <f t="shared" si="15"/>
        <v>0</v>
      </c>
      <c r="AG81" s="93">
        <f t="shared" si="15"/>
        <v>0</v>
      </c>
      <c r="AH81" s="93">
        <f t="shared" si="15"/>
        <v>0</v>
      </c>
      <c r="AI81" s="93">
        <f t="shared" si="15"/>
        <v>0</v>
      </c>
      <c r="AJ81" s="25" t="str">
        <f t="shared" si="7"/>
        <v/>
      </c>
      <c r="AK81" s="38"/>
      <c r="AL81" s="38" t="str">
        <f t="shared" si="10"/>
        <v>00</v>
      </c>
      <c r="AM81" s="38" t="str">
        <f t="shared" si="11"/>
        <v>00</v>
      </c>
      <c r="AN81" s="38" t="str">
        <f t="shared" si="12"/>
        <v>00</v>
      </c>
      <c r="AO81" s="38" t="str">
        <f t="shared" si="13"/>
        <v>00</v>
      </c>
      <c r="AQ81" t="str">
        <f t="shared" si="8"/>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0</v>
      </c>
      <c r="AD82" s="93">
        <f t="shared" si="15"/>
        <v>0</v>
      </c>
      <c r="AE82" s="93">
        <f t="shared" si="15"/>
        <v>0</v>
      </c>
      <c r="AF82" s="93">
        <f t="shared" si="15"/>
        <v>0</v>
      </c>
      <c r="AG82" s="93">
        <f t="shared" si="15"/>
        <v>0</v>
      </c>
      <c r="AH82" s="93">
        <f t="shared" si="15"/>
        <v>0</v>
      </c>
      <c r="AI82" s="93">
        <f t="shared" si="15"/>
        <v>0</v>
      </c>
      <c r="AJ82" s="25" t="str">
        <f t="shared" si="7"/>
        <v/>
      </c>
      <c r="AK82" s="38"/>
      <c r="AL82" s="38" t="str">
        <f t="shared" si="10"/>
        <v>00</v>
      </c>
      <c r="AM82" s="38" t="str">
        <f t="shared" si="11"/>
        <v>00</v>
      </c>
      <c r="AN82" s="38" t="str">
        <f t="shared" si="12"/>
        <v>00</v>
      </c>
      <c r="AO82" s="38" t="str">
        <f t="shared" si="13"/>
        <v>00</v>
      </c>
      <c r="AQ82" t="str">
        <f t="shared" si="8"/>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0</v>
      </c>
      <c r="AD83" s="93">
        <f t="shared" si="15"/>
        <v>0</v>
      </c>
      <c r="AE83" s="93">
        <f t="shared" si="15"/>
        <v>0</v>
      </c>
      <c r="AF83" s="93">
        <f t="shared" si="15"/>
        <v>0</v>
      </c>
      <c r="AG83" s="93">
        <f t="shared" si="15"/>
        <v>0</v>
      </c>
      <c r="AH83" s="93">
        <f t="shared" si="15"/>
        <v>0</v>
      </c>
      <c r="AI83" s="93">
        <f t="shared" si="15"/>
        <v>0</v>
      </c>
      <c r="AJ83" s="25" t="str">
        <f t="shared" si="7"/>
        <v/>
      </c>
      <c r="AK83" s="38"/>
      <c r="AL83" s="38" t="str">
        <f t="shared" si="10"/>
        <v>00</v>
      </c>
      <c r="AM83" s="38" t="str">
        <f t="shared" si="11"/>
        <v>00</v>
      </c>
      <c r="AN83" s="38" t="str">
        <f t="shared" si="12"/>
        <v>00</v>
      </c>
      <c r="AO83" s="38" t="str">
        <f t="shared" si="13"/>
        <v>00</v>
      </c>
      <c r="AQ83" t="str">
        <f t="shared" si="8"/>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0</v>
      </c>
      <c r="AD84" s="93">
        <f t="shared" si="15"/>
        <v>0</v>
      </c>
      <c r="AE84" s="93">
        <f t="shared" si="15"/>
        <v>0</v>
      </c>
      <c r="AF84" s="93">
        <f t="shared" si="15"/>
        <v>0</v>
      </c>
      <c r="AG84" s="93">
        <f t="shared" si="15"/>
        <v>0</v>
      </c>
      <c r="AH84" s="93">
        <f t="shared" si="15"/>
        <v>0</v>
      </c>
      <c r="AI84" s="93">
        <f t="shared" si="15"/>
        <v>0</v>
      </c>
      <c r="AJ84" s="25" t="str">
        <f t="shared" si="7"/>
        <v/>
      </c>
      <c r="AK84" s="38"/>
      <c r="AL84" s="38" t="str">
        <f t="shared" si="10"/>
        <v>00</v>
      </c>
      <c r="AM84" s="38" t="str">
        <f t="shared" si="11"/>
        <v>00</v>
      </c>
      <c r="AN84" s="38" t="str">
        <f t="shared" si="12"/>
        <v>00</v>
      </c>
      <c r="AO84" s="38" t="str">
        <f t="shared" si="13"/>
        <v>00</v>
      </c>
      <c r="AQ84" t="str">
        <f t="shared" si="8"/>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0</v>
      </c>
      <c r="AD85" s="93">
        <f t="shared" si="15"/>
        <v>0</v>
      </c>
      <c r="AE85" s="93">
        <f t="shared" si="15"/>
        <v>0</v>
      </c>
      <c r="AF85" s="93">
        <f t="shared" si="15"/>
        <v>0</v>
      </c>
      <c r="AG85" s="93">
        <f t="shared" si="15"/>
        <v>0</v>
      </c>
      <c r="AH85" s="93">
        <f t="shared" si="15"/>
        <v>0</v>
      </c>
      <c r="AI85" s="93">
        <f t="shared" si="15"/>
        <v>0</v>
      </c>
      <c r="AJ85" s="25" t="str">
        <f t="shared" si="7"/>
        <v/>
      </c>
      <c r="AK85" s="38"/>
      <c r="AL85" s="38" t="str">
        <f t="shared" si="10"/>
        <v>00</v>
      </c>
      <c r="AM85" s="38" t="str">
        <f t="shared" si="11"/>
        <v>00</v>
      </c>
      <c r="AN85" s="38" t="str">
        <f t="shared" si="12"/>
        <v>00</v>
      </c>
      <c r="AO85" s="38" t="str">
        <f t="shared" si="13"/>
        <v>00</v>
      </c>
      <c r="AQ85" t="str">
        <f t="shared" si="8"/>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0</v>
      </c>
      <c r="AD86" s="93">
        <f t="shared" si="15"/>
        <v>0</v>
      </c>
      <c r="AE86" s="93">
        <f t="shared" si="15"/>
        <v>0</v>
      </c>
      <c r="AF86" s="93">
        <f t="shared" si="15"/>
        <v>0</v>
      </c>
      <c r="AG86" s="93">
        <f t="shared" si="15"/>
        <v>0</v>
      </c>
      <c r="AH86" s="93">
        <f t="shared" si="15"/>
        <v>0</v>
      </c>
      <c r="AI86" s="93">
        <f t="shared" ref="AI86" si="16">IF(AI21=1,1,0)</f>
        <v>0</v>
      </c>
      <c r="AJ86" s="25" t="str">
        <f t="shared" si="7"/>
        <v/>
      </c>
      <c r="AK86" s="38"/>
      <c r="AL86" s="38" t="str">
        <f t="shared" si="10"/>
        <v>00</v>
      </c>
      <c r="AM86" s="38" t="str">
        <f t="shared" si="11"/>
        <v>00</v>
      </c>
      <c r="AN86" s="38" t="str">
        <f t="shared" si="12"/>
        <v>00</v>
      </c>
      <c r="AO86" s="38" t="str">
        <f t="shared" si="13"/>
        <v>00</v>
      </c>
      <c r="AQ86" t="str">
        <f t="shared" si="8"/>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0</v>
      </c>
      <c r="AD87" s="93">
        <f t="shared" si="17"/>
        <v>0</v>
      </c>
      <c r="AE87" s="93">
        <f t="shared" si="17"/>
        <v>0</v>
      </c>
      <c r="AF87" s="93">
        <f t="shared" si="17"/>
        <v>0</v>
      </c>
      <c r="AG87" s="93">
        <f t="shared" si="17"/>
        <v>0</v>
      </c>
      <c r="AH87" s="93">
        <f t="shared" si="17"/>
        <v>0</v>
      </c>
      <c r="AI87" s="93">
        <f t="shared" si="17"/>
        <v>0</v>
      </c>
      <c r="AJ87" s="25" t="str">
        <f t="shared" si="7"/>
        <v/>
      </c>
      <c r="AK87" s="38"/>
      <c r="AL87" s="38" t="str">
        <f t="shared" si="10"/>
        <v>00</v>
      </c>
      <c r="AM87" s="38" t="str">
        <f t="shared" si="11"/>
        <v>00</v>
      </c>
      <c r="AN87" s="38" t="str">
        <f t="shared" si="12"/>
        <v>00</v>
      </c>
      <c r="AO87" s="38" t="str">
        <f t="shared" si="13"/>
        <v>00</v>
      </c>
      <c r="AQ87" t="str">
        <f t="shared" si="8"/>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0</v>
      </c>
      <c r="AD88" s="93">
        <f t="shared" si="17"/>
        <v>0</v>
      </c>
      <c r="AE88" s="93">
        <f t="shared" si="17"/>
        <v>0</v>
      </c>
      <c r="AF88" s="93">
        <f t="shared" si="17"/>
        <v>0</v>
      </c>
      <c r="AG88" s="93">
        <f t="shared" si="17"/>
        <v>0</v>
      </c>
      <c r="AH88" s="93">
        <f t="shared" si="17"/>
        <v>0</v>
      </c>
      <c r="AI88" s="93">
        <f t="shared" si="17"/>
        <v>0</v>
      </c>
      <c r="AJ88" s="25" t="str">
        <f t="shared" si="7"/>
        <v/>
      </c>
      <c r="AK88" s="38"/>
      <c r="AL88" s="38" t="str">
        <f t="shared" si="10"/>
        <v>00</v>
      </c>
      <c r="AM88" s="38" t="str">
        <f t="shared" si="11"/>
        <v>00</v>
      </c>
      <c r="AN88" s="38" t="str">
        <f t="shared" si="12"/>
        <v>00</v>
      </c>
      <c r="AO88" s="38" t="str">
        <f t="shared" si="13"/>
        <v>00</v>
      </c>
      <c r="AQ88" t="str">
        <f t="shared" si="8"/>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0</v>
      </c>
      <c r="AD89" s="93">
        <f t="shared" si="17"/>
        <v>0</v>
      </c>
      <c r="AE89" s="93">
        <f t="shared" si="17"/>
        <v>0</v>
      </c>
      <c r="AF89" s="93">
        <f t="shared" si="17"/>
        <v>0</v>
      </c>
      <c r="AG89" s="93">
        <f t="shared" si="17"/>
        <v>0</v>
      </c>
      <c r="AH89" s="93">
        <f t="shared" si="17"/>
        <v>0</v>
      </c>
      <c r="AI89" s="93">
        <f t="shared" si="17"/>
        <v>0</v>
      </c>
      <c r="AJ89" s="25" t="str">
        <f t="shared" si="7"/>
        <v/>
      </c>
      <c r="AK89" s="38"/>
      <c r="AL89" s="38" t="str">
        <f t="shared" si="10"/>
        <v>00</v>
      </c>
      <c r="AM89" s="38" t="str">
        <f t="shared" si="11"/>
        <v>00</v>
      </c>
      <c r="AN89" s="38" t="str">
        <f t="shared" si="12"/>
        <v>00</v>
      </c>
      <c r="AO89" s="38" t="str">
        <f t="shared" si="13"/>
        <v>00</v>
      </c>
      <c r="AQ89" t="str">
        <f t="shared" si="8"/>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0</v>
      </c>
      <c r="AF90" s="93">
        <f t="shared" si="17"/>
        <v>0</v>
      </c>
      <c r="AG90" s="93">
        <f t="shared" si="17"/>
        <v>0</v>
      </c>
      <c r="AH90" s="93">
        <f t="shared" si="17"/>
        <v>0</v>
      </c>
      <c r="AI90" s="93">
        <f t="shared" si="17"/>
        <v>0</v>
      </c>
      <c r="AJ90" s="25" t="str">
        <f t="shared" si="7"/>
        <v/>
      </c>
      <c r="AK90" s="38"/>
      <c r="AL90" s="38" t="str">
        <f t="shared" si="10"/>
        <v>00</v>
      </c>
      <c r="AM90" s="38" t="str">
        <f t="shared" si="11"/>
        <v>00</v>
      </c>
      <c r="AN90" s="38" t="str">
        <f t="shared" si="12"/>
        <v>00</v>
      </c>
      <c r="AO90" s="38" t="str">
        <f t="shared" si="13"/>
        <v>00</v>
      </c>
      <c r="AQ90" t="str">
        <f t="shared" si="8"/>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7"/>
        <v/>
      </c>
      <c r="AK91" s="38"/>
      <c r="AL91" s="38" t="str">
        <f t="shared" si="10"/>
        <v>00</v>
      </c>
      <c r="AM91" s="38" t="str">
        <f t="shared" si="11"/>
        <v>00</v>
      </c>
      <c r="AN91" s="38" t="str">
        <f t="shared" si="12"/>
        <v>00</v>
      </c>
      <c r="AO91" s="38" t="str">
        <f t="shared" si="13"/>
        <v>00</v>
      </c>
      <c r="AQ91" t="str">
        <f t="shared" si="8"/>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7"/>
        <v/>
      </c>
      <c r="AK92" s="38"/>
      <c r="AL92" s="38" t="str">
        <f t="shared" si="10"/>
        <v>00</v>
      </c>
      <c r="AM92" s="38" t="str">
        <f t="shared" si="11"/>
        <v>00</v>
      </c>
      <c r="AN92" s="38" t="str">
        <f t="shared" si="12"/>
        <v>00</v>
      </c>
      <c r="AO92" s="38" t="str">
        <f t="shared" si="13"/>
        <v>00</v>
      </c>
      <c r="AQ92" t="str">
        <f t="shared" si="8"/>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7"/>
        <v/>
      </c>
      <c r="AK93" s="38"/>
      <c r="AL93" s="38" t="str">
        <f t="shared" si="10"/>
        <v>00</v>
      </c>
      <c r="AM93" s="38" t="str">
        <f t="shared" si="11"/>
        <v>00</v>
      </c>
      <c r="AN93" s="38" t="str">
        <f t="shared" si="12"/>
        <v>00</v>
      </c>
      <c r="AO93" s="38" t="str">
        <f t="shared" si="13"/>
        <v>00</v>
      </c>
      <c r="AQ93" t="str">
        <f t="shared" si="8"/>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B_RJTB</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0</v>
      </c>
      <c r="AC136" s="93">
        <f t="shared" si="29"/>
        <v>0</v>
      </c>
      <c r="AD136" s="93">
        <f t="shared" si="29"/>
        <v>0</v>
      </c>
      <c r="AE136" s="93">
        <f t="shared" si="29"/>
        <v>0</v>
      </c>
      <c r="AF136" s="93">
        <f t="shared" si="29"/>
        <v>0</v>
      </c>
      <c r="AG136" s="93">
        <f t="shared" si="29"/>
        <v>0</v>
      </c>
      <c r="AH136" s="93">
        <f t="shared" si="29"/>
        <v>1</v>
      </c>
      <c r="AI136" s="93">
        <f t="shared" si="29"/>
        <v>1</v>
      </c>
      <c r="AJ136" s="25" t="str">
        <f t="shared" ref="AJ136:AJ199" si="30">IF(AJ6&lt;&gt;"",AJ6,"")</f>
        <v>UNKNOWN</v>
      </c>
      <c r="AK136" s="38"/>
      <c r="AL136" s="38" t="str">
        <f>BIN2HEX(AB136&amp;AC136&amp;AD136&amp;AE136&amp;AF136&amp;AG136&amp;AH136&amp;AI136,2)</f>
        <v>03</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0</v>
      </c>
      <c r="AC137" s="93">
        <f t="shared" si="29"/>
        <v>0</v>
      </c>
      <c r="AD137" s="93">
        <f t="shared" si="29"/>
        <v>0</v>
      </c>
      <c r="AE137" s="93">
        <f t="shared" si="29"/>
        <v>0</v>
      </c>
      <c r="AF137" s="93">
        <f t="shared" si="29"/>
        <v>0</v>
      </c>
      <c r="AG137" s="93">
        <f t="shared" si="29"/>
        <v>0</v>
      </c>
      <c r="AH137" s="93">
        <f t="shared" si="29"/>
        <v>1</v>
      </c>
      <c r="AI137" s="93">
        <f t="shared" si="29"/>
        <v>1</v>
      </c>
      <c r="AJ137" s="25" t="str">
        <f t="shared" si="30"/>
        <v>DBL1</v>
      </c>
      <c r="AK137" s="38"/>
      <c r="AL137" s="38" t="str">
        <f t="shared" ref="AL137:AL199" si="33">BIN2HEX(AB137&amp;AC137&amp;AD137&amp;AE137&amp;AF137&amp;AG137&amp;AH137&amp;AI137,2)</f>
        <v>03</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(U4)0x00000003U,                                                           /* 01 DBL1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0</v>
      </c>
      <c r="AD138" s="93">
        <f t="shared" si="29"/>
        <v>0</v>
      </c>
      <c r="AE138" s="93">
        <f t="shared" si="29"/>
        <v>0</v>
      </c>
      <c r="AF138" s="93">
        <f t="shared" si="29"/>
        <v>0</v>
      </c>
      <c r="AG138" s="93">
        <f t="shared" si="29"/>
        <v>0</v>
      </c>
      <c r="AH138" s="93">
        <f t="shared" si="29"/>
        <v>1</v>
      </c>
      <c r="AI138" s="93">
        <f t="shared" si="29"/>
        <v>1</v>
      </c>
      <c r="AJ138" s="25" t="str">
        <f t="shared" si="30"/>
        <v>UNKNOWN</v>
      </c>
      <c r="AK138" s="38"/>
      <c r="AL138" s="38" t="str">
        <f t="shared" si="33"/>
        <v>03</v>
      </c>
      <c r="AM138" s="38" t="str">
        <f t="shared" si="34"/>
        <v>00</v>
      </c>
      <c r="AN138" s="38" t="str">
        <f t="shared" si="35"/>
        <v>00</v>
      </c>
      <c r="AO138" s="38" t="str">
        <f t="shared" si="36"/>
        <v>00</v>
      </c>
      <c r="AQ138" t="str">
        <f t="shared" si="31"/>
        <v xml:space="preserve">    (U4)0x00000003U,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0</v>
      </c>
      <c r="AD139" s="93">
        <f t="shared" si="29"/>
        <v>0</v>
      </c>
      <c r="AE139" s="93">
        <f t="shared" si="29"/>
        <v>0</v>
      </c>
      <c r="AF139" s="93">
        <f t="shared" si="29"/>
        <v>0</v>
      </c>
      <c r="AG139" s="93">
        <f t="shared" si="29"/>
        <v>0</v>
      </c>
      <c r="AH139" s="93">
        <f t="shared" si="29"/>
        <v>1</v>
      </c>
      <c r="AI139" s="93">
        <f t="shared" si="29"/>
        <v>1</v>
      </c>
      <c r="AJ139" s="25" t="str">
        <f t="shared" si="30"/>
        <v>UNKNOWN</v>
      </c>
      <c r="AK139" s="38"/>
      <c r="AL139" s="38" t="str">
        <f t="shared" si="33"/>
        <v>03</v>
      </c>
      <c r="AM139" s="38" t="str">
        <f t="shared" si="34"/>
        <v>00</v>
      </c>
      <c r="AN139" s="38" t="str">
        <f t="shared" si="35"/>
        <v>00</v>
      </c>
      <c r="AO139" s="38" t="str">
        <f t="shared" si="36"/>
        <v>00</v>
      </c>
      <c r="AQ139" t="str">
        <f t="shared" si="31"/>
        <v xml:space="preserve">    (U4)0x00000003U                                                            /* 03 UNKNOWN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0</v>
      </c>
      <c r="AD140" s="93">
        <f t="shared" si="29"/>
        <v>0</v>
      </c>
      <c r="AE140" s="93">
        <f t="shared" si="29"/>
        <v>0</v>
      </c>
      <c r="AF140" s="93">
        <f t="shared" si="29"/>
        <v>0</v>
      </c>
      <c r="AG140" s="93">
        <f t="shared" si="29"/>
        <v>0</v>
      </c>
      <c r="AH140" s="93">
        <f t="shared" si="29"/>
        <v>0</v>
      </c>
      <c r="AI140" s="93">
        <f t="shared" si="29"/>
        <v>0</v>
      </c>
      <c r="AJ140" s="25" t="str">
        <f t="shared" si="30"/>
        <v/>
      </c>
      <c r="AK140" s="38"/>
      <c r="AL140" s="38" t="str">
        <f t="shared" si="33"/>
        <v>00</v>
      </c>
      <c r="AM140" s="38" t="str">
        <f t="shared" si="34"/>
        <v>00</v>
      </c>
      <c r="AN140" s="38" t="str">
        <f t="shared" si="35"/>
        <v>00</v>
      </c>
      <c r="AO140" s="38" t="str">
        <f t="shared" si="36"/>
        <v>00</v>
      </c>
      <c r="AQ140" t="str">
        <f t="shared" si="31"/>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0</v>
      </c>
      <c r="AD141" s="93">
        <f t="shared" si="29"/>
        <v>0</v>
      </c>
      <c r="AE141" s="93">
        <f t="shared" si="29"/>
        <v>0</v>
      </c>
      <c r="AF141" s="93">
        <f t="shared" si="29"/>
        <v>0</v>
      </c>
      <c r="AG141" s="93">
        <f t="shared" si="29"/>
        <v>0</v>
      </c>
      <c r="AH141" s="93">
        <f t="shared" si="29"/>
        <v>0</v>
      </c>
      <c r="AI141" s="93">
        <f t="shared" si="29"/>
        <v>0</v>
      </c>
      <c r="AJ141" s="25" t="str">
        <f t="shared" si="30"/>
        <v/>
      </c>
      <c r="AK141" s="38"/>
      <c r="AL141" s="38" t="str">
        <f t="shared" si="33"/>
        <v>00</v>
      </c>
      <c r="AM141" s="38" t="str">
        <f t="shared" si="34"/>
        <v>00</v>
      </c>
      <c r="AN141" s="38" t="str">
        <f t="shared" si="35"/>
        <v>00</v>
      </c>
      <c r="AO141" s="38" t="str">
        <f t="shared" si="36"/>
        <v>00</v>
      </c>
      <c r="AQ141" t="str">
        <f t="shared" si="31"/>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0</v>
      </c>
      <c r="AD142" s="93">
        <f t="shared" si="29"/>
        <v>0</v>
      </c>
      <c r="AE142" s="93">
        <f t="shared" si="29"/>
        <v>0</v>
      </c>
      <c r="AF142" s="93">
        <f t="shared" si="29"/>
        <v>0</v>
      </c>
      <c r="AG142" s="93">
        <f t="shared" si="29"/>
        <v>0</v>
      </c>
      <c r="AH142" s="93">
        <f t="shared" si="29"/>
        <v>0</v>
      </c>
      <c r="AI142" s="93">
        <f t="shared" si="29"/>
        <v>0</v>
      </c>
      <c r="AJ142" s="25" t="str">
        <f t="shared" si="30"/>
        <v/>
      </c>
      <c r="AK142" s="38"/>
      <c r="AL142" s="38" t="str">
        <f t="shared" si="33"/>
        <v>00</v>
      </c>
      <c r="AM142" s="38" t="str">
        <f t="shared" si="34"/>
        <v>00</v>
      </c>
      <c r="AN142" s="38" t="str">
        <f t="shared" si="35"/>
        <v>00</v>
      </c>
      <c r="AO142" s="38" t="str">
        <f t="shared" si="36"/>
        <v>00</v>
      </c>
      <c r="AQ142" t="str">
        <f t="shared" si="31"/>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0</v>
      </c>
      <c r="AD143" s="93">
        <f t="shared" si="29"/>
        <v>0</v>
      </c>
      <c r="AE143" s="93">
        <f t="shared" si="29"/>
        <v>0</v>
      </c>
      <c r="AF143" s="93">
        <f t="shared" si="29"/>
        <v>0</v>
      </c>
      <c r="AG143" s="93">
        <f t="shared" si="29"/>
        <v>0</v>
      </c>
      <c r="AH143" s="93">
        <f t="shared" si="29"/>
        <v>0</v>
      </c>
      <c r="AI143" s="93">
        <f t="shared" ref="AI143" si="37">IF(OR(AI13=0,AI13=1),1,0)</f>
        <v>0</v>
      </c>
      <c r="AJ143" s="25" t="str">
        <f t="shared" si="30"/>
        <v/>
      </c>
      <c r="AK143" s="38"/>
      <c r="AL143" s="38" t="str">
        <f t="shared" si="33"/>
        <v>00</v>
      </c>
      <c r="AM143" s="38" t="str">
        <f t="shared" si="34"/>
        <v>00</v>
      </c>
      <c r="AN143" s="38" t="str">
        <f t="shared" si="35"/>
        <v>00</v>
      </c>
      <c r="AO143" s="38" t="str">
        <f t="shared" si="36"/>
        <v>00</v>
      </c>
      <c r="AQ143" t="str">
        <f t="shared" si="31"/>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0</v>
      </c>
      <c r="AD144" s="93">
        <f t="shared" si="38"/>
        <v>0</v>
      </c>
      <c r="AE144" s="93">
        <f t="shared" si="38"/>
        <v>0</v>
      </c>
      <c r="AF144" s="93">
        <f t="shared" si="38"/>
        <v>0</v>
      </c>
      <c r="AG144" s="93">
        <f t="shared" si="38"/>
        <v>0</v>
      </c>
      <c r="AH144" s="93">
        <f t="shared" si="38"/>
        <v>0</v>
      </c>
      <c r="AI144" s="93">
        <f t="shared" si="38"/>
        <v>0</v>
      </c>
      <c r="AJ144" s="25" t="str">
        <f t="shared" si="30"/>
        <v/>
      </c>
      <c r="AK144" s="38"/>
      <c r="AL144" s="38" t="str">
        <f t="shared" si="33"/>
        <v>00</v>
      </c>
      <c r="AM144" s="38" t="str">
        <f t="shared" si="34"/>
        <v>00</v>
      </c>
      <c r="AN144" s="38" t="str">
        <f t="shared" si="35"/>
        <v>00</v>
      </c>
      <c r="AO144" s="38" t="str">
        <f t="shared" si="36"/>
        <v>00</v>
      </c>
      <c r="AQ144" t="str">
        <f t="shared" si="31"/>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0</v>
      </c>
      <c r="AD145" s="93">
        <f t="shared" si="38"/>
        <v>0</v>
      </c>
      <c r="AE145" s="93">
        <f t="shared" si="38"/>
        <v>0</v>
      </c>
      <c r="AF145" s="93">
        <f t="shared" si="38"/>
        <v>0</v>
      </c>
      <c r="AG145" s="93">
        <f t="shared" si="38"/>
        <v>0</v>
      </c>
      <c r="AH145" s="93">
        <f t="shared" si="38"/>
        <v>0</v>
      </c>
      <c r="AI145" s="93">
        <f t="shared" si="38"/>
        <v>0</v>
      </c>
      <c r="AJ145" s="25" t="str">
        <f t="shared" si="30"/>
        <v/>
      </c>
      <c r="AK145" s="38"/>
      <c r="AL145" s="38" t="str">
        <f t="shared" si="33"/>
        <v>00</v>
      </c>
      <c r="AM145" s="38" t="str">
        <f t="shared" si="34"/>
        <v>00</v>
      </c>
      <c r="AN145" s="38" t="str">
        <f t="shared" si="35"/>
        <v>00</v>
      </c>
      <c r="AO145" s="38" t="str">
        <f t="shared" si="36"/>
        <v>00</v>
      </c>
      <c r="AQ145" t="str">
        <f t="shared" si="31"/>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0</v>
      </c>
      <c r="AD146" s="93">
        <f t="shared" si="38"/>
        <v>0</v>
      </c>
      <c r="AE146" s="93">
        <f t="shared" si="38"/>
        <v>0</v>
      </c>
      <c r="AF146" s="93">
        <f t="shared" si="38"/>
        <v>0</v>
      </c>
      <c r="AG146" s="93">
        <f t="shared" si="38"/>
        <v>0</v>
      </c>
      <c r="AH146" s="93">
        <f t="shared" si="38"/>
        <v>0</v>
      </c>
      <c r="AI146" s="93">
        <f t="shared" si="38"/>
        <v>0</v>
      </c>
      <c r="AJ146" s="25" t="str">
        <f t="shared" si="30"/>
        <v/>
      </c>
      <c r="AK146" s="38"/>
      <c r="AL146" s="38" t="str">
        <f t="shared" si="33"/>
        <v>00</v>
      </c>
      <c r="AM146" s="38" t="str">
        <f t="shared" si="34"/>
        <v>00</v>
      </c>
      <c r="AN146" s="38" t="str">
        <f t="shared" si="35"/>
        <v>00</v>
      </c>
      <c r="AO146" s="38" t="str">
        <f t="shared" si="36"/>
        <v>00</v>
      </c>
      <c r="AQ146" t="str">
        <f t="shared" si="31"/>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0</v>
      </c>
      <c r="AD147" s="93">
        <f t="shared" si="38"/>
        <v>0</v>
      </c>
      <c r="AE147" s="93">
        <f t="shared" si="38"/>
        <v>0</v>
      </c>
      <c r="AF147" s="93">
        <f t="shared" si="38"/>
        <v>0</v>
      </c>
      <c r="AG147" s="93">
        <f t="shared" si="38"/>
        <v>0</v>
      </c>
      <c r="AH147" s="93">
        <f t="shared" si="38"/>
        <v>0</v>
      </c>
      <c r="AI147" s="93">
        <f t="shared" si="38"/>
        <v>0</v>
      </c>
      <c r="AJ147" s="25" t="str">
        <f t="shared" si="30"/>
        <v/>
      </c>
      <c r="AK147" s="38"/>
      <c r="AL147" s="38" t="str">
        <f t="shared" si="33"/>
        <v>00</v>
      </c>
      <c r="AM147" s="38" t="str">
        <f t="shared" si="34"/>
        <v>00</v>
      </c>
      <c r="AN147" s="38" t="str">
        <f t="shared" si="35"/>
        <v>00</v>
      </c>
      <c r="AO147" s="38" t="str">
        <f t="shared" si="36"/>
        <v>00</v>
      </c>
      <c r="AQ147" t="str">
        <f t="shared" si="31"/>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0</v>
      </c>
      <c r="AD148" s="93">
        <f t="shared" si="38"/>
        <v>0</v>
      </c>
      <c r="AE148" s="93">
        <f t="shared" si="38"/>
        <v>0</v>
      </c>
      <c r="AF148" s="93">
        <f t="shared" si="38"/>
        <v>0</v>
      </c>
      <c r="AG148" s="93">
        <f t="shared" si="38"/>
        <v>0</v>
      </c>
      <c r="AH148" s="93">
        <f t="shared" si="38"/>
        <v>0</v>
      </c>
      <c r="AI148" s="93">
        <f t="shared" si="38"/>
        <v>0</v>
      </c>
      <c r="AJ148" s="25" t="str">
        <f t="shared" si="30"/>
        <v/>
      </c>
      <c r="AK148" s="38"/>
      <c r="AL148" s="38" t="str">
        <f t="shared" si="33"/>
        <v>00</v>
      </c>
      <c r="AM148" s="38" t="str">
        <f t="shared" si="34"/>
        <v>00</v>
      </c>
      <c r="AN148" s="38" t="str">
        <f t="shared" si="35"/>
        <v>00</v>
      </c>
      <c r="AO148" s="38" t="str">
        <f t="shared" si="36"/>
        <v>00</v>
      </c>
      <c r="AQ148" t="str">
        <f t="shared" si="31"/>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0</v>
      </c>
      <c r="AD149" s="93">
        <f t="shared" si="38"/>
        <v>0</v>
      </c>
      <c r="AE149" s="93">
        <f t="shared" si="38"/>
        <v>0</v>
      </c>
      <c r="AF149" s="93">
        <f t="shared" si="38"/>
        <v>0</v>
      </c>
      <c r="AG149" s="93">
        <f t="shared" si="38"/>
        <v>0</v>
      </c>
      <c r="AH149" s="93">
        <f t="shared" si="38"/>
        <v>0</v>
      </c>
      <c r="AI149" s="93">
        <f t="shared" si="38"/>
        <v>0</v>
      </c>
      <c r="AJ149" s="25" t="str">
        <f t="shared" si="30"/>
        <v/>
      </c>
      <c r="AK149" s="38"/>
      <c r="AL149" s="38" t="str">
        <f t="shared" si="33"/>
        <v>00</v>
      </c>
      <c r="AM149" s="38" t="str">
        <f t="shared" si="34"/>
        <v>00</v>
      </c>
      <c r="AN149" s="38" t="str">
        <f t="shared" si="35"/>
        <v>00</v>
      </c>
      <c r="AO149" s="38" t="str">
        <f t="shared" si="36"/>
        <v>00</v>
      </c>
      <c r="AQ149" t="str">
        <f t="shared" si="31"/>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0</v>
      </c>
      <c r="AD150" s="93">
        <f t="shared" si="38"/>
        <v>0</v>
      </c>
      <c r="AE150" s="93">
        <f t="shared" si="38"/>
        <v>0</v>
      </c>
      <c r="AF150" s="93">
        <f t="shared" si="38"/>
        <v>0</v>
      </c>
      <c r="AG150" s="93">
        <f t="shared" si="38"/>
        <v>0</v>
      </c>
      <c r="AH150" s="93">
        <f t="shared" si="38"/>
        <v>0</v>
      </c>
      <c r="AI150" s="93">
        <f t="shared" si="38"/>
        <v>0</v>
      </c>
      <c r="AJ150" s="25" t="str">
        <f t="shared" si="30"/>
        <v/>
      </c>
      <c r="AK150" s="38"/>
      <c r="AL150" s="38" t="str">
        <f t="shared" si="33"/>
        <v>00</v>
      </c>
      <c r="AM150" s="38" t="str">
        <f t="shared" si="34"/>
        <v>00</v>
      </c>
      <c r="AN150" s="38" t="str">
        <f t="shared" si="35"/>
        <v>00</v>
      </c>
      <c r="AO150" s="38" t="str">
        <f t="shared" si="36"/>
        <v>00</v>
      </c>
      <c r="AQ150" t="str">
        <f t="shared" si="31"/>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0</v>
      </c>
      <c r="AD151" s="93">
        <f t="shared" si="38"/>
        <v>0</v>
      </c>
      <c r="AE151" s="93">
        <f t="shared" si="38"/>
        <v>0</v>
      </c>
      <c r="AF151" s="93">
        <f t="shared" si="38"/>
        <v>0</v>
      </c>
      <c r="AG151" s="93">
        <f t="shared" si="38"/>
        <v>0</v>
      </c>
      <c r="AH151" s="93">
        <f t="shared" si="38"/>
        <v>0</v>
      </c>
      <c r="AI151" s="93">
        <f t="shared" ref="AI151" si="39">IF(OR(AI21=0,AI21=1),1,0)</f>
        <v>0</v>
      </c>
      <c r="AJ151" s="25" t="str">
        <f t="shared" si="30"/>
        <v/>
      </c>
      <c r="AK151" s="38"/>
      <c r="AL151" s="38" t="str">
        <f t="shared" si="33"/>
        <v>00</v>
      </c>
      <c r="AM151" s="38" t="str">
        <f t="shared" si="34"/>
        <v>00</v>
      </c>
      <c r="AN151" s="38" t="str">
        <f t="shared" si="35"/>
        <v>00</v>
      </c>
      <c r="AO151" s="38" t="str">
        <f t="shared" si="36"/>
        <v>00</v>
      </c>
      <c r="AQ151" t="str">
        <f t="shared" si="31"/>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0</v>
      </c>
      <c r="AD152" s="93">
        <f t="shared" si="40"/>
        <v>0</v>
      </c>
      <c r="AE152" s="93">
        <f t="shared" si="40"/>
        <v>0</v>
      </c>
      <c r="AF152" s="93">
        <f t="shared" si="40"/>
        <v>0</v>
      </c>
      <c r="AG152" s="93">
        <f t="shared" si="40"/>
        <v>0</v>
      </c>
      <c r="AH152" s="93">
        <f t="shared" si="40"/>
        <v>0</v>
      </c>
      <c r="AI152" s="93">
        <f t="shared" si="40"/>
        <v>0</v>
      </c>
      <c r="AJ152" s="25" t="str">
        <f t="shared" si="30"/>
        <v/>
      </c>
      <c r="AK152" s="38"/>
      <c r="AL152" s="38" t="str">
        <f t="shared" si="33"/>
        <v>00</v>
      </c>
      <c r="AM152" s="38" t="str">
        <f t="shared" si="34"/>
        <v>00</v>
      </c>
      <c r="AN152" s="38" t="str">
        <f t="shared" si="35"/>
        <v>00</v>
      </c>
      <c r="AO152" s="38" t="str">
        <f t="shared" si="36"/>
        <v>00</v>
      </c>
      <c r="AQ152" t="str">
        <f t="shared" si="31"/>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0</v>
      </c>
      <c r="AD153" s="93">
        <f t="shared" si="40"/>
        <v>0</v>
      </c>
      <c r="AE153" s="93">
        <f t="shared" si="40"/>
        <v>0</v>
      </c>
      <c r="AF153" s="93">
        <f t="shared" si="40"/>
        <v>0</v>
      </c>
      <c r="AG153" s="93">
        <f t="shared" si="40"/>
        <v>0</v>
      </c>
      <c r="AH153" s="93">
        <f t="shared" si="40"/>
        <v>0</v>
      </c>
      <c r="AI153" s="93">
        <f t="shared" si="40"/>
        <v>0</v>
      </c>
      <c r="AJ153" s="25" t="str">
        <f t="shared" si="30"/>
        <v/>
      </c>
      <c r="AK153" s="38"/>
      <c r="AL153" s="38" t="str">
        <f t="shared" si="33"/>
        <v>00</v>
      </c>
      <c r="AM153" s="38" t="str">
        <f t="shared" si="34"/>
        <v>00</v>
      </c>
      <c r="AN153" s="38" t="str">
        <f t="shared" si="35"/>
        <v>00</v>
      </c>
      <c r="AO153" s="38" t="str">
        <f t="shared" si="36"/>
        <v>00</v>
      </c>
      <c r="AQ153" t="str">
        <f t="shared" si="31"/>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0</v>
      </c>
      <c r="AD154" s="93">
        <f t="shared" si="40"/>
        <v>0</v>
      </c>
      <c r="AE154" s="93">
        <f t="shared" si="40"/>
        <v>0</v>
      </c>
      <c r="AF154" s="93">
        <f t="shared" si="40"/>
        <v>0</v>
      </c>
      <c r="AG154" s="93">
        <f t="shared" si="40"/>
        <v>0</v>
      </c>
      <c r="AH154" s="93">
        <f t="shared" si="40"/>
        <v>0</v>
      </c>
      <c r="AI154" s="93">
        <f t="shared" si="40"/>
        <v>0</v>
      </c>
      <c r="AJ154" s="25" t="str">
        <f t="shared" si="30"/>
        <v/>
      </c>
      <c r="AK154" s="38"/>
      <c r="AL154" s="38" t="str">
        <f t="shared" si="33"/>
        <v>00</v>
      </c>
      <c r="AM154" s="38" t="str">
        <f t="shared" si="34"/>
        <v>00</v>
      </c>
      <c r="AN154" s="38" t="str">
        <f t="shared" si="35"/>
        <v>00</v>
      </c>
      <c r="AO154" s="38" t="str">
        <f t="shared" si="36"/>
        <v>00</v>
      </c>
      <c r="AQ154" t="str">
        <f t="shared" si="31"/>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0</v>
      </c>
      <c r="AF155" s="93">
        <f t="shared" si="40"/>
        <v>0</v>
      </c>
      <c r="AG155" s="93">
        <f t="shared" si="40"/>
        <v>0</v>
      </c>
      <c r="AH155" s="93">
        <f t="shared" si="40"/>
        <v>0</v>
      </c>
      <c r="AI155" s="93">
        <f t="shared" si="40"/>
        <v>0</v>
      </c>
      <c r="AJ155" s="25" t="str">
        <f t="shared" si="30"/>
        <v/>
      </c>
      <c r="AK155" s="38"/>
      <c r="AL155" s="38" t="str">
        <f t="shared" si="33"/>
        <v>00</v>
      </c>
      <c r="AM155" s="38" t="str">
        <f t="shared" si="34"/>
        <v>00</v>
      </c>
      <c r="AN155" s="38" t="str">
        <f t="shared" si="35"/>
        <v>00</v>
      </c>
      <c r="AO155" s="38" t="str">
        <f t="shared" si="36"/>
        <v>00</v>
      </c>
      <c r="AQ155" t="str">
        <f t="shared" si="31"/>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0</v>
      </c>
      <c r="AF156" s="93">
        <f t="shared" si="40"/>
        <v>0</v>
      </c>
      <c r="AG156" s="93">
        <f t="shared" si="40"/>
        <v>0</v>
      </c>
      <c r="AH156" s="93">
        <f t="shared" si="40"/>
        <v>0</v>
      </c>
      <c r="AI156" s="93">
        <f t="shared" si="40"/>
        <v>0</v>
      </c>
      <c r="AJ156" s="25" t="str">
        <f t="shared" si="30"/>
        <v/>
      </c>
      <c r="AK156" s="38"/>
      <c r="AL156" s="38" t="str">
        <f t="shared" si="33"/>
        <v>00</v>
      </c>
      <c r="AM156" s="38" t="str">
        <f t="shared" si="34"/>
        <v>00</v>
      </c>
      <c r="AN156" s="38" t="str">
        <f t="shared" si="35"/>
        <v>00</v>
      </c>
      <c r="AO156" s="38" t="str">
        <f t="shared" si="36"/>
        <v>00</v>
      </c>
      <c r="AQ156" t="str">
        <f t="shared" si="31"/>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0</v>
      </c>
      <c r="AF157" s="93">
        <f t="shared" si="40"/>
        <v>0</v>
      </c>
      <c r="AG157" s="93">
        <f t="shared" si="40"/>
        <v>0</v>
      </c>
      <c r="AH157" s="93">
        <f t="shared" si="40"/>
        <v>0</v>
      </c>
      <c r="AI157" s="93">
        <f t="shared" si="40"/>
        <v>0</v>
      </c>
      <c r="AJ157" s="25" t="str">
        <f t="shared" si="30"/>
        <v/>
      </c>
      <c r="AK157" s="38"/>
      <c r="AL157" s="38" t="str">
        <f t="shared" si="33"/>
        <v>00</v>
      </c>
      <c r="AM157" s="38" t="str">
        <f t="shared" si="34"/>
        <v>00</v>
      </c>
      <c r="AN157" s="38" t="str">
        <f t="shared" si="35"/>
        <v>00</v>
      </c>
      <c r="AO157" s="38" t="str">
        <f t="shared" si="36"/>
        <v>00</v>
      </c>
      <c r="AQ157" t="str">
        <f t="shared" si="31"/>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0</v>
      </c>
      <c r="AF158" s="93">
        <f t="shared" si="40"/>
        <v>0</v>
      </c>
      <c r="AG158" s="93">
        <f t="shared" si="40"/>
        <v>0</v>
      </c>
      <c r="AH158" s="93">
        <f t="shared" si="40"/>
        <v>0</v>
      </c>
      <c r="AI158" s="93">
        <f t="shared" si="40"/>
        <v>0</v>
      </c>
      <c r="AJ158" s="25" t="str">
        <f t="shared" si="30"/>
        <v/>
      </c>
      <c r="AK158" s="38"/>
      <c r="AL158" s="38" t="str">
        <f t="shared" si="33"/>
        <v>00</v>
      </c>
      <c r="AM158" s="38" t="str">
        <f t="shared" si="34"/>
        <v>00</v>
      </c>
      <c r="AN158" s="38" t="str">
        <f t="shared" si="35"/>
        <v>00</v>
      </c>
      <c r="AO158" s="38" t="str">
        <f t="shared" si="36"/>
        <v>00</v>
      </c>
      <c r="AQ158" t="str">
        <f t="shared" si="31"/>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D38:AJ69 AJ6:AJ37 L3:AI3 D6:AG37 AH9:AI37 AH8" name="Table作成編集範囲"/>
    <protectedRange sqref="AH6:AI7 AI8" name="Table作成編集範囲_2"/>
    <protectedRange sqref="B3" name="Table作成編集範囲_2_1"/>
  </protectedRanges>
  <mergeCells count="3">
    <mergeCell ref="C2:C3"/>
    <mergeCell ref="AJ2:AJ3"/>
    <mergeCell ref="A4:B5"/>
  </mergeCells>
  <phoneticPr fontId="2"/>
  <conditionalFormatting sqref="D6:AI69">
    <cfRule type="cellIs" dxfId="61" priority="1" operator="equal">
      <formula>1</formula>
    </cfRule>
    <cfRule type="cellIs" dxfId="60" priority="2" operator="equal">
      <formula>"×"</formula>
    </cfRule>
  </conditionalFormatting>
  <conditionalFormatting sqref="AR5:AS70">
    <cfRule type="expression" dxfId="59"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1FC3A3-482D-43C6-A3CC-8CF08FA13FA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C29C-53F0-4470-8229-A258ED6B0D6B}">
  <sheetPr codeName="Sheet10">
    <tabColor rgb="FFCCECFF"/>
  </sheetPr>
  <dimension ref="A1:AW199"/>
  <sheetViews>
    <sheetView zoomScale="115" zoomScaleNormal="115" workbookViewId="0">
      <pane ySplit="3" topLeftCell="A18" activePane="bottomLeft" state="frozen"/>
      <selection pane="bottomLeft" activeCell="AB28" sqref="AB2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123</v>
      </c>
      <c r="C2" s="285" t="s">
        <v>355</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87" t="s">
        <v>51</v>
      </c>
    </row>
    <row r="3" spans="1:49" ht="213" customHeight="1" thickBot="1">
      <c r="B3" s="143" t="str">
        <f>IF(OR(IF(COUNTIF(D6:AC69,"0")&lt;&gt;0,TRUE,FALSE),IF(COUNTIF(D6:AC69,"1")&lt;&gt;0,TRUE,FALSE)),"Search Table","Index Table")</f>
        <v>Search Table</v>
      </c>
      <c r="C3" s="286"/>
      <c r="D3" s="94" t="s">
        <v>61</v>
      </c>
      <c r="E3" s="94" t="s">
        <v>66</v>
      </c>
      <c r="F3" s="94" t="s">
        <v>49</v>
      </c>
      <c r="G3" s="94" t="s">
        <v>48</v>
      </c>
      <c r="H3" s="94" t="s">
        <v>121</v>
      </c>
      <c r="I3" s="94" t="s">
        <v>120</v>
      </c>
      <c r="J3" s="94" t="s">
        <v>125</v>
      </c>
      <c r="K3" s="94" t="s">
        <v>124</v>
      </c>
      <c r="L3" s="95" t="s">
        <v>66</v>
      </c>
      <c r="M3" s="95" t="s">
        <v>62</v>
      </c>
      <c r="N3" s="95" t="s">
        <v>62</v>
      </c>
      <c r="O3" s="95" t="s">
        <v>62</v>
      </c>
      <c r="P3" s="95" t="s">
        <v>62</v>
      </c>
      <c r="Q3" s="95" t="s">
        <v>62</v>
      </c>
      <c r="R3" s="95" t="s">
        <v>62</v>
      </c>
      <c r="S3" s="95" t="s">
        <v>62</v>
      </c>
      <c r="T3" s="95" t="s">
        <v>62</v>
      </c>
      <c r="U3" s="95" t="s">
        <v>62</v>
      </c>
      <c r="V3" s="95" t="s">
        <v>62</v>
      </c>
      <c r="W3" s="95" t="s">
        <v>62</v>
      </c>
      <c r="X3" s="95" t="s">
        <v>62</v>
      </c>
      <c r="Y3" s="95" t="s">
        <v>62</v>
      </c>
      <c r="Z3" s="95" t="s">
        <v>62</v>
      </c>
      <c r="AA3" s="95" t="s">
        <v>62</v>
      </c>
      <c r="AB3" s="95" t="s">
        <v>62</v>
      </c>
      <c r="AC3" s="212" t="s">
        <v>308</v>
      </c>
      <c r="AD3" s="293" t="s">
        <v>262</v>
      </c>
      <c r="AE3" s="294"/>
      <c r="AF3" s="293" t="s">
        <v>291</v>
      </c>
      <c r="AG3" s="295"/>
      <c r="AH3" s="295"/>
      <c r="AI3" s="294"/>
      <c r="AJ3" s="288"/>
      <c r="AR3" s="62" t="s">
        <v>96</v>
      </c>
    </row>
    <row r="4" spans="1:49" ht="14.25" thickBot="1">
      <c r="A4" s="289" t="s">
        <v>63</v>
      </c>
      <c r="B4" s="290"/>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82</v>
      </c>
      <c r="AS4" s="51"/>
      <c r="AT4" s="51"/>
      <c r="AU4" s="51"/>
      <c r="AV4" s="51"/>
      <c r="AW4" s="52"/>
    </row>
    <row r="5" spans="1:49" ht="14.25" thickBot="1">
      <c r="A5" s="291"/>
      <c r="B5" s="292"/>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u4_sp_ALERT_D_SFTPOS_B_RSBW_CRIT[ALERT_D_SFTPOS_B_RSBW_NUM_DST] = {</v>
      </c>
      <c r="AS5" s="53" t="str">
        <f ca="1">"static const U4  "&amp;$AW$9&amp;"["&amp;$AW$10&amp;"] = {"</f>
        <v>static const U4  u4_sp_ALERT_D_SFTPOS_B_RSBW_MASK[ALERT_D_SFTPOS_B_RSBW_NUM_DST] = {</v>
      </c>
      <c r="AT5" s="53" t="str">
        <f ca="1">"static const U1  "&amp;$AW$11&amp;"["&amp;$AW$10&amp;"] = {"</f>
        <v>static const U1  u1_sp_ALERT_D_SFTPOS_B_RSBW_DST[ALERT_D_SFTPOS_B_RSBW_NUM_DST] = {</v>
      </c>
      <c r="AU5" s="53" t="str">
        <f ca="1">"const ST_ALERT_MTRX "&amp;$AW$12&amp;" = {"</f>
        <v>const ST_ALERT_MTRX st_gp_ALERT_D_SFTPOS_MTRX[2] = {</v>
      </c>
      <c r="AV5" s="42" t="str">
        <f ca="1">"#define "&amp;AW10&amp;REPT(" ",41-LEN(AW10))&amp;"("&amp;AW13&amp;"U)"</f>
        <v>#define ALERT_D_SFTPOS_B_RSBW_NUM_DST            (19U)</v>
      </c>
      <c r="AW5" s="43"/>
    </row>
    <row r="6" spans="1:49">
      <c r="B6" s="100" t="str">
        <f ca="1">"Table "&amp;$AW$6</f>
        <v>Table B_RSBW</v>
      </c>
      <c r="C6" s="30">
        <f>ROW()-ROW($C$6)</f>
        <v>0</v>
      </c>
      <c r="D6" s="96" t="s">
        <v>67</v>
      </c>
      <c r="E6" s="96" t="s">
        <v>67</v>
      </c>
      <c r="F6" s="96" t="s">
        <v>67</v>
      </c>
      <c r="G6" s="96" t="s">
        <v>67</v>
      </c>
      <c r="H6" s="96" t="s">
        <v>67</v>
      </c>
      <c r="I6" s="96" t="s">
        <v>67</v>
      </c>
      <c r="J6" s="96" t="s">
        <v>67</v>
      </c>
      <c r="K6" s="39"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232" t="s">
        <v>67</v>
      </c>
      <c r="AA6" s="232" t="s">
        <v>67</v>
      </c>
      <c r="AB6" s="232" t="s">
        <v>67</v>
      </c>
      <c r="AC6" s="233">
        <v>0</v>
      </c>
      <c r="AD6" s="233" t="s">
        <v>67</v>
      </c>
      <c r="AE6" s="233" t="s">
        <v>67</v>
      </c>
      <c r="AF6" s="233" t="s">
        <v>67</v>
      </c>
      <c r="AG6" s="233" t="s">
        <v>67</v>
      </c>
      <c r="AH6" s="233" t="s">
        <v>67</v>
      </c>
      <c r="AI6" s="233" t="s">
        <v>67</v>
      </c>
      <c r="AJ6" s="29" t="s">
        <v>32</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(U4)0x00000040U,                                                           /* 00 UNKNOWN                                         */</v>
      </c>
      <c r="AT6" s="40" t="str">
        <f t="shared" ref="AT6:AT69" si="1">IF(AJ6&lt;&gt;"",AL6&amp;IF(AJ7&lt;&gt;"",","," ")&amp;REPT(" ",78-LEN(AL6))&amp;"/* "&amp;IF(C6&lt;10,"0"&amp;C6,C6)&amp;" "&amp;AJ6&amp;REPT(" ",48-LEN(AJ6))&amp;"*/",IF(AJ5&lt;&gt;"","};",""))</f>
        <v xml:space="preserve">    (U1)ALERT_REQ_UNKNOWN,                                                     /* 00 UNKNOWN                                         */</v>
      </c>
      <c r="AU6" s="40" t="s">
        <v>68</v>
      </c>
      <c r="AV6" s="26" t="s">
        <v>70</v>
      </c>
      <c r="AW6" s="44" t="str">
        <f ca="1">UPPER(RIGHT(CELL("filename",A1),LEN(CELL("filename",A1))-FIND("]",CELL("filename",A1))))</f>
        <v>B_RSBW</v>
      </c>
    </row>
    <row r="7" spans="1:49">
      <c r="B7" s="100"/>
      <c r="C7" s="25">
        <f t="shared" ref="C7:C69" si="2">ROW()-ROW($C$6)</f>
        <v>1</v>
      </c>
      <c r="D7" s="39" t="s">
        <v>67</v>
      </c>
      <c r="E7" s="39" t="s">
        <v>67</v>
      </c>
      <c r="F7" s="39" t="s">
        <v>67</v>
      </c>
      <c r="G7" s="96"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232" t="s">
        <v>67</v>
      </c>
      <c r="AA7" s="232" t="s">
        <v>67</v>
      </c>
      <c r="AB7" s="232" t="s">
        <v>67</v>
      </c>
      <c r="AC7" s="96">
        <v>1</v>
      </c>
      <c r="AD7" s="233">
        <v>0</v>
      </c>
      <c r="AE7" s="233">
        <v>0</v>
      </c>
      <c r="AF7" s="233">
        <v>0</v>
      </c>
      <c r="AG7" s="233">
        <v>0</v>
      </c>
      <c r="AH7" s="233">
        <v>0</v>
      </c>
      <c r="AI7" s="233">
        <v>0</v>
      </c>
      <c r="AJ7" s="29" t="s">
        <v>32</v>
      </c>
      <c r="AL7" t="str">
        <f t="shared" si="0"/>
        <v xml:space="preserve">    (U1)ALERT_REQ_UNKNOWN</v>
      </c>
      <c r="AR7" s="40" t="str">
        <f t="shared" ref="AR7:AR70" si="3">IF(AQ72&lt;&gt;"",AQ72,IF(AQ71&lt;&gt;"","};",""))</f>
        <v xml:space="preserve">    (U4)0x00000040U,                                                           /* 01 UNKNOWN                                         */</v>
      </c>
      <c r="AS7" s="40" t="str">
        <f t="shared" ref="AS7:AS70" si="4">IF(AQ137&lt;&gt;"",AQ137,IF(AQ136&lt;&gt;"","};",""))</f>
        <v xml:space="preserve">    (U4)0x0000007FU,                                                           /* 01 UNKNOWN                                         */</v>
      </c>
      <c r="AT7" s="40" t="str">
        <f t="shared" si="1"/>
        <v xml:space="preserve">    (U1)ALERT_REQ_UNKNOWN,                                                     /* 01 UNKNOWN                                         */</v>
      </c>
      <c r="AU7" s="40" t="str">
        <f ca="1">"        &amp;"&amp;$AW$14&amp;","&amp;REPT(" ",69-LEN($AW$14))&amp;"/* fp_u4_SRC_CHK                                      */"</f>
        <v xml:space="preserve">        &amp;u4_s_AlertD_sftposBRsbwSrcchk,                                        /* fp_u4_SRC_CHK                                      */</v>
      </c>
      <c r="AV7" s="27" t="s">
        <v>71</v>
      </c>
      <c r="AW7" s="99">
        <f>IF(B3="Search Table",1,0)</f>
        <v>1</v>
      </c>
    </row>
    <row r="8" spans="1:49">
      <c r="B8" s="100"/>
      <c r="C8" s="25">
        <f t="shared" si="2"/>
        <v>2</v>
      </c>
      <c r="D8" s="39" t="s">
        <v>67</v>
      </c>
      <c r="E8" s="39" t="s">
        <v>67</v>
      </c>
      <c r="F8" s="39" t="s">
        <v>67</v>
      </c>
      <c r="G8" s="96"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232" t="s">
        <v>67</v>
      </c>
      <c r="AA8" s="232" t="s">
        <v>67</v>
      </c>
      <c r="AB8" s="232" t="s">
        <v>67</v>
      </c>
      <c r="AC8" s="96">
        <v>1</v>
      </c>
      <c r="AD8" s="233">
        <v>0</v>
      </c>
      <c r="AE8" s="233">
        <v>0</v>
      </c>
      <c r="AF8" s="233">
        <v>0</v>
      </c>
      <c r="AG8" s="233">
        <v>0</v>
      </c>
      <c r="AH8" s="233">
        <v>0</v>
      </c>
      <c r="AI8" s="96">
        <v>1</v>
      </c>
      <c r="AJ8" s="29" t="s">
        <v>32</v>
      </c>
      <c r="AL8" t="str">
        <f t="shared" si="0"/>
        <v xml:space="preserve">    (U1)ALERT_REQ_UNKNOWN</v>
      </c>
      <c r="AR8" s="40" t="str">
        <f t="shared" si="3"/>
        <v xml:space="preserve">    (U4)0x00000041U,                                                           /* 02 UNKNOWN                                         */</v>
      </c>
      <c r="AS8" s="40" t="str">
        <f t="shared" si="4"/>
        <v xml:space="preserve">    (U4)0x0000007FU,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72</v>
      </c>
      <c r="AW8" s="45" t="str">
        <f ca="1">"u4_sp_ALERT_"&amp;IF(AW6&lt;&gt;AW17,$AW$17&amp;"_"&amp;$AW$6,AW17)&amp;"_CRIT"</f>
        <v>u4_sp_ALERT_D_SFTPOS_B_RSBW_CRIT</v>
      </c>
    </row>
    <row r="9" spans="1:49">
      <c r="B9" s="100"/>
      <c r="C9" s="25">
        <f t="shared" si="2"/>
        <v>3</v>
      </c>
      <c r="D9" s="39" t="s">
        <v>67</v>
      </c>
      <c r="E9" s="39" t="s">
        <v>67</v>
      </c>
      <c r="F9" s="39" t="s">
        <v>67</v>
      </c>
      <c r="G9" s="96"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232" t="s">
        <v>67</v>
      </c>
      <c r="AA9" s="232" t="s">
        <v>67</v>
      </c>
      <c r="AB9" s="232" t="s">
        <v>67</v>
      </c>
      <c r="AC9" s="96">
        <v>1</v>
      </c>
      <c r="AD9" s="233">
        <v>0</v>
      </c>
      <c r="AE9" s="233">
        <v>0</v>
      </c>
      <c r="AF9" s="233">
        <v>0</v>
      </c>
      <c r="AG9" s="233">
        <v>0</v>
      </c>
      <c r="AH9" s="96">
        <v>1</v>
      </c>
      <c r="AI9" s="233">
        <v>0</v>
      </c>
      <c r="AJ9" s="29" t="s">
        <v>239</v>
      </c>
      <c r="AL9" t="str">
        <f t="shared" ca="1" si="0"/>
        <v xml:space="preserve">    (U1)ALERT_REQ_D_SFTPOS_B_RSBW_CYCLE</v>
      </c>
      <c r="AR9" s="40" t="str">
        <f t="shared" si="3"/>
        <v xml:space="preserve">    (U4)0x00000042U,                                                           /* 03 CYCLE                                           */</v>
      </c>
      <c r="AS9" s="40" t="str">
        <f t="shared" si="4"/>
        <v xml:space="preserve">    (U4)0x0000007FU,                                                           /* 03 CYCLE                                           */</v>
      </c>
      <c r="AT9" s="40" t="str">
        <f t="shared" ca="1" si="1"/>
        <v xml:space="preserve">    (U1)ALERT_REQ_D_SFTPOS_B_RSBW_CYCLE,                                       /* 03 CYCLE                                           */</v>
      </c>
      <c r="AU9" s="40"/>
      <c r="AV9" s="27" t="s">
        <v>73</v>
      </c>
      <c r="AW9" s="45" t="str">
        <f ca="1">"u4_sp_ALERT_"&amp;IF(AW6&lt;&gt;AW17,$AW$17&amp;"_"&amp;$AW$6,AW17)&amp;"_MASK"</f>
        <v>u4_sp_ALERT_D_SFTPOS_B_RSBW_MASK</v>
      </c>
    </row>
    <row r="10" spans="1:49">
      <c r="B10" s="100"/>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232" t="s">
        <v>67</v>
      </c>
      <c r="AA10" s="232" t="s">
        <v>67</v>
      </c>
      <c r="AB10" s="232" t="s">
        <v>67</v>
      </c>
      <c r="AC10" s="96">
        <v>1</v>
      </c>
      <c r="AD10" s="233">
        <v>0</v>
      </c>
      <c r="AE10" s="233">
        <v>0</v>
      </c>
      <c r="AF10" s="233">
        <v>0</v>
      </c>
      <c r="AG10" s="233">
        <v>0</v>
      </c>
      <c r="AH10" s="96">
        <v>1</v>
      </c>
      <c r="AI10" s="96">
        <v>1</v>
      </c>
      <c r="AJ10" s="29" t="s">
        <v>32</v>
      </c>
      <c r="AL10" t="str">
        <f t="shared" si="0"/>
        <v xml:space="preserve">    (U1)ALERT_REQ_UNKNOWN</v>
      </c>
      <c r="AR10" s="40" t="str">
        <f t="shared" si="3"/>
        <v xml:space="preserve">    (U4)0x00000043U,                                                           /* 04 UNKNOWN                                         */</v>
      </c>
      <c r="AS10" s="40" t="str">
        <f t="shared" si="4"/>
        <v xml:space="preserve">    (U4)0x0000007FU,                                                           /* 04 UNKNOWN                                         */</v>
      </c>
      <c r="AT10" s="40" t="str">
        <f t="shared" si="1"/>
        <v xml:space="preserve">    (U1)ALERT_REQ_UNKNOWN,                                                     /* 04 UNKNOWN                                         */</v>
      </c>
      <c r="AU10" s="40" t="str">
        <f ca="1">IF($AW$7=1,"        &amp;"&amp;$AW$9&amp;"[0],"&amp;REPT(" ",66-LEN($AW$9))&amp;"/* u4p_MASK                                           */","        (const U4 *)vdp_PTR_NA,                                                /* u4p_MASK                                           */")</f>
        <v xml:space="preserve">        &amp;u4_sp_ALERT_D_SFTPOS_B_RSBW_MASK[0],                                  /* u4p_MASK                                           */</v>
      </c>
      <c r="AV10" s="27" t="s">
        <v>74</v>
      </c>
      <c r="AW10" s="45" t="str">
        <f ca="1">"ALERT_"&amp;IF(AW6&lt;&gt;AW17,$AW$17&amp;"_"&amp;$AW$6,AW17)&amp;"_NUM_DST"</f>
        <v>ALERT_D_SFTPOS_B_RSBW_NUM_DST</v>
      </c>
    </row>
    <row r="11" spans="1:49">
      <c r="B11" s="100"/>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232" t="s">
        <v>67</v>
      </c>
      <c r="AA11" s="232" t="s">
        <v>67</v>
      </c>
      <c r="AB11" s="232" t="s">
        <v>67</v>
      </c>
      <c r="AC11" s="96">
        <v>1</v>
      </c>
      <c r="AD11" s="233">
        <v>0</v>
      </c>
      <c r="AE11" s="233">
        <v>0</v>
      </c>
      <c r="AF11" s="233">
        <v>0</v>
      </c>
      <c r="AG11" s="96">
        <v>1</v>
      </c>
      <c r="AH11" s="233">
        <v>0</v>
      </c>
      <c r="AI11" s="233">
        <v>0</v>
      </c>
      <c r="AJ11" s="29" t="s">
        <v>32</v>
      </c>
      <c r="AL11" t="str">
        <f t="shared" si="0"/>
        <v xml:space="preserve">    (U1)ALERT_REQ_UNKNOWN</v>
      </c>
      <c r="AR11" s="40" t="str">
        <f t="shared" si="3"/>
        <v xml:space="preserve">    (U4)0x00000044U,                                                           /* 05 UNKNOWN                                         */</v>
      </c>
      <c r="AS11" s="40" t="str">
        <f t="shared" si="4"/>
        <v xml:space="preserve">    (U4)0x0000007FU,                                                           /* 05 UNKNOWN                                         */</v>
      </c>
      <c r="AT11" s="40" t="str">
        <f t="shared" si="1"/>
        <v xml:space="preserve">    (U1)ALERT_REQ_UNKNOWN,                                                     /* 05 UNKNOWN                                         */</v>
      </c>
      <c r="AU11" s="40" t="str">
        <f ca="1">IF($AW$7=1,"        &amp;"&amp;$AW$8&amp;"[0],"&amp;REPT(" ",66-LEN($AW$8))&amp;"/* u4p_CRIT                                           */","        (const U4 *)vdp_PTR_NA,                                                /* u4p_CRIT                                           */")</f>
        <v xml:space="preserve">        &amp;u4_sp_ALERT_D_SFTPOS_B_RSBW_CRIT[0],                                  /* u4p_CRIT                                           */</v>
      </c>
      <c r="AV11" s="27" t="s">
        <v>75</v>
      </c>
      <c r="AW11" s="45" t="str">
        <f ca="1">"u1_sp_ALERT_"&amp;IF(AW6&lt;&gt;AW17,$AW$17&amp;"_"&amp;$AW$6,AW17)&amp;"_DST"</f>
        <v>u1_sp_ALERT_D_SFTPOS_B_RSBW_DST</v>
      </c>
    </row>
    <row r="12" spans="1:49">
      <c r="B12" s="100"/>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232" t="s">
        <v>67</v>
      </c>
      <c r="AA12" s="232" t="s">
        <v>67</v>
      </c>
      <c r="AB12" s="232" t="s">
        <v>67</v>
      </c>
      <c r="AC12" s="96">
        <v>1</v>
      </c>
      <c r="AD12" s="233">
        <v>0</v>
      </c>
      <c r="AE12" s="233">
        <v>0</v>
      </c>
      <c r="AF12" s="233">
        <v>0</v>
      </c>
      <c r="AG12" s="96">
        <v>1</v>
      </c>
      <c r="AH12" s="233">
        <v>0</v>
      </c>
      <c r="AI12" s="96">
        <v>1</v>
      </c>
      <c r="AJ12" s="29" t="s">
        <v>32</v>
      </c>
      <c r="AL12" t="str">
        <f t="shared" si="0"/>
        <v xml:space="preserve">    (U1)ALERT_REQ_UNKNOWN</v>
      </c>
      <c r="AR12" s="40" t="str">
        <f t="shared" si="3"/>
        <v xml:space="preserve">    (U4)0x00000045U,                                                           /* 06 UNKNOWN                                         */</v>
      </c>
      <c r="AS12" s="40" t="str">
        <f t="shared" si="4"/>
        <v xml:space="preserve">    (U4)0x0000007FU,                                                           /* 06 UNKNOWN                                         */</v>
      </c>
      <c r="AT12" s="40" t="str">
        <f t="shared" si="1"/>
        <v xml:space="preserve">    (U1)ALERT_REQ_UNKNOWN,                                                     /* 06 UNKNOWN                                         */</v>
      </c>
      <c r="AU12" s="40"/>
      <c r="AV12" s="27" t="s">
        <v>88</v>
      </c>
      <c r="AW12" s="45" t="str">
        <f ca="1">Matrix!D8&amp;"["&amp;Matrix!D7&amp;"]"</f>
        <v>st_gp_ALERT_D_SFTPOS_MTRX[2]</v>
      </c>
    </row>
    <row r="13" spans="1:49">
      <c r="B13" s="100"/>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232" t="s">
        <v>67</v>
      </c>
      <c r="AA13" s="232" t="s">
        <v>67</v>
      </c>
      <c r="AB13" s="232" t="s">
        <v>67</v>
      </c>
      <c r="AC13" s="96">
        <v>1</v>
      </c>
      <c r="AD13" s="233">
        <v>0</v>
      </c>
      <c r="AE13" s="233">
        <v>0</v>
      </c>
      <c r="AF13" s="233">
        <v>0</v>
      </c>
      <c r="AG13" s="96">
        <v>1</v>
      </c>
      <c r="AH13" s="96">
        <v>1</v>
      </c>
      <c r="AI13" s="233">
        <v>0</v>
      </c>
      <c r="AJ13" s="29" t="s">
        <v>32</v>
      </c>
      <c r="AL13" t="str">
        <f t="shared" si="0"/>
        <v xml:space="preserve">    (U1)ALERT_REQ_UNKNOWN</v>
      </c>
      <c r="AR13" s="40" t="str">
        <f t="shared" si="3"/>
        <v xml:space="preserve">    (U4)0x00000046U,                                                           /* 07 UNKNOWN                                         */</v>
      </c>
      <c r="AS13" s="40" t="str">
        <f t="shared" si="4"/>
        <v xml:space="preserve">    (U4)0x0000007FU,                                                           /* 07 UNKNOWN                                         */</v>
      </c>
      <c r="AT13" s="40" t="str">
        <f t="shared" si="1"/>
        <v xml:space="preserve">    (U1)ALERT_REQ_UNKNOWN,                                                     /* 07 UNKNOWN                                         */</v>
      </c>
      <c r="AU13" s="40" t="str">
        <f ca="1">"        &amp;"&amp;$AW$11&amp;"[0],"&amp;REPT(" ",66-LEN($AW$11))&amp;"/* u1p_DST                                            */"</f>
        <v xml:space="preserve">        &amp;u1_sp_ALERT_D_SFTPOS_B_RSBW_DST[0],                                   /* u1p_DST                                            */</v>
      </c>
      <c r="AV13" s="27" t="s">
        <v>76</v>
      </c>
      <c r="AW13" s="99">
        <f>COUNTA($AJ$6:$AJ$69)</f>
        <v>19</v>
      </c>
    </row>
    <row r="14" spans="1:49">
      <c r="B14" s="100"/>
      <c r="C14" s="25">
        <f t="shared" si="2"/>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232" t="s">
        <v>67</v>
      </c>
      <c r="AA14" s="232" t="s">
        <v>67</v>
      </c>
      <c r="AB14" s="232" t="s">
        <v>67</v>
      </c>
      <c r="AC14" s="96">
        <v>1</v>
      </c>
      <c r="AD14" s="233">
        <v>0</v>
      </c>
      <c r="AE14" s="233">
        <v>0</v>
      </c>
      <c r="AF14" s="233">
        <v>0</v>
      </c>
      <c r="AG14" s="96">
        <v>1</v>
      </c>
      <c r="AH14" s="96">
        <v>1</v>
      </c>
      <c r="AI14" s="96">
        <v>1</v>
      </c>
      <c r="AJ14" s="29" t="s">
        <v>32</v>
      </c>
      <c r="AL14" t="str">
        <f t="shared" si="0"/>
        <v xml:space="preserve">    (U1)ALERT_REQ_UNKNOWN</v>
      </c>
      <c r="AR14" s="40" t="str">
        <f t="shared" si="3"/>
        <v xml:space="preserve">    (U4)0x00000047U,                                                           /* 08 UNKNOWN                                         */</v>
      </c>
      <c r="AS14" s="40" t="str">
        <f t="shared" si="4"/>
        <v xml:space="preserve">    (U4)0x0000007FU,                                                           /* 08 UNKNOWN                                         */</v>
      </c>
      <c r="AT14" s="40" t="str">
        <f t="shared" si="1"/>
        <v xml:space="preserve">    (U1)ALERT_REQ_UNKNOWN,                                                     /* 08 UNKNOWN                                         */</v>
      </c>
      <c r="AU14" s="40" t="str">
        <f ca="1">"        (U2)"&amp;$AW$10&amp;","&amp;REPT(" ",66-LEN($AW$10))&amp;"/* u2_num_srch                                        */"</f>
        <v xml:space="preserve">        (U2)ALERT_D_SFTPOS_B_RSBW_NUM_DST,                                     /* u2_num_srch                                        */</v>
      </c>
      <c r="AV14" s="27" t="s">
        <v>77</v>
      </c>
      <c r="AW14" s="45" t="str">
        <f ca="1">IF(AW6&lt;&gt;AW17,VLOOKUP(AW6,Matrix!$C$13:$G$37,4,FALSE),Matrix!F13)</f>
        <v>u4_s_AlertD_sftposBRsbwSrcchk</v>
      </c>
    </row>
    <row r="15" spans="1:49">
      <c r="B15" s="100"/>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232" t="s">
        <v>67</v>
      </c>
      <c r="AA15" s="232" t="s">
        <v>67</v>
      </c>
      <c r="AB15" s="232" t="s">
        <v>67</v>
      </c>
      <c r="AC15" s="96">
        <v>1</v>
      </c>
      <c r="AD15" s="233">
        <v>0</v>
      </c>
      <c r="AE15" s="233">
        <v>0</v>
      </c>
      <c r="AF15" s="96">
        <v>1</v>
      </c>
      <c r="AG15" s="233">
        <v>0</v>
      </c>
      <c r="AH15" s="233">
        <v>0</v>
      </c>
      <c r="AI15" s="233">
        <v>0</v>
      </c>
      <c r="AJ15" s="29" t="s">
        <v>32</v>
      </c>
      <c r="AL15" t="str">
        <f t="shared" si="0"/>
        <v xml:space="preserve">    (U1)ALERT_REQ_UNKNOWN</v>
      </c>
      <c r="AR15" s="40" t="str">
        <f t="shared" si="3"/>
        <v xml:space="preserve">    (U4)0x00000048U,                                                           /* 09 UNKNOWN                                         */</v>
      </c>
      <c r="AS15" s="40" t="str">
        <f t="shared" si="4"/>
        <v xml:space="preserve">    (U4)0x0000007FU,                                                           /* 09 UNKNOWN                                         */</v>
      </c>
      <c r="AT15" s="40" t="str">
        <f t="shared" si="1"/>
        <v xml:space="preserve">    (U1)ALERT_REQ_UNKNOWN,                                                     /* 09 UNKNOWN                                         */</v>
      </c>
      <c r="AU15" s="40" t="str">
        <f ca="1">"        (U1)"&amp;$AW$16&amp;REPT(" ",67-LEN($AW$16))&amp;"/* u1_vom_act                                         */"</f>
        <v xml:space="preserve">        (U1)ALERT_VOM_IGN_ON                                                   /* u1_vom_act                                         */</v>
      </c>
      <c r="AV15" s="27" t="s">
        <v>80</v>
      </c>
      <c r="AW15" s="45" t="str">
        <f ca="1">IF(AW6&lt;&gt;AW17,VLOOKUP(AW6,Matrix!$C$13:$G$37,5,FALSE),Matrix!G13)</f>
        <v>NULL</v>
      </c>
    </row>
    <row r="16" spans="1:49">
      <c r="B16" s="100"/>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232" t="s">
        <v>67</v>
      </c>
      <c r="AA16" s="232" t="s">
        <v>67</v>
      </c>
      <c r="AB16" s="232" t="s">
        <v>67</v>
      </c>
      <c r="AC16" s="96">
        <v>1</v>
      </c>
      <c r="AD16" s="233">
        <v>0</v>
      </c>
      <c r="AE16" s="233">
        <v>0</v>
      </c>
      <c r="AF16" s="96">
        <v>1</v>
      </c>
      <c r="AG16" s="233">
        <v>0</v>
      </c>
      <c r="AH16" s="233">
        <v>0</v>
      </c>
      <c r="AI16" s="96">
        <v>1</v>
      </c>
      <c r="AJ16" s="29" t="s">
        <v>32</v>
      </c>
      <c r="AL16" t="str">
        <f t="shared" si="0"/>
        <v xml:space="preserve">    (U1)ALERT_REQ_UNKNOWN</v>
      </c>
      <c r="AR16" s="40" t="str">
        <f t="shared" si="3"/>
        <v xml:space="preserve">    (U4)0x00000049U,                                                           /* 10 UNKNOWN                                         */</v>
      </c>
      <c r="AS16" s="40" t="str">
        <f t="shared" si="4"/>
        <v xml:space="preserve">    (U4)0x0000007FU,                                                           /* 10 UNKNOWN                                         */</v>
      </c>
      <c r="AT16" s="40" t="str">
        <f t="shared" si="1"/>
        <v xml:space="preserve">    (U1)ALERT_REQ_UNKNOWN,                                                     /* 10 UNKNOWN                                         */</v>
      </c>
      <c r="AU16" s="40" t="s">
        <v>69</v>
      </c>
      <c r="AV16" s="27" t="s">
        <v>78</v>
      </c>
      <c r="AW16" s="45" t="str">
        <f ca="1">IF(AW6&lt;&gt;AW17,VLOOKUP(AW6,Matrix!$C$13:$G$37,2,FALSE),Matrix!D13)</f>
        <v>ALERT_VOM_IGN_ON</v>
      </c>
    </row>
    <row r="17" spans="2:49" ht="14.25" thickBot="1">
      <c r="B17" s="100"/>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232" t="s">
        <v>67</v>
      </c>
      <c r="AA17" s="232" t="s">
        <v>67</v>
      </c>
      <c r="AB17" s="232" t="s">
        <v>67</v>
      </c>
      <c r="AC17" s="96">
        <v>1</v>
      </c>
      <c r="AD17" s="233">
        <v>0</v>
      </c>
      <c r="AE17" s="233">
        <v>0</v>
      </c>
      <c r="AF17" s="96">
        <v>1</v>
      </c>
      <c r="AG17" s="233">
        <v>0</v>
      </c>
      <c r="AH17" s="96">
        <v>1</v>
      </c>
      <c r="AI17" s="233">
        <v>0</v>
      </c>
      <c r="AJ17" s="29" t="s">
        <v>32</v>
      </c>
      <c r="AL17" t="str">
        <f t="shared" si="0"/>
        <v xml:space="preserve">    (U1)ALERT_REQ_UNKNOWN</v>
      </c>
      <c r="AR17" s="40" t="str">
        <f t="shared" si="3"/>
        <v xml:space="preserve">    (U4)0x0000004AU,                                                           /* 11 UNKNOWN                                         */</v>
      </c>
      <c r="AS17" s="40" t="str">
        <f t="shared" si="4"/>
        <v xml:space="preserve">    (U4)0x0000007FU,                                                           /* 11 UNKNOWN                                         */</v>
      </c>
      <c r="AT17" s="40" t="str">
        <f t="shared" si="1"/>
        <v xml:space="preserve">    (U1)ALERT_REQ_UNKNOWN,                                                     /* 11 UNKNOWN                                         */</v>
      </c>
      <c r="AU17" s="41" t="s">
        <v>81</v>
      </c>
      <c r="AV17" s="28" t="s">
        <v>79</v>
      </c>
      <c r="AW17" s="46" t="str">
        <f ca="1">UPPER(Matrix!$D$6)</f>
        <v>D_SFTPOS</v>
      </c>
    </row>
    <row r="18" spans="2:49">
      <c r="B18" s="100"/>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232" t="s">
        <v>67</v>
      </c>
      <c r="AA18" s="232" t="s">
        <v>67</v>
      </c>
      <c r="AB18" s="232" t="s">
        <v>67</v>
      </c>
      <c r="AC18" s="96">
        <v>1</v>
      </c>
      <c r="AD18" s="233">
        <v>0</v>
      </c>
      <c r="AE18" s="233">
        <v>0</v>
      </c>
      <c r="AF18" s="96">
        <v>1</v>
      </c>
      <c r="AG18" s="233">
        <v>0</v>
      </c>
      <c r="AH18" s="96">
        <v>1</v>
      </c>
      <c r="AI18" s="96">
        <v>1</v>
      </c>
      <c r="AJ18" s="29" t="s">
        <v>32</v>
      </c>
      <c r="AL18" t="str">
        <f t="shared" si="0"/>
        <v xml:space="preserve">    (U1)ALERT_REQ_UNKNOWN</v>
      </c>
      <c r="AR18" s="40" t="str">
        <f t="shared" si="3"/>
        <v xml:space="preserve">    (U4)0x0000004BU,                                                           /* 12 UNKNOWN                                         */</v>
      </c>
      <c r="AS18" s="40" t="str">
        <f t="shared" si="4"/>
        <v xml:space="preserve">    (U4)0x0000007FU,                                                           /* 12 UNKNOWN                                         */</v>
      </c>
      <c r="AT18" s="40" t="str">
        <f t="shared" si="1"/>
        <v xml:space="preserve">    (U1)ALERT_REQ_UNKNOWN,                                                     /* 12 UNKNOWN                                         */</v>
      </c>
    </row>
    <row r="19" spans="2:49">
      <c r="B19" s="100"/>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232" t="s">
        <v>67</v>
      </c>
      <c r="AA19" s="232" t="s">
        <v>67</v>
      </c>
      <c r="AB19" s="232" t="s">
        <v>67</v>
      </c>
      <c r="AC19" s="96">
        <v>1</v>
      </c>
      <c r="AD19" s="233">
        <v>0</v>
      </c>
      <c r="AE19" s="233">
        <v>0</v>
      </c>
      <c r="AF19" s="96">
        <v>1</v>
      </c>
      <c r="AG19" s="96">
        <v>1</v>
      </c>
      <c r="AH19" s="233">
        <v>0</v>
      </c>
      <c r="AI19" s="233">
        <v>0</v>
      </c>
      <c r="AJ19" s="29" t="s">
        <v>32</v>
      </c>
      <c r="AL19" t="str">
        <f t="shared" si="0"/>
        <v xml:space="preserve">    (U1)ALERT_REQ_UNKNOWN</v>
      </c>
      <c r="AR19" s="40" t="str">
        <f t="shared" si="3"/>
        <v xml:space="preserve">    (U4)0x0000004CU,                                                           /* 13 UNKNOWN                                         */</v>
      </c>
      <c r="AS19" s="40" t="str">
        <f t="shared" si="4"/>
        <v xml:space="preserve">    (U4)0x0000007FU,                                                           /* 13 UNKNOWN                                         */</v>
      </c>
      <c r="AT19" s="40" t="str">
        <f t="shared" si="1"/>
        <v xml:space="preserve">    (U1)ALERT_REQ_UNKNOWN,                                                     /* 13 UNKNOWN                                         */</v>
      </c>
    </row>
    <row r="20" spans="2:49">
      <c r="B20" s="100"/>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232" t="s">
        <v>67</v>
      </c>
      <c r="AA20" s="232" t="s">
        <v>67</v>
      </c>
      <c r="AB20" s="232" t="s">
        <v>67</v>
      </c>
      <c r="AC20" s="96">
        <v>1</v>
      </c>
      <c r="AD20" s="233">
        <v>0</v>
      </c>
      <c r="AE20" s="233">
        <v>0</v>
      </c>
      <c r="AF20" s="96">
        <v>1</v>
      </c>
      <c r="AG20" s="96">
        <v>1</v>
      </c>
      <c r="AH20" s="233">
        <v>0</v>
      </c>
      <c r="AI20" s="96">
        <v>1</v>
      </c>
      <c r="AJ20" s="29" t="s">
        <v>32</v>
      </c>
      <c r="AL20" t="str">
        <f t="shared" si="0"/>
        <v xml:space="preserve">    (U1)ALERT_REQ_UNKNOWN</v>
      </c>
      <c r="AR20" s="40" t="str">
        <f t="shared" si="3"/>
        <v xml:space="preserve">    (U4)0x0000004DU,                                                           /* 14 UNKNOWN                                         */</v>
      </c>
      <c r="AS20" s="40" t="str">
        <f t="shared" si="4"/>
        <v xml:space="preserve">    (U4)0x0000007FU,                                                           /* 14 UNKNOWN                                         */</v>
      </c>
      <c r="AT20" s="40" t="str">
        <f t="shared" si="1"/>
        <v xml:space="preserve">    (U1)ALERT_REQ_UNKNOWN,                                                     /* 14 UNKNOWN                                         */</v>
      </c>
    </row>
    <row r="21" spans="2:49">
      <c r="B21" s="100"/>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232" t="s">
        <v>67</v>
      </c>
      <c r="AA21" s="232" t="s">
        <v>67</v>
      </c>
      <c r="AB21" s="232" t="s">
        <v>67</v>
      </c>
      <c r="AC21" s="96">
        <v>1</v>
      </c>
      <c r="AD21" s="233">
        <v>0</v>
      </c>
      <c r="AE21" s="233">
        <v>0</v>
      </c>
      <c r="AF21" s="96">
        <v>1</v>
      </c>
      <c r="AG21" s="96">
        <v>1</v>
      </c>
      <c r="AH21" s="96">
        <v>1</v>
      </c>
      <c r="AI21" s="233">
        <v>0</v>
      </c>
      <c r="AJ21" s="29" t="s">
        <v>32</v>
      </c>
      <c r="AL21" t="str">
        <f t="shared" si="0"/>
        <v xml:space="preserve">    (U1)ALERT_REQ_UNKNOWN</v>
      </c>
      <c r="AR21" s="40" t="str">
        <f t="shared" si="3"/>
        <v xml:space="preserve">    (U4)0x0000004EU,                                                           /* 15 UNKNOWN                                         */</v>
      </c>
      <c r="AS21" s="40" t="str">
        <f t="shared" si="4"/>
        <v xml:space="preserve">    (U4)0x0000007FU,                                                           /* 15 UNKNOWN                                         */</v>
      </c>
      <c r="AT21" s="40" t="str">
        <f t="shared" si="1"/>
        <v xml:space="preserve">    (U1)ALERT_REQ_UNKNOWN,                                                     /* 15 UNKNOWN                                         */</v>
      </c>
    </row>
    <row r="22" spans="2:49">
      <c r="B22" s="100"/>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232" t="s">
        <v>67</v>
      </c>
      <c r="AA22" s="232" t="s">
        <v>67</v>
      </c>
      <c r="AB22" s="232" t="s">
        <v>67</v>
      </c>
      <c r="AC22" s="96">
        <v>1</v>
      </c>
      <c r="AD22" s="233">
        <v>0</v>
      </c>
      <c r="AE22" s="233">
        <v>0</v>
      </c>
      <c r="AF22" s="96">
        <v>1</v>
      </c>
      <c r="AG22" s="96">
        <v>1</v>
      </c>
      <c r="AH22" s="96">
        <v>1</v>
      </c>
      <c r="AI22" s="96">
        <v>1</v>
      </c>
      <c r="AJ22" s="29" t="s">
        <v>32</v>
      </c>
      <c r="AL22" t="str">
        <f t="shared" si="0"/>
        <v xml:space="preserve">    (U1)ALERT_REQ_UNKNOWN</v>
      </c>
      <c r="AR22" s="40" t="str">
        <f t="shared" si="3"/>
        <v xml:space="preserve">    (U4)0x0000004FU,                                                           /* 16 UNKNOWN                                         */</v>
      </c>
      <c r="AS22" s="40" t="str">
        <f t="shared" si="4"/>
        <v xml:space="preserve">    (U4)0x0000007FU,                                                           /* 16 UNKNOWN                                         */</v>
      </c>
      <c r="AT22" s="40" t="str">
        <f t="shared" si="1"/>
        <v xml:space="preserve">    (U1)ALERT_REQ_UNKNOWN,                                                     /* 16 UNKNOWN                                         */</v>
      </c>
    </row>
    <row r="23" spans="2:49">
      <c r="B23" s="100"/>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232" t="s">
        <v>67</v>
      </c>
      <c r="AA23" s="232" t="s">
        <v>67</v>
      </c>
      <c r="AB23" s="232" t="s">
        <v>67</v>
      </c>
      <c r="AC23" s="96">
        <v>1</v>
      </c>
      <c r="AD23" s="233">
        <v>0</v>
      </c>
      <c r="AE23" s="96">
        <v>1</v>
      </c>
      <c r="AF23" s="232" t="s">
        <v>67</v>
      </c>
      <c r="AG23" s="232" t="s">
        <v>67</v>
      </c>
      <c r="AH23" s="232" t="s">
        <v>67</v>
      </c>
      <c r="AI23" s="232" t="s">
        <v>67</v>
      </c>
      <c r="AJ23" s="29" t="s">
        <v>32</v>
      </c>
      <c r="AL23" t="str">
        <f t="shared" si="0"/>
        <v xml:space="preserve">    (U1)ALERT_REQ_UNKNOWN</v>
      </c>
      <c r="AR23" s="40" t="str">
        <f t="shared" si="3"/>
        <v xml:space="preserve">    (U4)0x00000050U,                                                           /* 17 UNKNOWN                                         */</v>
      </c>
      <c r="AS23" s="40" t="str">
        <f t="shared" si="4"/>
        <v xml:space="preserve">    (U4)0x00000070U,                                                           /* 17 UNKNOWN                                         */</v>
      </c>
      <c r="AT23" s="40" t="str">
        <f t="shared" si="1"/>
        <v xml:space="preserve">    (U1)ALERT_REQ_UNKNOWN,                                                     /* 17 UNKNOWN                                         */</v>
      </c>
    </row>
    <row r="24" spans="2:49">
      <c r="B24" s="100"/>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232" t="s">
        <v>67</v>
      </c>
      <c r="AA24" s="232" t="s">
        <v>67</v>
      </c>
      <c r="AB24" s="232" t="s">
        <v>67</v>
      </c>
      <c r="AC24" s="96">
        <v>1</v>
      </c>
      <c r="AD24" s="96">
        <v>1</v>
      </c>
      <c r="AE24" s="233" t="s">
        <v>67</v>
      </c>
      <c r="AF24" s="232" t="s">
        <v>67</v>
      </c>
      <c r="AG24" s="232" t="s">
        <v>67</v>
      </c>
      <c r="AH24" s="232" t="s">
        <v>67</v>
      </c>
      <c r="AI24" s="232" t="s">
        <v>67</v>
      </c>
      <c r="AJ24" s="29" t="s">
        <v>32</v>
      </c>
      <c r="AL24" t="str">
        <f t="shared" si="0"/>
        <v xml:space="preserve">    (U1)ALERT_REQ_UNKNOWN</v>
      </c>
      <c r="AR24" s="40" t="str">
        <f t="shared" si="3"/>
        <v xml:space="preserve">    (U4)0x00000060U                                                            /* 18 UNKNOWN                                         */</v>
      </c>
      <c r="AS24" s="40" t="str">
        <f t="shared" si="4"/>
        <v xml:space="preserve">    (U4)0x00000060U                                                            /* 18 UNKNOWN                                         */</v>
      </c>
      <c r="AT24" s="40" t="str">
        <f t="shared" si="1"/>
        <v xml:space="preserve">    (U1)ALERT_REQ_UNKNOWN                                                      /* 18 UNKNOWN                                         */</v>
      </c>
    </row>
    <row r="25" spans="2:49">
      <c r="B25" s="100"/>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232" t="s">
        <v>67</v>
      </c>
      <c r="AA25" s="232" t="s">
        <v>67</v>
      </c>
      <c r="AB25" s="232" t="s">
        <v>67</v>
      </c>
      <c r="AC25" s="233" t="s">
        <v>67</v>
      </c>
      <c r="AD25" s="233" t="s">
        <v>67</v>
      </c>
      <c r="AE25" s="233" t="s">
        <v>67</v>
      </c>
      <c r="AF25" s="232" t="s">
        <v>67</v>
      </c>
      <c r="AG25" s="232" t="s">
        <v>67</v>
      </c>
      <c r="AH25" s="232" t="s">
        <v>67</v>
      </c>
      <c r="AI25" s="232" t="s">
        <v>67</v>
      </c>
      <c r="AJ25" s="29"/>
      <c r="AL25" t="str">
        <f t="shared" ca="1" si="0"/>
        <v xml:space="preserve">    (U1)ALERT_REQ_D_SFTPOS_B_RSBW_</v>
      </c>
      <c r="AR25" s="40" t="str">
        <f t="shared" si="3"/>
        <v>};</v>
      </c>
      <c r="AS25" s="40" t="str">
        <f t="shared" si="4"/>
        <v>};</v>
      </c>
      <c r="AT25" s="40" t="str">
        <f t="shared" si="1"/>
        <v>};</v>
      </c>
    </row>
    <row r="26" spans="2:49">
      <c r="B26" s="100"/>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232" t="s">
        <v>67</v>
      </c>
      <c r="AA26" s="232" t="s">
        <v>67</v>
      </c>
      <c r="AB26" s="232" t="s">
        <v>67</v>
      </c>
      <c r="AC26" s="233" t="s">
        <v>67</v>
      </c>
      <c r="AD26" s="232" t="s">
        <v>67</v>
      </c>
      <c r="AE26" s="232" t="s">
        <v>67</v>
      </c>
      <c r="AF26" s="232" t="s">
        <v>67</v>
      </c>
      <c r="AG26" s="232" t="s">
        <v>67</v>
      </c>
      <c r="AH26" s="232" t="s">
        <v>67</v>
      </c>
      <c r="AI26" s="232" t="s">
        <v>67</v>
      </c>
      <c r="AJ26" s="22"/>
      <c r="AL26" t="str">
        <f t="shared" ca="1" si="0"/>
        <v xml:space="preserve">    (U1)ALERT_REQ_D_SFTPOS_B_RSBW_</v>
      </c>
      <c r="AR26" s="40" t="str">
        <f t="shared" si="3"/>
        <v/>
      </c>
      <c r="AS26" s="40" t="str">
        <f t="shared" si="4"/>
        <v/>
      </c>
      <c r="AT26" s="40" t="str">
        <f t="shared" si="1"/>
        <v/>
      </c>
    </row>
    <row r="27" spans="2:49">
      <c r="B27" s="100"/>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232" t="s">
        <v>67</v>
      </c>
      <c r="AA27" s="232" t="s">
        <v>67</v>
      </c>
      <c r="AB27" s="232" t="s">
        <v>67</v>
      </c>
      <c r="AC27" s="232" t="s">
        <v>67</v>
      </c>
      <c r="AD27" s="232" t="s">
        <v>67</v>
      </c>
      <c r="AE27" s="232" t="s">
        <v>67</v>
      </c>
      <c r="AF27" s="232" t="s">
        <v>67</v>
      </c>
      <c r="AG27" s="232" t="s">
        <v>67</v>
      </c>
      <c r="AH27" s="232" t="s">
        <v>67</v>
      </c>
      <c r="AI27" s="232" t="s">
        <v>67</v>
      </c>
      <c r="AJ27" s="22"/>
      <c r="AL27" t="str">
        <f t="shared" ca="1" si="0"/>
        <v xml:space="preserve">    (U1)ALERT_REQ_D_SFTPOS_B_RSBW_</v>
      </c>
      <c r="AR27" s="40" t="str">
        <f t="shared" si="3"/>
        <v/>
      </c>
      <c r="AS27" s="40" t="str">
        <f t="shared" si="4"/>
        <v/>
      </c>
      <c r="AT27" s="40" t="str">
        <f t="shared" si="1"/>
        <v/>
      </c>
    </row>
    <row r="28" spans="2:49">
      <c r="B28" s="100"/>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232" t="s">
        <v>67</v>
      </c>
      <c r="AA28" s="232" t="s">
        <v>67</v>
      </c>
      <c r="AB28" s="232" t="s">
        <v>67</v>
      </c>
      <c r="AC28" s="232" t="s">
        <v>67</v>
      </c>
      <c r="AD28" s="232" t="s">
        <v>67</v>
      </c>
      <c r="AE28" s="232" t="s">
        <v>67</v>
      </c>
      <c r="AF28" s="232" t="s">
        <v>67</v>
      </c>
      <c r="AG28" s="232" t="s">
        <v>67</v>
      </c>
      <c r="AH28" s="232" t="s">
        <v>67</v>
      </c>
      <c r="AI28" s="232" t="s">
        <v>67</v>
      </c>
      <c r="AJ28" s="22"/>
      <c r="AL28" t="str">
        <f t="shared" ca="1" si="0"/>
        <v xml:space="preserve">    (U1)ALERT_REQ_D_SFTPOS_B_RSBW_</v>
      </c>
      <c r="AR28" s="40" t="str">
        <f t="shared" si="3"/>
        <v/>
      </c>
      <c r="AS28" s="40" t="str">
        <f t="shared" si="4"/>
        <v/>
      </c>
      <c r="AT28" s="40" t="str">
        <f t="shared" si="1"/>
        <v/>
      </c>
    </row>
    <row r="29" spans="2:49">
      <c r="B29" s="100"/>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2"/>
      <c r="AL29" t="str">
        <f t="shared" ca="1" si="0"/>
        <v xml:space="preserve">    (U1)ALERT_REQ_D_SFTPOS_B_RSBW_</v>
      </c>
      <c r="AR29" s="40" t="str">
        <f t="shared" si="3"/>
        <v/>
      </c>
      <c r="AS29" s="40" t="str">
        <f t="shared" si="4"/>
        <v/>
      </c>
      <c r="AT29" s="40" t="str">
        <f t="shared" si="1"/>
        <v/>
      </c>
    </row>
    <row r="30" spans="2:49">
      <c r="B30" s="100"/>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2"/>
      <c r="AL30" t="str">
        <f t="shared" ca="1" si="0"/>
        <v xml:space="preserve">    (U1)ALERT_REQ_D_SFTPOS_B_RSBW_</v>
      </c>
      <c r="AR30" s="40" t="str">
        <f t="shared" si="3"/>
        <v/>
      </c>
      <c r="AS30" s="40" t="str">
        <f t="shared" si="4"/>
        <v/>
      </c>
      <c r="AT30" s="40" t="str">
        <f t="shared" si="1"/>
        <v/>
      </c>
    </row>
    <row r="31" spans="2:49">
      <c r="B31" s="100"/>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2"/>
      <c r="AL31" t="str">
        <f t="shared" ca="1" si="0"/>
        <v xml:space="preserve">    (U1)ALERT_REQ_D_SFTPOS_B_RSBW_</v>
      </c>
      <c r="AR31" s="40" t="str">
        <f t="shared" si="3"/>
        <v/>
      </c>
      <c r="AS31" s="40" t="str">
        <f t="shared" si="4"/>
        <v/>
      </c>
      <c r="AT31" s="40" t="str">
        <f t="shared" si="1"/>
        <v/>
      </c>
    </row>
    <row r="32" spans="2:49">
      <c r="B32" s="100"/>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2"/>
      <c r="AL32" t="str">
        <f t="shared" ca="1" si="0"/>
        <v xml:space="preserve">    (U1)ALERT_REQ_D_SFTPOS_B_RSBW_</v>
      </c>
      <c r="AR32" s="40" t="str">
        <f t="shared" si="3"/>
        <v/>
      </c>
      <c r="AS32" s="40" t="str">
        <f t="shared" si="4"/>
        <v/>
      </c>
      <c r="AT32" s="40" t="str">
        <f t="shared" si="1"/>
        <v/>
      </c>
    </row>
    <row r="33" spans="2:46">
      <c r="B33" s="100"/>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2"/>
      <c r="AL33" t="str">
        <f t="shared" ca="1" si="0"/>
        <v xml:space="preserve">    (U1)ALERT_REQ_D_SFTPOS_B_RSBW_</v>
      </c>
      <c r="AR33" s="40" t="str">
        <f t="shared" si="3"/>
        <v/>
      </c>
      <c r="AS33" s="40" t="str">
        <f t="shared" si="4"/>
        <v/>
      </c>
      <c r="AT33" s="40" t="str">
        <f t="shared" si="1"/>
        <v/>
      </c>
    </row>
    <row r="34" spans="2:46">
      <c r="B34" s="100"/>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2"/>
      <c r="AL34" t="str">
        <f t="shared" ca="1" si="0"/>
        <v xml:space="preserve">    (U1)ALERT_REQ_D_SFTPOS_B_RSBW_</v>
      </c>
      <c r="AR34" s="40" t="str">
        <f t="shared" si="3"/>
        <v/>
      </c>
      <c r="AS34" s="40" t="str">
        <f t="shared" si="4"/>
        <v/>
      </c>
      <c r="AT34" s="40" t="str">
        <f t="shared" si="1"/>
        <v/>
      </c>
    </row>
    <row r="35" spans="2:46">
      <c r="B35" s="100"/>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2"/>
      <c r="AL35" t="str">
        <f t="shared" ca="1" si="0"/>
        <v xml:space="preserve">    (U1)ALERT_REQ_D_SFTPOS_B_RSBW_</v>
      </c>
      <c r="AR35" s="40" t="str">
        <f t="shared" si="3"/>
        <v/>
      </c>
      <c r="AS35" s="40" t="str">
        <f t="shared" si="4"/>
        <v/>
      </c>
      <c r="AT35" s="40" t="str">
        <f t="shared" si="1"/>
        <v/>
      </c>
    </row>
    <row r="36" spans="2:46">
      <c r="B36" s="100"/>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2"/>
      <c r="AL36" t="str">
        <f t="shared" ca="1" si="0"/>
        <v xml:space="preserve">    (U1)ALERT_REQ_D_SFTPOS_B_RSBW_</v>
      </c>
      <c r="AR36" s="40" t="str">
        <f t="shared" si="3"/>
        <v/>
      </c>
      <c r="AS36" s="40" t="str">
        <f t="shared" si="4"/>
        <v/>
      </c>
      <c r="AT36" s="40" t="str">
        <f t="shared" si="1"/>
        <v/>
      </c>
    </row>
    <row r="37" spans="2:46">
      <c r="B37" s="100"/>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2"/>
      <c r="AL37" t="str">
        <f t="shared" ca="1" si="0"/>
        <v xml:space="preserve">    (U1)ALERT_REQ_D_SFTPOS_B_RSBW_</v>
      </c>
      <c r="AR37" s="40" t="str">
        <f t="shared" si="3"/>
        <v/>
      </c>
      <c r="AS37" s="40" t="str">
        <f t="shared" si="4"/>
        <v/>
      </c>
      <c r="AT37" s="40" t="str">
        <f t="shared" si="1"/>
        <v/>
      </c>
    </row>
    <row r="38" spans="2:46">
      <c r="B38" s="100"/>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(U1)ALERT_REQ_D_SFTPOS_B_RSBW_</v>
      </c>
      <c r="AR38" s="40" t="str">
        <f t="shared" si="3"/>
        <v/>
      </c>
      <c r="AS38" s="40" t="str">
        <f t="shared" si="4"/>
        <v/>
      </c>
      <c r="AT38" s="40" t="str">
        <f t="shared" si="1"/>
        <v/>
      </c>
    </row>
    <row r="39" spans="2:46">
      <c r="B39" s="100"/>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(U1)ALERT_REQ_D_SFTPOS_B_RSBW_</v>
      </c>
      <c r="AR39" s="40" t="str">
        <f t="shared" si="3"/>
        <v/>
      </c>
      <c r="AS39" s="40" t="str">
        <f t="shared" si="4"/>
        <v/>
      </c>
      <c r="AT39" s="40" t="str">
        <f t="shared" si="1"/>
        <v/>
      </c>
    </row>
    <row r="40" spans="2:46">
      <c r="B40" s="100"/>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(U1)ALERT_REQ_D_SFTPOS_B_RSBW_</v>
      </c>
      <c r="AR40" s="40" t="str">
        <f t="shared" si="3"/>
        <v/>
      </c>
      <c r="AS40" s="40" t="str">
        <f t="shared" si="4"/>
        <v/>
      </c>
      <c r="AT40" s="40" t="str">
        <f t="shared" si="1"/>
        <v/>
      </c>
    </row>
    <row r="41" spans="2:46">
      <c r="B41" s="100"/>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(U1)ALERT_REQ_D_SFTPOS_B_RSBW_</v>
      </c>
      <c r="AR41" s="40" t="str">
        <f t="shared" si="3"/>
        <v/>
      </c>
      <c r="AS41" s="40" t="str">
        <f t="shared" si="4"/>
        <v/>
      </c>
      <c r="AT41" s="40" t="str">
        <f t="shared" si="1"/>
        <v/>
      </c>
    </row>
    <row r="42" spans="2:46">
      <c r="B42" s="100"/>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(U1)ALERT_REQ_D_SFTPOS_B_RSBW_</v>
      </c>
      <c r="AR42" s="40" t="str">
        <f t="shared" si="3"/>
        <v/>
      </c>
      <c r="AS42" s="40" t="str">
        <f t="shared" si="4"/>
        <v/>
      </c>
      <c r="AT42" s="40" t="str">
        <f t="shared" si="1"/>
        <v/>
      </c>
    </row>
    <row r="43" spans="2:46">
      <c r="B43" s="100"/>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(U1)ALERT_REQ_D_SFTPOS_B_RSBW_</v>
      </c>
      <c r="AR43" s="40" t="str">
        <f t="shared" si="3"/>
        <v/>
      </c>
      <c r="AS43" s="40" t="str">
        <f t="shared" si="4"/>
        <v/>
      </c>
      <c r="AT43" s="40" t="str">
        <f t="shared" si="1"/>
        <v/>
      </c>
    </row>
    <row r="44" spans="2:46">
      <c r="B44" s="100"/>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(U1)ALERT_REQ_D_SFTPOS_B_RSBW_</v>
      </c>
      <c r="AR44" s="40" t="str">
        <f t="shared" si="3"/>
        <v/>
      </c>
      <c r="AS44" s="40" t="str">
        <f t="shared" si="4"/>
        <v/>
      </c>
      <c r="AT44" s="40" t="str">
        <f t="shared" si="1"/>
        <v/>
      </c>
    </row>
    <row r="45" spans="2:46">
      <c r="B45" s="100"/>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(U1)ALERT_REQ_D_SFTPOS_B_RSBW_</v>
      </c>
      <c r="AR45" s="40" t="str">
        <f t="shared" si="3"/>
        <v/>
      </c>
      <c r="AS45" s="40" t="str">
        <f t="shared" si="4"/>
        <v/>
      </c>
      <c r="AT45" s="40" t="str">
        <f t="shared" si="1"/>
        <v/>
      </c>
    </row>
    <row r="46" spans="2:46">
      <c r="B46" s="100"/>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(U1)ALERT_REQ_D_SFTPOS_B_RSBW_</v>
      </c>
      <c r="AR46" s="40" t="str">
        <f t="shared" si="3"/>
        <v/>
      </c>
      <c r="AS46" s="40" t="str">
        <f t="shared" si="4"/>
        <v/>
      </c>
      <c r="AT46" s="40" t="str">
        <f t="shared" si="1"/>
        <v/>
      </c>
    </row>
    <row r="47" spans="2:46">
      <c r="B47" s="100"/>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(U1)ALERT_REQ_D_SFTPOS_B_RSBW_</v>
      </c>
      <c r="AR47" s="40" t="str">
        <f t="shared" si="3"/>
        <v/>
      </c>
      <c r="AS47" s="40" t="str">
        <f t="shared" si="4"/>
        <v/>
      </c>
      <c r="AT47" s="40" t="str">
        <f t="shared" si="1"/>
        <v/>
      </c>
    </row>
    <row r="48" spans="2:46">
      <c r="B48" s="100"/>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(U1)ALERT_REQ_D_SFTPOS_B_RSBW_</v>
      </c>
      <c r="AR48" s="40" t="str">
        <f t="shared" si="3"/>
        <v/>
      </c>
      <c r="AS48" s="40" t="str">
        <f t="shared" si="4"/>
        <v/>
      </c>
      <c r="AT48" s="40" t="str">
        <f t="shared" si="1"/>
        <v/>
      </c>
    </row>
    <row r="49" spans="2:46">
      <c r="B49" s="100"/>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(U1)ALERT_REQ_D_SFTPOS_B_RSBW_</v>
      </c>
      <c r="AR49" s="40" t="str">
        <f t="shared" si="3"/>
        <v/>
      </c>
      <c r="AS49" s="40" t="str">
        <f t="shared" si="4"/>
        <v/>
      </c>
      <c r="AT49" s="40" t="str">
        <f t="shared" si="1"/>
        <v/>
      </c>
    </row>
    <row r="50" spans="2:46">
      <c r="B50" s="100"/>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(U1)ALERT_REQ_D_SFTPOS_B_RSBW_</v>
      </c>
      <c r="AR50" s="40" t="str">
        <f t="shared" si="3"/>
        <v/>
      </c>
      <c r="AS50" s="40" t="str">
        <f t="shared" si="4"/>
        <v/>
      </c>
      <c r="AT50" s="40" t="str">
        <f t="shared" si="1"/>
        <v/>
      </c>
    </row>
    <row r="51" spans="2:46">
      <c r="B51" s="100"/>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(U1)ALERT_REQ_D_SFTPOS_B_RSBW_</v>
      </c>
      <c r="AR51" s="40" t="str">
        <f t="shared" si="3"/>
        <v/>
      </c>
      <c r="AS51" s="40" t="str">
        <f t="shared" si="4"/>
        <v/>
      </c>
      <c r="AT51" s="40" t="str">
        <f t="shared" si="1"/>
        <v/>
      </c>
    </row>
    <row r="52" spans="2:46">
      <c r="B52" s="100"/>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(U1)ALERT_REQ_D_SFTPOS_B_RSBW_</v>
      </c>
      <c r="AR52" s="40" t="str">
        <f t="shared" si="3"/>
        <v/>
      </c>
      <c r="AS52" s="40" t="str">
        <f t="shared" si="4"/>
        <v/>
      </c>
      <c r="AT52" s="40" t="str">
        <f t="shared" si="1"/>
        <v/>
      </c>
    </row>
    <row r="53" spans="2:46">
      <c r="B53" s="100"/>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(U1)ALERT_REQ_D_SFTPOS_B_RSBW_</v>
      </c>
      <c r="AR53" s="40" t="str">
        <f t="shared" si="3"/>
        <v/>
      </c>
      <c r="AS53" s="40" t="str">
        <f t="shared" si="4"/>
        <v/>
      </c>
      <c r="AT53" s="40" t="str">
        <f t="shared" si="1"/>
        <v/>
      </c>
    </row>
    <row r="54" spans="2:46">
      <c r="B54" s="100"/>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(U1)ALERT_REQ_D_SFTPOS_B_RSBW_</v>
      </c>
      <c r="AR54" s="40" t="str">
        <f t="shared" si="3"/>
        <v/>
      </c>
      <c r="AS54" s="40" t="str">
        <f t="shared" si="4"/>
        <v/>
      </c>
      <c r="AT54" s="40" t="str">
        <f t="shared" si="1"/>
        <v/>
      </c>
    </row>
    <row r="55" spans="2:46">
      <c r="B55" s="100"/>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(U1)ALERT_REQ_D_SFTPOS_B_RSBW_</v>
      </c>
      <c r="AR55" s="40" t="str">
        <f t="shared" si="3"/>
        <v/>
      </c>
      <c r="AS55" s="40" t="str">
        <f t="shared" si="4"/>
        <v/>
      </c>
      <c r="AT55" s="40" t="str">
        <f t="shared" si="1"/>
        <v/>
      </c>
    </row>
    <row r="56" spans="2:46">
      <c r="B56" s="100"/>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(U1)ALERT_REQ_D_SFTPOS_B_RSBW_</v>
      </c>
      <c r="AR56" s="40" t="str">
        <f t="shared" si="3"/>
        <v/>
      </c>
      <c r="AS56" s="40" t="str">
        <f t="shared" si="4"/>
        <v/>
      </c>
      <c r="AT56" s="40" t="str">
        <f t="shared" si="1"/>
        <v/>
      </c>
    </row>
    <row r="57" spans="2:46">
      <c r="B57" s="100"/>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(U1)ALERT_REQ_D_SFTPOS_B_RSBW_</v>
      </c>
      <c r="AR57" s="40" t="str">
        <f t="shared" si="3"/>
        <v/>
      </c>
      <c r="AS57" s="40" t="str">
        <f t="shared" si="4"/>
        <v/>
      </c>
      <c r="AT57" s="40" t="str">
        <f t="shared" si="1"/>
        <v/>
      </c>
    </row>
    <row r="58" spans="2:46">
      <c r="B58" s="100"/>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(U1)ALERT_REQ_D_SFTPOS_B_RSBW_</v>
      </c>
      <c r="AR58" s="40" t="str">
        <f t="shared" si="3"/>
        <v/>
      </c>
      <c r="AS58" s="40" t="str">
        <f t="shared" si="4"/>
        <v/>
      </c>
      <c r="AT58" s="40" t="str">
        <f t="shared" si="1"/>
        <v/>
      </c>
    </row>
    <row r="59" spans="2:46">
      <c r="B59" s="100"/>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(U1)ALERT_REQ_D_SFTPOS_B_RSBW_</v>
      </c>
      <c r="AR59" s="40" t="str">
        <f t="shared" si="3"/>
        <v/>
      </c>
      <c r="AS59" s="40" t="str">
        <f t="shared" si="4"/>
        <v/>
      </c>
      <c r="AT59" s="40" t="str">
        <f t="shared" si="1"/>
        <v/>
      </c>
    </row>
    <row r="60" spans="2:46">
      <c r="B60" s="100"/>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(U1)ALERT_REQ_D_SFTPOS_B_RSBW_</v>
      </c>
      <c r="AR60" s="40" t="str">
        <f t="shared" si="3"/>
        <v/>
      </c>
      <c r="AS60" s="40" t="str">
        <f t="shared" si="4"/>
        <v/>
      </c>
      <c r="AT60" s="40" t="str">
        <f t="shared" si="1"/>
        <v/>
      </c>
    </row>
    <row r="61" spans="2:46">
      <c r="B61" s="100"/>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(U1)ALERT_REQ_D_SFTPOS_B_RSBW_</v>
      </c>
      <c r="AR61" s="40" t="str">
        <f t="shared" si="3"/>
        <v/>
      </c>
      <c r="AS61" s="40" t="str">
        <f t="shared" si="4"/>
        <v/>
      </c>
      <c r="AT61" s="40" t="str">
        <f t="shared" si="1"/>
        <v/>
      </c>
    </row>
    <row r="62" spans="2:46">
      <c r="B62" s="100"/>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(U1)ALERT_REQ_D_SFTPOS_B_RSBW_</v>
      </c>
      <c r="AR62" s="40" t="str">
        <f t="shared" si="3"/>
        <v/>
      </c>
      <c r="AS62" s="40" t="str">
        <f t="shared" si="4"/>
        <v/>
      </c>
      <c r="AT62" s="40" t="str">
        <f t="shared" si="1"/>
        <v/>
      </c>
    </row>
    <row r="63" spans="2:46">
      <c r="B63" s="100"/>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(U1)ALERT_REQ_D_SFTPOS_B_RSBW_</v>
      </c>
      <c r="AR63" s="40" t="str">
        <f t="shared" si="3"/>
        <v/>
      </c>
      <c r="AS63" s="40" t="str">
        <f t="shared" si="4"/>
        <v/>
      </c>
      <c r="AT63" s="40" t="str">
        <f t="shared" si="1"/>
        <v/>
      </c>
    </row>
    <row r="64" spans="2:46">
      <c r="B64" s="100"/>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(U1)ALERT_REQ_D_SFTPOS_B_RSBW_</v>
      </c>
      <c r="AR64" s="40" t="str">
        <f t="shared" si="3"/>
        <v/>
      </c>
      <c r="AS64" s="40" t="str">
        <f t="shared" si="4"/>
        <v/>
      </c>
      <c r="AT64" s="40" t="str">
        <f t="shared" si="1"/>
        <v/>
      </c>
    </row>
    <row r="65" spans="1:46">
      <c r="B65" s="100"/>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(U1)ALERT_REQ_D_SFTPOS_B_RSBW_</v>
      </c>
      <c r="AR65" s="40" t="str">
        <f t="shared" si="3"/>
        <v/>
      </c>
      <c r="AS65" s="40" t="str">
        <f t="shared" si="4"/>
        <v/>
      </c>
      <c r="AT65" s="40" t="str">
        <f t="shared" si="1"/>
        <v/>
      </c>
    </row>
    <row r="66" spans="1:46">
      <c r="B66" s="100"/>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(U1)ALERT_REQ_D_SFTPOS_B_RSBW_</v>
      </c>
      <c r="AR66" s="40" t="str">
        <f t="shared" si="3"/>
        <v/>
      </c>
      <c r="AS66" s="40" t="str">
        <f t="shared" si="4"/>
        <v/>
      </c>
      <c r="AT66" s="40" t="str">
        <f t="shared" si="1"/>
        <v/>
      </c>
    </row>
    <row r="67" spans="1:46">
      <c r="B67" s="100"/>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(U1)ALERT_REQ_D_SFTPOS_B_RSBW_</v>
      </c>
      <c r="AR67" s="40" t="str">
        <f t="shared" si="3"/>
        <v/>
      </c>
      <c r="AS67" s="40" t="str">
        <f t="shared" si="4"/>
        <v/>
      </c>
      <c r="AT67" s="40" t="str">
        <f t="shared" si="1"/>
        <v/>
      </c>
    </row>
    <row r="68" spans="1:46">
      <c r="B68" s="100"/>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(U1)ALERT_REQ_D_SFTPOS_B_RSBW_</v>
      </c>
      <c r="AR68" s="40" t="str">
        <f t="shared" si="3"/>
        <v/>
      </c>
      <c r="AS68" s="40" t="str">
        <f t="shared" si="4"/>
        <v/>
      </c>
      <c r="AT68" s="40" t="str">
        <f t="shared" si="1"/>
        <v/>
      </c>
    </row>
    <row r="69" spans="1:46">
      <c r="B69" s="101"/>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(U1)ALERT_REQ_D_SFTPOS_B_RSBW_</v>
      </c>
      <c r="AR69" s="40" t="str">
        <f t="shared" si="3"/>
        <v/>
      </c>
      <c r="AS69" s="40" t="str">
        <f t="shared" si="4"/>
        <v/>
      </c>
      <c r="AT69" s="40"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B_RSBW</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0</v>
      </c>
      <c r="AC72" s="93">
        <f t="shared" si="6"/>
        <v>1</v>
      </c>
      <c r="AD72" s="93">
        <f t="shared" si="6"/>
        <v>0</v>
      </c>
      <c r="AE72" s="93">
        <f t="shared" si="6"/>
        <v>0</v>
      </c>
      <c r="AF72" s="93">
        <f t="shared" si="6"/>
        <v>0</v>
      </c>
      <c r="AG72" s="93">
        <f t="shared" si="6"/>
        <v>0</v>
      </c>
      <c r="AH72" s="93">
        <f t="shared" si="6"/>
        <v>0</v>
      </c>
      <c r="AI72" s="93">
        <f t="shared" si="6"/>
        <v>0</v>
      </c>
      <c r="AJ72" s="25" t="str">
        <f t="shared" si="7"/>
        <v>UNKNOWN</v>
      </c>
      <c r="AK72" s="38"/>
      <c r="AL72" s="38" t="str">
        <f t="shared" ref="AL72:AL134" si="10">BIN2HEX(AB72&amp;AC72&amp;AD72&amp;AE72&amp;AF72&amp;AG72&amp;AH72&amp;AI72,2)</f>
        <v>40</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(U4)0x00000040U,                                                           /* 01 UNKNOWN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1</v>
      </c>
      <c r="AD73" s="93">
        <f t="shared" si="6"/>
        <v>0</v>
      </c>
      <c r="AE73" s="93">
        <f t="shared" si="6"/>
        <v>0</v>
      </c>
      <c r="AF73" s="93">
        <f t="shared" si="6"/>
        <v>0</v>
      </c>
      <c r="AG73" s="93">
        <f t="shared" si="6"/>
        <v>0</v>
      </c>
      <c r="AH73" s="93">
        <f t="shared" si="6"/>
        <v>0</v>
      </c>
      <c r="AI73" s="93">
        <f t="shared" si="6"/>
        <v>1</v>
      </c>
      <c r="AJ73" s="25" t="str">
        <f t="shared" si="7"/>
        <v>UNKNOWN</v>
      </c>
      <c r="AK73" s="38"/>
      <c r="AL73" s="38" t="str">
        <f t="shared" si="10"/>
        <v>41</v>
      </c>
      <c r="AM73" s="38" t="str">
        <f t="shared" si="11"/>
        <v>00</v>
      </c>
      <c r="AN73" s="38" t="str">
        <f t="shared" si="12"/>
        <v>00</v>
      </c>
      <c r="AO73" s="38" t="str">
        <f t="shared" si="13"/>
        <v>00</v>
      </c>
      <c r="AQ73" t="str">
        <f t="shared" si="8"/>
        <v xml:space="preserve">    (U4)0x00000041U,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1</v>
      </c>
      <c r="AD74" s="93">
        <f t="shared" si="6"/>
        <v>0</v>
      </c>
      <c r="AE74" s="93">
        <f t="shared" si="6"/>
        <v>0</v>
      </c>
      <c r="AF74" s="93">
        <f t="shared" si="6"/>
        <v>0</v>
      </c>
      <c r="AG74" s="93">
        <f t="shared" si="6"/>
        <v>0</v>
      </c>
      <c r="AH74" s="93">
        <f t="shared" si="6"/>
        <v>1</v>
      </c>
      <c r="AI74" s="93">
        <f t="shared" si="6"/>
        <v>0</v>
      </c>
      <c r="AJ74" s="25" t="str">
        <f t="shared" si="7"/>
        <v>CYCLE</v>
      </c>
      <c r="AK74" s="38"/>
      <c r="AL74" s="38" t="str">
        <f t="shared" si="10"/>
        <v>42</v>
      </c>
      <c r="AM74" s="38" t="str">
        <f t="shared" si="11"/>
        <v>00</v>
      </c>
      <c r="AN74" s="38" t="str">
        <f t="shared" si="12"/>
        <v>00</v>
      </c>
      <c r="AO74" s="38" t="str">
        <f t="shared" si="13"/>
        <v>00</v>
      </c>
      <c r="AQ74" t="str">
        <f t="shared" si="8"/>
        <v xml:space="preserve">    (U4)0x00000042U,                                                           /* 03 CYCLE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1</v>
      </c>
      <c r="AD75" s="93">
        <f t="shared" si="6"/>
        <v>0</v>
      </c>
      <c r="AE75" s="93">
        <f t="shared" si="6"/>
        <v>0</v>
      </c>
      <c r="AF75" s="93">
        <f t="shared" si="6"/>
        <v>0</v>
      </c>
      <c r="AG75" s="93">
        <f t="shared" si="6"/>
        <v>0</v>
      </c>
      <c r="AH75" s="93">
        <f t="shared" si="6"/>
        <v>1</v>
      </c>
      <c r="AI75" s="93">
        <f t="shared" si="6"/>
        <v>1</v>
      </c>
      <c r="AJ75" s="25" t="str">
        <f t="shared" si="7"/>
        <v>UNKNOWN</v>
      </c>
      <c r="AK75" s="38"/>
      <c r="AL75" s="38" t="str">
        <f t="shared" si="10"/>
        <v>43</v>
      </c>
      <c r="AM75" s="38" t="str">
        <f t="shared" si="11"/>
        <v>00</v>
      </c>
      <c r="AN75" s="38" t="str">
        <f t="shared" si="12"/>
        <v>00</v>
      </c>
      <c r="AO75" s="38" t="str">
        <f t="shared" si="13"/>
        <v>00</v>
      </c>
      <c r="AQ75" t="str">
        <f t="shared" si="8"/>
        <v xml:space="preserve">    (U4)0x00000043U,                                                           /* 04 UNKNOWN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1</v>
      </c>
      <c r="AD76" s="93">
        <f t="shared" si="6"/>
        <v>0</v>
      </c>
      <c r="AE76" s="93">
        <f t="shared" si="6"/>
        <v>0</v>
      </c>
      <c r="AF76" s="93">
        <f t="shared" si="6"/>
        <v>0</v>
      </c>
      <c r="AG76" s="93">
        <f t="shared" si="6"/>
        <v>1</v>
      </c>
      <c r="AH76" s="93">
        <f t="shared" si="6"/>
        <v>0</v>
      </c>
      <c r="AI76" s="93">
        <f t="shared" si="6"/>
        <v>0</v>
      </c>
      <c r="AJ76" s="25" t="str">
        <f t="shared" si="7"/>
        <v>UNKNOWN</v>
      </c>
      <c r="AK76" s="38"/>
      <c r="AL76" s="38" t="str">
        <f t="shared" si="10"/>
        <v>44</v>
      </c>
      <c r="AM76" s="38" t="str">
        <f t="shared" si="11"/>
        <v>00</v>
      </c>
      <c r="AN76" s="38" t="str">
        <f t="shared" si="12"/>
        <v>00</v>
      </c>
      <c r="AO76" s="38" t="str">
        <f t="shared" si="13"/>
        <v>00</v>
      </c>
      <c r="AQ76" t="str">
        <f t="shared" si="8"/>
        <v xml:space="preserve">    (U4)0x00000044U,                                                           /* 05 UNKNOWN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1</v>
      </c>
      <c r="AD77" s="93">
        <f t="shared" si="6"/>
        <v>0</v>
      </c>
      <c r="AE77" s="93">
        <f t="shared" si="6"/>
        <v>0</v>
      </c>
      <c r="AF77" s="93">
        <f t="shared" si="6"/>
        <v>0</v>
      </c>
      <c r="AG77" s="93">
        <f t="shared" si="6"/>
        <v>1</v>
      </c>
      <c r="AH77" s="93">
        <f t="shared" si="6"/>
        <v>0</v>
      </c>
      <c r="AI77" s="93">
        <f t="shared" si="6"/>
        <v>1</v>
      </c>
      <c r="AJ77" s="25" t="str">
        <f t="shared" si="7"/>
        <v>UNKNOWN</v>
      </c>
      <c r="AK77" s="38"/>
      <c r="AL77" s="38" t="str">
        <f t="shared" si="10"/>
        <v>45</v>
      </c>
      <c r="AM77" s="38" t="str">
        <f t="shared" si="11"/>
        <v>00</v>
      </c>
      <c r="AN77" s="38" t="str">
        <f t="shared" si="12"/>
        <v>00</v>
      </c>
      <c r="AO77" s="38" t="str">
        <f t="shared" si="13"/>
        <v>00</v>
      </c>
      <c r="AQ77" t="str">
        <f t="shared" si="8"/>
        <v xml:space="preserve">    (U4)0x00000045U,                                                           /* 06 UNKNOWN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1</v>
      </c>
      <c r="AD78" s="93">
        <f t="shared" si="6"/>
        <v>0</v>
      </c>
      <c r="AE78" s="93">
        <f t="shared" si="6"/>
        <v>0</v>
      </c>
      <c r="AF78" s="93">
        <f t="shared" si="6"/>
        <v>0</v>
      </c>
      <c r="AG78" s="93">
        <f t="shared" si="6"/>
        <v>1</v>
      </c>
      <c r="AH78" s="93">
        <f t="shared" si="6"/>
        <v>1</v>
      </c>
      <c r="AI78" s="93">
        <f t="shared" ref="AI78" si="14">IF(AI13=1,1,0)</f>
        <v>0</v>
      </c>
      <c r="AJ78" s="25" t="str">
        <f t="shared" si="7"/>
        <v>UNKNOWN</v>
      </c>
      <c r="AK78" s="38"/>
      <c r="AL78" s="38" t="str">
        <f t="shared" si="10"/>
        <v>46</v>
      </c>
      <c r="AM78" s="38" t="str">
        <f t="shared" si="11"/>
        <v>00</v>
      </c>
      <c r="AN78" s="38" t="str">
        <f t="shared" si="12"/>
        <v>00</v>
      </c>
      <c r="AO78" s="38" t="str">
        <f t="shared" si="13"/>
        <v>00</v>
      </c>
      <c r="AQ78" t="str">
        <f t="shared" si="8"/>
        <v xml:space="preserve">    (U4)0x00000046U,                                                           /* 07 UNKNOWN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1</v>
      </c>
      <c r="AD79" s="93">
        <f t="shared" si="15"/>
        <v>0</v>
      </c>
      <c r="AE79" s="93">
        <f t="shared" si="15"/>
        <v>0</v>
      </c>
      <c r="AF79" s="93">
        <f t="shared" si="15"/>
        <v>0</v>
      </c>
      <c r="AG79" s="93">
        <f t="shared" si="15"/>
        <v>1</v>
      </c>
      <c r="AH79" s="93">
        <f t="shared" si="15"/>
        <v>1</v>
      </c>
      <c r="AI79" s="93">
        <f t="shared" si="15"/>
        <v>1</v>
      </c>
      <c r="AJ79" s="25" t="str">
        <f t="shared" si="7"/>
        <v>UNKNOWN</v>
      </c>
      <c r="AK79" s="38"/>
      <c r="AL79" s="38" t="str">
        <f t="shared" si="10"/>
        <v>47</v>
      </c>
      <c r="AM79" s="38" t="str">
        <f t="shared" si="11"/>
        <v>00</v>
      </c>
      <c r="AN79" s="38" t="str">
        <f t="shared" si="12"/>
        <v>00</v>
      </c>
      <c r="AO79" s="38" t="str">
        <f t="shared" si="13"/>
        <v>00</v>
      </c>
      <c r="AQ79" t="str">
        <f t="shared" si="8"/>
        <v xml:space="preserve">    (U4)0x00000047U,                                                           /* 08 UNKNOWN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1</v>
      </c>
      <c r="AD80" s="93">
        <f t="shared" si="15"/>
        <v>0</v>
      </c>
      <c r="AE80" s="93">
        <f t="shared" si="15"/>
        <v>0</v>
      </c>
      <c r="AF80" s="93">
        <f t="shared" si="15"/>
        <v>1</v>
      </c>
      <c r="AG80" s="93">
        <f t="shared" si="15"/>
        <v>0</v>
      </c>
      <c r="AH80" s="93">
        <f t="shared" si="15"/>
        <v>0</v>
      </c>
      <c r="AI80" s="93">
        <f t="shared" si="15"/>
        <v>0</v>
      </c>
      <c r="AJ80" s="25" t="str">
        <f t="shared" si="7"/>
        <v>UNKNOWN</v>
      </c>
      <c r="AK80" s="38"/>
      <c r="AL80" s="38" t="str">
        <f t="shared" si="10"/>
        <v>48</v>
      </c>
      <c r="AM80" s="38" t="str">
        <f t="shared" si="11"/>
        <v>00</v>
      </c>
      <c r="AN80" s="38" t="str">
        <f t="shared" si="12"/>
        <v>00</v>
      </c>
      <c r="AO80" s="38" t="str">
        <f t="shared" si="13"/>
        <v>00</v>
      </c>
      <c r="AQ80" t="str">
        <f t="shared" si="8"/>
        <v xml:space="preserve">    (U4)0x00000048U,                                                           /* 09 UNKNOWN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1</v>
      </c>
      <c r="AD81" s="93">
        <f t="shared" si="15"/>
        <v>0</v>
      </c>
      <c r="AE81" s="93">
        <f t="shared" si="15"/>
        <v>0</v>
      </c>
      <c r="AF81" s="93">
        <f t="shared" si="15"/>
        <v>1</v>
      </c>
      <c r="AG81" s="93">
        <f t="shared" si="15"/>
        <v>0</v>
      </c>
      <c r="AH81" s="93">
        <f t="shared" si="15"/>
        <v>0</v>
      </c>
      <c r="AI81" s="93">
        <f t="shared" si="15"/>
        <v>1</v>
      </c>
      <c r="AJ81" s="25" t="str">
        <f t="shared" si="7"/>
        <v>UNKNOWN</v>
      </c>
      <c r="AK81" s="38"/>
      <c r="AL81" s="38" t="str">
        <f t="shared" si="10"/>
        <v>49</v>
      </c>
      <c r="AM81" s="38" t="str">
        <f t="shared" si="11"/>
        <v>00</v>
      </c>
      <c r="AN81" s="38" t="str">
        <f t="shared" si="12"/>
        <v>00</v>
      </c>
      <c r="AO81" s="38" t="str">
        <f t="shared" si="13"/>
        <v>00</v>
      </c>
      <c r="AQ81" t="str">
        <f t="shared" si="8"/>
        <v xml:space="preserve">    (U4)0x00000049U,                                                           /* 10 UNKNOWN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1</v>
      </c>
      <c r="AD82" s="93">
        <f t="shared" si="15"/>
        <v>0</v>
      </c>
      <c r="AE82" s="93">
        <f t="shared" si="15"/>
        <v>0</v>
      </c>
      <c r="AF82" s="93">
        <f t="shared" si="15"/>
        <v>1</v>
      </c>
      <c r="AG82" s="93">
        <f t="shared" si="15"/>
        <v>0</v>
      </c>
      <c r="AH82" s="93">
        <f t="shared" si="15"/>
        <v>1</v>
      </c>
      <c r="AI82" s="93">
        <f t="shared" si="15"/>
        <v>0</v>
      </c>
      <c r="AJ82" s="25" t="str">
        <f t="shared" si="7"/>
        <v>UNKNOWN</v>
      </c>
      <c r="AK82" s="38"/>
      <c r="AL82" s="38" t="str">
        <f t="shared" si="10"/>
        <v>4A</v>
      </c>
      <c r="AM82" s="38" t="str">
        <f t="shared" si="11"/>
        <v>00</v>
      </c>
      <c r="AN82" s="38" t="str">
        <f t="shared" si="12"/>
        <v>00</v>
      </c>
      <c r="AO82" s="38" t="str">
        <f t="shared" si="13"/>
        <v>00</v>
      </c>
      <c r="AQ82" t="str">
        <f t="shared" si="8"/>
        <v xml:space="preserve">    (U4)0x0000004AU,                                                           /* 11 UNKNOWN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1</v>
      </c>
      <c r="AD83" s="93">
        <f t="shared" si="15"/>
        <v>0</v>
      </c>
      <c r="AE83" s="93">
        <f t="shared" si="15"/>
        <v>0</v>
      </c>
      <c r="AF83" s="93">
        <f t="shared" si="15"/>
        <v>1</v>
      </c>
      <c r="AG83" s="93">
        <f t="shared" si="15"/>
        <v>0</v>
      </c>
      <c r="AH83" s="93">
        <f t="shared" si="15"/>
        <v>1</v>
      </c>
      <c r="AI83" s="93">
        <f t="shared" si="15"/>
        <v>1</v>
      </c>
      <c r="AJ83" s="25" t="str">
        <f t="shared" si="7"/>
        <v>UNKNOWN</v>
      </c>
      <c r="AK83" s="38"/>
      <c r="AL83" s="38" t="str">
        <f t="shared" si="10"/>
        <v>4B</v>
      </c>
      <c r="AM83" s="38" t="str">
        <f t="shared" si="11"/>
        <v>00</v>
      </c>
      <c r="AN83" s="38" t="str">
        <f t="shared" si="12"/>
        <v>00</v>
      </c>
      <c r="AO83" s="38" t="str">
        <f t="shared" si="13"/>
        <v>00</v>
      </c>
      <c r="AQ83" t="str">
        <f t="shared" si="8"/>
        <v xml:space="preserve">    (U4)0x0000004BU,                                                           /* 12 UNKNOWN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1</v>
      </c>
      <c r="AD84" s="93">
        <f t="shared" si="15"/>
        <v>0</v>
      </c>
      <c r="AE84" s="93">
        <f t="shared" si="15"/>
        <v>0</v>
      </c>
      <c r="AF84" s="93">
        <f t="shared" si="15"/>
        <v>1</v>
      </c>
      <c r="AG84" s="93">
        <f t="shared" si="15"/>
        <v>1</v>
      </c>
      <c r="AH84" s="93">
        <f t="shared" si="15"/>
        <v>0</v>
      </c>
      <c r="AI84" s="93">
        <f t="shared" si="15"/>
        <v>0</v>
      </c>
      <c r="AJ84" s="25" t="str">
        <f t="shared" si="7"/>
        <v>UNKNOWN</v>
      </c>
      <c r="AK84" s="38"/>
      <c r="AL84" s="38" t="str">
        <f t="shared" si="10"/>
        <v>4C</v>
      </c>
      <c r="AM84" s="38" t="str">
        <f t="shared" si="11"/>
        <v>00</v>
      </c>
      <c r="AN84" s="38" t="str">
        <f t="shared" si="12"/>
        <v>00</v>
      </c>
      <c r="AO84" s="38" t="str">
        <f t="shared" si="13"/>
        <v>00</v>
      </c>
      <c r="AQ84" t="str">
        <f t="shared" si="8"/>
        <v xml:space="preserve">    (U4)0x0000004CU,                                                           /* 13 UNKNOWN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1</v>
      </c>
      <c r="AD85" s="93">
        <f t="shared" si="15"/>
        <v>0</v>
      </c>
      <c r="AE85" s="93">
        <f t="shared" si="15"/>
        <v>0</v>
      </c>
      <c r="AF85" s="93">
        <f t="shared" si="15"/>
        <v>1</v>
      </c>
      <c r="AG85" s="93">
        <f t="shared" si="15"/>
        <v>1</v>
      </c>
      <c r="AH85" s="93">
        <f t="shared" si="15"/>
        <v>0</v>
      </c>
      <c r="AI85" s="93">
        <f t="shared" si="15"/>
        <v>1</v>
      </c>
      <c r="AJ85" s="25" t="str">
        <f t="shared" si="7"/>
        <v>UNKNOWN</v>
      </c>
      <c r="AK85" s="38"/>
      <c r="AL85" s="38" t="str">
        <f t="shared" si="10"/>
        <v>4D</v>
      </c>
      <c r="AM85" s="38" t="str">
        <f t="shared" si="11"/>
        <v>00</v>
      </c>
      <c r="AN85" s="38" t="str">
        <f t="shared" si="12"/>
        <v>00</v>
      </c>
      <c r="AO85" s="38" t="str">
        <f t="shared" si="13"/>
        <v>00</v>
      </c>
      <c r="AQ85" t="str">
        <f t="shared" si="8"/>
        <v xml:space="preserve">    (U4)0x0000004DU,                                                           /* 14 UNKNOWN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1</v>
      </c>
      <c r="AD86" s="93">
        <f t="shared" si="15"/>
        <v>0</v>
      </c>
      <c r="AE86" s="93">
        <f t="shared" si="15"/>
        <v>0</v>
      </c>
      <c r="AF86" s="93">
        <f t="shared" si="15"/>
        <v>1</v>
      </c>
      <c r="AG86" s="93">
        <f t="shared" si="15"/>
        <v>1</v>
      </c>
      <c r="AH86" s="93">
        <f t="shared" si="15"/>
        <v>1</v>
      </c>
      <c r="AI86" s="93">
        <f t="shared" ref="AI86" si="16">IF(AI21=1,1,0)</f>
        <v>0</v>
      </c>
      <c r="AJ86" s="25" t="str">
        <f t="shared" si="7"/>
        <v>UNKNOWN</v>
      </c>
      <c r="AK86" s="38"/>
      <c r="AL86" s="38" t="str">
        <f t="shared" si="10"/>
        <v>4E</v>
      </c>
      <c r="AM86" s="38" t="str">
        <f t="shared" si="11"/>
        <v>00</v>
      </c>
      <c r="AN86" s="38" t="str">
        <f t="shared" si="12"/>
        <v>00</v>
      </c>
      <c r="AO86" s="38" t="str">
        <f t="shared" si="13"/>
        <v>00</v>
      </c>
      <c r="AQ86" t="str">
        <f t="shared" si="8"/>
        <v xml:space="preserve">    (U4)0x0000004EU,                                                           /* 15 UNKNOWN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1</v>
      </c>
      <c r="AD87" s="93">
        <f t="shared" si="17"/>
        <v>0</v>
      </c>
      <c r="AE87" s="93">
        <f t="shared" si="17"/>
        <v>0</v>
      </c>
      <c r="AF87" s="93">
        <f t="shared" si="17"/>
        <v>1</v>
      </c>
      <c r="AG87" s="93">
        <f t="shared" si="17"/>
        <v>1</v>
      </c>
      <c r="AH87" s="93">
        <f t="shared" si="17"/>
        <v>1</v>
      </c>
      <c r="AI87" s="93">
        <f t="shared" si="17"/>
        <v>1</v>
      </c>
      <c r="AJ87" s="25" t="str">
        <f t="shared" si="7"/>
        <v>UNKNOWN</v>
      </c>
      <c r="AK87" s="38"/>
      <c r="AL87" s="38" t="str">
        <f t="shared" si="10"/>
        <v>4F</v>
      </c>
      <c r="AM87" s="38" t="str">
        <f t="shared" si="11"/>
        <v>00</v>
      </c>
      <c r="AN87" s="38" t="str">
        <f t="shared" si="12"/>
        <v>00</v>
      </c>
      <c r="AO87" s="38" t="str">
        <f t="shared" si="13"/>
        <v>00</v>
      </c>
      <c r="AQ87" t="str">
        <f t="shared" si="8"/>
        <v xml:space="preserve">    (U4)0x0000004FU,                                                           /* 16 UNKNOWN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1</v>
      </c>
      <c r="AD88" s="93">
        <f t="shared" si="17"/>
        <v>0</v>
      </c>
      <c r="AE88" s="93">
        <f t="shared" si="17"/>
        <v>1</v>
      </c>
      <c r="AF88" s="93">
        <f t="shared" si="17"/>
        <v>0</v>
      </c>
      <c r="AG88" s="93">
        <f t="shared" si="17"/>
        <v>0</v>
      </c>
      <c r="AH88" s="93">
        <f t="shared" si="17"/>
        <v>0</v>
      </c>
      <c r="AI88" s="93">
        <f t="shared" si="17"/>
        <v>0</v>
      </c>
      <c r="AJ88" s="25" t="str">
        <f t="shared" si="7"/>
        <v>UNKNOWN</v>
      </c>
      <c r="AK88" s="38"/>
      <c r="AL88" s="38" t="str">
        <f t="shared" si="10"/>
        <v>50</v>
      </c>
      <c r="AM88" s="38" t="str">
        <f t="shared" si="11"/>
        <v>00</v>
      </c>
      <c r="AN88" s="38" t="str">
        <f t="shared" si="12"/>
        <v>00</v>
      </c>
      <c r="AO88" s="38" t="str">
        <f t="shared" si="13"/>
        <v>00</v>
      </c>
      <c r="AQ88" t="str">
        <f t="shared" si="8"/>
        <v xml:space="preserve">    (U4)0x00000050U,                                                           /* 17 UNKNOWN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1</v>
      </c>
      <c r="AD89" s="93">
        <f t="shared" si="17"/>
        <v>1</v>
      </c>
      <c r="AE89" s="93">
        <f t="shared" si="17"/>
        <v>0</v>
      </c>
      <c r="AF89" s="93">
        <f t="shared" si="17"/>
        <v>0</v>
      </c>
      <c r="AG89" s="93">
        <f t="shared" si="17"/>
        <v>0</v>
      </c>
      <c r="AH89" s="93">
        <f t="shared" si="17"/>
        <v>0</v>
      </c>
      <c r="AI89" s="93">
        <f t="shared" si="17"/>
        <v>0</v>
      </c>
      <c r="AJ89" s="25" t="str">
        <f t="shared" si="7"/>
        <v>UNKNOWN</v>
      </c>
      <c r="AK89" s="38"/>
      <c r="AL89" s="38" t="str">
        <f t="shared" si="10"/>
        <v>60</v>
      </c>
      <c r="AM89" s="38" t="str">
        <f t="shared" si="11"/>
        <v>00</v>
      </c>
      <c r="AN89" s="38" t="str">
        <f t="shared" si="12"/>
        <v>00</v>
      </c>
      <c r="AO89" s="38" t="str">
        <f t="shared" si="13"/>
        <v>00</v>
      </c>
      <c r="AQ89" t="str">
        <f t="shared" si="8"/>
        <v xml:space="preserve">    (U4)0x00000060U                                                            /* 18 UNKNOWN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0</v>
      </c>
      <c r="AF90" s="93">
        <f t="shared" si="17"/>
        <v>0</v>
      </c>
      <c r="AG90" s="93">
        <f t="shared" si="17"/>
        <v>0</v>
      </c>
      <c r="AH90" s="93">
        <f t="shared" si="17"/>
        <v>0</v>
      </c>
      <c r="AI90" s="93">
        <f t="shared" si="17"/>
        <v>0</v>
      </c>
      <c r="AJ90" s="25" t="str">
        <f t="shared" si="7"/>
        <v/>
      </c>
      <c r="AK90" s="38"/>
      <c r="AL90" s="38" t="str">
        <f t="shared" si="10"/>
        <v>00</v>
      </c>
      <c r="AM90" s="38" t="str">
        <f t="shared" si="11"/>
        <v>00</v>
      </c>
      <c r="AN90" s="38" t="str">
        <f t="shared" si="12"/>
        <v>00</v>
      </c>
      <c r="AO90" s="38" t="str">
        <f t="shared" si="13"/>
        <v>00</v>
      </c>
      <c r="AQ90" t="str">
        <f t="shared" si="8"/>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7"/>
        <v/>
      </c>
      <c r="AK91" s="38"/>
      <c r="AL91" s="38" t="str">
        <f t="shared" si="10"/>
        <v>00</v>
      </c>
      <c r="AM91" s="38" t="str">
        <f t="shared" si="11"/>
        <v>00</v>
      </c>
      <c r="AN91" s="38" t="str">
        <f t="shared" si="12"/>
        <v>00</v>
      </c>
      <c r="AO91" s="38" t="str">
        <f t="shared" si="13"/>
        <v>00</v>
      </c>
      <c r="AQ91" t="str">
        <f t="shared" si="8"/>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7"/>
        <v/>
      </c>
      <c r="AK92" s="38"/>
      <c r="AL92" s="38" t="str">
        <f t="shared" si="10"/>
        <v>00</v>
      </c>
      <c r="AM92" s="38" t="str">
        <f t="shared" si="11"/>
        <v>00</v>
      </c>
      <c r="AN92" s="38" t="str">
        <f t="shared" si="12"/>
        <v>00</v>
      </c>
      <c r="AO92" s="38" t="str">
        <f t="shared" si="13"/>
        <v>00</v>
      </c>
      <c r="AQ92" t="str">
        <f t="shared" si="8"/>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7"/>
        <v/>
      </c>
      <c r="AK93" s="38"/>
      <c r="AL93" s="38" t="str">
        <f t="shared" si="10"/>
        <v>00</v>
      </c>
      <c r="AM93" s="38" t="str">
        <f t="shared" si="11"/>
        <v>00</v>
      </c>
      <c r="AN93" s="38" t="str">
        <f t="shared" si="12"/>
        <v>00</v>
      </c>
      <c r="AO93" s="38" t="str">
        <f t="shared" si="13"/>
        <v>00</v>
      </c>
      <c r="AQ93" t="str">
        <f t="shared" si="8"/>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B_RSBW</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0</v>
      </c>
      <c r="AC136" s="93">
        <f t="shared" si="29"/>
        <v>1</v>
      </c>
      <c r="AD136" s="93">
        <f t="shared" si="29"/>
        <v>0</v>
      </c>
      <c r="AE136" s="93">
        <f t="shared" si="29"/>
        <v>0</v>
      </c>
      <c r="AF136" s="93">
        <f t="shared" si="29"/>
        <v>0</v>
      </c>
      <c r="AG136" s="93">
        <f t="shared" si="29"/>
        <v>0</v>
      </c>
      <c r="AH136" s="93">
        <f t="shared" si="29"/>
        <v>0</v>
      </c>
      <c r="AI136" s="93">
        <f t="shared" si="29"/>
        <v>0</v>
      </c>
      <c r="AJ136" s="25" t="str">
        <f t="shared" ref="AJ136:AJ199" si="30">IF(AJ6&lt;&gt;"",AJ6,"")</f>
        <v>UNKNOWN</v>
      </c>
      <c r="AK136" s="38"/>
      <c r="AL136" s="38" t="str">
        <f>BIN2HEX(AB136&amp;AC136&amp;AD136&amp;AE136&amp;AF136&amp;AG136&amp;AH136&amp;AI136,2)</f>
        <v>40</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(U4)0x00000040U,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0</v>
      </c>
      <c r="AC137" s="93">
        <f t="shared" si="29"/>
        <v>1</v>
      </c>
      <c r="AD137" s="93">
        <f t="shared" si="29"/>
        <v>1</v>
      </c>
      <c r="AE137" s="93">
        <f t="shared" si="29"/>
        <v>1</v>
      </c>
      <c r="AF137" s="93">
        <f t="shared" si="29"/>
        <v>1</v>
      </c>
      <c r="AG137" s="93">
        <f t="shared" si="29"/>
        <v>1</v>
      </c>
      <c r="AH137" s="93">
        <f t="shared" si="29"/>
        <v>1</v>
      </c>
      <c r="AI137" s="93">
        <f t="shared" si="29"/>
        <v>1</v>
      </c>
      <c r="AJ137" s="25" t="str">
        <f t="shared" si="30"/>
        <v>UNKNOWN</v>
      </c>
      <c r="AK137" s="38"/>
      <c r="AL137" s="38" t="str">
        <f t="shared" ref="AL137:AL199" si="33">BIN2HEX(AB137&amp;AC137&amp;AD137&amp;AE137&amp;AF137&amp;AG137&amp;AH137&amp;AI137,2)</f>
        <v>7F</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(U4)0x0000007FU,                                                           /* 01 UNKNOWN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1</v>
      </c>
      <c r="AD138" s="93">
        <f t="shared" si="29"/>
        <v>1</v>
      </c>
      <c r="AE138" s="93">
        <f t="shared" si="29"/>
        <v>1</v>
      </c>
      <c r="AF138" s="93">
        <f t="shared" si="29"/>
        <v>1</v>
      </c>
      <c r="AG138" s="93">
        <f t="shared" si="29"/>
        <v>1</v>
      </c>
      <c r="AH138" s="93">
        <f t="shared" si="29"/>
        <v>1</v>
      </c>
      <c r="AI138" s="93">
        <f t="shared" si="29"/>
        <v>1</v>
      </c>
      <c r="AJ138" s="25" t="str">
        <f t="shared" si="30"/>
        <v>UNKNOWN</v>
      </c>
      <c r="AK138" s="38"/>
      <c r="AL138" s="38" t="str">
        <f t="shared" si="33"/>
        <v>7F</v>
      </c>
      <c r="AM138" s="38" t="str">
        <f t="shared" si="34"/>
        <v>00</v>
      </c>
      <c r="AN138" s="38" t="str">
        <f t="shared" si="35"/>
        <v>00</v>
      </c>
      <c r="AO138" s="38" t="str">
        <f t="shared" si="36"/>
        <v>00</v>
      </c>
      <c r="AQ138" t="str">
        <f t="shared" si="31"/>
        <v xml:space="preserve">    (U4)0x0000007FU,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1</v>
      </c>
      <c r="AD139" s="93">
        <f t="shared" si="29"/>
        <v>1</v>
      </c>
      <c r="AE139" s="93">
        <f t="shared" si="29"/>
        <v>1</v>
      </c>
      <c r="AF139" s="93">
        <f t="shared" si="29"/>
        <v>1</v>
      </c>
      <c r="AG139" s="93">
        <f t="shared" si="29"/>
        <v>1</v>
      </c>
      <c r="AH139" s="93">
        <f t="shared" si="29"/>
        <v>1</v>
      </c>
      <c r="AI139" s="93">
        <f t="shared" si="29"/>
        <v>1</v>
      </c>
      <c r="AJ139" s="25" t="str">
        <f t="shared" si="30"/>
        <v>CYCLE</v>
      </c>
      <c r="AK139" s="38"/>
      <c r="AL139" s="38" t="str">
        <f t="shared" si="33"/>
        <v>7F</v>
      </c>
      <c r="AM139" s="38" t="str">
        <f t="shared" si="34"/>
        <v>00</v>
      </c>
      <c r="AN139" s="38" t="str">
        <f t="shared" si="35"/>
        <v>00</v>
      </c>
      <c r="AO139" s="38" t="str">
        <f t="shared" si="36"/>
        <v>00</v>
      </c>
      <c r="AQ139" t="str">
        <f t="shared" si="31"/>
        <v xml:space="preserve">    (U4)0x0000007FU,                                                           /* 03 CYCLE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1</v>
      </c>
      <c r="AD140" s="93">
        <f t="shared" si="29"/>
        <v>1</v>
      </c>
      <c r="AE140" s="93">
        <f t="shared" si="29"/>
        <v>1</v>
      </c>
      <c r="AF140" s="93">
        <f t="shared" si="29"/>
        <v>1</v>
      </c>
      <c r="AG140" s="93">
        <f t="shared" si="29"/>
        <v>1</v>
      </c>
      <c r="AH140" s="93">
        <f t="shared" si="29"/>
        <v>1</v>
      </c>
      <c r="AI140" s="93">
        <f t="shared" si="29"/>
        <v>1</v>
      </c>
      <c r="AJ140" s="25" t="str">
        <f t="shared" si="30"/>
        <v>UNKNOWN</v>
      </c>
      <c r="AK140" s="38"/>
      <c r="AL140" s="38" t="str">
        <f t="shared" si="33"/>
        <v>7F</v>
      </c>
      <c r="AM140" s="38" t="str">
        <f t="shared" si="34"/>
        <v>00</v>
      </c>
      <c r="AN140" s="38" t="str">
        <f t="shared" si="35"/>
        <v>00</v>
      </c>
      <c r="AO140" s="38" t="str">
        <f t="shared" si="36"/>
        <v>00</v>
      </c>
      <c r="AQ140" t="str">
        <f t="shared" si="31"/>
        <v xml:space="preserve">    (U4)0x0000007FU,                                                           /* 04 UNKNOWN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1</v>
      </c>
      <c r="AD141" s="93">
        <f t="shared" si="29"/>
        <v>1</v>
      </c>
      <c r="AE141" s="93">
        <f t="shared" si="29"/>
        <v>1</v>
      </c>
      <c r="AF141" s="93">
        <f t="shared" si="29"/>
        <v>1</v>
      </c>
      <c r="AG141" s="93">
        <f t="shared" si="29"/>
        <v>1</v>
      </c>
      <c r="AH141" s="93">
        <f t="shared" si="29"/>
        <v>1</v>
      </c>
      <c r="AI141" s="93">
        <f t="shared" si="29"/>
        <v>1</v>
      </c>
      <c r="AJ141" s="25" t="str">
        <f t="shared" si="30"/>
        <v>UNKNOWN</v>
      </c>
      <c r="AK141" s="38"/>
      <c r="AL141" s="38" t="str">
        <f t="shared" si="33"/>
        <v>7F</v>
      </c>
      <c r="AM141" s="38" t="str">
        <f t="shared" si="34"/>
        <v>00</v>
      </c>
      <c r="AN141" s="38" t="str">
        <f t="shared" si="35"/>
        <v>00</v>
      </c>
      <c r="AO141" s="38" t="str">
        <f t="shared" si="36"/>
        <v>00</v>
      </c>
      <c r="AQ141" t="str">
        <f t="shared" si="31"/>
        <v xml:space="preserve">    (U4)0x0000007FU,                                                           /* 05 UNKNOWN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1</v>
      </c>
      <c r="AD142" s="93">
        <f t="shared" si="29"/>
        <v>1</v>
      </c>
      <c r="AE142" s="93">
        <f t="shared" si="29"/>
        <v>1</v>
      </c>
      <c r="AF142" s="93">
        <f t="shared" si="29"/>
        <v>1</v>
      </c>
      <c r="AG142" s="93">
        <f t="shared" si="29"/>
        <v>1</v>
      </c>
      <c r="AH142" s="93">
        <f t="shared" si="29"/>
        <v>1</v>
      </c>
      <c r="AI142" s="93">
        <f t="shared" si="29"/>
        <v>1</v>
      </c>
      <c r="AJ142" s="25" t="str">
        <f t="shared" si="30"/>
        <v>UNKNOWN</v>
      </c>
      <c r="AK142" s="38"/>
      <c r="AL142" s="38" t="str">
        <f t="shared" si="33"/>
        <v>7F</v>
      </c>
      <c r="AM142" s="38" t="str">
        <f t="shared" si="34"/>
        <v>00</v>
      </c>
      <c r="AN142" s="38" t="str">
        <f t="shared" si="35"/>
        <v>00</v>
      </c>
      <c r="AO142" s="38" t="str">
        <f t="shared" si="36"/>
        <v>00</v>
      </c>
      <c r="AQ142" t="str">
        <f t="shared" si="31"/>
        <v xml:space="preserve">    (U4)0x0000007FU,                                                           /* 06 UNKNOWN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1</v>
      </c>
      <c r="AD143" s="93">
        <f t="shared" si="29"/>
        <v>1</v>
      </c>
      <c r="AE143" s="93">
        <f t="shared" si="29"/>
        <v>1</v>
      </c>
      <c r="AF143" s="93">
        <f t="shared" si="29"/>
        <v>1</v>
      </c>
      <c r="AG143" s="93">
        <f t="shared" si="29"/>
        <v>1</v>
      </c>
      <c r="AH143" s="93">
        <f t="shared" si="29"/>
        <v>1</v>
      </c>
      <c r="AI143" s="93">
        <f t="shared" ref="AI143" si="37">IF(OR(AI13=0,AI13=1),1,0)</f>
        <v>1</v>
      </c>
      <c r="AJ143" s="25" t="str">
        <f t="shared" si="30"/>
        <v>UNKNOWN</v>
      </c>
      <c r="AK143" s="38"/>
      <c r="AL143" s="38" t="str">
        <f t="shared" si="33"/>
        <v>7F</v>
      </c>
      <c r="AM143" s="38" t="str">
        <f t="shared" si="34"/>
        <v>00</v>
      </c>
      <c r="AN143" s="38" t="str">
        <f t="shared" si="35"/>
        <v>00</v>
      </c>
      <c r="AO143" s="38" t="str">
        <f t="shared" si="36"/>
        <v>00</v>
      </c>
      <c r="AQ143" t="str">
        <f t="shared" si="31"/>
        <v xml:space="preserve">    (U4)0x0000007FU,                                                           /* 07 UNKNOWN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1</v>
      </c>
      <c r="AD144" s="93">
        <f t="shared" si="38"/>
        <v>1</v>
      </c>
      <c r="AE144" s="93">
        <f t="shared" si="38"/>
        <v>1</v>
      </c>
      <c r="AF144" s="93">
        <f t="shared" si="38"/>
        <v>1</v>
      </c>
      <c r="AG144" s="93">
        <f t="shared" si="38"/>
        <v>1</v>
      </c>
      <c r="AH144" s="93">
        <f t="shared" si="38"/>
        <v>1</v>
      </c>
      <c r="AI144" s="93">
        <f t="shared" si="38"/>
        <v>1</v>
      </c>
      <c r="AJ144" s="25" t="str">
        <f t="shared" si="30"/>
        <v>UNKNOWN</v>
      </c>
      <c r="AK144" s="38"/>
      <c r="AL144" s="38" t="str">
        <f t="shared" si="33"/>
        <v>7F</v>
      </c>
      <c r="AM144" s="38" t="str">
        <f t="shared" si="34"/>
        <v>00</v>
      </c>
      <c r="AN144" s="38" t="str">
        <f t="shared" si="35"/>
        <v>00</v>
      </c>
      <c r="AO144" s="38" t="str">
        <f t="shared" si="36"/>
        <v>00</v>
      </c>
      <c r="AQ144" t="str">
        <f t="shared" si="31"/>
        <v xml:space="preserve">    (U4)0x0000007FU,                                                           /* 08 UNKNOWN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1</v>
      </c>
      <c r="AD145" s="93">
        <f t="shared" si="38"/>
        <v>1</v>
      </c>
      <c r="AE145" s="93">
        <f t="shared" si="38"/>
        <v>1</v>
      </c>
      <c r="AF145" s="93">
        <f t="shared" si="38"/>
        <v>1</v>
      </c>
      <c r="AG145" s="93">
        <f t="shared" si="38"/>
        <v>1</v>
      </c>
      <c r="AH145" s="93">
        <f t="shared" si="38"/>
        <v>1</v>
      </c>
      <c r="AI145" s="93">
        <f t="shared" si="38"/>
        <v>1</v>
      </c>
      <c r="AJ145" s="25" t="str">
        <f t="shared" si="30"/>
        <v>UNKNOWN</v>
      </c>
      <c r="AK145" s="38"/>
      <c r="AL145" s="38" t="str">
        <f t="shared" si="33"/>
        <v>7F</v>
      </c>
      <c r="AM145" s="38" t="str">
        <f t="shared" si="34"/>
        <v>00</v>
      </c>
      <c r="AN145" s="38" t="str">
        <f t="shared" si="35"/>
        <v>00</v>
      </c>
      <c r="AO145" s="38" t="str">
        <f t="shared" si="36"/>
        <v>00</v>
      </c>
      <c r="AQ145" t="str">
        <f t="shared" si="31"/>
        <v xml:space="preserve">    (U4)0x0000007FU,                                                           /* 09 UNKNOWN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1</v>
      </c>
      <c r="AD146" s="93">
        <f t="shared" si="38"/>
        <v>1</v>
      </c>
      <c r="AE146" s="93">
        <f t="shared" si="38"/>
        <v>1</v>
      </c>
      <c r="AF146" s="93">
        <f t="shared" si="38"/>
        <v>1</v>
      </c>
      <c r="AG146" s="93">
        <f t="shared" si="38"/>
        <v>1</v>
      </c>
      <c r="AH146" s="93">
        <f t="shared" si="38"/>
        <v>1</v>
      </c>
      <c r="AI146" s="93">
        <f t="shared" si="38"/>
        <v>1</v>
      </c>
      <c r="AJ146" s="25" t="str">
        <f t="shared" si="30"/>
        <v>UNKNOWN</v>
      </c>
      <c r="AK146" s="38"/>
      <c r="AL146" s="38" t="str">
        <f t="shared" si="33"/>
        <v>7F</v>
      </c>
      <c r="AM146" s="38" t="str">
        <f t="shared" si="34"/>
        <v>00</v>
      </c>
      <c r="AN146" s="38" t="str">
        <f t="shared" si="35"/>
        <v>00</v>
      </c>
      <c r="AO146" s="38" t="str">
        <f t="shared" si="36"/>
        <v>00</v>
      </c>
      <c r="AQ146" t="str">
        <f t="shared" si="31"/>
        <v xml:space="preserve">    (U4)0x0000007FU,                                                           /* 10 UNKNOWN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1</v>
      </c>
      <c r="AD147" s="93">
        <f t="shared" si="38"/>
        <v>1</v>
      </c>
      <c r="AE147" s="93">
        <f t="shared" si="38"/>
        <v>1</v>
      </c>
      <c r="AF147" s="93">
        <f t="shared" si="38"/>
        <v>1</v>
      </c>
      <c r="AG147" s="93">
        <f t="shared" si="38"/>
        <v>1</v>
      </c>
      <c r="AH147" s="93">
        <f t="shared" si="38"/>
        <v>1</v>
      </c>
      <c r="AI147" s="93">
        <f t="shared" si="38"/>
        <v>1</v>
      </c>
      <c r="AJ147" s="25" t="str">
        <f t="shared" si="30"/>
        <v>UNKNOWN</v>
      </c>
      <c r="AK147" s="38"/>
      <c r="AL147" s="38" t="str">
        <f t="shared" si="33"/>
        <v>7F</v>
      </c>
      <c r="AM147" s="38" t="str">
        <f t="shared" si="34"/>
        <v>00</v>
      </c>
      <c r="AN147" s="38" t="str">
        <f t="shared" si="35"/>
        <v>00</v>
      </c>
      <c r="AO147" s="38" t="str">
        <f t="shared" si="36"/>
        <v>00</v>
      </c>
      <c r="AQ147" t="str">
        <f t="shared" si="31"/>
        <v xml:space="preserve">    (U4)0x0000007FU,                                                           /* 11 UNKNOWN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1</v>
      </c>
      <c r="AD148" s="93">
        <f t="shared" si="38"/>
        <v>1</v>
      </c>
      <c r="AE148" s="93">
        <f t="shared" si="38"/>
        <v>1</v>
      </c>
      <c r="AF148" s="93">
        <f t="shared" si="38"/>
        <v>1</v>
      </c>
      <c r="AG148" s="93">
        <f t="shared" si="38"/>
        <v>1</v>
      </c>
      <c r="AH148" s="93">
        <f t="shared" si="38"/>
        <v>1</v>
      </c>
      <c r="AI148" s="93">
        <f t="shared" si="38"/>
        <v>1</v>
      </c>
      <c r="AJ148" s="25" t="str">
        <f t="shared" si="30"/>
        <v>UNKNOWN</v>
      </c>
      <c r="AK148" s="38"/>
      <c r="AL148" s="38" t="str">
        <f t="shared" si="33"/>
        <v>7F</v>
      </c>
      <c r="AM148" s="38" t="str">
        <f t="shared" si="34"/>
        <v>00</v>
      </c>
      <c r="AN148" s="38" t="str">
        <f t="shared" si="35"/>
        <v>00</v>
      </c>
      <c r="AO148" s="38" t="str">
        <f t="shared" si="36"/>
        <v>00</v>
      </c>
      <c r="AQ148" t="str">
        <f t="shared" si="31"/>
        <v xml:space="preserve">    (U4)0x0000007FU,                                                           /* 12 UNKNOWN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1</v>
      </c>
      <c r="AD149" s="93">
        <f t="shared" si="38"/>
        <v>1</v>
      </c>
      <c r="AE149" s="93">
        <f t="shared" si="38"/>
        <v>1</v>
      </c>
      <c r="AF149" s="93">
        <f t="shared" si="38"/>
        <v>1</v>
      </c>
      <c r="AG149" s="93">
        <f t="shared" si="38"/>
        <v>1</v>
      </c>
      <c r="AH149" s="93">
        <f t="shared" si="38"/>
        <v>1</v>
      </c>
      <c r="AI149" s="93">
        <f t="shared" si="38"/>
        <v>1</v>
      </c>
      <c r="AJ149" s="25" t="str">
        <f t="shared" si="30"/>
        <v>UNKNOWN</v>
      </c>
      <c r="AK149" s="38"/>
      <c r="AL149" s="38" t="str">
        <f t="shared" si="33"/>
        <v>7F</v>
      </c>
      <c r="AM149" s="38" t="str">
        <f t="shared" si="34"/>
        <v>00</v>
      </c>
      <c r="AN149" s="38" t="str">
        <f t="shared" si="35"/>
        <v>00</v>
      </c>
      <c r="AO149" s="38" t="str">
        <f t="shared" si="36"/>
        <v>00</v>
      </c>
      <c r="AQ149" t="str">
        <f t="shared" si="31"/>
        <v xml:space="preserve">    (U4)0x0000007FU,                                                           /* 13 UNKNOWN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1</v>
      </c>
      <c r="AD150" s="93">
        <f t="shared" si="38"/>
        <v>1</v>
      </c>
      <c r="AE150" s="93">
        <f t="shared" si="38"/>
        <v>1</v>
      </c>
      <c r="AF150" s="93">
        <f t="shared" si="38"/>
        <v>1</v>
      </c>
      <c r="AG150" s="93">
        <f t="shared" si="38"/>
        <v>1</v>
      </c>
      <c r="AH150" s="93">
        <f t="shared" si="38"/>
        <v>1</v>
      </c>
      <c r="AI150" s="93">
        <f t="shared" si="38"/>
        <v>1</v>
      </c>
      <c r="AJ150" s="25" t="str">
        <f t="shared" si="30"/>
        <v>UNKNOWN</v>
      </c>
      <c r="AK150" s="38"/>
      <c r="AL150" s="38" t="str">
        <f t="shared" si="33"/>
        <v>7F</v>
      </c>
      <c r="AM150" s="38" t="str">
        <f t="shared" si="34"/>
        <v>00</v>
      </c>
      <c r="AN150" s="38" t="str">
        <f t="shared" si="35"/>
        <v>00</v>
      </c>
      <c r="AO150" s="38" t="str">
        <f t="shared" si="36"/>
        <v>00</v>
      </c>
      <c r="AQ150" t="str">
        <f t="shared" si="31"/>
        <v xml:space="preserve">    (U4)0x0000007FU,                                                           /* 14 UNKNOWN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1</v>
      </c>
      <c r="AD151" s="93">
        <f t="shared" si="38"/>
        <v>1</v>
      </c>
      <c r="AE151" s="93">
        <f t="shared" si="38"/>
        <v>1</v>
      </c>
      <c r="AF151" s="93">
        <f t="shared" si="38"/>
        <v>1</v>
      </c>
      <c r="AG151" s="93">
        <f t="shared" si="38"/>
        <v>1</v>
      </c>
      <c r="AH151" s="93">
        <f t="shared" si="38"/>
        <v>1</v>
      </c>
      <c r="AI151" s="93">
        <f t="shared" ref="AI151" si="39">IF(OR(AI21=0,AI21=1),1,0)</f>
        <v>1</v>
      </c>
      <c r="AJ151" s="25" t="str">
        <f t="shared" si="30"/>
        <v>UNKNOWN</v>
      </c>
      <c r="AK151" s="38"/>
      <c r="AL151" s="38" t="str">
        <f t="shared" si="33"/>
        <v>7F</v>
      </c>
      <c r="AM151" s="38" t="str">
        <f t="shared" si="34"/>
        <v>00</v>
      </c>
      <c r="AN151" s="38" t="str">
        <f t="shared" si="35"/>
        <v>00</v>
      </c>
      <c r="AO151" s="38" t="str">
        <f t="shared" si="36"/>
        <v>00</v>
      </c>
      <c r="AQ151" t="str">
        <f t="shared" si="31"/>
        <v xml:space="preserve">    (U4)0x0000007FU,                                                           /* 15 UNKNOWN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1</v>
      </c>
      <c r="AD152" s="93">
        <f t="shared" si="40"/>
        <v>1</v>
      </c>
      <c r="AE152" s="93">
        <f t="shared" si="40"/>
        <v>1</v>
      </c>
      <c r="AF152" s="93">
        <f t="shared" si="40"/>
        <v>1</v>
      </c>
      <c r="AG152" s="93">
        <f t="shared" si="40"/>
        <v>1</v>
      </c>
      <c r="AH152" s="93">
        <f t="shared" si="40"/>
        <v>1</v>
      </c>
      <c r="AI152" s="93">
        <f t="shared" si="40"/>
        <v>1</v>
      </c>
      <c r="AJ152" s="25" t="str">
        <f t="shared" si="30"/>
        <v>UNKNOWN</v>
      </c>
      <c r="AK152" s="38"/>
      <c r="AL152" s="38" t="str">
        <f t="shared" si="33"/>
        <v>7F</v>
      </c>
      <c r="AM152" s="38" t="str">
        <f t="shared" si="34"/>
        <v>00</v>
      </c>
      <c r="AN152" s="38" t="str">
        <f t="shared" si="35"/>
        <v>00</v>
      </c>
      <c r="AO152" s="38" t="str">
        <f t="shared" si="36"/>
        <v>00</v>
      </c>
      <c r="AQ152" t="str">
        <f t="shared" si="31"/>
        <v xml:space="preserve">    (U4)0x0000007FU,                                                           /* 16 UNKNOWN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1</v>
      </c>
      <c r="AD153" s="93">
        <f t="shared" si="40"/>
        <v>1</v>
      </c>
      <c r="AE153" s="93">
        <f t="shared" si="40"/>
        <v>1</v>
      </c>
      <c r="AF153" s="93">
        <f t="shared" si="40"/>
        <v>0</v>
      </c>
      <c r="AG153" s="93">
        <f t="shared" si="40"/>
        <v>0</v>
      </c>
      <c r="AH153" s="93">
        <f t="shared" si="40"/>
        <v>0</v>
      </c>
      <c r="AI153" s="93">
        <f t="shared" si="40"/>
        <v>0</v>
      </c>
      <c r="AJ153" s="25" t="str">
        <f t="shared" si="30"/>
        <v>UNKNOWN</v>
      </c>
      <c r="AK153" s="38"/>
      <c r="AL153" s="38" t="str">
        <f t="shared" si="33"/>
        <v>70</v>
      </c>
      <c r="AM153" s="38" t="str">
        <f t="shared" si="34"/>
        <v>00</v>
      </c>
      <c r="AN153" s="38" t="str">
        <f t="shared" si="35"/>
        <v>00</v>
      </c>
      <c r="AO153" s="38" t="str">
        <f t="shared" si="36"/>
        <v>00</v>
      </c>
      <c r="AQ153" t="str">
        <f t="shared" si="31"/>
        <v xml:space="preserve">    (U4)0x00000070U,                                                           /* 17 UNKNOWN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1</v>
      </c>
      <c r="AD154" s="93">
        <f t="shared" si="40"/>
        <v>1</v>
      </c>
      <c r="AE154" s="93">
        <f t="shared" si="40"/>
        <v>0</v>
      </c>
      <c r="AF154" s="93">
        <f t="shared" si="40"/>
        <v>0</v>
      </c>
      <c r="AG154" s="93">
        <f t="shared" si="40"/>
        <v>0</v>
      </c>
      <c r="AH154" s="93">
        <f t="shared" si="40"/>
        <v>0</v>
      </c>
      <c r="AI154" s="93">
        <f t="shared" si="40"/>
        <v>0</v>
      </c>
      <c r="AJ154" s="25" t="str">
        <f t="shared" si="30"/>
        <v>UNKNOWN</v>
      </c>
      <c r="AK154" s="38"/>
      <c r="AL154" s="38" t="str">
        <f t="shared" si="33"/>
        <v>60</v>
      </c>
      <c r="AM154" s="38" t="str">
        <f t="shared" si="34"/>
        <v>00</v>
      </c>
      <c r="AN154" s="38" t="str">
        <f t="shared" si="35"/>
        <v>00</v>
      </c>
      <c r="AO154" s="38" t="str">
        <f t="shared" si="36"/>
        <v>00</v>
      </c>
      <c r="AQ154" t="str">
        <f t="shared" si="31"/>
        <v xml:space="preserve">    (U4)0x00000060U                                                            /* 18 UNKNOWN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0</v>
      </c>
      <c r="AF155" s="93">
        <f t="shared" si="40"/>
        <v>0</v>
      </c>
      <c r="AG155" s="93">
        <f t="shared" si="40"/>
        <v>0</v>
      </c>
      <c r="AH155" s="93">
        <f t="shared" si="40"/>
        <v>0</v>
      </c>
      <c r="AI155" s="93">
        <f t="shared" si="40"/>
        <v>0</v>
      </c>
      <c r="AJ155" s="25" t="str">
        <f t="shared" si="30"/>
        <v/>
      </c>
      <c r="AK155" s="38"/>
      <c r="AL155" s="38" t="str">
        <f t="shared" si="33"/>
        <v>00</v>
      </c>
      <c r="AM155" s="38" t="str">
        <f t="shared" si="34"/>
        <v>00</v>
      </c>
      <c r="AN155" s="38" t="str">
        <f t="shared" si="35"/>
        <v>00</v>
      </c>
      <c r="AO155" s="38" t="str">
        <f t="shared" si="36"/>
        <v>00</v>
      </c>
      <c r="AQ155" t="str">
        <f t="shared" si="31"/>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0</v>
      </c>
      <c r="AF156" s="93">
        <f t="shared" si="40"/>
        <v>0</v>
      </c>
      <c r="AG156" s="93">
        <f t="shared" si="40"/>
        <v>0</v>
      </c>
      <c r="AH156" s="93">
        <f t="shared" si="40"/>
        <v>0</v>
      </c>
      <c r="AI156" s="93">
        <f t="shared" si="40"/>
        <v>0</v>
      </c>
      <c r="AJ156" s="25" t="str">
        <f t="shared" si="30"/>
        <v/>
      </c>
      <c r="AK156" s="38"/>
      <c r="AL156" s="38" t="str">
        <f t="shared" si="33"/>
        <v>00</v>
      </c>
      <c r="AM156" s="38" t="str">
        <f t="shared" si="34"/>
        <v>00</v>
      </c>
      <c r="AN156" s="38" t="str">
        <f t="shared" si="35"/>
        <v>00</v>
      </c>
      <c r="AO156" s="38" t="str">
        <f t="shared" si="36"/>
        <v>00</v>
      </c>
      <c r="AQ156" t="str">
        <f t="shared" si="31"/>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0</v>
      </c>
      <c r="AF157" s="93">
        <f t="shared" si="40"/>
        <v>0</v>
      </c>
      <c r="AG157" s="93">
        <f t="shared" si="40"/>
        <v>0</v>
      </c>
      <c r="AH157" s="93">
        <f t="shared" si="40"/>
        <v>0</v>
      </c>
      <c r="AI157" s="93">
        <f t="shared" si="40"/>
        <v>0</v>
      </c>
      <c r="AJ157" s="25" t="str">
        <f t="shared" si="30"/>
        <v/>
      </c>
      <c r="AK157" s="38"/>
      <c r="AL157" s="38" t="str">
        <f t="shared" si="33"/>
        <v>00</v>
      </c>
      <c r="AM157" s="38" t="str">
        <f t="shared" si="34"/>
        <v>00</v>
      </c>
      <c r="AN157" s="38" t="str">
        <f t="shared" si="35"/>
        <v>00</v>
      </c>
      <c r="AO157" s="38" t="str">
        <f t="shared" si="36"/>
        <v>00</v>
      </c>
      <c r="AQ157" t="str">
        <f t="shared" si="31"/>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0</v>
      </c>
      <c r="AF158" s="93">
        <f t="shared" si="40"/>
        <v>0</v>
      </c>
      <c r="AG158" s="93">
        <f t="shared" si="40"/>
        <v>0</v>
      </c>
      <c r="AH158" s="93">
        <f t="shared" si="40"/>
        <v>0</v>
      </c>
      <c r="AI158" s="93">
        <f t="shared" si="40"/>
        <v>0</v>
      </c>
      <c r="AJ158" s="25" t="str">
        <f t="shared" si="30"/>
        <v/>
      </c>
      <c r="AK158" s="38"/>
      <c r="AL158" s="38" t="str">
        <f t="shared" si="33"/>
        <v>00</v>
      </c>
      <c r="AM158" s="38" t="str">
        <f t="shared" si="34"/>
        <v>00</v>
      </c>
      <c r="AN158" s="38" t="str">
        <f t="shared" si="35"/>
        <v>00</v>
      </c>
      <c r="AO158" s="38" t="str">
        <f t="shared" si="36"/>
        <v>00</v>
      </c>
      <c r="AQ158" t="str">
        <f t="shared" si="31"/>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L3:AB3 D27:AJ69 AJ6:AJ22 AD6:AI6 D6:AB26 AF23:AJ25 AC26:AJ26 AE24 AC25:AE25" name="Table作成編集範囲"/>
    <protectedRange sqref="B3" name="Table作成編集範囲_2_1"/>
    <protectedRange sqref="AC3" name="Table作成編集範囲_5"/>
    <protectedRange sqref="AD3:AI3" name="Table作成編集範囲_2_1_1"/>
  </protectedRanges>
  <mergeCells count="5">
    <mergeCell ref="C2:C3"/>
    <mergeCell ref="AJ2:AJ3"/>
    <mergeCell ref="A4:B5"/>
    <mergeCell ref="AD3:AE3"/>
    <mergeCell ref="AF3:AI3"/>
  </mergeCells>
  <phoneticPr fontId="2"/>
  <conditionalFormatting sqref="D6:AB7 AD7:AH7 D8:AG9 D10:AF13 D14:AE21 AF8:AH8 AF9:AG10 AH10:AI11 AF11:AF14 AH11:AH12 AI12:AI13 AG14:AI15 AG15:AH16 AG16:AG18 AI16:AI17 AH18:AI19 AH19:AH20 AI20:AI21 AI7:AI9 D22:AI22 D23:AC24 AF23:AI25 AD23 D26:AI69 AE23:AE24 D25:AE25">
    <cfRule type="cellIs" dxfId="58" priority="59" operator="equal">
      <formula>1</formula>
    </cfRule>
    <cfRule type="cellIs" dxfId="57" priority="60" operator="equal">
      <formula>"×"</formula>
    </cfRule>
  </conditionalFormatting>
  <conditionalFormatting sqref="AR5:AS70">
    <cfRule type="expression" dxfId="56" priority="73">
      <formula>$B$3="Index Table"</formula>
    </cfRule>
  </conditionalFormatting>
  <conditionalFormatting sqref="AC22:AI22 AC6 AD7:AH7 AC8:AG9 AC10:AF13 AC14:AE21 AF8:AH8 AF9:AG10 AH10:AI11 AF11:AF14 AH11:AH12 AI12:AI13 AG14:AI15 AG15:AH16 AG16:AG18 AI16:AI17 AH18:AI19 AH19:AH20 AI20:AI21 AI7:AI9">
    <cfRule type="cellIs" dxfId="55" priority="57" operator="equal">
      <formula>1</formula>
    </cfRule>
    <cfRule type="cellIs" dxfId="54" priority="58" operator="equal">
      <formula>"×"</formula>
    </cfRule>
  </conditionalFormatting>
  <conditionalFormatting sqref="AD6:AI6">
    <cfRule type="cellIs" dxfId="53" priority="53" operator="equal">
      <formula>1</formula>
    </cfRule>
    <cfRule type="cellIs" dxfId="52" priority="54" operator="equal">
      <formula>"×"</formula>
    </cfRule>
  </conditionalFormatting>
  <conditionalFormatting sqref="AC7:AC24 AC26">
    <cfRule type="cellIs" dxfId="51" priority="51" operator="equal">
      <formula>1</formula>
    </cfRule>
    <cfRule type="cellIs" dxfId="50" priority="52" operator="equal">
      <formula>"×"</formula>
    </cfRule>
  </conditionalFormatting>
  <conditionalFormatting sqref="AI8">
    <cfRule type="cellIs" dxfId="49" priority="49" operator="equal">
      <formula>1</formula>
    </cfRule>
    <cfRule type="cellIs" dxfId="48" priority="50" operator="equal">
      <formula>"×"</formula>
    </cfRule>
  </conditionalFormatting>
  <conditionalFormatting sqref="AH8:AH9">
    <cfRule type="cellIs" dxfId="47" priority="47" operator="equal">
      <formula>1</formula>
    </cfRule>
    <cfRule type="cellIs" dxfId="46" priority="48" operator="equal">
      <formula>"×"</formula>
    </cfRule>
  </conditionalFormatting>
  <conditionalFormatting sqref="AH9:AH10">
    <cfRule type="cellIs" dxfId="45" priority="45" operator="equal">
      <formula>1</formula>
    </cfRule>
    <cfRule type="cellIs" dxfId="44" priority="46" operator="equal">
      <formula>"×"</formula>
    </cfRule>
  </conditionalFormatting>
  <conditionalFormatting sqref="AI9:AI10">
    <cfRule type="cellIs" dxfId="43" priority="43" operator="equal">
      <formula>1</formula>
    </cfRule>
    <cfRule type="cellIs" dxfId="42" priority="44" operator="equal">
      <formula>"×"</formula>
    </cfRule>
  </conditionalFormatting>
  <conditionalFormatting sqref="AG10:AG14">
    <cfRule type="cellIs" dxfId="41" priority="41" operator="equal">
      <formula>1</formula>
    </cfRule>
    <cfRule type="cellIs" dxfId="40" priority="42" operator="equal">
      <formula>"×"</formula>
    </cfRule>
  </conditionalFormatting>
  <conditionalFormatting sqref="AI11:AI12">
    <cfRule type="cellIs" dxfId="39" priority="39" operator="equal">
      <formula>1</formula>
    </cfRule>
    <cfRule type="cellIs" dxfId="38" priority="40" operator="equal">
      <formula>"×"</formula>
    </cfRule>
  </conditionalFormatting>
  <conditionalFormatting sqref="AH12:AH13">
    <cfRule type="cellIs" dxfId="37" priority="37" operator="equal">
      <formula>1</formula>
    </cfRule>
    <cfRule type="cellIs" dxfId="36" priority="38" operator="equal">
      <formula>"×"</formula>
    </cfRule>
  </conditionalFormatting>
  <conditionalFormatting sqref="AH13:AH14">
    <cfRule type="cellIs" dxfId="35" priority="35" operator="equal">
      <formula>1</formula>
    </cfRule>
    <cfRule type="cellIs" dxfId="34" priority="36" operator="equal">
      <formula>"×"</formula>
    </cfRule>
  </conditionalFormatting>
  <conditionalFormatting sqref="AI13:AI14">
    <cfRule type="cellIs" dxfId="33" priority="33" operator="equal">
      <formula>1</formula>
    </cfRule>
    <cfRule type="cellIs" dxfId="32" priority="34" operator="equal">
      <formula>"×"</formula>
    </cfRule>
  </conditionalFormatting>
  <conditionalFormatting sqref="AF14:AF22">
    <cfRule type="cellIs" dxfId="31" priority="31" operator="equal">
      <formula>1</formula>
    </cfRule>
    <cfRule type="cellIs" dxfId="30" priority="32" operator="equal">
      <formula>"×"</formula>
    </cfRule>
  </conditionalFormatting>
  <conditionalFormatting sqref="AI15:AI16">
    <cfRule type="cellIs" dxfId="29" priority="29" operator="equal">
      <formula>1</formula>
    </cfRule>
    <cfRule type="cellIs" dxfId="28" priority="30" operator="equal">
      <formula>"×"</formula>
    </cfRule>
  </conditionalFormatting>
  <conditionalFormatting sqref="AH16:AH17">
    <cfRule type="cellIs" dxfId="27" priority="27" operator="equal">
      <formula>1</formula>
    </cfRule>
    <cfRule type="cellIs" dxfId="26" priority="28" operator="equal">
      <formula>"×"</formula>
    </cfRule>
  </conditionalFormatting>
  <conditionalFormatting sqref="AH17:AH18">
    <cfRule type="cellIs" dxfId="25" priority="25" operator="equal">
      <formula>1</formula>
    </cfRule>
    <cfRule type="cellIs" dxfId="24" priority="26" operator="equal">
      <formula>"×"</formula>
    </cfRule>
  </conditionalFormatting>
  <conditionalFormatting sqref="AI17:AI18">
    <cfRule type="cellIs" dxfId="23" priority="23" operator="equal">
      <formula>1</formula>
    </cfRule>
    <cfRule type="cellIs" dxfId="22" priority="24" operator="equal">
      <formula>"×"</formula>
    </cfRule>
  </conditionalFormatting>
  <conditionalFormatting sqref="AG18:AG22">
    <cfRule type="cellIs" dxfId="21" priority="21" operator="equal">
      <formula>1</formula>
    </cfRule>
    <cfRule type="cellIs" dxfId="20" priority="22" operator="equal">
      <formula>"×"</formula>
    </cfRule>
  </conditionalFormatting>
  <conditionalFormatting sqref="AI19:AI20">
    <cfRule type="cellIs" dxfId="19" priority="19" operator="equal">
      <formula>1</formula>
    </cfRule>
    <cfRule type="cellIs" dxfId="18" priority="20" operator="equal">
      <formula>"×"</formula>
    </cfRule>
  </conditionalFormatting>
  <conditionalFormatting sqref="AH20:AH21">
    <cfRule type="cellIs" dxfId="17" priority="17" operator="equal">
      <formula>1</formula>
    </cfRule>
    <cfRule type="cellIs" dxfId="16" priority="18" operator="equal">
      <formula>"×"</formula>
    </cfRule>
  </conditionalFormatting>
  <conditionalFormatting sqref="AH21:AH22">
    <cfRule type="cellIs" dxfId="15" priority="15" operator="equal">
      <formula>1</formula>
    </cfRule>
    <cfRule type="cellIs" dxfId="14" priority="16" operator="equal">
      <formula>"×"</formula>
    </cfRule>
  </conditionalFormatting>
  <conditionalFormatting sqref="AI21:AI22">
    <cfRule type="cellIs" dxfId="13" priority="13" operator="equal">
      <formula>1</formula>
    </cfRule>
    <cfRule type="cellIs" dxfId="12" priority="14" operator="equal">
      <formula>"×"</formula>
    </cfRule>
  </conditionalFormatting>
  <conditionalFormatting sqref="AC23:AC24 AC26">
    <cfRule type="cellIs" dxfId="11" priority="11" operator="equal">
      <formula>1</formula>
    </cfRule>
    <cfRule type="cellIs" dxfId="10" priority="12" operator="equal">
      <formula>"×"</formula>
    </cfRule>
  </conditionalFormatting>
  <conditionalFormatting sqref="AD23 AE23:AE24">
    <cfRule type="cellIs" dxfId="9" priority="9" operator="equal">
      <formula>1</formula>
    </cfRule>
    <cfRule type="cellIs" dxfId="8" priority="10" operator="equal">
      <formula>"×"</formula>
    </cfRule>
  </conditionalFormatting>
  <conditionalFormatting sqref="AE23">
    <cfRule type="cellIs" dxfId="7" priority="7" operator="equal">
      <formula>1</formula>
    </cfRule>
    <cfRule type="cellIs" dxfId="6" priority="8" operator="equal">
      <formula>"×"</formula>
    </cfRule>
  </conditionalFormatting>
  <conditionalFormatting sqref="AD23:AD24">
    <cfRule type="cellIs" dxfId="5" priority="5" operator="equal">
      <formula>1</formula>
    </cfRule>
    <cfRule type="cellIs" dxfId="4" priority="6" operator="equal">
      <formula>"×"</formula>
    </cfRule>
  </conditionalFormatting>
  <conditionalFormatting sqref="AD24">
    <cfRule type="cellIs" dxfId="3" priority="3" operator="equal">
      <formula>1</formula>
    </cfRule>
    <cfRule type="cellIs" dxfId="2" priority="4" operator="equal">
      <formula>"×"</formula>
    </cfRule>
  </conditionalFormatting>
  <conditionalFormatting sqref="AE24">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B36AE2F-2682-43E4-A83B-B5C298C6B357}">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W114"/>
  <sheetViews>
    <sheetView topLeftCell="A26" zoomScaleNormal="100" workbookViewId="0">
      <selection activeCell="K29" sqref="K29:K44"/>
    </sheetView>
  </sheetViews>
  <sheetFormatPr defaultColWidth="9.125" defaultRowHeight="13.5"/>
  <cols>
    <col min="1" max="1" width="9.125" style="145"/>
    <col min="2" max="2" width="61.125" style="145" customWidth="1"/>
    <col min="3" max="10" width="3.375" style="145" customWidth="1"/>
    <col min="11" max="11" width="16.625" style="145" customWidth="1"/>
    <col min="12" max="12" width="18.375" style="145" customWidth="1"/>
    <col min="13" max="13" width="18.625" style="145" customWidth="1"/>
    <col min="14" max="14" width="21.375" style="145" bestFit="1" customWidth="1"/>
    <col min="15" max="15" width="23.375" style="145" bestFit="1" customWidth="1"/>
    <col min="16" max="16" width="28.375" style="145" bestFit="1" customWidth="1"/>
    <col min="17" max="17" width="21.75" style="145" customWidth="1"/>
    <col min="18" max="21" width="10.875" style="145" customWidth="1"/>
    <col min="22" max="16384" width="9.125" style="145"/>
  </cols>
  <sheetData>
    <row r="2" spans="2:49" ht="15" thickBot="1">
      <c r="B2" s="146" t="s">
        <v>265</v>
      </c>
      <c r="W2" s="147" t="s">
        <v>212</v>
      </c>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row>
    <row r="3" spans="2:49" ht="15" thickBot="1">
      <c r="B3" s="149" t="s">
        <v>156</v>
      </c>
      <c r="C3" s="300" t="s">
        <v>312</v>
      </c>
      <c r="D3" s="301"/>
      <c r="E3" s="301"/>
      <c r="F3" s="301"/>
      <c r="G3" s="301"/>
      <c r="H3" s="301"/>
      <c r="I3" s="301"/>
      <c r="J3" s="302"/>
      <c r="K3" s="150"/>
      <c r="L3" s="150"/>
      <c r="M3" s="150"/>
      <c r="N3" s="151"/>
      <c r="O3" s="152"/>
      <c r="P3" s="152"/>
      <c r="Q3" s="152"/>
      <c r="R3" s="153"/>
    </row>
    <row r="4" spans="2:49">
      <c r="B4" s="154"/>
      <c r="C4" s="155" t="s">
        <v>158</v>
      </c>
      <c r="D4" s="155"/>
      <c r="E4" s="155"/>
      <c r="F4" s="155"/>
      <c r="G4" s="155"/>
      <c r="H4" s="155"/>
      <c r="I4" s="155"/>
      <c r="J4" s="155"/>
      <c r="K4" s="156"/>
      <c r="L4" s="155"/>
      <c r="M4" s="155"/>
      <c r="N4" s="157" t="s">
        <v>51</v>
      </c>
      <c r="O4" s="158" t="s">
        <v>20</v>
      </c>
      <c r="P4" s="159"/>
      <c r="Q4" s="159"/>
      <c r="R4" s="160"/>
    </row>
    <row r="5" spans="2:49">
      <c r="B5" s="161" t="s">
        <v>21</v>
      </c>
      <c r="C5" s="296" t="s">
        <v>178</v>
      </c>
      <c r="D5" s="297"/>
      <c r="E5" s="297"/>
      <c r="F5" s="297"/>
      <c r="G5" s="297"/>
      <c r="H5" s="297"/>
      <c r="I5" s="297"/>
      <c r="J5" s="298"/>
      <c r="K5" s="166" t="s">
        <v>22</v>
      </c>
      <c r="L5" s="165"/>
      <c r="M5" s="235"/>
      <c r="N5" s="167" t="s">
        <v>258</v>
      </c>
      <c r="O5" s="168" t="s">
        <v>23</v>
      </c>
      <c r="P5" s="168" t="s">
        <v>24</v>
      </c>
      <c r="Q5" s="169" t="s">
        <v>25</v>
      </c>
      <c r="R5" s="170" t="s">
        <v>26</v>
      </c>
    </row>
    <row r="6" spans="2:49">
      <c r="B6" s="161" t="s">
        <v>33</v>
      </c>
      <c r="C6" s="171" t="s">
        <v>170</v>
      </c>
      <c r="D6" s="171" t="s">
        <v>159</v>
      </c>
      <c r="E6" s="171" t="s">
        <v>170</v>
      </c>
      <c r="F6" s="171" t="s">
        <v>170</v>
      </c>
      <c r="G6" s="171" t="s">
        <v>170</v>
      </c>
      <c r="H6" s="171" t="s">
        <v>170</v>
      </c>
      <c r="I6" s="171" t="s">
        <v>170</v>
      </c>
      <c r="J6" s="171" t="s">
        <v>170</v>
      </c>
      <c r="K6" s="173" t="s">
        <v>100</v>
      </c>
      <c r="L6" s="172" t="s">
        <v>100</v>
      </c>
      <c r="M6" s="236"/>
      <c r="N6" s="167" t="s">
        <v>205</v>
      </c>
      <c r="O6" s="174"/>
      <c r="P6" s="174"/>
      <c r="Q6" s="175"/>
      <c r="R6" s="170"/>
    </row>
    <row r="7" spans="2:49" ht="27">
      <c r="B7" s="176" t="s">
        <v>27</v>
      </c>
      <c r="C7" s="299" t="s">
        <v>160</v>
      </c>
      <c r="D7" s="297"/>
      <c r="E7" s="297"/>
      <c r="F7" s="297"/>
      <c r="G7" s="297"/>
      <c r="H7" s="297"/>
      <c r="I7" s="297"/>
      <c r="J7" s="298"/>
      <c r="K7" s="178" t="s">
        <v>243</v>
      </c>
      <c r="L7" s="166" t="s">
        <v>243</v>
      </c>
      <c r="M7" s="235"/>
      <c r="N7" s="179"/>
      <c r="O7" s="174"/>
      <c r="P7" s="174"/>
      <c r="Q7" s="175"/>
      <c r="R7" s="170"/>
    </row>
    <row r="8" spans="2:49" ht="136.5">
      <c r="B8" s="161" t="s">
        <v>28</v>
      </c>
      <c r="C8" s="180" t="s">
        <v>161</v>
      </c>
      <c r="D8" s="180" t="s">
        <v>62</v>
      </c>
      <c r="E8" s="180" t="s">
        <v>162</v>
      </c>
      <c r="F8" s="180" t="s">
        <v>163</v>
      </c>
      <c r="G8" s="180" t="s">
        <v>164</v>
      </c>
      <c r="H8" s="180" t="s">
        <v>165</v>
      </c>
      <c r="I8" s="180" t="s">
        <v>166</v>
      </c>
      <c r="J8" s="180" t="s">
        <v>167</v>
      </c>
      <c r="K8" s="178" t="s">
        <v>244</v>
      </c>
      <c r="L8" s="166" t="s">
        <v>241</v>
      </c>
      <c r="M8" s="235"/>
      <c r="N8" s="167" t="s">
        <v>29</v>
      </c>
      <c r="O8" s="174"/>
      <c r="P8" s="174"/>
      <c r="Q8" s="175"/>
      <c r="R8" s="170"/>
    </row>
    <row r="9" spans="2:49" ht="41.25" thickBot="1">
      <c r="B9" s="181" t="s">
        <v>30</v>
      </c>
      <c r="C9" s="182" t="s">
        <v>169</v>
      </c>
      <c r="D9" s="182" t="s">
        <v>159</v>
      </c>
      <c r="E9" s="182" t="s">
        <v>169</v>
      </c>
      <c r="F9" s="182" t="s">
        <v>169</v>
      </c>
      <c r="G9" s="182" t="s">
        <v>169</v>
      </c>
      <c r="H9" s="182" t="s">
        <v>169</v>
      </c>
      <c r="I9" s="182" t="s">
        <v>169</v>
      </c>
      <c r="J9" s="182" t="s">
        <v>169</v>
      </c>
      <c r="K9" s="183" t="s">
        <v>207</v>
      </c>
      <c r="L9" s="183" t="s">
        <v>245</v>
      </c>
      <c r="M9" s="237"/>
      <c r="N9" s="184" t="s">
        <v>354</v>
      </c>
      <c r="O9" s="185"/>
      <c r="P9" s="185"/>
      <c r="Q9" s="186" t="s">
        <v>224</v>
      </c>
      <c r="R9" s="187"/>
    </row>
    <row r="10" spans="2:49" ht="14.25" thickTop="1">
      <c r="B10" s="188" t="s">
        <v>317</v>
      </c>
      <c r="C10" s="189" t="s">
        <v>168</v>
      </c>
      <c r="D10" s="189" t="s">
        <v>168</v>
      </c>
      <c r="E10" s="189" t="s">
        <v>168</v>
      </c>
      <c r="F10" s="189" t="s">
        <v>168</v>
      </c>
      <c r="G10" s="189" t="s">
        <v>168</v>
      </c>
      <c r="H10" s="189" t="s">
        <v>168</v>
      </c>
      <c r="I10" s="189" t="s">
        <v>168</v>
      </c>
      <c r="J10" s="189" t="s">
        <v>168</v>
      </c>
      <c r="K10" s="191" t="s">
        <v>226</v>
      </c>
      <c r="L10" s="190" t="s">
        <v>226</v>
      </c>
      <c r="M10" s="238"/>
      <c r="N10" s="192" t="s">
        <v>32</v>
      </c>
      <c r="O10" s="193"/>
      <c r="P10" s="193"/>
      <c r="Q10" s="194" t="s">
        <v>31</v>
      </c>
      <c r="R10" s="195"/>
    </row>
    <row r="11" spans="2:49">
      <c r="B11" s="188" t="s">
        <v>318</v>
      </c>
      <c r="C11" s="196" t="s">
        <v>168</v>
      </c>
      <c r="D11" s="196" t="s">
        <v>168</v>
      </c>
      <c r="E11" s="196" t="s">
        <v>168</v>
      </c>
      <c r="F11" s="196" t="s">
        <v>168</v>
      </c>
      <c r="G11" s="196" t="s">
        <v>168</v>
      </c>
      <c r="H11" s="196" t="s">
        <v>168</v>
      </c>
      <c r="I11" s="196" t="s">
        <v>168</v>
      </c>
      <c r="J11" s="196" t="s">
        <v>168</v>
      </c>
      <c r="K11" s="201" t="s">
        <v>226</v>
      </c>
      <c r="L11" s="190" t="s">
        <v>233</v>
      </c>
      <c r="M11" s="238"/>
      <c r="N11" s="197" t="s">
        <v>259</v>
      </c>
      <c r="O11" s="198"/>
      <c r="P11" s="198"/>
      <c r="Q11" s="199" t="s">
        <v>225</v>
      </c>
      <c r="R11" s="200"/>
    </row>
    <row r="12" spans="2:49">
      <c r="B12" s="188" t="s">
        <v>319</v>
      </c>
      <c r="C12" s="196" t="s">
        <v>168</v>
      </c>
      <c r="D12" s="196" t="s">
        <v>168</v>
      </c>
      <c r="E12" s="196" t="s">
        <v>168</v>
      </c>
      <c r="F12" s="196" t="s">
        <v>168</v>
      </c>
      <c r="G12" s="196" t="s">
        <v>168</v>
      </c>
      <c r="H12" s="196" t="s">
        <v>168</v>
      </c>
      <c r="I12" s="196" t="s">
        <v>168</v>
      </c>
      <c r="J12" s="196" t="s">
        <v>168</v>
      </c>
      <c r="K12" s="201" t="s">
        <v>208</v>
      </c>
      <c r="L12" s="202" t="s">
        <v>234</v>
      </c>
      <c r="M12" s="239"/>
      <c r="N12" s="197" t="s">
        <v>32</v>
      </c>
      <c r="O12" s="198"/>
      <c r="P12" s="198"/>
      <c r="Q12" s="199" t="s">
        <v>31</v>
      </c>
      <c r="R12" s="200"/>
    </row>
    <row r="13" spans="2:49" ht="14.25" thickBot="1">
      <c r="B13" s="203" t="s">
        <v>320</v>
      </c>
      <c r="C13" s="204" t="s">
        <v>168</v>
      </c>
      <c r="D13" s="204" t="s">
        <v>168</v>
      </c>
      <c r="E13" s="204" t="s">
        <v>168</v>
      </c>
      <c r="F13" s="204" t="s">
        <v>168</v>
      </c>
      <c r="G13" s="204" t="s">
        <v>168</v>
      </c>
      <c r="H13" s="204" t="s">
        <v>168</v>
      </c>
      <c r="I13" s="204" t="s">
        <v>168</v>
      </c>
      <c r="J13" s="204" t="s">
        <v>168</v>
      </c>
      <c r="K13" s="206" t="s">
        <v>209</v>
      </c>
      <c r="L13" s="205" t="s">
        <v>234</v>
      </c>
      <c r="M13" s="240"/>
      <c r="N13" s="207" t="s">
        <v>32</v>
      </c>
      <c r="O13" s="208"/>
      <c r="P13" s="208"/>
      <c r="Q13" s="209" t="s">
        <v>31</v>
      </c>
      <c r="R13" s="210"/>
    </row>
    <row r="20" spans="2:49" ht="15" thickBot="1">
      <c r="B20" s="146" t="s">
        <v>290</v>
      </c>
    </row>
    <row r="21" spans="2:49" ht="15" thickBot="1">
      <c r="B21" s="149" t="s">
        <v>123</v>
      </c>
      <c r="C21" s="300" t="s">
        <v>215</v>
      </c>
      <c r="D21" s="301"/>
      <c r="E21" s="301"/>
      <c r="F21" s="301"/>
      <c r="G21" s="301"/>
      <c r="H21" s="301"/>
      <c r="I21" s="301"/>
      <c r="J21" s="302"/>
      <c r="K21" s="150"/>
      <c r="L21" s="150"/>
      <c r="M21" s="150"/>
      <c r="N21" s="151"/>
      <c r="O21" s="152"/>
      <c r="P21" s="152"/>
      <c r="Q21" s="152"/>
      <c r="R21" s="153"/>
    </row>
    <row r="22" spans="2:49">
      <c r="B22" s="154"/>
      <c r="C22" s="155" t="s">
        <v>158</v>
      </c>
      <c r="D22" s="155"/>
      <c r="E22" s="155"/>
      <c r="F22" s="155"/>
      <c r="G22" s="155"/>
      <c r="H22" s="155"/>
      <c r="I22" s="155"/>
      <c r="J22" s="155"/>
      <c r="K22" s="156"/>
      <c r="L22" s="155"/>
      <c r="M22" s="155"/>
      <c r="N22" s="157" t="s">
        <v>51</v>
      </c>
      <c r="O22" s="158" t="s">
        <v>20</v>
      </c>
      <c r="P22" s="159"/>
      <c r="Q22" s="159"/>
      <c r="R22" s="160"/>
    </row>
    <row r="23" spans="2:49">
      <c r="B23" s="161" t="s">
        <v>21</v>
      </c>
      <c r="C23" s="162" t="s">
        <v>177</v>
      </c>
      <c r="D23" s="163"/>
      <c r="E23" s="163"/>
      <c r="F23" s="163"/>
      <c r="G23" s="163"/>
      <c r="H23" s="163"/>
      <c r="I23" s="163"/>
      <c r="J23" s="164"/>
      <c r="K23" s="217" t="s">
        <v>279</v>
      </c>
      <c r="L23" s="166" t="s">
        <v>22</v>
      </c>
      <c r="M23" s="165" t="s">
        <v>273</v>
      </c>
      <c r="N23" s="167" t="s">
        <v>256</v>
      </c>
      <c r="O23" s="168" t="s">
        <v>23</v>
      </c>
      <c r="P23" s="168" t="s">
        <v>24</v>
      </c>
      <c r="Q23" s="169" t="s">
        <v>25</v>
      </c>
      <c r="R23" s="170" t="s">
        <v>26</v>
      </c>
    </row>
    <row r="24" spans="2:49">
      <c r="B24" s="161" t="s">
        <v>33</v>
      </c>
      <c r="C24" s="171" t="s">
        <v>127</v>
      </c>
      <c r="D24" s="171" t="s">
        <v>127</v>
      </c>
      <c r="E24" s="171" t="s">
        <v>127</v>
      </c>
      <c r="F24" s="171" t="s">
        <v>127</v>
      </c>
      <c r="G24" s="171" t="s">
        <v>127</v>
      </c>
      <c r="H24" s="171" t="s">
        <v>127</v>
      </c>
      <c r="I24" s="171" t="s">
        <v>127</v>
      </c>
      <c r="J24" s="171" t="s">
        <v>127</v>
      </c>
      <c r="K24" s="213" t="s">
        <v>127</v>
      </c>
      <c r="L24" s="172" t="s">
        <v>232</v>
      </c>
      <c r="M24" s="172" t="s">
        <v>31</v>
      </c>
      <c r="N24" s="167" t="s">
        <v>205</v>
      </c>
      <c r="O24" s="174"/>
      <c r="P24" s="174"/>
      <c r="Q24" s="175"/>
      <c r="R24" s="170"/>
    </row>
    <row r="25" spans="2:49" ht="27">
      <c r="B25" s="176" t="s">
        <v>27</v>
      </c>
      <c r="C25" s="177" t="s">
        <v>35</v>
      </c>
      <c r="D25" s="163"/>
      <c r="E25" s="163"/>
      <c r="F25" s="163"/>
      <c r="G25" s="163"/>
      <c r="H25" s="163"/>
      <c r="I25" s="163"/>
      <c r="J25" s="164"/>
      <c r="K25" s="214" t="s">
        <v>284</v>
      </c>
      <c r="L25" s="178" t="s">
        <v>274</v>
      </c>
      <c r="M25" s="178" t="s">
        <v>263</v>
      </c>
      <c r="N25" s="179"/>
      <c r="O25" s="174"/>
      <c r="P25" s="174"/>
      <c r="Q25" s="175"/>
      <c r="R25" s="170"/>
    </row>
    <row r="26" spans="2:49" ht="136.5">
      <c r="B26" s="161" t="s">
        <v>28</v>
      </c>
      <c r="C26" s="180" t="s">
        <v>161</v>
      </c>
      <c r="D26" s="180" t="s">
        <v>62</v>
      </c>
      <c r="E26" s="180" t="s">
        <v>162</v>
      </c>
      <c r="F26" s="180" t="s">
        <v>163</v>
      </c>
      <c r="G26" s="180" t="s">
        <v>164</v>
      </c>
      <c r="H26" s="180" t="s">
        <v>165</v>
      </c>
      <c r="I26" s="180" t="s">
        <v>166</v>
      </c>
      <c r="J26" s="180" t="s">
        <v>167</v>
      </c>
      <c r="K26" s="234" t="s">
        <v>309</v>
      </c>
      <c r="L26" s="178" t="s">
        <v>262</v>
      </c>
      <c r="M26" s="211" t="s">
        <v>351</v>
      </c>
      <c r="N26" s="167" t="s">
        <v>29</v>
      </c>
      <c r="O26" s="174"/>
      <c r="P26" s="174"/>
      <c r="Q26" s="175"/>
      <c r="R26" s="170"/>
    </row>
    <row r="27" spans="2:49" ht="54.75" thickBot="1">
      <c r="B27" s="181" t="s">
        <v>30</v>
      </c>
      <c r="C27" s="182" t="s">
        <v>169</v>
      </c>
      <c r="D27" s="182" t="s">
        <v>127</v>
      </c>
      <c r="E27" s="182" t="s">
        <v>169</v>
      </c>
      <c r="F27" s="182" t="s">
        <v>169</v>
      </c>
      <c r="G27" s="182" t="s">
        <v>169</v>
      </c>
      <c r="H27" s="182" t="s">
        <v>169</v>
      </c>
      <c r="I27" s="182" t="s">
        <v>169</v>
      </c>
      <c r="J27" s="182" t="s">
        <v>169</v>
      </c>
      <c r="K27" s="216" t="s">
        <v>285</v>
      </c>
      <c r="L27" s="183" t="s">
        <v>252</v>
      </c>
      <c r="M27" s="183" t="s">
        <v>321</v>
      </c>
      <c r="N27" s="184" t="s">
        <v>250</v>
      </c>
      <c r="O27" s="185"/>
      <c r="P27" s="185"/>
      <c r="Q27" s="186" t="s">
        <v>251</v>
      </c>
      <c r="R27" s="187"/>
    </row>
    <row r="28" spans="2:49" ht="14.25" thickTop="1">
      <c r="B28" s="188" t="s">
        <v>323</v>
      </c>
      <c r="C28" s="189" t="s">
        <v>168</v>
      </c>
      <c r="D28" s="189" t="s">
        <v>168</v>
      </c>
      <c r="E28" s="189" t="s">
        <v>168</v>
      </c>
      <c r="F28" s="189" t="s">
        <v>168</v>
      </c>
      <c r="G28" s="189" t="s">
        <v>168</v>
      </c>
      <c r="H28" s="189" t="s">
        <v>168</v>
      </c>
      <c r="I28" s="189" t="s">
        <v>168</v>
      </c>
      <c r="J28" s="189" t="s">
        <v>168</v>
      </c>
      <c r="K28" s="191" t="s">
        <v>226</v>
      </c>
      <c r="L28" s="190" t="s">
        <v>286</v>
      </c>
      <c r="M28" s="190" t="s">
        <v>326</v>
      </c>
      <c r="N28" s="197" t="s">
        <v>32</v>
      </c>
      <c r="O28" s="193"/>
      <c r="P28" s="193"/>
      <c r="Q28" s="194" t="s">
        <v>31</v>
      </c>
      <c r="R28" s="195"/>
      <c r="W28" s="147" t="s">
        <v>211</v>
      </c>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row>
    <row r="29" spans="2:49">
      <c r="B29" s="188" t="s">
        <v>335</v>
      </c>
      <c r="C29" s="196" t="s">
        <v>168</v>
      </c>
      <c r="D29" s="196" t="s">
        <v>168</v>
      </c>
      <c r="E29" s="196" t="s">
        <v>168</v>
      </c>
      <c r="F29" s="196" t="s">
        <v>168</v>
      </c>
      <c r="G29" s="196" t="s">
        <v>168</v>
      </c>
      <c r="H29" s="196" t="s">
        <v>168</v>
      </c>
      <c r="I29" s="196" t="s">
        <v>168</v>
      </c>
      <c r="J29" s="196" t="s">
        <v>168</v>
      </c>
      <c r="K29" s="201" t="s">
        <v>233</v>
      </c>
      <c r="L29" s="190" t="s">
        <v>253</v>
      </c>
      <c r="M29" s="190" t="s">
        <v>336</v>
      </c>
      <c r="N29" s="197" t="s">
        <v>32</v>
      </c>
      <c r="O29" s="198"/>
      <c r="P29" s="198"/>
      <c r="Q29" s="199" t="s">
        <v>31</v>
      </c>
      <c r="R29" s="200"/>
    </row>
    <row r="30" spans="2:49">
      <c r="B30" s="188" t="s">
        <v>335</v>
      </c>
      <c r="C30" s="196" t="s">
        <v>168</v>
      </c>
      <c r="D30" s="196" t="s">
        <v>168</v>
      </c>
      <c r="E30" s="196" t="s">
        <v>168</v>
      </c>
      <c r="F30" s="196" t="s">
        <v>168</v>
      </c>
      <c r="G30" s="196" t="s">
        <v>168</v>
      </c>
      <c r="H30" s="196" t="s">
        <v>168</v>
      </c>
      <c r="I30" s="196" t="s">
        <v>168</v>
      </c>
      <c r="J30" s="196" t="s">
        <v>168</v>
      </c>
      <c r="K30" s="201" t="s">
        <v>233</v>
      </c>
      <c r="L30" s="190" t="s">
        <v>253</v>
      </c>
      <c r="M30" s="190" t="s">
        <v>337</v>
      </c>
      <c r="N30" s="197" t="s">
        <v>32</v>
      </c>
      <c r="O30" s="198"/>
      <c r="P30" s="198"/>
      <c r="Q30" s="199" t="s">
        <v>31</v>
      </c>
      <c r="R30" s="200"/>
    </row>
    <row r="31" spans="2:49">
      <c r="B31" s="188" t="s">
        <v>334</v>
      </c>
      <c r="C31" s="196" t="s">
        <v>168</v>
      </c>
      <c r="D31" s="196" t="s">
        <v>168</v>
      </c>
      <c r="E31" s="196" t="s">
        <v>168</v>
      </c>
      <c r="F31" s="196" t="s">
        <v>168</v>
      </c>
      <c r="G31" s="196" t="s">
        <v>168</v>
      </c>
      <c r="H31" s="196" t="s">
        <v>168</v>
      </c>
      <c r="I31" s="196" t="s">
        <v>168</v>
      </c>
      <c r="J31" s="196" t="s">
        <v>168</v>
      </c>
      <c r="K31" s="201" t="s">
        <v>233</v>
      </c>
      <c r="L31" s="190" t="s">
        <v>253</v>
      </c>
      <c r="M31" s="190" t="s">
        <v>327</v>
      </c>
      <c r="N31" s="197" t="s">
        <v>239</v>
      </c>
      <c r="O31" s="198"/>
      <c r="P31" s="198"/>
      <c r="Q31" s="199" t="s">
        <v>322</v>
      </c>
      <c r="R31" s="200"/>
    </row>
    <row r="32" spans="2:49">
      <c r="B32" s="188" t="s">
        <v>335</v>
      </c>
      <c r="C32" s="196" t="s">
        <v>168</v>
      </c>
      <c r="D32" s="196" t="s">
        <v>168</v>
      </c>
      <c r="E32" s="196" t="s">
        <v>168</v>
      </c>
      <c r="F32" s="196" t="s">
        <v>168</v>
      </c>
      <c r="G32" s="196" t="s">
        <v>168</v>
      </c>
      <c r="H32" s="196" t="s">
        <v>168</v>
      </c>
      <c r="I32" s="196" t="s">
        <v>168</v>
      </c>
      <c r="J32" s="196" t="s">
        <v>168</v>
      </c>
      <c r="K32" s="201" t="s">
        <v>233</v>
      </c>
      <c r="L32" s="190" t="s">
        <v>253</v>
      </c>
      <c r="M32" s="190" t="s">
        <v>338</v>
      </c>
      <c r="N32" s="197" t="s">
        <v>32</v>
      </c>
      <c r="O32" s="198"/>
      <c r="P32" s="198"/>
      <c r="Q32" s="199" t="s">
        <v>31</v>
      </c>
      <c r="R32" s="200"/>
    </row>
    <row r="33" spans="2:18">
      <c r="B33" s="188" t="s">
        <v>335</v>
      </c>
      <c r="C33" s="196" t="s">
        <v>168</v>
      </c>
      <c r="D33" s="196" t="s">
        <v>168</v>
      </c>
      <c r="E33" s="196" t="s">
        <v>168</v>
      </c>
      <c r="F33" s="196" t="s">
        <v>168</v>
      </c>
      <c r="G33" s="196" t="s">
        <v>168</v>
      </c>
      <c r="H33" s="196" t="s">
        <v>168</v>
      </c>
      <c r="I33" s="196" t="s">
        <v>168</v>
      </c>
      <c r="J33" s="196" t="s">
        <v>168</v>
      </c>
      <c r="K33" s="201" t="s">
        <v>233</v>
      </c>
      <c r="L33" s="190" t="s">
        <v>253</v>
      </c>
      <c r="M33" s="190" t="s">
        <v>339</v>
      </c>
      <c r="N33" s="197" t="s">
        <v>32</v>
      </c>
      <c r="O33" s="198"/>
      <c r="P33" s="198"/>
      <c r="Q33" s="199" t="s">
        <v>31</v>
      </c>
      <c r="R33" s="200"/>
    </row>
    <row r="34" spans="2:18">
      <c r="B34" s="188" t="s">
        <v>335</v>
      </c>
      <c r="C34" s="196" t="s">
        <v>168</v>
      </c>
      <c r="D34" s="196" t="s">
        <v>168</v>
      </c>
      <c r="E34" s="196" t="s">
        <v>168</v>
      </c>
      <c r="F34" s="196" t="s">
        <v>168</v>
      </c>
      <c r="G34" s="196" t="s">
        <v>168</v>
      </c>
      <c r="H34" s="196" t="s">
        <v>168</v>
      </c>
      <c r="I34" s="196" t="s">
        <v>168</v>
      </c>
      <c r="J34" s="196" t="s">
        <v>168</v>
      </c>
      <c r="K34" s="201" t="s">
        <v>233</v>
      </c>
      <c r="L34" s="190" t="s">
        <v>253</v>
      </c>
      <c r="M34" s="190" t="s">
        <v>340</v>
      </c>
      <c r="N34" s="197" t="s">
        <v>32</v>
      </c>
      <c r="O34" s="198"/>
      <c r="P34" s="198"/>
      <c r="Q34" s="199" t="s">
        <v>31</v>
      </c>
      <c r="R34" s="200"/>
    </row>
    <row r="35" spans="2:18">
      <c r="B35" s="188" t="s">
        <v>335</v>
      </c>
      <c r="C35" s="196" t="s">
        <v>168</v>
      </c>
      <c r="D35" s="196" t="s">
        <v>168</v>
      </c>
      <c r="E35" s="196" t="s">
        <v>168</v>
      </c>
      <c r="F35" s="196" t="s">
        <v>168</v>
      </c>
      <c r="G35" s="196" t="s">
        <v>168</v>
      </c>
      <c r="H35" s="196" t="s">
        <v>168</v>
      </c>
      <c r="I35" s="196" t="s">
        <v>168</v>
      </c>
      <c r="J35" s="196" t="s">
        <v>168</v>
      </c>
      <c r="K35" s="201" t="s">
        <v>233</v>
      </c>
      <c r="L35" s="190" t="s">
        <v>253</v>
      </c>
      <c r="M35" s="190" t="s">
        <v>341</v>
      </c>
      <c r="N35" s="197" t="s">
        <v>32</v>
      </c>
      <c r="O35" s="198"/>
      <c r="P35" s="198"/>
      <c r="Q35" s="199" t="s">
        <v>31</v>
      </c>
      <c r="R35" s="200"/>
    </row>
    <row r="36" spans="2:18">
      <c r="B36" s="188" t="s">
        <v>335</v>
      </c>
      <c r="C36" s="196" t="s">
        <v>168</v>
      </c>
      <c r="D36" s="196" t="s">
        <v>168</v>
      </c>
      <c r="E36" s="196" t="s">
        <v>168</v>
      </c>
      <c r="F36" s="196" t="s">
        <v>168</v>
      </c>
      <c r="G36" s="196" t="s">
        <v>168</v>
      </c>
      <c r="H36" s="196" t="s">
        <v>168</v>
      </c>
      <c r="I36" s="196" t="s">
        <v>168</v>
      </c>
      <c r="J36" s="196" t="s">
        <v>168</v>
      </c>
      <c r="K36" s="201" t="s">
        <v>233</v>
      </c>
      <c r="L36" s="190" t="s">
        <v>253</v>
      </c>
      <c r="M36" s="190" t="s">
        <v>342</v>
      </c>
      <c r="N36" s="197" t="s">
        <v>32</v>
      </c>
      <c r="O36" s="198"/>
      <c r="P36" s="198"/>
      <c r="Q36" s="199" t="s">
        <v>31</v>
      </c>
      <c r="R36" s="200"/>
    </row>
    <row r="37" spans="2:18">
      <c r="B37" s="188" t="s">
        <v>335</v>
      </c>
      <c r="C37" s="196" t="s">
        <v>168</v>
      </c>
      <c r="D37" s="196" t="s">
        <v>168</v>
      </c>
      <c r="E37" s="196" t="s">
        <v>168</v>
      </c>
      <c r="F37" s="196" t="s">
        <v>168</v>
      </c>
      <c r="G37" s="196" t="s">
        <v>168</v>
      </c>
      <c r="H37" s="196" t="s">
        <v>168</v>
      </c>
      <c r="I37" s="196" t="s">
        <v>168</v>
      </c>
      <c r="J37" s="196" t="s">
        <v>168</v>
      </c>
      <c r="K37" s="201" t="s">
        <v>233</v>
      </c>
      <c r="L37" s="190" t="s">
        <v>253</v>
      </c>
      <c r="M37" s="190" t="s">
        <v>343</v>
      </c>
      <c r="N37" s="197" t="s">
        <v>32</v>
      </c>
      <c r="O37" s="198"/>
      <c r="P37" s="198"/>
      <c r="Q37" s="199" t="s">
        <v>31</v>
      </c>
      <c r="R37" s="200"/>
    </row>
    <row r="38" spans="2:18">
      <c r="B38" s="188" t="s">
        <v>335</v>
      </c>
      <c r="C38" s="196" t="s">
        <v>168</v>
      </c>
      <c r="D38" s="196" t="s">
        <v>168</v>
      </c>
      <c r="E38" s="196" t="s">
        <v>168</v>
      </c>
      <c r="F38" s="196" t="s">
        <v>168</v>
      </c>
      <c r="G38" s="196" t="s">
        <v>168</v>
      </c>
      <c r="H38" s="196" t="s">
        <v>168</v>
      </c>
      <c r="I38" s="196" t="s">
        <v>168</v>
      </c>
      <c r="J38" s="196" t="s">
        <v>168</v>
      </c>
      <c r="K38" s="201" t="s">
        <v>233</v>
      </c>
      <c r="L38" s="190" t="s">
        <v>253</v>
      </c>
      <c r="M38" s="190" t="s">
        <v>344</v>
      </c>
      <c r="N38" s="197" t="s">
        <v>32</v>
      </c>
      <c r="O38" s="198"/>
      <c r="P38" s="198"/>
      <c r="Q38" s="199" t="s">
        <v>31</v>
      </c>
      <c r="R38" s="200"/>
    </row>
    <row r="39" spans="2:18">
      <c r="B39" s="188" t="s">
        <v>335</v>
      </c>
      <c r="C39" s="196" t="s">
        <v>168</v>
      </c>
      <c r="D39" s="196" t="s">
        <v>168</v>
      </c>
      <c r="E39" s="196" t="s">
        <v>168</v>
      </c>
      <c r="F39" s="196" t="s">
        <v>168</v>
      </c>
      <c r="G39" s="196" t="s">
        <v>168</v>
      </c>
      <c r="H39" s="196" t="s">
        <v>168</v>
      </c>
      <c r="I39" s="196" t="s">
        <v>168</v>
      </c>
      <c r="J39" s="196" t="s">
        <v>168</v>
      </c>
      <c r="K39" s="201" t="s">
        <v>233</v>
      </c>
      <c r="L39" s="190" t="s">
        <v>253</v>
      </c>
      <c r="M39" s="190" t="s">
        <v>345</v>
      </c>
      <c r="N39" s="197" t="s">
        <v>32</v>
      </c>
      <c r="O39" s="198"/>
      <c r="P39" s="198"/>
      <c r="Q39" s="199" t="s">
        <v>31</v>
      </c>
      <c r="R39" s="200"/>
    </row>
    <row r="40" spans="2:18">
      <c r="B40" s="188" t="s">
        <v>335</v>
      </c>
      <c r="C40" s="196" t="s">
        <v>168</v>
      </c>
      <c r="D40" s="196" t="s">
        <v>168</v>
      </c>
      <c r="E40" s="196" t="s">
        <v>168</v>
      </c>
      <c r="F40" s="196" t="s">
        <v>168</v>
      </c>
      <c r="G40" s="196" t="s">
        <v>168</v>
      </c>
      <c r="H40" s="196" t="s">
        <v>168</v>
      </c>
      <c r="I40" s="196" t="s">
        <v>168</v>
      </c>
      <c r="J40" s="196" t="s">
        <v>168</v>
      </c>
      <c r="K40" s="201" t="s">
        <v>233</v>
      </c>
      <c r="L40" s="190" t="s">
        <v>253</v>
      </c>
      <c r="M40" s="190" t="s">
        <v>346</v>
      </c>
      <c r="N40" s="197" t="s">
        <v>32</v>
      </c>
      <c r="O40" s="198"/>
      <c r="P40" s="198"/>
      <c r="Q40" s="199" t="s">
        <v>31</v>
      </c>
      <c r="R40" s="200"/>
    </row>
    <row r="41" spans="2:18">
      <c r="B41" s="188" t="s">
        <v>335</v>
      </c>
      <c r="C41" s="196" t="s">
        <v>168</v>
      </c>
      <c r="D41" s="196" t="s">
        <v>168</v>
      </c>
      <c r="E41" s="196" t="s">
        <v>168</v>
      </c>
      <c r="F41" s="196" t="s">
        <v>168</v>
      </c>
      <c r="G41" s="196" t="s">
        <v>168</v>
      </c>
      <c r="H41" s="196" t="s">
        <v>168</v>
      </c>
      <c r="I41" s="196" t="s">
        <v>168</v>
      </c>
      <c r="J41" s="196" t="s">
        <v>168</v>
      </c>
      <c r="K41" s="201" t="s">
        <v>233</v>
      </c>
      <c r="L41" s="190" t="s">
        <v>253</v>
      </c>
      <c r="M41" s="190" t="s">
        <v>347</v>
      </c>
      <c r="N41" s="197" t="s">
        <v>32</v>
      </c>
      <c r="O41" s="198"/>
      <c r="P41" s="198"/>
      <c r="Q41" s="199" t="s">
        <v>31</v>
      </c>
      <c r="R41" s="200"/>
    </row>
    <row r="42" spans="2:18">
      <c r="B42" s="188" t="s">
        <v>335</v>
      </c>
      <c r="C42" s="196" t="s">
        <v>168</v>
      </c>
      <c r="D42" s="196" t="s">
        <v>168</v>
      </c>
      <c r="E42" s="196" t="s">
        <v>168</v>
      </c>
      <c r="F42" s="196" t="s">
        <v>168</v>
      </c>
      <c r="G42" s="196" t="s">
        <v>168</v>
      </c>
      <c r="H42" s="196" t="s">
        <v>168</v>
      </c>
      <c r="I42" s="196" t="s">
        <v>168</v>
      </c>
      <c r="J42" s="196" t="s">
        <v>168</v>
      </c>
      <c r="K42" s="201" t="s">
        <v>233</v>
      </c>
      <c r="L42" s="190" t="s">
        <v>253</v>
      </c>
      <c r="M42" s="190" t="s">
        <v>348</v>
      </c>
      <c r="N42" s="197" t="s">
        <v>32</v>
      </c>
      <c r="O42" s="198"/>
      <c r="P42" s="198"/>
      <c r="Q42" s="199" t="s">
        <v>31</v>
      </c>
      <c r="R42" s="200"/>
    </row>
    <row r="43" spans="2:18">
      <c r="B43" s="188" t="s">
        <v>335</v>
      </c>
      <c r="C43" s="196" t="s">
        <v>168</v>
      </c>
      <c r="D43" s="196" t="s">
        <v>168</v>
      </c>
      <c r="E43" s="196" t="s">
        <v>168</v>
      </c>
      <c r="F43" s="196" t="s">
        <v>168</v>
      </c>
      <c r="G43" s="196" t="s">
        <v>168</v>
      </c>
      <c r="H43" s="196" t="s">
        <v>168</v>
      </c>
      <c r="I43" s="196" t="s">
        <v>168</v>
      </c>
      <c r="J43" s="196" t="s">
        <v>168</v>
      </c>
      <c r="K43" s="201" t="s">
        <v>233</v>
      </c>
      <c r="L43" s="190" t="s">
        <v>253</v>
      </c>
      <c r="M43" s="190" t="s">
        <v>349</v>
      </c>
      <c r="N43" s="197" t="s">
        <v>32</v>
      </c>
      <c r="O43" s="198"/>
      <c r="P43" s="198"/>
      <c r="Q43" s="199" t="s">
        <v>31</v>
      </c>
      <c r="R43" s="200"/>
    </row>
    <row r="44" spans="2:18">
      <c r="B44" s="188" t="s">
        <v>335</v>
      </c>
      <c r="C44" s="196" t="s">
        <v>168</v>
      </c>
      <c r="D44" s="196" t="s">
        <v>168</v>
      </c>
      <c r="E44" s="196" t="s">
        <v>168</v>
      </c>
      <c r="F44" s="196" t="s">
        <v>168</v>
      </c>
      <c r="G44" s="196" t="s">
        <v>168</v>
      </c>
      <c r="H44" s="196" t="s">
        <v>168</v>
      </c>
      <c r="I44" s="196" t="s">
        <v>168</v>
      </c>
      <c r="J44" s="196" t="s">
        <v>168</v>
      </c>
      <c r="K44" s="201" t="s">
        <v>233</v>
      </c>
      <c r="L44" s="190" t="s">
        <v>253</v>
      </c>
      <c r="M44" s="190" t="s">
        <v>350</v>
      </c>
      <c r="N44" s="197" t="s">
        <v>32</v>
      </c>
      <c r="O44" s="198"/>
      <c r="P44" s="198"/>
      <c r="Q44" s="199" t="s">
        <v>31</v>
      </c>
      <c r="R44" s="200"/>
    </row>
    <row r="45" spans="2:18">
      <c r="B45" s="188" t="s">
        <v>331</v>
      </c>
      <c r="C45" s="196" t="s">
        <v>168</v>
      </c>
      <c r="D45" s="196" t="s">
        <v>168</v>
      </c>
      <c r="E45" s="196" t="s">
        <v>168</v>
      </c>
      <c r="F45" s="196" t="s">
        <v>168</v>
      </c>
      <c r="G45" s="196" t="s">
        <v>168</v>
      </c>
      <c r="H45" s="196" t="s">
        <v>168</v>
      </c>
      <c r="I45" s="196" t="s">
        <v>168</v>
      </c>
      <c r="J45" s="196" t="s">
        <v>168</v>
      </c>
      <c r="K45" s="201" t="s">
        <v>233</v>
      </c>
      <c r="L45" s="190" t="s">
        <v>328</v>
      </c>
      <c r="M45" s="190" t="s">
        <v>325</v>
      </c>
      <c r="N45" s="197" t="s">
        <v>32</v>
      </c>
      <c r="O45" s="198"/>
      <c r="P45" s="198"/>
      <c r="Q45" s="199" t="s">
        <v>31</v>
      </c>
      <c r="R45" s="200"/>
    </row>
    <row r="46" spans="2:18">
      <c r="B46" s="188" t="s">
        <v>332</v>
      </c>
      <c r="C46" s="196" t="s">
        <v>168</v>
      </c>
      <c r="D46" s="196" t="s">
        <v>168</v>
      </c>
      <c r="E46" s="196" t="s">
        <v>168</v>
      </c>
      <c r="F46" s="196" t="s">
        <v>168</v>
      </c>
      <c r="G46" s="196" t="s">
        <v>168</v>
      </c>
      <c r="H46" s="196" t="s">
        <v>168</v>
      </c>
      <c r="I46" s="196" t="s">
        <v>168</v>
      </c>
      <c r="J46" s="196" t="s">
        <v>168</v>
      </c>
      <c r="K46" s="201" t="s">
        <v>233</v>
      </c>
      <c r="L46" s="190" t="s">
        <v>329</v>
      </c>
      <c r="M46" s="190" t="s">
        <v>325</v>
      </c>
      <c r="N46" s="197" t="s">
        <v>32</v>
      </c>
      <c r="O46" s="198"/>
      <c r="P46" s="198"/>
      <c r="Q46" s="199" t="s">
        <v>31</v>
      </c>
      <c r="R46" s="200"/>
    </row>
    <row r="47" spans="2:18">
      <c r="B47" s="188" t="s">
        <v>333</v>
      </c>
      <c r="C47" s="196" t="s">
        <v>168</v>
      </c>
      <c r="D47" s="196" t="s">
        <v>168</v>
      </c>
      <c r="E47" s="196" t="s">
        <v>168</v>
      </c>
      <c r="F47" s="196" t="s">
        <v>168</v>
      </c>
      <c r="G47" s="196" t="s">
        <v>168</v>
      </c>
      <c r="H47" s="196" t="s">
        <v>168</v>
      </c>
      <c r="I47" s="196" t="s">
        <v>168</v>
      </c>
      <c r="J47" s="196" t="s">
        <v>168</v>
      </c>
      <c r="K47" s="201" t="s">
        <v>233</v>
      </c>
      <c r="L47" s="190" t="s">
        <v>330</v>
      </c>
      <c r="M47" s="190" t="s">
        <v>325</v>
      </c>
      <c r="N47" s="197" t="s">
        <v>32</v>
      </c>
      <c r="O47" s="198"/>
      <c r="P47" s="198"/>
      <c r="Q47" s="199" t="s">
        <v>31</v>
      </c>
      <c r="R47" s="200"/>
    </row>
    <row r="48" spans="2:18" ht="14.25" thickBot="1">
      <c r="B48" s="203" t="s">
        <v>324</v>
      </c>
      <c r="C48" s="204" t="s">
        <v>168</v>
      </c>
      <c r="D48" s="204" t="s">
        <v>168</v>
      </c>
      <c r="E48" s="204" t="s">
        <v>168</v>
      </c>
      <c r="F48" s="204" t="s">
        <v>168</v>
      </c>
      <c r="G48" s="204" t="s">
        <v>168</v>
      </c>
      <c r="H48" s="204" t="s">
        <v>168</v>
      </c>
      <c r="I48" s="204" t="s">
        <v>168</v>
      </c>
      <c r="J48" s="204" t="s">
        <v>168</v>
      </c>
      <c r="K48" s="206" t="s">
        <v>209</v>
      </c>
      <c r="L48" s="205" t="s">
        <v>286</v>
      </c>
      <c r="M48" s="205" t="s">
        <v>326</v>
      </c>
      <c r="N48" s="223" t="s">
        <v>32</v>
      </c>
      <c r="O48" s="208"/>
      <c r="P48" s="208"/>
      <c r="Q48" s="209" t="s">
        <v>31</v>
      </c>
      <c r="R48" s="210"/>
    </row>
    <row r="72" spans="23:49">
      <c r="W72" s="147" t="s">
        <v>352</v>
      </c>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row>
    <row r="83" spans="23:49">
      <c r="W83" s="147" t="s">
        <v>231</v>
      </c>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row>
    <row r="96" spans="23:49">
      <c r="W96" s="147" t="s">
        <v>353</v>
      </c>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row>
    <row r="112" spans="23:49">
      <c r="W112" s="147" t="s">
        <v>227</v>
      </c>
      <c r="X112" s="148"/>
      <c r="Y112" s="148"/>
      <c r="Z112" s="148"/>
      <c r="AA112" s="148"/>
      <c r="AB112" s="148"/>
      <c r="AC112" s="148"/>
      <c r="AD112" s="148"/>
      <c r="AE112" s="148"/>
      <c r="AF112" s="148"/>
      <c r="AG112" s="148"/>
      <c r="AH112" s="148"/>
      <c r="AI112" s="148"/>
      <c r="AJ112" s="148"/>
      <c r="AK112" s="148"/>
      <c r="AL112" s="148"/>
      <c r="AM112" s="148"/>
      <c r="AN112" s="148"/>
      <c r="AO112" s="148"/>
      <c r="AP112" s="148"/>
      <c r="AQ112" s="148"/>
      <c r="AR112" s="148"/>
      <c r="AS112" s="148"/>
      <c r="AT112" s="148"/>
      <c r="AU112" s="148"/>
      <c r="AV112" s="148"/>
      <c r="AW112" s="148"/>
    </row>
    <row r="114" spans="23:23">
      <c r="W114" s="145" t="s">
        <v>174</v>
      </c>
    </row>
  </sheetData>
  <autoFilter ref="B9:T19" xr:uid="{00000000-0001-0000-0700-000000000000}"/>
  <mergeCells count="4">
    <mergeCell ref="C5:J5"/>
    <mergeCell ref="C7:J7"/>
    <mergeCell ref="C3:J3"/>
    <mergeCell ref="C21:J21"/>
  </mergeCells>
  <phoneticPr fontId="2"/>
  <dataValidations count="1">
    <dataValidation type="list" allowBlank="1" showInputMessage="1" showErrorMessage="1" sqref="C3 C21"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AB76-3883-4633-AE36-222798D385EF}">
  <sheetPr codeName="Sheet12">
    <tabColor theme="0" tint="-0.499984740745262"/>
  </sheetPr>
  <dimension ref="B2:AW126"/>
  <sheetViews>
    <sheetView topLeftCell="V104" zoomScale="85" zoomScaleNormal="85" workbookViewId="0">
      <selection activeCell="W126" sqref="W126"/>
    </sheetView>
  </sheetViews>
  <sheetFormatPr defaultColWidth="9.125" defaultRowHeight="13.5"/>
  <cols>
    <col min="1" max="1" width="9.125" style="145"/>
    <col min="2" max="2" width="61.125" style="145" customWidth="1"/>
    <col min="3" max="10" width="3.375" style="145" customWidth="1"/>
    <col min="11" max="11" width="16.625" style="145" customWidth="1"/>
    <col min="12" max="12" width="18.375" style="145" customWidth="1"/>
    <col min="13" max="13" width="18.625" style="145" customWidth="1"/>
    <col min="14" max="14" width="21.375" style="145" bestFit="1" customWidth="1"/>
    <col min="15" max="15" width="23.375" style="145" bestFit="1" customWidth="1"/>
    <col min="16" max="16" width="28.375" style="145" bestFit="1" customWidth="1"/>
    <col min="17" max="17" width="21.75" style="145" customWidth="1"/>
    <col min="18" max="21" width="10.875" style="145" customWidth="1"/>
    <col min="22" max="16384" width="9.125" style="145"/>
  </cols>
  <sheetData>
    <row r="2" spans="2:49" ht="15" thickBot="1">
      <c r="B2" s="146" t="s">
        <v>265</v>
      </c>
      <c r="W2" s="147" t="s">
        <v>212</v>
      </c>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row>
    <row r="3" spans="2:49" ht="15" thickBot="1">
      <c r="B3" s="149" t="s">
        <v>123</v>
      </c>
      <c r="C3" s="300" t="s">
        <v>215</v>
      </c>
      <c r="D3" s="301"/>
      <c r="E3" s="301"/>
      <c r="F3" s="301"/>
      <c r="G3" s="301"/>
      <c r="H3" s="301"/>
      <c r="I3" s="301"/>
      <c r="J3" s="302"/>
      <c r="K3" s="150"/>
      <c r="L3" s="150"/>
      <c r="M3" s="150"/>
      <c r="N3" s="151"/>
      <c r="O3" s="152"/>
      <c r="P3" s="152"/>
      <c r="Q3" s="152"/>
      <c r="R3" s="153"/>
    </row>
    <row r="4" spans="2:49">
      <c r="B4" s="154"/>
      <c r="C4" s="155" t="s">
        <v>158</v>
      </c>
      <c r="D4" s="155"/>
      <c r="E4" s="155"/>
      <c r="F4" s="155"/>
      <c r="G4" s="155"/>
      <c r="H4" s="155"/>
      <c r="I4" s="155"/>
      <c r="J4" s="155"/>
      <c r="K4" s="156"/>
      <c r="L4" s="155"/>
      <c r="M4" s="155"/>
      <c r="N4" s="157" t="s">
        <v>51</v>
      </c>
      <c r="O4" s="158" t="s">
        <v>20</v>
      </c>
      <c r="P4" s="159"/>
      <c r="Q4" s="159"/>
      <c r="R4" s="160"/>
    </row>
    <row r="5" spans="2:49">
      <c r="B5" s="161" t="s">
        <v>21</v>
      </c>
      <c r="C5" s="296" t="s">
        <v>177</v>
      </c>
      <c r="D5" s="297"/>
      <c r="E5" s="297"/>
      <c r="F5" s="297"/>
      <c r="G5" s="297"/>
      <c r="H5" s="297"/>
      <c r="I5" s="297"/>
      <c r="J5" s="298"/>
      <c r="K5" s="166" t="s">
        <v>22</v>
      </c>
      <c r="L5" s="165"/>
      <c r="M5" s="165"/>
      <c r="N5" s="167" t="s">
        <v>258</v>
      </c>
      <c r="O5" s="168" t="s">
        <v>23</v>
      </c>
      <c r="P5" s="168" t="s">
        <v>24</v>
      </c>
      <c r="Q5" s="169" t="s">
        <v>25</v>
      </c>
      <c r="R5" s="170" t="s">
        <v>26</v>
      </c>
    </row>
    <row r="6" spans="2:49">
      <c r="B6" s="161" t="s">
        <v>33</v>
      </c>
      <c r="C6" s="171" t="s">
        <v>127</v>
      </c>
      <c r="D6" s="171" t="s">
        <v>127</v>
      </c>
      <c r="E6" s="171" t="s">
        <v>127</v>
      </c>
      <c r="F6" s="171" t="s">
        <v>127</v>
      </c>
      <c r="G6" s="171" t="s">
        <v>127</v>
      </c>
      <c r="H6" s="171" t="s">
        <v>127</v>
      </c>
      <c r="I6" s="171" t="s">
        <v>127</v>
      </c>
      <c r="J6" s="171" t="s">
        <v>127</v>
      </c>
      <c r="K6" s="173" t="s">
        <v>100</v>
      </c>
      <c r="L6" s="172" t="s">
        <v>100</v>
      </c>
      <c r="M6" s="172" t="s">
        <v>100</v>
      </c>
      <c r="N6" s="167" t="s">
        <v>205</v>
      </c>
      <c r="O6" s="174"/>
      <c r="P6" s="174"/>
      <c r="Q6" s="175"/>
      <c r="R6" s="170"/>
    </row>
    <row r="7" spans="2:49" ht="27">
      <c r="B7" s="176" t="s">
        <v>27</v>
      </c>
      <c r="C7" s="299" t="s">
        <v>35</v>
      </c>
      <c r="D7" s="297"/>
      <c r="E7" s="297"/>
      <c r="F7" s="297"/>
      <c r="G7" s="297"/>
      <c r="H7" s="297"/>
      <c r="I7" s="297"/>
      <c r="J7" s="298"/>
      <c r="K7" s="178" t="s">
        <v>243</v>
      </c>
      <c r="L7" s="166" t="s">
        <v>243</v>
      </c>
      <c r="M7" s="166" t="s">
        <v>243</v>
      </c>
      <c r="N7" s="179"/>
      <c r="O7" s="174"/>
      <c r="P7" s="174"/>
      <c r="Q7" s="175"/>
      <c r="R7" s="170"/>
    </row>
    <row r="8" spans="2:49" ht="136.5">
      <c r="B8" s="161" t="s">
        <v>28</v>
      </c>
      <c r="C8" s="180" t="s">
        <v>161</v>
      </c>
      <c r="D8" s="180" t="s">
        <v>62</v>
      </c>
      <c r="E8" s="180" t="s">
        <v>162</v>
      </c>
      <c r="F8" s="180" t="s">
        <v>163</v>
      </c>
      <c r="G8" s="180" t="s">
        <v>164</v>
      </c>
      <c r="H8" s="180" t="s">
        <v>165</v>
      </c>
      <c r="I8" s="180" t="s">
        <v>166</v>
      </c>
      <c r="J8" s="180" t="s">
        <v>167</v>
      </c>
      <c r="K8" s="178" t="s">
        <v>244</v>
      </c>
      <c r="L8" s="166" t="s">
        <v>240</v>
      </c>
      <c r="M8" s="166" t="s">
        <v>241</v>
      </c>
      <c r="N8" s="167" t="s">
        <v>29</v>
      </c>
      <c r="O8" s="174"/>
      <c r="P8" s="174"/>
      <c r="Q8" s="175"/>
      <c r="R8" s="170"/>
    </row>
    <row r="9" spans="2:49" ht="41.25" thickBot="1">
      <c r="B9" s="181" t="s">
        <v>30</v>
      </c>
      <c r="C9" s="182" t="s">
        <v>169</v>
      </c>
      <c r="D9" s="182" t="s">
        <v>127</v>
      </c>
      <c r="E9" s="182" t="s">
        <v>169</v>
      </c>
      <c r="F9" s="182" t="s">
        <v>169</v>
      </c>
      <c r="G9" s="182" t="s">
        <v>169</v>
      </c>
      <c r="H9" s="182" t="s">
        <v>169</v>
      </c>
      <c r="I9" s="182" t="s">
        <v>169</v>
      </c>
      <c r="J9" s="182" t="s">
        <v>169</v>
      </c>
      <c r="K9" s="183" t="s">
        <v>207</v>
      </c>
      <c r="L9" s="183" t="s">
        <v>248</v>
      </c>
      <c r="M9" s="183" t="s">
        <v>245</v>
      </c>
      <c r="N9" s="184" t="s">
        <v>266</v>
      </c>
      <c r="O9" s="185"/>
      <c r="P9" s="185"/>
      <c r="Q9" s="186" t="s">
        <v>224</v>
      </c>
      <c r="R9" s="187"/>
    </row>
    <row r="10" spans="2:49" ht="14.25" thickTop="1">
      <c r="B10" s="188" t="s">
        <v>267</v>
      </c>
      <c r="C10" s="189" t="s">
        <v>168</v>
      </c>
      <c r="D10" s="189" t="s">
        <v>168</v>
      </c>
      <c r="E10" s="189" t="s">
        <v>168</v>
      </c>
      <c r="F10" s="189" t="s">
        <v>168</v>
      </c>
      <c r="G10" s="189" t="s">
        <v>168</v>
      </c>
      <c r="H10" s="189" t="s">
        <v>168</v>
      </c>
      <c r="I10" s="189" t="s">
        <v>168</v>
      </c>
      <c r="J10" s="189" t="s">
        <v>168</v>
      </c>
      <c r="K10" s="191" t="s">
        <v>226</v>
      </c>
      <c r="L10" s="190" t="s">
        <v>223</v>
      </c>
      <c r="M10" s="190" t="s">
        <v>226</v>
      </c>
      <c r="N10" s="192" t="s">
        <v>32</v>
      </c>
      <c r="O10" s="193"/>
      <c r="P10" s="193"/>
      <c r="Q10" s="194" t="s">
        <v>31</v>
      </c>
      <c r="R10" s="195"/>
    </row>
    <row r="11" spans="2:49">
      <c r="B11" s="188" t="s">
        <v>268</v>
      </c>
      <c r="C11" s="196" t="s">
        <v>168</v>
      </c>
      <c r="D11" s="196" t="s">
        <v>168</v>
      </c>
      <c r="E11" s="196" t="s">
        <v>168</v>
      </c>
      <c r="F11" s="196" t="s">
        <v>168</v>
      </c>
      <c r="G11" s="196" t="s">
        <v>168</v>
      </c>
      <c r="H11" s="196" t="s">
        <v>168</v>
      </c>
      <c r="I11" s="196" t="s">
        <v>168</v>
      </c>
      <c r="J11" s="196" t="s">
        <v>168</v>
      </c>
      <c r="K11" s="201" t="s">
        <v>226</v>
      </c>
      <c r="L11" s="190" t="s">
        <v>223</v>
      </c>
      <c r="M11" s="190" t="s">
        <v>233</v>
      </c>
      <c r="N11" s="197" t="s">
        <v>259</v>
      </c>
      <c r="O11" s="198"/>
      <c r="P11" s="198"/>
      <c r="Q11" s="199" t="s">
        <v>225</v>
      </c>
      <c r="R11" s="200"/>
    </row>
    <row r="12" spans="2:49">
      <c r="B12" s="188" t="s">
        <v>269</v>
      </c>
      <c r="C12" s="196" t="s">
        <v>168</v>
      </c>
      <c r="D12" s="196" t="s">
        <v>168</v>
      </c>
      <c r="E12" s="196" t="s">
        <v>168</v>
      </c>
      <c r="F12" s="196" t="s">
        <v>168</v>
      </c>
      <c r="G12" s="196" t="s">
        <v>168</v>
      </c>
      <c r="H12" s="196" t="s">
        <v>168</v>
      </c>
      <c r="I12" s="196" t="s">
        <v>168</v>
      </c>
      <c r="J12" s="196" t="s">
        <v>168</v>
      </c>
      <c r="K12" s="201" t="s">
        <v>226</v>
      </c>
      <c r="L12" s="190" t="s">
        <v>216</v>
      </c>
      <c r="M12" s="190" t="s">
        <v>226</v>
      </c>
      <c r="N12" s="197" t="s">
        <v>260</v>
      </c>
      <c r="O12" s="198"/>
      <c r="P12" s="198"/>
      <c r="Q12" s="199" t="s">
        <v>225</v>
      </c>
      <c r="R12" s="200"/>
    </row>
    <row r="13" spans="2:49">
      <c r="B13" s="188" t="s">
        <v>270</v>
      </c>
      <c r="C13" s="196" t="s">
        <v>168</v>
      </c>
      <c r="D13" s="196" t="s">
        <v>168</v>
      </c>
      <c r="E13" s="196" t="s">
        <v>168</v>
      </c>
      <c r="F13" s="196" t="s">
        <v>168</v>
      </c>
      <c r="G13" s="196" t="s">
        <v>168</v>
      </c>
      <c r="H13" s="196" t="s">
        <v>168</v>
      </c>
      <c r="I13" s="196" t="s">
        <v>168</v>
      </c>
      <c r="J13" s="196" t="s">
        <v>168</v>
      </c>
      <c r="K13" s="201" t="s">
        <v>226</v>
      </c>
      <c r="L13" s="190" t="s">
        <v>216</v>
      </c>
      <c r="M13" s="190" t="s">
        <v>233</v>
      </c>
      <c r="N13" s="197" t="s">
        <v>261</v>
      </c>
      <c r="O13" s="198"/>
      <c r="P13" s="198"/>
      <c r="Q13" s="199" t="s">
        <v>225</v>
      </c>
      <c r="R13" s="200"/>
    </row>
    <row r="14" spans="2:49">
      <c r="B14" s="188" t="s">
        <v>267</v>
      </c>
      <c r="C14" s="196" t="s">
        <v>168</v>
      </c>
      <c r="D14" s="196" t="s">
        <v>168</v>
      </c>
      <c r="E14" s="196" t="s">
        <v>168</v>
      </c>
      <c r="F14" s="196" t="s">
        <v>168</v>
      </c>
      <c r="G14" s="196" t="s">
        <v>168</v>
      </c>
      <c r="H14" s="196" t="s">
        <v>168</v>
      </c>
      <c r="I14" s="196" t="s">
        <v>168</v>
      </c>
      <c r="J14" s="196" t="s">
        <v>168</v>
      </c>
      <c r="K14" s="201" t="s">
        <v>226</v>
      </c>
      <c r="L14" s="190" t="s">
        <v>217</v>
      </c>
      <c r="M14" s="190" t="s">
        <v>226</v>
      </c>
      <c r="N14" s="197" t="s">
        <v>32</v>
      </c>
      <c r="O14" s="198"/>
      <c r="P14" s="198"/>
      <c r="Q14" s="199" t="s">
        <v>31</v>
      </c>
      <c r="R14" s="200"/>
    </row>
    <row r="15" spans="2:49">
      <c r="B15" s="188" t="s">
        <v>268</v>
      </c>
      <c r="C15" s="196" t="s">
        <v>168</v>
      </c>
      <c r="D15" s="196" t="s">
        <v>168</v>
      </c>
      <c r="E15" s="196" t="s">
        <v>168</v>
      </c>
      <c r="F15" s="196" t="s">
        <v>168</v>
      </c>
      <c r="G15" s="196" t="s">
        <v>168</v>
      </c>
      <c r="H15" s="196" t="s">
        <v>168</v>
      </c>
      <c r="I15" s="196" t="s">
        <v>168</v>
      </c>
      <c r="J15" s="196" t="s">
        <v>168</v>
      </c>
      <c r="K15" s="201" t="s">
        <v>226</v>
      </c>
      <c r="L15" s="190" t="s">
        <v>217</v>
      </c>
      <c r="M15" s="190" t="s">
        <v>233</v>
      </c>
      <c r="N15" s="197" t="s">
        <v>32</v>
      </c>
      <c r="O15" s="198"/>
      <c r="P15" s="198"/>
      <c r="Q15" s="199" t="s">
        <v>31</v>
      </c>
      <c r="R15" s="200"/>
    </row>
    <row r="16" spans="2:49">
      <c r="B16" s="188" t="s">
        <v>267</v>
      </c>
      <c r="C16" s="196" t="s">
        <v>168</v>
      </c>
      <c r="D16" s="196" t="s">
        <v>168</v>
      </c>
      <c r="E16" s="196" t="s">
        <v>168</v>
      </c>
      <c r="F16" s="196" t="s">
        <v>168</v>
      </c>
      <c r="G16" s="196" t="s">
        <v>168</v>
      </c>
      <c r="H16" s="196" t="s">
        <v>168</v>
      </c>
      <c r="I16" s="196" t="s">
        <v>168</v>
      </c>
      <c r="J16" s="196" t="s">
        <v>168</v>
      </c>
      <c r="K16" s="201" t="s">
        <v>226</v>
      </c>
      <c r="L16" s="190" t="s">
        <v>218</v>
      </c>
      <c r="M16" s="190" t="s">
        <v>226</v>
      </c>
      <c r="N16" s="197" t="s">
        <v>32</v>
      </c>
      <c r="O16" s="198"/>
      <c r="P16" s="198"/>
      <c r="Q16" s="199" t="s">
        <v>31</v>
      </c>
      <c r="R16" s="200"/>
    </row>
    <row r="17" spans="2:18">
      <c r="B17" s="188" t="s">
        <v>268</v>
      </c>
      <c r="C17" s="196" t="s">
        <v>168</v>
      </c>
      <c r="D17" s="196" t="s">
        <v>168</v>
      </c>
      <c r="E17" s="196" t="s">
        <v>168</v>
      </c>
      <c r="F17" s="196" t="s">
        <v>168</v>
      </c>
      <c r="G17" s="196" t="s">
        <v>168</v>
      </c>
      <c r="H17" s="196" t="s">
        <v>168</v>
      </c>
      <c r="I17" s="196" t="s">
        <v>168</v>
      </c>
      <c r="J17" s="196" t="s">
        <v>168</v>
      </c>
      <c r="K17" s="201" t="s">
        <v>226</v>
      </c>
      <c r="L17" s="190" t="s">
        <v>218</v>
      </c>
      <c r="M17" s="190" t="s">
        <v>233</v>
      </c>
      <c r="N17" s="197" t="s">
        <v>32</v>
      </c>
      <c r="O17" s="198"/>
      <c r="P17" s="198"/>
      <c r="Q17" s="199" t="s">
        <v>31</v>
      </c>
      <c r="R17" s="200"/>
    </row>
    <row r="18" spans="2:18">
      <c r="B18" s="188" t="s">
        <v>267</v>
      </c>
      <c r="C18" s="196" t="s">
        <v>168</v>
      </c>
      <c r="D18" s="196" t="s">
        <v>168</v>
      </c>
      <c r="E18" s="196" t="s">
        <v>168</v>
      </c>
      <c r="F18" s="196" t="s">
        <v>168</v>
      </c>
      <c r="G18" s="196" t="s">
        <v>168</v>
      </c>
      <c r="H18" s="196" t="s">
        <v>168</v>
      </c>
      <c r="I18" s="196" t="s">
        <v>168</v>
      </c>
      <c r="J18" s="196" t="s">
        <v>168</v>
      </c>
      <c r="K18" s="201" t="s">
        <v>226</v>
      </c>
      <c r="L18" s="190" t="s">
        <v>219</v>
      </c>
      <c r="M18" s="190" t="s">
        <v>226</v>
      </c>
      <c r="N18" s="197" t="s">
        <v>32</v>
      </c>
      <c r="O18" s="198"/>
      <c r="P18" s="198"/>
      <c r="Q18" s="199" t="s">
        <v>31</v>
      </c>
      <c r="R18" s="200"/>
    </row>
    <row r="19" spans="2:18">
      <c r="B19" s="188" t="s">
        <v>268</v>
      </c>
      <c r="C19" s="196" t="s">
        <v>168</v>
      </c>
      <c r="D19" s="196" t="s">
        <v>168</v>
      </c>
      <c r="E19" s="196" t="s">
        <v>168</v>
      </c>
      <c r="F19" s="196" t="s">
        <v>168</v>
      </c>
      <c r="G19" s="196" t="s">
        <v>168</v>
      </c>
      <c r="H19" s="196" t="s">
        <v>168</v>
      </c>
      <c r="I19" s="196" t="s">
        <v>168</v>
      </c>
      <c r="J19" s="196" t="s">
        <v>168</v>
      </c>
      <c r="K19" s="201" t="s">
        <v>226</v>
      </c>
      <c r="L19" s="190" t="s">
        <v>219</v>
      </c>
      <c r="M19" s="190" t="s">
        <v>233</v>
      </c>
      <c r="N19" s="197" t="s">
        <v>32</v>
      </c>
      <c r="O19" s="198"/>
      <c r="P19" s="198"/>
      <c r="Q19" s="199" t="s">
        <v>31</v>
      </c>
      <c r="R19" s="200"/>
    </row>
    <row r="20" spans="2:18">
      <c r="B20" s="188" t="s">
        <v>267</v>
      </c>
      <c r="C20" s="196" t="s">
        <v>168</v>
      </c>
      <c r="D20" s="196" t="s">
        <v>168</v>
      </c>
      <c r="E20" s="196" t="s">
        <v>168</v>
      </c>
      <c r="F20" s="196" t="s">
        <v>168</v>
      </c>
      <c r="G20" s="196" t="s">
        <v>168</v>
      </c>
      <c r="H20" s="196" t="s">
        <v>168</v>
      </c>
      <c r="I20" s="196" t="s">
        <v>168</v>
      </c>
      <c r="J20" s="196" t="s">
        <v>168</v>
      </c>
      <c r="K20" s="201" t="s">
        <v>226</v>
      </c>
      <c r="L20" s="190" t="s">
        <v>220</v>
      </c>
      <c r="M20" s="190" t="s">
        <v>226</v>
      </c>
      <c r="N20" s="197" t="s">
        <v>32</v>
      </c>
      <c r="O20" s="198"/>
      <c r="P20" s="198"/>
      <c r="Q20" s="199" t="s">
        <v>31</v>
      </c>
      <c r="R20" s="200"/>
    </row>
    <row r="21" spans="2:18">
      <c r="B21" s="188" t="s">
        <v>268</v>
      </c>
      <c r="C21" s="196" t="s">
        <v>168</v>
      </c>
      <c r="D21" s="196" t="s">
        <v>168</v>
      </c>
      <c r="E21" s="196" t="s">
        <v>168</v>
      </c>
      <c r="F21" s="196" t="s">
        <v>168</v>
      </c>
      <c r="G21" s="196" t="s">
        <v>168</v>
      </c>
      <c r="H21" s="196" t="s">
        <v>168</v>
      </c>
      <c r="I21" s="196" t="s">
        <v>168</v>
      </c>
      <c r="J21" s="196" t="s">
        <v>168</v>
      </c>
      <c r="K21" s="201" t="s">
        <v>226</v>
      </c>
      <c r="L21" s="190" t="s">
        <v>220</v>
      </c>
      <c r="M21" s="190" t="s">
        <v>233</v>
      </c>
      <c r="N21" s="197" t="s">
        <v>32</v>
      </c>
      <c r="O21" s="198"/>
      <c r="P21" s="198"/>
      <c r="Q21" s="199" t="s">
        <v>31</v>
      </c>
      <c r="R21" s="200"/>
    </row>
    <row r="22" spans="2:18">
      <c r="B22" s="188" t="s">
        <v>267</v>
      </c>
      <c r="C22" s="196" t="s">
        <v>168</v>
      </c>
      <c r="D22" s="196" t="s">
        <v>168</v>
      </c>
      <c r="E22" s="196" t="s">
        <v>168</v>
      </c>
      <c r="F22" s="196" t="s">
        <v>168</v>
      </c>
      <c r="G22" s="196" t="s">
        <v>168</v>
      </c>
      <c r="H22" s="196" t="s">
        <v>168</v>
      </c>
      <c r="I22" s="196" t="s">
        <v>168</v>
      </c>
      <c r="J22" s="196" t="s">
        <v>168</v>
      </c>
      <c r="K22" s="201" t="s">
        <v>226</v>
      </c>
      <c r="L22" s="190" t="s">
        <v>221</v>
      </c>
      <c r="M22" s="190" t="s">
        <v>226</v>
      </c>
      <c r="N22" s="197" t="s">
        <v>32</v>
      </c>
      <c r="O22" s="198"/>
      <c r="P22" s="198"/>
      <c r="Q22" s="199" t="s">
        <v>31</v>
      </c>
      <c r="R22" s="200"/>
    </row>
    <row r="23" spans="2:18">
      <c r="B23" s="188" t="s">
        <v>268</v>
      </c>
      <c r="C23" s="196" t="s">
        <v>168</v>
      </c>
      <c r="D23" s="196" t="s">
        <v>168</v>
      </c>
      <c r="E23" s="196" t="s">
        <v>168</v>
      </c>
      <c r="F23" s="196" t="s">
        <v>168</v>
      </c>
      <c r="G23" s="196" t="s">
        <v>168</v>
      </c>
      <c r="H23" s="196" t="s">
        <v>168</v>
      </c>
      <c r="I23" s="196" t="s">
        <v>168</v>
      </c>
      <c r="J23" s="196" t="s">
        <v>168</v>
      </c>
      <c r="K23" s="201" t="s">
        <v>226</v>
      </c>
      <c r="L23" s="190" t="s">
        <v>221</v>
      </c>
      <c r="M23" s="190" t="s">
        <v>233</v>
      </c>
      <c r="N23" s="197" t="s">
        <v>32</v>
      </c>
      <c r="O23" s="198"/>
      <c r="P23" s="198"/>
      <c r="Q23" s="199" t="s">
        <v>31</v>
      </c>
      <c r="R23" s="200"/>
    </row>
    <row r="24" spans="2:18">
      <c r="B24" s="188" t="s">
        <v>267</v>
      </c>
      <c r="C24" s="196" t="s">
        <v>168</v>
      </c>
      <c r="D24" s="196" t="s">
        <v>168</v>
      </c>
      <c r="E24" s="196" t="s">
        <v>168</v>
      </c>
      <c r="F24" s="196" t="s">
        <v>168</v>
      </c>
      <c r="G24" s="196" t="s">
        <v>168</v>
      </c>
      <c r="H24" s="196" t="s">
        <v>168</v>
      </c>
      <c r="I24" s="196" t="s">
        <v>168</v>
      </c>
      <c r="J24" s="196" t="s">
        <v>168</v>
      </c>
      <c r="K24" s="201" t="s">
        <v>226</v>
      </c>
      <c r="L24" s="190" t="s">
        <v>222</v>
      </c>
      <c r="M24" s="190" t="s">
        <v>226</v>
      </c>
      <c r="N24" s="197" t="s">
        <v>32</v>
      </c>
      <c r="O24" s="198"/>
      <c r="P24" s="198"/>
      <c r="Q24" s="199" t="s">
        <v>31</v>
      </c>
      <c r="R24" s="200"/>
    </row>
    <row r="25" spans="2:18">
      <c r="B25" s="188" t="s">
        <v>268</v>
      </c>
      <c r="C25" s="196" t="s">
        <v>168</v>
      </c>
      <c r="D25" s="196" t="s">
        <v>168</v>
      </c>
      <c r="E25" s="196" t="s">
        <v>168</v>
      </c>
      <c r="F25" s="196" t="s">
        <v>168</v>
      </c>
      <c r="G25" s="196" t="s">
        <v>168</v>
      </c>
      <c r="H25" s="196" t="s">
        <v>168</v>
      </c>
      <c r="I25" s="196" t="s">
        <v>168</v>
      </c>
      <c r="J25" s="196" t="s">
        <v>168</v>
      </c>
      <c r="K25" s="201" t="s">
        <v>226</v>
      </c>
      <c r="L25" s="190" t="s">
        <v>222</v>
      </c>
      <c r="M25" s="190" t="s">
        <v>233</v>
      </c>
      <c r="N25" s="197" t="s">
        <v>32</v>
      </c>
      <c r="O25" s="198"/>
      <c r="P25" s="198"/>
      <c r="Q25" s="199" t="s">
        <v>31</v>
      </c>
      <c r="R25" s="200"/>
    </row>
    <row r="26" spans="2:18">
      <c r="B26" s="188" t="s">
        <v>267</v>
      </c>
      <c r="C26" s="196" t="s">
        <v>168</v>
      </c>
      <c r="D26" s="196" t="s">
        <v>168</v>
      </c>
      <c r="E26" s="196" t="s">
        <v>168</v>
      </c>
      <c r="F26" s="196" t="s">
        <v>168</v>
      </c>
      <c r="G26" s="196" t="s">
        <v>168</v>
      </c>
      <c r="H26" s="196" t="s">
        <v>168</v>
      </c>
      <c r="I26" s="196" t="s">
        <v>168</v>
      </c>
      <c r="J26" s="196" t="s">
        <v>168</v>
      </c>
      <c r="K26" s="201" t="s">
        <v>226</v>
      </c>
      <c r="L26" s="190" t="s">
        <v>223</v>
      </c>
      <c r="M26" s="190" t="s">
        <v>226</v>
      </c>
      <c r="N26" s="197" t="s">
        <v>32</v>
      </c>
      <c r="O26" s="198"/>
      <c r="P26" s="198"/>
      <c r="Q26" s="199" t="s">
        <v>31</v>
      </c>
      <c r="R26" s="200"/>
    </row>
    <row r="27" spans="2:18">
      <c r="B27" s="188" t="s">
        <v>268</v>
      </c>
      <c r="C27" s="196" t="s">
        <v>168</v>
      </c>
      <c r="D27" s="196" t="s">
        <v>168</v>
      </c>
      <c r="E27" s="196" t="s">
        <v>168</v>
      </c>
      <c r="F27" s="196" t="s">
        <v>168</v>
      </c>
      <c r="G27" s="196" t="s">
        <v>168</v>
      </c>
      <c r="H27" s="196" t="s">
        <v>168</v>
      </c>
      <c r="I27" s="196" t="s">
        <v>168</v>
      </c>
      <c r="J27" s="196" t="s">
        <v>168</v>
      </c>
      <c r="K27" s="201" t="s">
        <v>226</v>
      </c>
      <c r="L27" s="190" t="s">
        <v>223</v>
      </c>
      <c r="M27" s="190" t="s">
        <v>233</v>
      </c>
      <c r="N27" s="197" t="s">
        <v>32</v>
      </c>
      <c r="O27" s="198"/>
      <c r="P27" s="198"/>
      <c r="Q27" s="199" t="s">
        <v>31</v>
      </c>
      <c r="R27" s="200"/>
    </row>
    <row r="28" spans="2:18">
      <c r="B28" s="188" t="s">
        <v>269</v>
      </c>
      <c r="C28" s="196" t="s">
        <v>168</v>
      </c>
      <c r="D28" s="196" t="s">
        <v>168</v>
      </c>
      <c r="E28" s="196" t="s">
        <v>168</v>
      </c>
      <c r="F28" s="196" t="s">
        <v>168</v>
      </c>
      <c r="G28" s="196" t="s">
        <v>168</v>
      </c>
      <c r="H28" s="196" t="s">
        <v>168</v>
      </c>
      <c r="I28" s="196" t="s">
        <v>168</v>
      </c>
      <c r="J28" s="196" t="s">
        <v>168</v>
      </c>
      <c r="K28" s="201" t="s">
        <v>226</v>
      </c>
      <c r="L28" s="190" t="s">
        <v>216</v>
      </c>
      <c r="M28" s="190" t="s">
        <v>226</v>
      </c>
      <c r="N28" s="197" t="s">
        <v>32</v>
      </c>
      <c r="O28" s="198"/>
      <c r="P28" s="198"/>
      <c r="Q28" s="199" t="s">
        <v>31</v>
      </c>
      <c r="R28" s="200"/>
    </row>
    <row r="29" spans="2:18">
      <c r="B29" s="188" t="s">
        <v>270</v>
      </c>
      <c r="C29" s="196" t="s">
        <v>168</v>
      </c>
      <c r="D29" s="196" t="s">
        <v>168</v>
      </c>
      <c r="E29" s="196" t="s">
        <v>168</v>
      </c>
      <c r="F29" s="196" t="s">
        <v>168</v>
      </c>
      <c r="G29" s="196" t="s">
        <v>168</v>
      </c>
      <c r="H29" s="196" t="s">
        <v>168</v>
      </c>
      <c r="I29" s="196" t="s">
        <v>168</v>
      </c>
      <c r="J29" s="196" t="s">
        <v>168</v>
      </c>
      <c r="K29" s="201" t="s">
        <v>226</v>
      </c>
      <c r="L29" s="190" t="s">
        <v>216</v>
      </c>
      <c r="M29" s="190" t="s">
        <v>233</v>
      </c>
      <c r="N29" s="197" t="s">
        <v>32</v>
      </c>
      <c r="O29" s="198"/>
      <c r="P29" s="198"/>
      <c r="Q29" s="199" t="s">
        <v>31</v>
      </c>
      <c r="R29" s="200"/>
    </row>
    <row r="30" spans="2:18">
      <c r="B30" s="188" t="s">
        <v>267</v>
      </c>
      <c r="C30" s="196" t="s">
        <v>168</v>
      </c>
      <c r="D30" s="196" t="s">
        <v>168</v>
      </c>
      <c r="E30" s="196" t="s">
        <v>168</v>
      </c>
      <c r="F30" s="196" t="s">
        <v>168</v>
      </c>
      <c r="G30" s="196" t="s">
        <v>168</v>
      </c>
      <c r="H30" s="196" t="s">
        <v>168</v>
      </c>
      <c r="I30" s="196" t="s">
        <v>168</v>
      </c>
      <c r="J30" s="196" t="s">
        <v>168</v>
      </c>
      <c r="K30" s="201" t="s">
        <v>226</v>
      </c>
      <c r="L30" s="190" t="s">
        <v>217</v>
      </c>
      <c r="M30" s="190" t="s">
        <v>226</v>
      </c>
      <c r="N30" s="197" t="s">
        <v>32</v>
      </c>
      <c r="O30" s="198"/>
      <c r="P30" s="198"/>
      <c r="Q30" s="199" t="s">
        <v>31</v>
      </c>
      <c r="R30" s="200"/>
    </row>
    <row r="31" spans="2:18">
      <c r="B31" s="188" t="s">
        <v>268</v>
      </c>
      <c r="C31" s="196" t="s">
        <v>168</v>
      </c>
      <c r="D31" s="196" t="s">
        <v>168</v>
      </c>
      <c r="E31" s="196" t="s">
        <v>168</v>
      </c>
      <c r="F31" s="196" t="s">
        <v>168</v>
      </c>
      <c r="G31" s="196" t="s">
        <v>168</v>
      </c>
      <c r="H31" s="196" t="s">
        <v>168</v>
      </c>
      <c r="I31" s="196" t="s">
        <v>168</v>
      </c>
      <c r="J31" s="196" t="s">
        <v>168</v>
      </c>
      <c r="K31" s="201" t="s">
        <v>226</v>
      </c>
      <c r="L31" s="190" t="s">
        <v>217</v>
      </c>
      <c r="M31" s="190" t="s">
        <v>233</v>
      </c>
      <c r="N31" s="197" t="s">
        <v>32</v>
      </c>
      <c r="O31" s="198"/>
      <c r="P31" s="198"/>
      <c r="Q31" s="199" t="s">
        <v>31</v>
      </c>
      <c r="R31" s="200"/>
    </row>
    <row r="32" spans="2:18">
      <c r="B32" s="188" t="s">
        <v>267</v>
      </c>
      <c r="C32" s="196" t="s">
        <v>168</v>
      </c>
      <c r="D32" s="196" t="s">
        <v>168</v>
      </c>
      <c r="E32" s="196" t="s">
        <v>168</v>
      </c>
      <c r="F32" s="196" t="s">
        <v>168</v>
      </c>
      <c r="G32" s="196" t="s">
        <v>168</v>
      </c>
      <c r="H32" s="196" t="s">
        <v>168</v>
      </c>
      <c r="I32" s="196" t="s">
        <v>168</v>
      </c>
      <c r="J32" s="196" t="s">
        <v>168</v>
      </c>
      <c r="K32" s="201" t="s">
        <v>226</v>
      </c>
      <c r="L32" s="190" t="s">
        <v>218</v>
      </c>
      <c r="M32" s="190" t="s">
        <v>226</v>
      </c>
      <c r="N32" s="197" t="s">
        <v>32</v>
      </c>
      <c r="O32" s="198"/>
      <c r="P32" s="198"/>
      <c r="Q32" s="199" t="s">
        <v>31</v>
      </c>
      <c r="R32" s="200"/>
    </row>
    <row r="33" spans="2:49">
      <c r="B33" s="188" t="s">
        <v>268</v>
      </c>
      <c r="C33" s="196" t="s">
        <v>168</v>
      </c>
      <c r="D33" s="196" t="s">
        <v>168</v>
      </c>
      <c r="E33" s="196" t="s">
        <v>168</v>
      </c>
      <c r="F33" s="196" t="s">
        <v>168</v>
      </c>
      <c r="G33" s="196" t="s">
        <v>168</v>
      </c>
      <c r="H33" s="196" t="s">
        <v>168</v>
      </c>
      <c r="I33" s="196" t="s">
        <v>168</v>
      </c>
      <c r="J33" s="196" t="s">
        <v>168</v>
      </c>
      <c r="K33" s="201" t="s">
        <v>226</v>
      </c>
      <c r="L33" s="190" t="s">
        <v>218</v>
      </c>
      <c r="M33" s="190" t="s">
        <v>233</v>
      </c>
      <c r="N33" s="197" t="s">
        <v>32</v>
      </c>
      <c r="O33" s="198"/>
      <c r="P33" s="198"/>
      <c r="Q33" s="199" t="s">
        <v>31</v>
      </c>
      <c r="R33" s="200"/>
    </row>
    <row r="34" spans="2:49">
      <c r="B34" s="188" t="s">
        <v>267</v>
      </c>
      <c r="C34" s="196" t="s">
        <v>168</v>
      </c>
      <c r="D34" s="196" t="s">
        <v>168</v>
      </c>
      <c r="E34" s="196" t="s">
        <v>168</v>
      </c>
      <c r="F34" s="196" t="s">
        <v>168</v>
      </c>
      <c r="G34" s="196" t="s">
        <v>168</v>
      </c>
      <c r="H34" s="196" t="s">
        <v>168</v>
      </c>
      <c r="I34" s="196" t="s">
        <v>168</v>
      </c>
      <c r="J34" s="196" t="s">
        <v>168</v>
      </c>
      <c r="K34" s="201" t="s">
        <v>226</v>
      </c>
      <c r="L34" s="190" t="s">
        <v>219</v>
      </c>
      <c r="M34" s="190" t="s">
        <v>226</v>
      </c>
      <c r="N34" s="197" t="s">
        <v>32</v>
      </c>
      <c r="O34" s="198"/>
      <c r="P34" s="198"/>
      <c r="Q34" s="199" t="s">
        <v>31</v>
      </c>
      <c r="R34" s="200"/>
    </row>
    <row r="35" spans="2:49">
      <c r="B35" s="188" t="s">
        <v>268</v>
      </c>
      <c r="C35" s="196" t="s">
        <v>168</v>
      </c>
      <c r="D35" s="196" t="s">
        <v>168</v>
      </c>
      <c r="E35" s="196" t="s">
        <v>168</v>
      </c>
      <c r="F35" s="196" t="s">
        <v>168</v>
      </c>
      <c r="G35" s="196" t="s">
        <v>168</v>
      </c>
      <c r="H35" s="196" t="s">
        <v>168</v>
      </c>
      <c r="I35" s="196" t="s">
        <v>168</v>
      </c>
      <c r="J35" s="196" t="s">
        <v>168</v>
      </c>
      <c r="K35" s="201" t="s">
        <v>226</v>
      </c>
      <c r="L35" s="190" t="s">
        <v>219</v>
      </c>
      <c r="M35" s="190" t="s">
        <v>233</v>
      </c>
      <c r="N35" s="197" t="s">
        <v>32</v>
      </c>
      <c r="O35" s="198"/>
      <c r="P35" s="198"/>
      <c r="Q35" s="199" t="s">
        <v>31</v>
      </c>
      <c r="R35" s="200"/>
    </row>
    <row r="36" spans="2:49">
      <c r="B36" s="188" t="s">
        <v>267</v>
      </c>
      <c r="C36" s="196" t="s">
        <v>168</v>
      </c>
      <c r="D36" s="196" t="s">
        <v>168</v>
      </c>
      <c r="E36" s="196" t="s">
        <v>168</v>
      </c>
      <c r="F36" s="196" t="s">
        <v>168</v>
      </c>
      <c r="G36" s="196" t="s">
        <v>168</v>
      </c>
      <c r="H36" s="196" t="s">
        <v>168</v>
      </c>
      <c r="I36" s="196" t="s">
        <v>168</v>
      </c>
      <c r="J36" s="196" t="s">
        <v>168</v>
      </c>
      <c r="K36" s="201" t="s">
        <v>226</v>
      </c>
      <c r="L36" s="190" t="s">
        <v>220</v>
      </c>
      <c r="M36" s="190" t="s">
        <v>226</v>
      </c>
      <c r="N36" s="197" t="s">
        <v>32</v>
      </c>
      <c r="O36" s="198"/>
      <c r="P36" s="198"/>
      <c r="Q36" s="199" t="s">
        <v>31</v>
      </c>
      <c r="R36" s="200"/>
    </row>
    <row r="37" spans="2:49">
      <c r="B37" s="188" t="s">
        <v>268</v>
      </c>
      <c r="C37" s="196" t="s">
        <v>168</v>
      </c>
      <c r="D37" s="196" t="s">
        <v>168</v>
      </c>
      <c r="E37" s="196" t="s">
        <v>168</v>
      </c>
      <c r="F37" s="196" t="s">
        <v>168</v>
      </c>
      <c r="G37" s="196" t="s">
        <v>168</v>
      </c>
      <c r="H37" s="196" t="s">
        <v>168</v>
      </c>
      <c r="I37" s="196" t="s">
        <v>168</v>
      </c>
      <c r="J37" s="196" t="s">
        <v>168</v>
      </c>
      <c r="K37" s="201" t="s">
        <v>226</v>
      </c>
      <c r="L37" s="190" t="s">
        <v>220</v>
      </c>
      <c r="M37" s="190" t="s">
        <v>233</v>
      </c>
      <c r="N37" s="197" t="s">
        <v>32</v>
      </c>
      <c r="O37" s="198"/>
      <c r="P37" s="198"/>
      <c r="Q37" s="199" t="s">
        <v>31</v>
      </c>
      <c r="R37" s="200"/>
    </row>
    <row r="38" spans="2:49">
      <c r="B38" s="188" t="s">
        <v>267</v>
      </c>
      <c r="C38" s="196" t="s">
        <v>168</v>
      </c>
      <c r="D38" s="196" t="s">
        <v>168</v>
      </c>
      <c r="E38" s="196" t="s">
        <v>168</v>
      </c>
      <c r="F38" s="196" t="s">
        <v>168</v>
      </c>
      <c r="G38" s="196" t="s">
        <v>168</v>
      </c>
      <c r="H38" s="196" t="s">
        <v>168</v>
      </c>
      <c r="I38" s="196" t="s">
        <v>168</v>
      </c>
      <c r="J38" s="196" t="s">
        <v>168</v>
      </c>
      <c r="K38" s="201" t="s">
        <v>226</v>
      </c>
      <c r="L38" s="190" t="s">
        <v>221</v>
      </c>
      <c r="M38" s="190" t="s">
        <v>226</v>
      </c>
      <c r="N38" s="197" t="s">
        <v>32</v>
      </c>
      <c r="O38" s="198"/>
      <c r="P38" s="198"/>
      <c r="Q38" s="199" t="s">
        <v>31</v>
      </c>
      <c r="R38" s="200"/>
    </row>
    <row r="39" spans="2:49">
      <c r="B39" s="188" t="s">
        <v>268</v>
      </c>
      <c r="C39" s="196" t="s">
        <v>168</v>
      </c>
      <c r="D39" s="196" t="s">
        <v>168</v>
      </c>
      <c r="E39" s="196" t="s">
        <v>168</v>
      </c>
      <c r="F39" s="196" t="s">
        <v>168</v>
      </c>
      <c r="G39" s="196" t="s">
        <v>168</v>
      </c>
      <c r="H39" s="196" t="s">
        <v>168</v>
      </c>
      <c r="I39" s="196" t="s">
        <v>168</v>
      </c>
      <c r="J39" s="196" t="s">
        <v>168</v>
      </c>
      <c r="K39" s="201" t="s">
        <v>226</v>
      </c>
      <c r="L39" s="190" t="s">
        <v>221</v>
      </c>
      <c r="M39" s="190" t="s">
        <v>233</v>
      </c>
      <c r="N39" s="197" t="s">
        <v>32</v>
      </c>
      <c r="O39" s="198"/>
      <c r="P39" s="198"/>
      <c r="Q39" s="199" t="s">
        <v>31</v>
      </c>
      <c r="R39" s="200"/>
    </row>
    <row r="40" spans="2:49">
      <c r="B40" s="188" t="s">
        <v>267</v>
      </c>
      <c r="C40" s="196" t="s">
        <v>168</v>
      </c>
      <c r="D40" s="196" t="s">
        <v>168</v>
      </c>
      <c r="E40" s="196" t="s">
        <v>168</v>
      </c>
      <c r="F40" s="196" t="s">
        <v>168</v>
      </c>
      <c r="G40" s="196" t="s">
        <v>168</v>
      </c>
      <c r="H40" s="196" t="s">
        <v>168</v>
      </c>
      <c r="I40" s="196" t="s">
        <v>168</v>
      </c>
      <c r="J40" s="196" t="s">
        <v>168</v>
      </c>
      <c r="K40" s="201" t="s">
        <v>226</v>
      </c>
      <c r="L40" s="190" t="s">
        <v>222</v>
      </c>
      <c r="M40" s="190" t="s">
        <v>226</v>
      </c>
      <c r="N40" s="197" t="s">
        <v>32</v>
      </c>
      <c r="O40" s="198"/>
      <c r="P40" s="198"/>
      <c r="Q40" s="199" t="s">
        <v>31</v>
      </c>
      <c r="R40" s="200"/>
      <c r="W40" s="147" t="s">
        <v>211</v>
      </c>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row>
    <row r="41" spans="2:49">
      <c r="B41" s="188" t="s">
        <v>268</v>
      </c>
      <c r="C41" s="196" t="s">
        <v>168</v>
      </c>
      <c r="D41" s="196" t="s">
        <v>168</v>
      </c>
      <c r="E41" s="196" t="s">
        <v>168</v>
      </c>
      <c r="F41" s="196" t="s">
        <v>168</v>
      </c>
      <c r="G41" s="196" t="s">
        <v>168</v>
      </c>
      <c r="H41" s="196" t="s">
        <v>168</v>
      </c>
      <c r="I41" s="196" t="s">
        <v>168</v>
      </c>
      <c r="J41" s="196" t="s">
        <v>168</v>
      </c>
      <c r="K41" s="201" t="s">
        <v>226</v>
      </c>
      <c r="L41" s="190" t="s">
        <v>222</v>
      </c>
      <c r="M41" s="190" t="s">
        <v>233</v>
      </c>
      <c r="N41" s="197" t="s">
        <v>32</v>
      </c>
      <c r="O41" s="198"/>
      <c r="P41" s="198"/>
      <c r="Q41" s="199" t="s">
        <v>31</v>
      </c>
      <c r="R41" s="200"/>
    </row>
    <row r="42" spans="2:49">
      <c r="B42" s="188" t="s">
        <v>271</v>
      </c>
      <c r="C42" s="196" t="s">
        <v>168</v>
      </c>
      <c r="D42" s="196" t="s">
        <v>168</v>
      </c>
      <c r="E42" s="196" t="s">
        <v>168</v>
      </c>
      <c r="F42" s="196" t="s">
        <v>168</v>
      </c>
      <c r="G42" s="196" t="s">
        <v>168</v>
      </c>
      <c r="H42" s="196" t="s">
        <v>168</v>
      </c>
      <c r="I42" s="196" t="s">
        <v>168</v>
      </c>
      <c r="J42" s="196" t="s">
        <v>168</v>
      </c>
      <c r="K42" s="201" t="s">
        <v>208</v>
      </c>
      <c r="L42" s="202" t="s">
        <v>235</v>
      </c>
      <c r="M42" s="202" t="s">
        <v>234</v>
      </c>
      <c r="N42" s="197" t="s">
        <v>32</v>
      </c>
      <c r="O42" s="198"/>
      <c r="P42" s="198"/>
      <c r="Q42" s="199" t="s">
        <v>31</v>
      </c>
      <c r="R42" s="200"/>
    </row>
    <row r="43" spans="2:49" ht="14.25" thickBot="1">
      <c r="B43" s="203" t="s">
        <v>307</v>
      </c>
      <c r="C43" s="204" t="s">
        <v>168</v>
      </c>
      <c r="D43" s="204" t="s">
        <v>168</v>
      </c>
      <c r="E43" s="204" t="s">
        <v>168</v>
      </c>
      <c r="F43" s="204" t="s">
        <v>168</v>
      </c>
      <c r="G43" s="204" t="s">
        <v>168</v>
      </c>
      <c r="H43" s="204" t="s">
        <v>168</v>
      </c>
      <c r="I43" s="204" t="s">
        <v>168</v>
      </c>
      <c r="J43" s="204" t="s">
        <v>168</v>
      </c>
      <c r="K43" s="206" t="s">
        <v>209</v>
      </c>
      <c r="L43" s="205" t="s">
        <v>235</v>
      </c>
      <c r="M43" s="205" t="s">
        <v>234</v>
      </c>
      <c r="N43" s="207" t="s">
        <v>32</v>
      </c>
      <c r="O43" s="208"/>
      <c r="P43" s="208"/>
      <c r="Q43" s="209" t="s">
        <v>31</v>
      </c>
      <c r="R43" s="210"/>
    </row>
    <row r="50" spans="2:21" ht="15" thickBot="1">
      <c r="B50" s="146" t="s">
        <v>272</v>
      </c>
    </row>
    <row r="51" spans="2:21" ht="15" thickBot="1">
      <c r="B51" s="149" t="s">
        <v>123</v>
      </c>
      <c r="C51" s="228" t="s">
        <v>215</v>
      </c>
      <c r="D51" s="229"/>
      <c r="E51" s="229"/>
      <c r="F51" s="229"/>
      <c r="G51" s="229"/>
      <c r="H51" s="229"/>
      <c r="I51" s="229"/>
      <c r="J51" s="230"/>
      <c r="K51" s="150"/>
      <c r="L51" s="150"/>
      <c r="M51" s="150"/>
      <c r="N51" s="150"/>
      <c r="O51" s="150"/>
      <c r="P51" s="150"/>
      <c r="Q51" s="151"/>
      <c r="R51" s="152"/>
      <c r="S51" s="152"/>
      <c r="T51" s="152"/>
      <c r="U51" s="153"/>
    </row>
    <row r="52" spans="2:21">
      <c r="B52" s="154"/>
      <c r="C52" s="155" t="s">
        <v>158</v>
      </c>
      <c r="D52" s="155"/>
      <c r="E52" s="155"/>
      <c r="F52" s="155"/>
      <c r="G52" s="155"/>
      <c r="H52" s="155"/>
      <c r="I52" s="155"/>
      <c r="J52" s="155"/>
      <c r="K52" s="156"/>
      <c r="L52" s="155"/>
      <c r="M52" s="155"/>
      <c r="N52" s="155"/>
      <c r="O52" s="155"/>
      <c r="P52" s="155"/>
      <c r="Q52" s="157" t="s">
        <v>51</v>
      </c>
      <c r="R52" s="158" t="s">
        <v>20</v>
      </c>
      <c r="S52" s="159"/>
      <c r="T52" s="159"/>
      <c r="U52" s="160"/>
    </row>
    <row r="53" spans="2:21">
      <c r="B53" s="161" t="s">
        <v>21</v>
      </c>
      <c r="C53" s="224" t="s">
        <v>177</v>
      </c>
      <c r="D53" s="225"/>
      <c r="E53" s="225"/>
      <c r="F53" s="225"/>
      <c r="G53" s="225"/>
      <c r="H53" s="225"/>
      <c r="I53" s="225"/>
      <c r="J53" s="226"/>
      <c r="K53" s="217" t="s">
        <v>279</v>
      </c>
      <c r="L53" s="218"/>
      <c r="M53" s="222"/>
      <c r="N53" s="215" t="s">
        <v>273</v>
      </c>
      <c r="O53" s="166" t="s">
        <v>22</v>
      </c>
      <c r="P53" s="165" t="s">
        <v>273</v>
      </c>
      <c r="Q53" s="167" t="s">
        <v>255</v>
      </c>
      <c r="R53" s="168" t="s">
        <v>23</v>
      </c>
      <c r="S53" s="168" t="s">
        <v>24</v>
      </c>
      <c r="T53" s="169" t="s">
        <v>25</v>
      </c>
      <c r="U53" s="170" t="s">
        <v>26</v>
      </c>
    </row>
    <row r="54" spans="2:21">
      <c r="B54" s="161" t="s">
        <v>33</v>
      </c>
      <c r="C54" s="171" t="s">
        <v>127</v>
      </c>
      <c r="D54" s="171" t="s">
        <v>127</v>
      </c>
      <c r="E54" s="171" t="s">
        <v>127</v>
      </c>
      <c r="F54" s="171" t="s">
        <v>127</v>
      </c>
      <c r="G54" s="171" t="s">
        <v>127</v>
      </c>
      <c r="H54" s="171" t="s">
        <v>127</v>
      </c>
      <c r="I54" s="171" t="s">
        <v>127</v>
      </c>
      <c r="J54" s="171" t="s">
        <v>127</v>
      </c>
      <c r="K54" s="213" t="s">
        <v>127</v>
      </c>
      <c r="L54" s="213" t="s">
        <v>127</v>
      </c>
      <c r="M54" s="219" t="s">
        <v>127</v>
      </c>
      <c r="N54" s="213" t="s">
        <v>127</v>
      </c>
      <c r="O54" s="172" t="s">
        <v>232</v>
      </c>
      <c r="P54" s="172" t="s">
        <v>31</v>
      </c>
      <c r="Q54" s="167" t="s">
        <v>205</v>
      </c>
      <c r="R54" s="174"/>
      <c r="S54" s="174"/>
      <c r="T54" s="175"/>
      <c r="U54" s="170"/>
    </row>
    <row r="55" spans="2:21" ht="27">
      <c r="B55" s="176" t="s">
        <v>27</v>
      </c>
      <c r="C55" s="227" t="s">
        <v>35</v>
      </c>
      <c r="D55" s="225"/>
      <c r="E55" s="225"/>
      <c r="F55" s="225"/>
      <c r="G55" s="225"/>
      <c r="H55" s="225"/>
      <c r="I55" s="225"/>
      <c r="J55" s="226"/>
      <c r="K55" s="214" t="s">
        <v>284</v>
      </c>
      <c r="L55" s="214" t="s">
        <v>281</v>
      </c>
      <c r="M55" s="220" t="s">
        <v>280</v>
      </c>
      <c r="N55" s="215" t="s">
        <v>276</v>
      </c>
      <c r="O55" s="178" t="s">
        <v>274</v>
      </c>
      <c r="P55" s="178" t="s">
        <v>263</v>
      </c>
      <c r="Q55" s="179"/>
      <c r="R55" s="174"/>
      <c r="S55" s="174"/>
      <c r="T55" s="175"/>
      <c r="U55" s="170"/>
    </row>
    <row r="56" spans="2:21" ht="136.5">
      <c r="B56" s="161" t="s">
        <v>28</v>
      </c>
      <c r="C56" s="180" t="s">
        <v>161</v>
      </c>
      <c r="D56" s="180" t="s">
        <v>62</v>
      </c>
      <c r="E56" s="180" t="s">
        <v>162</v>
      </c>
      <c r="F56" s="180" t="s">
        <v>163</v>
      </c>
      <c r="G56" s="180" t="s">
        <v>164</v>
      </c>
      <c r="H56" s="180" t="s">
        <v>165</v>
      </c>
      <c r="I56" s="180" t="s">
        <v>166</v>
      </c>
      <c r="J56" s="180" t="s">
        <v>167</v>
      </c>
      <c r="K56" s="231" t="s">
        <v>310</v>
      </c>
      <c r="L56" s="215" t="s">
        <v>127</v>
      </c>
      <c r="M56" s="217" t="s">
        <v>282</v>
      </c>
      <c r="N56" s="215" t="s">
        <v>277</v>
      </c>
      <c r="O56" s="178" t="s">
        <v>262</v>
      </c>
      <c r="P56" s="166" t="s">
        <v>263</v>
      </c>
      <c r="Q56" s="167" t="s">
        <v>29</v>
      </c>
      <c r="R56" s="174"/>
      <c r="S56" s="174"/>
      <c r="T56" s="175"/>
      <c r="U56" s="170"/>
    </row>
    <row r="57" spans="2:21" ht="54.75" thickBot="1">
      <c r="B57" s="181" t="s">
        <v>30</v>
      </c>
      <c r="C57" s="182" t="s">
        <v>169</v>
      </c>
      <c r="D57" s="182" t="s">
        <v>127</v>
      </c>
      <c r="E57" s="182" t="s">
        <v>169</v>
      </c>
      <c r="F57" s="182" t="s">
        <v>169</v>
      </c>
      <c r="G57" s="182" t="s">
        <v>169</v>
      </c>
      <c r="H57" s="182" t="s">
        <v>169</v>
      </c>
      <c r="I57" s="182" t="s">
        <v>169</v>
      </c>
      <c r="J57" s="182" t="s">
        <v>169</v>
      </c>
      <c r="K57" s="216" t="s">
        <v>311</v>
      </c>
      <c r="L57" s="216" t="s">
        <v>295</v>
      </c>
      <c r="M57" s="221" t="s">
        <v>283</v>
      </c>
      <c r="N57" s="216" t="s">
        <v>278</v>
      </c>
      <c r="O57" s="183" t="s">
        <v>252</v>
      </c>
      <c r="P57" s="183" t="s">
        <v>275</v>
      </c>
      <c r="Q57" s="184" t="s">
        <v>250</v>
      </c>
      <c r="R57" s="185"/>
      <c r="S57" s="185"/>
      <c r="T57" s="186" t="s">
        <v>251</v>
      </c>
      <c r="U57" s="187"/>
    </row>
    <row r="58" spans="2:21" ht="14.25" thickTop="1">
      <c r="B58" s="188" t="s">
        <v>293</v>
      </c>
      <c r="C58" s="189" t="s">
        <v>168</v>
      </c>
      <c r="D58" s="189" t="s">
        <v>168</v>
      </c>
      <c r="E58" s="189" t="s">
        <v>168</v>
      </c>
      <c r="F58" s="189" t="s">
        <v>168</v>
      </c>
      <c r="G58" s="189" t="s">
        <v>168</v>
      </c>
      <c r="H58" s="189" t="s">
        <v>168</v>
      </c>
      <c r="I58" s="189" t="s">
        <v>168</v>
      </c>
      <c r="J58" s="189" t="s">
        <v>168</v>
      </c>
      <c r="K58" s="191" t="s">
        <v>226</v>
      </c>
      <c r="L58" s="191" t="s">
        <v>234</v>
      </c>
      <c r="M58" s="191" t="s">
        <v>234</v>
      </c>
      <c r="N58" s="191" t="s">
        <v>234</v>
      </c>
      <c r="O58" s="190" t="s">
        <v>286</v>
      </c>
      <c r="P58" s="190" t="s">
        <v>234</v>
      </c>
      <c r="Q58" s="197" t="s">
        <v>32</v>
      </c>
      <c r="R58" s="193"/>
      <c r="S58" s="193"/>
      <c r="T58" s="194" t="s">
        <v>31</v>
      </c>
      <c r="U58" s="195"/>
    </row>
    <row r="59" spans="2:21">
      <c r="B59" s="188" t="s">
        <v>294</v>
      </c>
      <c r="C59" s="196" t="s">
        <v>168</v>
      </c>
      <c r="D59" s="196" t="s">
        <v>168</v>
      </c>
      <c r="E59" s="196" t="s">
        <v>168</v>
      </c>
      <c r="F59" s="196" t="s">
        <v>168</v>
      </c>
      <c r="G59" s="196" t="s">
        <v>168</v>
      </c>
      <c r="H59" s="196" t="s">
        <v>168</v>
      </c>
      <c r="I59" s="196" t="s">
        <v>168</v>
      </c>
      <c r="J59" s="196" t="s">
        <v>168</v>
      </c>
      <c r="K59" s="201" t="s">
        <v>233</v>
      </c>
      <c r="L59" s="201" t="s">
        <v>226</v>
      </c>
      <c r="M59" s="201" t="s">
        <v>234</v>
      </c>
      <c r="N59" s="201" t="s">
        <v>234</v>
      </c>
      <c r="O59" s="190" t="s">
        <v>286</v>
      </c>
      <c r="P59" s="190" t="s">
        <v>234</v>
      </c>
      <c r="Q59" s="197" t="s">
        <v>32</v>
      </c>
      <c r="R59" s="198"/>
      <c r="S59" s="198"/>
      <c r="T59" s="199" t="s">
        <v>31</v>
      </c>
      <c r="U59" s="200"/>
    </row>
    <row r="60" spans="2:21">
      <c r="B60" s="188" t="s">
        <v>296</v>
      </c>
      <c r="C60" s="196" t="s">
        <v>168</v>
      </c>
      <c r="D60" s="196" t="s">
        <v>168</v>
      </c>
      <c r="E60" s="196" t="s">
        <v>168</v>
      </c>
      <c r="F60" s="196" t="s">
        <v>168</v>
      </c>
      <c r="G60" s="196" t="s">
        <v>168</v>
      </c>
      <c r="H60" s="196" t="s">
        <v>168</v>
      </c>
      <c r="I60" s="196" t="s">
        <v>168</v>
      </c>
      <c r="J60" s="196" t="s">
        <v>168</v>
      </c>
      <c r="K60" s="201" t="s">
        <v>233</v>
      </c>
      <c r="L60" s="201" t="s">
        <v>233</v>
      </c>
      <c r="M60" s="201" t="s">
        <v>226</v>
      </c>
      <c r="N60" s="201" t="s">
        <v>234</v>
      </c>
      <c r="O60" s="190" t="s">
        <v>286</v>
      </c>
      <c r="P60" s="190" t="s">
        <v>234</v>
      </c>
      <c r="Q60" s="197" t="s">
        <v>32</v>
      </c>
      <c r="R60" s="198"/>
      <c r="S60" s="198"/>
      <c r="T60" s="199" t="s">
        <v>31</v>
      </c>
      <c r="U60" s="200"/>
    </row>
    <row r="61" spans="2:21">
      <c r="B61" s="188" t="s">
        <v>297</v>
      </c>
      <c r="C61" s="196" t="s">
        <v>168</v>
      </c>
      <c r="D61" s="196" t="s">
        <v>168</v>
      </c>
      <c r="E61" s="196" t="s">
        <v>168</v>
      </c>
      <c r="F61" s="196" t="s">
        <v>168</v>
      </c>
      <c r="G61" s="196" t="s">
        <v>168</v>
      </c>
      <c r="H61" s="196" t="s">
        <v>168</v>
      </c>
      <c r="I61" s="196" t="s">
        <v>168</v>
      </c>
      <c r="J61" s="196" t="s">
        <v>168</v>
      </c>
      <c r="K61" s="201" t="s">
        <v>233</v>
      </c>
      <c r="L61" s="201" t="s">
        <v>233</v>
      </c>
      <c r="M61" s="201" t="s">
        <v>233</v>
      </c>
      <c r="N61" s="201" t="s">
        <v>226</v>
      </c>
      <c r="O61" s="190" t="s">
        <v>286</v>
      </c>
      <c r="P61" s="190" t="s">
        <v>234</v>
      </c>
      <c r="Q61" s="197" t="s">
        <v>32</v>
      </c>
      <c r="R61" s="198"/>
      <c r="S61" s="198"/>
      <c r="T61" s="199" t="s">
        <v>31</v>
      </c>
      <c r="U61" s="200"/>
    </row>
    <row r="62" spans="2:21">
      <c r="B62" s="188" t="s">
        <v>298</v>
      </c>
      <c r="C62" s="196" t="s">
        <v>168</v>
      </c>
      <c r="D62" s="196" t="s">
        <v>168</v>
      </c>
      <c r="E62" s="196" t="s">
        <v>168</v>
      </c>
      <c r="F62" s="196" t="s">
        <v>168</v>
      </c>
      <c r="G62" s="196" t="s">
        <v>168</v>
      </c>
      <c r="H62" s="196" t="s">
        <v>168</v>
      </c>
      <c r="I62" s="196" t="s">
        <v>168</v>
      </c>
      <c r="J62" s="196" t="s">
        <v>168</v>
      </c>
      <c r="K62" s="201" t="s">
        <v>233</v>
      </c>
      <c r="L62" s="201" t="s">
        <v>233</v>
      </c>
      <c r="M62" s="201" t="s">
        <v>233</v>
      </c>
      <c r="N62" s="201" t="s">
        <v>233</v>
      </c>
      <c r="O62" s="190" t="s">
        <v>253</v>
      </c>
      <c r="P62" s="190" t="s">
        <v>226</v>
      </c>
      <c r="Q62" s="197" t="s">
        <v>32</v>
      </c>
      <c r="R62" s="198"/>
      <c r="S62" s="198"/>
      <c r="T62" s="199" t="s">
        <v>31</v>
      </c>
      <c r="U62" s="200"/>
    </row>
    <row r="63" spans="2:21">
      <c r="B63" s="188" t="s">
        <v>299</v>
      </c>
      <c r="C63" s="196" t="s">
        <v>168</v>
      </c>
      <c r="D63" s="196" t="s">
        <v>168</v>
      </c>
      <c r="E63" s="196" t="s">
        <v>168</v>
      </c>
      <c r="F63" s="196" t="s">
        <v>168</v>
      </c>
      <c r="G63" s="196" t="s">
        <v>168</v>
      </c>
      <c r="H63" s="196" t="s">
        <v>168</v>
      </c>
      <c r="I63" s="196" t="s">
        <v>168</v>
      </c>
      <c r="J63" s="196" t="s">
        <v>168</v>
      </c>
      <c r="K63" s="201" t="s">
        <v>233</v>
      </c>
      <c r="L63" s="201" t="s">
        <v>233</v>
      </c>
      <c r="M63" s="201" t="s">
        <v>233</v>
      </c>
      <c r="N63" s="201" t="s">
        <v>233</v>
      </c>
      <c r="O63" s="190" t="s">
        <v>253</v>
      </c>
      <c r="P63" s="190" t="s">
        <v>233</v>
      </c>
      <c r="Q63" s="197" t="s">
        <v>239</v>
      </c>
      <c r="R63" s="198"/>
      <c r="S63" s="198"/>
      <c r="T63" s="199" t="s">
        <v>225</v>
      </c>
      <c r="U63" s="200"/>
    </row>
    <row r="64" spans="2:21">
      <c r="B64" s="188" t="s">
        <v>300</v>
      </c>
      <c r="C64" s="196" t="s">
        <v>168</v>
      </c>
      <c r="D64" s="196" t="s">
        <v>168</v>
      </c>
      <c r="E64" s="196" t="s">
        <v>168</v>
      </c>
      <c r="F64" s="196" t="s">
        <v>168</v>
      </c>
      <c r="G64" s="196" t="s">
        <v>168</v>
      </c>
      <c r="H64" s="196" t="s">
        <v>168</v>
      </c>
      <c r="I64" s="196" t="s">
        <v>168</v>
      </c>
      <c r="J64" s="196" t="s">
        <v>168</v>
      </c>
      <c r="K64" s="201" t="s">
        <v>233</v>
      </c>
      <c r="L64" s="201" t="s">
        <v>233</v>
      </c>
      <c r="M64" s="201" t="s">
        <v>233</v>
      </c>
      <c r="N64" s="201" t="s">
        <v>233</v>
      </c>
      <c r="O64" s="190" t="s">
        <v>287</v>
      </c>
      <c r="P64" s="190" t="s">
        <v>226</v>
      </c>
      <c r="Q64" s="197" t="s">
        <v>32</v>
      </c>
      <c r="R64" s="198"/>
      <c r="S64" s="198"/>
      <c r="T64" s="199" t="s">
        <v>31</v>
      </c>
      <c r="U64" s="200"/>
    </row>
    <row r="65" spans="2:21">
      <c r="B65" s="188" t="s">
        <v>301</v>
      </c>
      <c r="C65" s="196" t="s">
        <v>168</v>
      </c>
      <c r="D65" s="196" t="s">
        <v>168</v>
      </c>
      <c r="E65" s="196" t="s">
        <v>168</v>
      </c>
      <c r="F65" s="196" t="s">
        <v>168</v>
      </c>
      <c r="G65" s="196" t="s">
        <v>168</v>
      </c>
      <c r="H65" s="196" t="s">
        <v>168</v>
      </c>
      <c r="I65" s="196" t="s">
        <v>168</v>
      </c>
      <c r="J65" s="196" t="s">
        <v>168</v>
      </c>
      <c r="K65" s="201" t="s">
        <v>233</v>
      </c>
      <c r="L65" s="201" t="s">
        <v>233</v>
      </c>
      <c r="M65" s="201" t="s">
        <v>233</v>
      </c>
      <c r="N65" s="201" t="s">
        <v>233</v>
      </c>
      <c r="O65" s="190" t="s">
        <v>287</v>
      </c>
      <c r="P65" s="190" t="s">
        <v>233</v>
      </c>
      <c r="Q65" s="197" t="s">
        <v>32</v>
      </c>
      <c r="R65" s="198"/>
      <c r="S65" s="198"/>
      <c r="T65" s="199" t="s">
        <v>31</v>
      </c>
      <c r="U65" s="200"/>
    </row>
    <row r="66" spans="2:21">
      <c r="B66" s="188" t="s">
        <v>302</v>
      </c>
      <c r="C66" s="196" t="s">
        <v>168</v>
      </c>
      <c r="D66" s="196" t="s">
        <v>168</v>
      </c>
      <c r="E66" s="196" t="s">
        <v>168</v>
      </c>
      <c r="F66" s="196" t="s">
        <v>168</v>
      </c>
      <c r="G66" s="196" t="s">
        <v>168</v>
      </c>
      <c r="H66" s="196" t="s">
        <v>168</v>
      </c>
      <c r="I66" s="196" t="s">
        <v>168</v>
      </c>
      <c r="J66" s="196" t="s">
        <v>168</v>
      </c>
      <c r="K66" s="201" t="s">
        <v>233</v>
      </c>
      <c r="L66" s="201" t="s">
        <v>233</v>
      </c>
      <c r="M66" s="201" t="s">
        <v>233</v>
      </c>
      <c r="N66" s="201" t="s">
        <v>233</v>
      </c>
      <c r="O66" s="190" t="s">
        <v>288</v>
      </c>
      <c r="P66" s="190" t="s">
        <v>226</v>
      </c>
      <c r="Q66" s="197" t="s">
        <v>32</v>
      </c>
      <c r="R66" s="198"/>
      <c r="S66" s="198"/>
      <c r="T66" s="199" t="s">
        <v>31</v>
      </c>
      <c r="U66" s="200"/>
    </row>
    <row r="67" spans="2:21">
      <c r="B67" s="188" t="s">
        <v>303</v>
      </c>
      <c r="C67" s="196" t="s">
        <v>168</v>
      </c>
      <c r="D67" s="196" t="s">
        <v>168</v>
      </c>
      <c r="E67" s="196" t="s">
        <v>168</v>
      </c>
      <c r="F67" s="196" t="s">
        <v>168</v>
      </c>
      <c r="G67" s="196" t="s">
        <v>168</v>
      </c>
      <c r="H67" s="196" t="s">
        <v>168</v>
      </c>
      <c r="I67" s="196" t="s">
        <v>168</v>
      </c>
      <c r="J67" s="196" t="s">
        <v>168</v>
      </c>
      <c r="K67" s="201" t="s">
        <v>233</v>
      </c>
      <c r="L67" s="201" t="s">
        <v>233</v>
      </c>
      <c r="M67" s="201" t="s">
        <v>233</v>
      </c>
      <c r="N67" s="201" t="s">
        <v>233</v>
      </c>
      <c r="O67" s="190" t="s">
        <v>288</v>
      </c>
      <c r="P67" s="190" t="s">
        <v>233</v>
      </c>
      <c r="Q67" s="197" t="s">
        <v>32</v>
      </c>
      <c r="R67" s="198"/>
      <c r="S67" s="198"/>
      <c r="T67" s="199" t="s">
        <v>31</v>
      </c>
      <c r="U67" s="200"/>
    </row>
    <row r="68" spans="2:21">
      <c r="B68" s="188" t="s">
        <v>304</v>
      </c>
      <c r="C68" s="196" t="s">
        <v>168</v>
      </c>
      <c r="D68" s="196" t="s">
        <v>168</v>
      </c>
      <c r="E68" s="196" t="s">
        <v>168</v>
      </c>
      <c r="F68" s="196" t="s">
        <v>168</v>
      </c>
      <c r="G68" s="196" t="s">
        <v>168</v>
      </c>
      <c r="H68" s="196" t="s">
        <v>168</v>
      </c>
      <c r="I68" s="196" t="s">
        <v>168</v>
      </c>
      <c r="J68" s="196" t="s">
        <v>168</v>
      </c>
      <c r="K68" s="201" t="s">
        <v>233</v>
      </c>
      <c r="L68" s="201" t="s">
        <v>233</v>
      </c>
      <c r="M68" s="201" t="s">
        <v>233</v>
      </c>
      <c r="N68" s="201" t="s">
        <v>233</v>
      </c>
      <c r="O68" s="190" t="s">
        <v>289</v>
      </c>
      <c r="P68" s="190" t="s">
        <v>226</v>
      </c>
      <c r="Q68" s="197" t="s">
        <v>32</v>
      </c>
      <c r="R68" s="198"/>
      <c r="S68" s="198"/>
      <c r="T68" s="199" t="s">
        <v>31</v>
      </c>
      <c r="U68" s="200"/>
    </row>
    <row r="69" spans="2:21">
      <c r="B69" s="188" t="s">
        <v>305</v>
      </c>
      <c r="C69" s="196" t="s">
        <v>168</v>
      </c>
      <c r="D69" s="196" t="s">
        <v>168</v>
      </c>
      <c r="E69" s="196" t="s">
        <v>168</v>
      </c>
      <c r="F69" s="196" t="s">
        <v>168</v>
      </c>
      <c r="G69" s="196" t="s">
        <v>168</v>
      </c>
      <c r="H69" s="196" t="s">
        <v>168</v>
      </c>
      <c r="I69" s="196" t="s">
        <v>168</v>
      </c>
      <c r="J69" s="196" t="s">
        <v>168</v>
      </c>
      <c r="K69" s="201" t="s">
        <v>233</v>
      </c>
      <c r="L69" s="201" t="s">
        <v>233</v>
      </c>
      <c r="M69" s="201" t="s">
        <v>233</v>
      </c>
      <c r="N69" s="201" t="s">
        <v>233</v>
      </c>
      <c r="O69" s="190" t="s">
        <v>289</v>
      </c>
      <c r="P69" s="190" t="s">
        <v>233</v>
      </c>
      <c r="Q69" s="197" t="s">
        <v>32</v>
      </c>
      <c r="R69" s="198"/>
      <c r="S69" s="198"/>
      <c r="T69" s="199" t="s">
        <v>31</v>
      </c>
      <c r="U69" s="200"/>
    </row>
    <row r="70" spans="2:21" ht="14.25" thickBot="1">
      <c r="B70" s="203" t="s">
        <v>306</v>
      </c>
      <c r="C70" s="204" t="s">
        <v>168</v>
      </c>
      <c r="D70" s="204" t="s">
        <v>168</v>
      </c>
      <c r="E70" s="204" t="s">
        <v>168</v>
      </c>
      <c r="F70" s="204" t="s">
        <v>168</v>
      </c>
      <c r="G70" s="204" t="s">
        <v>168</v>
      </c>
      <c r="H70" s="204" t="s">
        <v>168</v>
      </c>
      <c r="I70" s="204" t="s">
        <v>168</v>
      </c>
      <c r="J70" s="204" t="s">
        <v>168</v>
      </c>
      <c r="K70" s="206" t="s">
        <v>209</v>
      </c>
      <c r="L70" s="206" t="s">
        <v>209</v>
      </c>
      <c r="M70" s="206" t="s">
        <v>209</v>
      </c>
      <c r="N70" s="206" t="s">
        <v>209</v>
      </c>
      <c r="O70" s="205" t="s">
        <v>286</v>
      </c>
      <c r="P70" s="205" t="s">
        <v>234</v>
      </c>
      <c r="Q70" s="223" t="s">
        <v>32</v>
      </c>
      <c r="R70" s="208"/>
      <c r="S70" s="208"/>
      <c r="T70" s="209" t="s">
        <v>31</v>
      </c>
      <c r="U70" s="210"/>
    </row>
    <row r="77" spans="2:21" ht="15" thickBot="1">
      <c r="B77" s="146" t="s">
        <v>290</v>
      </c>
    </row>
    <row r="78" spans="2:21" ht="15" thickBot="1">
      <c r="B78" s="149" t="s">
        <v>123</v>
      </c>
      <c r="C78" s="228" t="s">
        <v>215</v>
      </c>
      <c r="D78" s="229"/>
      <c r="E78" s="229"/>
      <c r="F78" s="229"/>
      <c r="G78" s="229"/>
      <c r="H78" s="229"/>
      <c r="I78" s="229"/>
      <c r="J78" s="230"/>
      <c r="K78" s="150"/>
      <c r="L78" s="150"/>
      <c r="M78" s="150"/>
      <c r="N78" s="151"/>
      <c r="O78" s="152"/>
      <c r="P78" s="152"/>
      <c r="Q78" s="152"/>
      <c r="R78" s="153"/>
    </row>
    <row r="79" spans="2:21">
      <c r="B79" s="154"/>
      <c r="C79" s="155" t="s">
        <v>158</v>
      </c>
      <c r="D79" s="155"/>
      <c r="E79" s="155"/>
      <c r="F79" s="155"/>
      <c r="G79" s="155"/>
      <c r="H79" s="155"/>
      <c r="I79" s="155"/>
      <c r="J79" s="155"/>
      <c r="K79" s="156"/>
      <c r="L79" s="155"/>
      <c r="M79" s="155"/>
      <c r="N79" s="157" t="s">
        <v>51</v>
      </c>
      <c r="O79" s="158" t="s">
        <v>20</v>
      </c>
      <c r="P79" s="159"/>
      <c r="Q79" s="159"/>
      <c r="R79" s="160"/>
    </row>
    <row r="80" spans="2:21">
      <c r="B80" s="161" t="s">
        <v>21</v>
      </c>
      <c r="C80" s="224" t="s">
        <v>177</v>
      </c>
      <c r="D80" s="225"/>
      <c r="E80" s="225"/>
      <c r="F80" s="225"/>
      <c r="G80" s="225"/>
      <c r="H80" s="225"/>
      <c r="I80" s="225"/>
      <c r="J80" s="226"/>
      <c r="K80" s="217" t="s">
        <v>279</v>
      </c>
      <c r="L80" s="166" t="s">
        <v>22</v>
      </c>
      <c r="M80" s="165" t="s">
        <v>273</v>
      </c>
      <c r="N80" s="167" t="s">
        <v>256</v>
      </c>
      <c r="O80" s="168" t="s">
        <v>23</v>
      </c>
      <c r="P80" s="168" t="s">
        <v>24</v>
      </c>
      <c r="Q80" s="169" t="s">
        <v>25</v>
      </c>
      <c r="R80" s="170" t="s">
        <v>26</v>
      </c>
    </row>
    <row r="81" spans="2:49">
      <c r="B81" s="161" t="s">
        <v>33</v>
      </c>
      <c r="C81" s="171" t="s">
        <v>127</v>
      </c>
      <c r="D81" s="171" t="s">
        <v>127</v>
      </c>
      <c r="E81" s="171" t="s">
        <v>127</v>
      </c>
      <c r="F81" s="171" t="s">
        <v>127</v>
      </c>
      <c r="G81" s="171" t="s">
        <v>127</v>
      </c>
      <c r="H81" s="171" t="s">
        <v>127</v>
      </c>
      <c r="I81" s="171" t="s">
        <v>127</v>
      </c>
      <c r="J81" s="171" t="s">
        <v>127</v>
      </c>
      <c r="K81" s="213" t="s">
        <v>127</v>
      </c>
      <c r="L81" s="172" t="s">
        <v>232</v>
      </c>
      <c r="M81" s="172" t="s">
        <v>31</v>
      </c>
      <c r="N81" s="167" t="s">
        <v>205</v>
      </c>
      <c r="O81" s="174"/>
      <c r="P81" s="174"/>
      <c r="Q81" s="175"/>
      <c r="R81" s="170"/>
      <c r="W81" s="147" t="s">
        <v>242</v>
      </c>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row>
    <row r="82" spans="2:49" ht="27">
      <c r="B82" s="176" t="s">
        <v>27</v>
      </c>
      <c r="C82" s="227" t="s">
        <v>35</v>
      </c>
      <c r="D82" s="225"/>
      <c r="E82" s="225"/>
      <c r="F82" s="225"/>
      <c r="G82" s="225"/>
      <c r="H82" s="225"/>
      <c r="I82" s="225"/>
      <c r="J82" s="226"/>
      <c r="K82" s="214" t="s">
        <v>284</v>
      </c>
      <c r="L82" s="178" t="s">
        <v>274</v>
      </c>
      <c r="M82" s="178" t="s">
        <v>263</v>
      </c>
      <c r="N82" s="179"/>
      <c r="O82" s="174"/>
      <c r="P82" s="174"/>
      <c r="Q82" s="175"/>
      <c r="R82" s="170"/>
    </row>
    <row r="83" spans="2:49" ht="136.5">
      <c r="B83" s="161" t="s">
        <v>28</v>
      </c>
      <c r="C83" s="180" t="s">
        <v>161</v>
      </c>
      <c r="D83" s="180" t="s">
        <v>62</v>
      </c>
      <c r="E83" s="180" t="s">
        <v>162</v>
      </c>
      <c r="F83" s="180" t="s">
        <v>163</v>
      </c>
      <c r="G83" s="180" t="s">
        <v>164</v>
      </c>
      <c r="H83" s="180" t="s">
        <v>165</v>
      </c>
      <c r="I83" s="180" t="s">
        <v>166</v>
      </c>
      <c r="J83" s="180" t="s">
        <v>167</v>
      </c>
      <c r="K83" s="231" t="s">
        <v>309</v>
      </c>
      <c r="L83" s="178" t="s">
        <v>262</v>
      </c>
      <c r="M83" s="211" t="s">
        <v>264</v>
      </c>
      <c r="N83" s="167" t="s">
        <v>29</v>
      </c>
      <c r="O83" s="174"/>
      <c r="P83" s="174"/>
      <c r="Q83" s="175"/>
      <c r="R83" s="170"/>
    </row>
    <row r="84" spans="2:49" ht="54.75" thickBot="1">
      <c r="B84" s="181" t="s">
        <v>30</v>
      </c>
      <c r="C84" s="182" t="s">
        <v>169</v>
      </c>
      <c r="D84" s="182" t="s">
        <v>127</v>
      </c>
      <c r="E84" s="182" t="s">
        <v>169</v>
      </c>
      <c r="F84" s="182" t="s">
        <v>169</v>
      </c>
      <c r="G84" s="182" t="s">
        <v>169</v>
      </c>
      <c r="H84" s="182" t="s">
        <v>169</v>
      </c>
      <c r="I84" s="182" t="s">
        <v>169</v>
      </c>
      <c r="J84" s="182" t="s">
        <v>169</v>
      </c>
      <c r="K84" s="216" t="s">
        <v>285</v>
      </c>
      <c r="L84" s="183" t="s">
        <v>252</v>
      </c>
      <c r="M84" s="183" t="s">
        <v>292</v>
      </c>
      <c r="N84" s="184" t="s">
        <v>250</v>
      </c>
      <c r="O84" s="185"/>
      <c r="P84" s="185"/>
      <c r="Q84" s="186" t="s">
        <v>251</v>
      </c>
      <c r="R84" s="187"/>
    </row>
    <row r="85" spans="2:49" ht="14.25" thickTop="1">
      <c r="B85" s="188" t="s">
        <v>246</v>
      </c>
      <c r="C85" s="189" t="s">
        <v>168</v>
      </c>
      <c r="D85" s="189" t="s">
        <v>168</v>
      </c>
      <c r="E85" s="189" t="s">
        <v>168</v>
      </c>
      <c r="F85" s="189" t="s">
        <v>168</v>
      </c>
      <c r="G85" s="189" t="s">
        <v>168</v>
      </c>
      <c r="H85" s="189" t="s">
        <v>168</v>
      </c>
      <c r="I85" s="189" t="s">
        <v>168</v>
      </c>
      <c r="J85" s="189" t="s">
        <v>168</v>
      </c>
      <c r="K85" s="191" t="s">
        <v>226</v>
      </c>
      <c r="L85" s="190" t="s">
        <v>286</v>
      </c>
      <c r="M85" s="190" t="s">
        <v>234</v>
      </c>
      <c r="N85" s="197" t="s">
        <v>32</v>
      </c>
      <c r="O85" s="193"/>
      <c r="P85" s="193"/>
      <c r="Q85" s="194" t="s">
        <v>31</v>
      </c>
      <c r="R85" s="195"/>
    </row>
    <row r="86" spans="2:49">
      <c r="B86" s="188" t="s">
        <v>246</v>
      </c>
      <c r="C86" s="196" t="s">
        <v>168</v>
      </c>
      <c r="D86" s="196" t="s">
        <v>168</v>
      </c>
      <c r="E86" s="196" t="s">
        <v>168</v>
      </c>
      <c r="F86" s="196" t="s">
        <v>168</v>
      </c>
      <c r="G86" s="196" t="s">
        <v>168</v>
      </c>
      <c r="H86" s="196" t="s">
        <v>168</v>
      </c>
      <c r="I86" s="196" t="s">
        <v>168</v>
      </c>
      <c r="J86" s="196" t="s">
        <v>168</v>
      </c>
      <c r="K86" s="201" t="s">
        <v>233</v>
      </c>
      <c r="L86" s="190" t="s">
        <v>253</v>
      </c>
      <c r="M86" s="190" t="s">
        <v>226</v>
      </c>
      <c r="N86" s="197" t="s">
        <v>32</v>
      </c>
      <c r="O86" s="198"/>
      <c r="P86" s="198"/>
      <c r="Q86" s="199" t="s">
        <v>31</v>
      </c>
      <c r="R86" s="200"/>
    </row>
    <row r="87" spans="2:49">
      <c r="B87" s="188" t="s">
        <v>247</v>
      </c>
      <c r="C87" s="196" t="s">
        <v>168</v>
      </c>
      <c r="D87" s="196" t="s">
        <v>168</v>
      </c>
      <c r="E87" s="196" t="s">
        <v>168</v>
      </c>
      <c r="F87" s="196" t="s">
        <v>168</v>
      </c>
      <c r="G87" s="196" t="s">
        <v>168</v>
      </c>
      <c r="H87" s="196" t="s">
        <v>168</v>
      </c>
      <c r="I87" s="196" t="s">
        <v>168</v>
      </c>
      <c r="J87" s="196" t="s">
        <v>168</v>
      </c>
      <c r="K87" s="201" t="s">
        <v>233</v>
      </c>
      <c r="L87" s="190" t="s">
        <v>253</v>
      </c>
      <c r="M87" s="190" t="s">
        <v>233</v>
      </c>
      <c r="N87" s="197" t="s">
        <v>239</v>
      </c>
      <c r="O87" s="198"/>
      <c r="P87" s="198"/>
      <c r="Q87" s="199" t="s">
        <v>225</v>
      </c>
      <c r="R87" s="200"/>
    </row>
    <row r="88" spans="2:49">
      <c r="B88" s="188" t="s">
        <v>246</v>
      </c>
      <c r="C88" s="196" t="s">
        <v>168</v>
      </c>
      <c r="D88" s="196" t="s">
        <v>168</v>
      </c>
      <c r="E88" s="196" t="s">
        <v>168</v>
      </c>
      <c r="F88" s="196" t="s">
        <v>168</v>
      </c>
      <c r="G88" s="196" t="s">
        <v>168</v>
      </c>
      <c r="H88" s="196" t="s">
        <v>168</v>
      </c>
      <c r="I88" s="196" t="s">
        <v>168</v>
      </c>
      <c r="J88" s="196" t="s">
        <v>168</v>
      </c>
      <c r="K88" s="201" t="s">
        <v>233</v>
      </c>
      <c r="L88" s="190" t="s">
        <v>287</v>
      </c>
      <c r="M88" s="190" t="s">
        <v>226</v>
      </c>
      <c r="N88" s="197" t="s">
        <v>32</v>
      </c>
      <c r="O88" s="198"/>
      <c r="P88" s="198"/>
      <c r="Q88" s="199" t="s">
        <v>31</v>
      </c>
      <c r="R88" s="200"/>
      <c r="W88" s="147" t="s">
        <v>231</v>
      </c>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row>
    <row r="89" spans="2:49">
      <c r="B89" s="188" t="s">
        <v>247</v>
      </c>
      <c r="C89" s="196" t="s">
        <v>168</v>
      </c>
      <c r="D89" s="196" t="s">
        <v>168</v>
      </c>
      <c r="E89" s="196" t="s">
        <v>168</v>
      </c>
      <c r="F89" s="196" t="s">
        <v>168</v>
      </c>
      <c r="G89" s="196" t="s">
        <v>168</v>
      </c>
      <c r="H89" s="196" t="s">
        <v>168</v>
      </c>
      <c r="I89" s="196" t="s">
        <v>168</v>
      </c>
      <c r="J89" s="196" t="s">
        <v>168</v>
      </c>
      <c r="K89" s="201" t="s">
        <v>233</v>
      </c>
      <c r="L89" s="190" t="s">
        <v>287</v>
      </c>
      <c r="M89" s="190" t="s">
        <v>233</v>
      </c>
      <c r="N89" s="197" t="s">
        <v>32</v>
      </c>
      <c r="O89" s="198"/>
      <c r="P89" s="198"/>
      <c r="Q89" s="199" t="s">
        <v>31</v>
      </c>
      <c r="R89" s="200"/>
    </row>
    <row r="90" spans="2:49">
      <c r="B90" s="188" t="s">
        <v>246</v>
      </c>
      <c r="C90" s="196" t="s">
        <v>168</v>
      </c>
      <c r="D90" s="196" t="s">
        <v>168</v>
      </c>
      <c r="E90" s="196" t="s">
        <v>168</v>
      </c>
      <c r="F90" s="196" t="s">
        <v>168</v>
      </c>
      <c r="G90" s="196" t="s">
        <v>168</v>
      </c>
      <c r="H90" s="196" t="s">
        <v>168</v>
      </c>
      <c r="I90" s="196" t="s">
        <v>168</v>
      </c>
      <c r="J90" s="196" t="s">
        <v>168</v>
      </c>
      <c r="K90" s="201" t="s">
        <v>233</v>
      </c>
      <c r="L90" s="190" t="s">
        <v>288</v>
      </c>
      <c r="M90" s="190" t="s">
        <v>226</v>
      </c>
      <c r="N90" s="197" t="s">
        <v>32</v>
      </c>
      <c r="O90" s="198"/>
      <c r="P90" s="198"/>
      <c r="Q90" s="199" t="s">
        <v>31</v>
      </c>
      <c r="R90" s="200"/>
    </row>
    <row r="91" spans="2:49">
      <c r="B91" s="188" t="s">
        <v>247</v>
      </c>
      <c r="C91" s="196" t="s">
        <v>168</v>
      </c>
      <c r="D91" s="196" t="s">
        <v>168</v>
      </c>
      <c r="E91" s="196" t="s">
        <v>168</v>
      </c>
      <c r="F91" s="196" t="s">
        <v>168</v>
      </c>
      <c r="G91" s="196" t="s">
        <v>168</v>
      </c>
      <c r="H91" s="196" t="s">
        <v>168</v>
      </c>
      <c r="I91" s="196" t="s">
        <v>168</v>
      </c>
      <c r="J91" s="196" t="s">
        <v>168</v>
      </c>
      <c r="K91" s="201" t="s">
        <v>233</v>
      </c>
      <c r="L91" s="190" t="s">
        <v>288</v>
      </c>
      <c r="M91" s="190" t="s">
        <v>233</v>
      </c>
      <c r="N91" s="197" t="s">
        <v>32</v>
      </c>
      <c r="O91" s="198"/>
      <c r="P91" s="198"/>
      <c r="Q91" s="199" t="s">
        <v>31</v>
      </c>
      <c r="R91" s="200"/>
    </row>
    <row r="92" spans="2:49">
      <c r="B92" s="188" t="s">
        <v>246</v>
      </c>
      <c r="C92" s="196" t="s">
        <v>168</v>
      </c>
      <c r="D92" s="196" t="s">
        <v>168</v>
      </c>
      <c r="E92" s="196" t="s">
        <v>168</v>
      </c>
      <c r="F92" s="196" t="s">
        <v>168</v>
      </c>
      <c r="G92" s="196" t="s">
        <v>168</v>
      </c>
      <c r="H92" s="196" t="s">
        <v>168</v>
      </c>
      <c r="I92" s="196" t="s">
        <v>168</v>
      </c>
      <c r="J92" s="196" t="s">
        <v>168</v>
      </c>
      <c r="K92" s="201" t="s">
        <v>233</v>
      </c>
      <c r="L92" s="190" t="s">
        <v>289</v>
      </c>
      <c r="M92" s="190" t="s">
        <v>226</v>
      </c>
      <c r="N92" s="197" t="s">
        <v>32</v>
      </c>
      <c r="O92" s="198"/>
      <c r="P92" s="198"/>
      <c r="Q92" s="199" t="s">
        <v>31</v>
      </c>
      <c r="R92" s="200"/>
    </row>
    <row r="93" spans="2:49">
      <c r="B93" s="188" t="s">
        <v>247</v>
      </c>
      <c r="C93" s="196" t="s">
        <v>168</v>
      </c>
      <c r="D93" s="196" t="s">
        <v>168</v>
      </c>
      <c r="E93" s="196" t="s">
        <v>168</v>
      </c>
      <c r="F93" s="196" t="s">
        <v>168</v>
      </c>
      <c r="G93" s="196" t="s">
        <v>168</v>
      </c>
      <c r="H93" s="196" t="s">
        <v>168</v>
      </c>
      <c r="I93" s="196" t="s">
        <v>168</v>
      </c>
      <c r="J93" s="196" t="s">
        <v>168</v>
      </c>
      <c r="K93" s="201" t="s">
        <v>233</v>
      </c>
      <c r="L93" s="190" t="s">
        <v>289</v>
      </c>
      <c r="M93" s="190" t="s">
        <v>233</v>
      </c>
      <c r="N93" s="197" t="s">
        <v>32</v>
      </c>
      <c r="O93" s="198"/>
      <c r="P93" s="198"/>
      <c r="Q93" s="199" t="s">
        <v>31</v>
      </c>
      <c r="R93" s="200"/>
    </row>
    <row r="94" spans="2:49" ht="14.25" thickBot="1">
      <c r="B94" s="203" t="s">
        <v>249</v>
      </c>
      <c r="C94" s="204" t="s">
        <v>168</v>
      </c>
      <c r="D94" s="204" t="s">
        <v>168</v>
      </c>
      <c r="E94" s="204" t="s">
        <v>168</v>
      </c>
      <c r="F94" s="204" t="s">
        <v>168</v>
      </c>
      <c r="G94" s="204" t="s">
        <v>168</v>
      </c>
      <c r="H94" s="204" t="s">
        <v>168</v>
      </c>
      <c r="I94" s="204" t="s">
        <v>168</v>
      </c>
      <c r="J94" s="204" t="s">
        <v>168</v>
      </c>
      <c r="K94" s="206" t="s">
        <v>209</v>
      </c>
      <c r="L94" s="205" t="s">
        <v>286</v>
      </c>
      <c r="M94" s="205" t="s">
        <v>234</v>
      </c>
      <c r="N94" s="223" t="s">
        <v>32</v>
      </c>
      <c r="O94" s="208"/>
      <c r="P94" s="208"/>
      <c r="Q94" s="209" t="s">
        <v>31</v>
      </c>
      <c r="R94" s="210"/>
    </row>
    <row r="126" spans="23:49">
      <c r="W126" s="147" t="s">
        <v>227</v>
      </c>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row>
  </sheetData>
  <autoFilter ref="B9:T69" xr:uid="{00000000-0001-0000-0700-000000000000}"/>
  <mergeCells count="3">
    <mergeCell ref="C3:J3"/>
    <mergeCell ref="C5:J5"/>
    <mergeCell ref="C7:J7"/>
  </mergeCells>
  <phoneticPr fontId="2"/>
  <dataValidations count="1">
    <dataValidation type="list" allowBlank="1" showInputMessage="1" showErrorMessage="1" sqref="C3 C51 C78" xr:uid="{3F0ED093-6D4E-46B2-B438-4494E0327AC8}">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4" t="s">
        <v>85</v>
      </c>
      <c r="C2" s="55">
        <f>MAX(B4:B28)</f>
        <v>20</v>
      </c>
      <c r="D2" s="55"/>
    </row>
    <row r="3" spans="2:4" ht="14.25" thickBot="1">
      <c r="B3" s="48" t="s">
        <v>85</v>
      </c>
      <c r="C3" s="56" t="s">
        <v>89</v>
      </c>
      <c r="D3" s="49" t="s">
        <v>86</v>
      </c>
    </row>
    <row r="4" spans="2:4" ht="14.25" thickTop="1">
      <c r="B4" s="11">
        <v>0</v>
      </c>
      <c r="C4" s="57" t="s">
        <v>90</v>
      </c>
      <c r="D4" s="13" t="s">
        <v>19</v>
      </c>
    </row>
    <row r="5" spans="2:4" ht="40.5">
      <c r="B5" s="1">
        <v>1</v>
      </c>
      <c r="C5" s="58" t="s">
        <v>90</v>
      </c>
      <c r="D5" s="60" t="s">
        <v>91</v>
      </c>
    </row>
    <row r="6" spans="2:4" ht="27">
      <c r="B6" s="1">
        <v>2</v>
      </c>
      <c r="C6" s="58" t="s">
        <v>93</v>
      </c>
      <c r="D6" s="60" t="s">
        <v>94</v>
      </c>
    </row>
    <row r="7" spans="2:4" ht="54">
      <c r="B7" s="1">
        <v>3</v>
      </c>
      <c r="C7" s="58" t="s">
        <v>90</v>
      </c>
      <c r="D7" s="60" t="s">
        <v>97</v>
      </c>
    </row>
    <row r="8" spans="2:4" ht="81">
      <c r="B8" s="1">
        <v>4</v>
      </c>
      <c r="C8" s="58" t="s">
        <v>105</v>
      </c>
      <c r="D8" s="60" t="s">
        <v>111</v>
      </c>
    </row>
    <row r="9" spans="2:4" ht="41.25" customHeight="1">
      <c r="B9" s="1">
        <v>5</v>
      </c>
      <c r="C9" s="58" t="s">
        <v>106</v>
      </c>
      <c r="D9" s="60" t="s">
        <v>107</v>
      </c>
    </row>
    <row r="10" spans="2:4" ht="27">
      <c r="B10" s="1">
        <v>6</v>
      </c>
      <c r="C10" s="58" t="s">
        <v>90</v>
      </c>
      <c r="D10" s="60" t="s">
        <v>110</v>
      </c>
    </row>
    <row r="11" spans="2:4" ht="27">
      <c r="B11" s="1">
        <v>7</v>
      </c>
      <c r="C11" s="58" t="s">
        <v>105</v>
      </c>
      <c r="D11" s="60" t="s">
        <v>109</v>
      </c>
    </row>
    <row r="12" spans="2:4" ht="27">
      <c r="B12" s="1">
        <v>8</v>
      </c>
      <c r="C12" s="58" t="s">
        <v>90</v>
      </c>
      <c r="D12" s="60" t="s">
        <v>112</v>
      </c>
    </row>
    <row r="13" spans="2:4" ht="27">
      <c r="B13" s="1">
        <v>9</v>
      </c>
      <c r="C13" s="58" t="s">
        <v>90</v>
      </c>
      <c r="D13" s="60" t="s">
        <v>113</v>
      </c>
    </row>
    <row r="14" spans="2:4" ht="27">
      <c r="B14" s="1">
        <v>10</v>
      </c>
      <c r="C14" s="58" t="s">
        <v>114</v>
      </c>
      <c r="D14" s="60" t="s">
        <v>115</v>
      </c>
    </row>
    <row r="15" spans="2:4" ht="135">
      <c r="B15" s="1">
        <v>11</v>
      </c>
      <c r="C15" s="58" t="s">
        <v>90</v>
      </c>
      <c r="D15" s="60" t="s">
        <v>128</v>
      </c>
    </row>
    <row r="16" spans="2:4" ht="191.25" customHeight="1">
      <c r="B16" s="1">
        <v>12</v>
      </c>
      <c r="C16" s="58" t="s">
        <v>155</v>
      </c>
      <c r="D16" s="60" t="s">
        <v>175</v>
      </c>
    </row>
    <row r="17" spans="2:4" ht="27">
      <c r="B17" s="1">
        <v>13</v>
      </c>
      <c r="C17" s="58" t="s">
        <v>93</v>
      </c>
      <c r="D17" s="60" t="s">
        <v>179</v>
      </c>
    </row>
    <row r="18" spans="2:4" ht="67.5">
      <c r="B18" s="1">
        <v>14</v>
      </c>
      <c r="C18" s="58" t="s">
        <v>93</v>
      </c>
      <c r="D18" s="60" t="s">
        <v>181</v>
      </c>
    </row>
    <row r="19" spans="2:4" ht="40.5">
      <c r="B19" s="1">
        <v>15</v>
      </c>
      <c r="C19" s="58" t="s">
        <v>106</v>
      </c>
      <c r="D19" s="60" t="s">
        <v>184</v>
      </c>
    </row>
    <row r="20" spans="2:4" ht="64.5" customHeight="1">
      <c r="B20" s="1">
        <v>16</v>
      </c>
      <c r="C20" s="58" t="s">
        <v>106</v>
      </c>
      <c r="D20" s="60" t="s">
        <v>188</v>
      </c>
    </row>
    <row r="21" spans="2:4" ht="66.75" customHeight="1">
      <c r="B21" s="1">
        <v>17</v>
      </c>
      <c r="C21" s="58" t="s">
        <v>105</v>
      </c>
      <c r="D21" s="60" t="s">
        <v>203</v>
      </c>
    </row>
    <row r="22" spans="2:4" ht="27">
      <c r="B22" s="1">
        <v>18</v>
      </c>
      <c r="C22" s="58" t="s">
        <v>228</v>
      </c>
      <c r="D22" s="60" t="s">
        <v>229</v>
      </c>
    </row>
    <row r="23" spans="2:4" ht="27">
      <c r="B23" s="1">
        <v>19</v>
      </c>
      <c r="C23" s="58" t="s">
        <v>228</v>
      </c>
      <c r="D23" s="60" t="s">
        <v>230</v>
      </c>
    </row>
    <row r="24" spans="2:4" ht="94.5">
      <c r="B24" s="1">
        <v>20</v>
      </c>
      <c r="C24" s="58" t="s">
        <v>237</v>
      </c>
      <c r="D24" s="60" t="s">
        <v>238</v>
      </c>
    </row>
    <row r="25" spans="2:4">
      <c r="B25" s="1"/>
      <c r="C25" s="58"/>
      <c r="D25" s="47"/>
    </row>
    <row r="26" spans="2:4">
      <c r="B26" s="1"/>
      <c r="C26" s="58"/>
      <c r="D26" s="47"/>
    </row>
    <row r="27" spans="2:4" ht="14.25" thickBot="1">
      <c r="B27" s="2"/>
      <c r="C27" s="5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B_RJTB</vt:lpstr>
      <vt:lpstr>B_RSBW</vt:lpstr>
      <vt:lpstr>Reference</vt:lpstr>
      <vt:lpstr>【参考】Reference (19PFv3)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2025-01-28T05:54:12Z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2023-12-13T05:51:31Z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ba07ea98-bd66-44b1-b905-fa0c6f8d596b</vt:lpwstr>
  </property>
  <property fmtid="{D5CDD505-2E9C-101B-9397-08002B2CF9AE}" pid="8" name="MSIP_Label_6add209e-37c4-4e15-ab1b-f9befe71def1_ContentBits">
    <vt:lpwstr>0</vt:lpwstr>
  </property>
</Properties>
</file>