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mbeddings/oleObject1.bin" ContentType="application/vnd.openxmlformats-officedocument.oleObject"/>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6731"/>
  <workbookPr codeName="ThisWorkbook" defaultThemeVersion="124226"/>
  <mc:AlternateContent xmlns:mc="http://schemas.openxmlformats.org/markup-compatibility/2006">
    <mc:Choice Requires="x15">
      <x15ac:absPath xmlns:x15ac="http://schemas.microsoft.com/office/spreadsheetml/2010/11/ac" url="C:\work\02_19pfv3\04.CV\02_設計\25_MET-M_REMWAR-CSTD-1-対応\Alert設計書\"/>
    </mc:Choice>
  </mc:AlternateContent>
  <xr:revisionPtr revIDLastSave="0" documentId="13_ncr:1_{0ECEBD79-4314-4441-B06A-7F6425406C07}" xr6:coauthVersionLast="47" xr6:coauthVersionMax="47" xr10:uidLastSave="{00000000-0000-0000-0000-000000000000}"/>
  <bookViews>
    <workbookView xWindow="-28695" yWindow="7455" windowWidth="28650" windowHeight="8130" xr2:uid="{00000000-000D-0000-FFFF-FFFF00000000}"/>
  </bookViews>
  <sheets>
    <sheet name="表紙（承認欄）" sheetId="14" r:id="rId1"/>
    <sheet name="表紙" sheetId="1" r:id="rId2"/>
    <sheet name="はじめに" sheetId="10" r:id="rId3"/>
    <sheet name="Matrix" sheetId="4" r:id="rId4"/>
    <sheet name="Config_IF" sheetId="11" r:id="rId5"/>
    <sheet name="CH_Design" sheetId="5" r:id="rId6"/>
    <sheet name="PD" sheetId="8" r:id="rId7"/>
    <sheet name="RWRN" sheetId="13" r:id="rId8"/>
    <sheet name="Reference" sheetId="12" r:id="rId9"/>
    <sheet name="History" sheetId="7" r:id="rId10"/>
  </sheets>
  <externalReferences>
    <externalReference r:id="rId11"/>
    <externalReference r:id="rId12"/>
    <externalReference r:id="rId13"/>
    <externalReference r:id="rId14"/>
  </externalReferences>
  <definedNames>
    <definedName name="_1AB030_" localSheetId="0" hidden="1">{"A",#N/A,FALSE,"(部)工程別 ";"B",#N/A,FALSE,"(部)工程別 ";"D",#N/A,FALSE,"(部)工程別 "}</definedName>
    <definedName name="_1AB030_" hidden="1">{"A",#N/A,FALSE,"(部)工程別 ";"B",#N/A,FALSE,"(部)工程別 ";"D",#N/A,FALSE,"(部)工程別 "}</definedName>
    <definedName name="_2AB926_" localSheetId="0" hidden="1">{"A",#N/A,TRUE,"(原)提出";"B",#N/A,TRUE,"(原)提出";"D",#N/A,TRUE,"(原)提出";"E",#N/A,TRUE,"(原)提出"}</definedName>
    <definedName name="_2AB926_" hidden="1">{"A",#N/A,TRUE,"(原)提出";"B",#N/A,TRUE,"(原)提出";"D",#N/A,TRUE,"(原)提出";"E",#N/A,TRUE,"(原)提出"}</definedName>
    <definedName name="_Fill" hidden="1">'[1]#REF'!$C$3:$C$1000</definedName>
    <definedName name="_xlnm._FilterDatabase" localSheetId="8" hidden="1">Reference!$B$9:$Q$14</definedName>
    <definedName name="_Key1" hidden="1">'[1]#REF'!$A$3</definedName>
    <definedName name="_MatInverse_In" localSheetId="0" hidden="1">#REF!</definedName>
    <definedName name="_MatInverse_In" hidden="1">#REF!</definedName>
    <definedName name="_MatInverse_Out" localSheetId="0" hidden="1">#REF!</definedName>
    <definedName name="_MatInverse_Out" hidden="1">#REF!</definedName>
    <definedName name="_Order1" hidden="1">255</definedName>
    <definedName name="_Order2" hidden="1">1</definedName>
    <definedName name="_Sort" hidden="1">'[1]#REF'!$A$3:$AE$787</definedName>
    <definedName name="A">#REF!</definedName>
    <definedName name="B">#REF!</definedName>
    <definedName name="bb" localSheetId="0" hidden="1">{#N/A,#N/A,FALSE,"96下820";#N/A,#N/A,FALSE,"96下826";#N/A,#N/A,FALSE,"96下827";#N/A,#N/A,FALSE,"96下828";#N/A,#N/A,FALSE,"96下861";#N/A,#N/A,FALSE,"96下862"}</definedName>
    <definedName name="bb" hidden="1">{#N/A,#N/A,FALSE,"96下820";#N/A,#N/A,FALSE,"96下826";#N/A,#N/A,FALSE,"96下827";#N/A,#N/A,FALSE,"96下828";#N/A,#N/A,FALSE,"96下861";#N/A,#N/A,FALSE,"96下862"}</definedName>
    <definedName name="bbb" localSheetId="0" hidden="1">{#N/A,#N/A,FALSE,"96下820";#N/A,#N/A,FALSE,"96下826";#N/A,#N/A,FALSE,"96下827";#N/A,#N/A,FALSE,"96下828";#N/A,#N/A,FALSE,"96下861";#N/A,#N/A,FALSE,"96下862"}</definedName>
    <definedName name="bbb" hidden="1">{#N/A,#N/A,FALSE,"96下820";#N/A,#N/A,FALSE,"96下826";#N/A,#N/A,FALSE,"96下827";#N/A,#N/A,FALSE,"96下828";#N/A,#N/A,FALSE,"96下861";#N/A,#N/A,FALSE,"96下862"}</definedName>
    <definedName name="d">#REF!</definedName>
    <definedName name="ddd" localSheetId="0" hidden="1">{"A",#N/A,TRUE,"(原)提出";"B",#N/A,TRUE,"(原)提出";"D",#N/A,TRUE,"(原)提出";"E",#N/A,TRUE,"(原)提出"}</definedName>
    <definedName name="ddd" hidden="1">{"A",#N/A,TRUE,"(原)提出";"B",#N/A,TRUE,"(原)提出";"D",#N/A,TRUE,"(原)提出";"E",#N/A,TRUE,"(原)提出"}</definedName>
    <definedName name="e" localSheetId="0" hidden="1">{#N/A,#N/A,FALSE,"96下820";#N/A,#N/A,FALSE,"96下826";#N/A,#N/A,FALSE,"96下827";#N/A,#N/A,FALSE,"96下828";#N/A,#N/A,FALSE,"96下861";#N/A,#N/A,FALSE,"96下862"}</definedName>
    <definedName name="e" hidden="1">{#N/A,#N/A,FALSE,"96下820";#N/A,#N/A,FALSE,"96下826";#N/A,#N/A,FALSE,"96下827";#N/A,#N/A,FALSE,"96下828";#N/A,#N/A,FALSE,"96下861";#N/A,#N/A,FALSE,"96下862"}</definedName>
    <definedName name="K">#REF!</definedName>
    <definedName name="LED">#REF!</definedName>
    <definedName name="_xlnm.Print_Area">[2]Sheet1!$A$1:$I$233</definedName>
    <definedName name="_xlnm.Print_Titles">[3]車両仕様!$A$1:$C$65536,[3]車両仕様!$A$3:$IV$4</definedName>
    <definedName name="ｓ">#REF!</definedName>
    <definedName name="Sheet_dspmaincfg_Top">#REF!</definedName>
    <definedName name="Sheet_ユーザーカスタマイズ手順_Top">#REF!</definedName>
    <definedName name="Sheet_基礎知識_dispdomain">#REF!</definedName>
    <definedName name="Sheet_基礎知識_dispdomain_Diagram">#REF!</definedName>
    <definedName name="Sheet_基礎知識_dspmgr">#REF!</definedName>
    <definedName name="Sheet_基礎知識_dspmgr_Contents">#REF!</definedName>
    <definedName name="Sheet_基礎知識_dspmgr_STM">#REF!</definedName>
    <definedName name="Sheet_基礎知識_dspmgr_Struct">#REF!</definedName>
    <definedName name="Sheet_基礎知識_dspmgr_SwCancel">#REF!</definedName>
    <definedName name="Sheet_基礎知識_mainscrl">#REF!</definedName>
    <definedName name="Sheet_基礎知識_mainscrl_Contents">#REF!</definedName>
    <definedName name="Sheet_基礎知識_mainscrl_MainSub">#REF!</definedName>
    <definedName name="Sheet_基礎知識_mainscrl_Struct">#REF!</definedName>
    <definedName name="Sheet_基礎知識_swdtctr">#REF!</definedName>
    <definedName name="Sheet_基礎知識_Top">#REF!</definedName>
    <definedName name="sss" localSheetId="0" hidden="1">{#N/A,#N/A,FALSE,"製造勘定表";#N/A,#N/A,FALSE,"直材費";#N/A,#N/A,FALSE,"直接人員";#N/A,#N/A,FALSE,"間接人員";#N/A,#N/A,FALSE,"実働時間";#N/A,#N/A,FALSE,"労務費";#N/A,#N/A,FALSE,"レートマスター";#N/A,#N/A,FALSE,"経費";#N/A,#N/A,FALSE,"分析"}</definedName>
    <definedName name="sss" hidden="1">{#N/A,#N/A,FALSE,"製造勘定表";#N/A,#N/A,FALSE,"直材費";#N/A,#N/A,FALSE,"直接人員";#N/A,#N/A,FALSE,"間接人員";#N/A,#N/A,FALSE,"実働時間";#N/A,#N/A,FALSE,"労務費";#N/A,#N/A,FALSE,"レートマスター";#N/A,#N/A,FALSE,"経費";#N/A,#N/A,FALSE,"分析"}</definedName>
    <definedName name="ｔｅｓｔ" localSheetId="0" hidden="1">{"A",#N/A,TRUE,"(原)提出";"B",#N/A,TRUE,"(原)提出";"D",#N/A,TRUE,"(原)提出";"E",#N/A,TRUE,"(原)提出"}</definedName>
    <definedName name="ｔｅｓｔ" hidden="1">{"A",#N/A,TRUE,"(原)提出";"B",#N/A,TRUE,"(原)提出";"D",#N/A,TRUE,"(原)提出";"E",#N/A,TRUE,"(原)提出"}</definedName>
    <definedName name="ｔｅｓｔ２" localSheetId="0" hidden="1">{"A",#N/A,FALSE,"(工)工程別";"B",#N/A,FALSE,"(工)工程別";"D",#N/A,FALSE,"(工)工程別";"E",#N/A,FALSE,"(工)工程別"}</definedName>
    <definedName name="ｔｅｓｔ２" hidden="1">{"A",#N/A,FALSE,"(工)工程別";"B",#N/A,FALSE,"(工)工程別";"D",#N/A,FALSE,"(工)工程別";"E",#N/A,FALSE,"(工)工程別"}</definedName>
    <definedName name="ｔｅｓｔ３" localSheetId="0" hidden="1">{"A",#N/A,FALSE,"(部)工程別 ";"B",#N/A,FALSE,"(部)工程別 ";"D",#N/A,FALSE,"(部)工程別 "}</definedName>
    <definedName name="ｔｅｓｔ３" hidden="1">{"A",#N/A,FALSE,"(部)工程別 ";"B",#N/A,FALSE,"(部)工程別 ";"D",#N/A,FALSE,"(部)工程別 "}</definedName>
    <definedName name="ｔｅｓｔ４" localSheetId="0" hidden="1">{"A",#N/A,TRUE,"(原)提出";"B",#N/A,TRUE,"(原)提出";"D",#N/A,TRUE,"(原)提出";"E",#N/A,TRUE,"(原)提出"}</definedName>
    <definedName name="ｔｅｓｔ４" hidden="1">{"A",#N/A,TRUE,"(原)提出";"B",#N/A,TRUE,"(原)提出";"D",#N/A,TRUE,"(原)提出";"E",#N/A,TRUE,"(原)提出"}</definedName>
    <definedName name="ｔｅｓｔ５" localSheetId="0" hidden="1">{"A",#N/A,TRUE,"(原)提出";"B",#N/A,TRUE,"(原)提出";"D",#N/A,TRUE,"(原)提出";"E",#N/A,TRUE,"(原)提出"}</definedName>
    <definedName name="ｔｅｓｔ５" hidden="1">{"A",#N/A,TRUE,"(原)提出";"B",#N/A,TRUE,"(原)提出";"D",#N/A,TRUE,"(原)提出";"E",#N/A,TRUE,"(原)提出"}</definedName>
    <definedName name="ｔｅｓｔ６" localSheetId="0" hidden="1">{"A",#N/A,TRUE,"(原)提出";"B",#N/A,TRUE,"(原)提出";"D",#N/A,TRUE,"(原)提出";"E",#N/A,TRUE,"(原)提出"}</definedName>
    <definedName name="ｔｅｓｔ６" hidden="1">{"A",#N/A,TRUE,"(原)提出";"B",#N/A,TRUE,"(原)提出";"D",#N/A,TRUE,"(原)提出";"E",#N/A,TRUE,"(原)提出"}</definedName>
    <definedName name="ｔｅｓｔ７" localSheetId="0" hidden="1">{"A",#N/A,TRUE,"(原)提出";"B",#N/A,TRUE,"(原)提出";"D",#N/A,TRUE,"(原)提出";"E",#N/A,TRUE,"(原)提出"}</definedName>
    <definedName name="ｔｅｓｔ７" hidden="1">{"A",#N/A,TRUE,"(原)提出";"B",#N/A,TRUE,"(原)提出";"D",#N/A,TRUE,"(原)提出";"E",#N/A,TRUE,"(原)提出"}</definedName>
    <definedName name="ｔｅｓｔ８" localSheetId="0" hidden="1">{"A",#N/A,TRUE,"(原)提出";"B",#N/A,TRUE,"(原)提出";"D",#N/A,TRUE,"(原)提出";"E",#N/A,TRUE,"(原)提出"}</definedName>
    <definedName name="ｔｅｓｔ８" hidden="1">{"A",#N/A,TRUE,"(原)提出";"B",#N/A,TRUE,"(原)提出";"D",#N/A,TRUE,"(原)提出";"E",#N/A,TRUE,"(原)提出"}</definedName>
    <definedName name="tt" localSheetId="0" hidden="1">{"A",#N/A,TRUE,"(原)提出";"B",#N/A,TRUE,"(原)提出";"D",#N/A,TRUE,"(原)提出";"E",#N/A,TRUE,"(原)提出"}</definedName>
    <definedName name="tt" hidden="1">{"A",#N/A,TRUE,"(原)提出";"B",#N/A,TRUE,"(原)提出";"D",#N/A,TRUE,"(原)提出";"E",#N/A,TRUE,"(原)提出"}</definedName>
    <definedName name="w" localSheetId="0" hidden="1">{#N/A,#N/A,FALSE,"製造勘定表";#N/A,#N/A,FALSE,"直材費";#N/A,#N/A,FALSE,"直接人員";#N/A,#N/A,FALSE,"間接人員";#N/A,#N/A,FALSE,"実働時間";#N/A,#N/A,FALSE,"労務費";#N/A,#N/A,FALSE,"レートマスター";#N/A,#N/A,FALSE,"経費";#N/A,#N/A,FALSE,"分析"}</definedName>
    <definedName name="w" hidden="1">{#N/A,#N/A,FALSE,"製造勘定表";#N/A,#N/A,FALSE,"直材費";#N/A,#N/A,FALSE,"直接人員";#N/A,#N/A,FALSE,"間接人員";#N/A,#N/A,FALSE,"実働時間";#N/A,#N/A,FALSE,"労務費";#N/A,#N/A,FALSE,"レートマスター";#N/A,#N/A,FALSE,"経費";#N/A,#N/A,FALSE,"分析"}</definedName>
    <definedName name="wrn.324._.KOUTEIBETU." localSheetId="0" hidden="1">{"A",#N/A,FALSE,"(工)工程別";"B",#N/A,FALSE,"(工)工程別";"D",#N/A,FALSE,"(工)工程別";"E",#N/A,FALSE,"(工)工程別"}</definedName>
    <definedName name="wrn.324._.KOUTEIBETU." hidden="1">{"A",#N/A,FALSE,"(工)工程別";"B",#N/A,FALSE,"(工)工程別";"D",#N/A,FALSE,"(工)工程別";"E",#N/A,FALSE,"(工)工程別"}</definedName>
    <definedName name="wrn.822._.KOUTEIBETU." localSheetId="0" hidden="1">{"A",#N/A,FALSE,"(部)工程別 ";"B",#N/A,FALSE,"(部)工程別 ";"D",#N/A,FALSE,"(部)工程別 "}</definedName>
    <definedName name="wrn.822._.KOUTEIBETU." hidden="1">{"A",#N/A,FALSE,"(部)工程別 ";"B",#N/A,FALSE,"(部)工程別 ";"D",#N/A,FALSE,"(部)工程別 "}</definedName>
    <definedName name="wrn.syoukyakuhi" localSheetId="0" hidden="1">{"A",#N/A,TRUE,"(原)提出";"B",#N/A,TRUE,"(原)提出";"D",#N/A,TRUE,"(原)提出";"E",#N/A,TRUE,"(原)提出"}</definedName>
    <definedName name="wrn.syoukyakuhi" hidden="1">{"A",#N/A,TRUE,"(原)提出";"B",#N/A,TRUE,"(原)提出";"D",#N/A,TRUE,"(原)提出";"E",#N/A,TRUE,"(原)提出"}</definedName>
    <definedName name="wrn.SYOUKYAKUHI." localSheetId="0" hidden="1">{"A",#N/A,TRUE,"(原)提出";"B",#N/A,TRUE,"(原)提出";"D",#N/A,TRUE,"(原)提出";"E",#N/A,TRUE,"(原)提出"}</definedName>
    <definedName name="wrn.SYOUKYAKUHI." hidden="1">{"A",#N/A,TRUE,"(原)提出";"B",#N/A,TRUE,"(原)提出";"D",#N/A,TRUE,"(原)提出";"E",#N/A,TRUE,"(原)提出"}</definedName>
    <definedName name="wrn.印刷." localSheetId="0" hidden="1">{#N/A,#N/A,FALSE,"製造勘定表";#N/A,#N/A,FALSE,"直材費";#N/A,#N/A,FALSE,"直接人員";#N/A,#N/A,FALSE,"間接人員";#N/A,#N/A,FALSE,"実働時間";#N/A,#N/A,FALSE,"労務費";#N/A,#N/A,FALSE,"レートマスター";#N/A,#N/A,FALSE,"経費";#N/A,#N/A,FALSE,"分析"}</definedName>
    <definedName name="wrn.印刷." hidden="1">{#N/A,#N/A,FALSE,"製造勘定表";#N/A,#N/A,FALSE,"直材費";#N/A,#N/A,FALSE,"直接人員";#N/A,#N/A,FALSE,"間接人員";#N/A,#N/A,FALSE,"実働時間";#N/A,#N/A,FALSE,"労務費";#N/A,#N/A,FALSE,"レートマスター";#N/A,#N/A,FALSE,"経費";#N/A,#N/A,FALSE,"分析"}</definedName>
    <definedName name="wrn.経費." localSheetId="0" hidden="1">{"経費",#N/A,FALSE,"H7分析"}</definedName>
    <definedName name="wrn.経費." hidden="1">{"経費",#N/A,FALSE,"H7分析"}</definedName>
    <definedName name="wrn.材料人員." localSheetId="0" hidden="1">{"材料人員",#N/A,FALSE,"H7分析"}</definedName>
    <definedName name="wrn.材料人員." hidden="1">{"材料人員",#N/A,FALSE,"H7分析"}</definedName>
    <definedName name="wrn.生産高全印刷." localSheetId="0" hidden="1">{#N/A,#N/A,FALSE,"96下820";#N/A,#N/A,FALSE,"96下826";#N/A,#N/A,FALSE,"96下827";#N/A,#N/A,FALSE,"96下828";#N/A,#N/A,FALSE,"96下861";#N/A,#N/A,FALSE,"96下862"}</definedName>
    <definedName name="wrn.生産高全印刷." hidden="1">{#N/A,#N/A,FALSE,"96下820";#N/A,#N/A,FALSE,"96下826";#N/A,#N/A,FALSE,"96下827";#N/A,#N/A,FALSE,"96下828";#N/A,#N/A,FALSE,"96下861";#N/A,#N/A,FALSE,"96下862"}</definedName>
    <definedName name="wrn.全表." localSheetId="0" hidden="1">{"経費",#N/A,FALSE,"H7分析";"材料人員",#N/A,FALSE,"H7分析";"直接労務",#N/A,FALSE,"H7分析";"分析",#N/A,FALSE,"H7分析"}</definedName>
    <definedName name="wrn.全表." hidden="1">{"経費",#N/A,FALSE,"H7分析";"材料人員",#N/A,FALSE,"H7分析";"直接労務",#N/A,FALSE,"H7分析";"分析",#N/A,FALSE,"H7分析"}</definedName>
    <definedName name="wrn.直接労務." localSheetId="0" hidden="1">{"直接労務",#N/A,FALSE,"H7分析"}</definedName>
    <definedName name="wrn.直接労務." hidden="1">{"直接労務",#N/A,FALSE,"H7分析"}</definedName>
    <definedName name="wrn.分析." localSheetId="0" hidden="1">{"分析",#N/A,FALSE,"H7分析"}</definedName>
    <definedName name="wrn.分析." hidden="1">{"分析",#N/A,FALSE,"H7分析"}</definedName>
    <definedName name="xlo1">#REF!</definedName>
    <definedName name="xlo2">#REF!</definedName>
    <definedName name="xlo3">#REF!</definedName>
    <definedName name="xlo4">#REF!</definedName>
    <definedName name="xup1">#REF!</definedName>
    <definedName name="xup2">#REF!</definedName>
    <definedName name="xup3">#REF!</definedName>
    <definedName name="xup4">#REF!</definedName>
    <definedName name="ylo1">#REF!</definedName>
    <definedName name="ylo2">#REF!</definedName>
    <definedName name="ylo3">#REF!</definedName>
    <definedName name="ylo4">#REF!</definedName>
    <definedName name="yup1">#REF!</definedName>
    <definedName name="yup2">#REF!</definedName>
    <definedName name="yup3">#REF!</definedName>
    <definedName name="yup4">#REF!</definedName>
    <definedName name="Z_549346FF_2959_4613_8783_DAA5CB3C3FA4_.wvu.FilterData" localSheetId="0" hidden="1">#REF!</definedName>
    <definedName name="Z_549346FF_2959_4613_8783_DAA5CB3C3FA4_.wvu.FilterData" hidden="1">#REF!</definedName>
    <definedName name="い" localSheetId="0" hidden="1">{"経費",#N/A,FALSE,"H7分析"}</definedName>
    <definedName name="い" hidden="1">{"経費",#N/A,FALSE,"H7分析"}</definedName>
    <definedName name="う" localSheetId="0" hidden="1">{#N/A,#N/A,FALSE,"96下820";#N/A,#N/A,FALSE,"96下826";#N/A,#N/A,FALSE,"96下827";#N/A,#N/A,FALSE,"96下828";#N/A,#N/A,FALSE,"96下861";#N/A,#N/A,FALSE,"96下862"}</definedName>
    <definedName name="う" hidden="1">{#N/A,#N/A,FALSE,"96下820";#N/A,#N/A,FALSE,"96下826";#N/A,#N/A,FALSE,"96下827";#N/A,#N/A,FALSE,"96下828";#N/A,#N/A,FALSE,"96下861";#N/A,#N/A,FALSE,"96下862"}</definedName>
    <definedName name="え" localSheetId="0" hidden="1">{#N/A,#N/A,FALSE,"96下820";#N/A,#N/A,FALSE,"96下826";#N/A,#N/A,FALSE,"96下827";#N/A,#N/A,FALSE,"96下828";#N/A,#N/A,FALSE,"96下861";#N/A,#N/A,FALSE,"96下862"}</definedName>
    <definedName name="え" hidden="1">{#N/A,#N/A,FALSE,"96下820";#N/A,#N/A,FALSE,"96下826";#N/A,#N/A,FALSE,"96下827";#N/A,#N/A,FALSE,"96下828";#N/A,#N/A,FALSE,"96下861";#N/A,#N/A,FALSE,"96下862"}</definedName>
    <definedName name="テスト">#REF!</definedName>
    <definedName name="愛" localSheetId="0" hidden="1">{"A",#N/A,TRUE,"(原)提出";"B",#N/A,TRUE,"(原)提出";"D",#N/A,TRUE,"(原)提出";"E",#N/A,TRUE,"(原)提出"}</definedName>
    <definedName name="愛" hidden="1">{"A",#N/A,TRUE,"(原)提出";"B",#N/A,TRUE,"(原)提出";"D",#N/A,TRUE,"(原)提出";"E",#N/A,TRUE,"(原)提出"}</definedName>
    <definedName name="開発費" localSheetId="0" hidden="1">{#N/A,#N/A,FALSE,"96下820";#N/A,#N/A,FALSE,"96下826";#N/A,#N/A,FALSE,"96下827";#N/A,#N/A,FALSE,"96下828";#N/A,#N/A,FALSE,"96下861";#N/A,#N/A,FALSE,"96下862"}</definedName>
    <definedName name="開発費" hidden="1">{#N/A,#N/A,FALSE,"96下820";#N/A,#N/A,FALSE,"96下826";#N/A,#N/A,FALSE,"96下827";#N/A,#N/A,FALSE,"96下828";#N/A,#N/A,FALSE,"96下861";#N/A,#N/A,FALSE,"96下862"}</definedName>
    <definedName name="関数名_確定_BON">'[4]Config - dspmgr'!#REF!</definedName>
    <definedName name="関数名_確定_IGOFF">'[4]Config - dspmgr'!#REF!</definedName>
    <definedName name="関数名_確定_IGON">'[4]Config - dspmgr'!#REF!</definedName>
    <definedName name="関数名_確定_WKUP">'[4]Config - dspmgr'!#REF!</definedName>
    <definedName name="関数名_確定_状態遷移_0">'[4]Config - dspmgr'!#REF!</definedName>
    <definedName name="関数名_確定_状態遷移_1">'[4]Config - dspmgr'!#REF!</definedName>
    <definedName name="関数名_確定_状態遷移_2">'[4]Config - dspmgr'!#REF!</definedName>
    <definedName name="関数名_確定_状態遷移_3">'[4]Config - dspmgr'!#REF!</definedName>
    <definedName name="関数名_確定_状態遷移_4">'[4]Config - dspmgr'!#REF!</definedName>
    <definedName name="関数名_確定_定期">'[4]Config - dspmgr'!#REF!</definedName>
    <definedName name="金型共通化" localSheetId="0" hidden="1">{"A",#N/A,TRUE,"(原)提出";"B",#N/A,TRUE,"(原)提出";"D",#N/A,TRUE,"(原)提出";"E",#N/A,TRUE,"(原)提出"}</definedName>
    <definedName name="金型共通化" hidden="1">{"A",#N/A,TRUE,"(原)提出";"B",#N/A,TRUE,"(原)提出";"D",#N/A,TRUE,"(原)提出";"E",#N/A,TRUE,"(原)提出"}</definedName>
    <definedName name="金型共通化２" localSheetId="0" hidden="1">{"A",#N/A,TRUE,"(原)提出";"B",#N/A,TRUE,"(原)提出";"D",#N/A,TRUE,"(原)提出";"E",#N/A,TRUE,"(原)提出"}</definedName>
    <definedName name="金型共通化２" hidden="1">{"A",#N/A,TRUE,"(原)提出";"B",#N/A,TRUE,"(原)提出";"D",#N/A,TRUE,"(原)提出";"E",#N/A,TRUE,"(原)提出"}</definedName>
    <definedName name="駆動回路">#REF!</definedName>
    <definedName name="効果額" localSheetId="0" hidden="1">{"A",#N/A,TRUE,"(原)提出";"B",#N/A,TRUE,"(原)提出";"D",#N/A,TRUE,"(原)提出";"E",#N/A,TRUE,"(原)提出"}</definedName>
    <definedName name="効果額" hidden="1">{"A",#N/A,TRUE,"(原)提出";"B",#N/A,TRUE,"(原)提出";"D",#N/A,TRUE,"(原)提出";"E",#N/A,TRUE,"(原)提出"}</definedName>
    <definedName name="工数削減" localSheetId="0" hidden="1">{"A",#N/A,TRUE,"(原)提出";"B",#N/A,TRUE,"(原)提出";"D",#N/A,TRUE,"(原)提出";"E",#N/A,TRUE,"(原)提出"}</definedName>
    <definedName name="工数削減" hidden="1">{"A",#N/A,TRUE,"(原)提出";"B",#N/A,TRUE,"(原)提出";"D",#N/A,TRUE,"(原)提出";"E",#N/A,TRUE,"(原)提出"}</definedName>
    <definedName name="対" localSheetId="0" hidden="1">{"A",#N/A,TRUE,"(原)提出";"B",#N/A,TRUE,"(原)提出";"D",#N/A,TRUE,"(原)提出";"E",#N/A,TRUE,"(原)提出"}</definedName>
    <definedName name="対" hidden="1">{"A",#N/A,TRUE,"(原)提出";"B",#N/A,TRUE,"(原)提出";"D",#N/A,TRUE,"(原)提出";"E",#N/A,TRUE,"(原)提出"}</definedName>
    <definedName name="品番">#REF!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U11" i="13" l="1"/>
  <c r="AU10" i="13"/>
  <c r="AU11" i="8"/>
  <c r="AU10" i="8"/>
  <c r="T13" i="14" l="1"/>
  <c r="AQ199" i="13"/>
  <c r="AO199" i="13"/>
  <c r="AJ199" i="13"/>
  <c r="AI199" i="13"/>
  <c r="AH199" i="13"/>
  <c r="AG199" i="13"/>
  <c r="AF199" i="13"/>
  <c r="AE199" i="13"/>
  <c r="AD199" i="13"/>
  <c r="AC199" i="13"/>
  <c r="AB199" i="13"/>
  <c r="AL199" i="13" s="1"/>
  <c r="AA199" i="13"/>
  <c r="Z199" i="13"/>
  <c r="Y199" i="13"/>
  <c r="X199" i="13"/>
  <c r="W199" i="13"/>
  <c r="V199" i="13"/>
  <c r="AM199" i="13" s="1"/>
  <c r="U199" i="13"/>
  <c r="T199" i="13"/>
  <c r="S199" i="13"/>
  <c r="R199" i="13"/>
  <c r="Q199" i="13"/>
  <c r="P199" i="13"/>
  <c r="O199" i="13"/>
  <c r="N199" i="13"/>
  <c r="M199" i="13"/>
  <c r="L199" i="13"/>
  <c r="AN199" i="13" s="1"/>
  <c r="K199" i="13"/>
  <c r="J199" i="13"/>
  <c r="I199" i="13"/>
  <c r="H199" i="13"/>
  <c r="G199" i="13"/>
  <c r="F199" i="13"/>
  <c r="E199" i="13"/>
  <c r="D199" i="13"/>
  <c r="AJ198" i="13"/>
  <c r="AQ198" i="13" s="1"/>
  <c r="AI198" i="13"/>
  <c r="AH198" i="13"/>
  <c r="AG198" i="13"/>
  <c r="AF198" i="13"/>
  <c r="AE198" i="13"/>
  <c r="AD198" i="13"/>
  <c r="AC198" i="13"/>
  <c r="AB198" i="13"/>
  <c r="AA198" i="13"/>
  <c r="Z198" i="13"/>
  <c r="Y198" i="13"/>
  <c r="X198" i="13"/>
  <c r="W198" i="13"/>
  <c r="V198" i="13"/>
  <c r="U198" i="13"/>
  <c r="T198" i="13"/>
  <c r="S198" i="13"/>
  <c r="R198" i="13"/>
  <c r="Q198" i="13"/>
  <c r="P198" i="13"/>
  <c r="O198" i="13"/>
  <c r="AN198" i="13" s="1"/>
  <c r="N198" i="13"/>
  <c r="M198" i="13"/>
  <c r="L198" i="13"/>
  <c r="K198" i="13"/>
  <c r="J198" i="13"/>
  <c r="I198" i="13"/>
  <c r="H198" i="13"/>
  <c r="AO198" i="13" s="1"/>
  <c r="G198" i="13"/>
  <c r="F198" i="13"/>
  <c r="E198" i="13"/>
  <c r="D198" i="13"/>
  <c r="AJ197" i="13"/>
  <c r="AQ197" i="13" s="1"/>
  <c r="AI197" i="13"/>
  <c r="AH197" i="13"/>
  <c r="AG197" i="13"/>
  <c r="AF197" i="13"/>
  <c r="AE197" i="13"/>
  <c r="AD197" i="13"/>
  <c r="AC197" i="13"/>
  <c r="AB197" i="13"/>
  <c r="AL197" i="13" s="1"/>
  <c r="AA197" i="13"/>
  <c r="Z197" i="13"/>
  <c r="Y197" i="13"/>
  <c r="X197" i="13"/>
  <c r="W197" i="13"/>
  <c r="V197" i="13"/>
  <c r="AM197" i="13" s="1"/>
  <c r="U197" i="13"/>
  <c r="T197" i="13"/>
  <c r="S197" i="13"/>
  <c r="R197" i="13"/>
  <c r="Q197" i="13"/>
  <c r="P197" i="13"/>
  <c r="O197" i="13"/>
  <c r="N197" i="13"/>
  <c r="AN197" i="13" s="1"/>
  <c r="M197" i="13"/>
  <c r="L197" i="13"/>
  <c r="K197" i="13"/>
  <c r="J197" i="13"/>
  <c r="I197" i="13"/>
  <c r="H197" i="13"/>
  <c r="G197" i="13"/>
  <c r="F197" i="13"/>
  <c r="E197" i="13"/>
  <c r="D197" i="13"/>
  <c r="AO197" i="13" s="1"/>
  <c r="AJ196" i="13"/>
  <c r="AQ196" i="13" s="1"/>
  <c r="AI196" i="13"/>
  <c r="AH196" i="13"/>
  <c r="AG196" i="13"/>
  <c r="AF196" i="13"/>
  <c r="AE196" i="13"/>
  <c r="AD196" i="13"/>
  <c r="AC196" i="13"/>
  <c r="AB196" i="13"/>
  <c r="AA196" i="13"/>
  <c r="Z196" i="13"/>
  <c r="Y196" i="13"/>
  <c r="X196" i="13"/>
  <c r="W196" i="13"/>
  <c r="V196" i="13"/>
  <c r="AM196" i="13" s="1"/>
  <c r="U196" i="13"/>
  <c r="T196" i="13"/>
  <c r="S196" i="13"/>
  <c r="R196" i="13"/>
  <c r="Q196" i="13"/>
  <c r="P196" i="13"/>
  <c r="O196" i="13"/>
  <c r="N196" i="13"/>
  <c r="M196" i="13"/>
  <c r="L196" i="13"/>
  <c r="AN196" i="13" s="1"/>
  <c r="K196" i="13"/>
  <c r="J196" i="13"/>
  <c r="I196" i="13"/>
  <c r="H196" i="13"/>
  <c r="G196" i="13"/>
  <c r="F196" i="13"/>
  <c r="E196" i="13"/>
  <c r="D196" i="13"/>
  <c r="AO196" i="13" s="1"/>
  <c r="AJ195" i="13"/>
  <c r="AQ195" i="13" s="1"/>
  <c r="AI195" i="13"/>
  <c r="AH195" i="13"/>
  <c r="AG195" i="13"/>
  <c r="AF195" i="13"/>
  <c r="AE195" i="13"/>
  <c r="AD195" i="13"/>
  <c r="AC195" i="13"/>
  <c r="AB195" i="13"/>
  <c r="AL195" i="13" s="1"/>
  <c r="AA195" i="13"/>
  <c r="Z195" i="13"/>
  <c r="Y195" i="13"/>
  <c r="X195" i="13"/>
  <c r="W195" i="13"/>
  <c r="V195" i="13"/>
  <c r="U195" i="13"/>
  <c r="T195" i="13"/>
  <c r="AM195" i="13" s="1"/>
  <c r="S195" i="13"/>
  <c r="R195" i="13"/>
  <c r="Q195" i="13"/>
  <c r="P195" i="13"/>
  <c r="O195" i="13"/>
  <c r="N195" i="13"/>
  <c r="M195" i="13"/>
  <c r="L195" i="13"/>
  <c r="AN195" i="13" s="1"/>
  <c r="K195" i="13"/>
  <c r="J195" i="13"/>
  <c r="I195" i="13"/>
  <c r="H195" i="13"/>
  <c r="G195" i="13"/>
  <c r="F195" i="13"/>
  <c r="E195" i="13"/>
  <c r="D195" i="13"/>
  <c r="AO195" i="13" s="1"/>
  <c r="AJ194" i="13"/>
  <c r="AQ194" i="13" s="1"/>
  <c r="AI194" i="13"/>
  <c r="AH194" i="13"/>
  <c r="AG194" i="13"/>
  <c r="AF194" i="13"/>
  <c r="AE194" i="13"/>
  <c r="AD194" i="13"/>
  <c r="AC194" i="13"/>
  <c r="AB194" i="13"/>
  <c r="AL194" i="13" s="1"/>
  <c r="AA194" i="13"/>
  <c r="Z194" i="13"/>
  <c r="Y194" i="13"/>
  <c r="X194" i="13"/>
  <c r="W194" i="13"/>
  <c r="V194" i="13"/>
  <c r="U194" i="13"/>
  <c r="T194" i="13"/>
  <c r="AM194" i="13" s="1"/>
  <c r="S194" i="13"/>
  <c r="R194" i="13"/>
  <c r="Q194" i="13"/>
  <c r="P194" i="13"/>
  <c r="O194" i="13"/>
  <c r="N194" i="13"/>
  <c r="M194" i="13"/>
  <c r="L194" i="13"/>
  <c r="AN194" i="13" s="1"/>
  <c r="K194" i="13"/>
  <c r="J194" i="13"/>
  <c r="I194" i="13"/>
  <c r="H194" i="13"/>
  <c r="G194" i="13"/>
  <c r="F194" i="13"/>
  <c r="E194" i="13"/>
  <c r="D194" i="13"/>
  <c r="AO194" i="13" s="1"/>
  <c r="AJ193" i="13"/>
  <c r="AQ193" i="13" s="1"/>
  <c r="AI193" i="13"/>
  <c r="AH193" i="13"/>
  <c r="AG193" i="13"/>
  <c r="AF193" i="13"/>
  <c r="AE193" i="13"/>
  <c r="AD193" i="13"/>
  <c r="AC193" i="13"/>
  <c r="AB193" i="13"/>
  <c r="AA193" i="13"/>
  <c r="Z193" i="13"/>
  <c r="Y193" i="13"/>
  <c r="X193" i="13"/>
  <c r="W193" i="13"/>
  <c r="V193" i="13"/>
  <c r="U193" i="13"/>
  <c r="T193" i="13"/>
  <c r="S193" i="13"/>
  <c r="R193" i="13"/>
  <c r="Q193" i="13"/>
  <c r="P193" i="13"/>
  <c r="O193" i="13"/>
  <c r="N193" i="13"/>
  <c r="M193" i="13"/>
  <c r="L193" i="13"/>
  <c r="K193" i="13"/>
  <c r="J193" i="13"/>
  <c r="I193" i="13"/>
  <c r="H193" i="13"/>
  <c r="G193" i="13"/>
  <c r="F193" i="13"/>
  <c r="E193" i="13"/>
  <c r="D193" i="13"/>
  <c r="C193" i="13"/>
  <c r="AQ192" i="13"/>
  <c r="AJ192" i="13"/>
  <c r="AI192" i="13"/>
  <c r="AH192" i="13"/>
  <c r="AG192" i="13"/>
  <c r="AF192" i="13"/>
  <c r="AE192" i="13"/>
  <c r="AD192" i="13"/>
  <c r="AC192" i="13"/>
  <c r="AB192" i="13"/>
  <c r="AL192" i="13" s="1"/>
  <c r="AA192" i="13"/>
  <c r="Z192" i="13"/>
  <c r="Y192" i="13"/>
  <c r="X192" i="13"/>
  <c r="W192" i="13"/>
  <c r="V192" i="13"/>
  <c r="U192" i="13"/>
  <c r="T192" i="13"/>
  <c r="AM192" i="13" s="1"/>
  <c r="S192" i="13"/>
  <c r="R192" i="13"/>
  <c r="Q192" i="13"/>
  <c r="P192" i="13"/>
  <c r="O192" i="13"/>
  <c r="AN192" i="13" s="1"/>
  <c r="N192" i="13"/>
  <c r="M192" i="13"/>
  <c r="L192" i="13"/>
  <c r="K192" i="13"/>
  <c r="J192" i="13"/>
  <c r="I192" i="13"/>
  <c r="H192" i="13"/>
  <c r="G192" i="13"/>
  <c r="F192" i="13"/>
  <c r="E192" i="13"/>
  <c r="D192" i="13"/>
  <c r="AO192" i="13" s="1"/>
  <c r="AQ191" i="13"/>
  <c r="AJ191" i="13"/>
  <c r="AI191" i="13"/>
  <c r="AH191" i="13"/>
  <c r="AG191" i="13"/>
  <c r="AF191" i="13"/>
  <c r="AE191" i="13"/>
  <c r="AD191" i="13"/>
  <c r="AC191" i="13"/>
  <c r="AB191" i="13"/>
  <c r="AA191" i="13"/>
  <c r="Z191" i="13"/>
  <c r="Y191" i="13"/>
  <c r="X191" i="13"/>
  <c r="W191" i="13"/>
  <c r="V191" i="13"/>
  <c r="U191" i="13"/>
  <c r="T191" i="13"/>
  <c r="S191" i="13"/>
  <c r="R191" i="13"/>
  <c r="Q191" i="13"/>
  <c r="P191" i="13"/>
  <c r="O191" i="13"/>
  <c r="N191" i="13"/>
  <c r="M191" i="13"/>
  <c r="L191" i="13"/>
  <c r="K191" i="13"/>
  <c r="J191" i="13"/>
  <c r="I191" i="13"/>
  <c r="H191" i="13"/>
  <c r="G191" i="13"/>
  <c r="F191" i="13"/>
  <c r="E191" i="13"/>
  <c r="D191" i="13"/>
  <c r="AQ190" i="13"/>
  <c r="AO190" i="13"/>
  <c r="AN190" i="13"/>
  <c r="AJ190" i="13"/>
  <c r="AI190" i="13"/>
  <c r="AH190" i="13"/>
  <c r="AG190" i="13"/>
  <c r="AF190" i="13"/>
  <c r="AE190" i="13"/>
  <c r="AD190" i="13"/>
  <c r="AC190" i="13"/>
  <c r="AL190" i="13" s="1"/>
  <c r="AB190" i="13"/>
  <c r="AA190" i="13"/>
  <c r="Z190" i="13"/>
  <c r="Y190" i="13"/>
  <c r="X190" i="13"/>
  <c r="W190" i="13"/>
  <c r="V190" i="13"/>
  <c r="U190" i="13"/>
  <c r="T190" i="13"/>
  <c r="AM190" i="13" s="1"/>
  <c r="S190" i="13"/>
  <c r="R190" i="13"/>
  <c r="Q190" i="13"/>
  <c r="P190" i="13"/>
  <c r="O190" i="13"/>
  <c r="N190" i="13"/>
  <c r="M190" i="13"/>
  <c r="L190" i="13"/>
  <c r="K190" i="13"/>
  <c r="J190" i="13"/>
  <c r="I190" i="13"/>
  <c r="H190" i="13"/>
  <c r="G190" i="13"/>
  <c r="F190" i="13"/>
  <c r="E190" i="13"/>
  <c r="D190" i="13"/>
  <c r="AJ189" i="13"/>
  <c r="AQ189" i="13" s="1"/>
  <c r="AI189" i="13"/>
  <c r="AH189" i="13"/>
  <c r="AG189" i="13"/>
  <c r="AF189" i="13"/>
  <c r="AE189" i="13"/>
  <c r="AD189" i="13"/>
  <c r="AC189" i="13"/>
  <c r="AB189" i="13"/>
  <c r="AA189" i="13"/>
  <c r="Z189" i="13"/>
  <c r="Y189" i="13"/>
  <c r="X189" i="13"/>
  <c r="W189" i="13"/>
  <c r="V189" i="13"/>
  <c r="AM189" i="13" s="1"/>
  <c r="U189" i="13"/>
  <c r="T189" i="13"/>
  <c r="S189" i="13"/>
  <c r="R189" i="13"/>
  <c r="Q189" i="13"/>
  <c r="P189" i="13"/>
  <c r="O189" i="13"/>
  <c r="N189" i="13"/>
  <c r="AN189" i="13" s="1"/>
  <c r="M189" i="13"/>
  <c r="L189" i="13"/>
  <c r="K189" i="13"/>
  <c r="J189" i="13"/>
  <c r="I189" i="13"/>
  <c r="H189" i="13"/>
  <c r="G189" i="13"/>
  <c r="F189" i="13"/>
  <c r="E189" i="13"/>
  <c r="D189" i="13"/>
  <c r="AJ188" i="13"/>
  <c r="AQ188" i="13" s="1"/>
  <c r="AI188" i="13"/>
  <c r="AH188" i="13"/>
  <c r="AG188" i="13"/>
  <c r="AF188" i="13"/>
  <c r="AE188" i="13"/>
  <c r="AD188" i="13"/>
  <c r="AC188" i="13"/>
  <c r="AL188" i="13" s="1"/>
  <c r="AB188" i="13"/>
  <c r="AA188" i="13"/>
  <c r="Z188" i="13"/>
  <c r="Y188" i="13"/>
  <c r="X188" i="13"/>
  <c r="W188" i="13"/>
  <c r="V188" i="13"/>
  <c r="AM188" i="13" s="1"/>
  <c r="U188" i="13"/>
  <c r="T188" i="13"/>
  <c r="S188" i="13"/>
  <c r="R188" i="13"/>
  <c r="Q188" i="13"/>
  <c r="P188" i="13"/>
  <c r="O188" i="13"/>
  <c r="N188" i="13"/>
  <c r="M188" i="13"/>
  <c r="L188" i="13"/>
  <c r="K188" i="13"/>
  <c r="J188" i="13"/>
  <c r="I188" i="13"/>
  <c r="H188" i="13"/>
  <c r="G188" i="13"/>
  <c r="F188" i="13"/>
  <c r="E188" i="13"/>
  <c r="D188" i="13"/>
  <c r="AJ187" i="13"/>
  <c r="AQ187" i="13" s="1"/>
  <c r="AI187" i="13"/>
  <c r="AH187" i="13"/>
  <c r="AG187" i="13"/>
  <c r="AF187" i="13"/>
  <c r="AE187" i="13"/>
  <c r="AD187" i="13"/>
  <c r="AC187" i="13"/>
  <c r="AL187" i="13" s="1"/>
  <c r="AB187" i="13"/>
  <c r="AA187" i="13"/>
  <c r="Z187" i="13"/>
  <c r="Y187" i="13"/>
  <c r="X187" i="13"/>
  <c r="W187" i="13"/>
  <c r="V187" i="13"/>
  <c r="U187" i="13"/>
  <c r="T187" i="13"/>
  <c r="S187" i="13"/>
  <c r="R187" i="13"/>
  <c r="Q187" i="13"/>
  <c r="P187" i="13"/>
  <c r="O187" i="13"/>
  <c r="N187" i="13"/>
  <c r="M187" i="13"/>
  <c r="L187" i="13"/>
  <c r="K187" i="13"/>
  <c r="J187" i="13"/>
  <c r="I187" i="13"/>
  <c r="H187" i="13"/>
  <c r="G187" i="13"/>
  <c r="F187" i="13"/>
  <c r="E187" i="13"/>
  <c r="D187" i="13"/>
  <c r="AJ186" i="13"/>
  <c r="AQ186" i="13" s="1"/>
  <c r="AS56" i="13" s="1"/>
  <c r="AI186" i="13"/>
  <c r="AH186" i="13"/>
  <c r="AG186" i="13"/>
  <c r="AF186" i="13"/>
  <c r="AE186" i="13"/>
  <c r="AD186" i="13"/>
  <c r="AC186" i="13"/>
  <c r="AB186" i="13"/>
  <c r="AL186" i="13" s="1"/>
  <c r="AA186" i="13"/>
  <c r="Z186" i="13"/>
  <c r="Y186" i="13"/>
  <c r="X186" i="13"/>
  <c r="W186" i="13"/>
  <c r="V186" i="13"/>
  <c r="U186" i="13"/>
  <c r="T186" i="13"/>
  <c r="AM186" i="13" s="1"/>
  <c r="S186" i="13"/>
  <c r="R186" i="13"/>
  <c r="Q186" i="13"/>
  <c r="P186" i="13"/>
  <c r="O186" i="13"/>
  <c r="N186" i="13"/>
  <c r="M186" i="13"/>
  <c r="L186" i="13"/>
  <c r="AN186" i="13" s="1"/>
  <c r="K186" i="13"/>
  <c r="J186" i="13"/>
  <c r="I186" i="13"/>
  <c r="H186" i="13"/>
  <c r="G186" i="13"/>
  <c r="F186" i="13"/>
  <c r="E186" i="13"/>
  <c r="D186" i="13"/>
  <c r="AO186" i="13" s="1"/>
  <c r="AJ185" i="13"/>
  <c r="AQ185" i="13" s="1"/>
  <c r="AI185" i="13"/>
  <c r="AH185" i="13"/>
  <c r="AG185" i="13"/>
  <c r="AF185" i="13"/>
  <c r="AE185" i="13"/>
  <c r="AD185" i="13"/>
  <c r="AC185" i="13"/>
  <c r="AB185" i="13"/>
  <c r="AA185" i="13"/>
  <c r="Z185" i="13"/>
  <c r="Y185" i="13"/>
  <c r="X185" i="13"/>
  <c r="W185" i="13"/>
  <c r="V185" i="13"/>
  <c r="U185" i="13"/>
  <c r="T185" i="13"/>
  <c r="S185" i="13"/>
  <c r="R185" i="13"/>
  <c r="Q185" i="13"/>
  <c r="P185" i="13"/>
  <c r="O185" i="13"/>
  <c r="N185" i="13"/>
  <c r="M185" i="13"/>
  <c r="L185" i="13"/>
  <c r="K185" i="13"/>
  <c r="J185" i="13"/>
  <c r="I185" i="13"/>
  <c r="H185" i="13"/>
  <c r="AO185" i="13" s="1"/>
  <c r="G185" i="13"/>
  <c r="F185" i="13"/>
  <c r="E185" i="13"/>
  <c r="D185" i="13"/>
  <c r="AQ184" i="13"/>
  <c r="AJ184" i="13"/>
  <c r="AI184" i="13"/>
  <c r="AH184" i="13"/>
  <c r="AG184" i="13"/>
  <c r="AF184" i="13"/>
  <c r="AE184" i="13"/>
  <c r="AD184" i="13"/>
  <c r="AC184" i="13"/>
  <c r="AB184" i="13"/>
  <c r="AA184" i="13"/>
  <c r="Z184" i="13"/>
  <c r="Y184" i="13"/>
  <c r="X184" i="13"/>
  <c r="W184" i="13"/>
  <c r="V184" i="13"/>
  <c r="U184" i="13"/>
  <c r="T184" i="13"/>
  <c r="S184" i="13"/>
  <c r="R184" i="13"/>
  <c r="Q184" i="13"/>
  <c r="P184" i="13"/>
  <c r="O184" i="13"/>
  <c r="N184" i="13"/>
  <c r="M184" i="13"/>
  <c r="L184" i="13"/>
  <c r="K184" i="13"/>
  <c r="J184" i="13"/>
  <c r="I184" i="13"/>
  <c r="H184" i="13"/>
  <c r="G184" i="13"/>
  <c r="F184" i="13"/>
  <c r="E184" i="13"/>
  <c r="D184" i="13"/>
  <c r="AQ183" i="13"/>
  <c r="AS53" i="13" s="1"/>
  <c r="AO183" i="13"/>
  <c r="AJ183" i="13"/>
  <c r="AI183" i="13"/>
  <c r="AH183" i="13"/>
  <c r="AG183" i="13"/>
  <c r="AF183" i="13"/>
  <c r="AE183" i="13"/>
  <c r="AD183" i="13"/>
  <c r="AC183" i="13"/>
  <c r="AB183" i="13"/>
  <c r="AL183" i="13" s="1"/>
  <c r="AA183" i="13"/>
  <c r="Z183" i="13"/>
  <c r="Y183" i="13"/>
  <c r="X183" i="13"/>
  <c r="W183" i="13"/>
  <c r="V183" i="13"/>
  <c r="AM183" i="13" s="1"/>
  <c r="U183" i="13"/>
  <c r="T183" i="13"/>
  <c r="S183" i="13"/>
  <c r="R183" i="13"/>
  <c r="Q183" i="13"/>
  <c r="P183" i="13"/>
  <c r="O183" i="13"/>
  <c r="N183" i="13"/>
  <c r="M183" i="13"/>
  <c r="L183" i="13"/>
  <c r="AN183" i="13" s="1"/>
  <c r="K183" i="13"/>
  <c r="J183" i="13"/>
  <c r="I183" i="13"/>
  <c r="H183" i="13"/>
  <c r="G183" i="13"/>
  <c r="F183" i="13"/>
  <c r="E183" i="13"/>
  <c r="D183" i="13"/>
  <c r="AJ182" i="13"/>
  <c r="AQ182" i="13" s="1"/>
  <c r="AI182" i="13"/>
  <c r="AH182" i="13"/>
  <c r="AG182" i="13"/>
  <c r="AF182" i="13"/>
  <c r="AE182" i="13"/>
  <c r="AD182" i="13"/>
  <c r="AC182" i="13"/>
  <c r="AB182" i="13"/>
  <c r="AA182" i="13"/>
  <c r="Z182" i="13"/>
  <c r="Y182" i="13"/>
  <c r="X182" i="13"/>
  <c r="W182" i="13"/>
  <c r="V182" i="13"/>
  <c r="U182" i="13"/>
  <c r="T182" i="13"/>
  <c r="S182" i="13"/>
  <c r="R182" i="13"/>
  <c r="Q182" i="13"/>
  <c r="P182" i="13"/>
  <c r="O182" i="13"/>
  <c r="AN182" i="13" s="1"/>
  <c r="N182" i="13"/>
  <c r="M182" i="13"/>
  <c r="L182" i="13"/>
  <c r="K182" i="13"/>
  <c r="J182" i="13"/>
  <c r="I182" i="13"/>
  <c r="H182" i="13"/>
  <c r="G182" i="13"/>
  <c r="AO182" i="13" s="1"/>
  <c r="F182" i="13"/>
  <c r="E182" i="13"/>
  <c r="D182" i="13"/>
  <c r="AM181" i="13"/>
  <c r="AJ181" i="13"/>
  <c r="AQ181" i="13" s="1"/>
  <c r="AI181" i="13"/>
  <c r="AH181" i="13"/>
  <c r="AG181" i="13"/>
  <c r="AF181" i="13"/>
  <c r="AE181" i="13"/>
  <c r="AD181" i="13"/>
  <c r="AC181" i="13"/>
  <c r="AB181" i="13"/>
  <c r="AL181" i="13" s="1"/>
  <c r="AA181" i="13"/>
  <c r="Z181" i="13"/>
  <c r="Y181" i="13"/>
  <c r="X181" i="13"/>
  <c r="W181" i="13"/>
  <c r="V181" i="13"/>
  <c r="U181" i="13"/>
  <c r="T181" i="13"/>
  <c r="S181" i="13"/>
  <c r="R181" i="13"/>
  <c r="Q181" i="13"/>
  <c r="P181" i="13"/>
  <c r="O181" i="13"/>
  <c r="N181" i="13"/>
  <c r="AN181" i="13" s="1"/>
  <c r="M181" i="13"/>
  <c r="L181" i="13"/>
  <c r="K181" i="13"/>
  <c r="J181" i="13"/>
  <c r="I181" i="13"/>
  <c r="H181" i="13"/>
  <c r="G181" i="13"/>
  <c r="F181" i="13"/>
  <c r="E181" i="13"/>
  <c r="D181" i="13"/>
  <c r="AO181" i="13" s="1"/>
  <c r="AQ180" i="13"/>
  <c r="AJ180" i="13"/>
  <c r="AI180" i="13"/>
  <c r="AH180" i="13"/>
  <c r="AG180" i="13"/>
  <c r="AF180" i="13"/>
  <c r="AE180" i="13"/>
  <c r="AD180" i="13"/>
  <c r="AC180" i="13"/>
  <c r="AB180" i="13"/>
  <c r="AA180" i="13"/>
  <c r="Z180" i="13"/>
  <c r="Y180" i="13"/>
  <c r="X180" i="13"/>
  <c r="W180" i="13"/>
  <c r="V180" i="13"/>
  <c r="AM180" i="13" s="1"/>
  <c r="U180" i="13"/>
  <c r="T180" i="13"/>
  <c r="S180" i="13"/>
  <c r="R180" i="13"/>
  <c r="Q180" i="13"/>
  <c r="P180" i="13"/>
  <c r="O180" i="13"/>
  <c r="N180" i="13"/>
  <c r="M180" i="13"/>
  <c r="L180" i="13"/>
  <c r="K180" i="13"/>
  <c r="J180" i="13"/>
  <c r="I180" i="13"/>
  <c r="H180" i="13"/>
  <c r="G180" i="13"/>
  <c r="F180" i="13"/>
  <c r="E180" i="13"/>
  <c r="D180" i="13"/>
  <c r="AJ179" i="13"/>
  <c r="AQ179" i="13" s="1"/>
  <c r="AI179" i="13"/>
  <c r="AH179" i="13"/>
  <c r="AG179" i="13"/>
  <c r="AF179" i="13"/>
  <c r="AE179" i="13"/>
  <c r="AD179" i="13"/>
  <c r="AC179" i="13"/>
  <c r="AL179" i="13" s="1"/>
  <c r="AB179" i="13"/>
  <c r="AA179" i="13"/>
  <c r="Z179" i="13"/>
  <c r="Y179" i="13"/>
  <c r="X179" i="13"/>
  <c r="W179" i="13"/>
  <c r="V179" i="13"/>
  <c r="U179" i="13"/>
  <c r="T179" i="13"/>
  <c r="S179" i="13"/>
  <c r="R179" i="13"/>
  <c r="Q179" i="13"/>
  <c r="P179" i="13"/>
  <c r="O179" i="13"/>
  <c r="N179" i="13"/>
  <c r="M179" i="13"/>
  <c r="L179" i="13"/>
  <c r="K179" i="13"/>
  <c r="J179" i="13"/>
  <c r="I179" i="13"/>
  <c r="H179" i="13"/>
  <c r="G179" i="13"/>
  <c r="F179" i="13"/>
  <c r="E179" i="13"/>
  <c r="D179" i="13"/>
  <c r="AJ178" i="13"/>
  <c r="AQ178" i="13" s="1"/>
  <c r="AI178" i="13"/>
  <c r="AH178" i="13"/>
  <c r="AG178" i="13"/>
  <c r="AF178" i="13"/>
  <c r="AE178" i="13"/>
  <c r="AD178" i="13"/>
  <c r="AC178" i="13"/>
  <c r="AB178" i="13"/>
  <c r="AA178" i="13"/>
  <c r="Z178" i="13"/>
  <c r="Y178" i="13"/>
  <c r="X178" i="13"/>
  <c r="W178" i="13"/>
  <c r="V178" i="13"/>
  <c r="U178" i="13"/>
  <c r="T178" i="13"/>
  <c r="S178" i="13"/>
  <c r="R178" i="13"/>
  <c r="Q178" i="13"/>
  <c r="P178" i="13"/>
  <c r="O178" i="13"/>
  <c r="N178" i="13"/>
  <c r="M178" i="13"/>
  <c r="L178" i="13"/>
  <c r="K178" i="13"/>
  <c r="J178" i="13"/>
  <c r="I178" i="13"/>
  <c r="H178" i="13"/>
  <c r="G178" i="13"/>
  <c r="F178" i="13"/>
  <c r="E178" i="13"/>
  <c r="D178" i="13"/>
  <c r="AJ177" i="13"/>
  <c r="AQ177" i="13" s="1"/>
  <c r="AI177" i="13"/>
  <c r="AH177" i="13"/>
  <c r="AG177" i="13"/>
  <c r="AF177" i="13"/>
  <c r="AE177" i="13"/>
  <c r="AD177" i="13"/>
  <c r="AC177" i="13"/>
  <c r="AB177" i="13"/>
  <c r="AA177" i="13"/>
  <c r="Z177" i="13"/>
  <c r="Y177" i="13"/>
  <c r="X177" i="13"/>
  <c r="W177" i="13"/>
  <c r="V177" i="13"/>
  <c r="U177" i="13"/>
  <c r="T177" i="13"/>
  <c r="S177" i="13"/>
  <c r="R177" i="13"/>
  <c r="Q177" i="13"/>
  <c r="P177" i="13"/>
  <c r="O177" i="13"/>
  <c r="N177" i="13"/>
  <c r="M177" i="13"/>
  <c r="L177" i="13"/>
  <c r="K177" i="13"/>
  <c r="J177" i="13"/>
  <c r="I177" i="13"/>
  <c r="H177" i="13"/>
  <c r="G177" i="13"/>
  <c r="F177" i="13"/>
  <c r="E177" i="13"/>
  <c r="D177" i="13"/>
  <c r="C177" i="13"/>
  <c r="AQ176" i="13"/>
  <c r="AJ176" i="13"/>
  <c r="AI176" i="13"/>
  <c r="AH176" i="13"/>
  <c r="AG176" i="13"/>
  <c r="AF176" i="13"/>
  <c r="AE176" i="13"/>
  <c r="AD176" i="13"/>
  <c r="AC176" i="13"/>
  <c r="AB176" i="13"/>
  <c r="AA176" i="13"/>
  <c r="Z176" i="13"/>
  <c r="Y176" i="13"/>
  <c r="X176" i="13"/>
  <c r="W176" i="13"/>
  <c r="V176" i="13"/>
  <c r="U176" i="13"/>
  <c r="T176" i="13"/>
  <c r="S176" i="13"/>
  <c r="R176" i="13"/>
  <c r="Q176" i="13"/>
  <c r="P176" i="13"/>
  <c r="O176" i="13"/>
  <c r="N176" i="13"/>
  <c r="M176" i="13"/>
  <c r="L176" i="13"/>
  <c r="K176" i="13"/>
  <c r="J176" i="13"/>
  <c r="I176" i="13"/>
  <c r="H176" i="13"/>
  <c r="G176" i="13"/>
  <c r="F176" i="13"/>
  <c r="E176" i="13"/>
  <c r="D176" i="13"/>
  <c r="AQ175" i="13"/>
  <c r="AJ175" i="13"/>
  <c r="AI175" i="13"/>
  <c r="AH175" i="13"/>
  <c r="AG175" i="13"/>
  <c r="AF175" i="13"/>
  <c r="AE175" i="13"/>
  <c r="AD175" i="13"/>
  <c r="AC175" i="13"/>
  <c r="AB175" i="13"/>
  <c r="AA175" i="13"/>
  <c r="Z175" i="13"/>
  <c r="Y175" i="13"/>
  <c r="X175" i="13"/>
  <c r="W175" i="13"/>
  <c r="V175" i="13"/>
  <c r="U175" i="13"/>
  <c r="T175" i="13"/>
  <c r="S175" i="13"/>
  <c r="R175" i="13"/>
  <c r="Q175" i="13"/>
  <c r="P175" i="13"/>
  <c r="O175" i="13"/>
  <c r="N175" i="13"/>
  <c r="M175" i="13"/>
  <c r="L175" i="13"/>
  <c r="K175" i="13"/>
  <c r="J175" i="13"/>
  <c r="I175" i="13"/>
  <c r="H175" i="13"/>
  <c r="AO175" i="13" s="1"/>
  <c r="G175" i="13"/>
  <c r="F175" i="13"/>
  <c r="E175" i="13"/>
  <c r="D175" i="13"/>
  <c r="AO174" i="13"/>
  <c r="AJ174" i="13"/>
  <c r="AQ174" i="13" s="1"/>
  <c r="AI174" i="13"/>
  <c r="AH174" i="13"/>
  <c r="AG174" i="13"/>
  <c r="AF174" i="13"/>
  <c r="AE174" i="13"/>
  <c r="AD174" i="13"/>
  <c r="AC174" i="13"/>
  <c r="AB174" i="13"/>
  <c r="AA174" i="13"/>
  <c r="Z174" i="13"/>
  <c r="Y174" i="13"/>
  <c r="X174" i="13"/>
  <c r="W174" i="13"/>
  <c r="V174" i="13"/>
  <c r="U174" i="13"/>
  <c r="T174" i="13"/>
  <c r="AM174" i="13" s="1"/>
  <c r="S174" i="13"/>
  <c r="R174" i="13"/>
  <c r="Q174" i="13"/>
  <c r="P174" i="13"/>
  <c r="O174" i="13"/>
  <c r="AN174" i="13" s="1"/>
  <c r="N174" i="13"/>
  <c r="M174" i="13"/>
  <c r="L174" i="13"/>
  <c r="K174" i="13"/>
  <c r="J174" i="13"/>
  <c r="I174" i="13"/>
  <c r="H174" i="13"/>
  <c r="G174" i="13"/>
  <c r="F174" i="13"/>
  <c r="E174" i="13"/>
  <c r="D174" i="13"/>
  <c r="AJ173" i="13"/>
  <c r="AQ173" i="13" s="1"/>
  <c r="AI173" i="13"/>
  <c r="AH173" i="13"/>
  <c r="AG173" i="13"/>
  <c r="AF173" i="13"/>
  <c r="AE173" i="13"/>
  <c r="AD173" i="13"/>
  <c r="AC173" i="13"/>
  <c r="AB173" i="13"/>
  <c r="AA173" i="13"/>
  <c r="Z173" i="13"/>
  <c r="Y173" i="13"/>
  <c r="X173" i="13"/>
  <c r="W173" i="13"/>
  <c r="AM173" i="13" s="1"/>
  <c r="V173" i="13"/>
  <c r="U173" i="13"/>
  <c r="T173" i="13"/>
  <c r="S173" i="13"/>
  <c r="R173" i="13"/>
  <c r="Q173" i="13"/>
  <c r="P173" i="13"/>
  <c r="O173" i="13"/>
  <c r="N173" i="13"/>
  <c r="AN173" i="13" s="1"/>
  <c r="M173" i="13"/>
  <c r="L173" i="13"/>
  <c r="K173" i="13"/>
  <c r="J173" i="13"/>
  <c r="I173" i="13"/>
  <c r="H173" i="13"/>
  <c r="G173" i="13"/>
  <c r="F173" i="13"/>
  <c r="E173" i="13"/>
  <c r="D173" i="13"/>
  <c r="AQ172" i="13"/>
  <c r="AJ172" i="13"/>
  <c r="AI172" i="13"/>
  <c r="AH172" i="13"/>
  <c r="AG172" i="13"/>
  <c r="AF172" i="13"/>
  <c r="AE172" i="13"/>
  <c r="AD172" i="13"/>
  <c r="AC172" i="13"/>
  <c r="AL172" i="13" s="1"/>
  <c r="AB172" i="13"/>
  <c r="AA172" i="13"/>
  <c r="Z172" i="13"/>
  <c r="Y172" i="13"/>
  <c r="X172" i="13"/>
  <c r="W172" i="13"/>
  <c r="V172" i="13"/>
  <c r="U172" i="13"/>
  <c r="AM172" i="13" s="1"/>
  <c r="T172" i="13"/>
  <c r="S172" i="13"/>
  <c r="R172" i="13"/>
  <c r="Q172" i="13"/>
  <c r="P172" i="13"/>
  <c r="O172" i="13"/>
  <c r="N172" i="13"/>
  <c r="M172" i="13"/>
  <c r="AN172" i="13" s="1"/>
  <c r="L172" i="13"/>
  <c r="K172" i="13"/>
  <c r="J172" i="13"/>
  <c r="I172" i="13"/>
  <c r="H172" i="13"/>
  <c r="G172" i="13"/>
  <c r="F172" i="13"/>
  <c r="E172" i="13"/>
  <c r="AO172" i="13" s="1"/>
  <c r="D172" i="13"/>
  <c r="AJ171" i="13"/>
  <c r="AQ171" i="13" s="1"/>
  <c r="AI171" i="13"/>
  <c r="AH171" i="13"/>
  <c r="AG171" i="13"/>
  <c r="AF171" i="13"/>
  <c r="AE171" i="13"/>
  <c r="AD171" i="13"/>
  <c r="AC171" i="13"/>
  <c r="AL171" i="13" s="1"/>
  <c r="AB171" i="13"/>
  <c r="AA171" i="13"/>
  <c r="Z171" i="13"/>
  <c r="Y171" i="13"/>
  <c r="X171" i="13"/>
  <c r="W171" i="13"/>
  <c r="V171" i="13"/>
  <c r="U171" i="13"/>
  <c r="T171" i="13"/>
  <c r="S171" i="13"/>
  <c r="R171" i="13"/>
  <c r="Q171" i="13"/>
  <c r="P171" i="13"/>
  <c r="O171" i="13"/>
  <c r="N171" i="13"/>
  <c r="M171" i="13"/>
  <c r="L171" i="13"/>
  <c r="K171" i="13"/>
  <c r="J171" i="13"/>
  <c r="I171" i="13"/>
  <c r="H171" i="13"/>
  <c r="G171" i="13"/>
  <c r="F171" i="13"/>
  <c r="E171" i="13"/>
  <c r="D171" i="13"/>
  <c r="AJ170" i="13"/>
  <c r="AQ170" i="13" s="1"/>
  <c r="AI170" i="13"/>
  <c r="AH170" i="13"/>
  <c r="AG170" i="13"/>
  <c r="AF170" i="13"/>
  <c r="AE170" i="13"/>
  <c r="AD170" i="13"/>
  <c r="AC170" i="13"/>
  <c r="AB170" i="13"/>
  <c r="AA170" i="13"/>
  <c r="Z170" i="13"/>
  <c r="Y170" i="13"/>
  <c r="X170" i="13"/>
  <c r="W170" i="13"/>
  <c r="V170" i="13"/>
  <c r="U170" i="13"/>
  <c r="T170" i="13"/>
  <c r="S170" i="13"/>
  <c r="R170" i="13"/>
  <c r="Q170" i="13"/>
  <c r="P170" i="13"/>
  <c r="O170" i="13"/>
  <c r="N170" i="13"/>
  <c r="M170" i="13"/>
  <c r="L170" i="13"/>
  <c r="K170" i="13"/>
  <c r="J170" i="13"/>
  <c r="I170" i="13"/>
  <c r="H170" i="13"/>
  <c r="G170" i="13"/>
  <c r="F170" i="13"/>
  <c r="E170" i="13"/>
  <c r="D170" i="13"/>
  <c r="AJ169" i="13"/>
  <c r="AQ169" i="13" s="1"/>
  <c r="AI169" i="13"/>
  <c r="AH169" i="13"/>
  <c r="AG169" i="13"/>
  <c r="AF169" i="13"/>
  <c r="AE169" i="13"/>
  <c r="AD169" i="13"/>
  <c r="AC169" i="13"/>
  <c r="AB169" i="13"/>
  <c r="AA169" i="13"/>
  <c r="Z169" i="13"/>
  <c r="Y169" i="13"/>
  <c r="X169" i="13"/>
  <c r="W169" i="13"/>
  <c r="V169" i="13"/>
  <c r="U169" i="13"/>
  <c r="T169" i="13"/>
  <c r="S169" i="13"/>
  <c r="R169" i="13"/>
  <c r="Q169" i="13"/>
  <c r="P169" i="13"/>
  <c r="O169" i="13"/>
  <c r="N169" i="13"/>
  <c r="M169" i="13"/>
  <c r="L169" i="13"/>
  <c r="K169" i="13"/>
  <c r="J169" i="13"/>
  <c r="I169" i="13"/>
  <c r="H169" i="13"/>
  <c r="G169" i="13"/>
  <c r="F169" i="13"/>
  <c r="E169" i="13"/>
  <c r="D169" i="13"/>
  <c r="AQ168" i="13"/>
  <c r="AS39" i="13" s="1"/>
  <c r="AJ168" i="13"/>
  <c r="AI168" i="13"/>
  <c r="AH168" i="13"/>
  <c r="AG168" i="13"/>
  <c r="AF168" i="13"/>
  <c r="AE168" i="13"/>
  <c r="AD168" i="13"/>
  <c r="AC168" i="13"/>
  <c r="AB168" i="13"/>
  <c r="AL168" i="13" s="1"/>
  <c r="AA168" i="13"/>
  <c r="Z168" i="13"/>
  <c r="Y168" i="13"/>
  <c r="X168" i="13"/>
  <c r="W168" i="13"/>
  <c r="V168" i="13"/>
  <c r="U168" i="13"/>
  <c r="T168" i="13"/>
  <c r="AM168" i="13" s="1"/>
  <c r="S168" i="13"/>
  <c r="R168" i="13"/>
  <c r="Q168" i="13"/>
  <c r="P168" i="13"/>
  <c r="O168" i="13"/>
  <c r="N168" i="13"/>
  <c r="M168" i="13"/>
  <c r="L168" i="13"/>
  <c r="K168" i="13"/>
  <c r="J168" i="13"/>
  <c r="I168" i="13"/>
  <c r="H168" i="13"/>
  <c r="G168" i="13"/>
  <c r="F168" i="13"/>
  <c r="E168" i="13"/>
  <c r="D168" i="13"/>
  <c r="AO168" i="13" s="1"/>
  <c r="AQ167" i="13"/>
  <c r="AJ167" i="13"/>
  <c r="AI167" i="13"/>
  <c r="AH167" i="13"/>
  <c r="AG167" i="13"/>
  <c r="AF167" i="13"/>
  <c r="AE167" i="13"/>
  <c r="AD167" i="13"/>
  <c r="AC167" i="13"/>
  <c r="AB167" i="13"/>
  <c r="AA167" i="13"/>
  <c r="Z167" i="13"/>
  <c r="Y167" i="13"/>
  <c r="X167" i="13"/>
  <c r="W167" i="13"/>
  <c r="V167" i="13"/>
  <c r="AM167" i="13" s="1"/>
  <c r="U167" i="13"/>
  <c r="T167" i="13"/>
  <c r="S167" i="13"/>
  <c r="R167" i="13"/>
  <c r="Q167" i="13"/>
  <c r="P167" i="13"/>
  <c r="O167" i="13"/>
  <c r="N167" i="13"/>
  <c r="M167" i="13"/>
  <c r="L167" i="13"/>
  <c r="K167" i="13"/>
  <c r="J167" i="13"/>
  <c r="I167" i="13"/>
  <c r="H167" i="13"/>
  <c r="G167" i="13"/>
  <c r="F167" i="13"/>
  <c r="AO167" i="13" s="1"/>
  <c r="E167" i="13"/>
  <c r="D167" i="13"/>
  <c r="AJ166" i="13"/>
  <c r="AQ166" i="13" s="1"/>
  <c r="AS36" i="13" s="1"/>
  <c r="AI166" i="13"/>
  <c r="AH166" i="13"/>
  <c r="AG166" i="13"/>
  <c r="AF166" i="13"/>
  <c r="AE166" i="13"/>
  <c r="AD166" i="13"/>
  <c r="AC166" i="13"/>
  <c r="AL166" i="13" s="1"/>
  <c r="AB166" i="13"/>
  <c r="AA166" i="13"/>
  <c r="Z166" i="13"/>
  <c r="Y166" i="13"/>
  <c r="X166" i="13"/>
  <c r="W166" i="13"/>
  <c r="V166" i="13"/>
  <c r="U166" i="13"/>
  <c r="T166" i="13"/>
  <c r="AM166" i="13" s="1"/>
  <c r="S166" i="13"/>
  <c r="R166" i="13"/>
  <c r="Q166" i="13"/>
  <c r="P166" i="13"/>
  <c r="O166" i="13"/>
  <c r="N166" i="13"/>
  <c r="M166" i="13"/>
  <c r="AN166" i="13" s="1"/>
  <c r="L166" i="13"/>
  <c r="K166" i="13"/>
  <c r="J166" i="13"/>
  <c r="I166" i="13"/>
  <c r="H166" i="13"/>
  <c r="G166" i="13"/>
  <c r="F166" i="13"/>
  <c r="E166" i="13"/>
  <c r="AO166" i="13" s="1"/>
  <c r="D166" i="13"/>
  <c r="AJ165" i="13"/>
  <c r="AQ165" i="13" s="1"/>
  <c r="AI165" i="13"/>
  <c r="AH165" i="13"/>
  <c r="AG165" i="13"/>
  <c r="AF165" i="13"/>
  <c r="AE165" i="13"/>
  <c r="AD165" i="13"/>
  <c r="AC165" i="13"/>
  <c r="AB165" i="13"/>
  <c r="AA165" i="13"/>
  <c r="Z165" i="13"/>
  <c r="Y165" i="13"/>
  <c r="X165" i="13"/>
  <c r="W165" i="13"/>
  <c r="AM165" i="13" s="1"/>
  <c r="V165" i="13"/>
  <c r="U165" i="13"/>
  <c r="T165" i="13"/>
  <c r="S165" i="13"/>
  <c r="R165" i="13"/>
  <c r="Q165" i="13"/>
  <c r="P165" i="13"/>
  <c r="O165" i="13"/>
  <c r="N165" i="13"/>
  <c r="AN165" i="13" s="1"/>
  <c r="M165" i="13"/>
  <c r="L165" i="13"/>
  <c r="K165" i="13"/>
  <c r="J165" i="13"/>
  <c r="I165" i="13"/>
  <c r="H165" i="13"/>
  <c r="G165" i="13"/>
  <c r="F165" i="13"/>
  <c r="E165" i="13"/>
  <c r="D165" i="13"/>
  <c r="AQ164" i="13"/>
  <c r="AJ164" i="13"/>
  <c r="AI164" i="13"/>
  <c r="AH164" i="13"/>
  <c r="AG164" i="13"/>
  <c r="AF164" i="13"/>
  <c r="AE164" i="13"/>
  <c r="AD164" i="13"/>
  <c r="AC164" i="13"/>
  <c r="AB164" i="13"/>
  <c r="AA164" i="13"/>
  <c r="Z164" i="13"/>
  <c r="Y164" i="13"/>
  <c r="X164" i="13"/>
  <c r="W164" i="13"/>
  <c r="V164" i="13"/>
  <c r="U164" i="13"/>
  <c r="T164" i="13"/>
  <c r="S164" i="13"/>
  <c r="R164" i="13"/>
  <c r="Q164" i="13"/>
  <c r="P164" i="13"/>
  <c r="O164" i="13"/>
  <c r="N164" i="13"/>
  <c r="M164" i="13"/>
  <c r="L164" i="13"/>
  <c r="K164" i="13"/>
  <c r="J164" i="13"/>
  <c r="I164" i="13"/>
  <c r="H164" i="13"/>
  <c r="G164" i="13"/>
  <c r="F164" i="13"/>
  <c r="E164" i="13"/>
  <c r="D164" i="13"/>
  <c r="C164" i="13"/>
  <c r="AJ163" i="13"/>
  <c r="AQ163" i="13" s="1"/>
  <c r="AI163" i="13"/>
  <c r="AH163" i="13"/>
  <c r="AG163" i="13"/>
  <c r="AF163" i="13"/>
  <c r="AE163" i="13"/>
  <c r="AD163" i="13"/>
  <c r="AC163" i="13"/>
  <c r="AB163" i="13"/>
  <c r="AL163" i="13" s="1"/>
  <c r="AA163" i="13"/>
  <c r="Z163" i="13"/>
  <c r="Y163" i="13"/>
  <c r="X163" i="13"/>
  <c r="W163" i="13"/>
  <c r="V163" i="13"/>
  <c r="U163" i="13"/>
  <c r="T163" i="13"/>
  <c r="AM163" i="13" s="1"/>
  <c r="S163" i="13"/>
  <c r="R163" i="13"/>
  <c r="Q163" i="13"/>
  <c r="P163" i="13"/>
  <c r="O163" i="13"/>
  <c r="N163" i="13"/>
  <c r="M163" i="13"/>
  <c r="L163" i="13"/>
  <c r="AN163" i="13" s="1"/>
  <c r="K163" i="13"/>
  <c r="J163" i="13"/>
  <c r="I163" i="13"/>
  <c r="H163" i="13"/>
  <c r="G163" i="13"/>
  <c r="F163" i="13"/>
  <c r="E163" i="13"/>
  <c r="D163" i="13"/>
  <c r="AO163" i="13" s="1"/>
  <c r="AJ162" i="13"/>
  <c r="AQ162" i="13" s="1"/>
  <c r="AI162" i="13"/>
  <c r="AH162" i="13"/>
  <c r="AG162" i="13"/>
  <c r="AF162" i="13"/>
  <c r="AE162" i="13"/>
  <c r="AD162" i="13"/>
  <c r="AC162" i="13"/>
  <c r="AB162" i="13"/>
  <c r="AA162" i="13"/>
  <c r="Z162" i="13"/>
  <c r="Y162" i="13"/>
  <c r="X162" i="13"/>
  <c r="W162" i="13"/>
  <c r="V162" i="13"/>
  <c r="U162" i="13"/>
  <c r="T162" i="13"/>
  <c r="S162" i="13"/>
  <c r="R162" i="13"/>
  <c r="Q162" i="13"/>
  <c r="P162" i="13"/>
  <c r="O162" i="13"/>
  <c r="N162" i="13"/>
  <c r="M162" i="13"/>
  <c r="L162" i="13"/>
  <c r="K162" i="13"/>
  <c r="J162" i="13"/>
  <c r="I162" i="13"/>
  <c r="H162" i="13"/>
  <c r="G162" i="13"/>
  <c r="F162" i="13"/>
  <c r="E162" i="13"/>
  <c r="D162" i="13"/>
  <c r="AJ161" i="13"/>
  <c r="AQ161" i="13" s="1"/>
  <c r="AI161" i="13"/>
  <c r="AH161" i="13"/>
  <c r="AG161" i="13"/>
  <c r="AF161" i="13"/>
  <c r="AE161" i="13"/>
  <c r="AD161" i="13"/>
  <c r="AC161" i="13"/>
  <c r="AB161" i="13"/>
  <c r="AA161" i="13"/>
  <c r="Z161" i="13"/>
  <c r="Y161" i="13"/>
  <c r="X161" i="13"/>
  <c r="W161" i="13"/>
  <c r="V161" i="13"/>
  <c r="U161" i="13"/>
  <c r="T161" i="13"/>
  <c r="S161" i="13"/>
  <c r="R161" i="13"/>
  <c r="Q161" i="13"/>
  <c r="P161" i="13"/>
  <c r="O161" i="13"/>
  <c r="N161" i="13"/>
  <c r="M161" i="13"/>
  <c r="L161" i="13"/>
  <c r="K161" i="13"/>
  <c r="J161" i="13"/>
  <c r="I161" i="13"/>
  <c r="H161" i="13"/>
  <c r="AO161" i="13" s="1"/>
  <c r="G161" i="13"/>
  <c r="F161" i="13"/>
  <c r="E161" i="13"/>
  <c r="D161" i="13"/>
  <c r="AQ160" i="13"/>
  <c r="AN160" i="13"/>
  <c r="AJ160" i="13"/>
  <c r="AI160" i="13"/>
  <c r="AH160" i="13"/>
  <c r="AG160" i="13"/>
  <c r="AF160" i="13"/>
  <c r="AE160" i="13"/>
  <c r="AD160" i="13"/>
  <c r="AC160" i="13"/>
  <c r="AB160" i="13"/>
  <c r="AA160" i="13"/>
  <c r="Z160" i="13"/>
  <c r="Y160" i="13"/>
  <c r="X160" i="13"/>
  <c r="W160" i="13"/>
  <c r="V160" i="13"/>
  <c r="U160" i="13"/>
  <c r="T160" i="13"/>
  <c r="S160" i="13"/>
  <c r="R160" i="13"/>
  <c r="Q160" i="13"/>
  <c r="P160" i="13"/>
  <c r="O160" i="13"/>
  <c r="N160" i="13"/>
  <c r="M160" i="13"/>
  <c r="L160" i="13"/>
  <c r="K160" i="13"/>
  <c r="J160" i="13"/>
  <c r="I160" i="13"/>
  <c r="H160" i="13"/>
  <c r="G160" i="13"/>
  <c r="F160" i="13"/>
  <c r="E160" i="13"/>
  <c r="D160" i="13"/>
  <c r="AQ159" i="13"/>
  <c r="AJ159" i="13"/>
  <c r="AI159" i="13"/>
  <c r="AH159" i="13"/>
  <c r="AG159" i="13"/>
  <c r="AF159" i="13"/>
  <c r="AE159" i="13"/>
  <c r="AD159" i="13"/>
  <c r="AC159" i="13"/>
  <c r="AB159" i="13"/>
  <c r="AA159" i="13"/>
  <c r="Z159" i="13"/>
  <c r="Y159" i="13"/>
  <c r="X159" i="13"/>
  <c r="W159" i="13"/>
  <c r="V159" i="13"/>
  <c r="AM159" i="13" s="1"/>
  <c r="U159" i="13"/>
  <c r="T159" i="13"/>
  <c r="S159" i="13"/>
  <c r="R159" i="13"/>
  <c r="Q159" i="13"/>
  <c r="P159" i="13"/>
  <c r="O159" i="13"/>
  <c r="N159" i="13"/>
  <c r="M159" i="13"/>
  <c r="L159" i="13"/>
  <c r="K159" i="13"/>
  <c r="J159" i="13"/>
  <c r="I159" i="13"/>
  <c r="H159" i="13"/>
  <c r="G159" i="13"/>
  <c r="F159" i="13"/>
  <c r="AO159" i="13" s="1"/>
  <c r="E159" i="13"/>
  <c r="D159" i="13"/>
  <c r="AJ158" i="13"/>
  <c r="AQ158" i="13" s="1"/>
  <c r="AI158" i="13"/>
  <c r="AH158" i="13"/>
  <c r="AG158" i="13"/>
  <c r="AF158" i="13"/>
  <c r="AE158" i="13"/>
  <c r="AD158" i="13"/>
  <c r="AC158" i="13"/>
  <c r="AL158" i="13" s="1"/>
  <c r="AB158" i="13"/>
  <c r="AA158" i="13"/>
  <c r="Z158" i="13"/>
  <c r="Y158" i="13"/>
  <c r="X158" i="13"/>
  <c r="W158" i="13"/>
  <c r="V158" i="13"/>
  <c r="U158" i="13"/>
  <c r="T158" i="13"/>
  <c r="S158" i="13"/>
  <c r="R158" i="13"/>
  <c r="Q158" i="13"/>
  <c r="P158" i="13"/>
  <c r="O158" i="13"/>
  <c r="N158" i="13"/>
  <c r="M158" i="13"/>
  <c r="L158" i="13"/>
  <c r="K158" i="13"/>
  <c r="J158" i="13"/>
  <c r="I158" i="13"/>
  <c r="H158" i="13"/>
  <c r="G158" i="13"/>
  <c r="F158" i="13"/>
  <c r="E158" i="13"/>
  <c r="AO158" i="13" s="1"/>
  <c r="D158" i="13"/>
  <c r="AM157" i="13"/>
  <c r="AJ157" i="13"/>
  <c r="AQ157" i="13" s="1"/>
  <c r="AI157" i="13"/>
  <c r="AH157" i="13"/>
  <c r="AG157" i="13"/>
  <c r="AF157" i="13"/>
  <c r="AE157" i="13"/>
  <c r="AD157" i="13"/>
  <c r="AC157" i="13"/>
  <c r="AB157" i="13"/>
  <c r="AA157" i="13"/>
  <c r="Z157" i="13"/>
  <c r="Y157" i="13"/>
  <c r="X157" i="13"/>
  <c r="W157" i="13"/>
  <c r="V157" i="13"/>
  <c r="U157" i="13"/>
  <c r="T157" i="13"/>
  <c r="S157" i="13"/>
  <c r="R157" i="13"/>
  <c r="Q157" i="13"/>
  <c r="P157" i="13"/>
  <c r="O157" i="13"/>
  <c r="N157" i="13"/>
  <c r="AN157" i="13" s="1"/>
  <c r="M157" i="13"/>
  <c r="L157" i="13"/>
  <c r="K157" i="13"/>
  <c r="J157" i="13"/>
  <c r="I157" i="13"/>
  <c r="H157" i="13"/>
  <c r="G157" i="13"/>
  <c r="F157" i="13"/>
  <c r="E157" i="13"/>
  <c r="D157" i="13"/>
  <c r="AJ156" i="13"/>
  <c r="AQ156" i="13" s="1"/>
  <c r="AI156" i="13"/>
  <c r="AH156" i="13"/>
  <c r="AG156" i="13"/>
  <c r="AF156" i="13"/>
  <c r="AE156" i="13"/>
  <c r="AD156" i="13"/>
  <c r="AC156" i="13"/>
  <c r="AL156" i="13" s="1"/>
  <c r="AB156" i="13"/>
  <c r="AA156" i="13"/>
  <c r="Z156" i="13"/>
  <c r="Y156" i="13"/>
  <c r="X156" i="13"/>
  <c r="W156" i="13"/>
  <c r="V156" i="13"/>
  <c r="U156" i="13"/>
  <c r="AM156" i="13" s="1"/>
  <c r="T156" i="13"/>
  <c r="S156" i="13"/>
  <c r="R156" i="13"/>
  <c r="Q156" i="13"/>
  <c r="P156" i="13"/>
  <c r="O156" i="13"/>
  <c r="N156" i="13"/>
  <c r="M156" i="13"/>
  <c r="L156" i="13"/>
  <c r="K156" i="13"/>
  <c r="J156" i="13"/>
  <c r="I156" i="13"/>
  <c r="H156" i="13"/>
  <c r="G156" i="13"/>
  <c r="F156" i="13"/>
  <c r="E156" i="13"/>
  <c r="AO156" i="13" s="1"/>
  <c r="D156" i="13"/>
  <c r="AJ155" i="13"/>
  <c r="AQ155" i="13" s="1"/>
  <c r="AI155" i="13"/>
  <c r="AH155" i="13"/>
  <c r="AG155" i="13"/>
  <c r="AF155" i="13"/>
  <c r="AE155" i="13"/>
  <c r="AD155" i="13"/>
  <c r="AC155" i="13"/>
  <c r="AB155" i="13"/>
  <c r="AL155" i="13" s="1"/>
  <c r="AA155" i="13"/>
  <c r="Z155" i="13"/>
  <c r="Y155" i="13"/>
  <c r="X155" i="13"/>
  <c r="W155" i="13"/>
  <c r="V155" i="13"/>
  <c r="U155" i="13"/>
  <c r="T155" i="13"/>
  <c r="AM155" i="13" s="1"/>
  <c r="S155" i="13"/>
  <c r="R155" i="13"/>
  <c r="Q155" i="13"/>
  <c r="P155" i="13"/>
  <c r="O155" i="13"/>
  <c r="N155" i="13"/>
  <c r="M155" i="13"/>
  <c r="L155" i="13"/>
  <c r="AN155" i="13" s="1"/>
  <c r="K155" i="13"/>
  <c r="J155" i="13"/>
  <c r="I155" i="13"/>
  <c r="H155" i="13"/>
  <c r="G155" i="13"/>
  <c r="F155" i="13"/>
  <c r="E155" i="13"/>
  <c r="D155" i="13"/>
  <c r="AO155" i="13" s="1"/>
  <c r="AQ154" i="13"/>
  <c r="AJ154" i="13"/>
  <c r="AI154" i="13"/>
  <c r="AH154" i="13"/>
  <c r="AG154" i="13"/>
  <c r="AF154" i="13"/>
  <c r="AE154" i="13"/>
  <c r="AD154" i="13"/>
  <c r="AC154" i="13"/>
  <c r="AB154" i="13"/>
  <c r="AA154" i="13"/>
  <c r="Z154" i="13"/>
  <c r="Y154" i="13"/>
  <c r="X154" i="13"/>
  <c r="W154" i="13"/>
  <c r="V154" i="13"/>
  <c r="U154" i="13"/>
  <c r="T154" i="13"/>
  <c r="S154" i="13"/>
  <c r="R154" i="13"/>
  <c r="Q154" i="13"/>
  <c r="P154" i="13"/>
  <c r="O154" i="13"/>
  <c r="N154" i="13"/>
  <c r="M154" i="13"/>
  <c r="L154" i="13"/>
  <c r="K154" i="13"/>
  <c r="J154" i="13"/>
  <c r="I154" i="13"/>
  <c r="H154" i="13"/>
  <c r="G154" i="13"/>
  <c r="F154" i="13"/>
  <c r="E154" i="13"/>
  <c r="D154" i="13"/>
  <c r="AQ153" i="13"/>
  <c r="AO153" i="13"/>
  <c r="AJ153" i="13"/>
  <c r="AI153" i="13"/>
  <c r="AH153" i="13"/>
  <c r="AG153" i="13"/>
  <c r="AF153" i="13"/>
  <c r="AE153" i="13"/>
  <c r="AD153" i="13"/>
  <c r="AC153" i="13"/>
  <c r="AL153" i="13" s="1"/>
  <c r="AB153" i="13"/>
  <c r="AA153" i="13"/>
  <c r="Z153" i="13"/>
  <c r="Y153" i="13"/>
  <c r="X153" i="13"/>
  <c r="W153" i="13"/>
  <c r="V153" i="13"/>
  <c r="U153" i="13"/>
  <c r="T153" i="13"/>
  <c r="AM153" i="13" s="1"/>
  <c r="S153" i="13"/>
  <c r="R153" i="13"/>
  <c r="Q153" i="13"/>
  <c r="P153" i="13"/>
  <c r="O153" i="13"/>
  <c r="N153" i="13"/>
  <c r="M153" i="13"/>
  <c r="L153" i="13"/>
  <c r="AN153" i="13" s="1"/>
  <c r="K153" i="13"/>
  <c r="J153" i="13"/>
  <c r="I153" i="13"/>
  <c r="H153" i="13"/>
  <c r="G153" i="13"/>
  <c r="F153" i="13"/>
  <c r="E153" i="13"/>
  <c r="D153" i="13"/>
  <c r="AQ152" i="13"/>
  <c r="AJ152" i="13"/>
  <c r="AI152" i="13"/>
  <c r="AH152" i="13"/>
  <c r="AG152" i="13"/>
  <c r="AF152" i="13"/>
  <c r="AE152" i="13"/>
  <c r="AD152" i="13"/>
  <c r="AC152" i="13"/>
  <c r="AB152" i="13"/>
  <c r="AA152" i="13"/>
  <c r="Z152" i="13"/>
  <c r="Y152" i="13"/>
  <c r="X152" i="13"/>
  <c r="W152" i="13"/>
  <c r="V152" i="13"/>
  <c r="U152" i="13"/>
  <c r="T152" i="13"/>
  <c r="S152" i="13"/>
  <c r="R152" i="13"/>
  <c r="Q152" i="13"/>
  <c r="P152" i="13"/>
  <c r="O152" i="13"/>
  <c r="N152" i="13"/>
  <c r="M152" i="13"/>
  <c r="L152" i="13"/>
  <c r="K152" i="13"/>
  <c r="J152" i="13"/>
  <c r="I152" i="13"/>
  <c r="H152" i="13"/>
  <c r="G152" i="13"/>
  <c r="F152" i="13"/>
  <c r="E152" i="13"/>
  <c r="D152" i="13"/>
  <c r="AQ151" i="13"/>
  <c r="AO151" i="13"/>
  <c r="AJ151" i="13"/>
  <c r="AI151" i="13"/>
  <c r="AH151" i="13"/>
  <c r="AG151" i="13"/>
  <c r="AF151" i="13"/>
  <c r="AE151" i="13"/>
  <c r="AD151" i="13"/>
  <c r="AC151" i="13"/>
  <c r="AB151" i="13"/>
  <c r="AL151" i="13" s="1"/>
  <c r="AA151" i="13"/>
  <c r="Z151" i="13"/>
  <c r="Y151" i="13"/>
  <c r="X151" i="13"/>
  <c r="W151" i="13"/>
  <c r="V151" i="13"/>
  <c r="AM151" i="13" s="1"/>
  <c r="U151" i="13"/>
  <c r="T151" i="13"/>
  <c r="S151" i="13"/>
  <c r="R151" i="13"/>
  <c r="Q151" i="13"/>
  <c r="P151" i="13"/>
  <c r="O151" i="13"/>
  <c r="N151" i="13"/>
  <c r="M151" i="13"/>
  <c r="L151" i="13"/>
  <c r="K151" i="13"/>
  <c r="J151" i="13"/>
  <c r="I151" i="13"/>
  <c r="H151" i="13"/>
  <c r="G151" i="13"/>
  <c r="F151" i="13"/>
  <c r="E151" i="13"/>
  <c r="D151" i="13"/>
  <c r="AJ150" i="13"/>
  <c r="AQ150" i="13" s="1"/>
  <c r="AI150" i="13"/>
  <c r="AH150" i="13"/>
  <c r="AG150" i="13"/>
  <c r="AF150" i="13"/>
  <c r="AE150" i="13"/>
  <c r="AD150" i="13"/>
  <c r="AC150" i="13"/>
  <c r="AB150" i="13"/>
  <c r="AA150" i="13"/>
  <c r="Z150" i="13"/>
  <c r="Y150" i="13"/>
  <c r="X150" i="13"/>
  <c r="W150" i="13"/>
  <c r="V150" i="13"/>
  <c r="U150" i="13"/>
  <c r="T150" i="13"/>
  <c r="S150" i="13"/>
  <c r="R150" i="13"/>
  <c r="Q150" i="13"/>
  <c r="P150" i="13"/>
  <c r="AN150" i="13" s="1"/>
  <c r="O150" i="13"/>
  <c r="N150" i="13"/>
  <c r="M150" i="13"/>
  <c r="L150" i="13"/>
  <c r="K150" i="13"/>
  <c r="J150" i="13"/>
  <c r="I150" i="13"/>
  <c r="H150" i="13"/>
  <c r="G150" i="13"/>
  <c r="F150" i="13"/>
  <c r="E150" i="13"/>
  <c r="D150" i="13"/>
  <c r="AM149" i="13"/>
  <c r="AJ149" i="13"/>
  <c r="AQ149" i="13" s="1"/>
  <c r="AI149" i="13"/>
  <c r="AH149" i="13"/>
  <c r="AG149" i="13"/>
  <c r="AF149" i="13"/>
  <c r="AE149" i="13"/>
  <c r="AD149" i="13"/>
  <c r="AC149" i="13"/>
  <c r="AB149" i="13"/>
  <c r="AA149" i="13"/>
  <c r="Z149" i="13"/>
  <c r="Y149" i="13"/>
  <c r="X149" i="13"/>
  <c r="W149" i="13"/>
  <c r="V149" i="13"/>
  <c r="U149" i="13"/>
  <c r="T149" i="13"/>
  <c r="S149" i="13"/>
  <c r="R149" i="13"/>
  <c r="Q149" i="13"/>
  <c r="P149" i="13"/>
  <c r="O149" i="13"/>
  <c r="N149" i="13"/>
  <c r="AN149" i="13" s="1"/>
  <c r="M149" i="13"/>
  <c r="L149" i="13"/>
  <c r="K149" i="13"/>
  <c r="J149" i="13"/>
  <c r="I149" i="13"/>
  <c r="H149" i="13"/>
  <c r="G149" i="13"/>
  <c r="F149" i="13"/>
  <c r="E149" i="13"/>
  <c r="D149" i="13"/>
  <c r="AM148" i="13"/>
  <c r="AJ148" i="13"/>
  <c r="AQ148" i="13" s="1"/>
  <c r="AI148" i="13"/>
  <c r="AH148" i="13"/>
  <c r="AG148" i="13"/>
  <c r="AF148" i="13"/>
  <c r="AE148" i="13"/>
  <c r="AD148" i="13"/>
  <c r="AC148" i="13"/>
  <c r="AL148" i="13" s="1"/>
  <c r="AB148" i="13"/>
  <c r="AA148" i="13"/>
  <c r="Z148" i="13"/>
  <c r="Y148" i="13"/>
  <c r="X148" i="13"/>
  <c r="W148" i="13"/>
  <c r="V148" i="13"/>
  <c r="U148" i="13"/>
  <c r="T148" i="13"/>
  <c r="S148" i="13"/>
  <c r="R148" i="13"/>
  <c r="Q148" i="13"/>
  <c r="P148" i="13"/>
  <c r="O148" i="13"/>
  <c r="N148" i="13"/>
  <c r="M148" i="13"/>
  <c r="L148" i="13"/>
  <c r="K148" i="13"/>
  <c r="J148" i="13"/>
  <c r="I148" i="13"/>
  <c r="H148" i="13"/>
  <c r="G148" i="13"/>
  <c r="F148" i="13"/>
  <c r="E148" i="13"/>
  <c r="D148" i="13"/>
  <c r="AJ147" i="13"/>
  <c r="AQ147" i="13" s="1"/>
  <c r="AI147" i="13"/>
  <c r="AH147" i="13"/>
  <c r="AG147" i="13"/>
  <c r="AF147" i="13"/>
  <c r="AE147" i="13"/>
  <c r="AD147" i="13"/>
  <c r="AC147" i="13"/>
  <c r="AB147" i="13"/>
  <c r="AL147" i="13" s="1"/>
  <c r="AA147" i="13"/>
  <c r="Z147" i="13"/>
  <c r="Y147" i="13"/>
  <c r="X147" i="13"/>
  <c r="W147" i="13"/>
  <c r="V147" i="13"/>
  <c r="U147" i="13"/>
  <c r="T147" i="13"/>
  <c r="AM147" i="13" s="1"/>
  <c r="S147" i="13"/>
  <c r="R147" i="13"/>
  <c r="Q147" i="13"/>
  <c r="P147" i="13"/>
  <c r="O147" i="13"/>
  <c r="N147" i="13"/>
  <c r="M147" i="13"/>
  <c r="L147" i="13"/>
  <c r="AN147" i="13" s="1"/>
  <c r="K147" i="13"/>
  <c r="J147" i="13"/>
  <c r="I147" i="13"/>
  <c r="H147" i="13"/>
  <c r="G147" i="13"/>
  <c r="F147" i="13"/>
  <c r="E147" i="13"/>
  <c r="D147" i="13"/>
  <c r="AO147" i="13" s="1"/>
  <c r="AQ146" i="13"/>
  <c r="AJ146" i="13"/>
  <c r="AI146" i="13"/>
  <c r="AH146" i="13"/>
  <c r="AG146" i="13"/>
  <c r="AF146" i="13"/>
  <c r="AE146" i="13"/>
  <c r="AD146" i="13"/>
  <c r="AC146" i="13"/>
  <c r="AB146" i="13"/>
  <c r="AA146" i="13"/>
  <c r="Z146" i="13"/>
  <c r="Y146" i="13"/>
  <c r="X146" i="13"/>
  <c r="W146" i="13"/>
  <c r="V146" i="13"/>
  <c r="U146" i="13"/>
  <c r="T146" i="13"/>
  <c r="S146" i="13"/>
  <c r="R146" i="13"/>
  <c r="Q146" i="13"/>
  <c r="P146" i="13"/>
  <c r="O146" i="13"/>
  <c r="N146" i="13"/>
  <c r="M146" i="13"/>
  <c r="L146" i="13"/>
  <c r="K146" i="13"/>
  <c r="J146" i="13"/>
  <c r="I146" i="13"/>
  <c r="H146" i="13"/>
  <c r="G146" i="13"/>
  <c r="F146" i="13"/>
  <c r="E146" i="13"/>
  <c r="D146" i="13"/>
  <c r="AJ145" i="13"/>
  <c r="AQ145" i="13" s="1"/>
  <c r="AI145" i="13"/>
  <c r="AH145" i="13"/>
  <c r="AG145" i="13"/>
  <c r="AF145" i="13"/>
  <c r="AE145" i="13"/>
  <c r="AD145" i="13"/>
  <c r="AC145" i="13"/>
  <c r="AB145" i="13"/>
  <c r="AA145" i="13"/>
  <c r="Z145" i="13"/>
  <c r="Y145" i="13"/>
  <c r="X145" i="13"/>
  <c r="W145" i="13"/>
  <c r="V145" i="13"/>
  <c r="U145" i="13"/>
  <c r="T145" i="13"/>
  <c r="S145" i="13"/>
  <c r="R145" i="13"/>
  <c r="Q145" i="13"/>
  <c r="P145" i="13"/>
  <c r="O145" i="13"/>
  <c r="N145" i="13"/>
  <c r="M145" i="13"/>
  <c r="L145" i="13"/>
  <c r="K145" i="13"/>
  <c r="J145" i="13"/>
  <c r="I145" i="13"/>
  <c r="H145" i="13"/>
  <c r="AO145" i="13" s="1"/>
  <c r="G145" i="13"/>
  <c r="F145" i="13"/>
  <c r="E145" i="13"/>
  <c r="D145" i="13"/>
  <c r="AQ144" i="13"/>
  <c r="AJ144" i="13"/>
  <c r="AI144" i="13"/>
  <c r="AH144" i="13"/>
  <c r="AG144" i="13"/>
  <c r="AF144" i="13"/>
  <c r="AE144" i="13"/>
  <c r="AD144" i="13"/>
  <c r="AC144" i="13"/>
  <c r="AB144" i="13"/>
  <c r="AA144" i="13"/>
  <c r="Z144" i="13"/>
  <c r="Y144" i="13"/>
  <c r="X144" i="13"/>
  <c r="W144" i="13"/>
  <c r="V144" i="13"/>
  <c r="U144" i="13"/>
  <c r="T144" i="13"/>
  <c r="AM144" i="13" s="1"/>
  <c r="S144" i="13"/>
  <c r="R144" i="13"/>
  <c r="AN144" i="13" s="1"/>
  <c r="Q144" i="13"/>
  <c r="P144" i="13"/>
  <c r="O144" i="13"/>
  <c r="N144" i="13"/>
  <c r="M144" i="13"/>
  <c r="L144" i="13"/>
  <c r="K144" i="13"/>
  <c r="J144" i="13"/>
  <c r="I144" i="13"/>
  <c r="H144" i="13"/>
  <c r="G144" i="13"/>
  <c r="F144" i="13"/>
  <c r="E144" i="13"/>
  <c r="D144" i="13"/>
  <c r="AO144" i="13" s="1"/>
  <c r="AQ143" i="13"/>
  <c r="AJ143" i="13"/>
  <c r="AI143" i="13"/>
  <c r="AH143" i="13"/>
  <c r="AG143" i="13"/>
  <c r="AF143" i="13"/>
  <c r="AE143" i="13"/>
  <c r="AD143" i="13"/>
  <c r="AC143" i="13"/>
  <c r="AB143" i="13"/>
  <c r="AA143" i="13"/>
  <c r="Z143" i="13"/>
  <c r="Y143" i="13"/>
  <c r="X143" i="13"/>
  <c r="W143" i="13"/>
  <c r="V143" i="13"/>
  <c r="U143" i="13"/>
  <c r="T143" i="13"/>
  <c r="S143" i="13"/>
  <c r="R143" i="13"/>
  <c r="Q143" i="13"/>
  <c r="P143" i="13"/>
  <c r="O143" i="13"/>
  <c r="N143" i="13"/>
  <c r="M143" i="13"/>
  <c r="L143" i="13"/>
  <c r="K143" i="13"/>
  <c r="J143" i="13"/>
  <c r="I143" i="13"/>
  <c r="H143" i="13"/>
  <c r="G143" i="13"/>
  <c r="F143" i="13"/>
  <c r="AO143" i="13" s="1"/>
  <c r="E143" i="13"/>
  <c r="D143" i="13"/>
  <c r="AJ142" i="13"/>
  <c r="AQ142" i="13" s="1"/>
  <c r="AI142" i="13"/>
  <c r="AH142" i="13"/>
  <c r="AG142" i="13"/>
  <c r="AF142" i="13"/>
  <c r="AE142" i="13"/>
  <c r="AD142" i="13"/>
  <c r="AC142" i="13"/>
  <c r="AL142" i="13" s="1"/>
  <c r="AB142" i="13"/>
  <c r="AA142" i="13"/>
  <c r="Z142" i="13"/>
  <c r="Y142" i="13"/>
  <c r="X142" i="13"/>
  <c r="W142" i="13"/>
  <c r="V142" i="13"/>
  <c r="U142" i="13"/>
  <c r="T142" i="13"/>
  <c r="AM142" i="13" s="1"/>
  <c r="S142" i="13"/>
  <c r="R142" i="13"/>
  <c r="Q142" i="13"/>
  <c r="P142" i="13"/>
  <c r="O142" i="13"/>
  <c r="N142" i="13"/>
  <c r="M142" i="13"/>
  <c r="AN142" i="13" s="1"/>
  <c r="L142" i="13"/>
  <c r="K142" i="13"/>
  <c r="J142" i="13"/>
  <c r="I142" i="13"/>
  <c r="H142" i="13"/>
  <c r="G142" i="13"/>
  <c r="F142" i="13"/>
  <c r="E142" i="13"/>
  <c r="AO142" i="13" s="1"/>
  <c r="D142" i="13"/>
  <c r="AJ141" i="13"/>
  <c r="AQ141" i="13" s="1"/>
  <c r="AI141" i="13"/>
  <c r="AH141" i="13"/>
  <c r="AG141" i="13"/>
  <c r="AF141" i="13"/>
  <c r="AE141" i="13"/>
  <c r="AD141" i="13"/>
  <c r="AC141" i="13"/>
  <c r="AB141" i="13"/>
  <c r="AA141" i="13"/>
  <c r="Z141" i="13"/>
  <c r="Y141" i="13"/>
  <c r="X141" i="13"/>
  <c r="W141" i="13"/>
  <c r="AM141" i="13" s="1"/>
  <c r="V141" i="13"/>
  <c r="U141" i="13"/>
  <c r="T141" i="13"/>
  <c r="S141" i="13"/>
  <c r="R141" i="13"/>
  <c r="Q141" i="13"/>
  <c r="P141" i="13"/>
  <c r="O141" i="13"/>
  <c r="N141" i="13"/>
  <c r="M141" i="13"/>
  <c r="L141" i="13"/>
  <c r="K141" i="13"/>
  <c r="J141" i="13"/>
  <c r="I141" i="13"/>
  <c r="H141" i="13"/>
  <c r="G141" i="13"/>
  <c r="F141" i="13"/>
  <c r="E141" i="13"/>
  <c r="D141" i="13"/>
  <c r="AQ140" i="13"/>
  <c r="AJ140" i="13"/>
  <c r="AI140" i="13"/>
  <c r="AH140" i="13"/>
  <c r="AG140" i="13"/>
  <c r="AF140" i="13"/>
  <c r="AE140" i="13"/>
  <c r="AD140" i="13"/>
  <c r="AC140" i="13"/>
  <c r="AL140" i="13" s="1"/>
  <c r="AB140" i="13"/>
  <c r="AA140" i="13"/>
  <c r="Z140" i="13"/>
  <c r="Y140" i="13"/>
  <c r="X140" i="13"/>
  <c r="W140" i="13"/>
  <c r="V140" i="13"/>
  <c r="U140" i="13"/>
  <c r="T140" i="13"/>
  <c r="S140" i="13"/>
  <c r="R140" i="13"/>
  <c r="Q140" i="13"/>
  <c r="P140" i="13"/>
  <c r="O140" i="13"/>
  <c r="N140" i="13"/>
  <c r="M140" i="13"/>
  <c r="L140" i="13"/>
  <c r="K140" i="13"/>
  <c r="J140" i="13"/>
  <c r="I140" i="13"/>
  <c r="H140" i="13"/>
  <c r="G140" i="13"/>
  <c r="F140" i="13"/>
  <c r="E140" i="13"/>
  <c r="D140" i="13"/>
  <c r="AJ139" i="13"/>
  <c r="AI139" i="13"/>
  <c r="AH139" i="13"/>
  <c r="AG139" i="13"/>
  <c r="AF139" i="13"/>
  <c r="AE139" i="13"/>
  <c r="AD139" i="13"/>
  <c r="AC139" i="13"/>
  <c r="AB139" i="13"/>
  <c r="AL139" i="13" s="1"/>
  <c r="AA139" i="13"/>
  <c r="Z139" i="13"/>
  <c r="Y139" i="13"/>
  <c r="X139" i="13"/>
  <c r="W139" i="13"/>
  <c r="V139" i="13"/>
  <c r="U139" i="13"/>
  <c r="T139" i="13"/>
  <c r="AM139" i="13" s="1"/>
  <c r="S139" i="13"/>
  <c r="R139" i="13"/>
  <c r="Q139" i="13"/>
  <c r="P139" i="13"/>
  <c r="O139" i="13"/>
  <c r="N139" i="13"/>
  <c r="M139" i="13"/>
  <c r="L139" i="13"/>
  <c r="AN139" i="13" s="1"/>
  <c r="K139" i="13"/>
  <c r="J139" i="13"/>
  <c r="I139" i="13"/>
  <c r="H139" i="13"/>
  <c r="G139" i="13"/>
  <c r="F139" i="13"/>
  <c r="E139" i="13"/>
  <c r="D139" i="13"/>
  <c r="AO139" i="13" s="1"/>
  <c r="AJ138" i="13"/>
  <c r="AI138" i="13"/>
  <c r="AH138" i="13"/>
  <c r="AG138" i="13"/>
  <c r="AF138" i="13"/>
  <c r="AE138" i="13"/>
  <c r="AD138" i="13"/>
  <c r="AC138" i="13"/>
  <c r="AB138" i="13"/>
  <c r="AA138" i="13"/>
  <c r="Z138" i="13"/>
  <c r="Y138" i="13"/>
  <c r="X138" i="13"/>
  <c r="W138" i="13"/>
  <c r="V138" i="13"/>
  <c r="U138" i="13"/>
  <c r="T138" i="13"/>
  <c r="S138" i="13"/>
  <c r="R138" i="13"/>
  <c r="Q138" i="13"/>
  <c r="P138" i="13"/>
  <c r="O138" i="13"/>
  <c r="N138" i="13"/>
  <c r="M138" i="13"/>
  <c r="L138" i="13"/>
  <c r="K138" i="13"/>
  <c r="J138" i="13"/>
  <c r="I138" i="13"/>
  <c r="H138" i="13"/>
  <c r="G138" i="13"/>
  <c r="F138" i="13"/>
  <c r="E138" i="13"/>
  <c r="D138" i="13"/>
  <c r="AJ137" i="13"/>
  <c r="AI137" i="13"/>
  <c r="AH137" i="13"/>
  <c r="AG137" i="13"/>
  <c r="AF137" i="13"/>
  <c r="AE137" i="13"/>
  <c r="AD137" i="13"/>
  <c r="AC137" i="13"/>
  <c r="AB137" i="13"/>
  <c r="AA137" i="13"/>
  <c r="Z137" i="13"/>
  <c r="Y137" i="13"/>
  <c r="X137" i="13"/>
  <c r="W137" i="13"/>
  <c r="V137" i="13"/>
  <c r="U137" i="13"/>
  <c r="T137" i="13"/>
  <c r="S137" i="13"/>
  <c r="R137" i="13"/>
  <c r="Q137" i="13"/>
  <c r="P137" i="13"/>
  <c r="O137" i="13"/>
  <c r="N137" i="13"/>
  <c r="M137" i="13"/>
  <c r="L137" i="13"/>
  <c r="K137" i="13"/>
  <c r="J137" i="13"/>
  <c r="I137" i="13"/>
  <c r="H137" i="13"/>
  <c r="AO137" i="13" s="1"/>
  <c r="G137" i="13"/>
  <c r="F137" i="13"/>
  <c r="E137" i="13"/>
  <c r="D137" i="13"/>
  <c r="AJ136" i="13"/>
  <c r="AI136" i="13"/>
  <c r="AH136" i="13"/>
  <c r="AG136" i="13"/>
  <c r="AF136" i="13"/>
  <c r="AE136" i="13"/>
  <c r="AD136" i="13"/>
  <c r="AC136" i="13"/>
  <c r="AB136" i="13"/>
  <c r="AA136" i="13"/>
  <c r="Z136" i="13"/>
  <c r="Y136" i="13"/>
  <c r="X136" i="13"/>
  <c r="W136" i="13"/>
  <c r="V136" i="13"/>
  <c r="U136" i="13"/>
  <c r="T136" i="13"/>
  <c r="S136" i="13"/>
  <c r="R136" i="13"/>
  <c r="Q136" i="13"/>
  <c r="P136" i="13"/>
  <c r="O136" i="13"/>
  <c r="AN136" i="13" s="1"/>
  <c r="N136" i="13"/>
  <c r="M136" i="13"/>
  <c r="L136" i="13"/>
  <c r="K136" i="13"/>
  <c r="J136" i="13"/>
  <c r="I136" i="13"/>
  <c r="H136" i="13"/>
  <c r="G136" i="13"/>
  <c r="F136" i="13"/>
  <c r="E136" i="13"/>
  <c r="D136" i="13"/>
  <c r="AQ134" i="13"/>
  <c r="AJ134" i="13"/>
  <c r="AI134" i="13"/>
  <c r="AH134" i="13"/>
  <c r="AG134" i="13"/>
  <c r="AF134" i="13"/>
  <c r="AE134" i="13"/>
  <c r="AD134" i="13"/>
  <c r="AC134" i="13"/>
  <c r="AB134" i="13"/>
  <c r="AA134" i="13"/>
  <c r="Z134" i="13"/>
  <c r="Y134" i="13"/>
  <c r="X134" i="13"/>
  <c r="W134" i="13"/>
  <c r="V134" i="13"/>
  <c r="U134" i="13"/>
  <c r="T134" i="13"/>
  <c r="S134" i="13"/>
  <c r="R134" i="13"/>
  <c r="Q134" i="13"/>
  <c r="P134" i="13"/>
  <c r="O134" i="13"/>
  <c r="N134" i="13"/>
  <c r="M134" i="13"/>
  <c r="L134" i="13"/>
  <c r="K134" i="13"/>
  <c r="J134" i="13"/>
  <c r="I134" i="13"/>
  <c r="H134" i="13"/>
  <c r="G134" i="13"/>
  <c r="F134" i="13"/>
  <c r="E134" i="13"/>
  <c r="D134" i="13"/>
  <c r="AQ133" i="13"/>
  <c r="AR69" i="13" s="1"/>
  <c r="AM133" i="13"/>
  <c r="AJ133" i="13"/>
  <c r="AI133" i="13"/>
  <c r="AH133" i="13"/>
  <c r="AG133" i="13"/>
  <c r="AF133" i="13"/>
  <c r="AE133" i="13"/>
  <c r="AD133" i="13"/>
  <c r="AC133" i="13"/>
  <c r="AB133" i="13"/>
  <c r="AA133" i="13"/>
  <c r="Z133" i="13"/>
  <c r="Y133" i="13"/>
  <c r="X133" i="13"/>
  <c r="W133" i="13"/>
  <c r="V133" i="13"/>
  <c r="U133" i="13"/>
  <c r="T133" i="13"/>
  <c r="S133" i="13"/>
  <c r="R133" i="13"/>
  <c r="Q133" i="13"/>
  <c r="P133" i="13"/>
  <c r="O133" i="13"/>
  <c r="N133" i="13"/>
  <c r="M133" i="13"/>
  <c r="L133" i="13"/>
  <c r="K133" i="13"/>
  <c r="J133" i="13"/>
  <c r="I133" i="13"/>
  <c r="H133" i="13"/>
  <c r="G133" i="13"/>
  <c r="F133" i="13"/>
  <c r="AO133" i="13" s="1"/>
  <c r="E133" i="13"/>
  <c r="D133" i="13"/>
  <c r="AQ132" i="13"/>
  <c r="AJ132" i="13"/>
  <c r="AI132" i="13"/>
  <c r="AH132" i="13"/>
  <c r="AG132" i="13"/>
  <c r="AF132" i="13"/>
  <c r="AE132" i="13"/>
  <c r="AD132" i="13"/>
  <c r="AC132" i="13"/>
  <c r="AL132" i="13" s="1"/>
  <c r="AB132" i="13"/>
  <c r="AA132" i="13"/>
  <c r="Z132" i="13"/>
  <c r="Y132" i="13"/>
  <c r="X132" i="13"/>
  <c r="W132" i="13"/>
  <c r="V132" i="13"/>
  <c r="U132" i="13"/>
  <c r="T132" i="13"/>
  <c r="AM132" i="13" s="1"/>
  <c r="S132" i="13"/>
  <c r="R132" i="13"/>
  <c r="Q132" i="13"/>
  <c r="P132" i="13"/>
  <c r="O132" i="13"/>
  <c r="N132" i="13"/>
  <c r="M132" i="13"/>
  <c r="AN132" i="13" s="1"/>
  <c r="L132" i="13"/>
  <c r="K132" i="13"/>
  <c r="J132" i="13"/>
  <c r="I132" i="13"/>
  <c r="H132" i="13"/>
  <c r="G132" i="13"/>
  <c r="F132" i="13"/>
  <c r="E132" i="13"/>
  <c r="AO132" i="13" s="1"/>
  <c r="D132" i="13"/>
  <c r="AM131" i="13"/>
  <c r="AJ131" i="13"/>
  <c r="AQ131" i="13" s="1"/>
  <c r="AI131" i="13"/>
  <c r="AH131" i="13"/>
  <c r="AG131" i="13"/>
  <c r="AF131" i="13"/>
  <c r="AE131" i="13"/>
  <c r="AD131" i="13"/>
  <c r="AC131" i="13"/>
  <c r="AB131" i="13"/>
  <c r="AA131" i="13"/>
  <c r="Z131" i="13"/>
  <c r="Y131" i="13"/>
  <c r="X131" i="13"/>
  <c r="W131" i="13"/>
  <c r="V131" i="13"/>
  <c r="U131" i="13"/>
  <c r="T131" i="13"/>
  <c r="S131" i="13"/>
  <c r="R131" i="13"/>
  <c r="Q131" i="13"/>
  <c r="P131" i="13"/>
  <c r="O131" i="13"/>
  <c r="N131" i="13"/>
  <c r="M131" i="13"/>
  <c r="L131" i="13"/>
  <c r="K131" i="13"/>
  <c r="J131" i="13"/>
  <c r="I131" i="13"/>
  <c r="H131" i="13"/>
  <c r="G131" i="13"/>
  <c r="F131" i="13"/>
  <c r="E131" i="13"/>
  <c r="D131" i="13"/>
  <c r="AJ130" i="13"/>
  <c r="AQ130" i="13" s="1"/>
  <c r="AI130" i="13"/>
  <c r="AH130" i="13"/>
  <c r="AG130" i="13"/>
  <c r="AF130" i="13"/>
  <c r="AE130" i="13"/>
  <c r="AD130" i="13"/>
  <c r="AC130" i="13"/>
  <c r="AL130" i="13" s="1"/>
  <c r="AB130" i="13"/>
  <c r="AA130" i="13"/>
  <c r="Z130" i="13"/>
  <c r="Y130" i="13"/>
  <c r="X130" i="13"/>
  <c r="W130" i="13"/>
  <c r="V130" i="13"/>
  <c r="AM130" i="13" s="1"/>
  <c r="U130" i="13"/>
  <c r="T130" i="13"/>
  <c r="S130" i="13"/>
  <c r="R130" i="13"/>
  <c r="Q130" i="13"/>
  <c r="P130" i="13"/>
  <c r="O130" i="13"/>
  <c r="N130" i="13"/>
  <c r="M130" i="13"/>
  <c r="L130" i="13"/>
  <c r="K130" i="13"/>
  <c r="J130" i="13"/>
  <c r="I130" i="13"/>
  <c r="H130" i="13"/>
  <c r="G130" i="13"/>
  <c r="F130" i="13"/>
  <c r="E130" i="13"/>
  <c r="D130" i="13"/>
  <c r="AJ129" i="13"/>
  <c r="AQ129" i="13" s="1"/>
  <c r="AI129" i="13"/>
  <c r="AH129" i="13"/>
  <c r="AG129" i="13"/>
  <c r="AF129" i="13"/>
  <c r="AE129" i="13"/>
  <c r="AD129" i="13"/>
  <c r="AC129" i="13"/>
  <c r="AL129" i="13" s="1"/>
  <c r="AB129" i="13"/>
  <c r="AA129" i="13"/>
  <c r="Z129" i="13"/>
  <c r="Y129" i="13"/>
  <c r="X129" i="13"/>
  <c r="W129" i="13"/>
  <c r="V129" i="13"/>
  <c r="U129" i="13"/>
  <c r="T129" i="13"/>
  <c r="S129" i="13"/>
  <c r="R129" i="13"/>
  <c r="Q129" i="13"/>
  <c r="P129" i="13"/>
  <c r="O129" i="13"/>
  <c r="N129" i="13"/>
  <c r="M129" i="13"/>
  <c r="L129" i="13"/>
  <c r="K129" i="13"/>
  <c r="J129" i="13"/>
  <c r="I129" i="13"/>
  <c r="H129" i="13"/>
  <c r="G129" i="13"/>
  <c r="F129" i="13"/>
  <c r="E129" i="13"/>
  <c r="D129" i="13"/>
  <c r="AQ128" i="13"/>
  <c r="AJ128" i="13"/>
  <c r="AI128" i="13"/>
  <c r="AH128" i="13"/>
  <c r="AG128" i="13"/>
  <c r="AF128" i="13"/>
  <c r="AE128" i="13"/>
  <c r="AD128" i="13"/>
  <c r="AC128" i="13"/>
  <c r="AB128" i="13"/>
  <c r="AA128" i="13"/>
  <c r="Z128" i="13"/>
  <c r="Y128" i="13"/>
  <c r="X128" i="13"/>
  <c r="W128" i="13"/>
  <c r="V128" i="13"/>
  <c r="U128" i="13"/>
  <c r="T128" i="13"/>
  <c r="S128" i="13"/>
  <c r="R128" i="13"/>
  <c r="Q128" i="13"/>
  <c r="P128" i="13"/>
  <c r="O128" i="13"/>
  <c r="N128" i="13"/>
  <c r="M128" i="13"/>
  <c r="L128" i="13"/>
  <c r="K128" i="13"/>
  <c r="J128" i="13"/>
  <c r="I128" i="13"/>
  <c r="H128" i="13"/>
  <c r="G128" i="13"/>
  <c r="F128" i="13"/>
  <c r="E128" i="13"/>
  <c r="D128" i="13"/>
  <c r="AQ127" i="13"/>
  <c r="AJ127" i="13"/>
  <c r="AI127" i="13"/>
  <c r="AH127" i="13"/>
  <c r="AG127" i="13"/>
  <c r="AF127" i="13"/>
  <c r="AE127" i="13"/>
  <c r="AD127" i="13"/>
  <c r="AC127" i="13"/>
  <c r="AB127" i="13"/>
  <c r="AA127" i="13"/>
  <c r="Z127" i="13"/>
  <c r="Y127" i="13"/>
  <c r="X127" i="13"/>
  <c r="W127" i="13"/>
  <c r="V127" i="13"/>
  <c r="U127" i="13"/>
  <c r="T127" i="13"/>
  <c r="S127" i="13"/>
  <c r="R127" i="13"/>
  <c r="Q127" i="13"/>
  <c r="P127" i="13"/>
  <c r="O127" i="13"/>
  <c r="N127" i="13"/>
  <c r="M127" i="13"/>
  <c r="L127" i="13"/>
  <c r="K127" i="13"/>
  <c r="J127" i="13"/>
  <c r="I127" i="13"/>
  <c r="H127" i="13"/>
  <c r="G127" i="13"/>
  <c r="F127" i="13"/>
  <c r="E127" i="13"/>
  <c r="D127" i="13"/>
  <c r="C127" i="13"/>
  <c r="AQ126" i="13"/>
  <c r="AJ126" i="13"/>
  <c r="AI126" i="13"/>
  <c r="AH126" i="13"/>
  <c r="AG126" i="13"/>
  <c r="AF126" i="13"/>
  <c r="AE126" i="13"/>
  <c r="AD126" i="13"/>
  <c r="AC126" i="13"/>
  <c r="AB126" i="13"/>
  <c r="AA126" i="13"/>
  <c r="Z126" i="13"/>
  <c r="Y126" i="13"/>
  <c r="X126" i="13"/>
  <c r="W126" i="13"/>
  <c r="V126" i="13"/>
  <c r="U126" i="13"/>
  <c r="T126" i="13"/>
  <c r="S126" i="13"/>
  <c r="R126" i="13"/>
  <c r="Q126" i="13"/>
  <c r="P126" i="13"/>
  <c r="O126" i="13"/>
  <c r="AN126" i="13" s="1"/>
  <c r="N126" i="13"/>
  <c r="M126" i="13"/>
  <c r="L126" i="13"/>
  <c r="K126" i="13"/>
  <c r="J126" i="13"/>
  <c r="I126" i="13"/>
  <c r="H126" i="13"/>
  <c r="G126" i="13"/>
  <c r="F126" i="13"/>
  <c r="E126" i="13"/>
  <c r="D126" i="13"/>
  <c r="AQ125" i="13"/>
  <c r="AJ125" i="13"/>
  <c r="AI125" i="13"/>
  <c r="AH125" i="13"/>
  <c r="AG125" i="13"/>
  <c r="AF125" i="13"/>
  <c r="AE125" i="13"/>
  <c r="AD125" i="13"/>
  <c r="AC125" i="13"/>
  <c r="AB125" i="13"/>
  <c r="AA125" i="13"/>
  <c r="Z125" i="13"/>
  <c r="Y125" i="13"/>
  <c r="X125" i="13"/>
  <c r="W125" i="13"/>
  <c r="V125" i="13"/>
  <c r="U125" i="13"/>
  <c r="T125" i="13"/>
  <c r="S125" i="13"/>
  <c r="R125" i="13"/>
  <c r="Q125" i="13"/>
  <c r="P125" i="13"/>
  <c r="O125" i="13"/>
  <c r="N125" i="13"/>
  <c r="M125" i="13"/>
  <c r="L125" i="13"/>
  <c r="K125" i="13"/>
  <c r="J125" i="13"/>
  <c r="I125" i="13"/>
  <c r="H125" i="13"/>
  <c r="G125" i="13"/>
  <c r="F125" i="13"/>
  <c r="E125" i="13"/>
  <c r="D125" i="13"/>
  <c r="AQ124" i="13"/>
  <c r="AN124" i="13"/>
  <c r="AJ124" i="13"/>
  <c r="AI124" i="13"/>
  <c r="AH124" i="13"/>
  <c r="AG124" i="13"/>
  <c r="AF124" i="13"/>
  <c r="AE124" i="13"/>
  <c r="AD124" i="13"/>
  <c r="AC124" i="13"/>
  <c r="AL124" i="13" s="1"/>
  <c r="AB124" i="13"/>
  <c r="AA124" i="13"/>
  <c r="Z124" i="13"/>
  <c r="Y124" i="13"/>
  <c r="X124" i="13"/>
  <c r="W124" i="13"/>
  <c r="V124" i="13"/>
  <c r="U124" i="13"/>
  <c r="T124" i="13"/>
  <c r="S124" i="13"/>
  <c r="R124" i="13"/>
  <c r="Q124" i="13"/>
  <c r="P124" i="13"/>
  <c r="O124" i="13"/>
  <c r="N124" i="13"/>
  <c r="M124" i="13"/>
  <c r="L124" i="13"/>
  <c r="K124" i="13"/>
  <c r="J124" i="13"/>
  <c r="I124" i="13"/>
  <c r="H124" i="13"/>
  <c r="G124" i="13"/>
  <c r="AO124" i="13" s="1"/>
  <c r="F124" i="13"/>
  <c r="E124" i="13"/>
  <c r="D124" i="13"/>
  <c r="AJ123" i="13"/>
  <c r="AQ123" i="13" s="1"/>
  <c r="AI123" i="13"/>
  <c r="AH123" i="13"/>
  <c r="AG123" i="13"/>
  <c r="AF123" i="13"/>
  <c r="AE123" i="13"/>
  <c r="AD123" i="13"/>
  <c r="AC123" i="13"/>
  <c r="AB123" i="13"/>
  <c r="AL123" i="13" s="1"/>
  <c r="AA123" i="13"/>
  <c r="Z123" i="13"/>
  <c r="Y123" i="13"/>
  <c r="X123" i="13"/>
  <c r="W123" i="13"/>
  <c r="V123" i="13"/>
  <c r="U123" i="13"/>
  <c r="T123" i="13"/>
  <c r="AM123" i="13" s="1"/>
  <c r="S123" i="13"/>
  <c r="R123" i="13"/>
  <c r="Q123" i="13"/>
  <c r="P123" i="13"/>
  <c r="O123" i="13"/>
  <c r="N123" i="13"/>
  <c r="M123" i="13"/>
  <c r="L123" i="13"/>
  <c r="AN123" i="13" s="1"/>
  <c r="K123" i="13"/>
  <c r="J123" i="13"/>
  <c r="I123" i="13"/>
  <c r="H123" i="13"/>
  <c r="G123" i="13"/>
  <c r="F123" i="13"/>
  <c r="E123" i="13"/>
  <c r="D123" i="13"/>
  <c r="AO123" i="13" s="1"/>
  <c r="AQ122" i="13"/>
  <c r="AJ122" i="13"/>
  <c r="AI122" i="13"/>
  <c r="AH122" i="13"/>
  <c r="AG122" i="13"/>
  <c r="AF122" i="13"/>
  <c r="AE122" i="13"/>
  <c r="AD122" i="13"/>
  <c r="AC122" i="13"/>
  <c r="AL122" i="13" s="1"/>
  <c r="AB122" i="13"/>
  <c r="AA122" i="13"/>
  <c r="Z122" i="13"/>
  <c r="Y122" i="13"/>
  <c r="X122" i="13"/>
  <c r="W122" i="13"/>
  <c r="V122" i="13"/>
  <c r="U122" i="13"/>
  <c r="AM122" i="13" s="1"/>
  <c r="T122" i="13"/>
  <c r="S122" i="13"/>
  <c r="R122" i="13"/>
  <c r="Q122" i="13"/>
  <c r="P122" i="13"/>
  <c r="O122" i="13"/>
  <c r="N122" i="13"/>
  <c r="M122" i="13"/>
  <c r="L122" i="13"/>
  <c r="K122" i="13"/>
  <c r="J122" i="13"/>
  <c r="I122" i="13"/>
  <c r="H122" i="13"/>
  <c r="G122" i="13"/>
  <c r="F122" i="13"/>
  <c r="E122" i="13"/>
  <c r="D122" i="13"/>
  <c r="AJ121" i="13"/>
  <c r="AQ121" i="13" s="1"/>
  <c r="AI121" i="13"/>
  <c r="AH121" i="13"/>
  <c r="AG121" i="13"/>
  <c r="AF121" i="13"/>
  <c r="AE121" i="13"/>
  <c r="AD121" i="13"/>
  <c r="AC121" i="13"/>
  <c r="AB121" i="13"/>
  <c r="AA121" i="13"/>
  <c r="Z121" i="13"/>
  <c r="Y121" i="13"/>
  <c r="X121" i="13"/>
  <c r="W121" i="13"/>
  <c r="V121" i="13"/>
  <c r="U121" i="13"/>
  <c r="T121" i="13"/>
  <c r="S121" i="13"/>
  <c r="R121" i="13"/>
  <c r="Q121" i="13"/>
  <c r="P121" i="13"/>
  <c r="O121" i="13"/>
  <c r="N121" i="13"/>
  <c r="M121" i="13"/>
  <c r="L121" i="13"/>
  <c r="K121" i="13"/>
  <c r="J121" i="13"/>
  <c r="I121" i="13"/>
  <c r="H121" i="13"/>
  <c r="G121" i="13"/>
  <c r="F121" i="13"/>
  <c r="E121" i="13"/>
  <c r="D121" i="13"/>
  <c r="AJ120" i="13"/>
  <c r="AQ120" i="13" s="1"/>
  <c r="AI120" i="13"/>
  <c r="AH120" i="13"/>
  <c r="AG120" i="13"/>
  <c r="AF120" i="13"/>
  <c r="AE120" i="13"/>
  <c r="AD120" i="13"/>
  <c r="AC120" i="13"/>
  <c r="AB120" i="13"/>
  <c r="AL120" i="13" s="1"/>
  <c r="AA120" i="13"/>
  <c r="Z120" i="13"/>
  <c r="Y120" i="13"/>
  <c r="X120" i="13"/>
  <c r="W120" i="13"/>
  <c r="V120" i="13"/>
  <c r="U120" i="13"/>
  <c r="T120" i="13"/>
  <c r="AM120" i="13" s="1"/>
  <c r="S120" i="13"/>
  <c r="R120" i="13"/>
  <c r="Q120" i="13"/>
  <c r="P120" i="13"/>
  <c r="O120" i="13"/>
  <c r="N120" i="13"/>
  <c r="M120" i="13"/>
  <c r="L120" i="13"/>
  <c r="AN120" i="13" s="1"/>
  <c r="K120" i="13"/>
  <c r="J120" i="13"/>
  <c r="I120" i="13"/>
  <c r="H120" i="13"/>
  <c r="G120" i="13"/>
  <c r="F120" i="13"/>
  <c r="E120" i="13"/>
  <c r="D120" i="13"/>
  <c r="AO120" i="13" s="1"/>
  <c r="AQ119" i="13"/>
  <c r="AJ119" i="13"/>
  <c r="AI119" i="13"/>
  <c r="AH119" i="13"/>
  <c r="AG119" i="13"/>
  <c r="AF119" i="13"/>
  <c r="AE119" i="13"/>
  <c r="AD119" i="13"/>
  <c r="AC119" i="13"/>
  <c r="AB119" i="13"/>
  <c r="AA119" i="13"/>
  <c r="Z119" i="13"/>
  <c r="Y119" i="13"/>
  <c r="X119" i="13"/>
  <c r="W119" i="13"/>
  <c r="V119" i="13"/>
  <c r="U119" i="13"/>
  <c r="T119" i="13"/>
  <c r="S119" i="13"/>
  <c r="R119" i="13"/>
  <c r="Q119" i="13"/>
  <c r="P119" i="13"/>
  <c r="O119" i="13"/>
  <c r="N119" i="13"/>
  <c r="M119" i="13"/>
  <c r="L119" i="13"/>
  <c r="K119" i="13"/>
  <c r="J119" i="13"/>
  <c r="I119" i="13"/>
  <c r="H119" i="13"/>
  <c r="AO119" i="13" s="1"/>
  <c r="G119" i="13"/>
  <c r="F119" i="13"/>
  <c r="E119" i="13"/>
  <c r="D119" i="13"/>
  <c r="AQ118" i="13"/>
  <c r="AJ118" i="13"/>
  <c r="AI118" i="13"/>
  <c r="AH118" i="13"/>
  <c r="AG118" i="13"/>
  <c r="AF118" i="13"/>
  <c r="AE118" i="13"/>
  <c r="AD118" i="13"/>
  <c r="AC118" i="13"/>
  <c r="AB118" i="13"/>
  <c r="AL118" i="13" s="1"/>
  <c r="AA118" i="13"/>
  <c r="Z118" i="13"/>
  <c r="Y118" i="13"/>
  <c r="X118" i="13"/>
  <c r="W118" i="13"/>
  <c r="V118" i="13"/>
  <c r="U118" i="13"/>
  <c r="T118" i="13"/>
  <c r="AM118" i="13" s="1"/>
  <c r="S118" i="13"/>
  <c r="R118" i="13"/>
  <c r="AN118" i="13" s="1"/>
  <c r="Q118" i="13"/>
  <c r="P118" i="13"/>
  <c r="O118" i="13"/>
  <c r="N118" i="13"/>
  <c r="M118" i="13"/>
  <c r="L118" i="13"/>
  <c r="K118" i="13"/>
  <c r="J118" i="13"/>
  <c r="I118" i="13"/>
  <c r="H118" i="13"/>
  <c r="G118" i="13"/>
  <c r="F118" i="13"/>
  <c r="E118" i="13"/>
  <c r="D118" i="13"/>
  <c r="AO118" i="13" s="1"/>
  <c r="AQ117" i="13"/>
  <c r="AJ117" i="13"/>
  <c r="AI117" i="13"/>
  <c r="AH117" i="13"/>
  <c r="AG117" i="13"/>
  <c r="AF117" i="13"/>
  <c r="AE117" i="13"/>
  <c r="AD117" i="13"/>
  <c r="AC117" i="13"/>
  <c r="AB117" i="13"/>
  <c r="AA117" i="13"/>
  <c r="Z117" i="13"/>
  <c r="Y117" i="13"/>
  <c r="X117" i="13"/>
  <c r="W117" i="13"/>
  <c r="V117" i="13"/>
  <c r="U117" i="13"/>
  <c r="T117" i="13"/>
  <c r="S117" i="13"/>
  <c r="R117" i="13"/>
  <c r="Q117" i="13"/>
  <c r="P117" i="13"/>
  <c r="O117" i="13"/>
  <c r="N117" i="13"/>
  <c r="M117" i="13"/>
  <c r="L117" i="13"/>
  <c r="K117" i="13"/>
  <c r="J117" i="13"/>
  <c r="I117" i="13"/>
  <c r="H117" i="13"/>
  <c r="G117" i="13"/>
  <c r="F117" i="13"/>
  <c r="AO117" i="13" s="1"/>
  <c r="E117" i="13"/>
  <c r="D117" i="13"/>
  <c r="AJ116" i="13"/>
  <c r="AQ116" i="13" s="1"/>
  <c r="AI116" i="13"/>
  <c r="AH116" i="13"/>
  <c r="AG116" i="13"/>
  <c r="AF116" i="13"/>
  <c r="AE116" i="13"/>
  <c r="AD116" i="13"/>
  <c r="AC116" i="13"/>
  <c r="AL116" i="13" s="1"/>
  <c r="AB116" i="13"/>
  <c r="AA116" i="13"/>
  <c r="Z116" i="13"/>
  <c r="Y116" i="13"/>
  <c r="X116" i="13"/>
  <c r="W116" i="13"/>
  <c r="V116" i="13"/>
  <c r="U116" i="13"/>
  <c r="T116" i="13"/>
  <c r="AM116" i="13" s="1"/>
  <c r="S116" i="13"/>
  <c r="R116" i="13"/>
  <c r="Q116" i="13"/>
  <c r="P116" i="13"/>
  <c r="O116" i="13"/>
  <c r="N116" i="13"/>
  <c r="M116" i="13"/>
  <c r="AN116" i="13" s="1"/>
  <c r="L116" i="13"/>
  <c r="K116" i="13"/>
  <c r="J116" i="13"/>
  <c r="I116" i="13"/>
  <c r="H116" i="13"/>
  <c r="G116" i="13"/>
  <c r="F116" i="13"/>
  <c r="E116" i="13"/>
  <c r="AO116" i="13" s="1"/>
  <c r="D116" i="13"/>
  <c r="AM115" i="13"/>
  <c r="AJ115" i="13"/>
  <c r="AQ115" i="13" s="1"/>
  <c r="AI115" i="13"/>
  <c r="AH115" i="13"/>
  <c r="AG115" i="13"/>
  <c r="AF115" i="13"/>
  <c r="AE115" i="13"/>
  <c r="AD115" i="13"/>
  <c r="AC115" i="13"/>
  <c r="AB115" i="13"/>
  <c r="AA115" i="13"/>
  <c r="Z115" i="13"/>
  <c r="Y115" i="13"/>
  <c r="X115" i="13"/>
  <c r="W115" i="13"/>
  <c r="V115" i="13"/>
  <c r="U115" i="13"/>
  <c r="T115" i="13"/>
  <c r="S115" i="13"/>
  <c r="R115" i="13"/>
  <c r="Q115" i="13"/>
  <c r="P115" i="13"/>
  <c r="O115" i="13"/>
  <c r="N115" i="13"/>
  <c r="AN115" i="13" s="1"/>
  <c r="M115" i="13"/>
  <c r="L115" i="13"/>
  <c r="K115" i="13"/>
  <c r="J115" i="13"/>
  <c r="I115" i="13"/>
  <c r="H115" i="13"/>
  <c r="G115" i="13"/>
  <c r="F115" i="13"/>
  <c r="E115" i="13"/>
  <c r="D115" i="13"/>
  <c r="AJ114" i="13"/>
  <c r="AQ114" i="13" s="1"/>
  <c r="AI114" i="13"/>
  <c r="AH114" i="13"/>
  <c r="AG114" i="13"/>
  <c r="AF114" i="13"/>
  <c r="AE114" i="13"/>
  <c r="AD114" i="13"/>
  <c r="AC114" i="13"/>
  <c r="AL114" i="13" s="1"/>
  <c r="AB114" i="13"/>
  <c r="AA114" i="13"/>
  <c r="Z114" i="13"/>
  <c r="Y114" i="13"/>
  <c r="X114" i="13"/>
  <c r="W114" i="13"/>
  <c r="V114" i="13"/>
  <c r="AM114" i="13" s="1"/>
  <c r="U114" i="13"/>
  <c r="T114" i="13"/>
  <c r="S114" i="13"/>
  <c r="R114" i="13"/>
  <c r="Q114" i="13"/>
  <c r="P114" i="13"/>
  <c r="O114" i="13"/>
  <c r="N114" i="13"/>
  <c r="M114" i="13"/>
  <c r="L114" i="13"/>
  <c r="K114" i="13"/>
  <c r="J114" i="13"/>
  <c r="I114" i="13"/>
  <c r="H114" i="13"/>
  <c r="G114" i="13"/>
  <c r="F114" i="13"/>
  <c r="E114" i="13"/>
  <c r="D114" i="13"/>
  <c r="AJ113" i="13"/>
  <c r="AQ113" i="13" s="1"/>
  <c r="AI113" i="13"/>
  <c r="AH113" i="13"/>
  <c r="AG113" i="13"/>
  <c r="AF113" i="13"/>
  <c r="AE113" i="13"/>
  <c r="AD113" i="13"/>
  <c r="AC113" i="13"/>
  <c r="AL113" i="13" s="1"/>
  <c r="AB113" i="13"/>
  <c r="AA113" i="13"/>
  <c r="Z113" i="13"/>
  <c r="Y113" i="13"/>
  <c r="X113" i="13"/>
  <c r="W113" i="13"/>
  <c r="V113" i="13"/>
  <c r="U113" i="13"/>
  <c r="T113" i="13"/>
  <c r="S113" i="13"/>
  <c r="R113" i="13"/>
  <c r="Q113" i="13"/>
  <c r="P113" i="13"/>
  <c r="O113" i="13"/>
  <c r="N113" i="13"/>
  <c r="M113" i="13"/>
  <c r="L113" i="13"/>
  <c r="K113" i="13"/>
  <c r="J113" i="13"/>
  <c r="I113" i="13"/>
  <c r="H113" i="13"/>
  <c r="G113" i="13"/>
  <c r="F113" i="13"/>
  <c r="E113" i="13"/>
  <c r="D113" i="13"/>
  <c r="AQ112" i="13"/>
  <c r="AJ112" i="13"/>
  <c r="AI112" i="13"/>
  <c r="AH112" i="13"/>
  <c r="AG112" i="13"/>
  <c r="AF112" i="13"/>
  <c r="AE112" i="13"/>
  <c r="AD112" i="13"/>
  <c r="AC112" i="13"/>
  <c r="AB112" i="13"/>
  <c r="AA112" i="13"/>
  <c r="Z112" i="13"/>
  <c r="Y112" i="13"/>
  <c r="X112" i="13"/>
  <c r="W112" i="13"/>
  <c r="V112" i="13"/>
  <c r="U112" i="13"/>
  <c r="T112" i="13"/>
  <c r="S112" i="13"/>
  <c r="R112" i="13"/>
  <c r="Q112" i="13"/>
  <c r="P112" i="13"/>
  <c r="O112" i="13"/>
  <c r="N112" i="13"/>
  <c r="M112" i="13"/>
  <c r="L112" i="13"/>
  <c r="K112" i="13"/>
  <c r="J112" i="13"/>
  <c r="I112" i="13"/>
  <c r="H112" i="13"/>
  <c r="G112" i="13"/>
  <c r="F112" i="13"/>
  <c r="E112" i="13"/>
  <c r="D112" i="13"/>
  <c r="AJ111" i="13"/>
  <c r="AQ111" i="13" s="1"/>
  <c r="AI111" i="13"/>
  <c r="AH111" i="13"/>
  <c r="AG111" i="13"/>
  <c r="AF111" i="13"/>
  <c r="AE111" i="13"/>
  <c r="AD111" i="13"/>
  <c r="AC111" i="13"/>
  <c r="AB111" i="13"/>
  <c r="AA111" i="13"/>
  <c r="Z111" i="13"/>
  <c r="Y111" i="13"/>
  <c r="X111" i="13"/>
  <c r="W111" i="13"/>
  <c r="V111" i="13"/>
  <c r="U111" i="13"/>
  <c r="T111" i="13"/>
  <c r="S111" i="13"/>
  <c r="R111" i="13"/>
  <c r="Q111" i="13"/>
  <c r="P111" i="13"/>
  <c r="O111" i="13"/>
  <c r="N111" i="13"/>
  <c r="M111" i="13"/>
  <c r="L111" i="13"/>
  <c r="K111" i="13"/>
  <c r="J111" i="13"/>
  <c r="I111" i="13"/>
  <c r="H111" i="13"/>
  <c r="G111" i="13"/>
  <c r="F111" i="13"/>
  <c r="E111" i="13"/>
  <c r="D111" i="13"/>
  <c r="AQ110" i="13"/>
  <c r="AR45" i="13" s="1"/>
  <c r="AJ110" i="13"/>
  <c r="AI110" i="13"/>
  <c r="AH110" i="13"/>
  <c r="AG110" i="13"/>
  <c r="AF110" i="13"/>
  <c r="AE110" i="13"/>
  <c r="AD110" i="13"/>
  <c r="AC110" i="13"/>
  <c r="AB110" i="13"/>
  <c r="AL110" i="13" s="1"/>
  <c r="AA110" i="13"/>
  <c r="Z110" i="13"/>
  <c r="Y110" i="13"/>
  <c r="X110" i="13"/>
  <c r="W110" i="13"/>
  <c r="V110" i="13"/>
  <c r="U110" i="13"/>
  <c r="T110" i="13"/>
  <c r="AM110" i="13" s="1"/>
  <c r="S110" i="13"/>
  <c r="R110" i="13"/>
  <c r="Q110" i="13"/>
  <c r="P110" i="13"/>
  <c r="O110" i="13"/>
  <c r="AN110" i="13" s="1"/>
  <c r="N110" i="13"/>
  <c r="M110" i="13"/>
  <c r="L110" i="13"/>
  <c r="K110" i="13"/>
  <c r="J110" i="13"/>
  <c r="I110" i="13"/>
  <c r="H110" i="13"/>
  <c r="G110" i="13"/>
  <c r="F110" i="13"/>
  <c r="E110" i="13"/>
  <c r="D110" i="13"/>
  <c r="AO110" i="13" s="1"/>
  <c r="AQ109" i="13"/>
  <c r="AJ109" i="13"/>
  <c r="AI109" i="13"/>
  <c r="AH109" i="13"/>
  <c r="AG109" i="13"/>
  <c r="AF109" i="13"/>
  <c r="AE109" i="13"/>
  <c r="AD109" i="13"/>
  <c r="AC109" i="13"/>
  <c r="AB109" i="13"/>
  <c r="AA109" i="13"/>
  <c r="Z109" i="13"/>
  <c r="Y109" i="13"/>
  <c r="X109" i="13"/>
  <c r="W109" i="13"/>
  <c r="V109" i="13"/>
  <c r="AM109" i="13" s="1"/>
  <c r="U109" i="13"/>
  <c r="T109" i="13"/>
  <c r="S109" i="13"/>
  <c r="R109" i="13"/>
  <c r="Q109" i="13"/>
  <c r="P109" i="13"/>
  <c r="O109" i="13"/>
  <c r="N109" i="13"/>
  <c r="M109" i="13"/>
  <c r="L109" i="13"/>
  <c r="K109" i="13"/>
  <c r="J109" i="13"/>
  <c r="I109" i="13"/>
  <c r="H109" i="13"/>
  <c r="G109" i="13"/>
  <c r="F109" i="13"/>
  <c r="AO109" i="13" s="1"/>
  <c r="E109" i="13"/>
  <c r="D109" i="13"/>
  <c r="AN108" i="13"/>
  <c r="AJ108" i="13"/>
  <c r="AQ108" i="13" s="1"/>
  <c r="AI108" i="13"/>
  <c r="AH108" i="13"/>
  <c r="AG108" i="13"/>
  <c r="AF108" i="13"/>
  <c r="AE108" i="13"/>
  <c r="AD108" i="13"/>
  <c r="AC108" i="13"/>
  <c r="AL108" i="13" s="1"/>
  <c r="AB108" i="13"/>
  <c r="AA108" i="13"/>
  <c r="Z108" i="13"/>
  <c r="Y108" i="13"/>
  <c r="X108" i="13"/>
  <c r="W108" i="13"/>
  <c r="V108" i="13"/>
  <c r="U108" i="13"/>
  <c r="T108" i="13"/>
  <c r="AM108" i="13" s="1"/>
  <c r="S108" i="13"/>
  <c r="R108" i="13"/>
  <c r="Q108" i="13"/>
  <c r="P108" i="13"/>
  <c r="O108" i="13"/>
  <c r="N108" i="13"/>
  <c r="M108" i="13"/>
  <c r="L108" i="13"/>
  <c r="K108" i="13"/>
  <c r="J108" i="13"/>
  <c r="I108" i="13"/>
  <c r="H108" i="13"/>
  <c r="G108" i="13"/>
  <c r="AO108" i="13" s="1"/>
  <c r="F108" i="13"/>
  <c r="E108" i="13"/>
  <c r="D108" i="13"/>
  <c r="AJ107" i="13"/>
  <c r="AQ107" i="13" s="1"/>
  <c r="AI107" i="13"/>
  <c r="AH107" i="13"/>
  <c r="AG107" i="13"/>
  <c r="AF107" i="13"/>
  <c r="AE107" i="13"/>
  <c r="AD107" i="13"/>
  <c r="AC107" i="13"/>
  <c r="AB107" i="13"/>
  <c r="AA107" i="13"/>
  <c r="Z107" i="13"/>
  <c r="Y107" i="13"/>
  <c r="X107" i="13"/>
  <c r="W107" i="13"/>
  <c r="AM107" i="13" s="1"/>
  <c r="V107" i="13"/>
  <c r="U107" i="13"/>
  <c r="T107" i="13"/>
  <c r="S107" i="13"/>
  <c r="R107" i="13"/>
  <c r="Q107" i="13"/>
  <c r="P107" i="13"/>
  <c r="O107" i="13"/>
  <c r="N107" i="13"/>
  <c r="M107" i="13"/>
  <c r="L107" i="13"/>
  <c r="K107" i="13"/>
  <c r="J107" i="13"/>
  <c r="I107" i="13"/>
  <c r="H107" i="13"/>
  <c r="G107" i="13"/>
  <c r="F107" i="13"/>
  <c r="E107" i="13"/>
  <c r="D107" i="13"/>
  <c r="AJ106" i="13"/>
  <c r="AQ106" i="13" s="1"/>
  <c r="AI106" i="13"/>
  <c r="AH106" i="13"/>
  <c r="AG106" i="13"/>
  <c r="AF106" i="13"/>
  <c r="AE106" i="13"/>
  <c r="AD106" i="13"/>
  <c r="AC106" i="13"/>
  <c r="AL106" i="13" s="1"/>
  <c r="AB106" i="13"/>
  <c r="AA106" i="13"/>
  <c r="Z106" i="13"/>
  <c r="Y106" i="13"/>
  <c r="X106" i="13"/>
  <c r="W106" i="13"/>
  <c r="V106" i="13"/>
  <c r="U106" i="13"/>
  <c r="AM106" i="13" s="1"/>
  <c r="T106" i="13"/>
  <c r="S106" i="13"/>
  <c r="R106" i="13"/>
  <c r="Q106" i="13"/>
  <c r="P106" i="13"/>
  <c r="O106" i="13"/>
  <c r="N106" i="13"/>
  <c r="M106" i="13"/>
  <c r="L106" i="13"/>
  <c r="AN106" i="13" s="1"/>
  <c r="K106" i="13"/>
  <c r="J106" i="13"/>
  <c r="I106" i="13"/>
  <c r="H106" i="13"/>
  <c r="G106" i="13"/>
  <c r="F106" i="13"/>
  <c r="E106" i="13"/>
  <c r="D106" i="13"/>
  <c r="AO106" i="13" s="1"/>
  <c r="AJ105" i="13"/>
  <c r="AQ105" i="13" s="1"/>
  <c r="AI105" i="13"/>
  <c r="AH105" i="13"/>
  <c r="AG105" i="13"/>
  <c r="AF105" i="13"/>
  <c r="AE105" i="13"/>
  <c r="AD105" i="13"/>
  <c r="AC105" i="13"/>
  <c r="AL105" i="13" s="1"/>
  <c r="AB105" i="13"/>
  <c r="AA105" i="13"/>
  <c r="Z105" i="13"/>
  <c r="Y105" i="13"/>
  <c r="X105" i="13"/>
  <c r="W105" i="13"/>
  <c r="V105" i="13"/>
  <c r="U105" i="13"/>
  <c r="T105" i="13"/>
  <c r="S105" i="13"/>
  <c r="R105" i="13"/>
  <c r="Q105" i="13"/>
  <c r="P105" i="13"/>
  <c r="O105" i="13"/>
  <c r="N105" i="13"/>
  <c r="M105" i="13"/>
  <c r="L105" i="13"/>
  <c r="K105" i="13"/>
  <c r="J105" i="13"/>
  <c r="I105" i="13"/>
  <c r="H105" i="13"/>
  <c r="G105" i="13"/>
  <c r="F105" i="13"/>
  <c r="E105" i="13"/>
  <c r="D105" i="13"/>
  <c r="AJ104" i="13"/>
  <c r="AQ104" i="13" s="1"/>
  <c r="AR40" i="13" s="1"/>
  <c r="AI104" i="13"/>
  <c r="AH104" i="13"/>
  <c r="AG104" i="13"/>
  <c r="AF104" i="13"/>
  <c r="AE104" i="13"/>
  <c r="AD104" i="13"/>
  <c r="AC104" i="13"/>
  <c r="AB104" i="13"/>
  <c r="AA104" i="13"/>
  <c r="Z104" i="13"/>
  <c r="Y104" i="13"/>
  <c r="X104" i="13"/>
  <c r="W104" i="13"/>
  <c r="V104" i="13"/>
  <c r="U104" i="13"/>
  <c r="T104" i="13"/>
  <c r="S104" i="13"/>
  <c r="R104" i="13"/>
  <c r="Q104" i="13"/>
  <c r="P104" i="13"/>
  <c r="O104" i="13"/>
  <c r="N104" i="13"/>
  <c r="M104" i="13"/>
  <c r="L104" i="13"/>
  <c r="K104" i="13"/>
  <c r="J104" i="13"/>
  <c r="I104" i="13"/>
  <c r="H104" i="13"/>
  <c r="G104" i="13"/>
  <c r="F104" i="13"/>
  <c r="E104" i="13"/>
  <c r="D104" i="13"/>
  <c r="AJ103" i="13"/>
  <c r="AQ103" i="13" s="1"/>
  <c r="AI103" i="13"/>
  <c r="AH103" i="13"/>
  <c r="AG103" i="13"/>
  <c r="AF103" i="13"/>
  <c r="AE103" i="13"/>
  <c r="AD103" i="13"/>
  <c r="AC103" i="13"/>
  <c r="AB103" i="13"/>
  <c r="AL103" i="13" s="1"/>
  <c r="AA103" i="13"/>
  <c r="Z103" i="13"/>
  <c r="Y103" i="13"/>
  <c r="X103" i="13"/>
  <c r="W103" i="13"/>
  <c r="V103" i="13"/>
  <c r="U103" i="13"/>
  <c r="T103" i="13"/>
  <c r="AM103" i="13" s="1"/>
  <c r="S103" i="13"/>
  <c r="R103" i="13"/>
  <c r="Q103" i="13"/>
  <c r="P103" i="13"/>
  <c r="O103" i="13"/>
  <c r="N103" i="13"/>
  <c r="M103" i="13"/>
  <c r="L103" i="13"/>
  <c r="K103" i="13"/>
  <c r="J103" i="13"/>
  <c r="AO103" i="13" s="1"/>
  <c r="I103" i="13"/>
  <c r="H103" i="13"/>
  <c r="G103" i="13"/>
  <c r="F103" i="13"/>
  <c r="E103" i="13"/>
  <c r="D103" i="13"/>
  <c r="AQ102" i="13"/>
  <c r="AR37" i="13" s="1"/>
  <c r="AJ102" i="13"/>
  <c r="AI102" i="13"/>
  <c r="AH102" i="13"/>
  <c r="AG102" i="13"/>
  <c r="AF102" i="13"/>
  <c r="AE102" i="13"/>
  <c r="AD102" i="13"/>
  <c r="AC102" i="13"/>
  <c r="AB102" i="13"/>
  <c r="AA102" i="13"/>
  <c r="Z102" i="13"/>
  <c r="Y102" i="13"/>
  <c r="X102" i="13"/>
  <c r="W102" i="13"/>
  <c r="V102" i="13"/>
  <c r="U102" i="13"/>
  <c r="T102" i="13"/>
  <c r="S102" i="13"/>
  <c r="R102" i="13"/>
  <c r="Q102" i="13"/>
  <c r="P102" i="13"/>
  <c r="O102" i="13"/>
  <c r="N102" i="13"/>
  <c r="M102" i="13"/>
  <c r="L102" i="13"/>
  <c r="K102" i="13"/>
  <c r="J102" i="13"/>
  <c r="I102" i="13"/>
  <c r="H102" i="13"/>
  <c r="G102" i="13"/>
  <c r="F102" i="13"/>
  <c r="E102" i="13"/>
  <c r="D102" i="13"/>
  <c r="AQ101" i="13"/>
  <c r="AM101" i="13"/>
  <c r="AJ101" i="13"/>
  <c r="AI101" i="13"/>
  <c r="AH101" i="13"/>
  <c r="AG101" i="13"/>
  <c r="AF101" i="13"/>
  <c r="AE101" i="13"/>
  <c r="AD101" i="13"/>
  <c r="AC101" i="13"/>
  <c r="AL101" i="13" s="1"/>
  <c r="AB101" i="13"/>
  <c r="AA101" i="13"/>
  <c r="Z101" i="13"/>
  <c r="Y101" i="13"/>
  <c r="X101" i="13"/>
  <c r="W101" i="13"/>
  <c r="V101" i="13"/>
  <c r="U101" i="13"/>
  <c r="T101" i="13"/>
  <c r="S101" i="13"/>
  <c r="R101" i="13"/>
  <c r="Q101" i="13"/>
  <c r="P101" i="13"/>
  <c r="O101" i="13"/>
  <c r="N101" i="13"/>
  <c r="AN101" i="13" s="1"/>
  <c r="M101" i="13"/>
  <c r="L101" i="13"/>
  <c r="K101" i="13"/>
  <c r="J101" i="13"/>
  <c r="I101" i="13"/>
  <c r="H101" i="13"/>
  <c r="G101" i="13"/>
  <c r="F101" i="13"/>
  <c r="AO101" i="13" s="1"/>
  <c r="E101" i="13"/>
  <c r="D101" i="13"/>
  <c r="AO100" i="13"/>
  <c r="AJ100" i="13"/>
  <c r="AQ100" i="13" s="1"/>
  <c r="AI100" i="13"/>
  <c r="AH100" i="13"/>
  <c r="AG100" i="13"/>
  <c r="AF100" i="13"/>
  <c r="AE100" i="13"/>
  <c r="AD100" i="13"/>
  <c r="AC100" i="13"/>
  <c r="AL100" i="13" s="1"/>
  <c r="AB100" i="13"/>
  <c r="AA100" i="13"/>
  <c r="Z100" i="13"/>
  <c r="Y100" i="13"/>
  <c r="X100" i="13"/>
  <c r="W100" i="13"/>
  <c r="V100" i="13"/>
  <c r="U100" i="13"/>
  <c r="AM100" i="13" s="1"/>
  <c r="T100" i="13"/>
  <c r="S100" i="13"/>
  <c r="R100" i="13"/>
  <c r="Q100" i="13"/>
  <c r="P100" i="13"/>
  <c r="O100" i="13"/>
  <c r="N100" i="13"/>
  <c r="M100" i="13"/>
  <c r="AN100" i="13" s="1"/>
  <c r="L100" i="13"/>
  <c r="K100" i="13"/>
  <c r="J100" i="13"/>
  <c r="I100" i="13"/>
  <c r="H100" i="13"/>
  <c r="G100" i="13"/>
  <c r="F100" i="13"/>
  <c r="E100" i="13"/>
  <c r="D100" i="13"/>
  <c r="AM99" i="13"/>
  <c r="AJ99" i="13"/>
  <c r="AQ99" i="13" s="1"/>
  <c r="AR34" i="13" s="1"/>
  <c r="AI99" i="13"/>
  <c r="AH99" i="13"/>
  <c r="AG99" i="13"/>
  <c r="AF99" i="13"/>
  <c r="AE99" i="13"/>
  <c r="AD99" i="13"/>
  <c r="AC99" i="13"/>
  <c r="AB99" i="13"/>
  <c r="AL99" i="13" s="1"/>
  <c r="AA99" i="13"/>
  <c r="Z99" i="13"/>
  <c r="Y99" i="13"/>
  <c r="X99" i="13"/>
  <c r="W99" i="13"/>
  <c r="V99" i="13"/>
  <c r="U99" i="13"/>
  <c r="T99" i="13"/>
  <c r="S99" i="13"/>
  <c r="R99" i="13"/>
  <c r="Q99" i="13"/>
  <c r="P99" i="13"/>
  <c r="O99" i="13"/>
  <c r="N99" i="13"/>
  <c r="M99" i="13"/>
  <c r="L99" i="13"/>
  <c r="AN99" i="13" s="1"/>
  <c r="K99" i="13"/>
  <c r="J99" i="13"/>
  <c r="I99" i="13"/>
  <c r="H99" i="13"/>
  <c r="G99" i="13"/>
  <c r="F99" i="13"/>
  <c r="E99" i="13"/>
  <c r="D99" i="13"/>
  <c r="AO99" i="13" s="1"/>
  <c r="AJ98" i="13"/>
  <c r="AQ98" i="13" s="1"/>
  <c r="AI98" i="13"/>
  <c r="AH98" i="13"/>
  <c r="AG98" i="13"/>
  <c r="AF98" i="13"/>
  <c r="AE98" i="13"/>
  <c r="AD98" i="13"/>
  <c r="AC98" i="13"/>
  <c r="AB98" i="13"/>
  <c r="AL98" i="13" s="1"/>
  <c r="AA98" i="13"/>
  <c r="Z98" i="13"/>
  <c r="Y98" i="13"/>
  <c r="X98" i="13"/>
  <c r="W98" i="13"/>
  <c r="V98" i="13"/>
  <c r="U98" i="13"/>
  <c r="T98" i="13"/>
  <c r="AM98" i="13" s="1"/>
  <c r="S98" i="13"/>
  <c r="R98" i="13"/>
  <c r="Q98" i="13"/>
  <c r="P98" i="13"/>
  <c r="O98" i="13"/>
  <c r="N98" i="13"/>
  <c r="M98" i="13"/>
  <c r="L98" i="13"/>
  <c r="AN98" i="13" s="1"/>
  <c r="K98" i="13"/>
  <c r="J98" i="13"/>
  <c r="I98" i="13"/>
  <c r="H98" i="13"/>
  <c r="G98" i="13"/>
  <c r="F98" i="13"/>
  <c r="E98" i="13"/>
  <c r="D98" i="13"/>
  <c r="AO98" i="13" s="1"/>
  <c r="AJ97" i="13"/>
  <c r="AQ97" i="13" s="1"/>
  <c r="AI97" i="13"/>
  <c r="AH97" i="13"/>
  <c r="AG97" i="13"/>
  <c r="AF97" i="13"/>
  <c r="AE97" i="13"/>
  <c r="AD97" i="13"/>
  <c r="AC97" i="13"/>
  <c r="AB97" i="13"/>
  <c r="AA97" i="13"/>
  <c r="Z97" i="13"/>
  <c r="Y97" i="13"/>
  <c r="X97" i="13"/>
  <c r="W97" i="13"/>
  <c r="V97" i="13"/>
  <c r="U97" i="13"/>
  <c r="T97" i="13"/>
  <c r="S97" i="13"/>
  <c r="R97" i="13"/>
  <c r="Q97" i="13"/>
  <c r="P97" i="13"/>
  <c r="O97" i="13"/>
  <c r="N97" i="13"/>
  <c r="M97" i="13"/>
  <c r="L97" i="13"/>
  <c r="K97" i="13"/>
  <c r="J97" i="13"/>
  <c r="I97" i="13"/>
  <c r="H97" i="13"/>
  <c r="G97" i="13"/>
  <c r="F97" i="13"/>
  <c r="E97" i="13"/>
  <c r="D97" i="13"/>
  <c r="AQ96" i="13"/>
  <c r="AJ96" i="13"/>
  <c r="AI96" i="13"/>
  <c r="AH96" i="13"/>
  <c r="AG96" i="13"/>
  <c r="AF96" i="13"/>
  <c r="AE96" i="13"/>
  <c r="AD96" i="13"/>
  <c r="AC96" i="13"/>
  <c r="AB96" i="13"/>
  <c r="AA96" i="13"/>
  <c r="Z96" i="13"/>
  <c r="Y96" i="13"/>
  <c r="X96" i="13"/>
  <c r="W96" i="13"/>
  <c r="V96" i="13"/>
  <c r="U96" i="13"/>
  <c r="T96" i="13"/>
  <c r="S96" i="13"/>
  <c r="R96" i="13"/>
  <c r="Q96" i="13"/>
  <c r="P96" i="13"/>
  <c r="O96" i="13"/>
  <c r="N96" i="13"/>
  <c r="M96" i="13"/>
  <c r="L96" i="13"/>
  <c r="K96" i="13"/>
  <c r="J96" i="13"/>
  <c r="I96" i="13"/>
  <c r="H96" i="13"/>
  <c r="G96" i="13"/>
  <c r="F96" i="13"/>
  <c r="E96" i="13"/>
  <c r="D96" i="13"/>
  <c r="AQ95" i="13"/>
  <c r="AJ95" i="13"/>
  <c r="AI95" i="13"/>
  <c r="AH95" i="13"/>
  <c r="AG95" i="13"/>
  <c r="AF95" i="13"/>
  <c r="AE95" i="13"/>
  <c r="AD95" i="13"/>
  <c r="AC95" i="13"/>
  <c r="AB95" i="13"/>
  <c r="AA95" i="13"/>
  <c r="Z95" i="13"/>
  <c r="Y95" i="13"/>
  <c r="X95" i="13"/>
  <c r="W95" i="13"/>
  <c r="V95" i="13"/>
  <c r="U95" i="13"/>
  <c r="T95" i="13"/>
  <c r="S95" i="13"/>
  <c r="R95" i="13"/>
  <c r="Q95" i="13"/>
  <c r="P95" i="13"/>
  <c r="O95" i="13"/>
  <c r="N95" i="13"/>
  <c r="M95" i="13"/>
  <c r="L95" i="13"/>
  <c r="K95" i="13"/>
  <c r="J95" i="13"/>
  <c r="I95" i="13"/>
  <c r="H95" i="13"/>
  <c r="G95" i="13"/>
  <c r="F95" i="13"/>
  <c r="E95" i="13"/>
  <c r="D95" i="13"/>
  <c r="AQ94" i="13"/>
  <c r="AJ94" i="13"/>
  <c r="AI94" i="13"/>
  <c r="AH94" i="13"/>
  <c r="AG94" i="13"/>
  <c r="AF94" i="13"/>
  <c r="AE94" i="13"/>
  <c r="AD94" i="13"/>
  <c r="AC94" i="13"/>
  <c r="AB94" i="13"/>
  <c r="AA94" i="13"/>
  <c r="Z94" i="13"/>
  <c r="Y94" i="13"/>
  <c r="X94" i="13"/>
  <c r="W94" i="13"/>
  <c r="V94" i="13"/>
  <c r="U94" i="13"/>
  <c r="T94" i="13"/>
  <c r="S94" i="13"/>
  <c r="R94" i="13"/>
  <c r="Q94" i="13"/>
  <c r="P94" i="13"/>
  <c r="O94" i="13"/>
  <c r="AN94" i="13" s="1"/>
  <c r="N94" i="13"/>
  <c r="M94" i="13"/>
  <c r="L94" i="13"/>
  <c r="K94" i="13"/>
  <c r="J94" i="13"/>
  <c r="I94" i="13"/>
  <c r="H94" i="13"/>
  <c r="AO94" i="13" s="1"/>
  <c r="G94" i="13"/>
  <c r="F94" i="13"/>
  <c r="E94" i="13"/>
  <c r="D94" i="13"/>
  <c r="AQ93" i="13"/>
  <c r="AM93" i="13"/>
  <c r="AJ93" i="13"/>
  <c r="AI93" i="13"/>
  <c r="AH93" i="13"/>
  <c r="AG93" i="13"/>
  <c r="AF93" i="13"/>
  <c r="AE93" i="13"/>
  <c r="AD93" i="13"/>
  <c r="AC93" i="13"/>
  <c r="AB93" i="13"/>
  <c r="AA93" i="13"/>
  <c r="Z93" i="13"/>
  <c r="Y93" i="13"/>
  <c r="X93" i="13"/>
  <c r="W93" i="13"/>
  <c r="V93" i="13"/>
  <c r="U93" i="13"/>
  <c r="T93" i="13"/>
  <c r="S93" i="13"/>
  <c r="R93" i="13"/>
  <c r="Q93" i="13"/>
  <c r="P93" i="13"/>
  <c r="O93" i="13"/>
  <c r="N93" i="13"/>
  <c r="AN93" i="13" s="1"/>
  <c r="M93" i="13"/>
  <c r="L93" i="13"/>
  <c r="K93" i="13"/>
  <c r="J93" i="13"/>
  <c r="I93" i="13"/>
  <c r="H93" i="13"/>
  <c r="G93" i="13"/>
  <c r="F93" i="13"/>
  <c r="AO93" i="13" s="1"/>
  <c r="E93" i="13"/>
  <c r="D93" i="13"/>
  <c r="AJ92" i="13"/>
  <c r="AQ92" i="13" s="1"/>
  <c r="AI92" i="13"/>
  <c r="AH92" i="13"/>
  <c r="AG92" i="13"/>
  <c r="AF92" i="13"/>
  <c r="AE92" i="13"/>
  <c r="AD92" i="13"/>
  <c r="AC92" i="13"/>
  <c r="AB92" i="13"/>
  <c r="AA92" i="13"/>
  <c r="Z92" i="13"/>
  <c r="Y92" i="13"/>
  <c r="X92" i="13"/>
  <c r="W92" i="13"/>
  <c r="V92" i="13"/>
  <c r="U92" i="13"/>
  <c r="T92" i="13"/>
  <c r="S92" i="13"/>
  <c r="R92" i="13"/>
  <c r="Q92" i="13"/>
  <c r="P92" i="13"/>
  <c r="O92" i="13"/>
  <c r="AN92" i="13" s="1"/>
  <c r="N92" i="13"/>
  <c r="M92" i="13"/>
  <c r="L92" i="13"/>
  <c r="K92" i="13"/>
  <c r="J92" i="13"/>
  <c r="I92" i="13"/>
  <c r="H92" i="13"/>
  <c r="AO92" i="13" s="1"/>
  <c r="G92" i="13"/>
  <c r="F92" i="13"/>
  <c r="E92" i="13"/>
  <c r="D92" i="13"/>
  <c r="AJ91" i="13"/>
  <c r="AQ91" i="13" s="1"/>
  <c r="AI91" i="13"/>
  <c r="AH91" i="13"/>
  <c r="AG91" i="13"/>
  <c r="AF91" i="13"/>
  <c r="AE91" i="13"/>
  <c r="AD91" i="13"/>
  <c r="AC91" i="13"/>
  <c r="AB91" i="13"/>
  <c r="AA91" i="13"/>
  <c r="Z91" i="13"/>
  <c r="Y91" i="13"/>
  <c r="X91" i="13"/>
  <c r="W91" i="13"/>
  <c r="V91" i="13"/>
  <c r="AM91" i="13" s="1"/>
  <c r="U91" i="13"/>
  <c r="T91" i="13"/>
  <c r="S91" i="13"/>
  <c r="R91" i="13"/>
  <c r="Q91" i="13"/>
  <c r="P91" i="13"/>
  <c r="O91" i="13"/>
  <c r="N91" i="13"/>
  <c r="M91" i="13"/>
  <c r="L91" i="13"/>
  <c r="K91" i="13"/>
  <c r="J91" i="13"/>
  <c r="I91" i="13"/>
  <c r="H91" i="13"/>
  <c r="G91" i="13"/>
  <c r="F91" i="13"/>
  <c r="E91" i="13"/>
  <c r="D91" i="13"/>
  <c r="AJ90" i="13"/>
  <c r="AQ90" i="13" s="1"/>
  <c r="AI90" i="13"/>
  <c r="AH90" i="13"/>
  <c r="AG90" i="13"/>
  <c r="AF90" i="13"/>
  <c r="AE90" i="13"/>
  <c r="AD90" i="13"/>
  <c r="AC90" i="13"/>
  <c r="AB90" i="13"/>
  <c r="AL90" i="13" s="1"/>
  <c r="AA90" i="13"/>
  <c r="Z90" i="13"/>
  <c r="Y90" i="13"/>
  <c r="X90" i="13"/>
  <c r="W90" i="13"/>
  <c r="V90" i="13"/>
  <c r="AM90" i="13" s="1"/>
  <c r="U90" i="13"/>
  <c r="T90" i="13"/>
  <c r="S90" i="13"/>
  <c r="R90" i="13"/>
  <c r="Q90" i="13"/>
  <c r="P90" i="13"/>
  <c r="O90" i="13"/>
  <c r="N90" i="13"/>
  <c r="M90" i="13"/>
  <c r="L90" i="13"/>
  <c r="K90" i="13"/>
  <c r="J90" i="13"/>
  <c r="I90" i="13"/>
  <c r="H90" i="13"/>
  <c r="G90" i="13"/>
  <c r="F90" i="13"/>
  <c r="E90" i="13"/>
  <c r="D90" i="13"/>
  <c r="AJ89" i="13"/>
  <c r="AQ89" i="13" s="1"/>
  <c r="AI89" i="13"/>
  <c r="AH89" i="13"/>
  <c r="AG89" i="13"/>
  <c r="AF89" i="13"/>
  <c r="AE89" i="13"/>
  <c r="AD89" i="13"/>
  <c r="AC89" i="13"/>
  <c r="AB89" i="13"/>
  <c r="AA89" i="13"/>
  <c r="Z89" i="13"/>
  <c r="Y89" i="13"/>
  <c r="X89" i="13"/>
  <c r="W89" i="13"/>
  <c r="V89" i="13"/>
  <c r="U89" i="13"/>
  <c r="T89" i="13"/>
  <c r="S89" i="13"/>
  <c r="R89" i="13"/>
  <c r="Q89" i="13"/>
  <c r="P89" i="13"/>
  <c r="O89" i="13"/>
  <c r="N89" i="13"/>
  <c r="M89" i="13"/>
  <c r="L89" i="13"/>
  <c r="K89" i="13"/>
  <c r="J89" i="13"/>
  <c r="I89" i="13"/>
  <c r="H89" i="13"/>
  <c r="G89" i="13"/>
  <c r="F89" i="13"/>
  <c r="E89" i="13"/>
  <c r="D89" i="13"/>
  <c r="AQ88" i="13"/>
  <c r="AR24" i="13" s="1"/>
  <c r="AJ88" i="13"/>
  <c r="AI88" i="13"/>
  <c r="AH88" i="13"/>
  <c r="AG88" i="13"/>
  <c r="AF88" i="13"/>
  <c r="AE88" i="13"/>
  <c r="AD88" i="13"/>
  <c r="AC88" i="13"/>
  <c r="AB88" i="13"/>
  <c r="AL88" i="13" s="1"/>
  <c r="AA88" i="13"/>
  <c r="Z88" i="13"/>
  <c r="Y88" i="13"/>
  <c r="X88" i="13"/>
  <c r="W88" i="13"/>
  <c r="V88" i="13"/>
  <c r="U88" i="13"/>
  <c r="T88" i="13"/>
  <c r="AM88" i="13" s="1"/>
  <c r="S88" i="13"/>
  <c r="R88" i="13"/>
  <c r="Q88" i="13"/>
  <c r="P88" i="13"/>
  <c r="O88" i="13"/>
  <c r="N88" i="13"/>
  <c r="M88" i="13"/>
  <c r="L88" i="13"/>
  <c r="AN88" i="13" s="1"/>
  <c r="K88" i="13"/>
  <c r="J88" i="13"/>
  <c r="I88" i="13"/>
  <c r="H88" i="13"/>
  <c r="G88" i="13"/>
  <c r="F88" i="13"/>
  <c r="E88" i="13"/>
  <c r="D88" i="13"/>
  <c r="AO88" i="13" s="1"/>
  <c r="AQ87" i="13"/>
  <c r="AJ87" i="13"/>
  <c r="AI87" i="13"/>
  <c r="AH87" i="13"/>
  <c r="AG87" i="13"/>
  <c r="AF87" i="13"/>
  <c r="AE87" i="13"/>
  <c r="AD87" i="13"/>
  <c r="AC87" i="13"/>
  <c r="AB87" i="13"/>
  <c r="AA87" i="13"/>
  <c r="Z87" i="13"/>
  <c r="Y87" i="13"/>
  <c r="X87" i="13"/>
  <c r="W87" i="13"/>
  <c r="V87" i="13"/>
  <c r="U87" i="13"/>
  <c r="T87" i="13"/>
  <c r="S87" i="13"/>
  <c r="R87" i="13"/>
  <c r="Q87" i="13"/>
  <c r="P87" i="13"/>
  <c r="O87" i="13"/>
  <c r="N87" i="13"/>
  <c r="M87" i="13"/>
  <c r="L87" i="13"/>
  <c r="K87" i="13"/>
  <c r="J87" i="13"/>
  <c r="I87" i="13"/>
  <c r="H87" i="13"/>
  <c r="G87" i="13"/>
  <c r="F87" i="13"/>
  <c r="E87" i="13"/>
  <c r="D87" i="13"/>
  <c r="AQ86" i="13"/>
  <c r="AJ86" i="13"/>
  <c r="AI86" i="13"/>
  <c r="AH86" i="13"/>
  <c r="AG86" i="13"/>
  <c r="AF86" i="13"/>
  <c r="AE86" i="13"/>
  <c r="AD86" i="13"/>
  <c r="AC86" i="13"/>
  <c r="AB86" i="13"/>
  <c r="AA86" i="13"/>
  <c r="Z86" i="13"/>
  <c r="Y86" i="13"/>
  <c r="X86" i="13"/>
  <c r="W86" i="13"/>
  <c r="V86" i="13"/>
  <c r="U86" i="13"/>
  <c r="T86" i="13"/>
  <c r="S86" i="13"/>
  <c r="R86" i="13"/>
  <c r="Q86" i="13"/>
  <c r="P86" i="13"/>
  <c r="O86" i="13"/>
  <c r="N86" i="13"/>
  <c r="M86" i="13"/>
  <c r="L86" i="13"/>
  <c r="K86" i="13"/>
  <c r="J86" i="13"/>
  <c r="I86" i="13"/>
  <c r="H86" i="13"/>
  <c r="G86" i="13"/>
  <c r="F86" i="13"/>
  <c r="AO86" i="13" s="1"/>
  <c r="E86" i="13"/>
  <c r="D86" i="13"/>
  <c r="AJ85" i="13"/>
  <c r="AQ85" i="13" s="1"/>
  <c r="AI85" i="13"/>
  <c r="AH85" i="13"/>
  <c r="AG85" i="13"/>
  <c r="AF85" i="13"/>
  <c r="AE85" i="13"/>
  <c r="AD85" i="13"/>
  <c r="AC85" i="13"/>
  <c r="AL85" i="13" s="1"/>
  <c r="AB85" i="13"/>
  <c r="AA85" i="13"/>
  <c r="Z85" i="13"/>
  <c r="Y85" i="13"/>
  <c r="X85" i="13"/>
  <c r="W85" i="13"/>
  <c r="V85" i="13"/>
  <c r="U85" i="13"/>
  <c r="T85" i="13"/>
  <c r="S85" i="13"/>
  <c r="R85" i="13"/>
  <c r="Q85" i="13"/>
  <c r="P85" i="13"/>
  <c r="O85" i="13"/>
  <c r="N85" i="13"/>
  <c r="M85" i="13"/>
  <c r="AN85" i="13" s="1"/>
  <c r="L85" i="13"/>
  <c r="K85" i="13"/>
  <c r="J85" i="13"/>
  <c r="I85" i="13"/>
  <c r="H85" i="13"/>
  <c r="G85" i="13"/>
  <c r="F85" i="13"/>
  <c r="E85" i="13"/>
  <c r="AO85" i="13" s="1"/>
  <c r="D85" i="13"/>
  <c r="AJ84" i="13"/>
  <c r="AQ84" i="13" s="1"/>
  <c r="AI84" i="13"/>
  <c r="AH84" i="13"/>
  <c r="AG84" i="13"/>
  <c r="AF84" i="13"/>
  <c r="AE84" i="13"/>
  <c r="AD84" i="13"/>
  <c r="AC84" i="13"/>
  <c r="AB84" i="13"/>
  <c r="AL84" i="13" s="1"/>
  <c r="AA84" i="13"/>
  <c r="Z84" i="13"/>
  <c r="Y84" i="13"/>
  <c r="X84" i="13"/>
  <c r="W84" i="13"/>
  <c r="V84" i="13"/>
  <c r="U84" i="13"/>
  <c r="T84" i="13"/>
  <c r="AM84" i="13" s="1"/>
  <c r="S84" i="13"/>
  <c r="R84" i="13"/>
  <c r="Q84" i="13"/>
  <c r="P84" i="13"/>
  <c r="O84" i="13"/>
  <c r="N84" i="13"/>
  <c r="M84" i="13"/>
  <c r="L84" i="13"/>
  <c r="AN84" i="13" s="1"/>
  <c r="K84" i="13"/>
  <c r="J84" i="13"/>
  <c r="I84" i="13"/>
  <c r="H84" i="13"/>
  <c r="G84" i="13"/>
  <c r="F84" i="13"/>
  <c r="E84" i="13"/>
  <c r="D84" i="13"/>
  <c r="AO84" i="13" s="1"/>
  <c r="AJ83" i="13"/>
  <c r="AQ83" i="13" s="1"/>
  <c r="AI83" i="13"/>
  <c r="AH83" i="13"/>
  <c r="AG83" i="13"/>
  <c r="AF83" i="13"/>
  <c r="AE83" i="13"/>
  <c r="AD83" i="13"/>
  <c r="AC83" i="13"/>
  <c r="AL83" i="13" s="1"/>
  <c r="AB83" i="13"/>
  <c r="AA83" i="13"/>
  <c r="Z83" i="13"/>
  <c r="Y83" i="13"/>
  <c r="X83" i="13"/>
  <c r="W83" i="13"/>
  <c r="V83" i="13"/>
  <c r="U83" i="13"/>
  <c r="T83" i="13"/>
  <c r="S83" i="13"/>
  <c r="R83" i="13"/>
  <c r="Q83" i="13"/>
  <c r="P83" i="13"/>
  <c r="O83" i="13"/>
  <c r="N83" i="13"/>
  <c r="M83" i="13"/>
  <c r="L83" i="13"/>
  <c r="K83" i="13"/>
  <c r="J83" i="13"/>
  <c r="I83" i="13"/>
  <c r="H83" i="13"/>
  <c r="G83" i="13"/>
  <c r="F83" i="13"/>
  <c r="E83" i="13"/>
  <c r="D83" i="13"/>
  <c r="AJ82" i="13"/>
  <c r="AQ82" i="13" s="1"/>
  <c r="AR17" i="13" s="1"/>
  <c r="AI82" i="13"/>
  <c r="AH82" i="13"/>
  <c r="AG82" i="13"/>
  <c r="AF82" i="13"/>
  <c r="AE82" i="13"/>
  <c r="AD82" i="13"/>
  <c r="AC82" i="13"/>
  <c r="AB82" i="13"/>
  <c r="AL82" i="13" s="1"/>
  <c r="AA82" i="13"/>
  <c r="Z82" i="13"/>
  <c r="Y82" i="13"/>
  <c r="X82" i="13"/>
  <c r="W82" i="13"/>
  <c r="V82" i="13"/>
  <c r="U82" i="13"/>
  <c r="T82" i="13"/>
  <c r="AM82" i="13" s="1"/>
  <c r="S82" i="13"/>
  <c r="R82" i="13"/>
  <c r="Q82" i="13"/>
  <c r="P82" i="13"/>
  <c r="O82" i="13"/>
  <c r="N82" i="13"/>
  <c r="M82" i="13"/>
  <c r="L82" i="13"/>
  <c r="AN82" i="13" s="1"/>
  <c r="K82" i="13"/>
  <c r="J82" i="13"/>
  <c r="I82" i="13"/>
  <c r="H82" i="13"/>
  <c r="G82" i="13"/>
  <c r="F82" i="13"/>
  <c r="E82" i="13"/>
  <c r="D82" i="13"/>
  <c r="AO82" i="13" s="1"/>
  <c r="AQ81" i="13"/>
  <c r="AR16" i="13" s="1"/>
  <c r="AJ81" i="13"/>
  <c r="AI81" i="13"/>
  <c r="AH81" i="13"/>
  <c r="AG81" i="13"/>
  <c r="AF81" i="13"/>
  <c r="AE81" i="13"/>
  <c r="AD81" i="13"/>
  <c r="AC81" i="13"/>
  <c r="AB81" i="13"/>
  <c r="AA81" i="13"/>
  <c r="Z81" i="13"/>
  <c r="Y81" i="13"/>
  <c r="X81" i="13"/>
  <c r="W81" i="13"/>
  <c r="V81" i="13"/>
  <c r="U81" i="13"/>
  <c r="T81" i="13"/>
  <c r="S81" i="13"/>
  <c r="R81" i="13"/>
  <c r="Q81" i="13"/>
  <c r="P81" i="13"/>
  <c r="O81" i="13"/>
  <c r="N81" i="13"/>
  <c r="M81" i="13"/>
  <c r="L81" i="13"/>
  <c r="K81" i="13"/>
  <c r="J81" i="13"/>
  <c r="I81" i="13"/>
  <c r="H81" i="13"/>
  <c r="G81" i="13"/>
  <c r="F81" i="13"/>
  <c r="E81" i="13"/>
  <c r="D81" i="13"/>
  <c r="AQ80" i="13"/>
  <c r="AJ80" i="13"/>
  <c r="AI80" i="13"/>
  <c r="AH80" i="13"/>
  <c r="AG80" i="13"/>
  <c r="AF80" i="13"/>
  <c r="AE80" i="13"/>
  <c r="AD80" i="13"/>
  <c r="AC80" i="13"/>
  <c r="AB80" i="13"/>
  <c r="AA80" i="13"/>
  <c r="Z80" i="13"/>
  <c r="Y80" i="13"/>
  <c r="X80" i="13"/>
  <c r="W80" i="13"/>
  <c r="V80" i="13"/>
  <c r="U80" i="13"/>
  <c r="T80" i="13"/>
  <c r="S80" i="13"/>
  <c r="R80" i="13"/>
  <c r="Q80" i="13"/>
  <c r="P80" i="13"/>
  <c r="O80" i="13"/>
  <c r="N80" i="13"/>
  <c r="M80" i="13"/>
  <c r="L80" i="13"/>
  <c r="K80" i="13"/>
  <c r="J80" i="13"/>
  <c r="I80" i="13"/>
  <c r="H80" i="13"/>
  <c r="AO80" i="13" s="1"/>
  <c r="G80" i="13"/>
  <c r="F80" i="13"/>
  <c r="E80" i="13"/>
  <c r="D80" i="13"/>
  <c r="AQ79" i="13"/>
  <c r="AN79" i="13"/>
  <c r="AJ79" i="13"/>
  <c r="AI79" i="13"/>
  <c r="AH79" i="13"/>
  <c r="AG79" i="13"/>
  <c r="AF79" i="13"/>
  <c r="AE79" i="13"/>
  <c r="AD79" i="13"/>
  <c r="AC79" i="13"/>
  <c r="AB79" i="13"/>
  <c r="AL79" i="13" s="1"/>
  <c r="AA79" i="13"/>
  <c r="Z79" i="13"/>
  <c r="Y79" i="13"/>
  <c r="X79" i="13"/>
  <c r="W79" i="13"/>
  <c r="V79" i="13"/>
  <c r="U79" i="13"/>
  <c r="T79" i="13"/>
  <c r="S79" i="13"/>
  <c r="R79" i="13"/>
  <c r="Q79" i="13"/>
  <c r="P79" i="13"/>
  <c r="O79" i="13"/>
  <c r="N79" i="13"/>
  <c r="M79" i="13"/>
  <c r="L79" i="13"/>
  <c r="K79" i="13"/>
  <c r="J79" i="13"/>
  <c r="I79" i="13"/>
  <c r="H79" i="13"/>
  <c r="G79" i="13"/>
  <c r="F79" i="13"/>
  <c r="E79" i="13"/>
  <c r="D79" i="13"/>
  <c r="AQ78" i="13"/>
  <c r="AJ78" i="13"/>
  <c r="AI78" i="13"/>
  <c r="AH78" i="13"/>
  <c r="AG78" i="13"/>
  <c r="AF78" i="13"/>
  <c r="AE78" i="13"/>
  <c r="AD78" i="13"/>
  <c r="AC78" i="13"/>
  <c r="AB78" i="13"/>
  <c r="AA78" i="13"/>
  <c r="Z78" i="13"/>
  <c r="Y78" i="13"/>
  <c r="X78" i="13"/>
  <c r="AM78" i="13" s="1"/>
  <c r="W78" i="13"/>
  <c r="V78" i="13"/>
  <c r="U78" i="13"/>
  <c r="T78" i="13"/>
  <c r="S78" i="13"/>
  <c r="R78" i="13"/>
  <c r="Q78" i="13"/>
  <c r="P78" i="13"/>
  <c r="O78" i="13"/>
  <c r="N78" i="13"/>
  <c r="M78" i="13"/>
  <c r="L78" i="13"/>
  <c r="K78" i="13"/>
  <c r="J78" i="13"/>
  <c r="I78" i="13"/>
  <c r="H78" i="13"/>
  <c r="G78" i="13"/>
  <c r="F78" i="13"/>
  <c r="AO78" i="13" s="1"/>
  <c r="E78" i="13"/>
  <c r="D78" i="13"/>
  <c r="AJ77" i="13"/>
  <c r="AQ77" i="13" s="1"/>
  <c r="AR13" i="13" s="1"/>
  <c r="AI77" i="13"/>
  <c r="AH77" i="13"/>
  <c r="AG77" i="13"/>
  <c r="AF77" i="13"/>
  <c r="AE77" i="13"/>
  <c r="AD77" i="13"/>
  <c r="AC77" i="13"/>
  <c r="AL77" i="13" s="1"/>
  <c r="AB77" i="13"/>
  <c r="AA77" i="13"/>
  <c r="Z77" i="13"/>
  <c r="Y77" i="13"/>
  <c r="X77" i="13"/>
  <c r="W77" i="13"/>
  <c r="V77" i="13"/>
  <c r="U77" i="13"/>
  <c r="T77" i="13"/>
  <c r="AM77" i="13" s="1"/>
  <c r="S77" i="13"/>
  <c r="R77" i="13"/>
  <c r="Q77" i="13"/>
  <c r="P77" i="13"/>
  <c r="O77" i="13"/>
  <c r="N77" i="13"/>
  <c r="M77" i="13"/>
  <c r="AN77" i="13" s="1"/>
  <c r="L77" i="13"/>
  <c r="K77" i="13"/>
  <c r="J77" i="13"/>
  <c r="I77" i="13"/>
  <c r="H77" i="13"/>
  <c r="G77" i="13"/>
  <c r="F77" i="13"/>
  <c r="E77" i="13"/>
  <c r="AO77" i="13" s="1"/>
  <c r="D77" i="13"/>
  <c r="AM76" i="13"/>
  <c r="AJ76" i="13"/>
  <c r="AQ76" i="13" s="1"/>
  <c r="AI76" i="13"/>
  <c r="AH76" i="13"/>
  <c r="AG76" i="13"/>
  <c r="AF76" i="13"/>
  <c r="AE76" i="13"/>
  <c r="AD76" i="13"/>
  <c r="AC76" i="13"/>
  <c r="AB76" i="13"/>
  <c r="AA76" i="13"/>
  <c r="Z76" i="13"/>
  <c r="Y76" i="13"/>
  <c r="X76" i="13"/>
  <c r="W76" i="13"/>
  <c r="V76" i="13"/>
  <c r="U76" i="13"/>
  <c r="T76" i="13"/>
  <c r="S76" i="13"/>
  <c r="R76" i="13"/>
  <c r="Q76" i="13"/>
  <c r="P76" i="13"/>
  <c r="O76" i="13"/>
  <c r="N76" i="13"/>
  <c r="M76" i="13"/>
  <c r="L76" i="13"/>
  <c r="K76" i="13"/>
  <c r="J76" i="13"/>
  <c r="I76" i="13"/>
  <c r="H76" i="13"/>
  <c r="G76" i="13"/>
  <c r="F76" i="13"/>
  <c r="E76" i="13"/>
  <c r="D76" i="13"/>
  <c r="AJ75" i="13"/>
  <c r="AQ75" i="13" s="1"/>
  <c r="AI75" i="13"/>
  <c r="AH75" i="13"/>
  <c r="AG75" i="13"/>
  <c r="AF75" i="13"/>
  <c r="AE75" i="13"/>
  <c r="AD75" i="13"/>
  <c r="AC75" i="13"/>
  <c r="AL75" i="13" s="1"/>
  <c r="AB75" i="13"/>
  <c r="AA75" i="13"/>
  <c r="Z75" i="13"/>
  <c r="Y75" i="13"/>
  <c r="X75" i="13"/>
  <c r="W75" i="13"/>
  <c r="V75" i="13"/>
  <c r="U75" i="13"/>
  <c r="AM75" i="13" s="1"/>
  <c r="T75" i="13"/>
  <c r="S75" i="13"/>
  <c r="R75" i="13"/>
  <c r="Q75" i="13"/>
  <c r="P75" i="13"/>
  <c r="O75" i="13"/>
  <c r="N75" i="13"/>
  <c r="M75" i="13"/>
  <c r="L75" i="13"/>
  <c r="AN75" i="13" s="1"/>
  <c r="K75" i="13"/>
  <c r="J75" i="13"/>
  <c r="I75" i="13"/>
  <c r="H75" i="13"/>
  <c r="G75" i="13"/>
  <c r="F75" i="13"/>
  <c r="E75" i="13"/>
  <c r="D75" i="13"/>
  <c r="AO75" i="13" s="1"/>
  <c r="AJ74" i="13"/>
  <c r="AI74" i="13"/>
  <c r="AH74" i="13"/>
  <c r="AG74" i="13"/>
  <c r="AF74" i="13"/>
  <c r="AE74" i="13"/>
  <c r="AD74" i="13"/>
  <c r="AC74" i="13"/>
  <c r="AB74" i="13"/>
  <c r="AA74" i="13"/>
  <c r="Z74" i="13"/>
  <c r="Y74" i="13"/>
  <c r="X74" i="13"/>
  <c r="W74" i="13"/>
  <c r="V74" i="13"/>
  <c r="U74" i="13"/>
  <c r="T74" i="13"/>
  <c r="S74" i="13"/>
  <c r="R74" i="13"/>
  <c r="Q74" i="13"/>
  <c r="P74" i="13"/>
  <c r="O74" i="13"/>
  <c r="N74" i="13"/>
  <c r="M74" i="13"/>
  <c r="L74" i="13"/>
  <c r="K74" i="13"/>
  <c r="J74" i="13"/>
  <c r="I74" i="13"/>
  <c r="H74" i="13"/>
  <c r="G74" i="13"/>
  <c r="F74" i="13"/>
  <c r="E74" i="13"/>
  <c r="D74" i="13"/>
  <c r="AJ73" i="13"/>
  <c r="AI73" i="13"/>
  <c r="AH73" i="13"/>
  <c r="AG73" i="13"/>
  <c r="AF73" i="13"/>
  <c r="AE73" i="13"/>
  <c r="AD73" i="13"/>
  <c r="AC73" i="13"/>
  <c r="AB73" i="13"/>
  <c r="AA73" i="13"/>
  <c r="Z73" i="13"/>
  <c r="Y73" i="13"/>
  <c r="X73" i="13"/>
  <c r="W73" i="13"/>
  <c r="V73" i="13"/>
  <c r="U73" i="13"/>
  <c r="T73" i="13"/>
  <c r="S73" i="13"/>
  <c r="R73" i="13"/>
  <c r="Q73" i="13"/>
  <c r="P73" i="13"/>
  <c r="O73" i="13"/>
  <c r="N73" i="13"/>
  <c r="M73" i="13"/>
  <c r="L73" i="13"/>
  <c r="K73" i="13"/>
  <c r="J73" i="13"/>
  <c r="I73" i="13"/>
  <c r="H73" i="13"/>
  <c r="G73" i="13"/>
  <c r="F73" i="13"/>
  <c r="E73" i="13"/>
  <c r="D73" i="13"/>
  <c r="C73" i="13"/>
  <c r="AJ72" i="13"/>
  <c r="AI72" i="13"/>
  <c r="AH72" i="13"/>
  <c r="AG72" i="13"/>
  <c r="AF72" i="13"/>
  <c r="AE72" i="13"/>
  <c r="AD72" i="13"/>
  <c r="AC72" i="13"/>
  <c r="AB72" i="13"/>
  <c r="AL72" i="13" s="1"/>
  <c r="AA72" i="13"/>
  <c r="Z72" i="13"/>
  <c r="Y72" i="13"/>
  <c r="X72" i="13"/>
  <c r="W72" i="13"/>
  <c r="V72" i="13"/>
  <c r="U72" i="13"/>
  <c r="T72" i="13"/>
  <c r="AM72" i="13" s="1"/>
  <c r="S72" i="13"/>
  <c r="R72" i="13"/>
  <c r="Q72" i="13"/>
  <c r="P72" i="13"/>
  <c r="O72" i="13"/>
  <c r="AN72" i="13" s="1"/>
  <c r="N72" i="13"/>
  <c r="M72" i="13"/>
  <c r="L72" i="13"/>
  <c r="K72" i="13"/>
  <c r="J72" i="13"/>
  <c r="I72" i="13"/>
  <c r="H72" i="13"/>
  <c r="AO72" i="13" s="1"/>
  <c r="G72" i="13"/>
  <c r="F72" i="13"/>
  <c r="E72" i="13"/>
  <c r="D72" i="13"/>
  <c r="AJ71" i="13"/>
  <c r="AI71" i="13"/>
  <c r="AH71" i="13"/>
  <c r="AG71" i="13"/>
  <c r="AF71" i="13"/>
  <c r="AE71" i="13"/>
  <c r="AD71" i="13"/>
  <c r="AC71" i="13"/>
  <c r="AB71" i="13"/>
  <c r="AA71" i="13"/>
  <c r="Z71" i="13"/>
  <c r="Y71" i="13"/>
  <c r="X71" i="13"/>
  <c r="W71" i="13"/>
  <c r="V71" i="13"/>
  <c r="U71" i="13"/>
  <c r="T71" i="13"/>
  <c r="S71" i="13"/>
  <c r="R71" i="13"/>
  <c r="Q71" i="13"/>
  <c r="P71" i="13"/>
  <c r="O71" i="13"/>
  <c r="AN71" i="13" s="1"/>
  <c r="N71" i="13"/>
  <c r="M71" i="13"/>
  <c r="L71" i="13"/>
  <c r="K71" i="13"/>
  <c r="J71" i="13"/>
  <c r="I71" i="13"/>
  <c r="H71" i="13"/>
  <c r="G71" i="13"/>
  <c r="F71" i="13"/>
  <c r="E71" i="13"/>
  <c r="D71" i="13"/>
  <c r="AT70" i="13"/>
  <c r="AS70" i="13"/>
  <c r="AR70" i="13"/>
  <c r="AT69" i="13"/>
  <c r="AS69" i="13"/>
  <c r="C69" i="13"/>
  <c r="AT68" i="13"/>
  <c r="AS68" i="13"/>
  <c r="AR68" i="13"/>
  <c r="C68" i="13"/>
  <c r="AT67" i="13"/>
  <c r="AR67" i="13"/>
  <c r="C67" i="13"/>
  <c r="AT66" i="13"/>
  <c r="AR66" i="13"/>
  <c r="C66" i="13"/>
  <c r="AT65" i="13"/>
  <c r="AS65" i="13"/>
  <c r="AR65" i="13"/>
  <c r="C65" i="13"/>
  <c r="C195" i="13" s="1"/>
  <c r="AT64" i="13"/>
  <c r="AS64" i="13"/>
  <c r="C64" i="13"/>
  <c r="AT63" i="13"/>
  <c r="AS63" i="13"/>
  <c r="C63" i="13"/>
  <c r="C128" i="13" s="1"/>
  <c r="AT62" i="13"/>
  <c r="AS62" i="13"/>
  <c r="AR62" i="13"/>
  <c r="C62" i="13"/>
  <c r="C192" i="13" s="1"/>
  <c r="AT61" i="13"/>
  <c r="AS61" i="13"/>
  <c r="AR61" i="13"/>
  <c r="C61" i="13"/>
  <c r="AT60" i="13"/>
  <c r="AS60" i="13"/>
  <c r="AR60" i="13"/>
  <c r="C60" i="13"/>
  <c r="AT59" i="13"/>
  <c r="AS59" i="13"/>
  <c r="AR59" i="13"/>
  <c r="C59" i="13"/>
  <c r="AT58" i="13"/>
  <c r="AS58" i="13"/>
  <c r="AR58" i="13"/>
  <c r="C58" i="13"/>
  <c r="AT57" i="13"/>
  <c r="AR57" i="13"/>
  <c r="C57" i="13"/>
  <c r="C187" i="13" s="1"/>
  <c r="AT56" i="13"/>
  <c r="C56" i="13"/>
  <c r="AT55" i="13"/>
  <c r="AS55" i="13"/>
  <c r="C55" i="13"/>
  <c r="C185" i="13" s="1"/>
  <c r="AT54" i="13"/>
  <c r="AS54" i="13"/>
  <c r="AR54" i="13"/>
  <c r="C54" i="13"/>
  <c r="AT53" i="13"/>
  <c r="AR53" i="13"/>
  <c r="C53" i="13"/>
  <c r="AT52" i="13"/>
  <c r="AR52" i="13"/>
  <c r="C52" i="13"/>
  <c r="AT51" i="13"/>
  <c r="AR51" i="13"/>
  <c r="C51" i="13"/>
  <c r="AT50" i="13"/>
  <c r="AS50" i="13"/>
  <c r="AR50" i="13"/>
  <c r="C50" i="13"/>
  <c r="AT49" i="13"/>
  <c r="AS49" i="13"/>
  <c r="AR49" i="13"/>
  <c r="C49" i="13"/>
  <c r="C179" i="13" s="1"/>
  <c r="AT48" i="13"/>
  <c r="AS48" i="13"/>
  <c r="C48" i="13"/>
  <c r="C113" i="13" s="1"/>
  <c r="AT47" i="13"/>
  <c r="AS47" i="13"/>
  <c r="C47" i="13"/>
  <c r="C112" i="13" s="1"/>
  <c r="AT46" i="13"/>
  <c r="AS46" i="13"/>
  <c r="C46" i="13"/>
  <c r="AT45" i="13"/>
  <c r="C45" i="13"/>
  <c r="AT44" i="13"/>
  <c r="AR44" i="13"/>
  <c r="C44" i="13"/>
  <c r="AT43" i="13"/>
  <c r="AS43" i="13"/>
  <c r="AR43" i="13"/>
  <c r="C43" i="13"/>
  <c r="AT42" i="13"/>
  <c r="AS42" i="13"/>
  <c r="C42" i="13"/>
  <c r="AT41" i="13"/>
  <c r="AS41" i="13"/>
  <c r="C41" i="13"/>
  <c r="AT40" i="13"/>
  <c r="AS40" i="13"/>
  <c r="C40" i="13"/>
  <c r="AT39" i="13"/>
  <c r="AR39" i="13"/>
  <c r="C39" i="13"/>
  <c r="C104" i="13" s="1"/>
  <c r="AT38" i="13"/>
  <c r="AR38" i="13"/>
  <c r="C38" i="13"/>
  <c r="AT37" i="13"/>
  <c r="C37" i="13"/>
  <c r="AT36" i="13"/>
  <c r="AR36" i="13"/>
  <c r="C36" i="13"/>
  <c r="AT35" i="13"/>
  <c r="AS35" i="13"/>
  <c r="AR35" i="13"/>
  <c r="C35" i="13"/>
  <c r="AT34" i="13"/>
  <c r="AS34" i="13"/>
  <c r="C34" i="13"/>
  <c r="C99" i="13" s="1"/>
  <c r="AT33" i="13"/>
  <c r="AS33" i="13"/>
  <c r="AR33" i="13"/>
  <c r="C33" i="13"/>
  <c r="AT32" i="13"/>
  <c r="AS32" i="13"/>
  <c r="AR32" i="13"/>
  <c r="C32" i="13"/>
  <c r="AT31" i="13"/>
  <c r="AS31" i="13"/>
  <c r="AR31" i="13"/>
  <c r="C31" i="13"/>
  <c r="C96" i="13" s="1"/>
  <c r="AT30" i="13"/>
  <c r="AS30" i="13"/>
  <c r="AR30" i="13"/>
  <c r="C30" i="13"/>
  <c r="C160" i="13" s="1"/>
  <c r="AT29" i="13"/>
  <c r="AS29" i="13"/>
  <c r="AR29" i="13"/>
  <c r="C29" i="13"/>
  <c r="AT28" i="13"/>
  <c r="AS28" i="13"/>
  <c r="AR28" i="13"/>
  <c r="C28" i="13"/>
  <c r="AT27" i="13"/>
  <c r="AS27" i="13"/>
  <c r="AR27" i="13"/>
  <c r="C27" i="13"/>
  <c r="AT26" i="13"/>
  <c r="AS26" i="13"/>
  <c r="AR26" i="13"/>
  <c r="C26" i="13"/>
  <c r="C91" i="13" s="1"/>
  <c r="AT25" i="13"/>
  <c r="AS25" i="13"/>
  <c r="AR25" i="13"/>
  <c r="C25" i="13"/>
  <c r="AT24" i="13"/>
  <c r="AS24" i="13"/>
  <c r="C24" i="13"/>
  <c r="AT23" i="13"/>
  <c r="AS23" i="13"/>
  <c r="AR23" i="13"/>
  <c r="C23" i="13"/>
  <c r="AT22" i="13"/>
  <c r="AS22" i="13"/>
  <c r="AR22" i="13"/>
  <c r="C22" i="13"/>
  <c r="C152" i="13" s="1"/>
  <c r="AT21" i="13"/>
  <c r="AS21" i="13"/>
  <c r="AR21" i="13"/>
  <c r="C21" i="13"/>
  <c r="AT20" i="13"/>
  <c r="AS20" i="13"/>
  <c r="AR20" i="13"/>
  <c r="C20" i="13"/>
  <c r="AT19" i="13"/>
  <c r="AS19" i="13"/>
  <c r="AR19" i="13"/>
  <c r="C19" i="13"/>
  <c r="AT18" i="13"/>
  <c r="AS18" i="13"/>
  <c r="AR18" i="13"/>
  <c r="C18" i="13"/>
  <c r="C148" i="13" s="1"/>
  <c r="AT17" i="13"/>
  <c r="AS17" i="13"/>
  <c r="C17" i="13"/>
  <c r="AT16" i="13"/>
  <c r="AS16" i="13"/>
  <c r="C16" i="13"/>
  <c r="C81" i="13" s="1"/>
  <c r="AT15" i="13"/>
  <c r="AS15" i="13"/>
  <c r="AR15" i="13"/>
  <c r="C15" i="13"/>
  <c r="AT14" i="13"/>
  <c r="AS14" i="13"/>
  <c r="AR14" i="13"/>
  <c r="C14" i="13"/>
  <c r="AW13" i="13"/>
  <c r="AT13" i="13"/>
  <c r="AS13" i="13"/>
  <c r="C13" i="13"/>
  <c r="AT12" i="13"/>
  <c r="AS12" i="13"/>
  <c r="AR12" i="13"/>
  <c r="C12" i="13"/>
  <c r="AT11" i="13"/>
  <c r="AS11" i="13"/>
  <c r="AR11" i="13"/>
  <c r="C11" i="13"/>
  <c r="AT10" i="13"/>
  <c r="C10" i="13"/>
  <c r="C75" i="13" s="1"/>
  <c r="AL9" i="13"/>
  <c r="AT9" i="13" s="1"/>
  <c r="C9" i="13"/>
  <c r="AT8" i="13"/>
  <c r="AL8" i="13"/>
  <c r="C8" i="13"/>
  <c r="C138" i="13" s="1"/>
  <c r="C7" i="13"/>
  <c r="C72" i="13" s="1"/>
  <c r="AW6" i="13"/>
  <c r="B6" i="13" s="1"/>
  <c r="AL6" i="13"/>
  <c r="AT6" i="13" s="1"/>
  <c r="C6" i="13"/>
  <c r="B3" i="13"/>
  <c r="AW7" i="13" s="1"/>
  <c r="C2" i="7"/>
  <c r="B3" i="8"/>
  <c r="B136" i="13" l="1"/>
  <c r="B71" i="13"/>
  <c r="C171" i="13"/>
  <c r="C106" i="13"/>
  <c r="AN73" i="13"/>
  <c r="C143" i="13"/>
  <c r="C78" i="13"/>
  <c r="C151" i="13"/>
  <c r="C86" i="13"/>
  <c r="C136" i="13"/>
  <c r="C71" i="13"/>
  <c r="C142" i="13"/>
  <c r="C77" i="13"/>
  <c r="C153" i="13"/>
  <c r="C88" i="13"/>
  <c r="AS38" i="13"/>
  <c r="AO76" i="13"/>
  <c r="AN76" i="13"/>
  <c r="AL76" i="13"/>
  <c r="AO81" i="13"/>
  <c r="AN81" i="13"/>
  <c r="AM81" i="13"/>
  <c r="AL81" i="13"/>
  <c r="AM85" i="13"/>
  <c r="AM92" i="13"/>
  <c r="AL92" i="13"/>
  <c r="AN102" i="13"/>
  <c r="AO127" i="13"/>
  <c r="C140" i="13"/>
  <c r="AM143" i="13"/>
  <c r="C156" i="13"/>
  <c r="AS37" i="13"/>
  <c r="AO191" i="13"/>
  <c r="C150" i="13"/>
  <c r="C85" i="13"/>
  <c r="C158" i="13"/>
  <c r="C93" i="13"/>
  <c r="C129" i="13"/>
  <c r="C194" i="13"/>
  <c r="C165" i="13"/>
  <c r="C100" i="13"/>
  <c r="AO79" i="13"/>
  <c r="AM79" i="13"/>
  <c r="C83" i="13"/>
  <c r="AO87" i="13"/>
  <c r="AO89" i="13"/>
  <c r="AN89" i="13"/>
  <c r="AM89" i="13"/>
  <c r="AL89" i="13"/>
  <c r="AR42" i="13"/>
  <c r="AR41" i="13"/>
  <c r="AR55" i="13"/>
  <c r="AR56" i="13"/>
  <c r="AN131" i="13"/>
  <c r="AN134" i="13"/>
  <c r="AM140" i="13"/>
  <c r="AL164" i="13"/>
  <c r="AS45" i="13"/>
  <c r="AS44" i="13"/>
  <c r="AN177" i="13"/>
  <c r="AM177" i="13"/>
  <c r="AL177" i="13"/>
  <c r="C178" i="13"/>
  <c r="AL73" i="13"/>
  <c r="C139" i="13"/>
  <c r="C74" i="13"/>
  <c r="C145" i="13"/>
  <c r="C80" i="13"/>
  <c r="C149" i="13"/>
  <c r="C84" i="13"/>
  <c r="C157" i="13"/>
  <c r="C92" i="13"/>
  <c r="C167" i="13"/>
  <c r="C102" i="13"/>
  <c r="C176" i="13"/>
  <c r="C111" i="13"/>
  <c r="AO71" i="13"/>
  <c r="AL71" i="13"/>
  <c r="AO74" i="13"/>
  <c r="AQ74" i="13" s="1"/>
  <c r="AN74" i="13"/>
  <c r="AM74" i="13"/>
  <c r="AL74" i="13"/>
  <c r="AM80" i="13"/>
  <c r="AO83" i="13"/>
  <c r="AN83" i="13"/>
  <c r="AN86" i="13"/>
  <c r="AO95" i="13"/>
  <c r="AO97" i="13"/>
  <c r="AN97" i="13"/>
  <c r="AM97" i="13"/>
  <c r="AL97" i="13"/>
  <c r="AN107" i="13"/>
  <c r="C137" i="13"/>
  <c r="C146" i="13"/>
  <c r="AM164" i="13"/>
  <c r="AS66" i="13"/>
  <c r="AS67" i="13"/>
  <c r="C121" i="13"/>
  <c r="C186" i="13"/>
  <c r="AS51" i="13"/>
  <c r="AS52" i="13"/>
  <c r="C155" i="13"/>
  <c r="C90" i="13"/>
  <c r="C175" i="13"/>
  <c r="C110" i="13"/>
  <c r="AO73" i="13"/>
  <c r="AQ73" i="13" s="1"/>
  <c r="AR8" i="13" s="1"/>
  <c r="C144" i="13"/>
  <c r="C79" i="13"/>
  <c r="C154" i="13"/>
  <c r="C89" i="13"/>
  <c r="C162" i="13"/>
  <c r="C97" i="13"/>
  <c r="AR46" i="13"/>
  <c r="C199" i="13"/>
  <c r="C134" i="13"/>
  <c r="AL80" i="13"/>
  <c r="AM83" i="13"/>
  <c r="AO91" i="13"/>
  <c r="AN91" i="13"/>
  <c r="AL91" i="13"/>
  <c r="AR47" i="13"/>
  <c r="AR48" i="13"/>
  <c r="AL121" i="13"/>
  <c r="AR63" i="13"/>
  <c r="AR64" i="13"/>
  <c r="AN141" i="13"/>
  <c r="AO150" i="13"/>
  <c r="AL150" i="13"/>
  <c r="AN151" i="13"/>
  <c r="AN152" i="13"/>
  <c r="C161" i="13"/>
  <c r="AL196" i="13"/>
  <c r="C168" i="13"/>
  <c r="C103" i="13"/>
  <c r="C105" i="13"/>
  <c r="C170" i="13"/>
  <c r="C191" i="13"/>
  <c r="C126" i="13"/>
  <c r="AM71" i="13"/>
  <c r="AN78" i="13"/>
  <c r="AL78" i="13"/>
  <c r="C87" i="13"/>
  <c r="AM117" i="13"/>
  <c r="AO125" i="13"/>
  <c r="AM125" i="13"/>
  <c r="AN158" i="13"/>
  <c r="C141" i="13"/>
  <c r="C76" i="13"/>
  <c r="C147" i="13"/>
  <c r="C82" i="13"/>
  <c r="C163" i="13"/>
  <c r="C98" i="13"/>
  <c r="C184" i="13"/>
  <c r="C119" i="13"/>
  <c r="AM73" i="13"/>
  <c r="C159" i="13"/>
  <c r="C94" i="13"/>
  <c r="C183" i="13"/>
  <c r="C118" i="13"/>
  <c r="AS57" i="13"/>
  <c r="AQ72" i="13"/>
  <c r="AR7" i="13" s="1"/>
  <c r="AN80" i="13"/>
  <c r="C95" i="13"/>
  <c r="AM102" i="13"/>
  <c r="AO111" i="13"/>
  <c r="AQ139" i="13"/>
  <c r="AO169" i="13"/>
  <c r="AL180" i="13"/>
  <c r="C173" i="13"/>
  <c r="C108" i="13"/>
  <c r="C181" i="13"/>
  <c r="C116" i="13"/>
  <c r="C189" i="13"/>
  <c r="C124" i="13"/>
  <c r="C197" i="13"/>
  <c r="C132" i="13"/>
  <c r="AL93" i="13"/>
  <c r="AO102" i="13"/>
  <c r="AO113" i="13"/>
  <c r="AN113" i="13"/>
  <c r="AM113" i="13"/>
  <c r="C120" i="13"/>
  <c r="AO129" i="13"/>
  <c r="AN129" i="13"/>
  <c r="AM129" i="13"/>
  <c r="AO146" i="13"/>
  <c r="AN146" i="13"/>
  <c r="AM146" i="13"/>
  <c r="AL146" i="13"/>
  <c r="AO149" i="13"/>
  <c r="AL149" i="13"/>
  <c r="AN156" i="13"/>
  <c r="AL174" i="13"/>
  <c r="AN176" i="13"/>
  <c r="AO187" i="13"/>
  <c r="AN187" i="13"/>
  <c r="AM187" i="13"/>
  <c r="AN87" i="13"/>
  <c r="AM87" i="13"/>
  <c r="AM95" i="13"/>
  <c r="AL95" i="13"/>
  <c r="C114" i="13"/>
  <c r="AN125" i="13"/>
  <c r="AL125" i="13"/>
  <c r="AN127" i="13"/>
  <c r="AM127" i="13"/>
  <c r="C130" i="13"/>
  <c r="AO134" i="13"/>
  <c r="AM134" i="13"/>
  <c r="AL134" i="13"/>
  <c r="AN137" i="13"/>
  <c r="AM137" i="13"/>
  <c r="AQ137" i="13" s="1"/>
  <c r="AS7" i="13" s="1"/>
  <c r="AL137" i="13"/>
  <c r="AO140" i="13"/>
  <c r="AN140" i="13"/>
  <c r="AL144" i="13"/>
  <c r="AN159" i="13"/>
  <c r="AL159" i="13"/>
  <c r="AN164" i="13"/>
  <c r="C169" i="13"/>
  <c r="AN175" i="13"/>
  <c r="AL175" i="13"/>
  <c r="AO178" i="13"/>
  <c r="AN178" i="13"/>
  <c r="AM178" i="13"/>
  <c r="AL178" i="13"/>
  <c r="AO184" i="13"/>
  <c r="AM184" i="13"/>
  <c r="AL184" i="13"/>
  <c r="AN193" i="13"/>
  <c r="AM193" i="13"/>
  <c r="AL193" i="13"/>
  <c r="C107" i="13"/>
  <c r="C172" i="13"/>
  <c r="C115" i="13"/>
  <c r="C180" i="13"/>
  <c r="C123" i="13"/>
  <c r="C188" i="13"/>
  <c r="C131" i="13"/>
  <c r="C196" i="13"/>
  <c r="AL87" i="13"/>
  <c r="AN109" i="13"/>
  <c r="AL109" i="13"/>
  <c r="AN111" i="13"/>
  <c r="AM111" i="13"/>
  <c r="AL111" i="13"/>
  <c r="AO114" i="13"/>
  <c r="AN114" i="13"/>
  <c r="AO121" i="13"/>
  <c r="AN121" i="13"/>
  <c r="AM121" i="13"/>
  <c r="AL127" i="13"/>
  <c r="AO130" i="13"/>
  <c r="AN130" i="13"/>
  <c r="AM150" i="13"/>
  <c r="AO152" i="13"/>
  <c r="AM152" i="13"/>
  <c r="AL152" i="13"/>
  <c r="AO154" i="13"/>
  <c r="AN154" i="13"/>
  <c r="AM154" i="13"/>
  <c r="AL154" i="13"/>
  <c r="AO157" i="13"/>
  <c r="AL157" i="13"/>
  <c r="AN161" i="13"/>
  <c r="AM161" i="13"/>
  <c r="AL161" i="13"/>
  <c r="AO164" i="13"/>
  <c r="AN168" i="13"/>
  <c r="AO179" i="13"/>
  <c r="AN179" i="13"/>
  <c r="AM179" i="13"/>
  <c r="AO188" i="13"/>
  <c r="AN188" i="13"/>
  <c r="AO90" i="13"/>
  <c r="AN90" i="13"/>
  <c r="AN103" i="13"/>
  <c r="AO104" i="13"/>
  <c r="AN104" i="13"/>
  <c r="AM104" i="13"/>
  <c r="AL104" i="13"/>
  <c r="AO107" i="13"/>
  <c r="AL107" i="13"/>
  <c r="AN169" i="13"/>
  <c r="AM169" i="13"/>
  <c r="AL169" i="13"/>
  <c r="AO173" i="13"/>
  <c r="AL173" i="13"/>
  <c r="AM175" i="13"/>
  <c r="AO177" i="13"/>
  <c r="AM182" i="13"/>
  <c r="AN191" i="13"/>
  <c r="AL191" i="13"/>
  <c r="C166" i="13"/>
  <c r="C101" i="13"/>
  <c r="C174" i="13"/>
  <c r="C109" i="13"/>
  <c r="C182" i="13"/>
  <c r="C117" i="13"/>
  <c r="C190" i="13"/>
  <c r="C125" i="13"/>
  <c r="C198" i="13"/>
  <c r="C133" i="13"/>
  <c r="AM86" i="13"/>
  <c r="AL86" i="13"/>
  <c r="AM94" i="13"/>
  <c r="AL94" i="13"/>
  <c r="AN95" i="13"/>
  <c r="AL102" i="13"/>
  <c r="AN117" i="13"/>
  <c r="AN119" i="13"/>
  <c r="C122" i="13"/>
  <c r="AM124" i="13"/>
  <c r="AO138" i="13"/>
  <c r="AQ138" i="13" s="1"/>
  <c r="AS8" i="13" s="1"/>
  <c r="AN138" i="13"/>
  <c r="AM138" i="13"/>
  <c r="AL138" i="13"/>
  <c r="AN143" i="13"/>
  <c r="AL143" i="13"/>
  <c r="AN145" i="13"/>
  <c r="AM145" i="13"/>
  <c r="AL145" i="13"/>
  <c r="AO148" i="13"/>
  <c r="AN148" i="13"/>
  <c r="AO162" i="13"/>
  <c r="AN162" i="13"/>
  <c r="AM162" i="13"/>
  <c r="AL162" i="13"/>
  <c r="AN167" i="13"/>
  <c r="AL167" i="13"/>
  <c r="AO170" i="13"/>
  <c r="AN170" i="13"/>
  <c r="AM170" i="13"/>
  <c r="AL170" i="13"/>
  <c r="AO176" i="13"/>
  <c r="AM176" i="13"/>
  <c r="AL176" i="13"/>
  <c r="AN180" i="13"/>
  <c r="AL182" i="13"/>
  <c r="AN184" i="13"/>
  <c r="AN185" i="13"/>
  <c r="AO189" i="13"/>
  <c r="AL189" i="13"/>
  <c r="AM198" i="13"/>
  <c r="AO96" i="13"/>
  <c r="AN96" i="13"/>
  <c r="AM96" i="13"/>
  <c r="AL96" i="13"/>
  <c r="AO105" i="13"/>
  <c r="AN105" i="13"/>
  <c r="AM105" i="13"/>
  <c r="AO112" i="13"/>
  <c r="AN112" i="13"/>
  <c r="AM112" i="13"/>
  <c r="AL112" i="13"/>
  <c r="AO115" i="13"/>
  <c r="AL115" i="13"/>
  <c r="AL117" i="13"/>
  <c r="AM119" i="13"/>
  <c r="AL119" i="13"/>
  <c r="AO122" i="13"/>
  <c r="AN122" i="13"/>
  <c r="AO126" i="13"/>
  <c r="AM126" i="13"/>
  <c r="AL126" i="13"/>
  <c r="AO128" i="13"/>
  <c r="AN128" i="13"/>
  <c r="AM128" i="13"/>
  <c r="AL128" i="13"/>
  <c r="AO131" i="13"/>
  <c r="AL131" i="13"/>
  <c r="AN133" i="13"/>
  <c r="AL133" i="13"/>
  <c r="AO136" i="13"/>
  <c r="AM136" i="13"/>
  <c r="AL136" i="13"/>
  <c r="AO141" i="13"/>
  <c r="AL141" i="13"/>
  <c r="AM158" i="13"/>
  <c r="AO160" i="13"/>
  <c r="AM160" i="13"/>
  <c r="AL160" i="13"/>
  <c r="AO165" i="13"/>
  <c r="AL165" i="13"/>
  <c r="AO171" i="13"/>
  <c r="AN171" i="13"/>
  <c r="AM171" i="13"/>
  <c r="AO180" i="13"/>
  <c r="AM185" i="13"/>
  <c r="AL185" i="13"/>
  <c r="AM191" i="13"/>
  <c r="AO193" i="13"/>
  <c r="AL198" i="13"/>
  <c r="E59" i="11"/>
  <c r="G59" i="11" s="1"/>
  <c r="E58" i="11"/>
  <c r="G58" i="11" s="1"/>
  <c r="E57" i="11"/>
  <c r="G57" i="11" s="1"/>
  <c r="E56" i="11"/>
  <c r="G56" i="11" s="1"/>
  <c r="E55" i="11"/>
  <c r="G55" i="11" s="1"/>
  <c r="E54" i="11"/>
  <c r="G54" i="11" s="1"/>
  <c r="E53" i="11"/>
  <c r="G53" i="11" s="1"/>
  <c r="E52" i="11"/>
  <c r="G52" i="11" s="1"/>
  <c r="E51" i="11"/>
  <c r="G51" i="11" s="1"/>
  <c r="E50" i="11"/>
  <c r="G50" i="11" s="1"/>
  <c r="E49" i="11"/>
  <c r="G49" i="11" s="1"/>
  <c r="E48" i="11"/>
  <c r="G48" i="11" s="1"/>
  <c r="E47" i="11"/>
  <c r="G47" i="11" s="1"/>
  <c r="E46" i="11"/>
  <c r="G46" i="11" s="1"/>
  <c r="E45" i="11"/>
  <c r="G45" i="11" s="1"/>
  <c r="E44" i="11"/>
  <c r="G44" i="11" s="1"/>
  <c r="E43" i="11"/>
  <c r="G43" i="11" s="1"/>
  <c r="E42" i="11"/>
  <c r="G42" i="11" s="1"/>
  <c r="E41" i="11"/>
  <c r="G41" i="11" s="1"/>
  <c r="E40" i="11"/>
  <c r="G40" i="11" s="1"/>
  <c r="E39" i="11"/>
  <c r="G39" i="11" s="1"/>
  <c r="E38" i="11"/>
  <c r="G38" i="11" s="1"/>
  <c r="AR10" i="13" l="1"/>
  <c r="AR9" i="13"/>
  <c r="AQ136" i="13"/>
  <c r="AS6" i="13" s="1"/>
  <c r="AS9" i="13"/>
  <c r="AS10" i="13"/>
  <c r="AQ71" i="13"/>
  <c r="AR6" i="13" s="1"/>
  <c r="E29" i="11"/>
  <c r="G29" i="11" s="1"/>
  <c r="E28" i="11"/>
  <c r="G28" i="11" s="1"/>
  <c r="E27" i="11"/>
  <c r="G27" i="11" s="1"/>
  <c r="E26" i="11"/>
  <c r="G26" i="11" s="1"/>
  <c r="E25" i="11"/>
  <c r="G25" i="11" s="1"/>
  <c r="E24" i="11"/>
  <c r="G24" i="11" s="1"/>
  <c r="E23" i="11"/>
  <c r="G23" i="11" s="1"/>
  <c r="E22" i="11"/>
  <c r="G22" i="11" s="1"/>
  <c r="E21" i="11"/>
  <c r="G21" i="11" s="1"/>
  <c r="E19" i="11"/>
  <c r="G19" i="11" s="1"/>
  <c r="E18" i="11"/>
  <c r="G18" i="11" s="1"/>
  <c r="E17" i="11"/>
  <c r="G17" i="11" s="1"/>
  <c r="E16" i="11"/>
  <c r="G16" i="11" s="1"/>
  <c r="E14" i="11"/>
  <c r="G14" i="11" s="1"/>
  <c r="E13" i="11"/>
  <c r="G13" i="11" s="1"/>
  <c r="E12" i="11"/>
  <c r="G12" i="11" s="1"/>
  <c r="E11" i="11"/>
  <c r="G11" i="11" s="1"/>
  <c r="E10" i="11"/>
  <c r="G10" i="11" s="1"/>
  <c r="E9" i="11"/>
  <c r="G9" i="11" s="1"/>
  <c r="E8" i="11"/>
  <c r="G8" i="11" s="1"/>
  <c r="AJ199" i="8" l="1"/>
  <c r="AQ199" i="8" s="1"/>
  <c r="AI199" i="8"/>
  <c r="AH199" i="8"/>
  <c r="AG199" i="8"/>
  <c r="AF199" i="8"/>
  <c r="AE199" i="8"/>
  <c r="AD199" i="8"/>
  <c r="AC199" i="8"/>
  <c r="AB199" i="8"/>
  <c r="AA199" i="8"/>
  <c r="Z199" i="8"/>
  <c r="Y199" i="8"/>
  <c r="X199" i="8"/>
  <c r="W199" i="8"/>
  <c r="V199" i="8"/>
  <c r="U199" i="8"/>
  <c r="T199" i="8"/>
  <c r="S199" i="8"/>
  <c r="R199" i="8"/>
  <c r="Q199" i="8"/>
  <c r="P199" i="8"/>
  <c r="O199" i="8"/>
  <c r="N199" i="8"/>
  <c r="M199" i="8"/>
  <c r="L199" i="8"/>
  <c r="K199" i="8"/>
  <c r="J199" i="8"/>
  <c r="I199" i="8"/>
  <c r="H199" i="8"/>
  <c r="G199" i="8"/>
  <c r="F199" i="8"/>
  <c r="E199" i="8"/>
  <c r="D199" i="8"/>
  <c r="AJ198" i="8"/>
  <c r="AQ198" i="8" s="1"/>
  <c r="AI198" i="8"/>
  <c r="AH198" i="8"/>
  <c r="AG198" i="8"/>
  <c r="AF198" i="8"/>
  <c r="AE198" i="8"/>
  <c r="AD198" i="8"/>
  <c r="AC198" i="8"/>
  <c r="AB198" i="8"/>
  <c r="AA198" i="8"/>
  <c r="Z198" i="8"/>
  <c r="Y198" i="8"/>
  <c r="X198" i="8"/>
  <c r="W198" i="8"/>
  <c r="V198" i="8"/>
  <c r="U198" i="8"/>
  <c r="T198" i="8"/>
  <c r="S198" i="8"/>
  <c r="R198" i="8"/>
  <c r="Q198" i="8"/>
  <c r="P198" i="8"/>
  <c r="O198" i="8"/>
  <c r="N198" i="8"/>
  <c r="M198" i="8"/>
  <c r="L198" i="8"/>
  <c r="K198" i="8"/>
  <c r="J198" i="8"/>
  <c r="I198" i="8"/>
  <c r="H198" i="8"/>
  <c r="G198" i="8"/>
  <c r="F198" i="8"/>
  <c r="E198" i="8"/>
  <c r="D198" i="8"/>
  <c r="AJ197" i="8"/>
  <c r="AQ197" i="8" s="1"/>
  <c r="AI197" i="8"/>
  <c r="AH197" i="8"/>
  <c r="AG197" i="8"/>
  <c r="AF197" i="8"/>
  <c r="AE197" i="8"/>
  <c r="AD197" i="8"/>
  <c r="AC197" i="8"/>
  <c r="AB197" i="8"/>
  <c r="AA197" i="8"/>
  <c r="Z197" i="8"/>
  <c r="Y197" i="8"/>
  <c r="X197" i="8"/>
  <c r="W197" i="8"/>
  <c r="V197" i="8"/>
  <c r="U197" i="8"/>
  <c r="T197" i="8"/>
  <c r="S197" i="8"/>
  <c r="R197" i="8"/>
  <c r="Q197" i="8"/>
  <c r="P197" i="8"/>
  <c r="O197" i="8"/>
  <c r="N197" i="8"/>
  <c r="M197" i="8"/>
  <c r="L197" i="8"/>
  <c r="K197" i="8"/>
  <c r="J197" i="8"/>
  <c r="I197" i="8"/>
  <c r="H197" i="8"/>
  <c r="G197" i="8"/>
  <c r="F197" i="8"/>
  <c r="E197" i="8"/>
  <c r="D197" i="8"/>
  <c r="AJ196" i="8"/>
  <c r="AQ196" i="8" s="1"/>
  <c r="AS67" i="8" s="1"/>
  <c r="AI196" i="8"/>
  <c r="AH196" i="8"/>
  <c r="AG196" i="8"/>
  <c r="AF196" i="8"/>
  <c r="AE196" i="8"/>
  <c r="AD196" i="8"/>
  <c r="AC196" i="8"/>
  <c r="AB196" i="8"/>
  <c r="AA196" i="8"/>
  <c r="Z196" i="8"/>
  <c r="Y196" i="8"/>
  <c r="X196" i="8"/>
  <c r="W196" i="8"/>
  <c r="V196" i="8"/>
  <c r="U196" i="8"/>
  <c r="T196" i="8"/>
  <c r="S196" i="8"/>
  <c r="R196" i="8"/>
  <c r="Q196" i="8"/>
  <c r="P196" i="8"/>
  <c r="O196" i="8"/>
  <c r="N196" i="8"/>
  <c r="M196" i="8"/>
  <c r="L196" i="8"/>
  <c r="K196" i="8"/>
  <c r="J196" i="8"/>
  <c r="I196" i="8"/>
  <c r="H196" i="8"/>
  <c r="G196" i="8"/>
  <c r="F196" i="8"/>
  <c r="E196" i="8"/>
  <c r="D196" i="8"/>
  <c r="AJ195" i="8"/>
  <c r="AQ195" i="8" s="1"/>
  <c r="AI195" i="8"/>
  <c r="AH195" i="8"/>
  <c r="AG195" i="8"/>
  <c r="AF195" i="8"/>
  <c r="AE195" i="8"/>
  <c r="AD195" i="8"/>
  <c r="AC195" i="8"/>
  <c r="AB195" i="8"/>
  <c r="AA195" i="8"/>
  <c r="Z195" i="8"/>
  <c r="Y195" i="8"/>
  <c r="X195" i="8"/>
  <c r="W195" i="8"/>
  <c r="V195" i="8"/>
  <c r="U195" i="8"/>
  <c r="T195" i="8"/>
  <c r="S195" i="8"/>
  <c r="R195" i="8"/>
  <c r="Q195" i="8"/>
  <c r="P195" i="8"/>
  <c r="O195" i="8"/>
  <c r="N195" i="8"/>
  <c r="M195" i="8"/>
  <c r="L195" i="8"/>
  <c r="K195" i="8"/>
  <c r="J195" i="8"/>
  <c r="I195" i="8"/>
  <c r="H195" i="8"/>
  <c r="G195" i="8"/>
  <c r="F195" i="8"/>
  <c r="E195" i="8"/>
  <c r="D195" i="8"/>
  <c r="AJ194" i="8"/>
  <c r="AQ194" i="8" s="1"/>
  <c r="AS64" i="8" s="1"/>
  <c r="AI194" i="8"/>
  <c r="AH194" i="8"/>
  <c r="AG194" i="8"/>
  <c r="AF194" i="8"/>
  <c r="AE194" i="8"/>
  <c r="AD194" i="8"/>
  <c r="AC194" i="8"/>
  <c r="AB194" i="8"/>
  <c r="AA194" i="8"/>
  <c r="Z194" i="8"/>
  <c r="Y194" i="8"/>
  <c r="X194" i="8"/>
  <c r="W194" i="8"/>
  <c r="V194" i="8"/>
  <c r="U194" i="8"/>
  <c r="T194" i="8"/>
  <c r="S194" i="8"/>
  <c r="R194" i="8"/>
  <c r="Q194" i="8"/>
  <c r="P194" i="8"/>
  <c r="O194" i="8"/>
  <c r="N194" i="8"/>
  <c r="M194" i="8"/>
  <c r="L194" i="8"/>
  <c r="K194" i="8"/>
  <c r="J194" i="8"/>
  <c r="I194" i="8"/>
  <c r="H194" i="8"/>
  <c r="G194" i="8"/>
  <c r="F194" i="8"/>
  <c r="E194" i="8"/>
  <c r="D194" i="8"/>
  <c r="AJ193" i="8"/>
  <c r="AQ193" i="8" s="1"/>
  <c r="AI193" i="8"/>
  <c r="AH193" i="8"/>
  <c r="AG193" i="8"/>
  <c r="AF193" i="8"/>
  <c r="AE193" i="8"/>
  <c r="AD193" i="8"/>
  <c r="AC193" i="8"/>
  <c r="AB193" i="8"/>
  <c r="AA193" i="8"/>
  <c r="Z193" i="8"/>
  <c r="Y193" i="8"/>
  <c r="X193" i="8"/>
  <c r="W193" i="8"/>
  <c r="V193" i="8"/>
  <c r="U193" i="8"/>
  <c r="T193" i="8"/>
  <c r="S193" i="8"/>
  <c r="R193" i="8"/>
  <c r="Q193" i="8"/>
  <c r="P193" i="8"/>
  <c r="O193" i="8"/>
  <c r="N193" i="8"/>
  <c r="M193" i="8"/>
  <c r="L193" i="8"/>
  <c r="K193" i="8"/>
  <c r="J193" i="8"/>
  <c r="I193" i="8"/>
  <c r="H193" i="8"/>
  <c r="G193" i="8"/>
  <c r="F193" i="8"/>
  <c r="E193" i="8"/>
  <c r="D193" i="8"/>
  <c r="AJ192" i="8"/>
  <c r="AQ192" i="8" s="1"/>
  <c r="AI192" i="8"/>
  <c r="AH192" i="8"/>
  <c r="AG192" i="8"/>
  <c r="AF192" i="8"/>
  <c r="AE192" i="8"/>
  <c r="AD192" i="8"/>
  <c r="AC192" i="8"/>
  <c r="AB192" i="8"/>
  <c r="AA192" i="8"/>
  <c r="Z192" i="8"/>
  <c r="Y192" i="8"/>
  <c r="X192" i="8"/>
  <c r="W192" i="8"/>
  <c r="V192" i="8"/>
  <c r="U192" i="8"/>
  <c r="T192" i="8"/>
  <c r="S192" i="8"/>
  <c r="R192" i="8"/>
  <c r="Q192" i="8"/>
  <c r="P192" i="8"/>
  <c r="O192" i="8"/>
  <c r="N192" i="8"/>
  <c r="M192" i="8"/>
  <c r="L192" i="8"/>
  <c r="K192" i="8"/>
  <c r="J192" i="8"/>
  <c r="I192" i="8"/>
  <c r="H192" i="8"/>
  <c r="G192" i="8"/>
  <c r="F192" i="8"/>
  <c r="E192" i="8"/>
  <c r="D192" i="8"/>
  <c r="AJ191" i="8"/>
  <c r="AQ191" i="8" s="1"/>
  <c r="AI191" i="8"/>
  <c r="AH191" i="8"/>
  <c r="AG191" i="8"/>
  <c r="AF191" i="8"/>
  <c r="AE191" i="8"/>
  <c r="AD191" i="8"/>
  <c r="AC191" i="8"/>
  <c r="AB191" i="8"/>
  <c r="AA191" i="8"/>
  <c r="Z191" i="8"/>
  <c r="Y191" i="8"/>
  <c r="X191" i="8"/>
  <c r="W191" i="8"/>
  <c r="V191" i="8"/>
  <c r="U191" i="8"/>
  <c r="T191" i="8"/>
  <c r="S191" i="8"/>
  <c r="R191" i="8"/>
  <c r="Q191" i="8"/>
  <c r="P191" i="8"/>
  <c r="O191" i="8"/>
  <c r="N191" i="8"/>
  <c r="M191" i="8"/>
  <c r="L191" i="8"/>
  <c r="K191" i="8"/>
  <c r="J191" i="8"/>
  <c r="I191" i="8"/>
  <c r="H191" i="8"/>
  <c r="G191" i="8"/>
  <c r="F191" i="8"/>
  <c r="E191" i="8"/>
  <c r="D191" i="8"/>
  <c r="AJ190" i="8"/>
  <c r="AQ190" i="8" s="1"/>
  <c r="AI190" i="8"/>
  <c r="AH190" i="8"/>
  <c r="AG190" i="8"/>
  <c r="AF190" i="8"/>
  <c r="AE190" i="8"/>
  <c r="AD190" i="8"/>
  <c r="AC190" i="8"/>
  <c r="AB190" i="8"/>
  <c r="AA190" i="8"/>
  <c r="Z190" i="8"/>
  <c r="Y190" i="8"/>
  <c r="X190" i="8"/>
  <c r="W190" i="8"/>
  <c r="V190" i="8"/>
  <c r="U190" i="8"/>
  <c r="T190" i="8"/>
  <c r="S190" i="8"/>
  <c r="R190" i="8"/>
  <c r="Q190" i="8"/>
  <c r="P190" i="8"/>
  <c r="O190" i="8"/>
  <c r="N190" i="8"/>
  <c r="M190" i="8"/>
  <c r="L190" i="8"/>
  <c r="K190" i="8"/>
  <c r="J190" i="8"/>
  <c r="I190" i="8"/>
  <c r="H190" i="8"/>
  <c r="G190" i="8"/>
  <c r="F190" i="8"/>
  <c r="E190" i="8"/>
  <c r="D190" i="8"/>
  <c r="AJ189" i="8"/>
  <c r="AQ189" i="8" s="1"/>
  <c r="AI189" i="8"/>
  <c r="AH189" i="8"/>
  <c r="AG189" i="8"/>
  <c r="AF189" i="8"/>
  <c r="AE189" i="8"/>
  <c r="AD189" i="8"/>
  <c r="AC189" i="8"/>
  <c r="AB189" i="8"/>
  <c r="AA189" i="8"/>
  <c r="Z189" i="8"/>
  <c r="Y189" i="8"/>
  <c r="X189" i="8"/>
  <c r="W189" i="8"/>
  <c r="V189" i="8"/>
  <c r="U189" i="8"/>
  <c r="T189" i="8"/>
  <c r="S189" i="8"/>
  <c r="R189" i="8"/>
  <c r="Q189" i="8"/>
  <c r="P189" i="8"/>
  <c r="O189" i="8"/>
  <c r="N189" i="8"/>
  <c r="M189" i="8"/>
  <c r="L189" i="8"/>
  <c r="K189" i="8"/>
  <c r="J189" i="8"/>
  <c r="I189" i="8"/>
  <c r="H189" i="8"/>
  <c r="G189" i="8"/>
  <c r="F189" i="8"/>
  <c r="E189" i="8"/>
  <c r="D189" i="8"/>
  <c r="AJ188" i="8"/>
  <c r="AQ188" i="8" s="1"/>
  <c r="AI188" i="8"/>
  <c r="AH188" i="8"/>
  <c r="AG188" i="8"/>
  <c r="AF188" i="8"/>
  <c r="AE188" i="8"/>
  <c r="AD188" i="8"/>
  <c r="AC188" i="8"/>
  <c r="AB188" i="8"/>
  <c r="AA188" i="8"/>
  <c r="Z188" i="8"/>
  <c r="Y188" i="8"/>
  <c r="X188" i="8"/>
  <c r="W188" i="8"/>
  <c r="V188" i="8"/>
  <c r="U188" i="8"/>
  <c r="T188" i="8"/>
  <c r="S188" i="8"/>
  <c r="R188" i="8"/>
  <c r="Q188" i="8"/>
  <c r="P188" i="8"/>
  <c r="O188" i="8"/>
  <c r="N188" i="8"/>
  <c r="M188" i="8"/>
  <c r="L188" i="8"/>
  <c r="K188" i="8"/>
  <c r="J188" i="8"/>
  <c r="I188" i="8"/>
  <c r="H188" i="8"/>
  <c r="G188" i="8"/>
  <c r="F188" i="8"/>
  <c r="E188" i="8"/>
  <c r="D188" i="8"/>
  <c r="AJ187" i="8"/>
  <c r="AQ187" i="8" s="1"/>
  <c r="AI187" i="8"/>
  <c r="AH187" i="8"/>
  <c r="AG187" i="8"/>
  <c r="AF187" i="8"/>
  <c r="AE187" i="8"/>
  <c r="AD187" i="8"/>
  <c r="AC187" i="8"/>
  <c r="AB187" i="8"/>
  <c r="AA187" i="8"/>
  <c r="Z187" i="8"/>
  <c r="Y187" i="8"/>
  <c r="X187" i="8"/>
  <c r="W187" i="8"/>
  <c r="V187" i="8"/>
  <c r="U187" i="8"/>
  <c r="T187" i="8"/>
  <c r="S187" i="8"/>
  <c r="R187" i="8"/>
  <c r="Q187" i="8"/>
  <c r="P187" i="8"/>
  <c r="O187" i="8"/>
  <c r="N187" i="8"/>
  <c r="M187" i="8"/>
  <c r="L187" i="8"/>
  <c r="K187" i="8"/>
  <c r="J187" i="8"/>
  <c r="I187" i="8"/>
  <c r="H187" i="8"/>
  <c r="G187" i="8"/>
  <c r="F187" i="8"/>
  <c r="E187" i="8"/>
  <c r="D187" i="8"/>
  <c r="AJ186" i="8"/>
  <c r="AQ186" i="8" s="1"/>
  <c r="AI186" i="8"/>
  <c r="AH186" i="8"/>
  <c r="AG186" i="8"/>
  <c r="AF186" i="8"/>
  <c r="AE186" i="8"/>
  <c r="AD186" i="8"/>
  <c r="AC186" i="8"/>
  <c r="AB186" i="8"/>
  <c r="AA186" i="8"/>
  <c r="Z186" i="8"/>
  <c r="Y186" i="8"/>
  <c r="X186" i="8"/>
  <c r="W186" i="8"/>
  <c r="V186" i="8"/>
  <c r="U186" i="8"/>
  <c r="T186" i="8"/>
  <c r="S186" i="8"/>
  <c r="R186" i="8"/>
  <c r="Q186" i="8"/>
  <c r="P186" i="8"/>
  <c r="O186" i="8"/>
  <c r="N186" i="8"/>
  <c r="M186" i="8"/>
  <c r="L186" i="8"/>
  <c r="K186" i="8"/>
  <c r="J186" i="8"/>
  <c r="I186" i="8"/>
  <c r="H186" i="8"/>
  <c r="G186" i="8"/>
  <c r="F186" i="8"/>
  <c r="E186" i="8"/>
  <c r="D186" i="8"/>
  <c r="AJ185" i="8"/>
  <c r="AQ185" i="8" s="1"/>
  <c r="AI185" i="8"/>
  <c r="AH185" i="8"/>
  <c r="AG185" i="8"/>
  <c r="AF185" i="8"/>
  <c r="AE185" i="8"/>
  <c r="AD185" i="8"/>
  <c r="AC185" i="8"/>
  <c r="AB185" i="8"/>
  <c r="AA185" i="8"/>
  <c r="Z185" i="8"/>
  <c r="Y185" i="8"/>
  <c r="X185" i="8"/>
  <c r="W185" i="8"/>
  <c r="V185" i="8"/>
  <c r="U185" i="8"/>
  <c r="T185" i="8"/>
  <c r="S185" i="8"/>
  <c r="R185" i="8"/>
  <c r="Q185" i="8"/>
  <c r="P185" i="8"/>
  <c r="O185" i="8"/>
  <c r="N185" i="8"/>
  <c r="M185" i="8"/>
  <c r="L185" i="8"/>
  <c r="K185" i="8"/>
  <c r="J185" i="8"/>
  <c r="I185" i="8"/>
  <c r="H185" i="8"/>
  <c r="G185" i="8"/>
  <c r="F185" i="8"/>
  <c r="E185" i="8"/>
  <c r="D185" i="8"/>
  <c r="AJ184" i="8"/>
  <c r="AQ184" i="8" s="1"/>
  <c r="AI184" i="8"/>
  <c r="AH184" i="8"/>
  <c r="AG184" i="8"/>
  <c r="AF184" i="8"/>
  <c r="AE184" i="8"/>
  <c r="AD184" i="8"/>
  <c r="AC184" i="8"/>
  <c r="AB184" i="8"/>
  <c r="AA184" i="8"/>
  <c r="Z184" i="8"/>
  <c r="Y184" i="8"/>
  <c r="X184" i="8"/>
  <c r="W184" i="8"/>
  <c r="V184" i="8"/>
  <c r="U184" i="8"/>
  <c r="T184" i="8"/>
  <c r="S184" i="8"/>
  <c r="R184" i="8"/>
  <c r="Q184" i="8"/>
  <c r="P184" i="8"/>
  <c r="O184" i="8"/>
  <c r="N184" i="8"/>
  <c r="M184" i="8"/>
  <c r="L184" i="8"/>
  <c r="K184" i="8"/>
  <c r="J184" i="8"/>
  <c r="I184" i="8"/>
  <c r="H184" i="8"/>
  <c r="G184" i="8"/>
  <c r="F184" i="8"/>
  <c r="E184" i="8"/>
  <c r="D184" i="8"/>
  <c r="AJ183" i="8"/>
  <c r="AQ183" i="8" s="1"/>
  <c r="AI183" i="8"/>
  <c r="AH183" i="8"/>
  <c r="AG183" i="8"/>
  <c r="AF183" i="8"/>
  <c r="AE183" i="8"/>
  <c r="AD183" i="8"/>
  <c r="AC183" i="8"/>
  <c r="AB183" i="8"/>
  <c r="AA183" i="8"/>
  <c r="Z183" i="8"/>
  <c r="Y183" i="8"/>
  <c r="X183" i="8"/>
  <c r="W183" i="8"/>
  <c r="V183" i="8"/>
  <c r="U183" i="8"/>
  <c r="T183" i="8"/>
  <c r="S183" i="8"/>
  <c r="R183" i="8"/>
  <c r="Q183" i="8"/>
  <c r="P183" i="8"/>
  <c r="O183" i="8"/>
  <c r="N183" i="8"/>
  <c r="M183" i="8"/>
  <c r="L183" i="8"/>
  <c r="K183" i="8"/>
  <c r="J183" i="8"/>
  <c r="I183" i="8"/>
  <c r="H183" i="8"/>
  <c r="G183" i="8"/>
  <c r="F183" i="8"/>
  <c r="E183" i="8"/>
  <c r="D183" i="8"/>
  <c r="AJ182" i="8"/>
  <c r="AQ182" i="8" s="1"/>
  <c r="AS52" i="8" s="1"/>
  <c r="AI182" i="8"/>
  <c r="AH182" i="8"/>
  <c r="AG182" i="8"/>
  <c r="AF182" i="8"/>
  <c r="AE182" i="8"/>
  <c r="AD182" i="8"/>
  <c r="AC182" i="8"/>
  <c r="AB182" i="8"/>
  <c r="AA182" i="8"/>
  <c r="Z182" i="8"/>
  <c r="Y182" i="8"/>
  <c r="X182" i="8"/>
  <c r="W182" i="8"/>
  <c r="V182" i="8"/>
  <c r="U182" i="8"/>
  <c r="T182" i="8"/>
  <c r="S182" i="8"/>
  <c r="R182" i="8"/>
  <c r="Q182" i="8"/>
  <c r="P182" i="8"/>
  <c r="O182" i="8"/>
  <c r="N182" i="8"/>
  <c r="M182" i="8"/>
  <c r="L182" i="8"/>
  <c r="K182" i="8"/>
  <c r="J182" i="8"/>
  <c r="I182" i="8"/>
  <c r="H182" i="8"/>
  <c r="G182" i="8"/>
  <c r="F182" i="8"/>
  <c r="E182" i="8"/>
  <c r="D182" i="8"/>
  <c r="AJ181" i="8"/>
  <c r="AQ181" i="8" s="1"/>
  <c r="AI181" i="8"/>
  <c r="AH181" i="8"/>
  <c r="AG181" i="8"/>
  <c r="AF181" i="8"/>
  <c r="AE181" i="8"/>
  <c r="AD181" i="8"/>
  <c r="AC181" i="8"/>
  <c r="AB181" i="8"/>
  <c r="AA181" i="8"/>
  <c r="Z181" i="8"/>
  <c r="Y181" i="8"/>
  <c r="X181" i="8"/>
  <c r="W181" i="8"/>
  <c r="V181" i="8"/>
  <c r="U181" i="8"/>
  <c r="T181" i="8"/>
  <c r="S181" i="8"/>
  <c r="R181" i="8"/>
  <c r="Q181" i="8"/>
  <c r="P181" i="8"/>
  <c r="O181" i="8"/>
  <c r="N181" i="8"/>
  <c r="M181" i="8"/>
  <c r="L181" i="8"/>
  <c r="K181" i="8"/>
  <c r="J181" i="8"/>
  <c r="I181" i="8"/>
  <c r="H181" i="8"/>
  <c r="G181" i="8"/>
  <c r="F181" i="8"/>
  <c r="E181" i="8"/>
  <c r="D181" i="8"/>
  <c r="AJ180" i="8"/>
  <c r="AQ180" i="8" s="1"/>
  <c r="AI180" i="8"/>
  <c r="AH180" i="8"/>
  <c r="AG180" i="8"/>
  <c r="AF180" i="8"/>
  <c r="AE180" i="8"/>
  <c r="AD180" i="8"/>
  <c r="AC180" i="8"/>
  <c r="AB180" i="8"/>
  <c r="AA180" i="8"/>
  <c r="Z180" i="8"/>
  <c r="Y180" i="8"/>
  <c r="X180" i="8"/>
  <c r="W180" i="8"/>
  <c r="V180" i="8"/>
  <c r="U180" i="8"/>
  <c r="T180" i="8"/>
  <c r="S180" i="8"/>
  <c r="R180" i="8"/>
  <c r="Q180" i="8"/>
  <c r="P180" i="8"/>
  <c r="O180" i="8"/>
  <c r="N180" i="8"/>
  <c r="M180" i="8"/>
  <c r="L180" i="8"/>
  <c r="K180" i="8"/>
  <c r="J180" i="8"/>
  <c r="I180" i="8"/>
  <c r="H180" i="8"/>
  <c r="G180" i="8"/>
  <c r="F180" i="8"/>
  <c r="E180" i="8"/>
  <c r="D180" i="8"/>
  <c r="AJ179" i="8"/>
  <c r="AQ179" i="8" s="1"/>
  <c r="AI179" i="8"/>
  <c r="AH179" i="8"/>
  <c r="AG179" i="8"/>
  <c r="AF179" i="8"/>
  <c r="AE179" i="8"/>
  <c r="AD179" i="8"/>
  <c r="AC179" i="8"/>
  <c r="AB179" i="8"/>
  <c r="AA179" i="8"/>
  <c r="Z179" i="8"/>
  <c r="Y179" i="8"/>
  <c r="X179" i="8"/>
  <c r="W179" i="8"/>
  <c r="V179" i="8"/>
  <c r="U179" i="8"/>
  <c r="T179" i="8"/>
  <c r="S179" i="8"/>
  <c r="R179" i="8"/>
  <c r="Q179" i="8"/>
  <c r="P179" i="8"/>
  <c r="O179" i="8"/>
  <c r="N179" i="8"/>
  <c r="M179" i="8"/>
  <c r="L179" i="8"/>
  <c r="K179" i="8"/>
  <c r="J179" i="8"/>
  <c r="I179" i="8"/>
  <c r="H179" i="8"/>
  <c r="G179" i="8"/>
  <c r="F179" i="8"/>
  <c r="E179" i="8"/>
  <c r="D179" i="8"/>
  <c r="AJ178" i="8"/>
  <c r="AQ178" i="8" s="1"/>
  <c r="AS48" i="8" s="1"/>
  <c r="AI178" i="8"/>
  <c r="AH178" i="8"/>
  <c r="AG178" i="8"/>
  <c r="AF178" i="8"/>
  <c r="AE178" i="8"/>
  <c r="AD178" i="8"/>
  <c r="AC178" i="8"/>
  <c r="AB178" i="8"/>
  <c r="AA178" i="8"/>
  <c r="Z178" i="8"/>
  <c r="Y178" i="8"/>
  <c r="X178" i="8"/>
  <c r="W178" i="8"/>
  <c r="V178" i="8"/>
  <c r="U178" i="8"/>
  <c r="T178" i="8"/>
  <c r="S178" i="8"/>
  <c r="R178" i="8"/>
  <c r="Q178" i="8"/>
  <c r="P178" i="8"/>
  <c r="O178" i="8"/>
  <c r="N178" i="8"/>
  <c r="M178" i="8"/>
  <c r="L178" i="8"/>
  <c r="K178" i="8"/>
  <c r="J178" i="8"/>
  <c r="I178" i="8"/>
  <c r="H178" i="8"/>
  <c r="G178" i="8"/>
  <c r="F178" i="8"/>
  <c r="E178" i="8"/>
  <c r="D178" i="8"/>
  <c r="AJ177" i="8"/>
  <c r="AQ177" i="8" s="1"/>
  <c r="AI177" i="8"/>
  <c r="AH177" i="8"/>
  <c r="AG177" i="8"/>
  <c r="AF177" i="8"/>
  <c r="AE177" i="8"/>
  <c r="AD177" i="8"/>
  <c r="AC177" i="8"/>
  <c r="AB177" i="8"/>
  <c r="AA177" i="8"/>
  <c r="Z177" i="8"/>
  <c r="Y177" i="8"/>
  <c r="X177" i="8"/>
  <c r="W177" i="8"/>
  <c r="V177" i="8"/>
  <c r="U177" i="8"/>
  <c r="T177" i="8"/>
  <c r="S177" i="8"/>
  <c r="R177" i="8"/>
  <c r="Q177" i="8"/>
  <c r="P177" i="8"/>
  <c r="O177" i="8"/>
  <c r="N177" i="8"/>
  <c r="M177" i="8"/>
  <c r="L177" i="8"/>
  <c r="K177" i="8"/>
  <c r="J177" i="8"/>
  <c r="I177" i="8"/>
  <c r="H177" i="8"/>
  <c r="G177" i="8"/>
  <c r="F177" i="8"/>
  <c r="E177" i="8"/>
  <c r="D177" i="8"/>
  <c r="AQ176" i="8"/>
  <c r="AS46" i="8" s="1"/>
  <c r="AJ176" i="8"/>
  <c r="AI176" i="8"/>
  <c r="AH176" i="8"/>
  <c r="AG176" i="8"/>
  <c r="AF176" i="8"/>
  <c r="AE176" i="8"/>
  <c r="AD176" i="8"/>
  <c r="AC176" i="8"/>
  <c r="AB176" i="8"/>
  <c r="AA176" i="8"/>
  <c r="Z176" i="8"/>
  <c r="Y176" i="8"/>
  <c r="X176" i="8"/>
  <c r="W176" i="8"/>
  <c r="V176" i="8"/>
  <c r="U176" i="8"/>
  <c r="T176" i="8"/>
  <c r="S176" i="8"/>
  <c r="R176" i="8"/>
  <c r="Q176" i="8"/>
  <c r="P176" i="8"/>
  <c r="O176" i="8"/>
  <c r="N176" i="8"/>
  <c r="M176" i="8"/>
  <c r="L176" i="8"/>
  <c r="K176" i="8"/>
  <c r="J176" i="8"/>
  <c r="I176" i="8"/>
  <c r="H176" i="8"/>
  <c r="G176" i="8"/>
  <c r="F176" i="8"/>
  <c r="E176" i="8"/>
  <c r="D176" i="8"/>
  <c r="AJ175" i="8"/>
  <c r="AQ175" i="8" s="1"/>
  <c r="AI175" i="8"/>
  <c r="AH175" i="8"/>
  <c r="AG175" i="8"/>
  <c r="AF175" i="8"/>
  <c r="AE175" i="8"/>
  <c r="AD175" i="8"/>
  <c r="AC175" i="8"/>
  <c r="AB175" i="8"/>
  <c r="AA175" i="8"/>
  <c r="Z175" i="8"/>
  <c r="Y175" i="8"/>
  <c r="X175" i="8"/>
  <c r="W175" i="8"/>
  <c r="V175" i="8"/>
  <c r="U175" i="8"/>
  <c r="T175" i="8"/>
  <c r="S175" i="8"/>
  <c r="R175" i="8"/>
  <c r="Q175" i="8"/>
  <c r="P175" i="8"/>
  <c r="O175" i="8"/>
  <c r="N175" i="8"/>
  <c r="M175" i="8"/>
  <c r="L175" i="8"/>
  <c r="K175" i="8"/>
  <c r="J175" i="8"/>
  <c r="I175" i="8"/>
  <c r="H175" i="8"/>
  <c r="G175" i="8"/>
  <c r="F175" i="8"/>
  <c r="E175" i="8"/>
  <c r="D175" i="8"/>
  <c r="AJ174" i="8"/>
  <c r="AQ174" i="8" s="1"/>
  <c r="AI174" i="8"/>
  <c r="AH174" i="8"/>
  <c r="AG174" i="8"/>
  <c r="AF174" i="8"/>
  <c r="AE174" i="8"/>
  <c r="AD174" i="8"/>
  <c r="AC174" i="8"/>
  <c r="AB174" i="8"/>
  <c r="AA174" i="8"/>
  <c r="Z174" i="8"/>
  <c r="Y174" i="8"/>
  <c r="X174" i="8"/>
  <c r="W174" i="8"/>
  <c r="V174" i="8"/>
  <c r="U174" i="8"/>
  <c r="T174" i="8"/>
  <c r="S174" i="8"/>
  <c r="R174" i="8"/>
  <c r="Q174" i="8"/>
  <c r="P174" i="8"/>
  <c r="O174" i="8"/>
  <c r="N174" i="8"/>
  <c r="M174" i="8"/>
  <c r="L174" i="8"/>
  <c r="K174" i="8"/>
  <c r="J174" i="8"/>
  <c r="I174" i="8"/>
  <c r="H174" i="8"/>
  <c r="G174" i="8"/>
  <c r="F174" i="8"/>
  <c r="E174" i="8"/>
  <c r="D174" i="8"/>
  <c r="AJ173" i="8"/>
  <c r="AQ173" i="8" s="1"/>
  <c r="AI173" i="8"/>
  <c r="AH173" i="8"/>
  <c r="AG173" i="8"/>
  <c r="AF173" i="8"/>
  <c r="AE173" i="8"/>
  <c r="AD173" i="8"/>
  <c r="AC173" i="8"/>
  <c r="AB173" i="8"/>
  <c r="AA173" i="8"/>
  <c r="Z173" i="8"/>
  <c r="Y173" i="8"/>
  <c r="X173" i="8"/>
  <c r="W173" i="8"/>
  <c r="V173" i="8"/>
  <c r="U173" i="8"/>
  <c r="T173" i="8"/>
  <c r="S173" i="8"/>
  <c r="R173" i="8"/>
  <c r="Q173" i="8"/>
  <c r="P173" i="8"/>
  <c r="O173" i="8"/>
  <c r="N173" i="8"/>
  <c r="M173" i="8"/>
  <c r="L173" i="8"/>
  <c r="K173" i="8"/>
  <c r="J173" i="8"/>
  <c r="I173" i="8"/>
  <c r="H173" i="8"/>
  <c r="G173" i="8"/>
  <c r="F173" i="8"/>
  <c r="E173" i="8"/>
  <c r="D173" i="8"/>
  <c r="AJ172" i="8"/>
  <c r="AQ172" i="8" s="1"/>
  <c r="AI172" i="8"/>
  <c r="AH172" i="8"/>
  <c r="AG172" i="8"/>
  <c r="AF172" i="8"/>
  <c r="AE172" i="8"/>
  <c r="AD172" i="8"/>
  <c r="AC172" i="8"/>
  <c r="AB172" i="8"/>
  <c r="AA172" i="8"/>
  <c r="Z172" i="8"/>
  <c r="Y172" i="8"/>
  <c r="X172" i="8"/>
  <c r="W172" i="8"/>
  <c r="V172" i="8"/>
  <c r="U172" i="8"/>
  <c r="T172" i="8"/>
  <c r="S172" i="8"/>
  <c r="R172" i="8"/>
  <c r="Q172" i="8"/>
  <c r="P172" i="8"/>
  <c r="O172" i="8"/>
  <c r="N172" i="8"/>
  <c r="M172" i="8"/>
  <c r="L172" i="8"/>
  <c r="K172" i="8"/>
  <c r="J172" i="8"/>
  <c r="I172" i="8"/>
  <c r="H172" i="8"/>
  <c r="G172" i="8"/>
  <c r="F172" i="8"/>
  <c r="E172" i="8"/>
  <c r="D172" i="8"/>
  <c r="AJ171" i="8"/>
  <c r="AQ171" i="8" s="1"/>
  <c r="AI171" i="8"/>
  <c r="AH171" i="8"/>
  <c r="AG171" i="8"/>
  <c r="AF171" i="8"/>
  <c r="AE171" i="8"/>
  <c r="AD171" i="8"/>
  <c r="AC171" i="8"/>
  <c r="AB171" i="8"/>
  <c r="AA171" i="8"/>
  <c r="Z171" i="8"/>
  <c r="Y171" i="8"/>
  <c r="X171" i="8"/>
  <c r="W171" i="8"/>
  <c r="V171" i="8"/>
  <c r="U171" i="8"/>
  <c r="T171" i="8"/>
  <c r="S171" i="8"/>
  <c r="R171" i="8"/>
  <c r="Q171" i="8"/>
  <c r="P171" i="8"/>
  <c r="O171" i="8"/>
  <c r="N171" i="8"/>
  <c r="M171" i="8"/>
  <c r="L171" i="8"/>
  <c r="K171" i="8"/>
  <c r="J171" i="8"/>
  <c r="I171" i="8"/>
  <c r="H171" i="8"/>
  <c r="G171" i="8"/>
  <c r="F171" i="8"/>
  <c r="E171" i="8"/>
  <c r="D171" i="8"/>
  <c r="AJ170" i="8"/>
  <c r="AQ170" i="8" s="1"/>
  <c r="AI170" i="8"/>
  <c r="AH170" i="8"/>
  <c r="AG170" i="8"/>
  <c r="AF170" i="8"/>
  <c r="AE170" i="8"/>
  <c r="AD170" i="8"/>
  <c r="AC170" i="8"/>
  <c r="AB170" i="8"/>
  <c r="AA170" i="8"/>
  <c r="Z170" i="8"/>
  <c r="Y170" i="8"/>
  <c r="X170" i="8"/>
  <c r="W170" i="8"/>
  <c r="V170" i="8"/>
  <c r="U170" i="8"/>
  <c r="T170" i="8"/>
  <c r="S170" i="8"/>
  <c r="R170" i="8"/>
  <c r="Q170" i="8"/>
  <c r="P170" i="8"/>
  <c r="O170" i="8"/>
  <c r="N170" i="8"/>
  <c r="M170" i="8"/>
  <c r="L170" i="8"/>
  <c r="K170" i="8"/>
  <c r="J170" i="8"/>
  <c r="I170" i="8"/>
  <c r="H170" i="8"/>
  <c r="G170" i="8"/>
  <c r="F170" i="8"/>
  <c r="E170" i="8"/>
  <c r="D170" i="8"/>
  <c r="AJ169" i="8"/>
  <c r="AQ169" i="8" s="1"/>
  <c r="AI169" i="8"/>
  <c r="AH169" i="8"/>
  <c r="AG169" i="8"/>
  <c r="AF169" i="8"/>
  <c r="AE169" i="8"/>
  <c r="AD169" i="8"/>
  <c r="AC169" i="8"/>
  <c r="AB169" i="8"/>
  <c r="AA169" i="8"/>
  <c r="Z169" i="8"/>
  <c r="Y169" i="8"/>
  <c r="X169" i="8"/>
  <c r="W169" i="8"/>
  <c r="V169" i="8"/>
  <c r="U169" i="8"/>
  <c r="T169" i="8"/>
  <c r="S169" i="8"/>
  <c r="R169" i="8"/>
  <c r="Q169" i="8"/>
  <c r="P169" i="8"/>
  <c r="O169" i="8"/>
  <c r="N169" i="8"/>
  <c r="M169" i="8"/>
  <c r="L169" i="8"/>
  <c r="K169" i="8"/>
  <c r="J169" i="8"/>
  <c r="I169" i="8"/>
  <c r="H169" i="8"/>
  <c r="G169" i="8"/>
  <c r="F169" i="8"/>
  <c r="E169" i="8"/>
  <c r="D169" i="8"/>
  <c r="AJ168" i="8"/>
  <c r="AQ168" i="8" s="1"/>
  <c r="AI168" i="8"/>
  <c r="AH168" i="8"/>
  <c r="AG168" i="8"/>
  <c r="AF168" i="8"/>
  <c r="AE168" i="8"/>
  <c r="AD168" i="8"/>
  <c r="AC168" i="8"/>
  <c r="AB168" i="8"/>
  <c r="AA168" i="8"/>
  <c r="Z168" i="8"/>
  <c r="Y168" i="8"/>
  <c r="X168" i="8"/>
  <c r="W168" i="8"/>
  <c r="V168" i="8"/>
  <c r="U168" i="8"/>
  <c r="T168" i="8"/>
  <c r="S168" i="8"/>
  <c r="R168" i="8"/>
  <c r="Q168" i="8"/>
  <c r="P168" i="8"/>
  <c r="O168" i="8"/>
  <c r="N168" i="8"/>
  <c r="M168" i="8"/>
  <c r="L168" i="8"/>
  <c r="K168" i="8"/>
  <c r="J168" i="8"/>
  <c r="I168" i="8"/>
  <c r="H168" i="8"/>
  <c r="G168" i="8"/>
  <c r="F168" i="8"/>
  <c r="E168" i="8"/>
  <c r="D168" i="8"/>
  <c r="AJ167" i="8"/>
  <c r="AI167" i="8"/>
  <c r="AH167" i="8"/>
  <c r="AG167" i="8"/>
  <c r="AF167" i="8"/>
  <c r="AE167" i="8"/>
  <c r="AD167" i="8"/>
  <c r="AC167" i="8"/>
  <c r="AB167" i="8"/>
  <c r="AA167" i="8"/>
  <c r="Z167" i="8"/>
  <c r="Y167" i="8"/>
  <c r="X167" i="8"/>
  <c r="W167" i="8"/>
  <c r="V167" i="8"/>
  <c r="U167" i="8"/>
  <c r="T167" i="8"/>
  <c r="S167" i="8"/>
  <c r="R167" i="8"/>
  <c r="Q167" i="8"/>
  <c r="P167" i="8"/>
  <c r="O167" i="8"/>
  <c r="N167" i="8"/>
  <c r="M167" i="8"/>
  <c r="L167" i="8"/>
  <c r="K167" i="8"/>
  <c r="J167" i="8"/>
  <c r="I167" i="8"/>
  <c r="H167" i="8"/>
  <c r="G167" i="8"/>
  <c r="F167" i="8"/>
  <c r="E167" i="8"/>
  <c r="D167" i="8"/>
  <c r="AJ166" i="8"/>
  <c r="AI166" i="8"/>
  <c r="AH166" i="8"/>
  <c r="AG166" i="8"/>
  <c r="AF166" i="8"/>
  <c r="AE166" i="8"/>
  <c r="AD166" i="8"/>
  <c r="AC166" i="8"/>
  <c r="AB166" i="8"/>
  <c r="AA166" i="8"/>
  <c r="Z166" i="8"/>
  <c r="Y166" i="8"/>
  <c r="X166" i="8"/>
  <c r="W166" i="8"/>
  <c r="V166" i="8"/>
  <c r="U166" i="8"/>
  <c r="T166" i="8"/>
  <c r="S166" i="8"/>
  <c r="R166" i="8"/>
  <c r="Q166" i="8"/>
  <c r="P166" i="8"/>
  <c r="O166" i="8"/>
  <c r="N166" i="8"/>
  <c r="M166" i="8"/>
  <c r="L166" i="8"/>
  <c r="K166" i="8"/>
  <c r="J166" i="8"/>
  <c r="I166" i="8"/>
  <c r="H166" i="8"/>
  <c r="G166" i="8"/>
  <c r="F166" i="8"/>
  <c r="E166" i="8"/>
  <c r="D166" i="8"/>
  <c r="AJ165" i="8"/>
  <c r="AI165" i="8"/>
  <c r="AH165" i="8"/>
  <c r="AG165" i="8"/>
  <c r="AF165" i="8"/>
  <c r="AE165" i="8"/>
  <c r="AD165" i="8"/>
  <c r="AC165" i="8"/>
  <c r="AB165" i="8"/>
  <c r="AA165" i="8"/>
  <c r="Z165" i="8"/>
  <c r="Y165" i="8"/>
  <c r="X165" i="8"/>
  <c r="W165" i="8"/>
  <c r="V165" i="8"/>
  <c r="U165" i="8"/>
  <c r="T165" i="8"/>
  <c r="S165" i="8"/>
  <c r="R165" i="8"/>
  <c r="Q165" i="8"/>
  <c r="P165" i="8"/>
  <c r="O165" i="8"/>
  <c r="N165" i="8"/>
  <c r="M165" i="8"/>
  <c r="L165" i="8"/>
  <c r="K165" i="8"/>
  <c r="J165" i="8"/>
  <c r="I165" i="8"/>
  <c r="H165" i="8"/>
  <c r="G165" i="8"/>
  <c r="F165" i="8"/>
  <c r="E165" i="8"/>
  <c r="D165" i="8"/>
  <c r="AJ164" i="8"/>
  <c r="AI164" i="8"/>
  <c r="AH164" i="8"/>
  <c r="AG164" i="8"/>
  <c r="AF164" i="8"/>
  <c r="AE164" i="8"/>
  <c r="AD164" i="8"/>
  <c r="AC164" i="8"/>
  <c r="AB164" i="8"/>
  <c r="AA164" i="8"/>
  <c r="Z164" i="8"/>
  <c r="Y164" i="8"/>
  <c r="X164" i="8"/>
  <c r="W164" i="8"/>
  <c r="V164" i="8"/>
  <c r="U164" i="8"/>
  <c r="T164" i="8"/>
  <c r="S164" i="8"/>
  <c r="R164" i="8"/>
  <c r="Q164" i="8"/>
  <c r="P164" i="8"/>
  <c r="O164" i="8"/>
  <c r="N164" i="8"/>
  <c r="M164" i="8"/>
  <c r="L164" i="8"/>
  <c r="K164" i="8"/>
  <c r="J164" i="8"/>
  <c r="I164" i="8"/>
  <c r="H164" i="8"/>
  <c r="G164" i="8"/>
  <c r="F164" i="8"/>
  <c r="E164" i="8"/>
  <c r="D164" i="8"/>
  <c r="AJ163" i="8"/>
  <c r="AI163" i="8"/>
  <c r="AH163" i="8"/>
  <c r="AG163" i="8"/>
  <c r="AF163" i="8"/>
  <c r="AE163" i="8"/>
  <c r="AD163" i="8"/>
  <c r="AC163" i="8"/>
  <c r="AB163" i="8"/>
  <c r="AA163" i="8"/>
  <c r="Z163" i="8"/>
  <c r="Y163" i="8"/>
  <c r="X163" i="8"/>
  <c r="W163" i="8"/>
  <c r="V163" i="8"/>
  <c r="U163" i="8"/>
  <c r="T163" i="8"/>
  <c r="S163" i="8"/>
  <c r="R163" i="8"/>
  <c r="Q163" i="8"/>
  <c r="P163" i="8"/>
  <c r="O163" i="8"/>
  <c r="N163" i="8"/>
  <c r="M163" i="8"/>
  <c r="L163" i="8"/>
  <c r="K163" i="8"/>
  <c r="J163" i="8"/>
  <c r="I163" i="8"/>
  <c r="H163" i="8"/>
  <c r="G163" i="8"/>
  <c r="F163" i="8"/>
  <c r="E163" i="8"/>
  <c r="D163" i="8"/>
  <c r="AJ162" i="8"/>
  <c r="AI162" i="8"/>
  <c r="AH162" i="8"/>
  <c r="AG162" i="8"/>
  <c r="AF162" i="8"/>
  <c r="AE162" i="8"/>
  <c r="AD162" i="8"/>
  <c r="AC162" i="8"/>
  <c r="AB162" i="8"/>
  <c r="AA162" i="8"/>
  <c r="Z162" i="8"/>
  <c r="Y162" i="8"/>
  <c r="X162" i="8"/>
  <c r="W162" i="8"/>
  <c r="V162" i="8"/>
  <c r="U162" i="8"/>
  <c r="T162" i="8"/>
  <c r="S162" i="8"/>
  <c r="R162" i="8"/>
  <c r="Q162" i="8"/>
  <c r="P162" i="8"/>
  <c r="O162" i="8"/>
  <c r="N162" i="8"/>
  <c r="M162" i="8"/>
  <c r="L162" i="8"/>
  <c r="K162" i="8"/>
  <c r="J162" i="8"/>
  <c r="I162" i="8"/>
  <c r="H162" i="8"/>
  <c r="G162" i="8"/>
  <c r="F162" i="8"/>
  <c r="E162" i="8"/>
  <c r="D162" i="8"/>
  <c r="AJ161" i="8"/>
  <c r="AI161" i="8"/>
  <c r="AH161" i="8"/>
  <c r="AG161" i="8"/>
  <c r="AF161" i="8"/>
  <c r="AE161" i="8"/>
  <c r="AD161" i="8"/>
  <c r="AC161" i="8"/>
  <c r="AB161" i="8"/>
  <c r="AA161" i="8"/>
  <c r="Z161" i="8"/>
  <c r="Y161" i="8"/>
  <c r="X161" i="8"/>
  <c r="W161" i="8"/>
  <c r="V161" i="8"/>
  <c r="U161" i="8"/>
  <c r="T161" i="8"/>
  <c r="S161" i="8"/>
  <c r="R161" i="8"/>
  <c r="Q161" i="8"/>
  <c r="P161" i="8"/>
  <c r="O161" i="8"/>
  <c r="N161" i="8"/>
  <c r="M161" i="8"/>
  <c r="L161" i="8"/>
  <c r="K161" i="8"/>
  <c r="J161" i="8"/>
  <c r="I161" i="8"/>
  <c r="H161" i="8"/>
  <c r="G161" i="8"/>
  <c r="F161" i="8"/>
  <c r="E161" i="8"/>
  <c r="D161" i="8"/>
  <c r="AJ160" i="8"/>
  <c r="AI160" i="8"/>
  <c r="AH160" i="8"/>
  <c r="AG160" i="8"/>
  <c r="AF160" i="8"/>
  <c r="AE160" i="8"/>
  <c r="AD160" i="8"/>
  <c r="AC160" i="8"/>
  <c r="AB160" i="8"/>
  <c r="AA160" i="8"/>
  <c r="Z160" i="8"/>
  <c r="Y160" i="8"/>
  <c r="X160" i="8"/>
  <c r="W160" i="8"/>
  <c r="V160" i="8"/>
  <c r="U160" i="8"/>
  <c r="T160" i="8"/>
  <c r="S160" i="8"/>
  <c r="R160" i="8"/>
  <c r="Q160" i="8"/>
  <c r="P160" i="8"/>
  <c r="O160" i="8"/>
  <c r="N160" i="8"/>
  <c r="M160" i="8"/>
  <c r="L160" i="8"/>
  <c r="K160" i="8"/>
  <c r="J160" i="8"/>
  <c r="I160" i="8"/>
  <c r="H160" i="8"/>
  <c r="G160" i="8"/>
  <c r="F160" i="8"/>
  <c r="E160" i="8"/>
  <c r="D160" i="8"/>
  <c r="AJ159" i="8"/>
  <c r="AI159" i="8"/>
  <c r="AH159" i="8"/>
  <c r="AG159" i="8"/>
  <c r="AF159" i="8"/>
  <c r="AE159" i="8"/>
  <c r="AD159" i="8"/>
  <c r="AC159" i="8"/>
  <c r="AB159" i="8"/>
  <c r="AA159" i="8"/>
  <c r="Z159" i="8"/>
  <c r="Y159" i="8"/>
  <c r="X159" i="8"/>
  <c r="W159" i="8"/>
  <c r="V159" i="8"/>
  <c r="U159" i="8"/>
  <c r="T159" i="8"/>
  <c r="S159" i="8"/>
  <c r="R159" i="8"/>
  <c r="Q159" i="8"/>
  <c r="P159" i="8"/>
  <c r="O159" i="8"/>
  <c r="N159" i="8"/>
  <c r="M159" i="8"/>
  <c r="L159" i="8"/>
  <c r="K159" i="8"/>
  <c r="J159" i="8"/>
  <c r="I159" i="8"/>
  <c r="H159" i="8"/>
  <c r="G159" i="8"/>
  <c r="F159" i="8"/>
  <c r="E159" i="8"/>
  <c r="D159" i="8"/>
  <c r="AJ158" i="8"/>
  <c r="AI158" i="8"/>
  <c r="AH158" i="8"/>
  <c r="AG158" i="8"/>
  <c r="AF158" i="8"/>
  <c r="AE158" i="8"/>
  <c r="AD158" i="8"/>
  <c r="AC158" i="8"/>
  <c r="AB158" i="8"/>
  <c r="AA158" i="8"/>
  <c r="Z158" i="8"/>
  <c r="Y158" i="8"/>
  <c r="X158" i="8"/>
  <c r="W158" i="8"/>
  <c r="V158" i="8"/>
  <c r="U158" i="8"/>
  <c r="T158" i="8"/>
  <c r="S158" i="8"/>
  <c r="R158" i="8"/>
  <c r="Q158" i="8"/>
  <c r="P158" i="8"/>
  <c r="O158" i="8"/>
  <c r="N158" i="8"/>
  <c r="M158" i="8"/>
  <c r="L158" i="8"/>
  <c r="K158" i="8"/>
  <c r="J158" i="8"/>
  <c r="I158" i="8"/>
  <c r="H158" i="8"/>
  <c r="G158" i="8"/>
  <c r="F158" i="8"/>
  <c r="E158" i="8"/>
  <c r="D158" i="8"/>
  <c r="AJ157" i="8"/>
  <c r="AI157" i="8"/>
  <c r="AH157" i="8"/>
  <c r="AG157" i="8"/>
  <c r="AF157" i="8"/>
  <c r="AE157" i="8"/>
  <c r="AD157" i="8"/>
  <c r="AC157" i="8"/>
  <c r="AB157" i="8"/>
  <c r="AA157" i="8"/>
  <c r="Z157" i="8"/>
  <c r="Y157" i="8"/>
  <c r="X157" i="8"/>
  <c r="W157" i="8"/>
  <c r="V157" i="8"/>
  <c r="U157" i="8"/>
  <c r="T157" i="8"/>
  <c r="S157" i="8"/>
  <c r="R157" i="8"/>
  <c r="Q157" i="8"/>
  <c r="P157" i="8"/>
  <c r="O157" i="8"/>
  <c r="N157" i="8"/>
  <c r="M157" i="8"/>
  <c r="L157" i="8"/>
  <c r="K157" i="8"/>
  <c r="J157" i="8"/>
  <c r="I157" i="8"/>
  <c r="H157" i="8"/>
  <c r="G157" i="8"/>
  <c r="F157" i="8"/>
  <c r="E157" i="8"/>
  <c r="D157" i="8"/>
  <c r="AJ156" i="8"/>
  <c r="AI156" i="8"/>
  <c r="AH156" i="8"/>
  <c r="AG156" i="8"/>
  <c r="AF156" i="8"/>
  <c r="AE156" i="8"/>
  <c r="AD156" i="8"/>
  <c r="AC156" i="8"/>
  <c r="AB156" i="8"/>
  <c r="AA156" i="8"/>
  <c r="Z156" i="8"/>
  <c r="Y156" i="8"/>
  <c r="X156" i="8"/>
  <c r="W156" i="8"/>
  <c r="V156" i="8"/>
  <c r="U156" i="8"/>
  <c r="T156" i="8"/>
  <c r="S156" i="8"/>
  <c r="R156" i="8"/>
  <c r="Q156" i="8"/>
  <c r="P156" i="8"/>
  <c r="O156" i="8"/>
  <c r="N156" i="8"/>
  <c r="M156" i="8"/>
  <c r="L156" i="8"/>
  <c r="K156" i="8"/>
  <c r="J156" i="8"/>
  <c r="I156" i="8"/>
  <c r="H156" i="8"/>
  <c r="G156" i="8"/>
  <c r="F156" i="8"/>
  <c r="E156" i="8"/>
  <c r="D156" i="8"/>
  <c r="AJ155" i="8"/>
  <c r="AI155" i="8"/>
  <c r="AH155" i="8"/>
  <c r="AG155" i="8"/>
  <c r="AF155" i="8"/>
  <c r="AE155" i="8"/>
  <c r="AD155" i="8"/>
  <c r="AC155" i="8"/>
  <c r="AB155" i="8"/>
  <c r="AA155" i="8"/>
  <c r="Z155" i="8"/>
  <c r="Y155" i="8"/>
  <c r="X155" i="8"/>
  <c r="W155" i="8"/>
  <c r="V155" i="8"/>
  <c r="U155" i="8"/>
  <c r="T155" i="8"/>
  <c r="S155" i="8"/>
  <c r="R155" i="8"/>
  <c r="Q155" i="8"/>
  <c r="P155" i="8"/>
  <c r="O155" i="8"/>
  <c r="N155" i="8"/>
  <c r="M155" i="8"/>
  <c r="L155" i="8"/>
  <c r="K155" i="8"/>
  <c r="J155" i="8"/>
  <c r="I155" i="8"/>
  <c r="H155" i="8"/>
  <c r="G155" i="8"/>
  <c r="F155" i="8"/>
  <c r="E155" i="8"/>
  <c r="D155" i="8"/>
  <c r="AJ154" i="8"/>
  <c r="AI154" i="8"/>
  <c r="AH154" i="8"/>
  <c r="AG154" i="8"/>
  <c r="AF154" i="8"/>
  <c r="AE154" i="8"/>
  <c r="AD154" i="8"/>
  <c r="AC154" i="8"/>
  <c r="AB154" i="8"/>
  <c r="AA154" i="8"/>
  <c r="Z154" i="8"/>
  <c r="Y154" i="8"/>
  <c r="X154" i="8"/>
  <c r="W154" i="8"/>
  <c r="V154" i="8"/>
  <c r="U154" i="8"/>
  <c r="T154" i="8"/>
  <c r="S154" i="8"/>
  <c r="R154" i="8"/>
  <c r="Q154" i="8"/>
  <c r="P154" i="8"/>
  <c r="O154" i="8"/>
  <c r="N154" i="8"/>
  <c r="M154" i="8"/>
  <c r="L154" i="8"/>
  <c r="K154" i="8"/>
  <c r="J154" i="8"/>
  <c r="I154" i="8"/>
  <c r="H154" i="8"/>
  <c r="G154" i="8"/>
  <c r="F154" i="8"/>
  <c r="E154" i="8"/>
  <c r="D154" i="8"/>
  <c r="AJ153" i="8"/>
  <c r="AI153" i="8"/>
  <c r="AH153" i="8"/>
  <c r="AG153" i="8"/>
  <c r="AF153" i="8"/>
  <c r="AE153" i="8"/>
  <c r="AD153" i="8"/>
  <c r="AC153" i="8"/>
  <c r="AB153" i="8"/>
  <c r="AA153" i="8"/>
  <c r="Z153" i="8"/>
  <c r="Y153" i="8"/>
  <c r="X153" i="8"/>
  <c r="W153" i="8"/>
  <c r="V153" i="8"/>
  <c r="U153" i="8"/>
  <c r="T153" i="8"/>
  <c r="S153" i="8"/>
  <c r="R153" i="8"/>
  <c r="Q153" i="8"/>
  <c r="P153" i="8"/>
  <c r="O153" i="8"/>
  <c r="N153" i="8"/>
  <c r="M153" i="8"/>
  <c r="L153" i="8"/>
  <c r="K153" i="8"/>
  <c r="J153" i="8"/>
  <c r="I153" i="8"/>
  <c r="H153" i="8"/>
  <c r="G153" i="8"/>
  <c r="F153" i="8"/>
  <c r="E153" i="8"/>
  <c r="D153" i="8"/>
  <c r="AJ152" i="8"/>
  <c r="AI152" i="8"/>
  <c r="AH152" i="8"/>
  <c r="AG152" i="8"/>
  <c r="AF152" i="8"/>
  <c r="AE152" i="8"/>
  <c r="AD152" i="8"/>
  <c r="AC152" i="8"/>
  <c r="AB152" i="8"/>
  <c r="AA152" i="8"/>
  <c r="Z152" i="8"/>
  <c r="Y152" i="8"/>
  <c r="X152" i="8"/>
  <c r="W152" i="8"/>
  <c r="V152" i="8"/>
  <c r="U152" i="8"/>
  <c r="T152" i="8"/>
  <c r="S152" i="8"/>
  <c r="R152" i="8"/>
  <c r="Q152" i="8"/>
  <c r="P152" i="8"/>
  <c r="O152" i="8"/>
  <c r="N152" i="8"/>
  <c r="M152" i="8"/>
  <c r="L152" i="8"/>
  <c r="K152" i="8"/>
  <c r="J152" i="8"/>
  <c r="I152" i="8"/>
  <c r="H152" i="8"/>
  <c r="G152" i="8"/>
  <c r="F152" i="8"/>
  <c r="E152" i="8"/>
  <c r="D152" i="8"/>
  <c r="AJ151" i="8"/>
  <c r="AI151" i="8"/>
  <c r="AH151" i="8"/>
  <c r="AG151" i="8"/>
  <c r="AF151" i="8"/>
  <c r="AE151" i="8"/>
  <c r="AD151" i="8"/>
  <c r="AC151" i="8"/>
  <c r="AB151" i="8"/>
  <c r="AA151" i="8"/>
  <c r="Z151" i="8"/>
  <c r="Y151" i="8"/>
  <c r="X151" i="8"/>
  <c r="W151" i="8"/>
  <c r="V151" i="8"/>
  <c r="U151" i="8"/>
  <c r="T151" i="8"/>
  <c r="S151" i="8"/>
  <c r="R151" i="8"/>
  <c r="Q151" i="8"/>
  <c r="P151" i="8"/>
  <c r="O151" i="8"/>
  <c r="N151" i="8"/>
  <c r="M151" i="8"/>
  <c r="L151" i="8"/>
  <c r="K151" i="8"/>
  <c r="J151" i="8"/>
  <c r="I151" i="8"/>
  <c r="H151" i="8"/>
  <c r="G151" i="8"/>
  <c r="F151" i="8"/>
  <c r="E151" i="8"/>
  <c r="D151" i="8"/>
  <c r="AJ150" i="8"/>
  <c r="AI150" i="8"/>
  <c r="AH150" i="8"/>
  <c r="AG150" i="8"/>
  <c r="AF150" i="8"/>
  <c r="AE150" i="8"/>
  <c r="AD150" i="8"/>
  <c r="AC150" i="8"/>
  <c r="AB150" i="8"/>
  <c r="AA150" i="8"/>
  <c r="Z150" i="8"/>
  <c r="Y150" i="8"/>
  <c r="X150" i="8"/>
  <c r="W150" i="8"/>
  <c r="V150" i="8"/>
  <c r="U150" i="8"/>
  <c r="T150" i="8"/>
  <c r="S150" i="8"/>
  <c r="R150" i="8"/>
  <c r="Q150" i="8"/>
  <c r="P150" i="8"/>
  <c r="O150" i="8"/>
  <c r="N150" i="8"/>
  <c r="M150" i="8"/>
  <c r="L150" i="8"/>
  <c r="K150" i="8"/>
  <c r="J150" i="8"/>
  <c r="I150" i="8"/>
  <c r="H150" i="8"/>
  <c r="G150" i="8"/>
  <c r="F150" i="8"/>
  <c r="E150" i="8"/>
  <c r="D150" i="8"/>
  <c r="AJ149" i="8"/>
  <c r="AI149" i="8"/>
  <c r="AH149" i="8"/>
  <c r="AG149" i="8"/>
  <c r="AF149" i="8"/>
  <c r="AE149" i="8"/>
  <c r="AD149" i="8"/>
  <c r="AC149" i="8"/>
  <c r="AB149" i="8"/>
  <c r="AA149" i="8"/>
  <c r="Z149" i="8"/>
  <c r="Y149" i="8"/>
  <c r="X149" i="8"/>
  <c r="W149" i="8"/>
  <c r="V149" i="8"/>
  <c r="U149" i="8"/>
  <c r="T149" i="8"/>
  <c r="S149" i="8"/>
  <c r="R149" i="8"/>
  <c r="Q149" i="8"/>
  <c r="P149" i="8"/>
  <c r="O149" i="8"/>
  <c r="N149" i="8"/>
  <c r="M149" i="8"/>
  <c r="L149" i="8"/>
  <c r="K149" i="8"/>
  <c r="J149" i="8"/>
  <c r="I149" i="8"/>
  <c r="H149" i="8"/>
  <c r="G149" i="8"/>
  <c r="F149" i="8"/>
  <c r="E149" i="8"/>
  <c r="D149" i="8"/>
  <c r="AJ148" i="8"/>
  <c r="AI148" i="8"/>
  <c r="AH148" i="8"/>
  <c r="AG148" i="8"/>
  <c r="AF148" i="8"/>
  <c r="AE148" i="8"/>
  <c r="AD148" i="8"/>
  <c r="AC148" i="8"/>
  <c r="AB148" i="8"/>
  <c r="AA148" i="8"/>
  <c r="Z148" i="8"/>
  <c r="Y148" i="8"/>
  <c r="X148" i="8"/>
  <c r="W148" i="8"/>
  <c r="V148" i="8"/>
  <c r="U148" i="8"/>
  <c r="T148" i="8"/>
  <c r="S148" i="8"/>
  <c r="R148" i="8"/>
  <c r="Q148" i="8"/>
  <c r="P148" i="8"/>
  <c r="O148" i="8"/>
  <c r="N148" i="8"/>
  <c r="M148" i="8"/>
  <c r="L148" i="8"/>
  <c r="K148" i="8"/>
  <c r="J148" i="8"/>
  <c r="I148" i="8"/>
  <c r="H148" i="8"/>
  <c r="G148" i="8"/>
  <c r="F148" i="8"/>
  <c r="E148" i="8"/>
  <c r="D148" i="8"/>
  <c r="AJ147" i="8"/>
  <c r="AI147" i="8"/>
  <c r="AH147" i="8"/>
  <c r="AG147" i="8"/>
  <c r="AF147" i="8"/>
  <c r="AE147" i="8"/>
  <c r="AD147" i="8"/>
  <c r="AC147" i="8"/>
  <c r="AB147" i="8"/>
  <c r="AA147" i="8"/>
  <c r="Z147" i="8"/>
  <c r="Y147" i="8"/>
  <c r="X147" i="8"/>
  <c r="W147" i="8"/>
  <c r="V147" i="8"/>
  <c r="U147" i="8"/>
  <c r="T147" i="8"/>
  <c r="S147" i="8"/>
  <c r="R147" i="8"/>
  <c r="Q147" i="8"/>
  <c r="P147" i="8"/>
  <c r="O147" i="8"/>
  <c r="N147" i="8"/>
  <c r="M147" i="8"/>
  <c r="L147" i="8"/>
  <c r="K147" i="8"/>
  <c r="J147" i="8"/>
  <c r="I147" i="8"/>
  <c r="H147" i="8"/>
  <c r="G147" i="8"/>
  <c r="F147" i="8"/>
  <c r="E147" i="8"/>
  <c r="D147" i="8"/>
  <c r="AJ146" i="8"/>
  <c r="AI146" i="8"/>
  <c r="AH146" i="8"/>
  <c r="AG146" i="8"/>
  <c r="AF146" i="8"/>
  <c r="AE146" i="8"/>
  <c r="AD146" i="8"/>
  <c r="AC146" i="8"/>
  <c r="AB146" i="8"/>
  <c r="AA146" i="8"/>
  <c r="Z146" i="8"/>
  <c r="Y146" i="8"/>
  <c r="X146" i="8"/>
  <c r="W146" i="8"/>
  <c r="V146" i="8"/>
  <c r="U146" i="8"/>
  <c r="T146" i="8"/>
  <c r="S146" i="8"/>
  <c r="R146" i="8"/>
  <c r="Q146" i="8"/>
  <c r="P146" i="8"/>
  <c r="O146" i="8"/>
  <c r="N146" i="8"/>
  <c r="M146" i="8"/>
  <c r="L146" i="8"/>
  <c r="K146" i="8"/>
  <c r="J146" i="8"/>
  <c r="I146" i="8"/>
  <c r="H146" i="8"/>
  <c r="G146" i="8"/>
  <c r="F146" i="8"/>
  <c r="E146" i="8"/>
  <c r="D146" i="8"/>
  <c r="AJ145" i="8"/>
  <c r="AI145" i="8"/>
  <c r="AH145" i="8"/>
  <c r="AG145" i="8"/>
  <c r="AF145" i="8"/>
  <c r="AE145" i="8"/>
  <c r="AD145" i="8"/>
  <c r="AC145" i="8"/>
  <c r="AB145" i="8"/>
  <c r="AA145" i="8"/>
  <c r="Z145" i="8"/>
  <c r="Y145" i="8"/>
  <c r="X145" i="8"/>
  <c r="W145" i="8"/>
  <c r="V145" i="8"/>
  <c r="U145" i="8"/>
  <c r="T145" i="8"/>
  <c r="S145" i="8"/>
  <c r="R145" i="8"/>
  <c r="Q145" i="8"/>
  <c r="P145" i="8"/>
  <c r="O145" i="8"/>
  <c r="N145" i="8"/>
  <c r="M145" i="8"/>
  <c r="L145" i="8"/>
  <c r="K145" i="8"/>
  <c r="J145" i="8"/>
  <c r="I145" i="8"/>
  <c r="H145" i="8"/>
  <c r="G145" i="8"/>
  <c r="F145" i="8"/>
  <c r="E145" i="8"/>
  <c r="D145" i="8"/>
  <c r="AJ144" i="8"/>
  <c r="AI144" i="8"/>
  <c r="AH144" i="8"/>
  <c r="AG144" i="8"/>
  <c r="AF144" i="8"/>
  <c r="AE144" i="8"/>
  <c r="AD144" i="8"/>
  <c r="AC144" i="8"/>
  <c r="AB144" i="8"/>
  <c r="AA144" i="8"/>
  <c r="Z144" i="8"/>
  <c r="Y144" i="8"/>
  <c r="X144" i="8"/>
  <c r="W144" i="8"/>
  <c r="V144" i="8"/>
  <c r="U144" i="8"/>
  <c r="T144" i="8"/>
  <c r="S144" i="8"/>
  <c r="R144" i="8"/>
  <c r="Q144" i="8"/>
  <c r="P144" i="8"/>
  <c r="O144" i="8"/>
  <c r="N144" i="8"/>
  <c r="M144" i="8"/>
  <c r="L144" i="8"/>
  <c r="K144" i="8"/>
  <c r="J144" i="8"/>
  <c r="I144" i="8"/>
  <c r="H144" i="8"/>
  <c r="G144" i="8"/>
  <c r="F144" i="8"/>
  <c r="E144" i="8"/>
  <c r="D144" i="8"/>
  <c r="AJ143" i="8"/>
  <c r="AI143" i="8"/>
  <c r="AH143" i="8"/>
  <c r="AG143" i="8"/>
  <c r="AF143" i="8"/>
  <c r="AE143" i="8"/>
  <c r="AD143" i="8"/>
  <c r="AC143" i="8"/>
  <c r="AB143" i="8"/>
  <c r="AA143" i="8"/>
  <c r="Z143" i="8"/>
  <c r="Y143" i="8"/>
  <c r="X143" i="8"/>
  <c r="W143" i="8"/>
  <c r="V143" i="8"/>
  <c r="U143" i="8"/>
  <c r="T143" i="8"/>
  <c r="S143" i="8"/>
  <c r="R143" i="8"/>
  <c r="Q143" i="8"/>
  <c r="P143" i="8"/>
  <c r="O143" i="8"/>
  <c r="N143" i="8"/>
  <c r="M143" i="8"/>
  <c r="L143" i="8"/>
  <c r="K143" i="8"/>
  <c r="J143" i="8"/>
  <c r="I143" i="8"/>
  <c r="H143" i="8"/>
  <c r="G143" i="8"/>
  <c r="F143" i="8"/>
  <c r="E143" i="8"/>
  <c r="D143" i="8"/>
  <c r="AJ142" i="8"/>
  <c r="AI142" i="8"/>
  <c r="AH142" i="8"/>
  <c r="AG142" i="8"/>
  <c r="AF142" i="8"/>
  <c r="AE142" i="8"/>
  <c r="AD142" i="8"/>
  <c r="AC142" i="8"/>
  <c r="AB142" i="8"/>
  <c r="AA142" i="8"/>
  <c r="Z142" i="8"/>
  <c r="Y142" i="8"/>
  <c r="X142" i="8"/>
  <c r="W142" i="8"/>
  <c r="V142" i="8"/>
  <c r="U142" i="8"/>
  <c r="T142" i="8"/>
  <c r="S142" i="8"/>
  <c r="R142" i="8"/>
  <c r="Q142" i="8"/>
  <c r="P142" i="8"/>
  <c r="O142" i="8"/>
  <c r="N142" i="8"/>
  <c r="M142" i="8"/>
  <c r="L142" i="8"/>
  <c r="K142" i="8"/>
  <c r="J142" i="8"/>
  <c r="I142" i="8"/>
  <c r="H142" i="8"/>
  <c r="G142" i="8"/>
  <c r="F142" i="8"/>
  <c r="E142" i="8"/>
  <c r="D142" i="8"/>
  <c r="AJ141" i="8"/>
  <c r="AI141" i="8"/>
  <c r="AH141" i="8"/>
  <c r="AG141" i="8"/>
  <c r="AF141" i="8"/>
  <c r="AE141" i="8"/>
  <c r="AD141" i="8"/>
  <c r="AC141" i="8"/>
  <c r="AB141" i="8"/>
  <c r="AA141" i="8"/>
  <c r="Z141" i="8"/>
  <c r="Y141" i="8"/>
  <c r="X141" i="8"/>
  <c r="W141" i="8"/>
  <c r="V141" i="8"/>
  <c r="U141" i="8"/>
  <c r="T141" i="8"/>
  <c r="S141" i="8"/>
  <c r="R141" i="8"/>
  <c r="Q141" i="8"/>
  <c r="P141" i="8"/>
  <c r="O141" i="8"/>
  <c r="N141" i="8"/>
  <c r="M141" i="8"/>
  <c r="L141" i="8"/>
  <c r="K141" i="8"/>
  <c r="J141" i="8"/>
  <c r="I141" i="8"/>
  <c r="H141" i="8"/>
  <c r="G141" i="8"/>
  <c r="F141" i="8"/>
  <c r="E141" i="8"/>
  <c r="D141" i="8"/>
  <c r="AJ140" i="8"/>
  <c r="AI140" i="8"/>
  <c r="AH140" i="8"/>
  <c r="AG140" i="8"/>
  <c r="AF140" i="8"/>
  <c r="AE140" i="8"/>
  <c r="AD140" i="8"/>
  <c r="AC140" i="8"/>
  <c r="AB140" i="8"/>
  <c r="AA140" i="8"/>
  <c r="Z140" i="8"/>
  <c r="Y140" i="8"/>
  <c r="X140" i="8"/>
  <c r="W140" i="8"/>
  <c r="V140" i="8"/>
  <c r="U140" i="8"/>
  <c r="T140" i="8"/>
  <c r="S140" i="8"/>
  <c r="R140" i="8"/>
  <c r="Q140" i="8"/>
  <c r="P140" i="8"/>
  <c r="O140" i="8"/>
  <c r="N140" i="8"/>
  <c r="M140" i="8"/>
  <c r="L140" i="8"/>
  <c r="K140" i="8"/>
  <c r="J140" i="8"/>
  <c r="I140" i="8"/>
  <c r="H140" i="8"/>
  <c r="G140" i="8"/>
  <c r="F140" i="8"/>
  <c r="E140" i="8"/>
  <c r="D140" i="8"/>
  <c r="AJ139" i="8"/>
  <c r="AI139" i="8"/>
  <c r="AH139" i="8"/>
  <c r="AG139" i="8"/>
  <c r="AF139" i="8"/>
  <c r="AE139" i="8"/>
  <c r="AD139" i="8"/>
  <c r="AC139" i="8"/>
  <c r="AB139" i="8"/>
  <c r="AA139" i="8"/>
  <c r="Z139" i="8"/>
  <c r="Y139" i="8"/>
  <c r="X139" i="8"/>
  <c r="W139" i="8"/>
  <c r="V139" i="8"/>
  <c r="U139" i="8"/>
  <c r="T139" i="8"/>
  <c r="S139" i="8"/>
  <c r="R139" i="8"/>
  <c r="Q139" i="8"/>
  <c r="P139" i="8"/>
  <c r="O139" i="8"/>
  <c r="N139" i="8"/>
  <c r="M139" i="8"/>
  <c r="L139" i="8"/>
  <c r="K139" i="8"/>
  <c r="J139" i="8"/>
  <c r="I139" i="8"/>
  <c r="H139" i="8"/>
  <c r="G139" i="8"/>
  <c r="F139" i="8"/>
  <c r="E139" i="8"/>
  <c r="D139" i="8"/>
  <c r="AJ138" i="8"/>
  <c r="AI138" i="8"/>
  <c r="AH138" i="8"/>
  <c r="AG138" i="8"/>
  <c r="AF138" i="8"/>
  <c r="AE138" i="8"/>
  <c r="AD138" i="8"/>
  <c r="AC138" i="8"/>
  <c r="AB138" i="8"/>
  <c r="AA138" i="8"/>
  <c r="Z138" i="8"/>
  <c r="Y138" i="8"/>
  <c r="X138" i="8"/>
  <c r="W138" i="8"/>
  <c r="V138" i="8"/>
  <c r="U138" i="8"/>
  <c r="T138" i="8"/>
  <c r="S138" i="8"/>
  <c r="R138" i="8"/>
  <c r="Q138" i="8"/>
  <c r="P138" i="8"/>
  <c r="O138" i="8"/>
  <c r="N138" i="8"/>
  <c r="M138" i="8"/>
  <c r="L138" i="8"/>
  <c r="K138" i="8"/>
  <c r="J138" i="8"/>
  <c r="I138" i="8"/>
  <c r="H138" i="8"/>
  <c r="G138" i="8"/>
  <c r="F138" i="8"/>
  <c r="E138" i="8"/>
  <c r="D138" i="8"/>
  <c r="AJ137" i="8"/>
  <c r="AI137" i="8"/>
  <c r="AH137" i="8"/>
  <c r="AG137" i="8"/>
  <c r="AF137" i="8"/>
  <c r="AE137" i="8"/>
  <c r="AD137" i="8"/>
  <c r="AC137" i="8"/>
  <c r="AB137" i="8"/>
  <c r="AA137" i="8"/>
  <c r="Z137" i="8"/>
  <c r="Y137" i="8"/>
  <c r="X137" i="8"/>
  <c r="W137" i="8"/>
  <c r="V137" i="8"/>
  <c r="U137" i="8"/>
  <c r="T137" i="8"/>
  <c r="S137" i="8"/>
  <c r="R137" i="8"/>
  <c r="Q137" i="8"/>
  <c r="P137" i="8"/>
  <c r="O137" i="8"/>
  <c r="N137" i="8"/>
  <c r="M137" i="8"/>
  <c r="L137" i="8"/>
  <c r="K137" i="8"/>
  <c r="J137" i="8"/>
  <c r="I137" i="8"/>
  <c r="H137" i="8"/>
  <c r="G137" i="8"/>
  <c r="F137" i="8"/>
  <c r="E137" i="8"/>
  <c r="D137" i="8"/>
  <c r="AJ136" i="8"/>
  <c r="AI136" i="8"/>
  <c r="AH136" i="8"/>
  <c r="AG136" i="8"/>
  <c r="AF136" i="8"/>
  <c r="AE136" i="8"/>
  <c r="AD136" i="8"/>
  <c r="AC136" i="8"/>
  <c r="AB136" i="8"/>
  <c r="AA136" i="8"/>
  <c r="Z136" i="8"/>
  <c r="Y136" i="8"/>
  <c r="X136" i="8"/>
  <c r="W136" i="8"/>
  <c r="V136" i="8"/>
  <c r="U136" i="8"/>
  <c r="T136" i="8"/>
  <c r="S136" i="8"/>
  <c r="R136" i="8"/>
  <c r="Q136" i="8"/>
  <c r="P136" i="8"/>
  <c r="O136" i="8"/>
  <c r="N136" i="8"/>
  <c r="M136" i="8"/>
  <c r="L136" i="8"/>
  <c r="K136" i="8"/>
  <c r="J136" i="8"/>
  <c r="I136" i="8"/>
  <c r="H136" i="8"/>
  <c r="G136" i="8"/>
  <c r="F136" i="8"/>
  <c r="E136" i="8"/>
  <c r="D136" i="8"/>
  <c r="AJ134" i="8"/>
  <c r="AQ134" i="8" s="1"/>
  <c r="AR70" i="8" s="1"/>
  <c r="AI134" i="8"/>
  <c r="AH134" i="8"/>
  <c r="AG134" i="8"/>
  <c r="AF134" i="8"/>
  <c r="AE134" i="8"/>
  <c r="AD134" i="8"/>
  <c r="AC134" i="8"/>
  <c r="AB134" i="8"/>
  <c r="AA134" i="8"/>
  <c r="Z134" i="8"/>
  <c r="Y134" i="8"/>
  <c r="X134" i="8"/>
  <c r="W134" i="8"/>
  <c r="V134" i="8"/>
  <c r="U134" i="8"/>
  <c r="T134" i="8"/>
  <c r="S134" i="8"/>
  <c r="R134" i="8"/>
  <c r="Q134" i="8"/>
  <c r="P134" i="8"/>
  <c r="O134" i="8"/>
  <c r="N134" i="8"/>
  <c r="M134" i="8"/>
  <c r="L134" i="8"/>
  <c r="K134" i="8"/>
  <c r="J134" i="8"/>
  <c r="I134" i="8"/>
  <c r="H134" i="8"/>
  <c r="G134" i="8"/>
  <c r="F134" i="8"/>
  <c r="E134" i="8"/>
  <c r="D134" i="8"/>
  <c r="AJ133" i="8"/>
  <c r="AQ133" i="8" s="1"/>
  <c r="AI133" i="8"/>
  <c r="AH133" i="8"/>
  <c r="AG133" i="8"/>
  <c r="AF133" i="8"/>
  <c r="AE133" i="8"/>
  <c r="AD133" i="8"/>
  <c r="AC133" i="8"/>
  <c r="AB133" i="8"/>
  <c r="AA133" i="8"/>
  <c r="Z133" i="8"/>
  <c r="Y133" i="8"/>
  <c r="X133" i="8"/>
  <c r="W133" i="8"/>
  <c r="V133" i="8"/>
  <c r="U133" i="8"/>
  <c r="T133" i="8"/>
  <c r="S133" i="8"/>
  <c r="R133" i="8"/>
  <c r="Q133" i="8"/>
  <c r="P133" i="8"/>
  <c r="O133" i="8"/>
  <c r="N133" i="8"/>
  <c r="M133" i="8"/>
  <c r="L133" i="8"/>
  <c r="K133" i="8"/>
  <c r="J133" i="8"/>
  <c r="I133" i="8"/>
  <c r="H133" i="8"/>
  <c r="G133" i="8"/>
  <c r="F133" i="8"/>
  <c r="E133" i="8"/>
  <c r="D133" i="8"/>
  <c r="AJ132" i="8"/>
  <c r="AQ132" i="8" s="1"/>
  <c r="AI132" i="8"/>
  <c r="AH132" i="8"/>
  <c r="AG132" i="8"/>
  <c r="AF132" i="8"/>
  <c r="AE132" i="8"/>
  <c r="AD132" i="8"/>
  <c r="AC132" i="8"/>
  <c r="AB132" i="8"/>
  <c r="AA132" i="8"/>
  <c r="Z132" i="8"/>
  <c r="Y132" i="8"/>
  <c r="X132" i="8"/>
  <c r="W132" i="8"/>
  <c r="V132" i="8"/>
  <c r="U132" i="8"/>
  <c r="T132" i="8"/>
  <c r="S132" i="8"/>
  <c r="R132" i="8"/>
  <c r="Q132" i="8"/>
  <c r="P132" i="8"/>
  <c r="O132" i="8"/>
  <c r="N132" i="8"/>
  <c r="M132" i="8"/>
  <c r="L132" i="8"/>
  <c r="K132" i="8"/>
  <c r="J132" i="8"/>
  <c r="I132" i="8"/>
  <c r="H132" i="8"/>
  <c r="G132" i="8"/>
  <c r="F132" i="8"/>
  <c r="E132" i="8"/>
  <c r="D132" i="8"/>
  <c r="AJ131" i="8"/>
  <c r="AQ131" i="8" s="1"/>
  <c r="AI131" i="8"/>
  <c r="AH131" i="8"/>
  <c r="AG131" i="8"/>
  <c r="AF131" i="8"/>
  <c r="AE131" i="8"/>
  <c r="AD131" i="8"/>
  <c r="AC131" i="8"/>
  <c r="AB131" i="8"/>
  <c r="AA131" i="8"/>
  <c r="Z131" i="8"/>
  <c r="Y131" i="8"/>
  <c r="X131" i="8"/>
  <c r="W131" i="8"/>
  <c r="V131" i="8"/>
  <c r="U131" i="8"/>
  <c r="T131" i="8"/>
  <c r="S131" i="8"/>
  <c r="R131" i="8"/>
  <c r="Q131" i="8"/>
  <c r="P131" i="8"/>
  <c r="O131" i="8"/>
  <c r="N131" i="8"/>
  <c r="M131" i="8"/>
  <c r="L131" i="8"/>
  <c r="K131" i="8"/>
  <c r="J131" i="8"/>
  <c r="I131" i="8"/>
  <c r="H131" i="8"/>
  <c r="G131" i="8"/>
  <c r="F131" i="8"/>
  <c r="E131" i="8"/>
  <c r="D131" i="8"/>
  <c r="AJ130" i="8"/>
  <c r="AQ130" i="8" s="1"/>
  <c r="AI130" i="8"/>
  <c r="AH130" i="8"/>
  <c r="AG130" i="8"/>
  <c r="AF130" i="8"/>
  <c r="AE130" i="8"/>
  <c r="AD130" i="8"/>
  <c r="AC130" i="8"/>
  <c r="AB130" i="8"/>
  <c r="AA130" i="8"/>
  <c r="Z130" i="8"/>
  <c r="Y130" i="8"/>
  <c r="X130" i="8"/>
  <c r="W130" i="8"/>
  <c r="V130" i="8"/>
  <c r="U130" i="8"/>
  <c r="T130" i="8"/>
  <c r="S130" i="8"/>
  <c r="R130" i="8"/>
  <c r="Q130" i="8"/>
  <c r="P130" i="8"/>
  <c r="O130" i="8"/>
  <c r="N130" i="8"/>
  <c r="M130" i="8"/>
  <c r="L130" i="8"/>
  <c r="K130" i="8"/>
  <c r="J130" i="8"/>
  <c r="I130" i="8"/>
  <c r="H130" i="8"/>
  <c r="G130" i="8"/>
  <c r="F130" i="8"/>
  <c r="E130" i="8"/>
  <c r="D130" i="8"/>
  <c r="AJ129" i="8"/>
  <c r="AQ129" i="8" s="1"/>
  <c r="AI129" i="8"/>
  <c r="AH129" i="8"/>
  <c r="AG129" i="8"/>
  <c r="AF129" i="8"/>
  <c r="AE129" i="8"/>
  <c r="AD129" i="8"/>
  <c r="AC129" i="8"/>
  <c r="AB129" i="8"/>
  <c r="AA129" i="8"/>
  <c r="Z129" i="8"/>
  <c r="Y129" i="8"/>
  <c r="X129" i="8"/>
  <c r="W129" i="8"/>
  <c r="V129" i="8"/>
  <c r="U129" i="8"/>
  <c r="T129" i="8"/>
  <c r="S129" i="8"/>
  <c r="R129" i="8"/>
  <c r="Q129" i="8"/>
  <c r="P129" i="8"/>
  <c r="O129" i="8"/>
  <c r="N129" i="8"/>
  <c r="M129" i="8"/>
  <c r="L129" i="8"/>
  <c r="K129" i="8"/>
  <c r="J129" i="8"/>
  <c r="I129" i="8"/>
  <c r="H129" i="8"/>
  <c r="G129" i="8"/>
  <c r="F129" i="8"/>
  <c r="E129" i="8"/>
  <c r="D129" i="8"/>
  <c r="AJ128" i="8"/>
  <c r="AQ128" i="8" s="1"/>
  <c r="AI128" i="8"/>
  <c r="AH128" i="8"/>
  <c r="AG128" i="8"/>
  <c r="AF128" i="8"/>
  <c r="AE128" i="8"/>
  <c r="AD128" i="8"/>
  <c r="AC128" i="8"/>
  <c r="AB128" i="8"/>
  <c r="AA128" i="8"/>
  <c r="Z128" i="8"/>
  <c r="Y128" i="8"/>
  <c r="X128" i="8"/>
  <c r="W128" i="8"/>
  <c r="V128" i="8"/>
  <c r="U128" i="8"/>
  <c r="T128" i="8"/>
  <c r="S128" i="8"/>
  <c r="R128" i="8"/>
  <c r="Q128" i="8"/>
  <c r="P128" i="8"/>
  <c r="O128" i="8"/>
  <c r="N128" i="8"/>
  <c r="M128" i="8"/>
  <c r="L128" i="8"/>
  <c r="K128" i="8"/>
  <c r="J128" i="8"/>
  <c r="I128" i="8"/>
  <c r="H128" i="8"/>
  <c r="G128" i="8"/>
  <c r="F128" i="8"/>
  <c r="E128" i="8"/>
  <c r="D128" i="8"/>
  <c r="AJ127" i="8"/>
  <c r="AQ127" i="8" s="1"/>
  <c r="AI127" i="8"/>
  <c r="AH127" i="8"/>
  <c r="AG127" i="8"/>
  <c r="AF127" i="8"/>
  <c r="AE127" i="8"/>
  <c r="AD127" i="8"/>
  <c r="AC127" i="8"/>
  <c r="AB127" i="8"/>
  <c r="AA127" i="8"/>
  <c r="Z127" i="8"/>
  <c r="Y127" i="8"/>
  <c r="X127" i="8"/>
  <c r="W127" i="8"/>
  <c r="V127" i="8"/>
  <c r="U127" i="8"/>
  <c r="T127" i="8"/>
  <c r="S127" i="8"/>
  <c r="R127" i="8"/>
  <c r="Q127" i="8"/>
  <c r="P127" i="8"/>
  <c r="O127" i="8"/>
  <c r="N127" i="8"/>
  <c r="M127" i="8"/>
  <c r="L127" i="8"/>
  <c r="K127" i="8"/>
  <c r="J127" i="8"/>
  <c r="I127" i="8"/>
  <c r="H127" i="8"/>
  <c r="G127" i="8"/>
  <c r="F127" i="8"/>
  <c r="E127" i="8"/>
  <c r="D127" i="8"/>
  <c r="AJ126" i="8"/>
  <c r="AQ126" i="8" s="1"/>
  <c r="AI126" i="8"/>
  <c r="AH126" i="8"/>
  <c r="AG126" i="8"/>
  <c r="AF126" i="8"/>
  <c r="AE126" i="8"/>
  <c r="AD126" i="8"/>
  <c r="AC126" i="8"/>
  <c r="AB126" i="8"/>
  <c r="AA126" i="8"/>
  <c r="Z126" i="8"/>
  <c r="Y126" i="8"/>
  <c r="X126" i="8"/>
  <c r="W126" i="8"/>
  <c r="V126" i="8"/>
  <c r="U126" i="8"/>
  <c r="T126" i="8"/>
  <c r="S126" i="8"/>
  <c r="R126" i="8"/>
  <c r="Q126" i="8"/>
  <c r="P126" i="8"/>
  <c r="O126" i="8"/>
  <c r="N126" i="8"/>
  <c r="M126" i="8"/>
  <c r="L126" i="8"/>
  <c r="K126" i="8"/>
  <c r="J126" i="8"/>
  <c r="I126" i="8"/>
  <c r="H126" i="8"/>
  <c r="G126" i="8"/>
  <c r="F126" i="8"/>
  <c r="E126" i="8"/>
  <c r="D126" i="8"/>
  <c r="AJ125" i="8"/>
  <c r="AQ125" i="8" s="1"/>
  <c r="AI125" i="8"/>
  <c r="AH125" i="8"/>
  <c r="AG125" i="8"/>
  <c r="AF125" i="8"/>
  <c r="AE125" i="8"/>
  <c r="AD125" i="8"/>
  <c r="AC125" i="8"/>
  <c r="AB125" i="8"/>
  <c r="AA125" i="8"/>
  <c r="Z125" i="8"/>
  <c r="Y125" i="8"/>
  <c r="X125" i="8"/>
  <c r="W125" i="8"/>
  <c r="V125" i="8"/>
  <c r="U125" i="8"/>
  <c r="T125" i="8"/>
  <c r="S125" i="8"/>
  <c r="R125" i="8"/>
  <c r="Q125" i="8"/>
  <c r="P125" i="8"/>
  <c r="O125" i="8"/>
  <c r="N125" i="8"/>
  <c r="M125" i="8"/>
  <c r="L125" i="8"/>
  <c r="K125" i="8"/>
  <c r="J125" i="8"/>
  <c r="I125" i="8"/>
  <c r="H125" i="8"/>
  <c r="G125" i="8"/>
  <c r="F125" i="8"/>
  <c r="E125" i="8"/>
  <c r="D125" i="8"/>
  <c r="AJ124" i="8"/>
  <c r="AQ124" i="8" s="1"/>
  <c r="AR60" i="8" s="1"/>
  <c r="AI124" i="8"/>
  <c r="AH124" i="8"/>
  <c r="AG124" i="8"/>
  <c r="AF124" i="8"/>
  <c r="AE124" i="8"/>
  <c r="AD124" i="8"/>
  <c r="AC124" i="8"/>
  <c r="AB124" i="8"/>
  <c r="AA124" i="8"/>
  <c r="Z124" i="8"/>
  <c r="Y124" i="8"/>
  <c r="X124" i="8"/>
  <c r="W124" i="8"/>
  <c r="V124" i="8"/>
  <c r="U124" i="8"/>
  <c r="T124" i="8"/>
  <c r="S124" i="8"/>
  <c r="R124" i="8"/>
  <c r="Q124" i="8"/>
  <c r="P124" i="8"/>
  <c r="O124" i="8"/>
  <c r="N124" i="8"/>
  <c r="M124" i="8"/>
  <c r="L124" i="8"/>
  <c r="K124" i="8"/>
  <c r="J124" i="8"/>
  <c r="I124" i="8"/>
  <c r="H124" i="8"/>
  <c r="G124" i="8"/>
  <c r="F124" i="8"/>
  <c r="E124" i="8"/>
  <c r="D124" i="8"/>
  <c r="AJ123" i="8"/>
  <c r="AQ123" i="8" s="1"/>
  <c r="AI123" i="8"/>
  <c r="AH123" i="8"/>
  <c r="AG123" i="8"/>
  <c r="AF123" i="8"/>
  <c r="AE123" i="8"/>
  <c r="AD123" i="8"/>
  <c r="AC123" i="8"/>
  <c r="AB123" i="8"/>
  <c r="AA123" i="8"/>
  <c r="Z123" i="8"/>
  <c r="Y123" i="8"/>
  <c r="X123" i="8"/>
  <c r="W123" i="8"/>
  <c r="V123" i="8"/>
  <c r="U123" i="8"/>
  <c r="T123" i="8"/>
  <c r="S123" i="8"/>
  <c r="R123" i="8"/>
  <c r="Q123" i="8"/>
  <c r="P123" i="8"/>
  <c r="O123" i="8"/>
  <c r="N123" i="8"/>
  <c r="M123" i="8"/>
  <c r="L123" i="8"/>
  <c r="K123" i="8"/>
  <c r="J123" i="8"/>
  <c r="I123" i="8"/>
  <c r="H123" i="8"/>
  <c r="G123" i="8"/>
  <c r="F123" i="8"/>
  <c r="E123" i="8"/>
  <c r="D123" i="8"/>
  <c r="AJ122" i="8"/>
  <c r="AQ122" i="8" s="1"/>
  <c r="AR57" i="8" s="1"/>
  <c r="AI122" i="8"/>
  <c r="AH122" i="8"/>
  <c r="AG122" i="8"/>
  <c r="AF122" i="8"/>
  <c r="AE122" i="8"/>
  <c r="AD122" i="8"/>
  <c r="AC122" i="8"/>
  <c r="AB122" i="8"/>
  <c r="AA122" i="8"/>
  <c r="Z122" i="8"/>
  <c r="Y122" i="8"/>
  <c r="X122" i="8"/>
  <c r="W122" i="8"/>
  <c r="V122" i="8"/>
  <c r="U122" i="8"/>
  <c r="T122" i="8"/>
  <c r="S122" i="8"/>
  <c r="R122" i="8"/>
  <c r="Q122" i="8"/>
  <c r="P122" i="8"/>
  <c r="O122" i="8"/>
  <c r="N122" i="8"/>
  <c r="M122" i="8"/>
  <c r="L122" i="8"/>
  <c r="K122" i="8"/>
  <c r="J122" i="8"/>
  <c r="I122" i="8"/>
  <c r="H122" i="8"/>
  <c r="G122" i="8"/>
  <c r="F122" i="8"/>
  <c r="E122" i="8"/>
  <c r="D122" i="8"/>
  <c r="AJ121" i="8"/>
  <c r="AQ121" i="8" s="1"/>
  <c r="AI121" i="8"/>
  <c r="AH121" i="8"/>
  <c r="AG121" i="8"/>
  <c r="AF121" i="8"/>
  <c r="AE121" i="8"/>
  <c r="AD121" i="8"/>
  <c r="AC121" i="8"/>
  <c r="AB121" i="8"/>
  <c r="AA121" i="8"/>
  <c r="Z121" i="8"/>
  <c r="Y121" i="8"/>
  <c r="X121" i="8"/>
  <c r="W121" i="8"/>
  <c r="V121" i="8"/>
  <c r="U121" i="8"/>
  <c r="T121" i="8"/>
  <c r="S121" i="8"/>
  <c r="R121" i="8"/>
  <c r="Q121" i="8"/>
  <c r="P121" i="8"/>
  <c r="O121" i="8"/>
  <c r="N121" i="8"/>
  <c r="M121" i="8"/>
  <c r="L121" i="8"/>
  <c r="K121" i="8"/>
  <c r="J121" i="8"/>
  <c r="I121" i="8"/>
  <c r="H121" i="8"/>
  <c r="G121" i="8"/>
  <c r="F121" i="8"/>
  <c r="E121" i="8"/>
  <c r="D121" i="8"/>
  <c r="AJ120" i="8"/>
  <c r="AQ120" i="8" s="1"/>
  <c r="AI120" i="8"/>
  <c r="AH120" i="8"/>
  <c r="AG120" i="8"/>
  <c r="AF120" i="8"/>
  <c r="AE120" i="8"/>
  <c r="AD120" i="8"/>
  <c r="AC120" i="8"/>
  <c r="AB120" i="8"/>
  <c r="AA120" i="8"/>
  <c r="Z120" i="8"/>
  <c r="Y120" i="8"/>
  <c r="X120" i="8"/>
  <c r="W120" i="8"/>
  <c r="V120" i="8"/>
  <c r="U120" i="8"/>
  <c r="T120" i="8"/>
  <c r="S120" i="8"/>
  <c r="R120" i="8"/>
  <c r="Q120" i="8"/>
  <c r="P120" i="8"/>
  <c r="O120" i="8"/>
  <c r="N120" i="8"/>
  <c r="M120" i="8"/>
  <c r="L120" i="8"/>
  <c r="K120" i="8"/>
  <c r="J120" i="8"/>
  <c r="I120" i="8"/>
  <c r="H120" i="8"/>
  <c r="G120" i="8"/>
  <c r="F120" i="8"/>
  <c r="E120" i="8"/>
  <c r="D120" i="8"/>
  <c r="AJ119" i="8"/>
  <c r="AQ119" i="8" s="1"/>
  <c r="AI119" i="8"/>
  <c r="AH119" i="8"/>
  <c r="AG119" i="8"/>
  <c r="AF119" i="8"/>
  <c r="AE119" i="8"/>
  <c r="AD119" i="8"/>
  <c r="AC119" i="8"/>
  <c r="AB119" i="8"/>
  <c r="AA119" i="8"/>
  <c r="Z119" i="8"/>
  <c r="Y119" i="8"/>
  <c r="X119" i="8"/>
  <c r="W119" i="8"/>
  <c r="V119" i="8"/>
  <c r="U119" i="8"/>
  <c r="T119" i="8"/>
  <c r="S119" i="8"/>
  <c r="R119" i="8"/>
  <c r="Q119" i="8"/>
  <c r="P119" i="8"/>
  <c r="O119" i="8"/>
  <c r="N119" i="8"/>
  <c r="M119" i="8"/>
  <c r="L119" i="8"/>
  <c r="K119" i="8"/>
  <c r="J119" i="8"/>
  <c r="I119" i="8"/>
  <c r="H119" i="8"/>
  <c r="G119" i="8"/>
  <c r="F119" i="8"/>
  <c r="E119" i="8"/>
  <c r="D119" i="8"/>
  <c r="AJ118" i="8"/>
  <c r="AQ118" i="8" s="1"/>
  <c r="AI118" i="8"/>
  <c r="AH118" i="8"/>
  <c r="AG118" i="8"/>
  <c r="AF118" i="8"/>
  <c r="AE118" i="8"/>
  <c r="AD118" i="8"/>
  <c r="AC118" i="8"/>
  <c r="AB118" i="8"/>
  <c r="AA118" i="8"/>
  <c r="Z118" i="8"/>
  <c r="Y118" i="8"/>
  <c r="X118" i="8"/>
  <c r="W118" i="8"/>
  <c r="V118" i="8"/>
  <c r="U118" i="8"/>
  <c r="T118" i="8"/>
  <c r="S118" i="8"/>
  <c r="R118" i="8"/>
  <c r="Q118" i="8"/>
  <c r="P118" i="8"/>
  <c r="O118" i="8"/>
  <c r="N118" i="8"/>
  <c r="M118" i="8"/>
  <c r="L118" i="8"/>
  <c r="K118" i="8"/>
  <c r="J118" i="8"/>
  <c r="I118" i="8"/>
  <c r="H118" i="8"/>
  <c r="G118" i="8"/>
  <c r="F118" i="8"/>
  <c r="E118" i="8"/>
  <c r="D118" i="8"/>
  <c r="AJ117" i="8"/>
  <c r="AQ117" i="8" s="1"/>
  <c r="AI117" i="8"/>
  <c r="AH117" i="8"/>
  <c r="AG117" i="8"/>
  <c r="AF117" i="8"/>
  <c r="AE117" i="8"/>
  <c r="AD117" i="8"/>
  <c r="AC117" i="8"/>
  <c r="AB117" i="8"/>
  <c r="AA117" i="8"/>
  <c r="Z117" i="8"/>
  <c r="Y117" i="8"/>
  <c r="X117" i="8"/>
  <c r="W117" i="8"/>
  <c r="V117" i="8"/>
  <c r="U117" i="8"/>
  <c r="T117" i="8"/>
  <c r="S117" i="8"/>
  <c r="R117" i="8"/>
  <c r="Q117" i="8"/>
  <c r="P117" i="8"/>
  <c r="O117" i="8"/>
  <c r="N117" i="8"/>
  <c r="M117" i="8"/>
  <c r="L117" i="8"/>
  <c r="K117" i="8"/>
  <c r="J117" i="8"/>
  <c r="I117" i="8"/>
  <c r="H117" i="8"/>
  <c r="G117" i="8"/>
  <c r="F117" i="8"/>
  <c r="E117" i="8"/>
  <c r="D117" i="8"/>
  <c r="AJ116" i="8"/>
  <c r="AQ116" i="8" s="1"/>
  <c r="AI116" i="8"/>
  <c r="AH116" i="8"/>
  <c r="AG116" i="8"/>
  <c r="AF116" i="8"/>
  <c r="AE116" i="8"/>
  <c r="AD116" i="8"/>
  <c r="AC116" i="8"/>
  <c r="AB116" i="8"/>
  <c r="AA116" i="8"/>
  <c r="Z116" i="8"/>
  <c r="Y116" i="8"/>
  <c r="X116" i="8"/>
  <c r="W116" i="8"/>
  <c r="V116" i="8"/>
  <c r="U116" i="8"/>
  <c r="T116" i="8"/>
  <c r="S116" i="8"/>
  <c r="R116" i="8"/>
  <c r="Q116" i="8"/>
  <c r="P116" i="8"/>
  <c r="O116" i="8"/>
  <c r="N116" i="8"/>
  <c r="M116" i="8"/>
  <c r="L116" i="8"/>
  <c r="K116" i="8"/>
  <c r="J116" i="8"/>
  <c r="I116" i="8"/>
  <c r="H116" i="8"/>
  <c r="G116" i="8"/>
  <c r="F116" i="8"/>
  <c r="E116" i="8"/>
  <c r="D116" i="8"/>
  <c r="AJ115" i="8"/>
  <c r="AQ115" i="8" s="1"/>
  <c r="AI115" i="8"/>
  <c r="AH115" i="8"/>
  <c r="AG115" i="8"/>
  <c r="AF115" i="8"/>
  <c r="AE115" i="8"/>
  <c r="AD115" i="8"/>
  <c r="AC115" i="8"/>
  <c r="AB115" i="8"/>
  <c r="AA115" i="8"/>
  <c r="Z115" i="8"/>
  <c r="Y115" i="8"/>
  <c r="X115" i="8"/>
  <c r="W115" i="8"/>
  <c r="V115" i="8"/>
  <c r="U115" i="8"/>
  <c r="T115" i="8"/>
  <c r="S115" i="8"/>
  <c r="R115" i="8"/>
  <c r="Q115" i="8"/>
  <c r="P115" i="8"/>
  <c r="O115" i="8"/>
  <c r="N115" i="8"/>
  <c r="M115" i="8"/>
  <c r="L115" i="8"/>
  <c r="K115" i="8"/>
  <c r="J115" i="8"/>
  <c r="I115" i="8"/>
  <c r="H115" i="8"/>
  <c r="G115" i="8"/>
  <c r="F115" i="8"/>
  <c r="E115" i="8"/>
  <c r="D115" i="8"/>
  <c r="AJ114" i="8"/>
  <c r="AQ114" i="8" s="1"/>
  <c r="AI114" i="8"/>
  <c r="AH114" i="8"/>
  <c r="AG114" i="8"/>
  <c r="AF114" i="8"/>
  <c r="AE114" i="8"/>
  <c r="AD114" i="8"/>
  <c r="AC114" i="8"/>
  <c r="AB114" i="8"/>
  <c r="AA114" i="8"/>
  <c r="Z114" i="8"/>
  <c r="Y114" i="8"/>
  <c r="X114" i="8"/>
  <c r="W114" i="8"/>
  <c r="V114" i="8"/>
  <c r="U114" i="8"/>
  <c r="T114" i="8"/>
  <c r="S114" i="8"/>
  <c r="R114" i="8"/>
  <c r="Q114" i="8"/>
  <c r="P114" i="8"/>
  <c r="O114" i="8"/>
  <c r="N114" i="8"/>
  <c r="M114" i="8"/>
  <c r="L114" i="8"/>
  <c r="K114" i="8"/>
  <c r="J114" i="8"/>
  <c r="I114" i="8"/>
  <c r="H114" i="8"/>
  <c r="G114" i="8"/>
  <c r="F114" i="8"/>
  <c r="E114" i="8"/>
  <c r="D114" i="8"/>
  <c r="AJ113" i="8"/>
  <c r="AQ113" i="8" s="1"/>
  <c r="AI113" i="8"/>
  <c r="AH113" i="8"/>
  <c r="AG113" i="8"/>
  <c r="AF113" i="8"/>
  <c r="AE113" i="8"/>
  <c r="AD113" i="8"/>
  <c r="AC113" i="8"/>
  <c r="AB113" i="8"/>
  <c r="AA113" i="8"/>
  <c r="Z113" i="8"/>
  <c r="Y113" i="8"/>
  <c r="X113" i="8"/>
  <c r="W113" i="8"/>
  <c r="V113" i="8"/>
  <c r="U113" i="8"/>
  <c r="T113" i="8"/>
  <c r="S113" i="8"/>
  <c r="R113" i="8"/>
  <c r="Q113" i="8"/>
  <c r="P113" i="8"/>
  <c r="O113" i="8"/>
  <c r="N113" i="8"/>
  <c r="M113" i="8"/>
  <c r="L113" i="8"/>
  <c r="K113" i="8"/>
  <c r="J113" i="8"/>
  <c r="I113" i="8"/>
  <c r="H113" i="8"/>
  <c r="G113" i="8"/>
  <c r="F113" i="8"/>
  <c r="E113" i="8"/>
  <c r="D113" i="8"/>
  <c r="AQ112" i="8"/>
  <c r="AJ112" i="8"/>
  <c r="AI112" i="8"/>
  <c r="AH112" i="8"/>
  <c r="AG112" i="8"/>
  <c r="AF112" i="8"/>
  <c r="AE112" i="8"/>
  <c r="AD112" i="8"/>
  <c r="AC112" i="8"/>
  <c r="AB112" i="8"/>
  <c r="AA112" i="8"/>
  <c r="Z112" i="8"/>
  <c r="Y112" i="8"/>
  <c r="X112" i="8"/>
  <c r="W112" i="8"/>
  <c r="V112" i="8"/>
  <c r="U112" i="8"/>
  <c r="T112" i="8"/>
  <c r="S112" i="8"/>
  <c r="R112" i="8"/>
  <c r="Q112" i="8"/>
  <c r="P112" i="8"/>
  <c r="O112" i="8"/>
  <c r="N112" i="8"/>
  <c r="M112" i="8"/>
  <c r="L112" i="8"/>
  <c r="K112" i="8"/>
  <c r="J112" i="8"/>
  <c r="I112" i="8"/>
  <c r="H112" i="8"/>
  <c r="G112" i="8"/>
  <c r="F112" i="8"/>
  <c r="E112" i="8"/>
  <c r="D112" i="8"/>
  <c r="AJ111" i="8"/>
  <c r="AQ111" i="8" s="1"/>
  <c r="AI111" i="8"/>
  <c r="AH111" i="8"/>
  <c r="AG111" i="8"/>
  <c r="AF111" i="8"/>
  <c r="AE111" i="8"/>
  <c r="AD111" i="8"/>
  <c r="AC111" i="8"/>
  <c r="AB111" i="8"/>
  <c r="AA111" i="8"/>
  <c r="Z111" i="8"/>
  <c r="Y111" i="8"/>
  <c r="X111" i="8"/>
  <c r="W111" i="8"/>
  <c r="V111" i="8"/>
  <c r="U111" i="8"/>
  <c r="T111" i="8"/>
  <c r="S111" i="8"/>
  <c r="R111" i="8"/>
  <c r="Q111" i="8"/>
  <c r="P111" i="8"/>
  <c r="O111" i="8"/>
  <c r="N111" i="8"/>
  <c r="M111" i="8"/>
  <c r="L111" i="8"/>
  <c r="K111" i="8"/>
  <c r="J111" i="8"/>
  <c r="I111" i="8"/>
  <c r="H111" i="8"/>
  <c r="G111" i="8"/>
  <c r="F111" i="8"/>
  <c r="E111" i="8"/>
  <c r="D111" i="8"/>
  <c r="AJ110" i="8"/>
  <c r="AQ110" i="8" s="1"/>
  <c r="AI110" i="8"/>
  <c r="AH110" i="8"/>
  <c r="AG110" i="8"/>
  <c r="AF110" i="8"/>
  <c r="AE110" i="8"/>
  <c r="AD110" i="8"/>
  <c r="AC110" i="8"/>
  <c r="AB110" i="8"/>
  <c r="AA110" i="8"/>
  <c r="Z110" i="8"/>
  <c r="Y110" i="8"/>
  <c r="X110" i="8"/>
  <c r="W110" i="8"/>
  <c r="V110" i="8"/>
  <c r="U110" i="8"/>
  <c r="T110" i="8"/>
  <c r="S110" i="8"/>
  <c r="R110" i="8"/>
  <c r="Q110" i="8"/>
  <c r="P110" i="8"/>
  <c r="O110" i="8"/>
  <c r="N110" i="8"/>
  <c r="M110" i="8"/>
  <c r="L110" i="8"/>
  <c r="K110" i="8"/>
  <c r="J110" i="8"/>
  <c r="I110" i="8"/>
  <c r="H110" i="8"/>
  <c r="G110" i="8"/>
  <c r="F110" i="8"/>
  <c r="E110" i="8"/>
  <c r="D110" i="8"/>
  <c r="AJ109" i="8"/>
  <c r="AQ109" i="8" s="1"/>
  <c r="AI109" i="8"/>
  <c r="AH109" i="8"/>
  <c r="AG109" i="8"/>
  <c r="AF109" i="8"/>
  <c r="AE109" i="8"/>
  <c r="AD109" i="8"/>
  <c r="AC109" i="8"/>
  <c r="AB109" i="8"/>
  <c r="AA109" i="8"/>
  <c r="Z109" i="8"/>
  <c r="Y109" i="8"/>
  <c r="X109" i="8"/>
  <c r="W109" i="8"/>
  <c r="V109" i="8"/>
  <c r="U109" i="8"/>
  <c r="T109" i="8"/>
  <c r="S109" i="8"/>
  <c r="R109" i="8"/>
  <c r="Q109" i="8"/>
  <c r="P109" i="8"/>
  <c r="O109" i="8"/>
  <c r="N109" i="8"/>
  <c r="M109" i="8"/>
  <c r="L109" i="8"/>
  <c r="K109" i="8"/>
  <c r="J109" i="8"/>
  <c r="I109" i="8"/>
  <c r="H109" i="8"/>
  <c r="G109" i="8"/>
  <c r="F109" i="8"/>
  <c r="E109" i="8"/>
  <c r="D109" i="8"/>
  <c r="AJ108" i="8"/>
  <c r="AQ108" i="8" s="1"/>
  <c r="AI108" i="8"/>
  <c r="AH108" i="8"/>
  <c r="AG108" i="8"/>
  <c r="AF108" i="8"/>
  <c r="AE108" i="8"/>
  <c r="AD108" i="8"/>
  <c r="AC108" i="8"/>
  <c r="AB108" i="8"/>
  <c r="AA108" i="8"/>
  <c r="Z108" i="8"/>
  <c r="Y108" i="8"/>
  <c r="X108" i="8"/>
  <c r="W108" i="8"/>
  <c r="V108" i="8"/>
  <c r="U108" i="8"/>
  <c r="T108" i="8"/>
  <c r="S108" i="8"/>
  <c r="R108" i="8"/>
  <c r="Q108" i="8"/>
  <c r="P108" i="8"/>
  <c r="O108" i="8"/>
  <c r="N108" i="8"/>
  <c r="M108" i="8"/>
  <c r="L108" i="8"/>
  <c r="K108" i="8"/>
  <c r="J108" i="8"/>
  <c r="I108" i="8"/>
  <c r="H108" i="8"/>
  <c r="G108" i="8"/>
  <c r="F108" i="8"/>
  <c r="E108" i="8"/>
  <c r="D108" i="8"/>
  <c r="AJ107" i="8"/>
  <c r="AQ107" i="8" s="1"/>
  <c r="AI107" i="8"/>
  <c r="AH107" i="8"/>
  <c r="AG107" i="8"/>
  <c r="AF107" i="8"/>
  <c r="AE107" i="8"/>
  <c r="AD107" i="8"/>
  <c r="AC107" i="8"/>
  <c r="AB107" i="8"/>
  <c r="AA107" i="8"/>
  <c r="Z107" i="8"/>
  <c r="Y107" i="8"/>
  <c r="X107" i="8"/>
  <c r="W107" i="8"/>
  <c r="V107" i="8"/>
  <c r="U107" i="8"/>
  <c r="T107" i="8"/>
  <c r="S107" i="8"/>
  <c r="R107" i="8"/>
  <c r="Q107" i="8"/>
  <c r="P107" i="8"/>
  <c r="O107" i="8"/>
  <c r="N107" i="8"/>
  <c r="M107" i="8"/>
  <c r="L107" i="8"/>
  <c r="K107" i="8"/>
  <c r="J107" i="8"/>
  <c r="I107" i="8"/>
  <c r="H107" i="8"/>
  <c r="G107" i="8"/>
  <c r="F107" i="8"/>
  <c r="E107" i="8"/>
  <c r="D107" i="8"/>
  <c r="AJ106" i="8"/>
  <c r="AQ106" i="8" s="1"/>
  <c r="AI106" i="8"/>
  <c r="AH106" i="8"/>
  <c r="AG106" i="8"/>
  <c r="AF106" i="8"/>
  <c r="AE106" i="8"/>
  <c r="AD106" i="8"/>
  <c r="AC106" i="8"/>
  <c r="AB106" i="8"/>
  <c r="AA106" i="8"/>
  <c r="Z106" i="8"/>
  <c r="Y106" i="8"/>
  <c r="X106" i="8"/>
  <c r="W106" i="8"/>
  <c r="V106" i="8"/>
  <c r="U106" i="8"/>
  <c r="T106" i="8"/>
  <c r="S106" i="8"/>
  <c r="R106" i="8"/>
  <c r="Q106" i="8"/>
  <c r="P106" i="8"/>
  <c r="O106" i="8"/>
  <c r="N106" i="8"/>
  <c r="M106" i="8"/>
  <c r="L106" i="8"/>
  <c r="K106" i="8"/>
  <c r="J106" i="8"/>
  <c r="I106" i="8"/>
  <c r="H106" i="8"/>
  <c r="G106" i="8"/>
  <c r="F106" i="8"/>
  <c r="E106" i="8"/>
  <c r="D106" i="8"/>
  <c r="AJ105" i="8"/>
  <c r="AQ105" i="8" s="1"/>
  <c r="AI105" i="8"/>
  <c r="AH105" i="8"/>
  <c r="AG105" i="8"/>
  <c r="AF105" i="8"/>
  <c r="AE105" i="8"/>
  <c r="AD105" i="8"/>
  <c r="AC105" i="8"/>
  <c r="AB105" i="8"/>
  <c r="AA105" i="8"/>
  <c r="Z105" i="8"/>
  <c r="Y105" i="8"/>
  <c r="X105" i="8"/>
  <c r="W105" i="8"/>
  <c r="V105" i="8"/>
  <c r="U105" i="8"/>
  <c r="T105" i="8"/>
  <c r="S105" i="8"/>
  <c r="R105" i="8"/>
  <c r="Q105" i="8"/>
  <c r="P105" i="8"/>
  <c r="O105" i="8"/>
  <c r="N105" i="8"/>
  <c r="M105" i="8"/>
  <c r="L105" i="8"/>
  <c r="K105" i="8"/>
  <c r="J105" i="8"/>
  <c r="I105" i="8"/>
  <c r="H105" i="8"/>
  <c r="G105" i="8"/>
  <c r="F105" i="8"/>
  <c r="E105" i="8"/>
  <c r="D105" i="8"/>
  <c r="AJ104" i="8"/>
  <c r="AQ104" i="8" s="1"/>
  <c r="AI104" i="8"/>
  <c r="AH104" i="8"/>
  <c r="AG104" i="8"/>
  <c r="AF104" i="8"/>
  <c r="AE104" i="8"/>
  <c r="AD104" i="8"/>
  <c r="AC104" i="8"/>
  <c r="AB104" i="8"/>
  <c r="AA104" i="8"/>
  <c r="Z104" i="8"/>
  <c r="Y104" i="8"/>
  <c r="X104" i="8"/>
  <c r="W104" i="8"/>
  <c r="V104" i="8"/>
  <c r="U104" i="8"/>
  <c r="T104" i="8"/>
  <c r="S104" i="8"/>
  <c r="R104" i="8"/>
  <c r="Q104" i="8"/>
  <c r="P104" i="8"/>
  <c r="O104" i="8"/>
  <c r="N104" i="8"/>
  <c r="M104" i="8"/>
  <c r="L104" i="8"/>
  <c r="K104" i="8"/>
  <c r="J104" i="8"/>
  <c r="I104" i="8"/>
  <c r="H104" i="8"/>
  <c r="G104" i="8"/>
  <c r="F104" i="8"/>
  <c r="E104" i="8"/>
  <c r="D104" i="8"/>
  <c r="AJ103" i="8"/>
  <c r="AQ103" i="8" s="1"/>
  <c r="AI103" i="8"/>
  <c r="AH103" i="8"/>
  <c r="AG103" i="8"/>
  <c r="AF103" i="8"/>
  <c r="AE103" i="8"/>
  <c r="AD103" i="8"/>
  <c r="AC103" i="8"/>
  <c r="AB103" i="8"/>
  <c r="AA103" i="8"/>
  <c r="Z103" i="8"/>
  <c r="Y103" i="8"/>
  <c r="X103" i="8"/>
  <c r="W103" i="8"/>
  <c r="V103" i="8"/>
  <c r="U103" i="8"/>
  <c r="T103" i="8"/>
  <c r="S103" i="8"/>
  <c r="R103" i="8"/>
  <c r="Q103" i="8"/>
  <c r="P103" i="8"/>
  <c r="O103" i="8"/>
  <c r="N103" i="8"/>
  <c r="M103" i="8"/>
  <c r="L103" i="8"/>
  <c r="K103" i="8"/>
  <c r="J103" i="8"/>
  <c r="I103" i="8"/>
  <c r="H103" i="8"/>
  <c r="G103" i="8"/>
  <c r="F103" i="8"/>
  <c r="E103" i="8"/>
  <c r="D103" i="8"/>
  <c r="AJ102" i="8"/>
  <c r="AI102" i="8"/>
  <c r="AH102" i="8"/>
  <c r="AG102" i="8"/>
  <c r="AF102" i="8"/>
  <c r="AE102" i="8"/>
  <c r="AD102" i="8"/>
  <c r="AC102" i="8"/>
  <c r="AB102" i="8"/>
  <c r="AA102" i="8"/>
  <c r="Z102" i="8"/>
  <c r="Y102" i="8"/>
  <c r="X102" i="8"/>
  <c r="W102" i="8"/>
  <c r="V102" i="8"/>
  <c r="U102" i="8"/>
  <c r="T102" i="8"/>
  <c r="S102" i="8"/>
  <c r="R102" i="8"/>
  <c r="Q102" i="8"/>
  <c r="P102" i="8"/>
  <c r="O102" i="8"/>
  <c r="N102" i="8"/>
  <c r="M102" i="8"/>
  <c r="L102" i="8"/>
  <c r="K102" i="8"/>
  <c r="J102" i="8"/>
  <c r="I102" i="8"/>
  <c r="H102" i="8"/>
  <c r="G102" i="8"/>
  <c r="F102" i="8"/>
  <c r="E102" i="8"/>
  <c r="D102" i="8"/>
  <c r="AJ101" i="8"/>
  <c r="AI101" i="8"/>
  <c r="AH101" i="8"/>
  <c r="AG101" i="8"/>
  <c r="AF101" i="8"/>
  <c r="AE101" i="8"/>
  <c r="AD101" i="8"/>
  <c r="AC101" i="8"/>
  <c r="AB101" i="8"/>
  <c r="AA101" i="8"/>
  <c r="Z101" i="8"/>
  <c r="Y101" i="8"/>
  <c r="X101" i="8"/>
  <c r="W101" i="8"/>
  <c r="V101" i="8"/>
  <c r="U101" i="8"/>
  <c r="T101" i="8"/>
  <c r="S101" i="8"/>
  <c r="R101" i="8"/>
  <c r="Q101" i="8"/>
  <c r="P101" i="8"/>
  <c r="O101" i="8"/>
  <c r="N101" i="8"/>
  <c r="M101" i="8"/>
  <c r="L101" i="8"/>
  <c r="K101" i="8"/>
  <c r="J101" i="8"/>
  <c r="I101" i="8"/>
  <c r="H101" i="8"/>
  <c r="G101" i="8"/>
  <c r="F101" i="8"/>
  <c r="E101" i="8"/>
  <c r="D101" i="8"/>
  <c r="AJ100" i="8"/>
  <c r="AI100" i="8"/>
  <c r="AH100" i="8"/>
  <c r="AG100" i="8"/>
  <c r="AF100" i="8"/>
  <c r="AE100" i="8"/>
  <c r="AD100" i="8"/>
  <c r="AC100" i="8"/>
  <c r="AB100" i="8"/>
  <c r="AA100" i="8"/>
  <c r="Z100" i="8"/>
  <c r="Y100" i="8"/>
  <c r="X100" i="8"/>
  <c r="W100" i="8"/>
  <c r="V100" i="8"/>
  <c r="U100" i="8"/>
  <c r="T100" i="8"/>
  <c r="S100" i="8"/>
  <c r="R100" i="8"/>
  <c r="Q100" i="8"/>
  <c r="P100" i="8"/>
  <c r="O100" i="8"/>
  <c r="N100" i="8"/>
  <c r="M100" i="8"/>
  <c r="L100" i="8"/>
  <c r="K100" i="8"/>
  <c r="J100" i="8"/>
  <c r="I100" i="8"/>
  <c r="H100" i="8"/>
  <c r="G100" i="8"/>
  <c r="F100" i="8"/>
  <c r="E100" i="8"/>
  <c r="D100" i="8"/>
  <c r="AJ99" i="8"/>
  <c r="AI99" i="8"/>
  <c r="AH99" i="8"/>
  <c r="AG99" i="8"/>
  <c r="AF99" i="8"/>
  <c r="AE99" i="8"/>
  <c r="AD99" i="8"/>
  <c r="AC99" i="8"/>
  <c r="AB99" i="8"/>
  <c r="AA99" i="8"/>
  <c r="Z99" i="8"/>
  <c r="Y99" i="8"/>
  <c r="X99" i="8"/>
  <c r="W99" i="8"/>
  <c r="V99" i="8"/>
  <c r="U99" i="8"/>
  <c r="T99" i="8"/>
  <c r="S99" i="8"/>
  <c r="R99" i="8"/>
  <c r="Q99" i="8"/>
  <c r="P99" i="8"/>
  <c r="O99" i="8"/>
  <c r="N99" i="8"/>
  <c r="M99" i="8"/>
  <c r="L99" i="8"/>
  <c r="K99" i="8"/>
  <c r="J99" i="8"/>
  <c r="I99" i="8"/>
  <c r="H99" i="8"/>
  <c r="G99" i="8"/>
  <c r="F99" i="8"/>
  <c r="E99" i="8"/>
  <c r="D99" i="8"/>
  <c r="AJ98" i="8"/>
  <c r="AI98" i="8"/>
  <c r="AH98" i="8"/>
  <c r="AG98" i="8"/>
  <c r="AF98" i="8"/>
  <c r="AE98" i="8"/>
  <c r="AD98" i="8"/>
  <c r="AC98" i="8"/>
  <c r="AB98" i="8"/>
  <c r="AA98" i="8"/>
  <c r="Z98" i="8"/>
  <c r="Y98" i="8"/>
  <c r="X98" i="8"/>
  <c r="W98" i="8"/>
  <c r="V98" i="8"/>
  <c r="U98" i="8"/>
  <c r="T98" i="8"/>
  <c r="S98" i="8"/>
  <c r="R98" i="8"/>
  <c r="Q98" i="8"/>
  <c r="P98" i="8"/>
  <c r="O98" i="8"/>
  <c r="N98" i="8"/>
  <c r="M98" i="8"/>
  <c r="L98" i="8"/>
  <c r="K98" i="8"/>
  <c r="J98" i="8"/>
  <c r="I98" i="8"/>
  <c r="H98" i="8"/>
  <c r="G98" i="8"/>
  <c r="F98" i="8"/>
  <c r="E98" i="8"/>
  <c r="D98" i="8"/>
  <c r="AJ97" i="8"/>
  <c r="AI97" i="8"/>
  <c r="AH97" i="8"/>
  <c r="AG97" i="8"/>
  <c r="AF97" i="8"/>
  <c r="AE97" i="8"/>
  <c r="AD97" i="8"/>
  <c r="AC97" i="8"/>
  <c r="AB97" i="8"/>
  <c r="AA97" i="8"/>
  <c r="Z97" i="8"/>
  <c r="Y97" i="8"/>
  <c r="X97" i="8"/>
  <c r="W97" i="8"/>
  <c r="V97" i="8"/>
  <c r="U97" i="8"/>
  <c r="T97" i="8"/>
  <c r="S97" i="8"/>
  <c r="R97" i="8"/>
  <c r="Q97" i="8"/>
  <c r="P97" i="8"/>
  <c r="O97" i="8"/>
  <c r="N97" i="8"/>
  <c r="M97" i="8"/>
  <c r="L97" i="8"/>
  <c r="K97" i="8"/>
  <c r="J97" i="8"/>
  <c r="I97" i="8"/>
  <c r="H97" i="8"/>
  <c r="G97" i="8"/>
  <c r="F97" i="8"/>
  <c r="E97" i="8"/>
  <c r="D97" i="8"/>
  <c r="AJ96" i="8"/>
  <c r="AI96" i="8"/>
  <c r="AH96" i="8"/>
  <c r="AG96" i="8"/>
  <c r="AF96" i="8"/>
  <c r="AE96" i="8"/>
  <c r="AD96" i="8"/>
  <c r="AC96" i="8"/>
  <c r="AB96" i="8"/>
  <c r="AA96" i="8"/>
  <c r="Z96" i="8"/>
  <c r="Y96" i="8"/>
  <c r="X96" i="8"/>
  <c r="W96" i="8"/>
  <c r="V96" i="8"/>
  <c r="U96" i="8"/>
  <c r="T96" i="8"/>
  <c r="S96" i="8"/>
  <c r="R96" i="8"/>
  <c r="Q96" i="8"/>
  <c r="P96" i="8"/>
  <c r="O96" i="8"/>
  <c r="N96" i="8"/>
  <c r="M96" i="8"/>
  <c r="L96" i="8"/>
  <c r="K96" i="8"/>
  <c r="J96" i="8"/>
  <c r="I96" i="8"/>
  <c r="H96" i="8"/>
  <c r="G96" i="8"/>
  <c r="F96" i="8"/>
  <c r="E96" i="8"/>
  <c r="D96" i="8"/>
  <c r="AJ95" i="8"/>
  <c r="AI95" i="8"/>
  <c r="AH95" i="8"/>
  <c r="AG95" i="8"/>
  <c r="AF95" i="8"/>
  <c r="AE95" i="8"/>
  <c r="AD95" i="8"/>
  <c r="AC95" i="8"/>
  <c r="AB95" i="8"/>
  <c r="AA95" i="8"/>
  <c r="Z95" i="8"/>
  <c r="Y95" i="8"/>
  <c r="X95" i="8"/>
  <c r="W95" i="8"/>
  <c r="V95" i="8"/>
  <c r="U95" i="8"/>
  <c r="T95" i="8"/>
  <c r="S95" i="8"/>
  <c r="R95" i="8"/>
  <c r="Q95" i="8"/>
  <c r="P95" i="8"/>
  <c r="O95" i="8"/>
  <c r="N95" i="8"/>
  <c r="M95" i="8"/>
  <c r="L95" i="8"/>
  <c r="K95" i="8"/>
  <c r="J95" i="8"/>
  <c r="I95" i="8"/>
  <c r="H95" i="8"/>
  <c r="G95" i="8"/>
  <c r="F95" i="8"/>
  <c r="E95" i="8"/>
  <c r="D95" i="8"/>
  <c r="AJ94" i="8"/>
  <c r="AI94" i="8"/>
  <c r="AH94" i="8"/>
  <c r="AG94" i="8"/>
  <c r="AF94" i="8"/>
  <c r="AE94" i="8"/>
  <c r="AD94" i="8"/>
  <c r="AC94" i="8"/>
  <c r="AB94" i="8"/>
  <c r="AA94" i="8"/>
  <c r="Z94" i="8"/>
  <c r="Y94" i="8"/>
  <c r="X94" i="8"/>
  <c r="W94" i="8"/>
  <c r="V94" i="8"/>
  <c r="U94" i="8"/>
  <c r="T94" i="8"/>
  <c r="S94" i="8"/>
  <c r="R94" i="8"/>
  <c r="Q94" i="8"/>
  <c r="P94" i="8"/>
  <c r="O94" i="8"/>
  <c r="N94" i="8"/>
  <c r="M94" i="8"/>
  <c r="L94" i="8"/>
  <c r="K94" i="8"/>
  <c r="J94" i="8"/>
  <c r="I94" i="8"/>
  <c r="H94" i="8"/>
  <c r="G94" i="8"/>
  <c r="F94" i="8"/>
  <c r="E94" i="8"/>
  <c r="D94" i="8"/>
  <c r="AJ93" i="8"/>
  <c r="AI93" i="8"/>
  <c r="AH93" i="8"/>
  <c r="AG93" i="8"/>
  <c r="AF93" i="8"/>
  <c r="AE93" i="8"/>
  <c r="AD93" i="8"/>
  <c r="AC93" i="8"/>
  <c r="AB93" i="8"/>
  <c r="AA93" i="8"/>
  <c r="Z93" i="8"/>
  <c r="Y93" i="8"/>
  <c r="X93" i="8"/>
  <c r="W93" i="8"/>
  <c r="V93" i="8"/>
  <c r="U93" i="8"/>
  <c r="T93" i="8"/>
  <c r="S93" i="8"/>
  <c r="R93" i="8"/>
  <c r="Q93" i="8"/>
  <c r="P93" i="8"/>
  <c r="O93" i="8"/>
  <c r="N93" i="8"/>
  <c r="M93" i="8"/>
  <c r="L93" i="8"/>
  <c r="K93" i="8"/>
  <c r="J93" i="8"/>
  <c r="I93" i="8"/>
  <c r="H93" i="8"/>
  <c r="G93" i="8"/>
  <c r="F93" i="8"/>
  <c r="E93" i="8"/>
  <c r="D93" i="8"/>
  <c r="AJ92" i="8"/>
  <c r="AI92" i="8"/>
  <c r="AH92" i="8"/>
  <c r="AG92" i="8"/>
  <c r="AF92" i="8"/>
  <c r="AE92" i="8"/>
  <c r="AD92" i="8"/>
  <c r="AC92" i="8"/>
  <c r="AB92" i="8"/>
  <c r="AA92" i="8"/>
  <c r="Z92" i="8"/>
  <c r="Y92" i="8"/>
  <c r="X92" i="8"/>
  <c r="W92" i="8"/>
  <c r="V92" i="8"/>
  <c r="U92" i="8"/>
  <c r="T92" i="8"/>
  <c r="S92" i="8"/>
  <c r="R92" i="8"/>
  <c r="Q92" i="8"/>
  <c r="P92" i="8"/>
  <c r="O92" i="8"/>
  <c r="N92" i="8"/>
  <c r="M92" i="8"/>
  <c r="L92" i="8"/>
  <c r="K92" i="8"/>
  <c r="J92" i="8"/>
  <c r="I92" i="8"/>
  <c r="H92" i="8"/>
  <c r="G92" i="8"/>
  <c r="F92" i="8"/>
  <c r="E92" i="8"/>
  <c r="D92" i="8"/>
  <c r="AJ91" i="8"/>
  <c r="AI91" i="8"/>
  <c r="AH91" i="8"/>
  <c r="AG91" i="8"/>
  <c r="AF91" i="8"/>
  <c r="AE91" i="8"/>
  <c r="AD91" i="8"/>
  <c r="AC91" i="8"/>
  <c r="AB91" i="8"/>
  <c r="AA91" i="8"/>
  <c r="Z91" i="8"/>
  <c r="Y91" i="8"/>
  <c r="X91" i="8"/>
  <c r="W91" i="8"/>
  <c r="V91" i="8"/>
  <c r="U91" i="8"/>
  <c r="T91" i="8"/>
  <c r="S91" i="8"/>
  <c r="R91" i="8"/>
  <c r="Q91" i="8"/>
  <c r="P91" i="8"/>
  <c r="O91" i="8"/>
  <c r="N91" i="8"/>
  <c r="M91" i="8"/>
  <c r="L91" i="8"/>
  <c r="K91" i="8"/>
  <c r="J91" i="8"/>
  <c r="I91" i="8"/>
  <c r="H91" i="8"/>
  <c r="G91" i="8"/>
  <c r="F91" i="8"/>
  <c r="E91" i="8"/>
  <c r="D91" i="8"/>
  <c r="AJ90" i="8"/>
  <c r="AI90" i="8"/>
  <c r="AH90" i="8"/>
  <c r="AG90" i="8"/>
  <c r="AF90" i="8"/>
  <c r="AE90" i="8"/>
  <c r="AD90" i="8"/>
  <c r="AC90" i="8"/>
  <c r="AB90" i="8"/>
  <c r="AA90" i="8"/>
  <c r="Z90" i="8"/>
  <c r="Y90" i="8"/>
  <c r="X90" i="8"/>
  <c r="W90" i="8"/>
  <c r="V90" i="8"/>
  <c r="U90" i="8"/>
  <c r="T90" i="8"/>
  <c r="S90" i="8"/>
  <c r="R90" i="8"/>
  <c r="Q90" i="8"/>
  <c r="P90" i="8"/>
  <c r="O90" i="8"/>
  <c r="N90" i="8"/>
  <c r="M90" i="8"/>
  <c r="L90" i="8"/>
  <c r="K90" i="8"/>
  <c r="J90" i="8"/>
  <c r="I90" i="8"/>
  <c r="H90" i="8"/>
  <c r="G90" i="8"/>
  <c r="F90" i="8"/>
  <c r="E90" i="8"/>
  <c r="D90" i="8"/>
  <c r="AJ89" i="8"/>
  <c r="AI89" i="8"/>
  <c r="AH89" i="8"/>
  <c r="AG89" i="8"/>
  <c r="AF89" i="8"/>
  <c r="AE89" i="8"/>
  <c r="AD89" i="8"/>
  <c r="AC89" i="8"/>
  <c r="AB89" i="8"/>
  <c r="AA89" i="8"/>
  <c r="Z89" i="8"/>
  <c r="Y89" i="8"/>
  <c r="X89" i="8"/>
  <c r="W89" i="8"/>
  <c r="V89" i="8"/>
  <c r="U89" i="8"/>
  <c r="T89" i="8"/>
  <c r="S89" i="8"/>
  <c r="R89" i="8"/>
  <c r="Q89" i="8"/>
  <c r="P89" i="8"/>
  <c r="O89" i="8"/>
  <c r="N89" i="8"/>
  <c r="M89" i="8"/>
  <c r="L89" i="8"/>
  <c r="K89" i="8"/>
  <c r="J89" i="8"/>
  <c r="I89" i="8"/>
  <c r="H89" i="8"/>
  <c r="G89" i="8"/>
  <c r="F89" i="8"/>
  <c r="E89" i="8"/>
  <c r="D89" i="8"/>
  <c r="AJ88" i="8"/>
  <c r="AI88" i="8"/>
  <c r="AH88" i="8"/>
  <c r="AG88" i="8"/>
  <c r="AF88" i="8"/>
  <c r="AE88" i="8"/>
  <c r="AD88" i="8"/>
  <c r="AC88" i="8"/>
  <c r="AB88" i="8"/>
  <c r="AA88" i="8"/>
  <c r="Z88" i="8"/>
  <c r="Y88" i="8"/>
  <c r="X88" i="8"/>
  <c r="W88" i="8"/>
  <c r="V88" i="8"/>
  <c r="U88" i="8"/>
  <c r="T88" i="8"/>
  <c r="S88" i="8"/>
  <c r="R88" i="8"/>
  <c r="Q88" i="8"/>
  <c r="P88" i="8"/>
  <c r="O88" i="8"/>
  <c r="N88" i="8"/>
  <c r="M88" i="8"/>
  <c r="L88" i="8"/>
  <c r="K88" i="8"/>
  <c r="J88" i="8"/>
  <c r="I88" i="8"/>
  <c r="H88" i="8"/>
  <c r="G88" i="8"/>
  <c r="F88" i="8"/>
  <c r="E88" i="8"/>
  <c r="D88" i="8"/>
  <c r="AJ87" i="8"/>
  <c r="AI87" i="8"/>
  <c r="AH87" i="8"/>
  <c r="AG87" i="8"/>
  <c r="AF87" i="8"/>
  <c r="AE87" i="8"/>
  <c r="AD87" i="8"/>
  <c r="AC87" i="8"/>
  <c r="AB87" i="8"/>
  <c r="AA87" i="8"/>
  <c r="Z87" i="8"/>
  <c r="Y87" i="8"/>
  <c r="X87" i="8"/>
  <c r="W87" i="8"/>
  <c r="V87" i="8"/>
  <c r="U87" i="8"/>
  <c r="T87" i="8"/>
  <c r="S87" i="8"/>
  <c r="R87" i="8"/>
  <c r="Q87" i="8"/>
  <c r="P87" i="8"/>
  <c r="O87" i="8"/>
  <c r="N87" i="8"/>
  <c r="M87" i="8"/>
  <c r="L87" i="8"/>
  <c r="K87" i="8"/>
  <c r="J87" i="8"/>
  <c r="I87" i="8"/>
  <c r="H87" i="8"/>
  <c r="G87" i="8"/>
  <c r="F87" i="8"/>
  <c r="E87" i="8"/>
  <c r="D87" i="8"/>
  <c r="AJ86" i="8"/>
  <c r="AI86" i="8"/>
  <c r="AH86" i="8"/>
  <c r="AG86" i="8"/>
  <c r="AF86" i="8"/>
  <c r="AE86" i="8"/>
  <c r="AD86" i="8"/>
  <c r="AC86" i="8"/>
  <c r="AB86" i="8"/>
  <c r="AA86" i="8"/>
  <c r="Z86" i="8"/>
  <c r="Y86" i="8"/>
  <c r="X86" i="8"/>
  <c r="W86" i="8"/>
  <c r="V86" i="8"/>
  <c r="U86" i="8"/>
  <c r="T86" i="8"/>
  <c r="S86" i="8"/>
  <c r="R86" i="8"/>
  <c r="Q86" i="8"/>
  <c r="P86" i="8"/>
  <c r="O86" i="8"/>
  <c r="N86" i="8"/>
  <c r="M86" i="8"/>
  <c r="L86" i="8"/>
  <c r="K86" i="8"/>
  <c r="J86" i="8"/>
  <c r="I86" i="8"/>
  <c r="H86" i="8"/>
  <c r="G86" i="8"/>
  <c r="F86" i="8"/>
  <c r="E86" i="8"/>
  <c r="D86" i="8"/>
  <c r="AJ85" i="8"/>
  <c r="AI85" i="8"/>
  <c r="AH85" i="8"/>
  <c r="AG85" i="8"/>
  <c r="AF85" i="8"/>
  <c r="AE85" i="8"/>
  <c r="AD85" i="8"/>
  <c r="AC85" i="8"/>
  <c r="AB85" i="8"/>
  <c r="AA85" i="8"/>
  <c r="Z85" i="8"/>
  <c r="Y85" i="8"/>
  <c r="X85" i="8"/>
  <c r="W85" i="8"/>
  <c r="V85" i="8"/>
  <c r="U85" i="8"/>
  <c r="T85" i="8"/>
  <c r="S85" i="8"/>
  <c r="R85" i="8"/>
  <c r="Q85" i="8"/>
  <c r="P85" i="8"/>
  <c r="O85" i="8"/>
  <c r="N85" i="8"/>
  <c r="M85" i="8"/>
  <c r="L85" i="8"/>
  <c r="K85" i="8"/>
  <c r="J85" i="8"/>
  <c r="I85" i="8"/>
  <c r="H85" i="8"/>
  <c r="G85" i="8"/>
  <c r="F85" i="8"/>
  <c r="E85" i="8"/>
  <c r="D85" i="8"/>
  <c r="AJ84" i="8"/>
  <c r="AI84" i="8"/>
  <c r="AH84" i="8"/>
  <c r="AG84" i="8"/>
  <c r="AF84" i="8"/>
  <c r="AE84" i="8"/>
  <c r="AD84" i="8"/>
  <c r="AC84" i="8"/>
  <c r="AB84" i="8"/>
  <c r="AA84" i="8"/>
  <c r="Z84" i="8"/>
  <c r="Y84" i="8"/>
  <c r="X84" i="8"/>
  <c r="W84" i="8"/>
  <c r="V84" i="8"/>
  <c r="U84" i="8"/>
  <c r="T84" i="8"/>
  <c r="S84" i="8"/>
  <c r="R84" i="8"/>
  <c r="Q84" i="8"/>
  <c r="P84" i="8"/>
  <c r="O84" i="8"/>
  <c r="N84" i="8"/>
  <c r="M84" i="8"/>
  <c r="L84" i="8"/>
  <c r="K84" i="8"/>
  <c r="J84" i="8"/>
  <c r="I84" i="8"/>
  <c r="H84" i="8"/>
  <c r="G84" i="8"/>
  <c r="F84" i="8"/>
  <c r="E84" i="8"/>
  <c r="D84" i="8"/>
  <c r="AJ83" i="8"/>
  <c r="AI83" i="8"/>
  <c r="AH83" i="8"/>
  <c r="AG83" i="8"/>
  <c r="AF83" i="8"/>
  <c r="AE83" i="8"/>
  <c r="AD83" i="8"/>
  <c r="AC83" i="8"/>
  <c r="AB83" i="8"/>
  <c r="AA83" i="8"/>
  <c r="Z83" i="8"/>
  <c r="Y83" i="8"/>
  <c r="X83" i="8"/>
  <c r="W83" i="8"/>
  <c r="V83" i="8"/>
  <c r="U83" i="8"/>
  <c r="T83" i="8"/>
  <c r="S83" i="8"/>
  <c r="R83" i="8"/>
  <c r="Q83" i="8"/>
  <c r="P83" i="8"/>
  <c r="O83" i="8"/>
  <c r="N83" i="8"/>
  <c r="M83" i="8"/>
  <c r="L83" i="8"/>
  <c r="K83" i="8"/>
  <c r="J83" i="8"/>
  <c r="I83" i="8"/>
  <c r="H83" i="8"/>
  <c r="G83" i="8"/>
  <c r="F83" i="8"/>
  <c r="E83" i="8"/>
  <c r="D83" i="8"/>
  <c r="AJ82" i="8"/>
  <c r="AI82" i="8"/>
  <c r="AH82" i="8"/>
  <c r="AG82" i="8"/>
  <c r="AF82" i="8"/>
  <c r="AE82" i="8"/>
  <c r="AD82" i="8"/>
  <c r="AC82" i="8"/>
  <c r="AB82" i="8"/>
  <c r="AA82" i="8"/>
  <c r="Z82" i="8"/>
  <c r="Y82" i="8"/>
  <c r="X82" i="8"/>
  <c r="W82" i="8"/>
  <c r="V82" i="8"/>
  <c r="U82" i="8"/>
  <c r="T82" i="8"/>
  <c r="S82" i="8"/>
  <c r="R82" i="8"/>
  <c r="Q82" i="8"/>
  <c r="P82" i="8"/>
  <c r="O82" i="8"/>
  <c r="N82" i="8"/>
  <c r="M82" i="8"/>
  <c r="L82" i="8"/>
  <c r="K82" i="8"/>
  <c r="J82" i="8"/>
  <c r="I82" i="8"/>
  <c r="H82" i="8"/>
  <c r="G82" i="8"/>
  <c r="F82" i="8"/>
  <c r="E82" i="8"/>
  <c r="D82" i="8"/>
  <c r="AJ81" i="8"/>
  <c r="AI81" i="8"/>
  <c r="AH81" i="8"/>
  <c r="AG81" i="8"/>
  <c r="AF81" i="8"/>
  <c r="AE81" i="8"/>
  <c r="AD81" i="8"/>
  <c r="AC81" i="8"/>
  <c r="AB81" i="8"/>
  <c r="AA81" i="8"/>
  <c r="Z81" i="8"/>
  <c r="Y81" i="8"/>
  <c r="X81" i="8"/>
  <c r="W81" i="8"/>
  <c r="V81" i="8"/>
  <c r="U81" i="8"/>
  <c r="T81" i="8"/>
  <c r="S81" i="8"/>
  <c r="R81" i="8"/>
  <c r="Q81" i="8"/>
  <c r="P81" i="8"/>
  <c r="O81" i="8"/>
  <c r="N81" i="8"/>
  <c r="M81" i="8"/>
  <c r="L81" i="8"/>
  <c r="K81" i="8"/>
  <c r="J81" i="8"/>
  <c r="I81" i="8"/>
  <c r="H81" i="8"/>
  <c r="G81" i="8"/>
  <c r="F81" i="8"/>
  <c r="E81" i="8"/>
  <c r="D81" i="8"/>
  <c r="AJ80" i="8"/>
  <c r="AI80" i="8"/>
  <c r="AH80" i="8"/>
  <c r="AG80" i="8"/>
  <c r="AF80" i="8"/>
  <c r="AE80" i="8"/>
  <c r="AD80" i="8"/>
  <c r="AC80" i="8"/>
  <c r="AB80" i="8"/>
  <c r="AA80" i="8"/>
  <c r="Z80" i="8"/>
  <c r="Y80" i="8"/>
  <c r="X80" i="8"/>
  <c r="W80" i="8"/>
  <c r="V80" i="8"/>
  <c r="U80" i="8"/>
  <c r="T80" i="8"/>
  <c r="S80" i="8"/>
  <c r="R80" i="8"/>
  <c r="Q80" i="8"/>
  <c r="P80" i="8"/>
  <c r="O80" i="8"/>
  <c r="N80" i="8"/>
  <c r="M80" i="8"/>
  <c r="L80" i="8"/>
  <c r="K80" i="8"/>
  <c r="J80" i="8"/>
  <c r="I80" i="8"/>
  <c r="H80" i="8"/>
  <c r="G80" i="8"/>
  <c r="F80" i="8"/>
  <c r="E80" i="8"/>
  <c r="D80" i="8"/>
  <c r="AJ79" i="8"/>
  <c r="AI79" i="8"/>
  <c r="AH79" i="8"/>
  <c r="AG79" i="8"/>
  <c r="AF79" i="8"/>
  <c r="AE79" i="8"/>
  <c r="AD79" i="8"/>
  <c r="AC79" i="8"/>
  <c r="AB79" i="8"/>
  <c r="AA79" i="8"/>
  <c r="Z79" i="8"/>
  <c r="Y79" i="8"/>
  <c r="X79" i="8"/>
  <c r="W79" i="8"/>
  <c r="V79" i="8"/>
  <c r="U79" i="8"/>
  <c r="T79" i="8"/>
  <c r="S79" i="8"/>
  <c r="R79" i="8"/>
  <c r="Q79" i="8"/>
  <c r="P79" i="8"/>
  <c r="O79" i="8"/>
  <c r="N79" i="8"/>
  <c r="M79" i="8"/>
  <c r="L79" i="8"/>
  <c r="K79" i="8"/>
  <c r="J79" i="8"/>
  <c r="I79" i="8"/>
  <c r="H79" i="8"/>
  <c r="G79" i="8"/>
  <c r="F79" i="8"/>
  <c r="E79" i="8"/>
  <c r="D79" i="8"/>
  <c r="AJ78" i="8"/>
  <c r="AI78" i="8"/>
  <c r="AH78" i="8"/>
  <c r="AG78" i="8"/>
  <c r="AF78" i="8"/>
  <c r="AE78" i="8"/>
  <c r="AD78" i="8"/>
  <c r="AC78" i="8"/>
  <c r="AB78" i="8"/>
  <c r="AA78" i="8"/>
  <c r="Z78" i="8"/>
  <c r="Y78" i="8"/>
  <c r="X78" i="8"/>
  <c r="W78" i="8"/>
  <c r="V78" i="8"/>
  <c r="U78" i="8"/>
  <c r="T78" i="8"/>
  <c r="S78" i="8"/>
  <c r="R78" i="8"/>
  <c r="Q78" i="8"/>
  <c r="P78" i="8"/>
  <c r="O78" i="8"/>
  <c r="N78" i="8"/>
  <c r="M78" i="8"/>
  <c r="L78" i="8"/>
  <c r="K78" i="8"/>
  <c r="J78" i="8"/>
  <c r="I78" i="8"/>
  <c r="H78" i="8"/>
  <c r="G78" i="8"/>
  <c r="F78" i="8"/>
  <c r="E78" i="8"/>
  <c r="D78" i="8"/>
  <c r="AJ77" i="8"/>
  <c r="AI77" i="8"/>
  <c r="AH77" i="8"/>
  <c r="AG77" i="8"/>
  <c r="AF77" i="8"/>
  <c r="AE77" i="8"/>
  <c r="AD77" i="8"/>
  <c r="AC77" i="8"/>
  <c r="AB77" i="8"/>
  <c r="AA77" i="8"/>
  <c r="Z77" i="8"/>
  <c r="Y77" i="8"/>
  <c r="X77" i="8"/>
  <c r="W77" i="8"/>
  <c r="V77" i="8"/>
  <c r="U77" i="8"/>
  <c r="T77" i="8"/>
  <c r="S77" i="8"/>
  <c r="R77" i="8"/>
  <c r="Q77" i="8"/>
  <c r="P77" i="8"/>
  <c r="O77" i="8"/>
  <c r="N77" i="8"/>
  <c r="M77" i="8"/>
  <c r="L77" i="8"/>
  <c r="K77" i="8"/>
  <c r="J77" i="8"/>
  <c r="I77" i="8"/>
  <c r="H77" i="8"/>
  <c r="G77" i="8"/>
  <c r="F77" i="8"/>
  <c r="E77" i="8"/>
  <c r="D77" i="8"/>
  <c r="AJ76" i="8"/>
  <c r="AI76" i="8"/>
  <c r="AH76" i="8"/>
  <c r="AG76" i="8"/>
  <c r="AF76" i="8"/>
  <c r="AE76" i="8"/>
  <c r="AD76" i="8"/>
  <c r="AC76" i="8"/>
  <c r="AB76" i="8"/>
  <c r="AA76" i="8"/>
  <c r="Z76" i="8"/>
  <c r="Y76" i="8"/>
  <c r="X76" i="8"/>
  <c r="W76" i="8"/>
  <c r="V76" i="8"/>
  <c r="U76" i="8"/>
  <c r="T76" i="8"/>
  <c r="S76" i="8"/>
  <c r="R76" i="8"/>
  <c r="Q76" i="8"/>
  <c r="P76" i="8"/>
  <c r="O76" i="8"/>
  <c r="N76" i="8"/>
  <c r="M76" i="8"/>
  <c r="L76" i="8"/>
  <c r="K76" i="8"/>
  <c r="J76" i="8"/>
  <c r="I76" i="8"/>
  <c r="H76" i="8"/>
  <c r="G76" i="8"/>
  <c r="F76" i="8"/>
  <c r="E76" i="8"/>
  <c r="D76" i="8"/>
  <c r="AJ75" i="8"/>
  <c r="AI75" i="8"/>
  <c r="AH75" i="8"/>
  <c r="AG75" i="8"/>
  <c r="AF75" i="8"/>
  <c r="AE75" i="8"/>
  <c r="AD75" i="8"/>
  <c r="AC75" i="8"/>
  <c r="AB75" i="8"/>
  <c r="AA75" i="8"/>
  <c r="Z75" i="8"/>
  <c r="Y75" i="8"/>
  <c r="X75" i="8"/>
  <c r="W75" i="8"/>
  <c r="V75" i="8"/>
  <c r="U75" i="8"/>
  <c r="T75" i="8"/>
  <c r="S75" i="8"/>
  <c r="R75" i="8"/>
  <c r="Q75" i="8"/>
  <c r="P75" i="8"/>
  <c r="O75" i="8"/>
  <c r="N75" i="8"/>
  <c r="M75" i="8"/>
  <c r="L75" i="8"/>
  <c r="K75" i="8"/>
  <c r="J75" i="8"/>
  <c r="I75" i="8"/>
  <c r="H75" i="8"/>
  <c r="G75" i="8"/>
  <c r="F75" i="8"/>
  <c r="E75" i="8"/>
  <c r="D75" i="8"/>
  <c r="AJ74" i="8"/>
  <c r="AI74" i="8"/>
  <c r="AH74" i="8"/>
  <c r="AG74" i="8"/>
  <c r="AF74" i="8"/>
  <c r="AE74" i="8"/>
  <c r="AD74" i="8"/>
  <c r="AC74" i="8"/>
  <c r="AB74" i="8"/>
  <c r="AA74" i="8"/>
  <c r="Z74" i="8"/>
  <c r="Y74" i="8"/>
  <c r="X74" i="8"/>
  <c r="W74" i="8"/>
  <c r="V74" i="8"/>
  <c r="U74" i="8"/>
  <c r="T74" i="8"/>
  <c r="S74" i="8"/>
  <c r="R74" i="8"/>
  <c r="Q74" i="8"/>
  <c r="P74" i="8"/>
  <c r="O74" i="8"/>
  <c r="N74" i="8"/>
  <c r="M74" i="8"/>
  <c r="L74" i="8"/>
  <c r="K74" i="8"/>
  <c r="J74" i="8"/>
  <c r="I74" i="8"/>
  <c r="H74" i="8"/>
  <c r="G74" i="8"/>
  <c r="F74" i="8"/>
  <c r="E74" i="8"/>
  <c r="D74" i="8"/>
  <c r="AJ73" i="8"/>
  <c r="AI73" i="8"/>
  <c r="AH73" i="8"/>
  <c r="AG73" i="8"/>
  <c r="AF73" i="8"/>
  <c r="AE73" i="8"/>
  <c r="AD73" i="8"/>
  <c r="AC73" i="8"/>
  <c r="AB73" i="8"/>
  <c r="AA73" i="8"/>
  <c r="Z73" i="8"/>
  <c r="Y73" i="8"/>
  <c r="X73" i="8"/>
  <c r="W73" i="8"/>
  <c r="V73" i="8"/>
  <c r="U73" i="8"/>
  <c r="T73" i="8"/>
  <c r="S73" i="8"/>
  <c r="R73" i="8"/>
  <c r="Q73" i="8"/>
  <c r="P73" i="8"/>
  <c r="O73" i="8"/>
  <c r="N73" i="8"/>
  <c r="M73" i="8"/>
  <c r="L73" i="8"/>
  <c r="K73" i="8"/>
  <c r="J73" i="8"/>
  <c r="I73" i="8"/>
  <c r="H73" i="8"/>
  <c r="G73" i="8"/>
  <c r="F73" i="8"/>
  <c r="E73" i="8"/>
  <c r="D73" i="8"/>
  <c r="AJ72" i="8"/>
  <c r="AI72" i="8"/>
  <c r="AH72" i="8"/>
  <c r="AG72" i="8"/>
  <c r="AF72" i="8"/>
  <c r="AE72" i="8"/>
  <c r="AD72" i="8"/>
  <c r="AC72" i="8"/>
  <c r="AB72" i="8"/>
  <c r="AA72" i="8"/>
  <c r="Z72" i="8"/>
  <c r="Y72" i="8"/>
  <c r="X72" i="8"/>
  <c r="W72" i="8"/>
  <c r="V72" i="8"/>
  <c r="U72" i="8"/>
  <c r="T72" i="8"/>
  <c r="S72" i="8"/>
  <c r="R72" i="8"/>
  <c r="Q72" i="8"/>
  <c r="P72" i="8"/>
  <c r="O72" i="8"/>
  <c r="N72" i="8"/>
  <c r="M72" i="8"/>
  <c r="L72" i="8"/>
  <c r="K72" i="8"/>
  <c r="J72" i="8"/>
  <c r="I72" i="8"/>
  <c r="H72" i="8"/>
  <c r="G72" i="8"/>
  <c r="F72" i="8"/>
  <c r="E72" i="8"/>
  <c r="D72" i="8"/>
  <c r="AJ71" i="8"/>
  <c r="AI71" i="8"/>
  <c r="AH71" i="8"/>
  <c r="AG71" i="8"/>
  <c r="AF71" i="8"/>
  <c r="AE71" i="8"/>
  <c r="AD71" i="8"/>
  <c r="AC71" i="8"/>
  <c r="AB71" i="8"/>
  <c r="AA71" i="8"/>
  <c r="Z71" i="8"/>
  <c r="Y71" i="8"/>
  <c r="X71" i="8"/>
  <c r="W71" i="8"/>
  <c r="V71" i="8"/>
  <c r="U71" i="8"/>
  <c r="T71" i="8"/>
  <c r="S71" i="8"/>
  <c r="R71" i="8"/>
  <c r="Q71" i="8"/>
  <c r="P71" i="8"/>
  <c r="O71" i="8"/>
  <c r="N71" i="8"/>
  <c r="M71" i="8"/>
  <c r="L71" i="8"/>
  <c r="K71" i="8"/>
  <c r="J71" i="8"/>
  <c r="I71" i="8"/>
  <c r="H71" i="8"/>
  <c r="G71" i="8"/>
  <c r="F71" i="8"/>
  <c r="E71" i="8"/>
  <c r="D71" i="8"/>
  <c r="AT70" i="8"/>
  <c r="AS70" i="8"/>
  <c r="AT69" i="8"/>
  <c r="AS69" i="8"/>
  <c r="C69" i="8"/>
  <c r="C199" i="8" s="1"/>
  <c r="AT68" i="8"/>
  <c r="C68" i="8"/>
  <c r="AT67" i="8"/>
  <c r="C67" i="8"/>
  <c r="AT66" i="8"/>
  <c r="C66" i="8"/>
  <c r="AT65" i="8"/>
  <c r="C65" i="8"/>
  <c r="AT64" i="8"/>
  <c r="C64" i="8"/>
  <c r="AT63" i="8"/>
  <c r="C63" i="8"/>
  <c r="AT62" i="8"/>
  <c r="C62" i="8"/>
  <c r="AT61" i="8"/>
  <c r="C61" i="8"/>
  <c r="C191" i="8" s="1"/>
  <c r="AT60" i="8"/>
  <c r="C60" i="8"/>
  <c r="AT59" i="8"/>
  <c r="C59" i="8"/>
  <c r="AT58" i="8"/>
  <c r="C58" i="8"/>
  <c r="AT57" i="8"/>
  <c r="C57" i="8"/>
  <c r="AT56" i="8"/>
  <c r="C56" i="8"/>
  <c r="AT55" i="8"/>
  <c r="AR55" i="8"/>
  <c r="C55" i="8"/>
  <c r="AT54" i="8"/>
  <c r="C54" i="8"/>
  <c r="AT53" i="8"/>
  <c r="C53" i="8"/>
  <c r="C183" i="8" s="1"/>
  <c r="AT52" i="8"/>
  <c r="C52" i="8"/>
  <c r="AT51" i="8"/>
  <c r="C51" i="8"/>
  <c r="AT50" i="8"/>
  <c r="C50" i="8"/>
  <c r="AT49" i="8"/>
  <c r="C49" i="8"/>
  <c r="AT48" i="8"/>
  <c r="C48" i="8"/>
  <c r="AT47" i="8"/>
  <c r="C47" i="8"/>
  <c r="AT46" i="8"/>
  <c r="C46" i="8"/>
  <c r="AT45" i="8"/>
  <c r="C45" i="8"/>
  <c r="C175" i="8" s="1"/>
  <c r="AT44" i="8"/>
  <c r="C44" i="8"/>
  <c r="AT43" i="8"/>
  <c r="C43" i="8"/>
  <c r="AT42" i="8"/>
  <c r="C42" i="8"/>
  <c r="AT41" i="8"/>
  <c r="C41" i="8"/>
  <c r="AT40" i="8"/>
  <c r="C40" i="8"/>
  <c r="AT39" i="8"/>
  <c r="C39" i="8"/>
  <c r="AT38" i="8"/>
  <c r="C38" i="8"/>
  <c r="C37" i="8"/>
  <c r="C167" i="8" s="1"/>
  <c r="C36" i="8"/>
  <c r="C35" i="8"/>
  <c r="C34" i="8"/>
  <c r="C33" i="8"/>
  <c r="C32" i="8"/>
  <c r="C31" i="8"/>
  <c r="C30" i="8"/>
  <c r="C95" i="8" s="1"/>
  <c r="C29" i="8"/>
  <c r="C159" i="8" s="1"/>
  <c r="C28" i="8"/>
  <c r="C27" i="8"/>
  <c r="C157" i="8" s="1"/>
  <c r="C26" i="8"/>
  <c r="C156" i="8" s="1"/>
  <c r="C25" i="8"/>
  <c r="C155" i="8" s="1"/>
  <c r="C24" i="8"/>
  <c r="C154" i="8" s="1"/>
  <c r="C23" i="8"/>
  <c r="C153" i="8" s="1"/>
  <c r="C22" i="8"/>
  <c r="C87" i="8" s="1"/>
  <c r="C21" i="8"/>
  <c r="C151" i="8" s="1"/>
  <c r="C20" i="8"/>
  <c r="C150" i="8" s="1"/>
  <c r="C19" i="8"/>
  <c r="C149" i="8" s="1"/>
  <c r="C18" i="8"/>
  <c r="C148" i="8" s="1"/>
  <c r="C17" i="8"/>
  <c r="C147" i="8" s="1"/>
  <c r="C16" i="8"/>
  <c r="C146" i="8" s="1"/>
  <c r="C15" i="8"/>
  <c r="C14" i="8"/>
  <c r="AW13" i="8"/>
  <c r="C13" i="8"/>
  <c r="C12" i="8"/>
  <c r="C142" i="8" s="1"/>
  <c r="C11" i="8"/>
  <c r="C141" i="8" s="1"/>
  <c r="C10" i="8"/>
  <c r="C140" i="8" s="1"/>
  <c r="C9" i="8"/>
  <c r="C139" i="8" s="1"/>
  <c r="C8" i="8"/>
  <c r="C138" i="8" s="1"/>
  <c r="AW7" i="8"/>
  <c r="C7" i="8"/>
  <c r="AW6" i="8"/>
  <c r="C6" i="8"/>
  <c r="C136" i="8" s="1"/>
  <c r="AN122" i="8" l="1"/>
  <c r="AM121" i="8"/>
  <c r="AM163" i="8"/>
  <c r="AS65" i="8"/>
  <c r="AR47" i="8"/>
  <c r="AO189" i="8"/>
  <c r="AL182" i="8"/>
  <c r="AS40" i="8"/>
  <c r="AQ89" i="8"/>
  <c r="AO138" i="8"/>
  <c r="AM138" i="8"/>
  <c r="AM195" i="8"/>
  <c r="AM89" i="8"/>
  <c r="AR39" i="8"/>
  <c r="AR51" i="8"/>
  <c r="AR50" i="8"/>
  <c r="AN130" i="8"/>
  <c r="AN136" i="8"/>
  <c r="AN138" i="8"/>
  <c r="AL138" i="8"/>
  <c r="C110" i="8"/>
  <c r="AO196" i="8"/>
  <c r="AM196" i="8"/>
  <c r="AL196" i="8"/>
  <c r="AO170" i="8"/>
  <c r="AN170" i="8"/>
  <c r="AM170" i="8"/>
  <c r="AL170" i="8"/>
  <c r="AS47" i="8"/>
  <c r="AO78" i="8"/>
  <c r="AN104" i="8"/>
  <c r="AL192" i="8"/>
  <c r="AS68" i="8"/>
  <c r="AN71" i="8"/>
  <c r="AM71" i="8"/>
  <c r="AM72" i="8"/>
  <c r="AO88" i="8"/>
  <c r="AO146" i="8"/>
  <c r="AN146" i="8"/>
  <c r="AM146" i="8"/>
  <c r="AL146" i="8"/>
  <c r="AQ146" i="8" s="1"/>
  <c r="AO179" i="8"/>
  <c r="AN179" i="8"/>
  <c r="AM179" i="8"/>
  <c r="AL179" i="8"/>
  <c r="AM78" i="8"/>
  <c r="AO104" i="8"/>
  <c r="AL104" i="8"/>
  <c r="AR52" i="8"/>
  <c r="AS62" i="8"/>
  <c r="AM117" i="8"/>
  <c r="AN127" i="8"/>
  <c r="AL127" i="8"/>
  <c r="AM159" i="8"/>
  <c r="AN78" i="8"/>
  <c r="AR45" i="8"/>
  <c r="C92" i="8"/>
  <c r="AM104" i="8"/>
  <c r="AO192" i="8"/>
  <c r="AO127" i="8"/>
  <c r="AM127" i="8"/>
  <c r="AO87" i="8"/>
  <c r="AO99" i="8"/>
  <c r="AO173" i="8"/>
  <c r="AS44" i="8"/>
  <c r="AO95" i="8"/>
  <c r="AM95" i="8"/>
  <c r="AM113" i="8"/>
  <c r="AR48" i="8"/>
  <c r="AO141" i="8"/>
  <c r="AS39" i="8"/>
  <c r="AN172" i="8"/>
  <c r="AL78" i="8"/>
  <c r="AQ78" i="8" s="1"/>
  <c r="AO156" i="8"/>
  <c r="AN156" i="8"/>
  <c r="AM156" i="8"/>
  <c r="AR62" i="8"/>
  <c r="AN77" i="8"/>
  <c r="AM77" i="8"/>
  <c r="AR40" i="8"/>
  <c r="AO121" i="8"/>
  <c r="AO122" i="8"/>
  <c r="AM122" i="8"/>
  <c r="AR63" i="8"/>
  <c r="AN164" i="8"/>
  <c r="AO171" i="8"/>
  <c r="AM171" i="8"/>
  <c r="AS41" i="8"/>
  <c r="AS53" i="8"/>
  <c r="AN90" i="8"/>
  <c r="AL90" i="8"/>
  <c r="AQ90" i="8" s="1"/>
  <c r="AM97" i="8"/>
  <c r="AN106" i="8"/>
  <c r="AR41" i="8"/>
  <c r="AO117" i="8"/>
  <c r="AN117" i="8"/>
  <c r="AL117" i="8"/>
  <c r="AL122" i="8"/>
  <c r="AM136" i="8"/>
  <c r="AO137" i="8"/>
  <c r="AN137" i="8"/>
  <c r="AM137" i="8"/>
  <c r="AS43" i="8"/>
  <c r="AS42" i="8"/>
  <c r="AS55" i="8"/>
  <c r="AS54" i="8"/>
  <c r="AN72" i="8"/>
  <c r="AO96" i="8"/>
  <c r="AN96" i="8"/>
  <c r="AM96" i="8"/>
  <c r="AL96" i="8"/>
  <c r="AQ96" i="8" s="1"/>
  <c r="AO107" i="8"/>
  <c r="AO115" i="8"/>
  <c r="C118" i="8"/>
  <c r="AO148" i="8"/>
  <c r="AN148" i="8"/>
  <c r="AM148" i="8"/>
  <c r="AO178" i="8"/>
  <c r="AN178" i="8"/>
  <c r="AM178" i="8"/>
  <c r="AL178" i="8"/>
  <c r="AS61" i="8"/>
  <c r="AO197" i="8"/>
  <c r="AN197" i="8"/>
  <c r="AM197" i="8"/>
  <c r="AL197" i="8"/>
  <c r="AM155" i="8"/>
  <c r="AN161" i="8"/>
  <c r="AL161" i="8"/>
  <c r="AQ161" i="8" s="1"/>
  <c r="AN82" i="8"/>
  <c r="AO113" i="8"/>
  <c r="AO114" i="8"/>
  <c r="AN114" i="8"/>
  <c r="AM114" i="8"/>
  <c r="AR49" i="8"/>
  <c r="AO126" i="8"/>
  <c r="AO132" i="8"/>
  <c r="AM132" i="8"/>
  <c r="AO181" i="8"/>
  <c r="AS57" i="8"/>
  <c r="AO149" i="8"/>
  <c r="AS49" i="8"/>
  <c r="AS50" i="8"/>
  <c r="AR66" i="8"/>
  <c r="AL156" i="8"/>
  <c r="AQ156" i="8" s="1"/>
  <c r="AO161" i="8"/>
  <c r="AM161" i="8"/>
  <c r="AO174" i="8"/>
  <c r="AN174" i="8"/>
  <c r="AM174" i="8"/>
  <c r="AR42" i="8"/>
  <c r="AO82" i="8"/>
  <c r="AM82" i="8"/>
  <c r="AL82" i="8"/>
  <c r="AQ82" i="8" s="1"/>
  <c r="AN98" i="8"/>
  <c r="AR44" i="8"/>
  <c r="AL77" i="8"/>
  <c r="AQ77" i="8" s="1"/>
  <c r="AN81" i="8"/>
  <c r="AO123" i="8"/>
  <c r="AM125" i="8"/>
  <c r="AN140" i="8"/>
  <c r="AM187" i="8"/>
  <c r="AN188" i="8"/>
  <c r="AS58" i="8"/>
  <c r="AO184" i="8"/>
  <c r="AL184" i="8"/>
  <c r="AO79" i="8"/>
  <c r="AN79" i="8"/>
  <c r="AM79" i="8"/>
  <c r="AL79" i="8"/>
  <c r="AQ79" i="8" s="1"/>
  <c r="AL83" i="8"/>
  <c r="AQ83" i="8" s="1"/>
  <c r="AN87" i="8"/>
  <c r="AO91" i="8"/>
  <c r="AN97" i="8"/>
  <c r="AL97" i="8"/>
  <c r="AQ97" i="8" s="1"/>
  <c r="AR32" i="8" s="1"/>
  <c r="AO105" i="8"/>
  <c r="AM105" i="8"/>
  <c r="AL106" i="8"/>
  <c r="AM109" i="8"/>
  <c r="AO110" i="8"/>
  <c r="AL114" i="8"/>
  <c r="AM118" i="8"/>
  <c r="AL118" i="8"/>
  <c r="AN132" i="8"/>
  <c r="AL132" i="8"/>
  <c r="AO139" i="8"/>
  <c r="AN139" i="8"/>
  <c r="AL139" i="8"/>
  <c r="AM147" i="8"/>
  <c r="AL148" i="8"/>
  <c r="AQ148" i="8" s="1"/>
  <c r="AM151" i="8"/>
  <c r="AO162" i="8"/>
  <c r="AN162" i="8"/>
  <c r="AM162" i="8"/>
  <c r="AL162" i="8"/>
  <c r="AQ162" i="8" s="1"/>
  <c r="AL166" i="8"/>
  <c r="AQ166" i="8" s="1"/>
  <c r="AS45" i="8"/>
  <c r="AN189" i="8"/>
  <c r="AM189" i="8"/>
  <c r="AL189" i="8"/>
  <c r="AS60" i="8"/>
  <c r="AN192" i="8"/>
  <c r="AM192" i="8"/>
  <c r="AO193" i="8"/>
  <c r="AN193" i="8"/>
  <c r="AM193" i="8"/>
  <c r="AL193" i="8"/>
  <c r="AS63" i="8"/>
  <c r="AN196" i="8"/>
  <c r="AO81" i="8"/>
  <c r="AO84" i="8"/>
  <c r="AN84" i="8"/>
  <c r="AM84" i="8"/>
  <c r="AL84" i="8"/>
  <c r="AQ84" i="8" s="1"/>
  <c r="AR19" i="8" s="1"/>
  <c r="AN92" i="8"/>
  <c r="AL92" i="8"/>
  <c r="AQ92" i="8" s="1"/>
  <c r="AR27" i="8" s="1"/>
  <c r="AO102" i="8"/>
  <c r="AM110" i="8"/>
  <c r="AL110" i="8"/>
  <c r="AO119" i="8"/>
  <c r="AN119" i="8"/>
  <c r="AM119" i="8"/>
  <c r="AL119" i="8"/>
  <c r="AR54" i="8"/>
  <c r="AR58" i="8"/>
  <c r="AO128" i="8"/>
  <c r="AN128" i="8"/>
  <c r="AM128" i="8"/>
  <c r="AL128" i="8"/>
  <c r="AR69" i="8"/>
  <c r="AO144" i="8"/>
  <c r="AO153" i="8"/>
  <c r="AN153" i="8"/>
  <c r="AM153" i="8"/>
  <c r="AL153" i="8"/>
  <c r="AQ153" i="8" s="1"/>
  <c r="AO163" i="8"/>
  <c r="AN163" i="8"/>
  <c r="AL163" i="8"/>
  <c r="AQ163" i="8" s="1"/>
  <c r="AS33" i="8" s="1"/>
  <c r="AO167" i="8"/>
  <c r="AN167" i="8"/>
  <c r="AL167" i="8"/>
  <c r="AQ167" i="8" s="1"/>
  <c r="AN184" i="8"/>
  <c r="AM184" i="8"/>
  <c r="AO185" i="8"/>
  <c r="AN185" i="8"/>
  <c r="AM185" i="8"/>
  <c r="AL185" i="8"/>
  <c r="AS56" i="8"/>
  <c r="AN194" i="8"/>
  <c r="AM194" i="8"/>
  <c r="AN171" i="8"/>
  <c r="AL174" i="8"/>
  <c r="AO74" i="8"/>
  <c r="AN73" i="8"/>
  <c r="AL75" i="8"/>
  <c r="AQ75" i="8" s="1"/>
  <c r="AO98" i="8"/>
  <c r="AL98" i="8"/>
  <c r="AQ98" i="8" s="1"/>
  <c r="AM101" i="8"/>
  <c r="AM102" i="8"/>
  <c r="AL102" i="8"/>
  <c r="AQ102" i="8" s="1"/>
  <c r="AR43" i="8"/>
  <c r="AO111" i="8"/>
  <c r="AM111" i="8"/>
  <c r="AM143" i="8"/>
  <c r="AM144" i="8"/>
  <c r="AM149" i="8"/>
  <c r="AO165" i="8"/>
  <c r="AO172" i="8"/>
  <c r="AL172" i="8"/>
  <c r="AN181" i="8"/>
  <c r="AL181" i="8"/>
  <c r="AM186" i="8"/>
  <c r="AL194" i="8"/>
  <c r="AR46" i="8"/>
  <c r="AN80" i="8"/>
  <c r="C81" i="8"/>
  <c r="AM85" i="8"/>
  <c r="AL85" i="8"/>
  <c r="AQ85" i="8" s="1"/>
  <c r="AO103" i="8"/>
  <c r="AN103" i="8"/>
  <c r="AM103" i="8"/>
  <c r="AL103" i="8"/>
  <c r="AO120" i="8"/>
  <c r="AN120" i="8"/>
  <c r="AM120" i="8"/>
  <c r="AL120" i="8"/>
  <c r="AN124" i="8"/>
  <c r="AL124" i="8"/>
  <c r="AO130" i="8"/>
  <c r="AM130" i="8"/>
  <c r="AO145" i="8"/>
  <c r="AN145" i="8"/>
  <c r="AM145" i="8"/>
  <c r="AL145" i="8"/>
  <c r="AQ145" i="8" s="1"/>
  <c r="AO154" i="8"/>
  <c r="AN154" i="8"/>
  <c r="AM154" i="8"/>
  <c r="AL154" i="8"/>
  <c r="AQ154" i="8" s="1"/>
  <c r="AS24" i="8" s="1"/>
  <c r="AO159" i="8"/>
  <c r="AN159" i="8"/>
  <c r="AL159" i="8"/>
  <c r="AQ159" i="8" s="1"/>
  <c r="AO164" i="8"/>
  <c r="AM164" i="8"/>
  <c r="AM167" i="8"/>
  <c r="AO177" i="8"/>
  <c r="AN177" i="8"/>
  <c r="AM177" i="8"/>
  <c r="AL177" i="8"/>
  <c r="AO186" i="8"/>
  <c r="AL186" i="8"/>
  <c r="AL171" i="8"/>
  <c r="AO73" i="8"/>
  <c r="AN85" i="8"/>
  <c r="AM93" i="8"/>
  <c r="AN107" i="8"/>
  <c r="AM107" i="8"/>
  <c r="AL107" i="8"/>
  <c r="AN111" i="8"/>
  <c r="AL111" i="8"/>
  <c r="AN129" i="8"/>
  <c r="AL129" i="8"/>
  <c r="AR65" i="8"/>
  <c r="AO131" i="8"/>
  <c r="AM139" i="8"/>
  <c r="AL140" i="8"/>
  <c r="AQ140" i="8" s="1"/>
  <c r="AL144" i="8"/>
  <c r="AQ144" i="8" s="1"/>
  <c r="AN149" i="8"/>
  <c r="AL149" i="8"/>
  <c r="AQ149" i="8" s="1"/>
  <c r="AM172" i="8"/>
  <c r="AM181" i="8"/>
  <c r="AN186" i="8"/>
  <c r="AO194" i="8"/>
  <c r="AM76" i="8"/>
  <c r="AL76" i="8"/>
  <c r="AQ76" i="8" s="1"/>
  <c r="AR11" i="8" s="1"/>
  <c r="AO80" i="8"/>
  <c r="AM80" i="8"/>
  <c r="AO86" i="8"/>
  <c r="AN86" i="8"/>
  <c r="AM86" i="8"/>
  <c r="AL86" i="8"/>
  <c r="AQ86" i="8" s="1"/>
  <c r="AR21" i="8" s="1"/>
  <c r="AN94" i="8"/>
  <c r="AM94" i="8"/>
  <c r="AL94" i="8"/>
  <c r="AQ94" i="8" s="1"/>
  <c r="AN99" i="8"/>
  <c r="AM99" i="8"/>
  <c r="AL99" i="8"/>
  <c r="AQ99" i="8" s="1"/>
  <c r="AN102" i="8"/>
  <c r="AO112" i="8"/>
  <c r="AN112" i="8"/>
  <c r="AM112" i="8"/>
  <c r="AL112" i="8"/>
  <c r="AN121" i="8"/>
  <c r="AL121" i="8"/>
  <c r="AO125" i="8"/>
  <c r="AN125" i="8"/>
  <c r="AL125" i="8"/>
  <c r="AO129" i="8"/>
  <c r="AM129" i="8"/>
  <c r="AL130" i="8"/>
  <c r="AN141" i="8"/>
  <c r="AM141" i="8"/>
  <c r="AL141" i="8"/>
  <c r="AQ141" i="8" s="1"/>
  <c r="AN144" i="8"/>
  <c r="AO157" i="8"/>
  <c r="AL164" i="8"/>
  <c r="AQ164" i="8" s="1"/>
  <c r="AO169" i="8"/>
  <c r="AN169" i="8"/>
  <c r="AM169" i="8"/>
  <c r="AL169" i="8"/>
  <c r="AN176" i="8"/>
  <c r="AN180" i="8"/>
  <c r="AO182" i="8"/>
  <c r="AN182" i="8"/>
  <c r="AM182" i="8"/>
  <c r="AO187" i="8"/>
  <c r="AN187" i="8"/>
  <c r="AL187" i="8"/>
  <c r="C152" i="8"/>
  <c r="C77" i="8"/>
  <c r="C90" i="8"/>
  <c r="C74" i="8"/>
  <c r="C83" i="8"/>
  <c r="AR59" i="8"/>
  <c r="AS51" i="8"/>
  <c r="AR56" i="8"/>
  <c r="AR61" i="8"/>
  <c r="AS66" i="8"/>
  <c r="AR67" i="8"/>
  <c r="AS59" i="8"/>
  <c r="C94" i="8"/>
  <c r="AR64" i="8"/>
  <c r="AR68" i="8"/>
  <c r="C88" i="8"/>
  <c r="AR53" i="8"/>
  <c r="AL136" i="8"/>
  <c r="AO72" i="8"/>
  <c r="AO71" i="8"/>
  <c r="AL137" i="8"/>
  <c r="AL71" i="8"/>
  <c r="AO152" i="8"/>
  <c r="C187" i="8"/>
  <c r="C122" i="8"/>
  <c r="AO90" i="8"/>
  <c r="AM90" i="8"/>
  <c r="B6" i="8"/>
  <c r="AL74" i="8"/>
  <c r="AO76" i="8"/>
  <c r="C137" i="8"/>
  <c r="C72" i="8"/>
  <c r="AM81" i="8"/>
  <c r="AL81" i="8"/>
  <c r="AQ81" i="8" s="1"/>
  <c r="C85" i="8"/>
  <c r="C76" i="8"/>
  <c r="AM92" i="8"/>
  <c r="C197" i="8"/>
  <c r="C132" i="8"/>
  <c r="C143" i="8"/>
  <c r="C78" i="8"/>
  <c r="C158" i="8"/>
  <c r="C93" i="8"/>
  <c r="C171" i="8"/>
  <c r="C106" i="8"/>
  <c r="C178" i="8"/>
  <c r="C113" i="8"/>
  <c r="C73" i="8"/>
  <c r="AO83" i="8"/>
  <c r="AN83" i="8"/>
  <c r="AM83" i="8"/>
  <c r="AO85" i="8"/>
  <c r="AN88" i="8"/>
  <c r="AM88" i="8"/>
  <c r="AL88" i="8"/>
  <c r="AQ88" i="8" s="1"/>
  <c r="C163" i="8"/>
  <c r="C98" i="8"/>
  <c r="AO92" i="8"/>
  <c r="C165" i="8"/>
  <c r="C100" i="8"/>
  <c r="C189" i="8"/>
  <c r="C124" i="8"/>
  <c r="C182" i="8"/>
  <c r="C117" i="8"/>
  <c r="C127" i="8"/>
  <c r="C192" i="8"/>
  <c r="C170" i="8"/>
  <c r="C105" i="8"/>
  <c r="C179" i="8"/>
  <c r="C114" i="8"/>
  <c r="C144" i="8"/>
  <c r="C79" i="8"/>
  <c r="C181" i="8"/>
  <c r="C116" i="8"/>
  <c r="AN74" i="8"/>
  <c r="AN76" i="8"/>
  <c r="C173" i="8"/>
  <c r="C108" i="8"/>
  <c r="C119" i="8"/>
  <c r="C184" i="8"/>
  <c r="C190" i="8"/>
  <c r="C125" i="8"/>
  <c r="AM73" i="8"/>
  <c r="AO75" i="8"/>
  <c r="AM75" i="8"/>
  <c r="AO77" i="8"/>
  <c r="AM87" i="8"/>
  <c r="AL87" i="8"/>
  <c r="AQ87" i="8" s="1"/>
  <c r="C89" i="8"/>
  <c r="AM91" i="8"/>
  <c r="C174" i="8"/>
  <c r="C109" i="8"/>
  <c r="C111" i="8"/>
  <c r="C176" i="8"/>
  <c r="C195" i="8"/>
  <c r="C130" i="8"/>
  <c r="AM74" i="8"/>
  <c r="AL73" i="8"/>
  <c r="C75" i="8"/>
  <c r="AL80" i="8"/>
  <c r="AQ80" i="8" s="1"/>
  <c r="C162" i="8"/>
  <c r="C97" i="8"/>
  <c r="C166" i="8"/>
  <c r="C101" i="8"/>
  <c r="C198" i="8"/>
  <c r="C133" i="8"/>
  <c r="AN75" i="8"/>
  <c r="C145" i="8"/>
  <c r="C80" i="8"/>
  <c r="C103" i="8"/>
  <c r="C168" i="8"/>
  <c r="C186" i="8"/>
  <c r="C121" i="8"/>
  <c r="C194" i="8"/>
  <c r="C129" i="8"/>
  <c r="AL72" i="8"/>
  <c r="C82" i="8"/>
  <c r="C84" i="8"/>
  <c r="AO89" i="8"/>
  <c r="AN89" i="8"/>
  <c r="AL89" i="8"/>
  <c r="AO94" i="8"/>
  <c r="AO106" i="8"/>
  <c r="AM106" i="8"/>
  <c r="C160" i="8"/>
  <c r="AO118" i="8"/>
  <c r="C126" i="8"/>
  <c r="AO133" i="8"/>
  <c r="AN133" i="8"/>
  <c r="AL133" i="8"/>
  <c r="AM152" i="8"/>
  <c r="AL152" i="8"/>
  <c r="AQ152" i="8" s="1"/>
  <c r="AO160" i="8"/>
  <c r="C134" i="8"/>
  <c r="AM160" i="8"/>
  <c r="AL160" i="8"/>
  <c r="AQ160" i="8" s="1"/>
  <c r="AO168" i="8"/>
  <c r="AO175" i="8"/>
  <c r="AN175" i="8"/>
  <c r="AO190" i="8"/>
  <c r="AN190" i="8"/>
  <c r="AM190" i="8"/>
  <c r="AL190" i="8"/>
  <c r="AO100" i="8"/>
  <c r="AM100" i="8"/>
  <c r="AN110" i="8"/>
  <c r="AN115" i="8"/>
  <c r="AM115" i="8"/>
  <c r="AL115" i="8"/>
  <c r="AM126" i="8"/>
  <c r="AL126" i="8"/>
  <c r="AM133" i="8"/>
  <c r="AO134" i="8"/>
  <c r="AO142" i="8"/>
  <c r="AN142" i="8"/>
  <c r="AM142" i="8"/>
  <c r="AN152" i="8"/>
  <c r="AN157" i="8"/>
  <c r="AM157" i="8"/>
  <c r="AL157" i="8"/>
  <c r="AQ157" i="8" s="1"/>
  <c r="AS27" i="8" s="1"/>
  <c r="AM168" i="8"/>
  <c r="AL168" i="8"/>
  <c r="AL175" i="8"/>
  <c r="AO183" i="8"/>
  <c r="AN183" i="8"/>
  <c r="C91" i="8"/>
  <c r="AN95" i="8"/>
  <c r="AL95" i="8"/>
  <c r="AQ95" i="8" s="1"/>
  <c r="AR30" i="8" s="1"/>
  <c r="AN100" i="8"/>
  <c r="AL100" i="8"/>
  <c r="AQ100" i="8" s="1"/>
  <c r="AO108" i="8"/>
  <c r="AN108" i="8"/>
  <c r="AM108" i="8"/>
  <c r="AN118" i="8"/>
  <c r="AN123" i="8"/>
  <c r="AM123" i="8"/>
  <c r="AL123" i="8"/>
  <c r="AM134" i="8"/>
  <c r="AL134" i="8"/>
  <c r="AL142" i="8"/>
  <c r="AQ142" i="8" s="1"/>
  <c r="AS12" i="8" s="1"/>
  <c r="AO150" i="8"/>
  <c r="AN150" i="8"/>
  <c r="AM150" i="8"/>
  <c r="AN160" i="8"/>
  <c r="AN165" i="8"/>
  <c r="AM165" i="8"/>
  <c r="AL165" i="8"/>
  <c r="AQ165" i="8" s="1"/>
  <c r="AM175" i="8"/>
  <c r="AO176" i="8"/>
  <c r="AL176" i="8"/>
  <c r="AM183" i="8"/>
  <c r="AL183" i="8"/>
  <c r="AO198" i="8"/>
  <c r="AN198" i="8"/>
  <c r="AM198" i="8"/>
  <c r="AL198" i="8"/>
  <c r="C164" i="8"/>
  <c r="C99" i="8"/>
  <c r="C172" i="8"/>
  <c r="C107" i="8"/>
  <c r="C180" i="8"/>
  <c r="C115" i="8"/>
  <c r="C188" i="8"/>
  <c r="C123" i="8"/>
  <c r="C196" i="8"/>
  <c r="C131" i="8"/>
  <c r="C71" i="8"/>
  <c r="C86" i="8"/>
  <c r="AN91" i="8"/>
  <c r="AL91" i="8"/>
  <c r="AQ91" i="8" s="1"/>
  <c r="AR26" i="8" s="1"/>
  <c r="AO93" i="8"/>
  <c r="AN93" i="8"/>
  <c r="AL93" i="8"/>
  <c r="AQ93" i="8" s="1"/>
  <c r="AO97" i="8"/>
  <c r="AO101" i="8"/>
  <c r="AN101" i="8"/>
  <c r="AL101" i="8"/>
  <c r="AQ101" i="8" s="1"/>
  <c r="AN105" i="8"/>
  <c r="AL105" i="8"/>
  <c r="AL108" i="8"/>
  <c r="AO116" i="8"/>
  <c r="AM116" i="8"/>
  <c r="AN126" i="8"/>
  <c r="AN131" i="8"/>
  <c r="AM131" i="8"/>
  <c r="AL131" i="8"/>
  <c r="AO143" i="8"/>
  <c r="AN143" i="8"/>
  <c r="AL143" i="8"/>
  <c r="AQ143" i="8" s="1"/>
  <c r="AO147" i="8"/>
  <c r="AN147" i="8"/>
  <c r="AL147" i="8"/>
  <c r="AQ147" i="8" s="1"/>
  <c r="AS17" i="8" s="1"/>
  <c r="AL150" i="8"/>
  <c r="AQ150" i="8" s="1"/>
  <c r="AO158" i="8"/>
  <c r="AN158" i="8"/>
  <c r="AM158" i="8"/>
  <c r="AN168" i="8"/>
  <c r="AO180" i="8"/>
  <c r="AM180" i="8"/>
  <c r="AO191" i="8"/>
  <c r="AN191" i="8"/>
  <c r="AM191" i="8"/>
  <c r="AL191" i="8"/>
  <c r="AO195" i="8"/>
  <c r="AN195" i="8"/>
  <c r="AL195" i="8"/>
  <c r="C161" i="8"/>
  <c r="C96" i="8"/>
  <c r="C169" i="8"/>
  <c r="C104" i="8"/>
  <c r="C177" i="8"/>
  <c r="C112" i="8"/>
  <c r="C185" i="8"/>
  <c r="C120" i="8"/>
  <c r="C193" i="8"/>
  <c r="C128" i="8"/>
  <c r="AM98" i="8"/>
  <c r="C102" i="8"/>
  <c r="AO109" i="8"/>
  <c r="AN109" i="8"/>
  <c r="AL109" i="8"/>
  <c r="AN113" i="8"/>
  <c r="AL113" i="8"/>
  <c r="AN116" i="8"/>
  <c r="AL116" i="8"/>
  <c r="AO124" i="8"/>
  <c r="AM124" i="8"/>
  <c r="AN134" i="8"/>
  <c r="AO136" i="8"/>
  <c r="AO140" i="8"/>
  <c r="AM140" i="8"/>
  <c r="AO151" i="8"/>
  <c r="AN151" i="8"/>
  <c r="AL151" i="8"/>
  <c r="AQ151" i="8" s="1"/>
  <c r="AO155" i="8"/>
  <c r="AN155" i="8"/>
  <c r="AL155" i="8"/>
  <c r="AQ155" i="8" s="1"/>
  <c r="AL158" i="8"/>
  <c r="AQ158" i="8" s="1"/>
  <c r="AO166" i="8"/>
  <c r="AN166" i="8"/>
  <c r="AM166" i="8"/>
  <c r="AN173" i="8"/>
  <c r="AM173" i="8"/>
  <c r="AL173" i="8"/>
  <c r="AM176" i="8"/>
  <c r="AL180" i="8"/>
  <c r="AO188" i="8"/>
  <c r="AM188" i="8"/>
  <c r="AL188" i="8"/>
  <c r="AO199" i="8"/>
  <c r="AN199" i="8"/>
  <c r="AM199" i="8"/>
  <c r="AL199" i="8"/>
  <c r="AS13" i="8" l="1"/>
  <c r="AR28" i="8"/>
  <c r="AS15" i="8"/>
  <c r="AS18" i="8"/>
  <c r="AS29" i="8"/>
  <c r="AS35" i="8"/>
  <c r="AS36" i="8"/>
  <c r="AS20" i="8"/>
  <c r="AR36" i="8"/>
  <c r="AR22" i="8"/>
  <c r="AS26" i="8"/>
  <c r="AR24" i="8"/>
  <c r="AR12" i="8"/>
  <c r="AS11" i="8"/>
  <c r="AR13" i="8"/>
  <c r="AR15" i="8"/>
  <c r="AR17" i="8"/>
  <c r="AQ73" i="8"/>
  <c r="AS31" i="8"/>
  <c r="AR37" i="8"/>
  <c r="AS28" i="8"/>
  <c r="AR35" i="8"/>
  <c r="AR29" i="8"/>
  <c r="AS23" i="8"/>
  <c r="AR25" i="8"/>
  <c r="AS22" i="8"/>
  <c r="AS34" i="8"/>
  <c r="AS16" i="8"/>
  <c r="AS21" i="8"/>
  <c r="AR16" i="8"/>
  <c r="AS32" i="8"/>
  <c r="AR18" i="8"/>
  <c r="AR31" i="8"/>
  <c r="AS30" i="8"/>
  <c r="AS25" i="8"/>
  <c r="AS19" i="8"/>
  <c r="AS14" i="8"/>
  <c r="AR20" i="8"/>
  <c r="AR14" i="8"/>
  <c r="AR23" i="8"/>
  <c r="AR34" i="8"/>
  <c r="AR33" i="8"/>
  <c r="AS37" i="8"/>
  <c r="AS38" i="8"/>
  <c r="AQ139" i="8"/>
  <c r="AS10" i="8" s="1"/>
  <c r="AR38" i="8"/>
  <c r="AQ74" i="8"/>
  <c r="AQ138" i="8"/>
  <c r="AS8" i="8" s="1"/>
  <c r="AQ137" i="8"/>
  <c r="AS7" i="8" s="1"/>
  <c r="AQ72" i="8"/>
  <c r="AQ71" i="8"/>
  <c r="AR6" i="8" s="1"/>
  <c r="AQ136" i="8"/>
  <c r="AS6" i="8" s="1"/>
  <c r="B136" i="8"/>
  <c r="B71" i="8"/>
  <c r="D7" i="4"/>
  <c r="M13" i="4"/>
  <c r="N13" i="4" s="1"/>
  <c r="AR9" i="8" l="1"/>
  <c r="AR8" i="8"/>
  <c r="AS9" i="8"/>
  <c r="AR10" i="8"/>
  <c r="AR7" i="8"/>
  <c r="D3" i="1"/>
  <c r="D5" i="4" s="1"/>
  <c r="D4" i="4" l="1"/>
  <c r="D6" i="4" s="1"/>
  <c r="AW17" i="13" s="1"/>
  <c r="AL68" i="13" l="1"/>
  <c r="AL60" i="13"/>
  <c r="AL52" i="13"/>
  <c r="AL63" i="13"/>
  <c r="AL55" i="13"/>
  <c r="AL47" i="13"/>
  <c r="AL39" i="13"/>
  <c r="AL66" i="13"/>
  <c r="AL58" i="13"/>
  <c r="AL50" i="13"/>
  <c r="AL42" i="13"/>
  <c r="AL69" i="13"/>
  <c r="AL61" i="13"/>
  <c r="AL53" i="13"/>
  <c r="AL45" i="13"/>
  <c r="AL37" i="13"/>
  <c r="AL62" i="13"/>
  <c r="AL54" i="13"/>
  <c r="AL46" i="13"/>
  <c r="AL38" i="13"/>
  <c r="AL44" i="13"/>
  <c r="AL29" i="13"/>
  <c r="AL13" i="13"/>
  <c r="AL24" i="13"/>
  <c r="AL14" i="13"/>
  <c r="AL43" i="13"/>
  <c r="AL28" i="13"/>
  <c r="AL20" i="13"/>
  <c r="AL67" i="13"/>
  <c r="AL65" i="13"/>
  <c r="AL59" i="13"/>
  <c r="AL32" i="13"/>
  <c r="AL57" i="13"/>
  <c r="AL27" i="13"/>
  <c r="AL19" i="13"/>
  <c r="AL15" i="13"/>
  <c r="AL64" i="13"/>
  <c r="AL56" i="13"/>
  <c r="AL11" i="13"/>
  <c r="AW9" i="13"/>
  <c r="AL48" i="13"/>
  <c r="AL35" i="13"/>
  <c r="AL30" i="13"/>
  <c r="AL22" i="13"/>
  <c r="AL16" i="13"/>
  <c r="AL10" i="13"/>
  <c r="AL23" i="13"/>
  <c r="AL41" i="13"/>
  <c r="AL33" i="13"/>
  <c r="AL25" i="13"/>
  <c r="AL36" i="13"/>
  <c r="AL12" i="13"/>
  <c r="AL49" i="13"/>
  <c r="AL34" i="13"/>
  <c r="AL26" i="13"/>
  <c r="AL18" i="13"/>
  <c r="AL40" i="13"/>
  <c r="AL21" i="13"/>
  <c r="AL7" i="13"/>
  <c r="AT7" i="13" s="1"/>
  <c r="AL17" i="13"/>
  <c r="AL51" i="13"/>
  <c r="AL31" i="13"/>
  <c r="AW16" i="13"/>
  <c r="AU15" i="13" s="1"/>
  <c r="AW11" i="13"/>
  <c r="AU13" i="13" s="1"/>
  <c r="AW8" i="13"/>
  <c r="AW10" i="13"/>
  <c r="AU14" i="13" s="1"/>
  <c r="E37" i="11"/>
  <c r="G37" i="11" s="1"/>
  <c r="E36" i="11"/>
  <c r="G36" i="11" s="1"/>
  <c r="E35" i="11"/>
  <c r="G35" i="11" s="1"/>
  <c r="E20" i="11"/>
  <c r="G20" i="11" s="1"/>
  <c r="E7" i="11"/>
  <c r="G7" i="11" s="1"/>
  <c r="E5" i="11"/>
  <c r="G5" i="11" s="1"/>
  <c r="E15" i="11"/>
  <c r="G15" i="11" s="1"/>
  <c r="E6" i="11"/>
  <c r="G6" i="11" s="1"/>
  <c r="I37" i="4"/>
  <c r="I29" i="4"/>
  <c r="I21" i="4"/>
  <c r="I36" i="4"/>
  <c r="I28" i="4"/>
  <c r="I20" i="4"/>
  <c r="I35" i="4"/>
  <c r="I27" i="4"/>
  <c r="I19" i="4"/>
  <c r="I34" i="4"/>
  <c r="I26" i="4"/>
  <c r="I25" i="4"/>
  <c r="I32" i="4"/>
  <c r="I24" i="4"/>
  <c r="I31" i="4"/>
  <c r="I30" i="4"/>
  <c r="I33" i="4"/>
  <c r="I23" i="4"/>
  <c r="I22" i="4"/>
  <c r="F18" i="4"/>
  <c r="I18" i="4"/>
  <c r="I17" i="4"/>
  <c r="D8" i="4"/>
  <c r="AW17" i="8"/>
  <c r="AL66" i="8" s="1"/>
  <c r="AS5" i="13" l="1"/>
  <c r="AT5" i="13"/>
  <c r="AV5" i="13"/>
  <c r="AW12" i="8"/>
  <c r="AU5" i="8" s="1"/>
  <c r="AW12" i="13"/>
  <c r="AU5" i="13" s="1"/>
  <c r="AR5" i="13"/>
  <c r="AL33" i="8"/>
  <c r="AT33" i="8" s="1"/>
  <c r="AL28" i="8"/>
  <c r="AT28" i="8" s="1"/>
  <c r="AW11" i="8"/>
  <c r="AU13" i="8" s="1"/>
  <c r="AL68" i="8"/>
  <c r="AL8" i="8"/>
  <c r="AT8" i="8" s="1"/>
  <c r="AL50" i="8"/>
  <c r="AL24" i="8"/>
  <c r="AT24" i="8" s="1"/>
  <c r="AW8" i="8"/>
  <c r="AL26" i="8"/>
  <c r="AT26" i="8" s="1"/>
  <c r="AL27" i="8"/>
  <c r="AT27" i="8" s="1"/>
  <c r="AL20" i="8"/>
  <c r="AT20" i="8" s="1"/>
  <c r="AL59" i="8"/>
  <c r="AL56" i="8"/>
  <c r="AL49" i="8"/>
  <c r="AL25" i="8"/>
  <c r="AT25" i="8" s="1"/>
  <c r="AL65" i="8"/>
  <c r="AL37" i="8"/>
  <c r="AT37" i="8" s="1"/>
  <c r="AW16" i="8"/>
  <c r="AU15" i="8" s="1"/>
  <c r="AL42" i="8"/>
  <c r="AL15" i="8"/>
  <c r="AT15" i="8" s="1"/>
  <c r="AL12" i="8"/>
  <c r="AT12" i="8" s="1"/>
  <c r="AL52" i="8"/>
  <c r="AL43" i="8"/>
  <c r="AL44" i="8"/>
  <c r="AL32" i="8"/>
  <c r="AT32" i="8" s="1"/>
  <c r="AL16" i="8"/>
  <c r="AT16" i="8" s="1"/>
  <c r="AL62" i="8"/>
  <c r="AL19" i="8"/>
  <c r="AT19" i="8" s="1"/>
  <c r="AL7" i="8"/>
  <c r="AT7" i="8" s="1"/>
  <c r="AL57" i="8"/>
  <c r="AL38" i="8"/>
  <c r="AW9" i="8"/>
  <c r="AL6" i="8"/>
  <c r="AT6" i="8" s="1"/>
  <c r="AL11" i="8"/>
  <c r="AT11" i="8" s="1"/>
  <c r="AL21" i="8"/>
  <c r="AT21" i="8" s="1"/>
  <c r="AL41" i="8"/>
  <c r="AL22" i="8"/>
  <c r="AT22" i="8" s="1"/>
  <c r="AL31" i="8"/>
  <c r="AT31" i="8" s="1"/>
  <c r="AL40" i="8"/>
  <c r="AL45" i="8"/>
  <c r="AL60" i="8"/>
  <c r="AL30" i="8"/>
  <c r="AT30" i="8" s="1"/>
  <c r="AL48" i="8"/>
  <c r="AL29" i="8"/>
  <c r="AT29" i="8" s="1"/>
  <c r="AL34" i="8"/>
  <c r="AT34" i="8" s="1"/>
  <c r="AL54" i="8"/>
  <c r="AL17" i="8"/>
  <c r="AT17" i="8" s="1"/>
  <c r="AL67" i="8"/>
  <c r="AL39" i="8"/>
  <c r="AL10" i="8"/>
  <c r="AT10" i="8" s="1"/>
  <c r="AL51" i="8"/>
  <c r="AL13" i="8"/>
  <c r="AT13" i="8" s="1"/>
  <c r="AL58" i="8"/>
  <c r="AW10" i="8"/>
  <c r="AU14" i="8" s="1"/>
  <c r="AL14" i="8"/>
  <c r="AT14" i="8" s="1"/>
  <c r="AL63" i="8"/>
  <c r="AL55" i="8"/>
  <c r="AL46" i="8"/>
  <c r="AL35" i="8"/>
  <c r="AT35" i="8" s="1"/>
  <c r="AL36" i="8"/>
  <c r="AT36" i="8" s="1"/>
  <c r="AL9" i="8"/>
  <c r="AT9" i="8" s="1"/>
  <c r="AL23" i="8"/>
  <c r="AT23" i="8" s="1"/>
  <c r="AL64" i="8"/>
  <c r="AL69" i="8"/>
  <c r="AL61" i="8"/>
  <c r="AL53" i="8"/>
  <c r="AL18" i="8"/>
  <c r="AT18" i="8" s="1"/>
  <c r="AL47" i="8"/>
  <c r="L14" i="4"/>
  <c r="AT5" i="8" l="1"/>
  <c r="AS5" i="8"/>
  <c r="AR5" i="8"/>
  <c r="AV5" i="8"/>
  <c r="B13" i="1"/>
  <c r="B12" i="1"/>
  <c r="B11" i="1"/>
  <c r="B10" i="1"/>
  <c r="B9" i="1"/>
  <c r="H14" i="4" l="1"/>
  <c r="I14" i="4"/>
  <c r="H15" i="4"/>
  <c r="I15" i="4"/>
  <c r="H16" i="4"/>
  <c r="I16" i="4"/>
  <c r="F17" i="4"/>
  <c r="G17" i="4"/>
  <c r="H17" i="4"/>
  <c r="G18" i="4"/>
  <c r="H18" i="4"/>
  <c r="F19" i="4"/>
  <c r="G19" i="4"/>
  <c r="H19" i="4"/>
  <c r="F20" i="4"/>
  <c r="G20" i="4"/>
  <c r="H20" i="4"/>
  <c r="F21" i="4"/>
  <c r="G21" i="4"/>
  <c r="H21" i="4"/>
  <c r="F22" i="4"/>
  <c r="G22" i="4"/>
  <c r="H22" i="4"/>
  <c r="F23" i="4"/>
  <c r="G23" i="4"/>
  <c r="H23" i="4"/>
  <c r="F24" i="4"/>
  <c r="G24" i="4"/>
  <c r="H24" i="4"/>
  <c r="F25" i="4"/>
  <c r="G25" i="4"/>
  <c r="H25" i="4"/>
  <c r="F26" i="4"/>
  <c r="G26" i="4"/>
  <c r="H26" i="4"/>
  <c r="F27" i="4"/>
  <c r="G27" i="4"/>
  <c r="H27" i="4"/>
  <c r="F28" i="4"/>
  <c r="G28" i="4"/>
  <c r="H28" i="4"/>
  <c r="F29" i="4"/>
  <c r="G29" i="4"/>
  <c r="H29" i="4"/>
  <c r="F30" i="4"/>
  <c r="G30" i="4"/>
  <c r="H30" i="4"/>
  <c r="F31" i="4"/>
  <c r="G31" i="4"/>
  <c r="H31" i="4"/>
  <c r="F32" i="4"/>
  <c r="G32" i="4"/>
  <c r="H32" i="4"/>
  <c r="F33" i="4"/>
  <c r="G33" i="4"/>
  <c r="H33" i="4"/>
  <c r="F34" i="4"/>
  <c r="G34" i="4"/>
  <c r="H34" i="4"/>
  <c r="F35" i="4"/>
  <c r="G35" i="4"/>
  <c r="H35" i="4"/>
  <c r="F36" i="4"/>
  <c r="G36" i="4"/>
  <c r="H36" i="4"/>
  <c r="F37" i="4"/>
  <c r="G37" i="4"/>
  <c r="H37" i="4"/>
  <c r="M14" i="4"/>
  <c r="N14" i="4" s="1"/>
  <c r="F14" i="4" s="1"/>
  <c r="AW14" i="13" s="1"/>
  <c r="AU7" i="13" s="1"/>
  <c r="M15" i="4"/>
  <c r="N15" i="4" s="1"/>
  <c r="F15" i="4" s="1"/>
  <c r="M16" i="4"/>
  <c r="N16" i="4" s="1"/>
  <c r="G16" i="4" s="1"/>
  <c r="M17" i="4"/>
  <c r="N17" i="4" s="1"/>
  <c r="M18" i="4"/>
  <c r="N18" i="4" s="1"/>
  <c r="M19" i="4"/>
  <c r="N19" i="4" s="1"/>
  <c r="M20" i="4"/>
  <c r="N20" i="4" s="1"/>
  <c r="M21" i="4"/>
  <c r="N21" i="4" s="1"/>
  <c r="M22" i="4"/>
  <c r="N22" i="4" s="1"/>
  <c r="M23" i="4"/>
  <c r="N23" i="4" s="1"/>
  <c r="M24" i="4"/>
  <c r="N24" i="4" s="1"/>
  <c r="M25" i="4"/>
  <c r="N25" i="4" s="1"/>
  <c r="M26" i="4"/>
  <c r="N26" i="4" s="1"/>
  <c r="M27" i="4"/>
  <c r="N27" i="4" s="1"/>
  <c r="M28" i="4"/>
  <c r="N28" i="4" s="1"/>
  <c r="M29" i="4"/>
  <c r="N29" i="4" s="1"/>
  <c r="M30" i="4"/>
  <c r="N30" i="4" s="1"/>
  <c r="M31" i="4"/>
  <c r="N31" i="4" s="1"/>
  <c r="M32" i="4"/>
  <c r="N32" i="4" s="1"/>
  <c r="M33" i="4"/>
  <c r="N33" i="4" s="1"/>
  <c r="M34" i="4"/>
  <c r="N34" i="4" s="1"/>
  <c r="M35" i="4"/>
  <c r="N35" i="4" s="1"/>
  <c r="M36" i="4"/>
  <c r="N36" i="4" s="1"/>
  <c r="M37" i="4"/>
  <c r="N37" i="4" s="1"/>
  <c r="G14" i="4" l="1"/>
  <c r="AW15" i="13" s="1"/>
  <c r="AU8" i="13" s="1"/>
  <c r="F16" i="4"/>
  <c r="G15" i="4"/>
  <c r="G13" i="4" l="1"/>
  <c r="AW15" i="8" s="1"/>
  <c r="AU8" i="8" s="1"/>
  <c r="F13" i="4"/>
  <c r="AW14" i="8" l="1"/>
  <c r="AU7" i="8" s="1"/>
  <c r="I13" i="4" l="1"/>
  <c r="H13" i="4"/>
  <c r="H5" i="1" l="1"/>
  <c r="E4" i="1" s="1"/>
  <c r="N102" i="5"/>
  <c r="N100" i="5"/>
  <c r="N98" i="5"/>
  <c r="N96" i="5"/>
  <c r="N94" i="5"/>
  <c r="N92" i="5"/>
  <c r="N90" i="5"/>
  <c r="N88" i="5"/>
  <c r="N86" i="5"/>
  <c r="N84" i="5"/>
  <c r="N82" i="5"/>
  <c r="N80" i="5"/>
  <c r="N78" i="5"/>
  <c r="N76" i="5"/>
  <c r="N74" i="5"/>
  <c r="N72" i="5"/>
  <c r="N70" i="5"/>
  <c r="N68" i="5"/>
  <c r="N66" i="5"/>
  <c r="N64" i="5"/>
  <c r="N62" i="5"/>
  <c r="N60" i="5"/>
  <c r="N58" i="5"/>
  <c r="N56" i="5"/>
  <c r="N54" i="5"/>
  <c r="N52" i="5"/>
  <c r="N50" i="5"/>
  <c r="N48" i="5"/>
  <c r="N46" i="5"/>
  <c r="N44" i="5"/>
  <c r="N42" i="5"/>
  <c r="N40" i="5"/>
  <c r="N103" i="5"/>
  <c r="N101" i="5"/>
  <c r="N99" i="5"/>
  <c r="N97" i="5"/>
  <c r="N95" i="5"/>
  <c r="N93" i="5"/>
  <c r="N91" i="5"/>
  <c r="N89" i="5"/>
  <c r="N87" i="5"/>
  <c r="N85" i="5"/>
  <c r="N83" i="5"/>
  <c r="N81" i="5"/>
  <c r="N79" i="5"/>
  <c r="N77" i="5"/>
  <c r="N75" i="5"/>
  <c r="N73" i="5"/>
  <c r="N71" i="5"/>
  <c r="N69" i="5"/>
  <c r="N67" i="5"/>
  <c r="N65" i="5"/>
  <c r="N63" i="5"/>
  <c r="N61" i="5"/>
  <c r="N59" i="5"/>
  <c r="N57" i="5"/>
  <c r="N55" i="5"/>
  <c r="N53" i="5"/>
  <c r="N51" i="5"/>
  <c r="N49" i="5"/>
  <c r="N47" i="5"/>
  <c r="N45" i="5"/>
  <c r="N43" i="5"/>
  <c r="N41" i="5"/>
  <c r="N39" i="5"/>
  <c r="N38" i="5"/>
  <c r="N34" i="5"/>
  <c r="N30" i="5"/>
  <c r="N24" i="5"/>
  <c r="N20" i="5"/>
  <c r="N17" i="5"/>
  <c r="N15" i="5"/>
  <c r="N9" i="5"/>
  <c r="N5" i="5"/>
  <c r="N37" i="5"/>
  <c r="N35" i="5"/>
  <c r="N33" i="5"/>
  <c r="N31" i="5"/>
  <c r="N29" i="5"/>
  <c r="N27" i="5"/>
  <c r="N25" i="5"/>
  <c r="N23" i="5"/>
  <c r="N21" i="5"/>
  <c r="N19" i="5"/>
  <c r="N14" i="5"/>
  <c r="N12" i="5"/>
  <c r="N10" i="5"/>
  <c r="N8" i="5"/>
  <c r="N6" i="5"/>
  <c r="N4" i="5"/>
  <c r="N36" i="5"/>
  <c r="N32" i="5"/>
  <c r="N28" i="5"/>
  <c r="N26" i="5"/>
  <c r="N22" i="5"/>
  <c r="N18" i="5"/>
  <c r="N16" i="5"/>
  <c r="N13" i="5"/>
  <c r="N11" i="5"/>
  <c r="N7" i="5"/>
  <c r="M16" i="5" l="1"/>
  <c r="O16" i="5" s="1"/>
  <c r="M28" i="5"/>
  <c r="O28" i="5" s="1"/>
  <c r="M6" i="5"/>
  <c r="O6" i="5" s="1"/>
  <c r="M14" i="5"/>
  <c r="O14" i="5" s="1"/>
  <c r="M25" i="5"/>
  <c r="O25" i="5" s="1"/>
  <c r="M7" i="5"/>
  <c r="O7" i="5" s="1"/>
  <c r="M13" i="5"/>
  <c r="O13" i="5" s="1"/>
  <c r="M18" i="5"/>
  <c r="O18" i="5" s="1"/>
  <c r="M26" i="5"/>
  <c r="O26" i="5" s="1"/>
  <c r="M32" i="5"/>
  <c r="O32" i="5" s="1"/>
  <c r="M4" i="5"/>
  <c r="O4" i="5" s="1"/>
  <c r="M8" i="5"/>
  <c r="O8" i="5" s="1"/>
  <c r="M12" i="5"/>
  <c r="O12" i="5" s="1"/>
  <c r="M19" i="5"/>
  <c r="O19" i="5" s="1"/>
  <c r="M23" i="5"/>
  <c r="O23" i="5" s="1"/>
  <c r="M27" i="5"/>
  <c r="O27" i="5" s="1"/>
  <c r="M31" i="5"/>
  <c r="O31" i="5" s="1"/>
  <c r="M35" i="5"/>
  <c r="O35" i="5" s="1"/>
  <c r="M5" i="5"/>
  <c r="O5" i="5" s="1"/>
  <c r="M15" i="5"/>
  <c r="O15" i="5" s="1"/>
  <c r="M20" i="5"/>
  <c r="O20" i="5" s="1"/>
  <c r="M30" i="5"/>
  <c r="O30" i="5" s="1"/>
  <c r="M38" i="5"/>
  <c r="O38" i="5" s="1"/>
  <c r="M41" i="5"/>
  <c r="O41" i="5" s="1"/>
  <c r="M45" i="5"/>
  <c r="O45" i="5" s="1"/>
  <c r="M49" i="5"/>
  <c r="O49" i="5" s="1"/>
  <c r="M53" i="5"/>
  <c r="O53" i="5" s="1"/>
  <c r="M57" i="5"/>
  <c r="O57" i="5" s="1"/>
  <c r="M61" i="5"/>
  <c r="O61" i="5" s="1"/>
  <c r="M65" i="5"/>
  <c r="O65" i="5" s="1"/>
  <c r="M69" i="5"/>
  <c r="O69" i="5" s="1"/>
  <c r="M73" i="5"/>
  <c r="O73" i="5" s="1"/>
  <c r="M77" i="5"/>
  <c r="O77" i="5" s="1"/>
  <c r="M81" i="5"/>
  <c r="O81" i="5" s="1"/>
  <c r="M85" i="5"/>
  <c r="O85" i="5" s="1"/>
  <c r="M89" i="5"/>
  <c r="O89" i="5" s="1"/>
  <c r="M93" i="5"/>
  <c r="O93" i="5" s="1"/>
  <c r="M97" i="5"/>
  <c r="O97" i="5" s="1"/>
  <c r="M101" i="5"/>
  <c r="O101" i="5" s="1"/>
  <c r="M40" i="5"/>
  <c r="O40" i="5" s="1"/>
  <c r="M44" i="5"/>
  <c r="O44" i="5" s="1"/>
  <c r="M48" i="5"/>
  <c r="O48" i="5" s="1"/>
  <c r="M52" i="5"/>
  <c r="O52" i="5" s="1"/>
  <c r="M56" i="5"/>
  <c r="O56" i="5" s="1"/>
  <c r="M60" i="5"/>
  <c r="O60" i="5" s="1"/>
  <c r="M64" i="5"/>
  <c r="O64" i="5" s="1"/>
  <c r="M68" i="5"/>
  <c r="O68" i="5" s="1"/>
  <c r="M72" i="5"/>
  <c r="O72" i="5" s="1"/>
  <c r="M76" i="5"/>
  <c r="O76" i="5" s="1"/>
  <c r="M80" i="5"/>
  <c r="O80" i="5" s="1"/>
  <c r="M84" i="5"/>
  <c r="O84" i="5" s="1"/>
  <c r="M88" i="5"/>
  <c r="O88" i="5" s="1"/>
  <c r="M92" i="5"/>
  <c r="O92" i="5" s="1"/>
  <c r="M96" i="5"/>
  <c r="O96" i="5" s="1"/>
  <c r="M100" i="5"/>
  <c r="O100" i="5" s="1"/>
  <c r="M11" i="5"/>
  <c r="O11" i="5" s="1"/>
  <c r="M22" i="5"/>
  <c r="O22" i="5" s="1"/>
  <c r="M36" i="5"/>
  <c r="O36" i="5" s="1"/>
  <c r="M10" i="5"/>
  <c r="O10" i="5" s="1"/>
  <c r="M21" i="5"/>
  <c r="O21" i="5" s="1"/>
  <c r="M29" i="5"/>
  <c r="O29" i="5" s="1"/>
  <c r="M33" i="5"/>
  <c r="O33" i="5" s="1"/>
  <c r="M37" i="5"/>
  <c r="O37" i="5" s="1"/>
  <c r="M9" i="5"/>
  <c r="O9" i="5" s="1"/>
  <c r="M17" i="5"/>
  <c r="O17" i="5" s="1"/>
  <c r="M24" i="5"/>
  <c r="O24" i="5" s="1"/>
  <c r="M34" i="5"/>
  <c r="O34" i="5" s="1"/>
  <c r="M39" i="5"/>
  <c r="O39" i="5" s="1"/>
  <c r="M43" i="5"/>
  <c r="O43" i="5" s="1"/>
  <c r="M47" i="5"/>
  <c r="O47" i="5" s="1"/>
  <c r="M51" i="5"/>
  <c r="O51" i="5" s="1"/>
  <c r="M55" i="5"/>
  <c r="O55" i="5" s="1"/>
  <c r="M59" i="5"/>
  <c r="O59" i="5" s="1"/>
  <c r="M63" i="5"/>
  <c r="O63" i="5" s="1"/>
  <c r="M67" i="5"/>
  <c r="O67" i="5" s="1"/>
  <c r="M71" i="5"/>
  <c r="O71" i="5" s="1"/>
  <c r="M75" i="5"/>
  <c r="O75" i="5" s="1"/>
  <c r="M79" i="5"/>
  <c r="O79" i="5" s="1"/>
  <c r="M83" i="5"/>
  <c r="O83" i="5" s="1"/>
  <c r="M87" i="5"/>
  <c r="O87" i="5" s="1"/>
  <c r="M91" i="5"/>
  <c r="O91" i="5" s="1"/>
  <c r="M95" i="5"/>
  <c r="O95" i="5" s="1"/>
  <c r="M99" i="5"/>
  <c r="O99" i="5" s="1"/>
  <c r="M103" i="5"/>
  <c r="O103" i="5" s="1"/>
  <c r="M42" i="5"/>
  <c r="O42" i="5" s="1"/>
  <c r="M46" i="5"/>
  <c r="O46" i="5" s="1"/>
  <c r="M50" i="5"/>
  <c r="O50" i="5" s="1"/>
  <c r="M54" i="5"/>
  <c r="O54" i="5" s="1"/>
  <c r="M58" i="5"/>
  <c r="O58" i="5" s="1"/>
  <c r="M62" i="5"/>
  <c r="O62" i="5" s="1"/>
  <c r="M66" i="5"/>
  <c r="O66" i="5" s="1"/>
  <c r="M70" i="5"/>
  <c r="O70" i="5" s="1"/>
  <c r="M74" i="5"/>
  <c r="O74" i="5" s="1"/>
  <c r="M78" i="5"/>
  <c r="O78" i="5" s="1"/>
  <c r="M82" i="5"/>
  <c r="O82" i="5" s="1"/>
  <c r="M86" i="5"/>
  <c r="O86" i="5" s="1"/>
  <c r="M90" i="5"/>
  <c r="O90" i="5" s="1"/>
  <c r="M94" i="5"/>
  <c r="O94" i="5" s="1"/>
  <c r="M98" i="5"/>
  <c r="O98" i="5" s="1"/>
  <c r="M102" i="5"/>
  <c r="O102" i="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YOSHIKI IWATA</author>
  </authors>
  <commentList>
    <comment ref="B10" authorId="0" shapeId="0" xr:uid="{00000000-0006-0000-0200-000001000000}">
      <text>
        <r>
          <rPr>
            <b/>
            <sz val="9"/>
            <color indexed="81"/>
            <rFont val="MS P ゴシック"/>
            <family val="3"/>
            <charset val="128"/>
          </rPr>
          <t>計測後記入
時間はマイコン依存のため、
相対数値を入力のこと</t>
        </r>
      </text>
    </comment>
    <comment ref="C12" authorId="0" shapeId="0" xr:uid="{00000000-0006-0000-0200-000002000000}">
      <text>
        <r>
          <rPr>
            <b/>
            <sz val="9"/>
            <color indexed="81"/>
            <rFont val="ＭＳ Ｐゴシック"/>
            <family val="3"/>
            <charset val="128"/>
          </rPr>
          <t>1つの場合は、機能名となるため、記載不要
機能名と合わせて、14文字以内で記入すること
"_"は1つまで使用可</t>
        </r>
      </text>
    </comment>
    <comment ref="E12" authorId="0" shapeId="0" xr:uid="{00000000-0006-0000-0200-000003000000}">
      <text>
        <r>
          <rPr>
            <b/>
            <sz val="9"/>
            <color indexed="81"/>
            <rFont val="ＭＳ Ｐゴシック"/>
            <family val="3"/>
            <charset val="128"/>
          </rPr>
          <t>リモートウォーニング信号を送信する場合は"○"</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鈴木　大助</author>
  </authors>
  <commentList>
    <comment ref="C3" authorId="0" shapeId="0" xr:uid="{00000000-0006-0000-0300-000001000000}">
      <text>
        <r>
          <rPr>
            <b/>
            <sz val="9"/>
            <color indexed="81"/>
            <rFont val="MS P ゴシック"/>
            <family val="3"/>
            <charset val="128"/>
          </rPr>
          <t xml:space="preserve">原則、TMC Spec内にて定義される機能名称を採用すること
記載例)
ECORUN
EPB
VSC
ICS
AHS
TPMS
PCS
FCM_LDA
FCM_LTC
FCM_LKA
DS1_LDA
DS1_LTC
DS1_LKA
ASPGSP
INFRA
BSM
CSR
VGRS
REARCAM
BADW
ARS
PSB
AUTOP
MM_AUDIO
MM_TEL
MM_NAVI_LV2
BRKPF
RSA
CSR_TTR
</t>
        </r>
      </text>
    </comment>
    <comment ref="P3" authorId="0" shapeId="0" xr:uid="{00000000-0006-0000-0300-000002000000}">
      <text>
        <r>
          <rPr>
            <b/>
            <sz val="9"/>
            <color indexed="81"/>
            <rFont val="MS P ゴシック"/>
            <family val="3"/>
            <charset val="128"/>
          </rPr>
          <t xml:space="preserve">Config関数の戻りの型を入力
</t>
        </r>
      </text>
    </comment>
    <comment ref="Q3" authorId="0" shapeId="0" xr:uid="{00000000-0006-0000-0300-000003000000}">
      <text>
        <r>
          <rPr>
            <b/>
            <sz val="9"/>
            <color indexed="81"/>
            <rFont val="MS P ゴシック"/>
            <family val="3"/>
            <charset val="128"/>
          </rPr>
          <t>Config関数の関数名を記載。
※引数も記載すること。
※終端の「;」は記載不要。
※信号名を使用する際は、信号名部分はすべて大文字とすること。</t>
        </r>
      </text>
    </comment>
    <comment ref="P33" authorId="0" shapeId="0" xr:uid="{00000000-0006-0000-0300-000004000000}">
      <text>
        <r>
          <rPr>
            <b/>
            <sz val="9"/>
            <color indexed="81"/>
            <rFont val="MS P ゴシック"/>
            <family val="3"/>
            <charset val="128"/>
          </rPr>
          <t>変数の型について記載
※「extern const」はtool側で付与するため記載不要</t>
        </r>
      </text>
    </comment>
    <comment ref="Q33" authorId="0" shapeId="0" xr:uid="{00000000-0006-0000-0300-000005000000}">
      <text>
        <r>
          <rPr>
            <b/>
            <sz val="9"/>
            <color indexed="81"/>
            <rFont val="MS P ゴシック"/>
            <family val="3"/>
            <charset val="128"/>
          </rPr>
          <t>Configに配置する変数名を記載。
※先頭の「extern const」、終端の「;」は記載不要。</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鈴木　大助</author>
    <author>YOSHIKI IWATA</author>
  </authors>
  <commentList>
    <comment ref="E2" authorId="0" shapeId="0" xr:uid="{00000000-0006-0000-0400-000001000000}">
      <text>
        <r>
          <rPr>
            <b/>
            <sz val="9"/>
            <color indexed="81"/>
            <rFont val="MS P ゴシック"/>
            <family val="3"/>
            <charset val="128"/>
          </rPr>
          <t>VSV側にて参照する情報</t>
        </r>
      </text>
    </comment>
    <comment ref="F2" authorId="1" shapeId="0" xr:uid="{00000000-0006-0000-0400-000002000000}">
      <text>
        <r>
          <rPr>
            <b/>
            <sz val="9"/>
            <color indexed="81"/>
            <rFont val="ＭＳ Ｐゴシック"/>
            <family val="3"/>
            <charset val="128"/>
          </rPr>
          <t>TYPE                      Period[ms]  ON Duty[%]  Start
OFF                          -           -              OFF
ON                           -           -               ON
FLASH_2000_D25_ON     2000        25%           ON 
FLASH_250_D50_ON       250         50%           ON
FLASH_1000_D50_ON     1000        50%           ON
FLASH_500_D50_ON       500         50%           ON
FLASH_600_D50_ON       600         50%           ON
FLASH_1500_D50_ON     1500        50%           ON
FLASH_2000_D50_ON     2000        50%           ON
FLASH_1000_D50_OFF    1000        50%          OFF
FLASH_2000_D75_ON     2000        75%           ON
FLASH_4000_D50_ON     4000        50%           ON
FLASH_300_D50_ON       300         50%           ON</t>
        </r>
      </text>
    </comment>
    <comment ref="G2" authorId="0" shapeId="0" xr:uid="{00000000-0006-0000-0400-000003000000}">
      <text>
        <r>
          <rPr>
            <b/>
            <sz val="9"/>
            <color indexed="81"/>
            <rFont val="MS P ゴシック"/>
            <family val="3"/>
            <charset val="128"/>
          </rPr>
          <t>VSV側にて参照する情報</t>
        </r>
      </text>
    </comment>
    <comment ref="H2" authorId="0" shapeId="0" xr:uid="{00000000-0006-0000-0400-000004000000}">
      <text>
        <r>
          <rPr>
            <b/>
            <sz val="9"/>
            <color indexed="81"/>
            <rFont val="MS P ゴシック"/>
            <family val="3"/>
            <charset val="128"/>
          </rPr>
          <t>[吹鳴パターン]_[周波数(Hz)]_[周期(sec)]_[Duty(%)]
e.x.
VR_800_1P2         /* volume reduction,  800Hz, 1.2   sec                 */
CO_800             /* continous,         800Hz                            */
SI_800_0P2         /* 1 times,           800Hz, 0.2   sec                 */
IN_800_1P2_D50     /* intermittent,      800Hz, 1.2   sec,  50   % duty   */
SI_1600_0P2_D50_X2 /* 2 times,          1600Hz, 0.2   sec,  50   % duty   */</t>
        </r>
      </text>
    </comment>
    <comment ref="I2" authorId="0" shapeId="0" xr:uid="{00000000-0006-0000-0400-000005000000}">
      <text>
        <r>
          <rPr>
            <b/>
            <sz val="9"/>
            <color indexed="81"/>
            <rFont val="MS P ゴシック"/>
            <family val="3"/>
            <charset val="128"/>
          </rPr>
          <t>VSV側にて参照する情報</t>
        </r>
      </text>
    </comment>
    <comment ref="J2" authorId="1" shapeId="0" xr:uid="{00000000-0006-0000-0400-000006000000}">
      <text>
        <r>
          <rPr>
            <b/>
            <sz val="9"/>
            <color indexed="81"/>
            <rFont val="MS P ゴシック"/>
            <family val="3"/>
            <charset val="128"/>
          </rPr>
          <t>Alert制御仕様書に定義されるWarningNoを記載
※アドバイス一覧にて定義されるメッセージNoと紐付くWarningNo</t>
        </r>
      </text>
    </comment>
    <comment ref="K2" authorId="0" shapeId="0" xr:uid="{00000000-0006-0000-0400-000007000000}">
      <text>
        <r>
          <rPr>
            <b/>
            <sz val="9"/>
            <color indexed="81"/>
            <rFont val="MS P ゴシック"/>
            <family val="3"/>
            <charset val="128"/>
          </rPr>
          <t>Vom::Alertにて参照する情報
Alert Option Available IF Listから選択</t>
        </r>
      </text>
    </comment>
    <comment ref="L2" authorId="1" shapeId="0" xr:uid="{00000000-0006-0000-0400-000008000000}">
      <text>
        <r>
          <rPr>
            <b/>
            <sz val="9"/>
            <color indexed="81"/>
            <rFont val="MS P ゴシック"/>
            <family val="3"/>
            <charset val="128"/>
          </rPr>
          <t>出力するCAN Signal名を記載</t>
        </r>
      </text>
    </comment>
    <comment ref="M2" authorId="1" shapeId="0" xr:uid="{00000000-0006-0000-0400-000009000000}">
      <text>
        <r>
          <rPr>
            <b/>
            <sz val="9"/>
            <color indexed="81"/>
            <rFont val="ＭＳ Ｐゴシック"/>
            <family val="3"/>
            <charset val="128"/>
          </rPr>
          <t>32文字以内とすること</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YOSHIKI IWATA</author>
    <author>鈴木　大助</author>
  </authors>
  <commentList>
    <comment ref="B6" authorId="0" shapeId="0" xr:uid="{00000000-0006-0000-0600-000001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9" authorId="1" shapeId="0" xr:uid="{00000000-0006-0000-0600-000002000000}">
      <text>
        <r>
          <rPr>
            <b/>
            <sz val="9"/>
            <color indexed="81"/>
            <rFont val="MS P ゴシック"/>
            <family val="3"/>
            <charset val="128"/>
          </rPr>
          <t xml:space="preserve">リモート送信条件成立：IG ON 且つ PTS ONが15[s]以上
</t>
        </r>
      </text>
    </comment>
    <comment ref="E9" authorId="1" shapeId="0" xr:uid="{00000000-0006-0000-0600-000003000000}">
      <text>
        <r>
          <rPr>
            <b/>
            <sz val="9"/>
            <color indexed="81"/>
            <rFont val="MS P ゴシック"/>
            <family val="3"/>
            <charset val="128"/>
          </rPr>
          <t xml:space="preserve">IG ON 且つ ST OFF
</t>
        </r>
      </text>
    </comment>
    <comment ref="F9" authorId="1" shapeId="0" xr:uid="{00000000-0006-0000-0600-000004000000}">
      <text>
        <r>
          <rPr>
            <b/>
            <sz val="9"/>
            <color indexed="81"/>
            <rFont val="MS P ゴシック"/>
            <family val="3"/>
            <charset val="128"/>
          </rPr>
          <t>IG ON</t>
        </r>
      </text>
    </comment>
    <comment ref="G9" authorId="1" shapeId="0" xr:uid="{00000000-0006-0000-0600-000005000000}">
      <text>
        <r>
          <rPr>
            <b/>
            <sz val="9"/>
            <color indexed="81"/>
            <rFont val="MS P ゴシック"/>
            <family val="3"/>
            <charset val="128"/>
          </rPr>
          <t xml:space="preserve">IG OFF 且つ IG OFF後25[m]未満
</t>
        </r>
      </text>
    </comment>
    <comment ref="H9" authorId="1" shapeId="0" xr:uid="{00000000-0006-0000-0600-000006000000}">
      <text>
        <r>
          <rPr>
            <b/>
            <sz val="9"/>
            <color indexed="81"/>
            <rFont val="MS P ゴシック"/>
            <family val="3"/>
            <charset val="128"/>
          </rPr>
          <t xml:space="preserve">IG OFF
</t>
        </r>
      </text>
    </comment>
    <comment ref="I9" authorId="1" shapeId="0" xr:uid="{00000000-0006-0000-0600-000007000000}">
      <text>
        <r>
          <rPr>
            <b/>
            <sz val="9"/>
            <color indexed="81"/>
            <rFont val="MS P ゴシック"/>
            <family val="3"/>
            <charset val="128"/>
          </rPr>
          <t xml:space="preserve">IG ON 又は IG OFF後25[m]未満
</t>
        </r>
      </text>
    </comment>
    <comment ref="J9" authorId="1" shapeId="0" xr:uid="{00000000-0006-0000-0600-000008000000}">
      <text>
        <r>
          <rPr>
            <b/>
            <sz val="9"/>
            <color indexed="81"/>
            <rFont val="MS P ゴシック"/>
            <family val="3"/>
            <charset val="128"/>
          </rPr>
          <t>+B ON 又は ACC ON</t>
        </r>
      </text>
    </comment>
    <comment ref="B24" authorId="0" shapeId="0" xr:uid="{321ABBF1-CCFB-44EA-8E5F-4EA0D87974B1}">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27" authorId="1" shapeId="0" xr:uid="{8F12E293-CACB-4CC6-8B70-B844A1DB8055}">
      <text>
        <r>
          <rPr>
            <b/>
            <sz val="9"/>
            <color indexed="81"/>
            <rFont val="MS P ゴシック"/>
            <family val="3"/>
            <charset val="128"/>
          </rPr>
          <t xml:space="preserve">リモート送信条件成立：IG ON 且つ PTS ONが15[s]以上
</t>
        </r>
      </text>
    </comment>
    <comment ref="E27" authorId="1" shapeId="0" xr:uid="{1B7175B2-C0E0-4762-BA84-FAFA6458FB73}">
      <text>
        <r>
          <rPr>
            <b/>
            <sz val="9"/>
            <color indexed="81"/>
            <rFont val="MS P ゴシック"/>
            <family val="3"/>
            <charset val="128"/>
          </rPr>
          <t xml:space="preserve">IG ON 且つ ST OFF
</t>
        </r>
      </text>
    </comment>
    <comment ref="F27" authorId="1" shapeId="0" xr:uid="{B578FB0D-60F5-4E08-A3B0-23718485C08C}">
      <text>
        <r>
          <rPr>
            <b/>
            <sz val="9"/>
            <color indexed="81"/>
            <rFont val="MS P ゴシック"/>
            <family val="3"/>
            <charset val="128"/>
          </rPr>
          <t>IG ON</t>
        </r>
      </text>
    </comment>
    <comment ref="G27" authorId="1" shapeId="0" xr:uid="{C23AE5B2-20FB-4BC7-BC92-6FDF644F7C81}">
      <text>
        <r>
          <rPr>
            <b/>
            <sz val="9"/>
            <color indexed="81"/>
            <rFont val="MS P ゴシック"/>
            <family val="3"/>
            <charset val="128"/>
          </rPr>
          <t xml:space="preserve">IG OFF 且つ IG OFF後25[m]未満
</t>
        </r>
      </text>
    </comment>
    <comment ref="H27" authorId="1" shapeId="0" xr:uid="{A0E3B7EE-A0F0-4F4A-970B-1536E4DF1990}">
      <text>
        <r>
          <rPr>
            <b/>
            <sz val="9"/>
            <color indexed="81"/>
            <rFont val="MS P ゴシック"/>
            <family val="3"/>
            <charset val="128"/>
          </rPr>
          <t xml:space="preserve">IG OFF
</t>
        </r>
      </text>
    </comment>
    <comment ref="I27" authorId="1" shapeId="0" xr:uid="{966E36B8-A5E2-4970-8E97-11C66D3DA1C5}">
      <text>
        <r>
          <rPr>
            <b/>
            <sz val="9"/>
            <color indexed="81"/>
            <rFont val="MS P ゴシック"/>
            <family val="3"/>
            <charset val="128"/>
          </rPr>
          <t xml:space="preserve">IG ON 又は IG OFF後25[m]未満
</t>
        </r>
      </text>
    </comment>
    <comment ref="J27" authorId="1" shapeId="0" xr:uid="{CA765C26-546D-49EB-AA32-62EB0E1ADBB5}">
      <text>
        <r>
          <rPr>
            <b/>
            <sz val="9"/>
            <color indexed="81"/>
            <rFont val="MS P ゴシック"/>
            <family val="3"/>
            <charset val="128"/>
          </rPr>
          <t>+B ON 又は ACC ON</t>
        </r>
      </text>
    </comment>
  </commentList>
</comments>
</file>

<file path=xl/sharedStrings.xml><?xml version="1.0" encoding="utf-8"?>
<sst xmlns="http://schemas.openxmlformats.org/spreadsheetml/2006/main" count="4746" uniqueCount="301">
  <si>
    <t>更新履歴</t>
    <phoneticPr fontId="2"/>
  </si>
  <si>
    <t>更新内容</t>
    <phoneticPr fontId="2"/>
  </si>
  <si>
    <t>対象ソフトVer</t>
    <phoneticPr fontId="2"/>
  </si>
  <si>
    <t>Git(CommitID)</t>
    <phoneticPr fontId="2"/>
  </si>
  <si>
    <t>Component
Version</t>
    <phoneticPr fontId="2"/>
  </si>
  <si>
    <t>承認欄 [DENSO]</t>
    <phoneticPr fontId="2"/>
  </si>
  <si>
    <t>承認者</t>
  </si>
  <si>
    <t>承認日</t>
  </si>
  <si>
    <t>検討者</t>
  </si>
  <si>
    <t>検討日</t>
  </si>
  <si>
    <t>作成者</t>
  </si>
  <si>
    <t>作成日</t>
  </si>
  <si>
    <t>承認欄 [NTTデータMSE]</t>
  </si>
  <si>
    <t>コンポーネント</t>
    <phoneticPr fontId="2"/>
  </si>
  <si>
    <t>Vom::Alert</t>
    <phoneticPr fontId="2"/>
  </si>
  <si>
    <t>ROW</t>
    <phoneticPr fontId="2"/>
  </si>
  <si>
    <t>Ver.</t>
    <phoneticPr fontId="2"/>
  </si>
  <si>
    <t>モジュール名</t>
    <rPh sb="5" eb="6">
      <t>メイ</t>
    </rPh>
    <phoneticPr fontId="2"/>
  </si>
  <si>
    <t>対象仕様書</t>
    <rPh sb="0" eb="2">
      <t>タイショウ</t>
    </rPh>
    <rPh sb="2" eb="5">
      <t>シヨウショ</t>
    </rPh>
    <phoneticPr fontId="2"/>
  </si>
  <si>
    <t>新規作成</t>
    <rPh sb="0" eb="2">
      <t>シンキ</t>
    </rPh>
    <rPh sb="2" eb="4">
      <t>サクセイ</t>
    </rPh>
    <phoneticPr fontId="2"/>
  </si>
  <si>
    <t>振る舞い</t>
  </si>
  <si>
    <t>種類</t>
  </si>
  <si>
    <t>CAN</t>
  </si>
  <si>
    <t>TT</t>
  </si>
  <si>
    <t>PD</t>
  </si>
  <si>
    <t>BC</t>
  </si>
  <si>
    <t>RW</t>
  </si>
  <si>
    <t>端子名称/
メッセージラベル</t>
  </si>
  <si>
    <t>信号名(データラベル)</t>
  </si>
  <si>
    <t>判定結果</t>
  </si>
  <si>
    <t>取り得る値</t>
  </si>
  <si>
    <t>-</t>
  </si>
  <si>
    <t>有効電源状態</t>
    <rPh sb="0" eb="2">
      <t>ユウコウ</t>
    </rPh>
    <phoneticPr fontId="2"/>
  </si>
  <si>
    <t>No</t>
    <phoneticPr fontId="2"/>
  </si>
  <si>
    <t>VOM</t>
    <phoneticPr fontId="2"/>
  </si>
  <si>
    <t>機能名</t>
    <rPh sb="0" eb="3">
      <t>キノウメイ</t>
    </rPh>
    <phoneticPr fontId="2"/>
  </si>
  <si>
    <t>判定要素数</t>
    <rPh sb="0" eb="2">
      <t>ハンテイ</t>
    </rPh>
    <rPh sb="2" eb="4">
      <t>ヨウソ</t>
    </rPh>
    <rPh sb="4" eb="5">
      <t>スウ</t>
    </rPh>
    <phoneticPr fontId="2"/>
  </si>
  <si>
    <t>初期化関数名</t>
    <rPh sb="0" eb="3">
      <t>ショキカ</t>
    </rPh>
    <rPh sb="3" eb="5">
      <t>カンスウ</t>
    </rPh>
    <rPh sb="5" eb="6">
      <t>メイ</t>
    </rPh>
    <phoneticPr fontId="2"/>
  </si>
  <si>
    <t>RW</t>
    <phoneticPr fontId="2"/>
  </si>
  <si>
    <t>Srcchk</t>
  </si>
  <si>
    <t>RwTx</t>
    <phoneticPr fontId="2"/>
  </si>
  <si>
    <t>CH</t>
    <phoneticPr fontId="2"/>
  </si>
  <si>
    <t>CH Name</t>
    <phoneticPr fontId="2"/>
  </si>
  <si>
    <t>処理時間</t>
    <rPh sb="0" eb="2">
      <t>ショリ</t>
    </rPh>
    <rPh sb="2" eb="4">
      <t>ジカン</t>
    </rPh>
    <phoneticPr fontId="2"/>
  </si>
  <si>
    <t>VOM</t>
    <phoneticPr fontId="2"/>
  </si>
  <si>
    <t>ALERT_VOM_BAT_AO</t>
  </si>
  <si>
    <t>ALERT_VOM_BAT_WT</t>
  </si>
  <si>
    <t>ALERT_VOM_IGN_ON</t>
  </si>
  <si>
    <t>ALERT_VOM_VCS_ON</t>
  </si>
  <si>
    <t>NULL</t>
    <phoneticPr fontId="2"/>
  </si>
  <si>
    <t>REQ</t>
    <phoneticPr fontId="2"/>
  </si>
  <si>
    <t>Value</t>
  </si>
  <si>
    <t>TT機能判定</t>
  </si>
  <si>
    <t>BC機能判定</t>
  </si>
  <si>
    <t>PD機能判定</t>
  </si>
  <si>
    <t>RW機能判定</t>
  </si>
  <si>
    <t>文字数</t>
  </si>
  <si>
    <t>ALERT CH</t>
    <phoneticPr fontId="2"/>
  </si>
  <si>
    <t>→</t>
  </si>
  <si>
    <t>bit</t>
  </si>
  <si>
    <t>ALERT_VOM_RWT_EN</t>
  </si>
  <si>
    <t>[reserved]</t>
  </si>
  <si>
    <t>Master Table</t>
    <phoneticPr fontId="2"/>
  </si>
  <si>
    <t>Criteria</t>
    <phoneticPr fontId="2"/>
  </si>
  <si>
    <t>Mask</t>
    <phoneticPr fontId="2"/>
  </si>
  <si>
    <t>[reserved]</t>
    <phoneticPr fontId="2"/>
  </si>
  <si>
    <t>×</t>
    <phoneticPr fontId="2"/>
  </si>
  <si>
    <t xml:space="preserve">    {</t>
    <phoneticPr fontId="2"/>
  </si>
  <si>
    <t xml:space="preserve">    }</t>
    <phoneticPr fontId="2"/>
  </si>
  <si>
    <t>MtxSrch変数名</t>
    <phoneticPr fontId="2"/>
  </si>
  <si>
    <t>Use MtxSrch</t>
  </si>
  <si>
    <t>CRIT_NAME</t>
  </si>
  <si>
    <t>MASK_NAME</t>
  </si>
  <si>
    <t>MTXSRCH_DEF</t>
  </si>
  <si>
    <t>MTXSRCH_OUT_DEF</t>
  </si>
  <si>
    <t>SRCH_NUM</t>
  </si>
  <si>
    <t>SRC CHK</t>
  </si>
  <si>
    <t>ACT</t>
  </si>
  <si>
    <r>
      <t>ALERT_MTRX</t>
    </r>
    <r>
      <rPr>
        <sz val="11"/>
        <rFont val="ＭＳ Ｐゴシック"/>
        <family val="3"/>
        <charset val="128"/>
      </rPr>
      <t>変数名</t>
    </r>
    <rPh sb="10" eb="12">
      <t>ヘンスウ</t>
    </rPh>
    <rPh sb="12" eb="13">
      <t>メイ</t>
    </rPh>
    <phoneticPr fontId="9"/>
  </si>
  <si>
    <t>RWTX</t>
    <phoneticPr fontId="2"/>
  </si>
  <si>
    <t>};</t>
    <phoneticPr fontId="2"/>
  </si>
  <si>
    <t>貼り付けコード</t>
    <rPh sb="0" eb="1">
      <t>ハ</t>
    </rPh>
    <rPh sb="2" eb="3">
      <t>ツ</t>
    </rPh>
    <phoneticPr fontId="2"/>
  </si>
  <si>
    <t>Code for alert_mtrx.h</t>
    <phoneticPr fontId="2"/>
  </si>
  <si>
    <t>INDEX</t>
    <phoneticPr fontId="2"/>
  </si>
  <si>
    <t>Rev.</t>
    <phoneticPr fontId="2"/>
  </si>
  <si>
    <t>テンプレート変更内容</t>
    <rPh sb="6" eb="8">
      <t>ヘンコウ</t>
    </rPh>
    <rPh sb="8" eb="10">
      <t>ナイヨウ</t>
    </rPh>
    <phoneticPr fontId="2"/>
  </si>
  <si>
    <t>CH名称中間データ</t>
    <rPh sb="2" eb="4">
      <t>メイショウ</t>
    </rPh>
    <rPh sb="4" eb="6">
      <t>チュウカン</t>
    </rPh>
    <phoneticPr fontId="2"/>
  </si>
  <si>
    <t>ALERT_MTRX_NAME</t>
    <phoneticPr fontId="2"/>
  </si>
  <si>
    <t>変更者</t>
    <rPh sb="0" eb="2">
      <t>ヘンコウ</t>
    </rPh>
    <rPh sb="2" eb="3">
      <t>シャ</t>
    </rPh>
    <phoneticPr fontId="2"/>
  </si>
  <si>
    <t>岩田</t>
    <rPh sb="0" eb="2">
      <t>イワタ</t>
    </rPh>
    <phoneticPr fontId="2"/>
  </si>
  <si>
    <t>・Historyシートに変更者列を追加
・ALERT_MTRX_NAMEがCH名ではなく、機能名で出力されるように修正
・DSTテーブルの終端「};」の後ろに半角スペースが入らないように修正</t>
    <rPh sb="12" eb="14">
      <t>ヘンコウ</t>
    </rPh>
    <rPh sb="14" eb="15">
      <t>シャ</t>
    </rPh>
    <rPh sb="15" eb="16">
      <t>レツ</t>
    </rPh>
    <rPh sb="17" eb="19">
      <t>ツイカ</t>
    </rPh>
    <rPh sb="39" eb="40">
      <t>メイ</t>
    </rPh>
    <rPh sb="45" eb="47">
      <t>キノウ</t>
    </rPh>
    <rPh sb="47" eb="48">
      <t>メイ</t>
    </rPh>
    <rPh sb="49" eb="51">
      <t>シュツリョク</t>
    </rPh>
    <rPh sb="57" eb="59">
      <t>シュウセイ</t>
    </rPh>
    <rPh sb="69" eb="71">
      <t>シュウタン</t>
    </rPh>
    <rPh sb="76" eb="77">
      <t>ウシ</t>
    </rPh>
    <rPh sb="79" eb="81">
      <t>ハンカク</t>
    </rPh>
    <rPh sb="86" eb="87">
      <t>ハイ</t>
    </rPh>
    <rPh sb="93" eb="95">
      <t>シュウセイ</t>
    </rPh>
    <phoneticPr fontId="2"/>
  </si>
  <si>
    <t>ROW</t>
    <phoneticPr fontId="2"/>
  </si>
  <si>
    <t>MSE佐野</t>
    <rPh sb="3" eb="5">
      <t>サノ</t>
    </rPh>
    <phoneticPr fontId="2"/>
  </si>
  <si>
    <t>[表紙]
バージョン表示用の数式修正</t>
    <rPh sb="1" eb="3">
      <t>ヒョウシ</t>
    </rPh>
    <rPh sb="10" eb="12">
      <t>ヒョウジ</t>
    </rPh>
    <rPh sb="12" eb="13">
      <t>ヨウ</t>
    </rPh>
    <rPh sb="14" eb="16">
      <t>スウシキ</t>
    </rPh>
    <rPh sb="16" eb="18">
      <t>シュウセイ</t>
    </rPh>
    <phoneticPr fontId="2"/>
  </si>
  <si>
    <t>Matrix名</t>
    <rPh sb="6" eb="7">
      <t>メイ</t>
    </rPh>
    <phoneticPr fontId="2"/>
  </si>
  <si>
    <t>シート名称は、CH Nameと同じにすること。 1CHしか存在しない場合、機能名と同じにすること。</t>
    <phoneticPr fontId="2"/>
  </si>
  <si>
    <t>[Matrix]
・選択できる初期化関数名修正
・Matrix構造体名の欄を追加
・機能名とCH名の文字数制限による条件付き書式を追加</t>
    <rPh sb="10" eb="12">
      <t>センタク</t>
    </rPh>
    <rPh sb="15" eb="18">
      <t>ショキカ</t>
    </rPh>
    <rPh sb="18" eb="20">
      <t>カンスウ</t>
    </rPh>
    <rPh sb="20" eb="21">
      <t>メイ</t>
    </rPh>
    <rPh sb="21" eb="23">
      <t>シュウセイ</t>
    </rPh>
    <rPh sb="31" eb="34">
      <t>コウゾウタイ</t>
    </rPh>
    <rPh sb="34" eb="35">
      <t>メイ</t>
    </rPh>
    <rPh sb="36" eb="37">
      <t>ラン</t>
    </rPh>
    <rPh sb="38" eb="40">
      <t>ツイカ</t>
    </rPh>
    <rPh sb="42" eb="45">
      <t>キノウメイ</t>
    </rPh>
    <rPh sb="48" eb="49">
      <t>メイ</t>
    </rPh>
    <rPh sb="50" eb="53">
      <t>モジスウ</t>
    </rPh>
    <rPh sb="53" eb="55">
      <t>セイゲン</t>
    </rPh>
    <rPh sb="58" eb="60">
      <t>ジョウケン</t>
    </rPh>
    <rPh sb="60" eb="61">
      <t>ツ</t>
    </rPh>
    <rPh sb="62" eb="64">
      <t>ショシキ</t>
    </rPh>
    <rPh sb="65" eb="67">
      <t>ツイカ</t>
    </rPh>
    <phoneticPr fontId="2"/>
  </si>
  <si>
    <t>電源状態一覧</t>
    <rPh sb="0" eb="2">
      <t>デンゲン</t>
    </rPh>
    <rPh sb="2" eb="4">
      <t>ジョウタイ</t>
    </rPh>
    <rPh sb="4" eb="6">
      <t>イチラン</t>
    </rPh>
    <phoneticPr fontId="2"/>
  </si>
  <si>
    <t>＋B</t>
    <phoneticPr fontId="2"/>
  </si>
  <si>
    <t>IG-ON</t>
    <phoneticPr fontId="2"/>
  </si>
  <si>
    <t>IG-OFF</t>
    <phoneticPr fontId="2"/>
  </si>
  <si>
    <t>ACC-ON</t>
    <phoneticPr fontId="2"/>
  </si>
  <si>
    <t>ACC-OFF</t>
    <phoneticPr fontId="2"/>
  </si>
  <si>
    <t>出力なしは、ここでは定義しないこと。システム共通のALERT_REQ_UNKNOWNを使用するため。</t>
    <phoneticPr fontId="2"/>
  </si>
  <si>
    <t>MSE平出</t>
    <rPh sb="3" eb="5">
      <t>ヒライデ</t>
    </rPh>
    <phoneticPr fontId="2"/>
  </si>
  <si>
    <t>MSE鈴木大</t>
    <rPh sb="3" eb="5">
      <t>スズキ</t>
    </rPh>
    <rPh sb="5" eb="6">
      <t>ダイ</t>
    </rPh>
    <phoneticPr fontId="2"/>
  </si>
  <si>
    <t>[CH_Design]
・TT欄、BC欄の記載ルールをセルコメントとして追記。周期やDutyがわかるように変更。</t>
    <rPh sb="15" eb="16">
      <t>ラン</t>
    </rPh>
    <rPh sb="19" eb="20">
      <t>ラン</t>
    </rPh>
    <rPh sb="21" eb="23">
      <t>キサイ</t>
    </rPh>
    <rPh sb="36" eb="38">
      <t>ツイキ</t>
    </rPh>
    <rPh sb="39" eb="41">
      <t>シュウキ</t>
    </rPh>
    <rPh sb="53" eb="55">
      <t>ヘンコウ</t>
    </rPh>
    <phoneticPr fontId="2"/>
  </si>
  <si>
    <t>UNKNOWN</t>
    <phoneticPr fontId="2"/>
  </si>
  <si>
    <t>[CH_Design]
・StatusでUNKNOWNを指定できるようにダミー行を追加</t>
    <rPh sb="28" eb="30">
      <t>シテイ</t>
    </rPh>
    <rPh sb="39" eb="40">
      <t>ギョウ</t>
    </rPh>
    <rPh sb="41" eb="43">
      <t>ツイカ</t>
    </rPh>
    <phoneticPr fontId="2"/>
  </si>
  <si>
    <t>[AIRBAG]　テーブル作成シート
・DST数に接尾語"U"を追加</t>
    <rPh sb="13" eb="15">
      <t>サクセイ</t>
    </rPh>
    <rPh sb="23" eb="24">
      <t>スウ</t>
    </rPh>
    <rPh sb="25" eb="28">
      <t>セツビゴ</t>
    </rPh>
    <rPh sb="32" eb="34">
      <t>ツイカ</t>
    </rPh>
    <phoneticPr fontId="2"/>
  </si>
  <si>
    <t>[CH_Design]
・機能の電源状態を記載する欄を追加
・「コメント」を「条件」に変更
[AIRBAG]　テーブル作成シート
・Statusをリストから選択するように修正。
　リストの元は、CH_DesignのStausを使用。</t>
    <rPh sb="13" eb="15">
      <t>キノウ</t>
    </rPh>
    <rPh sb="16" eb="18">
      <t>デンゲン</t>
    </rPh>
    <rPh sb="18" eb="20">
      <t>ジョウタイ</t>
    </rPh>
    <rPh sb="21" eb="23">
      <t>キサイ</t>
    </rPh>
    <rPh sb="25" eb="26">
      <t>ラン</t>
    </rPh>
    <rPh sb="27" eb="29">
      <t>ツイカ</t>
    </rPh>
    <rPh sb="39" eb="41">
      <t>ジョウケン</t>
    </rPh>
    <rPh sb="43" eb="45">
      <t>ヘンコウ</t>
    </rPh>
    <rPh sb="78" eb="80">
      <t>センタク</t>
    </rPh>
    <rPh sb="85" eb="87">
      <t>シュウセイ</t>
    </rPh>
    <rPh sb="94" eb="95">
      <t>モト</t>
    </rPh>
    <rPh sb="113" eb="115">
      <t>シヨウ</t>
    </rPh>
    <phoneticPr fontId="2"/>
  </si>
  <si>
    <t>[AIRBAG]　テーブル作成シート
・64要素で出力させた際に、終端の"};"が出力されるように修正</t>
    <rPh sb="22" eb="24">
      <t>ヨウソ</t>
    </rPh>
    <rPh sb="25" eb="27">
      <t>シュツリョク</t>
    </rPh>
    <rPh sb="30" eb="31">
      <t>サイ</t>
    </rPh>
    <rPh sb="33" eb="35">
      <t>シュウタン</t>
    </rPh>
    <rPh sb="41" eb="43">
      <t>シュツリョク</t>
    </rPh>
    <rPh sb="49" eb="51">
      <t>シュウセイ</t>
    </rPh>
    <phoneticPr fontId="2"/>
  </si>
  <si>
    <t>[AIRBAG]　テーブル作成シート
・VOM CHKにIG OFF Bit追加</t>
    <rPh sb="38" eb="40">
      <t>ツイカ</t>
    </rPh>
    <phoneticPr fontId="2"/>
  </si>
  <si>
    <t>MSE内藤</t>
    <rPh sb="3" eb="5">
      <t>ナイトウ</t>
    </rPh>
    <phoneticPr fontId="2"/>
  </si>
  <si>
    <t>[真理値表]
出力判定方法（Index or Matrix Search）を記載する欄を追加</t>
    <rPh sb="1" eb="5">
      <t>シンリチヒョウ</t>
    </rPh>
    <rPh sb="7" eb="9">
      <t>シュツリョク</t>
    </rPh>
    <rPh sb="9" eb="11">
      <t>ハンテイ</t>
    </rPh>
    <rPh sb="11" eb="13">
      <t>ホウホウ</t>
    </rPh>
    <rPh sb="38" eb="40">
      <t>キサイ</t>
    </rPh>
    <rPh sb="42" eb="43">
      <t>ラン</t>
    </rPh>
    <rPh sb="44" eb="46">
      <t>ツイカ</t>
    </rPh>
    <phoneticPr fontId="2"/>
  </si>
  <si>
    <t>ロケーション</t>
    <phoneticPr fontId="2"/>
  </si>
  <si>
    <t>定義名</t>
    <rPh sb="0" eb="2">
      <t>テイギ</t>
    </rPh>
    <rPh sb="2" eb="3">
      <t>メイ</t>
    </rPh>
    <phoneticPr fontId="2"/>
  </si>
  <si>
    <t>ユーザ入力セル</t>
    <rPh sb="3" eb="5">
      <t>ニュウリョク</t>
    </rPh>
    <phoneticPr fontId="2"/>
  </si>
  <si>
    <t>自動計算セル</t>
    <rPh sb="0" eb="2">
      <t>ジドウ</t>
    </rPh>
    <rPh sb="2" eb="4">
      <t>ケイサン</t>
    </rPh>
    <phoneticPr fontId="2"/>
  </si>
  <si>
    <t>ALERT_VOM_IGN_OFF</t>
  </si>
  <si>
    <t>ALERT_VOM_IGN_OFF_WT</t>
  </si>
  <si>
    <t>REQ</t>
    <phoneticPr fontId="2"/>
  </si>
  <si>
    <t>Table Type</t>
    <phoneticPr fontId="2"/>
  </si>
  <si>
    <t>ALERT_VOM_BAT_AO</t>
    <phoneticPr fontId="2"/>
  </si>
  <si>
    <t>ALERT_VOM_BAT_WT</t>
    <phoneticPr fontId="2"/>
  </si>
  <si>
    <t>なし</t>
  </si>
  <si>
    <t>[真理値表]
・Referenceシートに命名変更
[Matrix]
・編集可能範囲設定
・入力仕様情報追加
[CH_Design]
・編集可能範囲設定
[AIRBAG]
・Table利用方式を選択式に変更
・Search Tableの凡例としてTT、Index Tableの凡例としてBCシートに命名変更し、新規作成</t>
    <rPh sb="1" eb="5">
      <t>シンリチヒョウ</t>
    </rPh>
    <rPh sb="21" eb="23">
      <t>メイメイ</t>
    </rPh>
    <rPh sb="23" eb="25">
      <t>ヘンコウ</t>
    </rPh>
    <rPh sb="36" eb="38">
      <t>ヘンシュウ</t>
    </rPh>
    <rPh sb="38" eb="40">
      <t>カノウ</t>
    </rPh>
    <rPh sb="40" eb="42">
      <t>ハンイ</t>
    </rPh>
    <rPh sb="42" eb="44">
      <t>セッテイ</t>
    </rPh>
    <rPh sb="46" eb="48">
      <t>ニュウリョク</t>
    </rPh>
    <rPh sb="48" eb="50">
      <t>シヨウ</t>
    </rPh>
    <rPh sb="50" eb="52">
      <t>ジョウホウ</t>
    </rPh>
    <rPh sb="52" eb="54">
      <t>ツイカ</t>
    </rPh>
    <rPh sb="68" eb="70">
      <t>ヘンシュウ</t>
    </rPh>
    <rPh sb="70" eb="72">
      <t>カノウ</t>
    </rPh>
    <rPh sb="72" eb="74">
      <t>ハンイ</t>
    </rPh>
    <rPh sb="74" eb="76">
      <t>セッテイ</t>
    </rPh>
    <rPh sb="118" eb="120">
      <t>ハンレイ</t>
    </rPh>
    <rPh sb="138" eb="140">
      <t>ハンレイ</t>
    </rPh>
    <rPh sb="149" eb="151">
      <t>メイメイ</t>
    </rPh>
    <rPh sb="151" eb="153">
      <t>ヘンコウ</t>
    </rPh>
    <rPh sb="155" eb="157">
      <t>シンキ</t>
    </rPh>
    <rPh sb="157" eb="159">
      <t>サクセイ</t>
    </rPh>
    <phoneticPr fontId="2"/>
  </si>
  <si>
    <t>１．本書の目的</t>
    <rPh sb="2" eb="4">
      <t>ホンショ</t>
    </rPh>
    <rPh sb="5" eb="7">
      <t>モクテキ</t>
    </rPh>
    <phoneticPr fontId="2"/>
  </si>
  <si>
    <t>２．上位文書</t>
    <rPh sb="2" eb="4">
      <t>ジョウイ</t>
    </rPh>
    <rPh sb="4" eb="6">
      <t>ブンショ</t>
    </rPh>
    <phoneticPr fontId="2"/>
  </si>
  <si>
    <t>３．用語の説明</t>
    <rPh sb="2" eb="4">
      <t>ヨウゴ</t>
    </rPh>
    <rPh sb="5" eb="7">
      <t>セツメイ</t>
    </rPh>
    <phoneticPr fontId="2"/>
  </si>
  <si>
    <t>#</t>
    <phoneticPr fontId="2"/>
  </si>
  <si>
    <t>用語</t>
    <rPh sb="0" eb="2">
      <t>ヨウゴ</t>
    </rPh>
    <phoneticPr fontId="2"/>
  </si>
  <si>
    <t>説明</t>
    <rPh sb="0" eb="2">
      <t>セツメイ</t>
    </rPh>
    <phoneticPr fontId="2"/>
  </si>
  <si>
    <t>Telltale</t>
  </si>
  <si>
    <t>Pop-up Display</t>
  </si>
  <si>
    <t>Buzzer/Chime</t>
  </si>
  <si>
    <t>Remote Warning</t>
  </si>
  <si>
    <t>TMC Specを分析した結果で、Vom::Alertの実装に必要となる情報を抽出し、Alert Config Toolのインプットとする。</t>
    <rPh sb="9" eb="11">
      <t>ブンセキ</t>
    </rPh>
    <rPh sb="13" eb="15">
      <t>ケッカ</t>
    </rPh>
    <rPh sb="28" eb="30">
      <t>ジッソウ</t>
    </rPh>
    <rPh sb="31" eb="33">
      <t>ヒツヨウ</t>
    </rPh>
    <rPh sb="36" eb="38">
      <t>ジョウホウ</t>
    </rPh>
    <rPh sb="39" eb="41">
      <t>チュウシュツ</t>
    </rPh>
    <phoneticPr fontId="2"/>
  </si>
  <si>
    <t>path</t>
    <phoneticPr fontId="2"/>
  </si>
  <si>
    <t>Alert設計資料</t>
    <rPh sb="5" eb="7">
      <t>セッケイ</t>
    </rPh>
    <rPh sb="7" eb="9">
      <t>シリョウ</t>
    </rPh>
    <phoneticPr fontId="2"/>
  </si>
  <si>
    <t>https://aip01.dndev.net/svn/aip/tmcapp/sd/evidence/trunk/02_Design/01_Vom/Alert/03_Component/v5xx/alert_design.pptx</t>
    <phoneticPr fontId="2"/>
  </si>
  <si>
    <t>４．各シートの説明</t>
    <rPh sb="2" eb="3">
      <t>カク</t>
    </rPh>
    <rPh sb="7" eb="9">
      <t>セツメイ</t>
    </rPh>
    <phoneticPr fontId="2"/>
  </si>
  <si>
    <t>Matrix</t>
    <phoneticPr fontId="2"/>
  </si>
  <si>
    <t>Reference</t>
    <phoneticPr fontId="2"/>
  </si>
  <si>
    <t>History</t>
    <phoneticPr fontId="2"/>
  </si>
  <si>
    <t>Alert Config Tool</t>
    <phoneticPr fontId="2"/>
  </si>
  <si>
    <t>TMC Specと本設計書のトレースをデータベース管理するTool。</t>
    <rPh sb="9" eb="10">
      <t>ホン</t>
    </rPh>
    <rPh sb="10" eb="12">
      <t>セッケイ</t>
    </rPh>
    <rPh sb="12" eb="13">
      <t>ショ</t>
    </rPh>
    <rPh sb="25" eb="27">
      <t>カンリ</t>
    </rPh>
    <phoneticPr fontId="2"/>
  </si>
  <si>
    <t>CH</t>
    <phoneticPr fontId="2"/>
  </si>
  <si>
    <t>TT/BC</t>
    <phoneticPr fontId="2"/>
  </si>
  <si>
    <t>Alert Channel。 各Specを分析した結果で決定されるモジュール内分割単位。</t>
    <rPh sb="15" eb="16">
      <t>カク</t>
    </rPh>
    <rPh sb="21" eb="23">
      <t>ブンセキ</t>
    </rPh>
    <rPh sb="25" eb="27">
      <t>ケッカ</t>
    </rPh>
    <rPh sb="28" eb="30">
      <t>ケッテイ</t>
    </rPh>
    <rPh sb="38" eb="39">
      <t>ナイ</t>
    </rPh>
    <rPh sb="39" eb="41">
      <t>ブンカツ</t>
    </rPh>
    <rPh sb="41" eb="43">
      <t>タンイ</t>
    </rPh>
    <phoneticPr fontId="2"/>
  </si>
  <si>
    <r>
      <t xml:space="preserve">対象となるTMC Specならびに分析した結果で決定されるAlert Channel情報について記載する。
</t>
    </r>
    <r>
      <rPr>
        <sz val="11"/>
        <color rgb="FF0000FF"/>
        <rFont val="ＭＳ Ｐゴシック"/>
        <family val="3"/>
        <charset val="128"/>
        <scheme val="minor"/>
      </rPr>
      <t>Alert Config Toolのインプットとする。</t>
    </r>
    <rPh sb="0" eb="2">
      <t>タイショウ</t>
    </rPh>
    <rPh sb="17" eb="19">
      <t>ブンセキ</t>
    </rPh>
    <rPh sb="21" eb="23">
      <t>ケッカ</t>
    </rPh>
    <rPh sb="24" eb="26">
      <t>ケッテイ</t>
    </rPh>
    <rPh sb="42" eb="44">
      <t>ジョウホウ</t>
    </rPh>
    <rPh sb="48" eb="50">
      <t>キサイ</t>
    </rPh>
    <phoneticPr fontId="2"/>
  </si>
  <si>
    <r>
      <t xml:space="preserve">シート名は各CH名を採用する。
対象のTMC Specを分析した結果で、各CHのインプット/アウトプットの判定条件について記載する。
</t>
    </r>
    <r>
      <rPr>
        <sz val="11"/>
        <color rgb="FF0000FF"/>
        <rFont val="ＭＳ Ｐゴシック"/>
        <family val="3"/>
        <charset val="128"/>
        <scheme val="minor"/>
      </rPr>
      <t>コーディング時のインプットとする。</t>
    </r>
    <rPh sb="3" eb="4">
      <t>メイ</t>
    </rPh>
    <rPh sb="5" eb="6">
      <t>カク</t>
    </rPh>
    <rPh sb="8" eb="9">
      <t>メイ</t>
    </rPh>
    <rPh sb="10" eb="12">
      <t>サイヨウ</t>
    </rPh>
    <rPh sb="16" eb="18">
      <t>タイショウ</t>
    </rPh>
    <rPh sb="28" eb="30">
      <t>ブンセキ</t>
    </rPh>
    <rPh sb="32" eb="34">
      <t>ケッカ</t>
    </rPh>
    <rPh sb="36" eb="37">
      <t>カク</t>
    </rPh>
    <rPh sb="53" eb="55">
      <t>ハンテイ</t>
    </rPh>
    <rPh sb="55" eb="57">
      <t>ジョウケン</t>
    </rPh>
    <rPh sb="61" eb="63">
      <t>キサイ</t>
    </rPh>
    <rPh sb="73" eb="74">
      <t>ジ</t>
    </rPh>
    <phoneticPr fontId="2"/>
  </si>
  <si>
    <t>テンプレート変更履歴</t>
    <rPh sb="6" eb="8">
      <t>ヘンコウ</t>
    </rPh>
    <rPh sb="8" eb="10">
      <t>リレキ</t>
    </rPh>
    <phoneticPr fontId="2"/>
  </si>
  <si>
    <t>VOM</t>
    <phoneticPr fontId="2"/>
  </si>
  <si>
    <t>REQ</t>
    <phoneticPr fontId="2"/>
  </si>
  <si>
    <t>鈴木大</t>
    <rPh sb="0" eb="2">
      <t>スズキ</t>
    </rPh>
    <rPh sb="2" eb="3">
      <t>ダイ</t>
    </rPh>
    <phoneticPr fontId="2"/>
  </si>
  <si>
    <t>[reserved]</t>
    <phoneticPr fontId="2"/>
  </si>
  <si>
    <t>対象のTMC Specを分析した際の中間成果物。参考情報として記載。メンテナンス対象外。</t>
    <rPh sb="0" eb="2">
      <t>タイショウ</t>
    </rPh>
    <rPh sb="12" eb="14">
      <t>ブンセキ</t>
    </rPh>
    <rPh sb="16" eb="17">
      <t>サイ</t>
    </rPh>
    <rPh sb="18" eb="20">
      <t>チュウカン</t>
    </rPh>
    <rPh sb="20" eb="23">
      <t>セイカブツ</t>
    </rPh>
    <rPh sb="24" eb="26">
      <t>サンコウ</t>
    </rPh>
    <rPh sb="26" eb="28">
      <t>ジョウホウ</t>
    </rPh>
    <rPh sb="31" eb="33">
      <t>キサイ</t>
    </rPh>
    <rPh sb="40" eb="43">
      <t>タイショウガイ</t>
    </rPh>
    <phoneticPr fontId="2"/>
  </si>
  <si>
    <t>https://aip01.dndev.net/wiki/display/MET631B/D1L1+and+R-Car+Local+Communication+Specification</t>
    <phoneticPr fontId="2"/>
  </si>
  <si>
    <t>LComSpec
(warning.xlsx)</t>
    <phoneticPr fontId="2"/>
  </si>
  <si>
    <t>*</t>
  </si>
  <si>
    <t>PD</t>
    <phoneticPr fontId="2"/>
  </si>
  <si>
    <t>－</t>
  </si>
  <si>
    <t>５．入力セルの凡例</t>
    <rPh sb="2" eb="4">
      <t>ニュウリョク</t>
    </rPh>
    <rPh sb="7" eb="9">
      <t>ハンレイ</t>
    </rPh>
    <phoneticPr fontId="2"/>
  </si>
  <si>
    <t>なし</t>
    <phoneticPr fontId="2"/>
  </si>
  <si>
    <t>[はじめに]
・新規作成
[Reference]
・出力判定方法をTable Typeに命名変更
・出力をREQに命名変更
・真理値表にVomの内容を追記
[CH_Design]
・PD欄の記載内容をLComSpecのWarning Noに変更
・機能判定欄の内容をConfig_IFシートのOption Avairable Nameからの選択形式に変更
[TT/BC]
・StatusをREQに命名変更
・Referenceに記載のINPUT DATAの順番と同じになるようTTシートのDATA順を変更
[Config_IF]
・新規追加</t>
    <rPh sb="8" eb="10">
      <t>シンキ</t>
    </rPh>
    <rPh sb="10" eb="12">
      <t>サクセイ</t>
    </rPh>
    <rPh sb="26" eb="28">
      <t>シュツリョク</t>
    </rPh>
    <rPh sb="28" eb="30">
      <t>ハンテイ</t>
    </rPh>
    <rPh sb="30" eb="32">
      <t>ホウホウ</t>
    </rPh>
    <rPh sb="44" eb="46">
      <t>メイメイ</t>
    </rPh>
    <rPh sb="46" eb="48">
      <t>ヘンコウ</t>
    </rPh>
    <rPh sb="57" eb="59">
      <t>メイメイ</t>
    </rPh>
    <rPh sb="59" eb="61">
      <t>ヘンコウ</t>
    </rPh>
    <rPh sb="63" eb="67">
      <t>シンリチヒョウ</t>
    </rPh>
    <rPh sb="72" eb="74">
      <t>ナイヨウ</t>
    </rPh>
    <rPh sb="75" eb="77">
      <t>ツイキ</t>
    </rPh>
    <rPh sb="93" eb="94">
      <t>ラン</t>
    </rPh>
    <rPh sb="95" eb="97">
      <t>キサイ</t>
    </rPh>
    <rPh sb="97" eb="99">
      <t>ナイヨウ</t>
    </rPh>
    <rPh sb="120" eb="122">
      <t>ヘンコウ</t>
    </rPh>
    <rPh sb="124" eb="126">
      <t>キノウ</t>
    </rPh>
    <rPh sb="126" eb="128">
      <t>ハンテイ</t>
    </rPh>
    <rPh sb="128" eb="129">
      <t>ラン</t>
    </rPh>
    <rPh sb="130" eb="132">
      <t>ナイヨウ</t>
    </rPh>
    <rPh sb="170" eb="172">
      <t>センタク</t>
    </rPh>
    <rPh sb="172" eb="174">
      <t>ケイシキ</t>
    </rPh>
    <rPh sb="175" eb="177">
      <t>ヘンコウ</t>
    </rPh>
    <rPh sb="198" eb="200">
      <t>メイメイ</t>
    </rPh>
    <rPh sb="200" eb="202">
      <t>ヘンコウ</t>
    </rPh>
    <rPh sb="214" eb="216">
      <t>キサイ</t>
    </rPh>
    <rPh sb="228" eb="230">
      <t>ジュンバン</t>
    </rPh>
    <rPh sb="231" eb="232">
      <t>オナ</t>
    </rPh>
    <rPh sb="248" eb="249">
      <t>ジュン</t>
    </rPh>
    <rPh sb="250" eb="252">
      <t>ヘンコウ</t>
    </rPh>
    <rPh sb="266" eb="268">
      <t>シンキ</t>
    </rPh>
    <rPh sb="268" eb="270">
      <t>ツイカ</t>
    </rPh>
    <phoneticPr fontId="2"/>
  </si>
  <si>
    <t>Config_IF</t>
    <phoneticPr fontId="2"/>
  </si>
  <si>
    <t>Vehicle Operation Mode</t>
    <phoneticPr fontId="2"/>
  </si>
  <si>
    <t>[Matrix]
・数式不備を修正</t>
    <rPh sb="10" eb="12">
      <t>スウシキ</t>
    </rPh>
    <rPh sb="12" eb="14">
      <t>フビ</t>
    </rPh>
    <rPh sb="15" eb="17">
      <t>シュウセイ</t>
    </rPh>
    <phoneticPr fontId="2"/>
  </si>
  <si>
    <t>CH_Design</t>
    <phoneticPr fontId="2"/>
  </si>
  <si>
    <t>[はじめに]
・「４．各シートの説明」-「CH_Design」の「PD欄については、LComSpecにて定義されるWarning Noを記載する。」の記述を「PD欄については、Alert制御仕様書にて定義されるWarning Noを記載する。」に変更
[CH_Design]
・「LComSpecにて定義されるWarning Noを記載」を「Alert制御仕様書に定義されるWarningNoを記載」に変更</t>
    <rPh sb="75" eb="77">
      <t>キジュツ</t>
    </rPh>
    <rPh sb="93" eb="95">
      <t>セイギョ</t>
    </rPh>
    <rPh sb="95" eb="97">
      <t>シヨウ</t>
    </rPh>
    <rPh sb="97" eb="98">
      <t>ショ</t>
    </rPh>
    <rPh sb="123" eb="125">
      <t>ヘンコウ</t>
    </rPh>
    <rPh sb="176" eb="178">
      <t>セイギョ</t>
    </rPh>
    <rPh sb="178" eb="180">
      <t>シヨウ</t>
    </rPh>
    <rPh sb="180" eb="181">
      <t>ショ</t>
    </rPh>
    <rPh sb="182" eb="184">
      <t>テイギ</t>
    </rPh>
    <rPh sb="197" eb="199">
      <t>キサイ</t>
    </rPh>
    <rPh sb="201" eb="203">
      <t>ヘンコウ</t>
    </rPh>
    <phoneticPr fontId="2"/>
  </si>
  <si>
    <r>
      <t xml:space="preserve">対象のTMC Specにおいて、Vom::Alertが外部に提供する各CHの出力(REQ)について記載する。
</t>
    </r>
    <r>
      <rPr>
        <sz val="11"/>
        <color rgb="FFFF0000"/>
        <rFont val="ＭＳ Ｐゴシック"/>
        <family val="3"/>
        <charset val="128"/>
        <scheme val="minor"/>
      </rPr>
      <t>機能判定欄については、出力先によって実施責務が異なるため、出力先毎に有無を記載する。
　</t>
    </r>
    <r>
      <rPr>
        <sz val="11"/>
        <color rgb="FFFF0000"/>
        <rFont val="ＭＳ Ｐゴシック"/>
        <family val="2"/>
        <charset val="128"/>
        <scheme val="minor"/>
      </rPr>
      <t>TT</t>
    </r>
    <r>
      <rPr>
        <sz val="11"/>
        <color rgb="FFFF0000"/>
        <rFont val="ＭＳ Ｐゴシック"/>
        <family val="3"/>
        <charset val="128"/>
        <scheme val="minor"/>
      </rPr>
      <t>機能判定、</t>
    </r>
    <r>
      <rPr>
        <sz val="11"/>
        <color rgb="FFFF0000"/>
        <rFont val="ＭＳ Ｐゴシック"/>
        <family val="2"/>
        <charset val="128"/>
        <scheme val="minor"/>
      </rPr>
      <t>BC</t>
    </r>
    <r>
      <rPr>
        <sz val="11"/>
        <color rgb="FFFF0000"/>
        <rFont val="ＭＳ Ｐゴシック"/>
        <family val="3"/>
        <charset val="128"/>
        <scheme val="minor"/>
      </rPr>
      <t>機能判定、</t>
    </r>
    <r>
      <rPr>
        <sz val="11"/>
        <color rgb="FFFF0000"/>
        <rFont val="ＭＳ Ｐゴシック"/>
        <family val="2"/>
        <charset val="128"/>
        <scheme val="minor"/>
      </rPr>
      <t>PD</t>
    </r>
    <r>
      <rPr>
        <sz val="11"/>
        <color rgb="FFFF0000"/>
        <rFont val="ＭＳ Ｐゴシック"/>
        <family val="3"/>
        <charset val="128"/>
        <scheme val="minor"/>
      </rPr>
      <t>機能判定　：　</t>
    </r>
    <r>
      <rPr>
        <sz val="11"/>
        <color rgb="FFFF0000"/>
        <rFont val="ＭＳ Ｐゴシック"/>
        <family val="2"/>
        <charset val="128"/>
        <scheme val="minor"/>
      </rPr>
      <t>VSV</t>
    </r>
    <r>
      <rPr>
        <sz val="11"/>
        <color rgb="FFFF0000"/>
        <rFont val="ＭＳ Ｐゴシック"/>
        <family val="3"/>
        <charset val="128"/>
        <scheme val="minor"/>
      </rPr>
      <t>側にて参照
　RW機能判定　：　Vom::Alertにて参照
TMC Specにて定義される機能有無判定の要否について抽出した結果で記載する。
　※機種(e.x.775B)毎の要否ではないため、対象機種に応じた更新(メンテナンス)は行わない。
PD欄については、Alert制御仕様書にて定義されるWarning Noを記載する。</t>
    </r>
    <r>
      <rPr>
        <sz val="11"/>
        <color theme="1"/>
        <rFont val="ＭＳ Ｐゴシック"/>
        <family val="2"/>
        <charset val="128"/>
        <scheme val="minor"/>
      </rPr>
      <t xml:space="preserve">
</t>
    </r>
    <r>
      <rPr>
        <sz val="11"/>
        <color rgb="FF0000FF"/>
        <rFont val="ＭＳ Ｐゴシック"/>
        <family val="3"/>
        <charset val="128"/>
        <scheme val="minor"/>
      </rPr>
      <t>Alert Config Toolのインプットとする。</t>
    </r>
    <rPh sb="0" eb="2">
      <t>タイショウ</t>
    </rPh>
    <rPh sb="27" eb="29">
      <t>ガイブ</t>
    </rPh>
    <rPh sb="30" eb="32">
      <t>テイキョウ</t>
    </rPh>
    <rPh sb="34" eb="35">
      <t>カク</t>
    </rPh>
    <rPh sb="38" eb="40">
      <t>シュツリョク</t>
    </rPh>
    <rPh sb="49" eb="51">
      <t>キサイ</t>
    </rPh>
    <rPh sb="55" eb="57">
      <t>キノウ</t>
    </rPh>
    <rPh sb="57" eb="59">
      <t>ハンテイ</t>
    </rPh>
    <rPh sb="59" eb="60">
      <t>ラン</t>
    </rPh>
    <rPh sb="66" eb="68">
      <t>シュツリョク</t>
    </rPh>
    <rPh sb="68" eb="69">
      <t>サキ</t>
    </rPh>
    <rPh sb="73" eb="75">
      <t>ジッシ</t>
    </rPh>
    <rPh sb="75" eb="77">
      <t>セキム</t>
    </rPh>
    <rPh sb="78" eb="79">
      <t>コト</t>
    </rPh>
    <rPh sb="84" eb="86">
      <t>シュツリョク</t>
    </rPh>
    <rPh sb="86" eb="87">
      <t>サキ</t>
    </rPh>
    <rPh sb="87" eb="88">
      <t>ゴト</t>
    </rPh>
    <rPh sb="89" eb="91">
      <t>ウム</t>
    </rPh>
    <rPh sb="92" eb="94">
      <t>キサイ</t>
    </rPh>
    <rPh sb="128" eb="130">
      <t>サンショウ</t>
    </rPh>
    <rPh sb="134" eb="136">
      <t>キノウ</t>
    </rPh>
    <rPh sb="136" eb="138">
      <t>ハンテイ</t>
    </rPh>
    <rPh sb="153" eb="155">
      <t>サンショウ</t>
    </rPh>
    <rPh sb="166" eb="168">
      <t>テイギ</t>
    </rPh>
    <rPh sb="171" eb="173">
      <t>キノウ</t>
    </rPh>
    <rPh sb="173" eb="175">
      <t>ウム</t>
    </rPh>
    <rPh sb="175" eb="177">
      <t>ハンテイ</t>
    </rPh>
    <rPh sb="178" eb="180">
      <t>ヨウヒ</t>
    </rPh>
    <rPh sb="184" eb="186">
      <t>チュウシュツ</t>
    </rPh>
    <rPh sb="188" eb="190">
      <t>ケッカ</t>
    </rPh>
    <rPh sb="191" eb="193">
      <t>キサイ</t>
    </rPh>
    <rPh sb="199" eb="201">
      <t>キシュ</t>
    </rPh>
    <rPh sb="211" eb="212">
      <t>ゴト</t>
    </rPh>
    <rPh sb="213" eb="215">
      <t>ヨウヒ</t>
    </rPh>
    <rPh sb="222" eb="224">
      <t>タイショウ</t>
    </rPh>
    <rPh sb="224" eb="226">
      <t>キシュ</t>
    </rPh>
    <rPh sb="227" eb="228">
      <t>オウ</t>
    </rPh>
    <rPh sb="230" eb="232">
      <t>コウシン</t>
    </rPh>
    <rPh sb="241" eb="242">
      <t>オコナ</t>
    </rPh>
    <phoneticPr fontId="2"/>
  </si>
  <si>
    <t>https://aip01.dndev.net/bitbucket/scm/aip_tp/tmcapp_ict1_alert.git</t>
    <phoneticPr fontId="2"/>
  </si>
  <si>
    <t>Gitリポジトリ</t>
    <phoneticPr fontId="2"/>
  </si>
  <si>
    <t>[表紙]
Gitリポジトリを以下に更新
https://aip01.dndev.net/bitbucket/scm/aip_tp/tmcapp_ict1_alert.git</t>
    <rPh sb="1" eb="3">
      <t>ヒョウシ</t>
    </rPh>
    <rPh sb="14" eb="16">
      <t>イカ</t>
    </rPh>
    <rPh sb="17" eb="19">
      <t>コウシン</t>
    </rPh>
    <phoneticPr fontId="2"/>
  </si>
  <si>
    <t>Return</t>
    <phoneticPr fontId="2"/>
  </si>
  <si>
    <t>Type</t>
    <phoneticPr fontId="2"/>
  </si>
  <si>
    <r>
      <t xml:space="preserve">対象のTMC Specにおいて、
Vom::Alertが使用する外部ドメインIF
Vom::Alertが使用するConfig IF、定義
について記載する。
</t>
    </r>
    <r>
      <rPr>
        <sz val="11"/>
        <color rgb="FF0000FF"/>
        <rFont val="ＭＳ Ｐゴシック"/>
        <family val="3"/>
        <charset val="128"/>
        <scheme val="minor"/>
      </rPr>
      <t>Alert Config Toolのインプットとする。</t>
    </r>
    <rPh sb="28" eb="30">
      <t>シヨウ</t>
    </rPh>
    <rPh sb="32" eb="34">
      <t>ガイブ</t>
    </rPh>
    <rPh sb="66" eb="68">
      <t>テイギ</t>
    </rPh>
    <rPh sb="73" eb="75">
      <t>キサイ</t>
    </rPh>
    <phoneticPr fontId="2"/>
  </si>
  <si>
    <t>[Config_IF]
Alert Config IF List、Alert Config Definition Listを追加
[はじめに]
Alert Config IF List、Alert Config Definition Listに関するコメントを追記</t>
    <rPh sb="62" eb="64">
      <t>ツイカ</t>
    </rPh>
    <rPh sb="122" eb="123">
      <t>カン</t>
    </rPh>
    <rPh sb="130" eb="132">
      <t>ツイキ</t>
    </rPh>
    <phoneticPr fontId="2"/>
  </si>
  <si>
    <t>define Name</t>
    <phoneticPr fontId="2"/>
  </si>
  <si>
    <t>comment</t>
    <phoneticPr fontId="2"/>
  </si>
  <si>
    <t>comment</t>
    <phoneticPr fontId="2"/>
  </si>
  <si>
    <t>define</t>
    <phoneticPr fontId="2"/>
  </si>
  <si>
    <t>Value</t>
    <phoneticPr fontId="2"/>
  </si>
  <si>
    <t>calss</t>
    <phoneticPr fontId="2"/>
  </si>
  <si>
    <t>class</t>
    <phoneticPr fontId="2"/>
  </si>
  <si>
    <t>define</t>
    <phoneticPr fontId="2"/>
  </si>
  <si>
    <t>Constant Externs List</t>
    <phoneticPr fontId="2"/>
  </si>
  <si>
    <t>Config Function Name</t>
    <phoneticPr fontId="2"/>
  </si>
  <si>
    <t>Other Domain Define</t>
    <phoneticPr fontId="2"/>
  </si>
  <si>
    <t>Alert Domain Define</t>
    <phoneticPr fontId="2"/>
  </si>
  <si>
    <t>Alert Config IF List</t>
    <phoneticPr fontId="2"/>
  </si>
  <si>
    <t>Constant define</t>
    <phoneticPr fontId="2"/>
  </si>
  <si>
    <t>[Matrix]
モジュール名の全角文字チェック機能追加
[Config_IF]
フォーマット変更。
HWIDとOPTIDを統一。Alert独自定義を追加</t>
    <rPh sb="14" eb="15">
      <t>メイ</t>
    </rPh>
    <rPh sb="16" eb="18">
      <t>ゼンカク</t>
    </rPh>
    <rPh sb="18" eb="20">
      <t>モジ</t>
    </rPh>
    <rPh sb="24" eb="26">
      <t>キノウ</t>
    </rPh>
    <rPh sb="26" eb="28">
      <t>ツイカ</t>
    </rPh>
    <rPh sb="47" eb="49">
      <t>ヘンコウ</t>
    </rPh>
    <rPh sb="62" eb="64">
      <t>トウイツ</t>
    </rPh>
    <rPh sb="70" eb="72">
      <t>ドクジ</t>
    </rPh>
    <rPh sb="72" eb="74">
      <t>テイギ</t>
    </rPh>
    <rPh sb="75" eb="77">
      <t>ツイカ</t>
    </rPh>
    <phoneticPr fontId="2"/>
  </si>
  <si>
    <t>文字数</t>
    <rPh sb="0" eb="3">
      <t>モジスウ</t>
    </rPh>
    <phoneticPr fontId="2"/>
  </si>
  <si>
    <t>1.0.0</t>
  </si>
  <si>
    <t>5.5.0</t>
  </si>
  <si>
    <t>×</t>
  </si>
  <si>
    <t>Table Type</t>
    <phoneticPr fontId="2"/>
  </si>
  <si>
    <t>入力</t>
    <phoneticPr fontId="2"/>
  </si>
  <si>
    <t>REQ</t>
    <phoneticPr fontId="2"/>
  </si>
  <si>
    <t>Vehicle Operation Mode</t>
    <phoneticPr fontId="2"/>
  </si>
  <si>
    <t>-</t>
    <phoneticPr fontId="2"/>
  </si>
  <si>
    <t>-</t>
    <phoneticPr fontId="2"/>
  </si>
  <si>
    <t>-</t>
    <phoneticPr fontId="2"/>
  </si>
  <si>
    <t>-</t>
    <phoneticPr fontId="2"/>
  </si>
  <si>
    <t>VOM</t>
    <phoneticPr fontId="2"/>
  </si>
  <si>
    <t>RWT_EN</t>
    <phoneticPr fontId="2"/>
  </si>
  <si>
    <t>VCS_ON</t>
    <phoneticPr fontId="2"/>
  </si>
  <si>
    <t>IGN_ON</t>
    <phoneticPr fontId="2"/>
  </si>
  <si>
    <t>IGN_OFF_WT</t>
    <phoneticPr fontId="2"/>
  </si>
  <si>
    <t>IGN_OFF</t>
    <phoneticPr fontId="2"/>
  </si>
  <si>
    <t>BAT_WT</t>
    <phoneticPr fontId="2"/>
  </si>
  <si>
    <t>BAT_AO</t>
    <phoneticPr fontId="2"/>
  </si>
  <si>
    <t>0b/
1b</t>
    <phoneticPr fontId="2"/>
  </si>
  <si>
    <t>0b</t>
  </si>
  <si>
    <t>1b</t>
  </si>
  <si>
    <t>Index</t>
  </si>
  <si>
    <t>UNKNOWN</t>
  </si>
  <si>
    <t>通常(0b)/
未受信(1b)</t>
  </si>
  <si>
    <t>0b/
1b</t>
    <phoneticPr fontId="2"/>
  </si>
  <si>
    <t>0b/
1b</t>
    <phoneticPr fontId="2"/>
  </si>
  <si>
    <t>MSE社本</t>
    <rPh sb="3" eb="5">
      <t>シャモト</t>
    </rPh>
    <phoneticPr fontId="2"/>
  </si>
  <si>
    <t>[TT][BC]
・AU列の数式を修正(メンバがNULLの場合に、(void *)(const U4 *)キャストをつけるように修正)</t>
    <rPh sb="12" eb="13">
      <t>レツ</t>
    </rPh>
    <rPh sb="14" eb="16">
      <t>スウシキ</t>
    </rPh>
    <rPh sb="17" eb="19">
      <t>シュウセイ</t>
    </rPh>
    <rPh sb="29" eb="31">
      <t>バアイ</t>
    </rPh>
    <rPh sb="64" eb="66">
      <t>シュウセイ</t>
    </rPh>
    <phoneticPr fontId="2"/>
  </si>
  <si>
    <t>[TT][BC]
・SearchTable/IndexTableを自動選択できるように数式を追加(B3セル)</t>
    <rPh sb="33" eb="35">
      <t>ジドウ</t>
    </rPh>
    <rPh sb="35" eb="37">
      <t>センタク</t>
    </rPh>
    <rPh sb="43" eb="45">
      <t>スウシキ</t>
    </rPh>
    <rPh sb="46" eb="48">
      <t>ツイカ</t>
    </rPh>
    <phoneticPr fontId="2"/>
  </si>
  <si>
    <t>新規作成</t>
    <phoneticPr fontId="2"/>
  </si>
  <si>
    <t>高橋</t>
    <rPh sb="0" eb="2">
      <t>タカハシ</t>
    </rPh>
    <phoneticPr fontId="2"/>
  </si>
  <si>
    <t>MET-D_ATFWRN-CSTD-0-00-B-C0.xlsm</t>
    <phoneticPr fontId="2"/>
  </si>
  <si>
    <t>NULL</t>
  </si>
  <si>
    <t>ATFREPL</t>
  </si>
  <si>
    <t>ATFREPL</t>
    <phoneticPr fontId="2"/>
  </si>
  <si>
    <t>-</t>
    <phoneticPr fontId="2"/>
  </si>
  <si>
    <t>D_ATFWRN-CSTD-0-MEF01-REQ02</t>
    <phoneticPr fontId="2"/>
  </si>
  <si>
    <t>EHV1S97_STS</t>
    <phoneticPr fontId="2"/>
  </si>
  <si>
    <t>EHV1S97</t>
    <phoneticPr fontId="2"/>
  </si>
  <si>
    <t>EHV1S97</t>
    <phoneticPr fontId="2"/>
  </si>
  <si>
    <t>B_ATFWN_SIG</t>
    <phoneticPr fontId="2"/>
  </si>
  <si>
    <t>表示無し(0b)/
ATF交換通知状態(1b)</t>
    <rPh sb="0" eb="2">
      <t>ヒョウジ</t>
    </rPh>
    <rPh sb="2" eb="3">
      <t>ナ</t>
    </rPh>
    <phoneticPr fontId="2"/>
  </si>
  <si>
    <t>ATF交換表示判定</t>
    <rPh sb="5" eb="7">
      <t>ヒョウジ</t>
    </rPh>
    <rPh sb="7" eb="9">
      <t>ハンテイ</t>
    </rPh>
    <phoneticPr fontId="2"/>
  </si>
  <si>
    <t>1b</t>
    <phoneticPr fontId="2"/>
  </si>
  <si>
    <t>0b</t>
    <phoneticPr fontId="2"/>
  </si>
  <si>
    <t>IG-OFF + * + *</t>
    <phoneticPr fontId="2"/>
  </si>
  <si>
    <t>IG-ON + 通常 + 表示無し</t>
    <rPh sb="13" eb="15">
      <t>ヒョウジ</t>
    </rPh>
    <rPh sb="15" eb="16">
      <t>ナ</t>
    </rPh>
    <phoneticPr fontId="2"/>
  </si>
  <si>
    <t>IG-ON + 通常 + ATF交換通知状態</t>
    <phoneticPr fontId="2"/>
  </si>
  <si>
    <t>IG-ON + 未受信 + ATF交換通知状態</t>
    <rPh sb="8" eb="9">
      <t>ミ</t>
    </rPh>
    <rPh sb="9" eb="11">
      <t>ジュシン</t>
    </rPh>
    <phoneticPr fontId="2"/>
  </si>
  <si>
    <t>IG-ON + 未受信 + 表示無し</t>
    <rPh sb="8" eb="9">
      <t>ミ</t>
    </rPh>
    <rPh sb="9" eb="11">
      <t>ジュシン</t>
    </rPh>
    <phoneticPr fontId="2"/>
  </si>
  <si>
    <t>*b</t>
    <phoneticPr fontId="2"/>
  </si>
  <si>
    <t>-/
D_ATFWRN-CSTD-0-MEF01-REQ02</t>
    <phoneticPr fontId="2"/>
  </si>
  <si>
    <t>UNKNOWN/
ATFREPL</t>
    <phoneticPr fontId="2"/>
  </si>
  <si>
    <t>B_ATFWN_SIG</t>
    <phoneticPr fontId="2"/>
  </si>
  <si>
    <t>1.0.1</t>
    <phoneticPr fontId="2"/>
  </si>
  <si>
    <t>高橋</t>
    <rPh sb="0" eb="2">
      <t>タカハシ</t>
    </rPh>
    <phoneticPr fontId="2"/>
  </si>
  <si>
    <t>誤記修正
[Config_IF]シート
・Alert Config IF Listの不要な記載を削除。</t>
    <rPh sb="0" eb="4">
      <t>ゴキシュウセイ</t>
    </rPh>
    <rPh sb="42" eb="44">
      <t>フヨウ</t>
    </rPh>
    <rPh sb="45" eb="47">
      <t>キサイ</t>
    </rPh>
    <rPh sb="48" eb="50">
      <t>サクジョ</t>
    </rPh>
    <phoneticPr fontId="2"/>
  </si>
  <si>
    <t>PD</t>
    <phoneticPr fontId="2"/>
  </si>
  <si>
    <t>○</t>
  </si>
  <si>
    <t>ALERT_CH_D_ATFWRN_PD</t>
  </si>
  <si>
    <t>-</t>
    <phoneticPr fontId="2"/>
  </si>
  <si>
    <t>ECT1G92</t>
  </si>
  <si>
    <t>ECT1G92</t>
    <phoneticPr fontId="2"/>
  </si>
  <si>
    <t>B_ATFMTN</t>
    <phoneticPr fontId="2"/>
  </si>
  <si>
    <t>ATFW送信判定</t>
    <rPh sb="4" eb="6">
      <t>ソウシン</t>
    </rPh>
    <rPh sb="6" eb="8">
      <t>ハンテイ</t>
    </rPh>
    <phoneticPr fontId="2"/>
  </si>
  <si>
    <t>ALERT_CH_D_ATFWRN_PD</t>
    <phoneticPr fontId="2"/>
  </si>
  <si>
    <t>IGON15秒後
機能有無：-</t>
    <rPh sb="9" eb="11">
      <t>キノウ</t>
    </rPh>
    <rPh sb="11" eb="13">
      <t>ウム</t>
    </rPh>
    <phoneticPr fontId="2"/>
  </si>
  <si>
    <t>MET1S35</t>
    <phoneticPr fontId="2"/>
  </si>
  <si>
    <t>ECT1G92_STS</t>
    <phoneticPr fontId="2"/>
  </si>
  <si>
    <t>B_ATFMTN_SIG</t>
    <phoneticPr fontId="2"/>
  </si>
  <si>
    <t>ATFW</t>
    <phoneticPr fontId="2"/>
  </si>
  <si>
    <t>要求なし(0b)/
要求有(1b)</t>
    <phoneticPr fontId="2"/>
  </si>
  <si>
    <t>要求あり/
-</t>
    <phoneticPr fontId="2"/>
  </si>
  <si>
    <t>IG-ON + 通常 + 要求なし</t>
    <phoneticPr fontId="2"/>
  </si>
  <si>
    <t>IG-ON + 通常 + 要求有</t>
    <phoneticPr fontId="2"/>
  </si>
  <si>
    <t>要求あり</t>
    <rPh sb="0" eb="2">
      <t>ヨウキュウ</t>
    </rPh>
    <phoneticPr fontId="2"/>
  </si>
  <si>
    <t>IG-ON + 未受信 + 要求なし</t>
    <rPh sb="8" eb="9">
      <t>ミ</t>
    </rPh>
    <rPh sb="9" eb="11">
      <t>ジュシン</t>
    </rPh>
    <phoneticPr fontId="2"/>
  </si>
  <si>
    <t>IG-ON + 未受信 + 要求有</t>
    <rPh sb="8" eb="9">
      <t>ミ</t>
    </rPh>
    <rPh sb="9" eb="11">
      <t>ジュシン</t>
    </rPh>
    <phoneticPr fontId="2"/>
  </si>
  <si>
    <t>ALERT_CH_D_ATFWRN_RW</t>
    <phoneticPr fontId="2"/>
  </si>
  <si>
    <t>UNKNOWN/
RW</t>
    <phoneticPr fontId="2"/>
  </si>
  <si>
    <t>https://aip01.dndev.net/svn/met/toyota/std/rd/spec/19PFver3/tags/00.Product/v0.9.d/</t>
    <phoneticPr fontId="2"/>
  </si>
  <si>
    <t>株式会社デンソー</t>
    <rPh sb="0" eb="4">
      <t>カブシキガイシャ</t>
    </rPh>
    <phoneticPr fontId="26"/>
  </si>
  <si>
    <t>承認</t>
    <rPh sb="0" eb="2">
      <t>ショウニン</t>
    </rPh>
    <phoneticPr fontId="2"/>
  </si>
  <si>
    <t>検討</t>
    <rPh sb="0" eb="2">
      <t>ケントウ</t>
    </rPh>
    <phoneticPr fontId="2"/>
  </si>
  <si>
    <t>作成</t>
    <rPh sb="0" eb="2">
      <t>サクセイ</t>
    </rPh>
    <phoneticPr fontId="2"/>
  </si>
  <si>
    <t>&lt;DN確認印&gt;</t>
    <rPh sb="3" eb="6">
      <t>カクニンイン</t>
    </rPh>
    <rPh sb="6" eb="7">
      <t>ケンイン</t>
    </rPh>
    <phoneticPr fontId="2"/>
  </si>
  <si>
    <t>&lt;DN検討印&gt;</t>
    <rPh sb="3" eb="5">
      <t>ケントウ</t>
    </rPh>
    <rPh sb="5" eb="6">
      <t>イン</t>
    </rPh>
    <phoneticPr fontId="2"/>
  </si>
  <si>
    <t>&lt;OS作成印&gt;</t>
    <rPh sb="3" eb="5">
      <t>サクセイ</t>
    </rPh>
    <rPh sb="5" eb="6">
      <t>イン</t>
    </rPh>
    <phoneticPr fontId="2"/>
  </si>
  <si>
    <t>デンソーテクノ株式会社</t>
    <rPh sb="7" eb="11">
      <t>カブシキガイシャ</t>
    </rPh>
    <phoneticPr fontId="2"/>
  </si>
  <si>
    <t>&lt;DT確認印&gt;</t>
    <rPh sb="3" eb="6">
      <t>カクニンイン</t>
    </rPh>
    <rPh sb="6" eb="7">
      <t>ケンイン</t>
    </rPh>
    <phoneticPr fontId="2"/>
  </si>
  <si>
    <t>&lt;DT検討印&gt;</t>
    <rPh sb="3" eb="5">
      <t>ケントウ</t>
    </rPh>
    <rPh sb="5" eb="6">
      <t>イン</t>
    </rPh>
    <phoneticPr fontId="2"/>
  </si>
  <si>
    <t>&lt;DT作成印&gt;</t>
    <rPh sb="3" eb="5">
      <t>サクセイ</t>
    </rPh>
    <rPh sb="5" eb="6">
      <t>イン</t>
    </rPh>
    <phoneticPr fontId="2"/>
  </si>
  <si>
    <t>DENSO TECHNO PHIL., INC.</t>
    <phoneticPr fontId="2"/>
  </si>
  <si>
    <t>&lt;OS確認印&gt;</t>
    <rPh sb="3" eb="6">
      <t>カクニンイン</t>
    </rPh>
    <rPh sb="6" eb="7">
      <t>ケンイン</t>
    </rPh>
    <phoneticPr fontId="2"/>
  </si>
  <si>
    <t>&lt;OS検討印&gt;</t>
    <rPh sb="3" eb="5">
      <t>ケントウ</t>
    </rPh>
    <rPh sb="5" eb="6">
      <t>イン</t>
    </rPh>
    <phoneticPr fontId="2"/>
  </si>
  <si>
    <t xml:space="preserve"> </t>
    <phoneticPr fontId="2"/>
  </si>
  <si>
    <t>承認欄 [DT]</t>
    <phoneticPr fontId="2"/>
  </si>
  <si>
    <t>承認者</t>
    <phoneticPr fontId="2"/>
  </si>
  <si>
    <t>DT Anna</t>
    <phoneticPr fontId="2"/>
  </si>
  <si>
    <t>1.1.0</t>
    <phoneticPr fontId="2"/>
  </si>
  <si>
    <t>19PFv3 対応
・ATFWのRW送信を対応</t>
    <phoneticPr fontId="2"/>
  </si>
  <si>
    <t>ATFWREQ</t>
  </si>
  <si>
    <t>ATFWREQ</t>
    <phoneticPr fontId="2"/>
  </si>
  <si>
    <t>RWRN</t>
    <phoneticPr fontId="2"/>
  </si>
  <si>
    <t>ALERT_CH_D_ATFWRN_RWRN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</si>
</sst>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8">
    <font>
      <sz val="11"/>
      <color theme="1"/>
      <name val="ＭＳ Ｐゴシック"/>
      <family val="2"/>
      <charset val="128"/>
      <scheme val="minor"/>
    </font>
    <font>
      <sz val="11"/>
      <color theme="0"/>
      <name val="ＭＳ Ｐゴシック"/>
      <family val="2"/>
      <charset val="128"/>
      <scheme val="minor"/>
    </font>
    <font>
      <sz val="6"/>
      <name val="ＭＳ Ｐゴシック"/>
      <family val="2"/>
      <charset val="128"/>
      <scheme val="minor"/>
    </font>
    <font>
      <u/>
      <sz val="11"/>
      <color theme="10"/>
      <name val="ＭＳ Ｐゴシック"/>
      <family val="2"/>
      <charset val="128"/>
      <scheme val="minor"/>
    </font>
    <font>
      <sz val="14"/>
      <color theme="0"/>
      <name val="ＭＳ Ｐゴシック"/>
      <family val="2"/>
      <charset val="128"/>
      <scheme val="minor"/>
    </font>
    <font>
      <sz val="11"/>
      <color theme="0"/>
      <name val="ＭＳ Ｐゴシック"/>
      <family val="3"/>
      <charset val="128"/>
      <scheme val="minor"/>
    </font>
    <font>
      <b/>
      <sz val="12"/>
      <color theme="1"/>
      <name val="ＭＳ Ｐゴシック"/>
      <family val="3"/>
      <charset val="128"/>
      <scheme val="minor"/>
    </font>
    <font>
      <b/>
      <sz val="9"/>
      <color indexed="81"/>
      <name val="ＭＳ Ｐゴシック"/>
      <family val="3"/>
      <charset val="128"/>
    </font>
    <font>
      <sz val="11"/>
      <color theme="9" tint="-0.249977111117893"/>
      <name val="ＭＳ Ｐゴシック"/>
      <family val="2"/>
      <charset val="128"/>
      <scheme val="minor"/>
    </font>
    <font>
      <sz val="11"/>
      <name val="ＭＳ Ｐゴシック"/>
      <family val="3"/>
      <charset val="128"/>
    </font>
    <font>
      <b/>
      <sz val="11"/>
      <color theme="1"/>
      <name val="ＭＳ Ｐゴシック"/>
      <family val="3"/>
      <charset val="128"/>
      <scheme val="minor"/>
    </font>
    <font>
      <sz val="11"/>
      <color rgb="FFFF0000"/>
      <name val="ＭＳ Ｐゴシック"/>
      <family val="2"/>
      <charset val="128"/>
      <scheme val="minor"/>
    </font>
    <font>
      <sz val="14"/>
      <color rgb="FFFF0000"/>
      <name val="ＭＳ Ｐゴシック"/>
      <family val="2"/>
      <charset val="128"/>
      <scheme val="minor"/>
    </font>
    <font>
      <b/>
      <sz val="9"/>
      <color indexed="81"/>
      <name val="MS P ゴシック"/>
      <family val="3"/>
      <charset val="128"/>
    </font>
    <font>
      <sz val="12"/>
      <color theme="1"/>
      <name val="ＭＳ Ｐゴシック"/>
      <family val="3"/>
      <charset val="128"/>
      <scheme val="minor"/>
    </font>
    <font>
      <sz val="11"/>
      <color theme="1"/>
      <name val="ＭＳ Ｐゴシック"/>
      <family val="3"/>
      <charset val="128"/>
      <scheme val="minor"/>
    </font>
    <font>
      <sz val="11"/>
      <name val="ＭＳ Ｐゴシック"/>
      <family val="2"/>
      <charset val="128"/>
      <scheme val="minor"/>
    </font>
    <font>
      <sz val="11"/>
      <color rgb="FF0000FF"/>
      <name val="ＭＳ Ｐゴシック"/>
      <family val="3"/>
      <charset val="128"/>
      <scheme val="minor"/>
    </font>
    <font>
      <sz val="11"/>
      <color rgb="FFFF0000"/>
      <name val="ＭＳ Ｐゴシック"/>
      <family val="3"/>
      <charset val="128"/>
      <scheme val="minor"/>
    </font>
    <font>
      <sz val="11"/>
      <name val="ＭＳ Ｐゴシック"/>
      <family val="3"/>
      <charset val="128"/>
      <scheme val="minor"/>
    </font>
    <font>
      <sz val="12"/>
      <name val="ＭＳ Ｐゴシック"/>
      <family val="3"/>
      <charset val="128"/>
      <scheme val="minor"/>
    </font>
    <font>
      <sz val="11"/>
      <color theme="1"/>
      <name val="ＭＳ Ｐゴシック"/>
      <family val="2"/>
      <charset val="128"/>
      <scheme val="minor"/>
    </font>
    <font>
      <sz val="11"/>
      <color theme="1"/>
      <name val="Meiryo UI"/>
      <family val="3"/>
      <charset val="128"/>
    </font>
    <font>
      <b/>
      <sz val="10"/>
      <color rgb="FFFF0000"/>
      <name val="Meiryo UI"/>
      <family val="3"/>
      <charset val="128"/>
    </font>
    <font>
      <b/>
      <sz val="12"/>
      <color theme="1"/>
      <name val="Meiryo UI"/>
      <family val="3"/>
      <charset val="128"/>
    </font>
    <font>
      <b/>
      <sz val="11"/>
      <color theme="1"/>
      <name val="Meiryo UI"/>
      <family val="3"/>
      <charset val="128"/>
    </font>
    <font>
      <sz val="6"/>
      <name val="ＭＳ Ｐゴシック"/>
      <family val="3"/>
      <charset val="128"/>
      <scheme val="minor"/>
    </font>
    <font>
      <sz val="6"/>
      <color theme="0" tint="-0.499984740745262"/>
      <name val="Meiryo UI"/>
      <family val="3"/>
      <charset val="128"/>
    </font>
  </fonts>
  <fills count="24">
    <fill>
      <patternFill patternType="none"/>
    </fill>
    <fill>
      <patternFill patternType="gray125"/>
    </fill>
    <fill>
      <patternFill patternType="solid">
        <fgColor theme="3"/>
        <bgColor indexed="64"/>
      </patternFill>
    </fill>
    <fill>
      <patternFill patternType="solid">
        <fgColor rgb="FF99CCFF"/>
        <bgColor indexed="64"/>
      </patternFill>
    </fill>
    <fill>
      <patternFill patternType="solid">
        <fgColor rgb="FFCCECFF"/>
        <bgColor indexed="64"/>
      </patternFill>
    </fill>
    <fill>
      <patternFill patternType="solid">
        <fgColor rgb="FF99FFCC"/>
        <bgColor indexed="64"/>
      </patternFill>
    </fill>
    <fill>
      <patternFill patternType="solid">
        <fgColor rgb="FFCCFFCC"/>
        <bgColor indexed="64"/>
      </patternFill>
    </fill>
    <fill>
      <patternFill patternType="solid">
        <fgColor rgb="FFFFCC99"/>
        <bgColor indexed="64"/>
      </patternFill>
    </fill>
    <fill>
      <patternFill patternType="solid">
        <fgColor rgb="FFFFFFCC"/>
        <bgColor indexed="64"/>
      </patternFill>
    </fill>
    <fill>
      <patternFill patternType="solid">
        <fgColor rgb="FFFF9999"/>
        <bgColor indexed="64"/>
      </patternFill>
    </fill>
    <fill>
      <patternFill patternType="solid">
        <fgColor rgb="FFFFCCCC"/>
        <bgColor indexed="64"/>
      </patternFill>
    </fill>
    <fill>
      <patternFill patternType="solid">
        <fgColor theme="9" tint="0.79998168889431442"/>
        <bgColor indexed="64"/>
      </patternFill>
    </fill>
    <fill>
      <patternFill patternType="solid">
        <fgColor rgb="FFFFFF00"/>
        <bgColor indexed="64"/>
      </patternFill>
    </fill>
    <fill>
      <patternFill patternType="solid">
        <fgColor theme="7" tint="0.39997558519241921"/>
        <bgColor indexed="64"/>
      </patternFill>
    </fill>
    <fill>
      <patternFill patternType="lightUp"/>
    </fill>
    <fill>
      <patternFill patternType="solid">
        <fgColor theme="0" tint="-0.249977111117893"/>
        <bgColor indexed="64"/>
      </patternFill>
    </fill>
    <fill>
      <patternFill patternType="solid">
        <fgColor rgb="FF00B0F0"/>
        <bgColor indexed="64"/>
      </patternFill>
    </fill>
    <fill>
      <patternFill patternType="solid">
        <fgColor rgb="FFCCCCFF"/>
        <bgColor indexed="64"/>
      </patternFill>
    </fill>
    <fill>
      <patternFill patternType="solid">
        <fgColor rgb="FFFBBDBD"/>
        <bgColor indexed="64"/>
      </patternFill>
    </fill>
    <fill>
      <patternFill patternType="solid">
        <fgColor rgb="FF0070C0"/>
        <bgColor indexed="64"/>
      </patternFill>
    </fill>
    <fill>
      <patternFill patternType="lightUp">
        <bgColor theme="0" tint="-0.249977111117893"/>
      </patternFill>
    </fill>
    <fill>
      <patternFill patternType="solid">
        <fgColor theme="6" tint="0.59999389629810485"/>
        <bgColor indexed="64"/>
      </patternFill>
    </fill>
    <fill>
      <patternFill patternType="solid">
        <fgColor rgb="FFCCFDB1"/>
        <bgColor indexed="64"/>
      </patternFill>
    </fill>
    <fill>
      <patternFill patternType="solid">
        <fgColor theme="8" tint="0.39997558519241921"/>
        <bgColor indexed="64"/>
      </patternFill>
    </fill>
  </fills>
  <borders count="79">
    <border>
      <left/>
      <right/>
      <top/>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right style="medium">
        <color indexed="64"/>
      </right>
      <top style="medium">
        <color indexed="64"/>
      </top>
      <bottom style="thin">
        <color indexed="64"/>
      </bottom>
      <diagonal/>
    </border>
    <border>
      <left style="medium">
        <color indexed="64"/>
      </left>
      <right style="double">
        <color indexed="64"/>
      </right>
      <top style="thin">
        <color indexed="64"/>
      </top>
      <bottom style="thin">
        <color indexed="64"/>
      </bottom>
      <diagonal/>
    </border>
    <border>
      <left style="medium">
        <color indexed="64"/>
      </left>
      <right style="double">
        <color indexed="64"/>
      </right>
      <top style="thin">
        <color indexed="64"/>
      </top>
      <bottom style="medium">
        <color indexed="64"/>
      </bottom>
      <diagonal/>
    </border>
    <border>
      <left/>
      <right/>
      <top/>
      <bottom style="thin">
        <color theme="0"/>
      </bottom>
      <diagonal/>
    </border>
    <border>
      <left style="medium">
        <color indexed="64"/>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style="medium">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thin">
        <color indexed="64"/>
      </bottom>
      <diagonal/>
    </border>
    <border>
      <left/>
      <right style="thin">
        <color indexed="64"/>
      </right>
      <top style="thin">
        <color indexed="64"/>
      </top>
      <bottom style="double">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double">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diagonalDown="1">
      <left style="medium">
        <color indexed="64"/>
      </left>
      <right style="double">
        <color indexed="64"/>
      </right>
      <top style="medium">
        <color indexed="64"/>
      </top>
      <bottom style="thin">
        <color indexed="64"/>
      </bottom>
      <diagonal style="thin">
        <color indexed="64"/>
      </diagonal>
    </border>
    <border>
      <left style="medium">
        <color indexed="64"/>
      </left>
      <right style="double">
        <color indexed="64"/>
      </right>
      <top style="thin">
        <color indexed="64"/>
      </top>
      <bottom style="double">
        <color indexed="64"/>
      </bottom>
      <diagonal/>
    </border>
    <border>
      <left style="medium">
        <color indexed="64"/>
      </left>
      <right style="double">
        <color indexed="64"/>
      </right>
      <top/>
      <bottom style="thin">
        <color indexed="64"/>
      </bottom>
      <diagonal/>
    </border>
    <border>
      <left/>
      <right style="medium">
        <color indexed="64"/>
      </right>
      <top style="thin">
        <color indexed="64"/>
      </top>
      <bottom style="thin">
        <color indexed="64"/>
      </bottom>
      <diagonal/>
    </border>
    <border>
      <left/>
      <right/>
      <top style="medium">
        <color indexed="64"/>
      </top>
      <bottom/>
      <diagonal/>
    </border>
    <border>
      <left style="medium">
        <color indexed="64"/>
      </left>
      <right style="medium">
        <color indexed="64"/>
      </right>
      <top style="medium">
        <color indexed="64"/>
      </top>
      <bottom/>
      <diagonal/>
    </border>
    <border>
      <left/>
      <right/>
      <top style="medium">
        <color indexed="64"/>
      </top>
      <bottom style="double">
        <color indexed="64"/>
      </bottom>
      <diagonal/>
    </border>
    <border>
      <left/>
      <right/>
      <top style="thin">
        <color indexed="64"/>
      </top>
      <bottom style="medium">
        <color indexed="64"/>
      </bottom>
      <diagonal/>
    </border>
    <border>
      <left style="thin">
        <color indexed="64"/>
      </left>
      <right style="double">
        <color indexed="64"/>
      </right>
      <top style="medium">
        <color indexed="64"/>
      </top>
      <bottom style="thin">
        <color indexed="64"/>
      </bottom>
      <diagonal/>
    </border>
    <border>
      <left style="thin">
        <color indexed="64"/>
      </left>
      <right style="double">
        <color indexed="64"/>
      </right>
      <top style="thin">
        <color indexed="64"/>
      </top>
      <bottom style="thin">
        <color indexed="64"/>
      </bottom>
      <diagonal/>
    </border>
    <border>
      <left style="thin">
        <color indexed="64"/>
      </left>
      <right style="double">
        <color indexed="64"/>
      </right>
      <top style="thin">
        <color indexed="64"/>
      </top>
      <bottom style="medium">
        <color indexed="64"/>
      </bottom>
      <diagonal/>
    </border>
    <border>
      <left/>
      <right style="thin">
        <color indexed="64"/>
      </right>
      <top style="medium">
        <color indexed="64"/>
      </top>
      <bottom style="double">
        <color indexed="64"/>
      </bottom>
      <diagonal/>
    </border>
    <border>
      <left/>
      <right style="medium">
        <color indexed="64"/>
      </right>
      <top style="medium">
        <color indexed="64"/>
      </top>
      <bottom style="double">
        <color indexed="64"/>
      </bottom>
      <diagonal/>
    </border>
    <border>
      <left/>
      <right style="medium">
        <color indexed="64"/>
      </right>
      <top/>
      <bottom style="thin">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style="double">
        <color indexed="64"/>
      </left>
      <right/>
      <top style="thin">
        <color indexed="64"/>
      </top>
      <bottom style="medium">
        <color indexed="64"/>
      </bottom>
      <diagonal/>
    </border>
    <border>
      <left/>
      <right style="medium">
        <color indexed="64"/>
      </right>
      <top/>
      <bottom/>
      <diagonal/>
    </border>
    <border>
      <left style="medium">
        <color indexed="64"/>
      </left>
      <right style="thin">
        <color indexed="64"/>
      </right>
      <top/>
      <bottom/>
      <diagonal/>
    </border>
    <border>
      <left style="thin">
        <color indexed="64"/>
      </left>
      <right style="medium">
        <color indexed="64"/>
      </right>
      <top/>
      <bottom/>
      <diagonal/>
    </border>
    <border>
      <left style="double">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thin">
        <color indexed="64"/>
      </bottom>
      <diagonal/>
    </border>
    <border>
      <left style="thin">
        <color indexed="64"/>
      </left>
      <right/>
      <top/>
      <bottom/>
      <diagonal/>
    </border>
    <border>
      <left/>
      <right style="thin">
        <color indexed="64"/>
      </right>
      <top/>
      <bottom/>
      <diagonal/>
    </border>
    <border>
      <left/>
      <right style="thin">
        <color indexed="64"/>
      </right>
      <top style="medium">
        <color indexed="64"/>
      </top>
      <bottom style="thin">
        <color indexed="64"/>
      </bottom>
      <diagonal/>
    </border>
  </borders>
  <cellStyleXfs count="3">
    <xf numFmtId="0" fontId="0" fillId="0" borderId="0">
      <alignment vertical="center"/>
    </xf>
    <xf numFmtId="0" fontId="3" fillId="0" borderId="0" applyNumberFormat="0" applyFill="0" applyBorder="0" applyAlignment="0" applyProtection="0">
      <alignment vertical="center"/>
    </xf>
    <xf numFmtId="0" fontId="21" fillId="0" borderId="0">
      <alignment vertical="center"/>
    </xf>
  </cellStyleXfs>
  <cellXfs count="348">
    <xf numFmtId="0" fontId="0" fillId="0" borderId="0" xfId="0">
      <alignment vertical="center"/>
    </xf>
    <xf numFmtId="0" fontId="0" fillId="0" borderId="2" xfId="0" applyBorder="1">
      <alignment vertical="center"/>
    </xf>
    <xf numFmtId="0" fontId="0" fillId="0" borderId="6" xfId="0" applyBorder="1">
      <alignment vertical="center"/>
    </xf>
    <xf numFmtId="0" fontId="0" fillId="0" borderId="7" xfId="0" applyBorder="1">
      <alignment vertical="center"/>
    </xf>
    <xf numFmtId="0" fontId="0" fillId="0" borderId="8" xfId="0" applyBorder="1">
      <alignment vertical="center"/>
    </xf>
    <xf numFmtId="0" fontId="0" fillId="0" borderId="9" xfId="0" applyBorder="1">
      <alignment vertical="center"/>
    </xf>
    <xf numFmtId="0" fontId="0" fillId="0" borderId="10" xfId="0" applyBorder="1">
      <alignment vertical="center"/>
    </xf>
    <xf numFmtId="0" fontId="1" fillId="2" borderId="0" xfId="0" applyFont="1" applyFill="1">
      <alignment vertical="center"/>
    </xf>
    <xf numFmtId="0" fontId="0" fillId="0" borderId="11" xfId="0" applyBorder="1" applyAlignment="1"/>
    <xf numFmtId="0" fontId="0" fillId="0" borderId="12" xfId="0" applyBorder="1" applyAlignment="1"/>
    <xf numFmtId="0" fontId="1" fillId="0" borderId="0" xfId="0" applyFont="1">
      <alignment vertical="center"/>
    </xf>
    <xf numFmtId="0" fontId="4" fillId="2" borderId="0" xfId="0" applyFont="1" applyFill="1" applyAlignment="1">
      <alignment horizontal="center" vertical="center"/>
    </xf>
    <xf numFmtId="0" fontId="5" fillId="0" borderId="0" xfId="0" applyFont="1">
      <alignment vertical="center"/>
    </xf>
    <xf numFmtId="0" fontId="0" fillId="0" borderId="13" xfId="0" applyBorder="1">
      <alignment vertical="center"/>
    </xf>
    <xf numFmtId="0" fontId="0" fillId="0" borderId="14" xfId="0" applyBorder="1">
      <alignment vertical="center"/>
    </xf>
    <xf numFmtId="0" fontId="0" fillId="0" borderId="15" xfId="0" applyBorder="1">
      <alignment vertical="center"/>
    </xf>
    <xf numFmtId="0" fontId="0" fillId="4" borderId="1" xfId="0" applyFill="1" applyBorder="1">
      <alignment vertical="center"/>
    </xf>
    <xf numFmtId="0" fontId="0" fillId="4" borderId="16" xfId="0" applyFill="1" applyBorder="1">
      <alignment vertical="center"/>
    </xf>
    <xf numFmtId="0" fontId="0" fillId="6" borderId="16" xfId="0" applyFill="1" applyBorder="1">
      <alignment vertical="center"/>
    </xf>
    <xf numFmtId="0" fontId="0" fillId="6" borderId="16" xfId="0" applyFill="1" applyBorder="1" applyAlignment="1">
      <alignment horizontal="center" vertical="center" wrapText="1"/>
    </xf>
    <xf numFmtId="0" fontId="0" fillId="8" borderId="16" xfId="0" applyFill="1" applyBorder="1">
      <alignment vertical="center"/>
    </xf>
    <xf numFmtId="0" fontId="0" fillId="10" borderId="16" xfId="0" applyFill="1" applyBorder="1">
      <alignment vertical="center"/>
    </xf>
    <xf numFmtId="0" fontId="0" fillId="10" borderId="17" xfId="0" applyFill="1" applyBorder="1">
      <alignment vertical="center"/>
    </xf>
    <xf numFmtId="0" fontId="0" fillId="0" borderId="19" xfId="0" applyBorder="1">
      <alignment vertical="center"/>
    </xf>
    <xf numFmtId="0" fontId="0" fillId="0" borderId="20" xfId="0" applyBorder="1">
      <alignment vertical="center"/>
    </xf>
    <xf numFmtId="0" fontId="1" fillId="2" borderId="21" xfId="0" applyFont="1" applyFill="1" applyBorder="1" applyAlignment="1">
      <alignment horizontal="right"/>
    </xf>
    <xf numFmtId="0" fontId="0" fillId="12" borderId="2" xfId="0" applyFill="1" applyBorder="1">
      <alignment vertical="center"/>
    </xf>
    <xf numFmtId="0" fontId="0" fillId="12" borderId="6" xfId="0" applyFill="1" applyBorder="1">
      <alignment vertical="center"/>
    </xf>
    <xf numFmtId="0" fontId="6" fillId="0" borderId="0" xfId="0" applyFont="1">
      <alignment vertical="center"/>
    </xf>
    <xf numFmtId="0" fontId="0" fillId="0" borderId="16" xfId="0" applyBorder="1" applyAlignment="1">
      <alignment vertical="center" wrapText="1"/>
    </xf>
    <xf numFmtId="0" fontId="0" fillId="12" borderId="22" xfId="0" applyFill="1" applyBorder="1">
      <alignment vertical="center"/>
    </xf>
    <xf numFmtId="0" fontId="0" fillId="0" borderId="32" xfId="0" applyBorder="1">
      <alignment vertical="center"/>
    </xf>
    <xf numFmtId="0" fontId="0" fillId="14" borderId="32" xfId="0" applyFill="1" applyBorder="1">
      <alignment vertical="center"/>
    </xf>
    <xf numFmtId="0" fontId="0" fillId="0" borderId="33" xfId="0" applyBorder="1" applyAlignment="1">
      <alignment vertical="center" wrapText="1"/>
    </xf>
    <xf numFmtId="0" fontId="0" fillId="12" borderId="23" xfId="0" applyFill="1" applyBorder="1" applyAlignment="1">
      <alignment vertical="center"/>
    </xf>
    <xf numFmtId="0" fontId="0" fillId="0" borderId="27" xfId="0" applyBorder="1" applyAlignment="1">
      <alignment vertical="center"/>
    </xf>
    <xf numFmtId="0" fontId="0" fillId="0" borderId="24" xfId="0" applyBorder="1" applyAlignment="1">
      <alignment horizontal="center" vertical="center"/>
    </xf>
    <xf numFmtId="0" fontId="0" fillId="0" borderId="32" xfId="0" applyBorder="1" applyAlignment="1">
      <alignment horizontal="center" vertical="center"/>
    </xf>
    <xf numFmtId="0" fontId="0" fillId="0" borderId="34" xfId="0" applyBorder="1" applyAlignment="1">
      <alignment horizontal="center" vertical="center"/>
    </xf>
    <xf numFmtId="0" fontId="0" fillId="14" borderId="30" xfId="0" applyFill="1" applyBorder="1">
      <alignment vertical="center"/>
    </xf>
    <xf numFmtId="0" fontId="0" fillId="15" borderId="14" xfId="0" applyFill="1" applyBorder="1" applyAlignment="1">
      <alignment horizontal="center" vertical="center"/>
    </xf>
    <xf numFmtId="0" fontId="0" fillId="15" borderId="2" xfId="0" applyFill="1" applyBorder="1" applyAlignment="1">
      <alignment horizontal="center" vertical="center"/>
    </xf>
    <xf numFmtId="0" fontId="0" fillId="15" borderId="9" xfId="0" applyFill="1" applyBorder="1" applyAlignment="1">
      <alignment horizontal="center" vertical="center"/>
    </xf>
    <xf numFmtId="0" fontId="0" fillId="13" borderId="35" xfId="0" applyFill="1" applyBorder="1" applyAlignment="1">
      <alignment vertical="center"/>
    </xf>
    <xf numFmtId="0" fontId="0" fillId="13" borderId="23" xfId="0" applyFill="1" applyBorder="1" applyAlignment="1">
      <alignment vertical="center"/>
    </xf>
    <xf numFmtId="0" fontId="0" fillId="13" borderId="18" xfId="0" applyFill="1" applyBorder="1" applyAlignment="1">
      <alignment vertical="center"/>
    </xf>
    <xf numFmtId="0" fontId="0" fillId="0" borderId="0" xfId="0" applyFill="1" applyBorder="1">
      <alignment vertical="center"/>
    </xf>
    <xf numFmtId="0" fontId="0" fillId="7" borderId="2" xfId="0" applyFill="1" applyBorder="1">
      <alignment vertical="center"/>
    </xf>
    <xf numFmtId="0" fontId="0" fillId="16" borderId="3" xfId="0" applyFill="1" applyBorder="1">
      <alignment vertical="center"/>
    </xf>
    <xf numFmtId="0" fontId="0" fillId="16" borderId="6" xfId="0" applyFill="1" applyBorder="1">
      <alignment vertical="center"/>
    </xf>
    <xf numFmtId="0" fontId="0" fillId="16" borderId="8" xfId="0" applyFill="1" applyBorder="1">
      <alignment vertical="center"/>
    </xf>
    <xf numFmtId="0" fontId="0" fillId="12" borderId="14" xfId="0" applyFill="1" applyBorder="1">
      <alignment vertical="center"/>
    </xf>
    <xf numFmtId="0" fontId="0" fillId="7" borderId="14" xfId="0" applyFill="1" applyBorder="1">
      <alignment vertical="center"/>
    </xf>
    <xf numFmtId="0" fontId="0" fillId="12" borderId="8" xfId="0" applyFill="1" applyBorder="1">
      <alignment vertical="center"/>
    </xf>
    <xf numFmtId="0" fontId="0" fillId="12" borderId="9" xfId="0" applyFill="1" applyBorder="1">
      <alignment vertical="center"/>
    </xf>
    <xf numFmtId="0" fontId="0" fillId="7" borderId="9" xfId="0" applyFill="1" applyBorder="1">
      <alignment vertical="center"/>
    </xf>
    <xf numFmtId="0" fontId="1" fillId="19" borderId="0" xfId="0" applyFont="1" applyFill="1">
      <alignment vertical="center"/>
    </xf>
    <xf numFmtId="0" fontId="1" fillId="19" borderId="2" xfId="0" applyFont="1" applyFill="1" applyBorder="1">
      <alignment vertical="center"/>
    </xf>
    <xf numFmtId="0" fontId="8" fillId="8" borderId="2" xfId="0" applyFont="1" applyFill="1" applyBorder="1">
      <alignment vertical="center"/>
    </xf>
    <xf numFmtId="0" fontId="1" fillId="19" borderId="2" xfId="0" applyFont="1" applyFill="1" applyBorder="1" applyAlignment="1">
      <alignment horizontal="center" vertical="center"/>
    </xf>
    <xf numFmtId="0" fontId="0" fillId="0" borderId="0" xfId="0" applyFill="1" applyBorder="1" applyAlignment="1">
      <alignment horizontal="center" vertical="center"/>
    </xf>
    <xf numFmtId="0" fontId="0" fillId="0" borderId="2" xfId="0" applyFill="1" applyBorder="1" applyAlignment="1">
      <alignment horizontal="center" vertical="center"/>
    </xf>
    <xf numFmtId="0" fontId="0" fillId="0" borderId="0" xfId="0" applyAlignment="1">
      <alignment horizontal="center" vertical="center"/>
    </xf>
    <xf numFmtId="0" fontId="0" fillId="17" borderId="40" xfId="0" applyFill="1" applyBorder="1">
      <alignment vertical="center"/>
    </xf>
    <xf numFmtId="0" fontId="0" fillId="17" borderId="41" xfId="0" applyFill="1" applyBorder="1">
      <alignment vertical="center"/>
    </xf>
    <xf numFmtId="0" fontId="0" fillId="17" borderId="42" xfId="0" applyFill="1" applyBorder="1">
      <alignment vertical="center"/>
    </xf>
    <xf numFmtId="0" fontId="0" fillId="17" borderId="43" xfId="0" applyFill="1" applyBorder="1">
      <alignment vertical="center"/>
    </xf>
    <xf numFmtId="0" fontId="0" fillId="7" borderId="5" xfId="0" applyFill="1" applyBorder="1">
      <alignment vertical="center"/>
    </xf>
    <xf numFmtId="0" fontId="0" fillId="7" borderId="7" xfId="0" applyFill="1" applyBorder="1">
      <alignment vertical="center"/>
    </xf>
    <xf numFmtId="0" fontId="0" fillId="7" borderId="10" xfId="0" applyFill="1" applyBorder="1">
      <alignment vertical="center"/>
    </xf>
    <xf numFmtId="0" fontId="0" fillId="12" borderId="46" xfId="0" applyFill="1" applyBorder="1">
      <alignment vertical="center"/>
    </xf>
    <xf numFmtId="0" fontId="0" fillId="12" borderId="19" xfId="0" applyFill="1" applyBorder="1">
      <alignment vertical="center"/>
    </xf>
    <xf numFmtId="0" fontId="0" fillId="12" borderId="19" xfId="0" applyFill="1" applyBorder="1" applyAlignment="1">
      <alignment vertical="center" wrapText="1"/>
    </xf>
    <xf numFmtId="0" fontId="0" fillId="12" borderId="47" xfId="0" applyFill="1" applyBorder="1">
      <alignment vertical="center"/>
    </xf>
    <xf numFmtId="0" fontId="0" fillId="0" borderId="48" xfId="0" applyBorder="1">
      <alignment vertical="center"/>
    </xf>
    <xf numFmtId="0" fontId="0" fillId="0" borderId="7" xfId="0" applyBorder="1">
      <alignment vertical="center"/>
    </xf>
    <xf numFmtId="0" fontId="0" fillId="15" borderId="16" xfId="0" applyFill="1" applyBorder="1">
      <alignment vertical="center"/>
    </xf>
    <xf numFmtId="0" fontId="0" fillId="15" borderId="2" xfId="0" applyFill="1" applyBorder="1">
      <alignment vertical="center"/>
    </xf>
    <xf numFmtId="0" fontId="0" fillId="20" borderId="2" xfId="0" applyFill="1" applyBorder="1">
      <alignment vertical="center"/>
    </xf>
    <xf numFmtId="0" fontId="0" fillId="21" borderId="36" xfId="0" applyFill="1" applyBorder="1">
      <alignment vertical="center"/>
    </xf>
    <xf numFmtId="0" fontId="0" fillId="21" borderId="39" xfId="0" applyFill="1" applyBorder="1">
      <alignment vertical="center"/>
    </xf>
    <xf numFmtId="0" fontId="1" fillId="19" borderId="44" xfId="0" applyFont="1" applyFill="1" applyBorder="1" applyAlignment="1">
      <alignment vertical="center"/>
    </xf>
    <xf numFmtId="0" fontId="1" fillId="19" borderId="50" xfId="0" applyFont="1" applyFill="1" applyBorder="1" applyAlignment="1">
      <alignment vertical="center"/>
    </xf>
    <xf numFmtId="0" fontId="1" fillId="19" borderId="45" xfId="0" applyFont="1" applyFill="1" applyBorder="1" applyAlignment="1">
      <alignment vertical="center"/>
    </xf>
    <xf numFmtId="0" fontId="0" fillId="17" borderId="51" xfId="0" applyFill="1" applyBorder="1">
      <alignment vertical="center"/>
    </xf>
    <xf numFmtId="0" fontId="10" fillId="0" borderId="11" xfId="0" applyFont="1" applyBorder="1">
      <alignment vertical="center"/>
    </xf>
    <xf numFmtId="0" fontId="10" fillId="0" borderId="11" xfId="0" applyFont="1" applyBorder="1" applyAlignment="1">
      <alignment horizontal="left" vertical="center"/>
    </xf>
    <xf numFmtId="0" fontId="0" fillId="21" borderId="52" xfId="0" applyFill="1" applyBorder="1">
      <alignment vertical="center"/>
    </xf>
    <xf numFmtId="0" fontId="0" fillId="0" borderId="11" xfId="0" applyBorder="1">
      <alignment vertical="center"/>
    </xf>
    <xf numFmtId="0" fontId="0" fillId="0" borderId="12" xfId="0" applyBorder="1">
      <alignment vertical="center"/>
    </xf>
    <xf numFmtId="0" fontId="0" fillId="0" borderId="53" xfId="0" applyBorder="1">
      <alignment vertical="center"/>
    </xf>
    <xf numFmtId="0" fontId="0" fillId="0" borderId="7" xfId="0" applyBorder="1" applyAlignment="1">
      <alignment vertical="center" wrapText="1"/>
    </xf>
    <xf numFmtId="0" fontId="11" fillId="0" borderId="0" xfId="0" applyFont="1">
      <alignment vertical="center"/>
    </xf>
    <xf numFmtId="0" fontId="12" fillId="0" borderId="0" xfId="0" applyFont="1" applyAlignment="1"/>
    <xf numFmtId="0" fontId="0" fillId="0" borderId="32" xfId="0" quotePrefix="1" applyBorder="1">
      <alignment vertical="center"/>
    </xf>
    <xf numFmtId="0" fontId="0" fillId="0" borderId="34" xfId="0" applyBorder="1">
      <alignment vertical="center"/>
    </xf>
    <xf numFmtId="0" fontId="1" fillId="16" borderId="22" xfId="0" applyFont="1" applyFill="1" applyBorder="1">
      <alignment vertical="center"/>
    </xf>
    <xf numFmtId="0" fontId="14" fillId="12" borderId="42" xfId="0" applyFont="1" applyFill="1" applyBorder="1">
      <alignment vertical="center"/>
    </xf>
    <xf numFmtId="0" fontId="5" fillId="19" borderId="19" xfId="0" applyFont="1" applyFill="1" applyBorder="1">
      <alignment vertical="center"/>
    </xf>
    <xf numFmtId="0" fontId="5" fillId="19" borderId="20" xfId="0" applyFont="1" applyFill="1" applyBorder="1">
      <alignment vertical="center"/>
    </xf>
    <xf numFmtId="0" fontId="1" fillId="19" borderId="36" xfId="0" applyFont="1" applyFill="1" applyBorder="1" applyAlignment="1">
      <alignment horizontal="center" vertical="center"/>
    </xf>
    <xf numFmtId="0" fontId="5" fillId="19" borderId="37" xfId="0" applyFont="1" applyFill="1" applyBorder="1" applyAlignment="1">
      <alignment horizontal="center" vertical="center"/>
    </xf>
    <xf numFmtId="0" fontId="5" fillId="19" borderId="38" xfId="0" applyFont="1" applyFill="1" applyBorder="1" applyAlignment="1">
      <alignment horizontal="center" vertical="center"/>
    </xf>
    <xf numFmtId="0" fontId="5" fillId="19" borderId="36" xfId="0" applyFont="1" applyFill="1" applyBorder="1" applyAlignment="1">
      <alignment horizontal="center" vertical="center"/>
    </xf>
    <xf numFmtId="0" fontId="5" fillId="19" borderId="39" xfId="0" applyFont="1" applyFill="1" applyBorder="1" applyAlignment="1">
      <alignment horizontal="center" vertical="center"/>
    </xf>
    <xf numFmtId="0" fontId="5" fillId="19" borderId="57" xfId="0" applyFont="1" applyFill="1" applyBorder="1">
      <alignment vertical="center"/>
    </xf>
    <xf numFmtId="0" fontId="5" fillId="19" borderId="37" xfId="0" applyFont="1" applyFill="1" applyBorder="1">
      <alignment vertical="center"/>
    </xf>
    <xf numFmtId="0" fontId="5" fillId="19" borderId="39" xfId="0" applyFont="1" applyFill="1" applyBorder="1">
      <alignment vertical="center"/>
    </xf>
    <xf numFmtId="0" fontId="5" fillId="19" borderId="48" xfId="0" applyFont="1" applyFill="1" applyBorder="1">
      <alignment vertical="center"/>
    </xf>
    <xf numFmtId="0" fontId="0" fillId="12" borderId="14" xfId="0" applyFill="1" applyBorder="1" applyProtection="1">
      <alignment vertical="center"/>
    </xf>
    <xf numFmtId="0" fontId="0" fillId="12" borderId="2" xfId="0" applyFill="1" applyBorder="1" applyProtection="1">
      <alignment vertical="center"/>
    </xf>
    <xf numFmtId="0" fontId="0" fillId="12" borderId="6" xfId="0" applyFill="1" applyBorder="1" applyProtection="1">
      <alignment vertical="center"/>
    </xf>
    <xf numFmtId="0" fontId="0" fillId="7" borderId="15" xfId="0" applyFill="1" applyBorder="1">
      <alignment vertical="center"/>
    </xf>
    <xf numFmtId="0" fontId="0" fillId="12" borderId="25" xfId="0" applyFill="1" applyBorder="1" applyAlignment="1">
      <alignment horizontal="left" vertical="center"/>
    </xf>
    <xf numFmtId="0" fontId="0" fillId="12" borderId="14" xfId="0" applyFill="1" applyBorder="1" applyAlignment="1">
      <alignment horizontal="left" vertical="center"/>
    </xf>
    <xf numFmtId="0" fontId="0" fillId="0" borderId="5" xfId="0" applyBorder="1">
      <alignment vertical="center"/>
    </xf>
    <xf numFmtId="0" fontId="0" fillId="12" borderId="28" xfId="0" applyFill="1" applyBorder="1">
      <alignment vertical="center"/>
    </xf>
    <xf numFmtId="0" fontId="0" fillId="12" borderId="13" xfId="0" applyFill="1" applyBorder="1">
      <alignment vertical="center"/>
    </xf>
    <xf numFmtId="0" fontId="0" fillId="12" borderId="15" xfId="0" applyFill="1" applyBorder="1">
      <alignment vertical="center"/>
    </xf>
    <xf numFmtId="0" fontId="0" fillId="12" borderId="27" xfId="0" applyFill="1" applyBorder="1">
      <alignment vertical="center"/>
    </xf>
    <xf numFmtId="0" fontId="0" fillId="12" borderId="7" xfId="0" applyFill="1" applyBorder="1">
      <alignment vertical="center"/>
    </xf>
    <xf numFmtId="0" fontId="0" fillId="12" borderId="29" xfId="0" applyFill="1" applyBorder="1">
      <alignment vertical="center"/>
    </xf>
    <xf numFmtId="0" fontId="0" fillId="12" borderId="10" xfId="0" applyFill="1" applyBorder="1">
      <alignment vertical="center"/>
    </xf>
    <xf numFmtId="0" fontId="0" fillId="12" borderId="28" xfId="0" applyFill="1" applyBorder="1" applyProtection="1">
      <alignment vertical="center"/>
    </xf>
    <xf numFmtId="0" fontId="0" fillId="12" borderId="27" xfId="0" applyFill="1" applyBorder="1" applyProtection="1">
      <alignment vertical="center"/>
    </xf>
    <xf numFmtId="0" fontId="5" fillId="19" borderId="58" xfId="0" applyFont="1" applyFill="1" applyBorder="1" applyAlignment="1">
      <alignment horizontal="center" vertical="center"/>
    </xf>
    <xf numFmtId="0" fontId="0" fillId="17" borderId="59" xfId="0" applyFill="1" applyBorder="1">
      <alignment vertical="center"/>
    </xf>
    <xf numFmtId="0" fontId="0" fillId="17" borderId="49" xfId="0" applyFill="1" applyBorder="1">
      <alignment vertical="center"/>
    </xf>
    <xf numFmtId="0" fontId="0" fillId="17" borderId="60" xfId="0" applyFill="1" applyBorder="1">
      <alignment vertical="center"/>
    </xf>
    <xf numFmtId="0" fontId="16" fillId="0" borderId="2" xfId="0" applyFont="1" applyFill="1" applyBorder="1" applyAlignment="1">
      <alignment vertical="center"/>
    </xf>
    <xf numFmtId="0" fontId="0" fillId="7" borderId="2" xfId="0" applyFill="1" applyBorder="1" applyAlignment="1">
      <alignment horizontal="center" vertical="center"/>
    </xf>
    <xf numFmtId="0" fontId="0" fillId="18" borderId="61" xfId="0" applyFill="1" applyBorder="1" applyAlignment="1">
      <alignment vertical="center" textRotation="90"/>
    </xf>
    <xf numFmtId="0" fontId="0" fillId="15" borderId="61" xfId="0" applyFill="1" applyBorder="1" applyAlignment="1">
      <alignment vertical="center" textRotation="90"/>
    </xf>
    <xf numFmtId="0" fontId="0" fillId="0" borderId="14" xfId="0" applyFill="1" applyBorder="1" applyAlignment="1">
      <alignment horizontal="center" vertical="center"/>
    </xf>
    <xf numFmtId="0" fontId="1" fillId="19" borderId="64" xfId="0" applyFont="1" applyFill="1" applyBorder="1">
      <alignment vertical="center"/>
    </xf>
    <xf numFmtId="0" fontId="1" fillId="19" borderId="25" xfId="0" applyFont="1" applyFill="1" applyBorder="1">
      <alignment vertical="center"/>
    </xf>
    <xf numFmtId="0" fontId="0" fillId="0" borderId="2" xfId="0" applyFill="1" applyBorder="1" applyAlignment="1" applyProtection="1">
      <alignment horizontal="center" vertical="center"/>
    </xf>
    <xf numFmtId="0" fontId="0" fillId="7" borderId="7" xfId="0" applyFill="1" applyBorder="1" applyAlignment="1">
      <alignment horizontal="left" vertical="center"/>
    </xf>
    <xf numFmtId="0" fontId="0" fillId="7" borderId="62" xfId="0" applyFill="1" applyBorder="1" applyAlignment="1">
      <alignment vertical="top"/>
    </xf>
    <xf numFmtId="0" fontId="0" fillId="7" borderId="14" xfId="0" applyFill="1" applyBorder="1" applyAlignment="1">
      <alignment vertical="top"/>
    </xf>
    <xf numFmtId="0" fontId="0" fillId="7" borderId="61" xfId="0" applyFill="1" applyBorder="1" applyAlignment="1">
      <alignment vertical="top"/>
    </xf>
    <xf numFmtId="0" fontId="1" fillId="19" borderId="65" xfId="0" applyFont="1" applyFill="1" applyBorder="1">
      <alignment vertical="center"/>
    </xf>
    <xf numFmtId="0" fontId="1" fillId="19" borderId="11" xfId="0" applyFont="1" applyFill="1" applyBorder="1">
      <alignment vertical="center"/>
    </xf>
    <xf numFmtId="0" fontId="0" fillId="15" borderId="7" xfId="0" applyFill="1" applyBorder="1">
      <alignment vertical="center"/>
    </xf>
    <xf numFmtId="0" fontId="0" fillId="15" borderId="17" xfId="0" applyFill="1" applyBorder="1" applyAlignment="1">
      <alignment vertical="center" wrapText="1"/>
    </xf>
    <xf numFmtId="0" fontId="0" fillId="15" borderId="15" xfId="0" applyFill="1" applyBorder="1" applyAlignment="1">
      <alignment horizontal="center" vertical="center"/>
    </xf>
    <xf numFmtId="0" fontId="0" fillId="15" borderId="7" xfId="0" applyFill="1" applyBorder="1" applyAlignment="1">
      <alignment horizontal="center" vertical="center"/>
    </xf>
    <xf numFmtId="0" fontId="0" fillId="15" borderId="10" xfId="0" applyFill="1" applyBorder="1" applyAlignment="1">
      <alignment horizontal="center" vertical="center"/>
    </xf>
    <xf numFmtId="0" fontId="1" fillId="19" borderId="3" xfId="0" applyFont="1" applyFill="1" applyBorder="1">
      <alignment vertical="center"/>
    </xf>
    <xf numFmtId="0" fontId="0" fillId="12" borderId="26" xfId="0" applyFill="1" applyBorder="1" applyAlignment="1">
      <alignment horizontal="left" vertical="center"/>
    </xf>
    <xf numFmtId="0" fontId="0" fillId="12" borderId="9" xfId="0" applyFill="1" applyBorder="1" applyAlignment="1">
      <alignment horizontal="left" vertical="center"/>
    </xf>
    <xf numFmtId="0" fontId="0" fillId="12" borderId="30" xfId="0" applyFill="1" applyBorder="1" applyAlignment="1">
      <alignment horizontal="left" vertical="center"/>
    </xf>
    <xf numFmtId="0" fontId="0" fillId="12" borderId="2" xfId="0" applyFill="1" applyBorder="1" applyAlignment="1">
      <alignment horizontal="left" vertical="center"/>
    </xf>
    <xf numFmtId="0" fontId="5" fillId="19" borderId="58" xfId="0" applyFont="1" applyFill="1" applyBorder="1">
      <alignment vertical="center"/>
    </xf>
    <xf numFmtId="0" fontId="0" fillId="7" borderId="59" xfId="0" applyFill="1" applyBorder="1">
      <alignment vertical="center"/>
    </xf>
    <xf numFmtId="0" fontId="0" fillId="7" borderId="49" xfId="0" applyFill="1" applyBorder="1">
      <alignment vertical="center"/>
    </xf>
    <xf numFmtId="0" fontId="0" fillId="7" borderId="60" xfId="0" applyFill="1" applyBorder="1">
      <alignment vertical="center"/>
    </xf>
    <xf numFmtId="0" fontId="10" fillId="0" borderId="0" xfId="0" applyFont="1">
      <alignment vertical="center"/>
    </xf>
    <xf numFmtId="0" fontId="10" fillId="0" borderId="0" xfId="0" applyFont="1" applyBorder="1">
      <alignment vertical="center"/>
    </xf>
    <xf numFmtId="0" fontId="0" fillId="0" borderId="69" xfId="0" applyBorder="1">
      <alignment vertical="center"/>
    </xf>
    <xf numFmtId="0" fontId="3" fillId="0" borderId="15" xfId="1" applyBorder="1">
      <alignment vertical="center"/>
    </xf>
    <xf numFmtId="0" fontId="0" fillId="0" borderId="13" xfId="0" applyBorder="1" applyAlignment="1">
      <alignment horizontal="left" vertical="center"/>
    </xf>
    <xf numFmtId="0" fontId="0" fillId="0" borderId="6" xfId="0" applyBorder="1" applyAlignment="1">
      <alignment horizontal="left" vertical="center"/>
    </xf>
    <xf numFmtId="0" fontId="0" fillId="0" borderId="0" xfId="0" applyAlignment="1">
      <alignment horizontal="left" vertical="center"/>
    </xf>
    <xf numFmtId="0" fontId="0" fillId="21" borderId="36" xfId="0" applyFill="1" applyBorder="1" applyAlignment="1">
      <alignment horizontal="left" vertical="center"/>
    </xf>
    <xf numFmtId="0" fontId="0" fillId="0" borderId="8" xfId="0" applyBorder="1" applyAlignment="1">
      <alignment horizontal="left" vertical="center"/>
    </xf>
    <xf numFmtId="0" fontId="0" fillId="0" borderId="15" xfId="0" applyBorder="1" applyAlignment="1">
      <alignment vertical="center" wrapText="1"/>
    </xf>
    <xf numFmtId="0" fontId="0" fillId="0" borderId="70" xfId="0" applyBorder="1" applyAlignment="1">
      <alignment horizontal="left" vertical="center"/>
    </xf>
    <xf numFmtId="0" fontId="3" fillId="0" borderId="71" xfId="1" applyBorder="1">
      <alignment vertical="center"/>
    </xf>
    <xf numFmtId="0" fontId="0" fillId="0" borderId="0" xfId="0" applyBorder="1" applyAlignment="1">
      <alignment vertical="center" wrapText="1"/>
    </xf>
    <xf numFmtId="0" fontId="0" fillId="18" borderId="30" xfId="0" quotePrefix="1" applyFill="1" applyBorder="1">
      <alignment vertical="center"/>
    </xf>
    <xf numFmtId="0" fontId="0" fillId="18" borderId="31" xfId="0" applyFill="1" applyBorder="1" applyAlignment="1">
      <alignment vertical="center" wrapText="1"/>
    </xf>
    <xf numFmtId="0" fontId="0" fillId="15" borderId="25" xfId="0" applyFill="1" applyBorder="1" applyAlignment="1">
      <alignment horizontal="center" vertical="center"/>
    </xf>
    <xf numFmtId="0" fontId="0" fillId="15" borderId="30" xfId="0" applyFill="1" applyBorder="1" applyAlignment="1">
      <alignment horizontal="center" vertical="center"/>
    </xf>
    <xf numFmtId="0" fontId="0" fillId="15" borderId="26" xfId="0" applyFill="1" applyBorder="1" applyAlignment="1">
      <alignment horizontal="center" vertical="center"/>
    </xf>
    <xf numFmtId="0" fontId="0" fillId="12" borderId="73" xfId="0" applyFill="1" applyBorder="1">
      <alignment vertical="center"/>
    </xf>
    <xf numFmtId="0" fontId="0" fillId="13" borderId="73" xfId="0" applyFill="1" applyBorder="1">
      <alignment vertical="center"/>
    </xf>
    <xf numFmtId="0" fontId="0" fillId="13" borderId="43" xfId="0" applyFill="1" applyBorder="1">
      <alignment vertical="center"/>
    </xf>
    <xf numFmtId="0" fontId="0" fillId="12" borderId="43" xfId="0" applyFill="1" applyBorder="1">
      <alignment vertical="center"/>
    </xf>
    <xf numFmtId="0" fontId="1" fillId="19" borderId="13" xfId="0" applyFont="1" applyFill="1" applyBorder="1">
      <alignment vertical="center"/>
    </xf>
    <xf numFmtId="0" fontId="19" fillId="15" borderId="14" xfId="0" applyFont="1" applyFill="1" applyBorder="1">
      <alignment vertical="center"/>
    </xf>
    <xf numFmtId="0" fontId="19" fillId="15" borderId="15" xfId="0" applyFont="1" applyFill="1" applyBorder="1">
      <alignment vertical="center"/>
    </xf>
    <xf numFmtId="0" fontId="5" fillId="19" borderId="6" xfId="0" applyFont="1" applyFill="1" applyBorder="1">
      <alignment vertical="center"/>
    </xf>
    <xf numFmtId="0" fontId="5" fillId="19" borderId="8" xfId="0" applyFont="1" applyFill="1" applyBorder="1">
      <alignment vertical="center"/>
    </xf>
    <xf numFmtId="0" fontId="0" fillId="12" borderId="7" xfId="0" applyFill="1" applyBorder="1" applyAlignment="1">
      <alignment horizontal="left" vertical="center"/>
    </xf>
    <xf numFmtId="0" fontId="0" fillId="12" borderId="10" xfId="0" applyFill="1" applyBorder="1" applyAlignment="1">
      <alignment horizontal="left" vertical="center"/>
    </xf>
    <xf numFmtId="0" fontId="19" fillId="15" borderId="2" xfId="0" applyFont="1" applyFill="1" applyBorder="1">
      <alignment vertical="center"/>
    </xf>
    <xf numFmtId="0" fontId="5" fillId="19" borderId="4" xfId="0" applyFont="1" applyFill="1" applyBorder="1">
      <alignment vertical="center"/>
    </xf>
    <xf numFmtId="0" fontId="5" fillId="19" borderId="5" xfId="0" applyFont="1" applyFill="1" applyBorder="1">
      <alignment vertical="center"/>
    </xf>
    <xf numFmtId="0" fontId="1" fillId="19" borderId="6" xfId="0" applyFont="1" applyFill="1" applyBorder="1">
      <alignment vertical="center"/>
    </xf>
    <xf numFmtId="0" fontId="19" fillId="15" borderId="7" xfId="0" applyFont="1" applyFill="1" applyBorder="1">
      <alignment vertical="center"/>
    </xf>
    <xf numFmtId="0" fontId="5" fillId="19" borderId="75" xfId="0" applyFont="1" applyFill="1" applyBorder="1">
      <alignment vertical="center"/>
    </xf>
    <xf numFmtId="0" fontId="0" fillId="15" borderId="27" xfId="0" applyFill="1" applyBorder="1">
      <alignment vertical="center"/>
    </xf>
    <xf numFmtId="0" fontId="0" fillId="0" borderId="7" xfId="0" applyFill="1" applyBorder="1">
      <alignment vertical="center"/>
    </xf>
    <xf numFmtId="14" fontId="0" fillId="0" borderId="15" xfId="0" applyNumberFormat="1" applyBorder="1">
      <alignment vertical="center"/>
    </xf>
    <xf numFmtId="0" fontId="0" fillId="0" borderId="12" xfId="0" applyBorder="1" applyAlignment="1">
      <alignment vertical="center"/>
    </xf>
    <xf numFmtId="0" fontId="0" fillId="0" borderId="9" xfId="0" applyFill="1" applyBorder="1" applyAlignment="1">
      <alignment horizontal="center" vertical="center"/>
    </xf>
    <xf numFmtId="0" fontId="0" fillId="18" borderId="30" xfId="0" applyFill="1" applyBorder="1" applyAlignment="1">
      <alignment vertical="center" textRotation="90"/>
    </xf>
    <xf numFmtId="0" fontId="0" fillId="22" borderId="30" xfId="0" applyFill="1" applyBorder="1" applyAlignment="1" applyProtection="1">
      <alignment horizontal="center" vertical="center" textRotation="90"/>
    </xf>
    <xf numFmtId="0" fontId="0" fillId="0" borderId="2" xfId="0" quotePrefix="1" applyBorder="1">
      <alignment vertical="center"/>
    </xf>
    <xf numFmtId="14" fontId="0" fillId="0" borderId="14" xfId="0" applyNumberFormat="1" applyBorder="1">
      <alignment vertical="center"/>
    </xf>
    <xf numFmtId="0" fontId="16" fillId="7" borderId="61" xfId="0" applyFont="1" applyFill="1" applyBorder="1" applyAlignment="1">
      <alignment vertical="center"/>
    </xf>
    <xf numFmtId="0" fontId="0" fillId="0" borderId="2" xfId="0" applyBorder="1" applyAlignment="1">
      <alignment vertical="center" wrapText="1"/>
    </xf>
    <xf numFmtId="14" fontId="0" fillId="0" borderId="7" xfId="0" applyNumberFormat="1" applyBorder="1">
      <alignment vertical="center"/>
    </xf>
    <xf numFmtId="0" fontId="0" fillId="0" borderId="2" xfId="0" applyFill="1" applyBorder="1">
      <alignment vertical="center"/>
    </xf>
    <xf numFmtId="0" fontId="0" fillId="15" borderId="30" xfId="0" applyFill="1" applyBorder="1">
      <alignment vertical="center"/>
    </xf>
    <xf numFmtId="0" fontId="0" fillId="20" borderId="30" xfId="0" applyFill="1" applyBorder="1">
      <alignment vertical="center"/>
    </xf>
    <xf numFmtId="0" fontId="0" fillId="15" borderId="31" xfId="0" applyFill="1" applyBorder="1" applyAlignment="1">
      <alignment vertical="center" wrapText="1"/>
    </xf>
    <xf numFmtId="0" fontId="0" fillId="0" borderId="16" xfId="0" quotePrefix="1" applyFill="1" applyBorder="1" applyAlignment="1">
      <alignment vertical="center" wrapText="1"/>
    </xf>
    <xf numFmtId="0" fontId="0" fillId="22" borderId="2" xfId="0" applyFill="1" applyBorder="1" applyAlignment="1" applyProtection="1">
      <alignment horizontal="center" vertical="center" textRotation="90"/>
    </xf>
    <xf numFmtId="0" fontId="1" fillId="19" borderId="65" xfId="0" applyFont="1" applyFill="1" applyBorder="1">
      <alignment vertical="center"/>
    </xf>
    <xf numFmtId="0" fontId="1" fillId="19" borderId="11" xfId="0" applyFont="1" applyFill="1" applyBorder="1">
      <alignment vertical="center"/>
    </xf>
    <xf numFmtId="14" fontId="0" fillId="0" borderId="2" xfId="0" applyNumberFormat="1" applyBorder="1">
      <alignment vertical="center"/>
    </xf>
    <xf numFmtId="0" fontId="20" fillId="12" borderId="42" xfId="0" applyFont="1" applyFill="1" applyBorder="1">
      <alignment vertical="center"/>
    </xf>
    <xf numFmtId="0" fontId="19" fillId="12" borderId="73" xfId="0" applyFont="1" applyFill="1" applyBorder="1">
      <alignment vertical="center"/>
    </xf>
    <xf numFmtId="0" fontId="19" fillId="12" borderId="43" xfId="0" applyFont="1" applyFill="1" applyBorder="1">
      <alignment vertical="center"/>
    </xf>
    <xf numFmtId="0" fontId="19" fillId="13" borderId="73" xfId="0" applyFont="1" applyFill="1" applyBorder="1">
      <alignment vertical="center"/>
    </xf>
    <xf numFmtId="0" fontId="19" fillId="12" borderId="46" xfId="0" applyFont="1" applyFill="1" applyBorder="1">
      <alignment vertical="center"/>
    </xf>
    <xf numFmtId="0" fontId="19" fillId="12" borderId="23" xfId="0" applyFont="1" applyFill="1" applyBorder="1">
      <alignment vertical="center"/>
    </xf>
    <xf numFmtId="0" fontId="19" fillId="12" borderId="22" xfId="0" applyFont="1" applyFill="1" applyBorder="1">
      <alignment vertical="center"/>
    </xf>
    <xf numFmtId="0" fontId="19" fillId="13" borderId="35" xfId="0" applyFont="1" applyFill="1" applyBorder="1">
      <alignment vertical="center"/>
    </xf>
    <xf numFmtId="0" fontId="19" fillId="13" borderId="23" xfId="0" applyFont="1" applyFill="1" applyBorder="1">
      <alignment vertical="center"/>
    </xf>
    <xf numFmtId="0" fontId="0" fillId="13" borderId="23" xfId="0" applyFill="1" applyBorder="1">
      <alignment vertical="center"/>
    </xf>
    <xf numFmtId="0" fontId="0" fillId="13" borderId="18" xfId="0" applyFill="1" applyBorder="1">
      <alignment vertical="center"/>
    </xf>
    <xf numFmtId="0" fontId="19" fillId="12" borderId="19" xfId="0" applyFont="1" applyFill="1" applyBorder="1">
      <alignment vertical="center"/>
    </xf>
    <xf numFmtId="0" fontId="19" fillId="0" borderId="27" xfId="0" applyFont="1" applyBorder="1">
      <alignment vertical="center"/>
    </xf>
    <xf numFmtId="0" fontId="19" fillId="0" borderId="12" xfId="0" applyFont="1" applyBorder="1">
      <alignment vertical="center"/>
    </xf>
    <xf numFmtId="0" fontId="19" fillId="0" borderId="32" xfId="0" applyFont="1" applyBorder="1">
      <alignment vertical="center"/>
    </xf>
    <xf numFmtId="0" fontId="19" fillId="15" borderId="30" xfId="0" applyFont="1" applyFill="1" applyBorder="1">
      <alignment vertical="center"/>
    </xf>
    <xf numFmtId="0" fontId="19" fillId="0" borderId="2" xfId="0" applyFont="1" applyBorder="1">
      <alignment vertical="center"/>
    </xf>
    <xf numFmtId="0" fontId="19" fillId="18" borderId="30" xfId="0" quotePrefix="1" applyFont="1" applyFill="1" applyBorder="1">
      <alignment vertical="center"/>
    </xf>
    <xf numFmtId="0" fontId="19" fillId="0" borderId="2" xfId="0" quotePrefix="1" applyFont="1" applyBorder="1">
      <alignment vertical="center"/>
    </xf>
    <xf numFmtId="0" fontId="19" fillId="20" borderId="30" xfId="0" applyFont="1" applyFill="1" applyBorder="1">
      <alignment vertical="center"/>
    </xf>
    <xf numFmtId="0" fontId="19" fillId="12" borderId="19" xfId="0" applyFont="1" applyFill="1" applyBorder="1" applyAlignment="1">
      <alignment vertical="center" wrapText="1"/>
    </xf>
    <xf numFmtId="0" fontId="19" fillId="14" borderId="32" xfId="0" applyFont="1" applyFill="1" applyBorder="1">
      <alignment vertical="center"/>
    </xf>
    <xf numFmtId="0" fontId="19" fillId="18" borderId="30" xfId="0" applyFont="1" applyFill="1" applyBorder="1" applyAlignment="1">
      <alignment vertical="center" textRotation="90"/>
    </xf>
    <xf numFmtId="0" fontId="19" fillId="12" borderId="47" xfId="0" applyFont="1" applyFill="1" applyBorder="1">
      <alignment vertical="center"/>
    </xf>
    <xf numFmtId="0" fontId="19" fillId="18" borderId="31" xfId="0" applyFont="1" applyFill="1" applyBorder="1" applyAlignment="1">
      <alignment vertical="center" wrapText="1"/>
    </xf>
    <xf numFmtId="0" fontId="19" fillId="0" borderId="16" xfId="0" applyFont="1" applyBorder="1" applyAlignment="1">
      <alignment vertical="center" wrapText="1"/>
    </xf>
    <xf numFmtId="0" fontId="19" fillId="0" borderId="33" xfId="0" applyFont="1" applyBorder="1" applyAlignment="1">
      <alignment vertical="center" wrapText="1"/>
    </xf>
    <xf numFmtId="0" fontId="19" fillId="15" borderId="31" xfId="0" applyFont="1" applyFill="1" applyBorder="1" applyAlignment="1">
      <alignment vertical="center" wrapText="1"/>
    </xf>
    <xf numFmtId="0" fontId="19" fillId="0" borderId="48" xfId="0" applyFont="1" applyBorder="1">
      <alignment vertical="center"/>
    </xf>
    <xf numFmtId="0" fontId="19" fillId="15" borderId="25" xfId="0" applyFont="1" applyFill="1" applyBorder="1" applyAlignment="1">
      <alignment horizontal="center" vertical="center"/>
    </xf>
    <xf numFmtId="0" fontId="19" fillId="0" borderId="14" xfId="0" applyFont="1" applyBorder="1" applyAlignment="1">
      <alignment horizontal="center" vertical="center"/>
    </xf>
    <xf numFmtId="0" fontId="19" fillId="0" borderId="24" xfId="0" applyFont="1" applyBorder="1" applyAlignment="1">
      <alignment horizontal="center" vertical="center"/>
    </xf>
    <xf numFmtId="0" fontId="19" fillId="0" borderId="19" xfId="0" applyFont="1" applyBorder="1">
      <alignment vertical="center"/>
    </xf>
    <xf numFmtId="0" fontId="19" fillId="15" borderId="30" xfId="0" applyFont="1" applyFill="1" applyBorder="1" applyAlignment="1">
      <alignment horizontal="center" vertical="center"/>
    </xf>
    <xf numFmtId="0" fontId="19" fillId="0" borderId="2" xfId="0" applyFont="1" applyBorder="1" applyAlignment="1">
      <alignment horizontal="center" vertical="center"/>
    </xf>
    <xf numFmtId="0" fontId="19" fillId="0" borderId="32" xfId="0" applyFont="1" applyBorder="1" applyAlignment="1">
      <alignment horizontal="center" vertical="center"/>
    </xf>
    <xf numFmtId="0" fontId="19" fillId="0" borderId="20" xfId="0" applyFont="1" applyBorder="1">
      <alignment vertical="center"/>
    </xf>
    <xf numFmtId="0" fontId="19" fillId="15" borderId="26" xfId="0" applyFont="1" applyFill="1" applyBorder="1" applyAlignment="1">
      <alignment horizontal="center" vertical="center"/>
    </xf>
    <xf numFmtId="0" fontId="19" fillId="0" borderId="9" xfId="0" applyFont="1" applyBorder="1" applyAlignment="1">
      <alignment horizontal="center" vertical="center"/>
    </xf>
    <xf numFmtId="0" fontId="19" fillId="0" borderId="34" xfId="0" applyFont="1" applyBorder="1" applyAlignment="1">
      <alignment horizontal="center" vertical="center"/>
    </xf>
    <xf numFmtId="0" fontId="19" fillId="0" borderId="7" xfId="0" applyFont="1" applyBorder="1">
      <alignment vertical="center"/>
    </xf>
    <xf numFmtId="0" fontId="19" fillId="0" borderId="7" xfId="0" applyFont="1" applyBorder="1" applyAlignment="1">
      <alignment vertical="center" wrapText="1"/>
    </xf>
    <xf numFmtId="0" fontId="19" fillId="0" borderId="17" xfId="0" applyFont="1" applyBorder="1" applyAlignment="1">
      <alignment vertical="center" wrapText="1"/>
    </xf>
    <xf numFmtId="0" fontId="19" fillId="0" borderId="15" xfId="0" applyFont="1" applyBorder="1" applyAlignment="1">
      <alignment horizontal="center" vertical="center"/>
    </xf>
    <xf numFmtId="0" fontId="19" fillId="0" borderId="7" xfId="0" applyFont="1" applyBorder="1" applyAlignment="1">
      <alignment horizontal="center" vertical="center"/>
    </xf>
    <xf numFmtId="0" fontId="19" fillId="0" borderId="10" xfId="0" applyFont="1" applyBorder="1" applyAlignment="1">
      <alignment horizontal="center" vertical="center"/>
    </xf>
    <xf numFmtId="0" fontId="22" fillId="0" borderId="0" xfId="2" applyFont="1">
      <alignment vertical="center"/>
    </xf>
    <xf numFmtId="0" fontId="23" fillId="0" borderId="0" xfId="2" applyFont="1" applyAlignment="1">
      <alignment horizontal="center" vertical="center"/>
    </xf>
    <xf numFmtId="0" fontId="24" fillId="0" borderId="0" xfId="2" applyFont="1" applyAlignment="1">
      <alignment horizontal="center" vertical="center"/>
    </xf>
    <xf numFmtId="0" fontId="25" fillId="0" borderId="0" xfId="2" applyFont="1">
      <alignment vertical="center"/>
    </xf>
    <xf numFmtId="0" fontId="22" fillId="0" borderId="0" xfId="2" applyFont="1" applyAlignment="1">
      <alignment horizontal="center" vertical="center"/>
    </xf>
    <xf numFmtId="0" fontId="27" fillId="0" borderId="0" xfId="2" applyFont="1" applyAlignment="1">
      <alignment horizontal="center" vertical="center"/>
    </xf>
    <xf numFmtId="0" fontId="22" fillId="0" borderId="63" xfId="2" applyFont="1" applyBorder="1">
      <alignment vertical="center"/>
    </xf>
    <xf numFmtId="0" fontId="22" fillId="0" borderId="65" xfId="2" applyFont="1" applyBorder="1">
      <alignment vertical="center"/>
    </xf>
    <xf numFmtId="0" fontId="22" fillId="0" borderId="64" xfId="2" applyFont="1" applyBorder="1">
      <alignment vertical="center"/>
    </xf>
    <xf numFmtId="0" fontId="22" fillId="0" borderId="76" xfId="2" applyFont="1" applyBorder="1">
      <alignment vertical="center"/>
    </xf>
    <xf numFmtId="0" fontId="22" fillId="0" borderId="77" xfId="2" applyFont="1" applyBorder="1">
      <alignment vertical="center"/>
    </xf>
    <xf numFmtId="0" fontId="22" fillId="0" borderId="77" xfId="2" applyFont="1" applyBorder="1" applyAlignment="1">
      <alignment horizontal="center" vertical="center"/>
    </xf>
    <xf numFmtId="0" fontId="22" fillId="0" borderId="76" xfId="2" applyFont="1" applyBorder="1" applyAlignment="1">
      <alignment horizontal="center" vertical="center"/>
    </xf>
    <xf numFmtId="0" fontId="22" fillId="0" borderId="28" xfId="2" applyFont="1" applyBorder="1">
      <alignment vertical="center"/>
    </xf>
    <xf numFmtId="0" fontId="22" fillId="0" borderId="11" xfId="2" applyFont="1" applyBorder="1">
      <alignment vertical="center"/>
    </xf>
    <xf numFmtId="0" fontId="22" fillId="0" borderId="25" xfId="2" applyFont="1" applyBorder="1">
      <alignment vertical="center"/>
    </xf>
    <xf numFmtId="0" fontId="0" fillId="4" borderId="30" xfId="0" applyFill="1" applyBorder="1">
      <alignment vertical="center"/>
    </xf>
    <xf numFmtId="0" fontId="0" fillId="4" borderId="2" xfId="0" applyFill="1" applyBorder="1">
      <alignment vertical="center"/>
    </xf>
    <xf numFmtId="0" fontId="0" fillId="4" borderId="7" xfId="0" applyFill="1" applyBorder="1">
      <alignment vertical="center"/>
    </xf>
    <xf numFmtId="0" fontId="0" fillId="0" borderId="30" xfId="0" applyBorder="1">
      <alignment vertical="center"/>
    </xf>
    <xf numFmtId="0" fontId="0" fillId="0" borderId="26" xfId="0" applyBorder="1">
      <alignment vertical="center"/>
    </xf>
    <xf numFmtId="0" fontId="22" fillId="0" borderId="27" xfId="2" applyFont="1" applyBorder="1" applyAlignment="1">
      <alignment horizontal="center" vertical="center"/>
    </xf>
    <xf numFmtId="0" fontId="22" fillId="0" borderId="12" xfId="2" applyFont="1" applyBorder="1" applyAlignment="1">
      <alignment horizontal="center" vertical="center"/>
    </xf>
    <xf numFmtId="0" fontId="22" fillId="0" borderId="30" xfId="2" applyFont="1" applyBorder="1" applyAlignment="1">
      <alignment horizontal="center" vertical="center"/>
    </xf>
    <xf numFmtId="0" fontId="0" fillId="11" borderId="11" xfId="0" applyFill="1" applyBorder="1" applyAlignment="1"/>
    <xf numFmtId="0" fontId="3" fillId="11" borderId="12" xfId="1" applyFill="1" applyBorder="1" applyAlignment="1"/>
    <xf numFmtId="0" fontId="0" fillId="11" borderId="12" xfId="0" applyFill="1" applyBorder="1" applyAlignment="1"/>
    <xf numFmtId="0" fontId="0" fillId="23" borderId="78" xfId="0" applyFill="1" applyBorder="1" applyAlignment="1">
      <alignment horizontal="center" vertical="center"/>
    </xf>
    <xf numFmtId="0" fontId="0" fillId="23" borderId="4" xfId="0" applyFill="1" applyBorder="1" applyAlignment="1">
      <alignment horizontal="center" vertical="center"/>
    </xf>
    <xf numFmtId="0" fontId="0" fillId="23" borderId="5" xfId="0" applyFill="1" applyBorder="1" applyAlignment="1">
      <alignment horizontal="center" vertical="center"/>
    </xf>
    <xf numFmtId="0" fontId="0" fillId="3" borderId="3" xfId="0" applyFill="1" applyBorder="1" applyAlignment="1">
      <alignment horizontal="center" vertical="center"/>
    </xf>
    <xf numFmtId="0" fontId="0" fillId="3" borderId="4" xfId="0" applyFill="1" applyBorder="1" applyAlignment="1">
      <alignment horizontal="center" vertical="center"/>
    </xf>
    <xf numFmtId="0" fontId="0" fillId="5" borderId="4" xfId="0" applyFill="1" applyBorder="1" applyAlignment="1">
      <alignment horizontal="center" vertical="center"/>
    </xf>
    <xf numFmtId="0" fontId="0" fillId="7" borderId="4" xfId="0" applyFill="1" applyBorder="1" applyAlignment="1">
      <alignment horizontal="center" vertical="center"/>
    </xf>
    <xf numFmtId="0" fontId="0" fillId="9" borderId="4" xfId="0" applyFill="1" applyBorder="1" applyAlignment="1">
      <alignment horizontal="center" vertical="center"/>
    </xf>
    <xf numFmtId="0" fontId="0" fillId="9" borderId="5" xfId="0" applyFill="1" applyBorder="1" applyAlignment="1">
      <alignment horizontal="center" vertical="center"/>
    </xf>
    <xf numFmtId="0" fontId="0" fillId="12" borderId="3" xfId="0" applyFill="1" applyBorder="1" applyAlignment="1">
      <alignment horizontal="center" vertical="center"/>
    </xf>
    <xf numFmtId="0" fontId="0" fillId="12" borderId="4" xfId="0" applyFill="1" applyBorder="1" applyAlignment="1">
      <alignment horizontal="center" vertical="center"/>
    </xf>
    <xf numFmtId="0" fontId="0" fillId="7" borderId="8" xfId="0" applyFill="1" applyBorder="1" applyAlignment="1">
      <alignment horizontal="center" vertical="center"/>
    </xf>
    <xf numFmtId="0" fontId="0" fillId="7" borderId="9" xfId="0" applyFill="1" applyBorder="1" applyAlignment="1">
      <alignment horizontal="center" vertical="center"/>
    </xf>
    <xf numFmtId="0" fontId="5" fillId="19" borderId="6" xfId="0" applyFont="1" applyFill="1" applyBorder="1" applyAlignment="1">
      <alignment horizontal="left" vertical="center"/>
    </xf>
    <xf numFmtId="0" fontId="5" fillId="19" borderId="55" xfId="0" applyFont="1" applyFill="1" applyBorder="1" applyAlignment="1">
      <alignment horizontal="left" vertical="center"/>
    </xf>
    <xf numFmtId="0" fontId="0" fillId="7" borderId="67" xfId="0" applyFill="1" applyBorder="1" applyAlignment="1">
      <alignment horizontal="left" vertical="center"/>
    </xf>
    <xf numFmtId="0" fontId="0" fillId="7" borderId="12" xfId="0" applyFill="1" applyBorder="1" applyAlignment="1">
      <alignment horizontal="left" vertical="center"/>
    </xf>
    <xf numFmtId="0" fontId="0" fillId="7" borderId="49" xfId="0" applyFill="1" applyBorder="1" applyAlignment="1">
      <alignment horizontal="left" vertical="center"/>
    </xf>
    <xf numFmtId="0" fontId="0" fillId="12" borderId="67" xfId="0" applyFill="1" applyBorder="1" applyAlignment="1">
      <alignment horizontal="left" vertical="center"/>
    </xf>
    <xf numFmtId="0" fontId="0" fillId="12" borderId="12" xfId="0" applyFill="1" applyBorder="1" applyAlignment="1">
      <alignment horizontal="left" vertical="center"/>
    </xf>
    <xf numFmtId="0" fontId="0" fillId="12" borderId="49" xfId="0" applyFill="1" applyBorder="1" applyAlignment="1">
      <alignment horizontal="left" vertical="center"/>
    </xf>
    <xf numFmtId="0" fontId="0" fillId="12" borderId="68" xfId="0" applyFill="1" applyBorder="1" applyAlignment="1">
      <alignment horizontal="left" vertical="center"/>
    </xf>
    <xf numFmtId="0" fontId="0" fillId="12" borderId="53" xfId="0" applyFill="1" applyBorder="1" applyAlignment="1">
      <alignment horizontal="left" vertical="center"/>
    </xf>
    <xf numFmtId="0" fontId="0" fillId="12" borderId="60" xfId="0" applyFill="1" applyBorder="1" applyAlignment="1">
      <alignment horizontal="left" vertical="center"/>
    </xf>
    <xf numFmtId="0" fontId="5" fillId="19" borderId="8" xfId="0" applyFont="1" applyFill="1" applyBorder="1" applyAlignment="1">
      <alignment horizontal="left" vertical="center"/>
    </xf>
    <xf numFmtId="0" fontId="5" fillId="19" borderId="56" xfId="0" applyFont="1" applyFill="1" applyBorder="1" applyAlignment="1">
      <alignment horizontal="left" vertical="center"/>
    </xf>
    <xf numFmtId="0" fontId="0" fillId="12" borderId="66" xfId="0" applyFill="1" applyBorder="1" applyAlignment="1">
      <alignment horizontal="left" vertical="center"/>
    </xf>
    <xf numFmtId="0" fontId="0" fillId="12" borderId="23" xfId="0" applyFill="1" applyBorder="1" applyAlignment="1">
      <alignment horizontal="left" vertical="center"/>
    </xf>
    <xf numFmtId="0" fontId="0" fillId="12" borderId="18" xfId="0" applyFill="1" applyBorder="1" applyAlignment="1">
      <alignment horizontal="left" vertical="center"/>
    </xf>
    <xf numFmtId="0" fontId="3" fillId="12" borderId="67" xfId="1" applyFill="1" applyBorder="1" applyAlignment="1">
      <alignment horizontal="left" vertical="center" wrapText="1"/>
    </xf>
    <xf numFmtId="0" fontId="3" fillId="12" borderId="12" xfId="1" applyFill="1" applyBorder="1" applyAlignment="1">
      <alignment horizontal="left" vertical="center"/>
    </xf>
    <xf numFmtId="0" fontId="3" fillId="12" borderId="49" xfId="1" applyFill="1" applyBorder="1" applyAlignment="1">
      <alignment horizontal="left" vertical="center"/>
    </xf>
    <xf numFmtId="0" fontId="0" fillId="7" borderId="68" xfId="0" applyFill="1" applyBorder="1" applyAlignment="1">
      <alignment horizontal="left" vertical="center"/>
    </xf>
    <xf numFmtId="0" fontId="0" fillId="7" borderId="53" xfId="0" applyFill="1" applyBorder="1" applyAlignment="1">
      <alignment horizontal="left" vertical="center"/>
    </xf>
    <xf numFmtId="0" fontId="0" fillId="7" borderId="60" xfId="0" applyFill="1" applyBorder="1" applyAlignment="1">
      <alignment horizontal="left" vertical="center"/>
    </xf>
    <xf numFmtId="0" fontId="0" fillId="7" borderId="66" xfId="0" applyFill="1" applyBorder="1" applyAlignment="1">
      <alignment horizontal="left" vertical="center"/>
    </xf>
    <xf numFmtId="0" fontId="0" fillId="7" borderId="23" xfId="0" applyFill="1" applyBorder="1" applyAlignment="1">
      <alignment horizontal="left" vertical="center"/>
    </xf>
    <xf numFmtId="0" fontId="0" fillId="7" borderId="18" xfId="0" applyFill="1" applyBorder="1" applyAlignment="1">
      <alignment horizontal="left" vertical="center"/>
    </xf>
    <xf numFmtId="0" fontId="1" fillId="19" borderId="3" xfId="0" applyFont="1" applyFill="1" applyBorder="1" applyAlignment="1">
      <alignment horizontal="left" vertical="center"/>
    </xf>
    <xf numFmtId="0" fontId="1" fillId="19" borderId="54" xfId="0" applyFont="1" applyFill="1" applyBorder="1" applyAlignment="1">
      <alignment horizontal="left" vertical="center"/>
    </xf>
    <xf numFmtId="0" fontId="0" fillId="0" borderId="2" xfId="0" applyBorder="1" applyAlignment="1">
      <alignment horizontal="center" vertical="center" textRotation="90"/>
    </xf>
    <xf numFmtId="0" fontId="0" fillId="0" borderId="61" xfId="0" applyBorder="1" applyAlignment="1">
      <alignment horizontal="center" vertical="center" textRotation="90"/>
    </xf>
    <xf numFmtId="0" fontId="0" fillId="0" borderId="2" xfId="0" applyBorder="1" applyAlignment="1">
      <alignment horizontal="center" vertical="center"/>
    </xf>
    <xf numFmtId="0" fontId="0" fillId="0" borderId="61" xfId="0" applyBorder="1" applyAlignment="1">
      <alignment horizontal="center" vertical="center"/>
    </xf>
    <xf numFmtId="0" fontId="1" fillId="19" borderId="63" xfId="0" applyFont="1" applyFill="1" applyBorder="1">
      <alignment vertical="center"/>
    </xf>
    <xf numFmtId="0" fontId="1" fillId="19" borderId="65" xfId="0" applyFont="1" applyFill="1" applyBorder="1">
      <alignment vertical="center"/>
    </xf>
    <xf numFmtId="0" fontId="1" fillId="19" borderId="28" xfId="0" applyFont="1" applyFill="1" applyBorder="1">
      <alignment vertical="center"/>
    </xf>
    <xf numFmtId="0" fontId="1" fillId="19" borderId="11" xfId="0" applyFont="1" applyFill="1" applyBorder="1">
      <alignment vertical="center"/>
    </xf>
    <xf numFmtId="0" fontId="19" fillId="18" borderId="67" xfId="0" applyFont="1" applyFill="1" applyBorder="1" applyAlignment="1">
      <alignment horizontal="left" vertical="center"/>
    </xf>
    <xf numFmtId="0" fontId="19" fillId="18" borderId="12" xfId="0" applyFont="1" applyFill="1" applyBorder="1" applyAlignment="1">
      <alignment horizontal="left" vertical="center"/>
    </xf>
    <xf numFmtId="0" fontId="19" fillId="18" borderId="30" xfId="0" applyFont="1" applyFill="1" applyBorder="1" applyAlignment="1">
      <alignment horizontal="left" vertical="center"/>
    </xf>
    <xf numFmtId="0" fontId="15" fillId="0" borderId="72" xfId="0" applyFont="1" applyBorder="1" applyAlignment="1">
      <alignment horizontal="center" vertical="center"/>
    </xf>
    <xf numFmtId="0" fontId="15" fillId="0" borderId="73" xfId="0" applyFont="1" applyBorder="1" applyAlignment="1">
      <alignment horizontal="center" vertical="center"/>
    </xf>
    <xf numFmtId="0" fontId="15" fillId="0" borderId="74" xfId="0" applyFont="1" applyBorder="1" applyAlignment="1">
      <alignment horizontal="center" vertical="center"/>
    </xf>
    <xf numFmtId="0" fontId="0" fillId="18" borderId="27" xfId="0" applyFill="1" applyBorder="1" applyAlignment="1">
      <alignment horizontal="left" vertical="center"/>
    </xf>
    <xf numFmtId="0" fontId="0" fillId="18" borderId="12" xfId="0" applyFill="1" applyBorder="1" applyAlignment="1">
      <alignment horizontal="left" vertical="center"/>
    </xf>
    <xf numFmtId="0" fontId="0" fillId="18" borderId="30" xfId="0" applyFill="1" applyBorder="1" applyAlignment="1">
      <alignment horizontal="left" vertical="center"/>
    </xf>
    <xf numFmtId="0" fontId="0" fillId="18" borderId="67" xfId="0" applyFill="1" applyBorder="1" applyAlignment="1">
      <alignment horizontal="left" vertical="center"/>
    </xf>
    <xf numFmtId="0" fontId="19" fillId="0" borderId="72" xfId="0" applyFont="1" applyBorder="1" applyAlignment="1">
      <alignment horizontal="center" vertical="center"/>
    </xf>
    <xf numFmtId="0" fontId="19" fillId="0" borderId="73" xfId="0" applyFont="1" applyBorder="1" applyAlignment="1">
      <alignment horizontal="center" vertical="center"/>
    </xf>
    <xf numFmtId="0" fontId="19" fillId="0" borderId="74" xfId="0" applyFont="1" applyBorder="1" applyAlignment="1">
      <alignment horizontal="center" vertical="center"/>
    </xf>
    <xf numFmtId="0" fontId="19" fillId="18" borderId="27" xfId="0" applyFont="1" applyFill="1" applyBorder="1" applyAlignment="1">
      <alignment horizontal="left" vertical="center"/>
    </xf>
  </cellXfs>
  <cellStyles count="3">
    <cellStyle name="ハイパーリンク" xfId="1" builtinId="8"/>
    <cellStyle name="標準" xfId="0" builtinId="0"/>
    <cellStyle name="標準 3 3 4 3" xfId="2" xr:uid="{A6E8F531-F083-4A38-979B-F01109E5EE66}"/>
  </cellStyles>
  <dxfs count="11">
    <dxf>
      <fill>
        <patternFill>
          <bgColor theme="0" tint="-0.499984740745262"/>
        </patternFill>
      </fill>
    </dxf>
    <dxf>
      <fill>
        <patternFill>
          <bgColor theme="0" tint="-0.24994659260841701"/>
        </patternFill>
      </fill>
    </dxf>
    <dxf>
      <fill>
        <patternFill>
          <bgColor rgb="FFFFFF00"/>
        </patternFill>
      </fill>
    </dxf>
    <dxf>
      <fill>
        <patternFill>
          <bgColor theme="0" tint="-0.499984740745262"/>
        </patternFill>
      </fill>
    </dxf>
    <dxf>
      <fill>
        <patternFill>
          <bgColor theme="0" tint="-0.24994659260841701"/>
        </patternFill>
      </fill>
    </dxf>
    <dxf>
      <fill>
        <patternFill>
          <bgColor rgb="FFFFFF00"/>
        </patternFill>
      </fill>
    </dxf>
    <dxf>
      <font>
        <color rgb="FFFFFF00"/>
      </font>
      <fill>
        <patternFill>
          <bgColor rgb="FFFF0000"/>
        </patternFill>
      </fill>
    </dxf>
    <dxf>
      <font>
        <color rgb="FFFFFF00"/>
      </font>
      <fill>
        <patternFill>
          <bgColor rgb="FFFF0000"/>
        </patternFill>
      </fill>
    </dxf>
    <dxf>
      <font>
        <color rgb="FFFF0000"/>
      </font>
    </dxf>
    <dxf>
      <font>
        <color rgb="FFFFFF00"/>
      </font>
      <fill>
        <patternFill>
          <bgColor rgb="FFFF0000"/>
        </patternFill>
      </fill>
    </dxf>
    <dxf>
      <font>
        <color rgb="FFFFFF00"/>
      </font>
      <fill>
        <patternFill>
          <bgColor rgb="FFFF0000"/>
        </patternFill>
      </fill>
    </dxf>
  </dxfs>
  <tableStyles count="0" defaultTableStyle="TableStyleMedium2" defaultPivotStyle="PivotStyleLight16"/>
  <colors>
    <mruColors>
      <color rgb="FF385D8A"/>
      <color rgb="FFFFCC99"/>
      <color rgb="FF0000FF"/>
      <color rgb="FFFBBDBD"/>
      <color rgb="FFCCFDB1"/>
      <color rgb="FF79DCFF"/>
      <color rgb="FF66FFFF"/>
      <color rgb="FFCCECFF"/>
      <color rgb="FFCCCCFF"/>
      <color rgb="FFCC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4.xml"/></Relationships>
</file>

<file path=xl/drawings/_rels/drawing4.xml.rels><?xml version="1.0" encoding="UTF-8" standalone="yes"?>
<Relationships xmlns="http://schemas.openxmlformats.org/package/2006/relationships"><Relationship Id="rId8" Type="http://schemas.openxmlformats.org/officeDocument/2006/relationships/image" Target="../media/image9.png"/><Relationship Id="rId3" Type="http://schemas.openxmlformats.org/officeDocument/2006/relationships/image" Target="../media/image4.png"/><Relationship Id="rId7" Type="http://schemas.openxmlformats.org/officeDocument/2006/relationships/image" Target="../media/image8.png"/><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7.png"/><Relationship Id="rId5" Type="http://schemas.openxmlformats.org/officeDocument/2006/relationships/image" Target="../media/image6.png"/><Relationship Id="rId10" Type="http://schemas.openxmlformats.org/officeDocument/2006/relationships/image" Target="../media/image11.png"/><Relationship Id="rId4" Type="http://schemas.openxmlformats.org/officeDocument/2006/relationships/image" Target="../media/image5.png"/><Relationship Id="rId9" Type="http://schemas.openxmlformats.org/officeDocument/2006/relationships/image" Target="../media/image10.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xdr:from>
      <xdr:col>24</xdr:col>
      <xdr:colOff>0</xdr:colOff>
      <xdr:row>51</xdr:row>
      <xdr:rowOff>0</xdr:rowOff>
    </xdr:from>
    <xdr:to>
      <xdr:col>29</xdr:col>
      <xdr:colOff>0</xdr:colOff>
      <xdr:row>56</xdr:row>
      <xdr:rowOff>0</xdr:rowOff>
    </xdr:to>
    <xdr:cxnSp macro="">
      <xdr:nvCxnSpPr>
        <xdr:cNvPr id="2" name="直線コネクタ 1">
          <a:extLst>
            <a:ext uri="{FF2B5EF4-FFF2-40B4-BE49-F238E27FC236}">
              <a16:creationId xmlns:a16="http://schemas.microsoft.com/office/drawing/2014/main" id="{00000000-0008-0000-0000-000002000000}"/>
            </a:ext>
          </a:extLst>
        </xdr:cNvPr>
        <xdr:cNvCxnSpPr/>
      </xdr:nvCxnSpPr>
      <xdr:spPr>
        <a:xfrm flipH="1">
          <a:off x="3886200" y="825817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0</xdr:colOff>
      <xdr:row>51</xdr:row>
      <xdr:rowOff>0</xdr:rowOff>
    </xdr:from>
    <xdr:to>
      <xdr:col>34</xdr:col>
      <xdr:colOff>0</xdr:colOff>
      <xdr:row>56</xdr:row>
      <xdr:rowOff>0</xdr:rowOff>
    </xdr:to>
    <xdr:cxnSp macro="">
      <xdr:nvCxnSpPr>
        <xdr:cNvPr id="3" name="直線コネクタ 2">
          <a:extLst>
            <a:ext uri="{FF2B5EF4-FFF2-40B4-BE49-F238E27FC236}">
              <a16:creationId xmlns:a16="http://schemas.microsoft.com/office/drawing/2014/main" id="{00000000-0008-0000-0000-000003000000}"/>
            </a:ext>
          </a:extLst>
        </xdr:cNvPr>
        <xdr:cNvCxnSpPr/>
      </xdr:nvCxnSpPr>
      <xdr:spPr>
        <a:xfrm flipH="1">
          <a:off x="4695825" y="825817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161925</xdr:colOff>
      <xdr:row>35</xdr:row>
      <xdr:rowOff>19050</xdr:rowOff>
    </xdr:from>
    <xdr:to>
      <xdr:col>38</xdr:col>
      <xdr:colOff>161925</xdr:colOff>
      <xdr:row>40</xdr:row>
      <xdr:rowOff>19050</xdr:rowOff>
    </xdr:to>
    <xdr:cxnSp macro="">
      <xdr:nvCxnSpPr>
        <xdr:cNvPr id="4" name="直線コネクタ 3">
          <a:extLst>
            <a:ext uri="{FF2B5EF4-FFF2-40B4-BE49-F238E27FC236}">
              <a16:creationId xmlns:a16="http://schemas.microsoft.com/office/drawing/2014/main" id="{00000000-0008-0000-0000-000004000000}"/>
            </a:ext>
          </a:extLst>
        </xdr:cNvPr>
        <xdr:cNvCxnSpPr/>
      </xdr:nvCxnSpPr>
      <xdr:spPr>
        <a:xfrm flipH="1">
          <a:off x="5505450" y="568642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9525</xdr:colOff>
      <xdr:row>34</xdr:row>
      <xdr:rowOff>142875</xdr:rowOff>
    </xdr:from>
    <xdr:to>
      <xdr:col>34</xdr:col>
      <xdr:colOff>9525</xdr:colOff>
      <xdr:row>39</xdr:row>
      <xdr:rowOff>142875</xdr:rowOff>
    </xdr:to>
    <xdr:cxnSp macro="">
      <xdr:nvCxnSpPr>
        <xdr:cNvPr id="5" name="直線コネクタ 4">
          <a:extLst>
            <a:ext uri="{FF2B5EF4-FFF2-40B4-BE49-F238E27FC236}">
              <a16:creationId xmlns:a16="http://schemas.microsoft.com/office/drawing/2014/main" id="{00000000-0008-0000-0000-000005000000}"/>
            </a:ext>
          </a:extLst>
        </xdr:cNvPr>
        <xdr:cNvCxnSpPr/>
      </xdr:nvCxnSpPr>
      <xdr:spPr>
        <a:xfrm flipH="1">
          <a:off x="4705350" y="564832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34</xdr:col>
      <xdr:colOff>0</xdr:colOff>
      <xdr:row>51</xdr:row>
      <xdr:rowOff>0</xdr:rowOff>
    </xdr:from>
    <xdr:to>
      <xdr:col>39</xdr:col>
      <xdr:colOff>0</xdr:colOff>
      <xdr:row>56</xdr:row>
      <xdr:rowOff>0</xdr:rowOff>
    </xdr:to>
    <xdr:cxnSp macro="">
      <xdr:nvCxnSpPr>
        <xdr:cNvPr id="6" name="直線コネクタ 5">
          <a:extLst>
            <a:ext uri="{FF2B5EF4-FFF2-40B4-BE49-F238E27FC236}">
              <a16:creationId xmlns:a16="http://schemas.microsoft.com/office/drawing/2014/main" id="{00000000-0008-0000-0000-000006000000}"/>
            </a:ext>
          </a:extLst>
        </xdr:cNvPr>
        <xdr:cNvCxnSpPr/>
      </xdr:nvCxnSpPr>
      <xdr:spPr>
        <a:xfrm flipH="1">
          <a:off x="5505450" y="825817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mc:AlternateContent xmlns:mc="http://schemas.openxmlformats.org/markup-compatibility/2006">
    <mc:Choice xmlns:a14="http://schemas.microsoft.com/office/drawing/2010/main" Requires="a14">
      <xdr:twoCellAnchor editAs="absolute">
        <xdr:from>
          <xdr:col>34</xdr:col>
          <xdr:colOff>38100</xdr:colOff>
          <xdr:row>43</xdr:row>
          <xdr:rowOff>66675</xdr:rowOff>
        </xdr:from>
        <xdr:to>
          <xdr:col>38</xdr:col>
          <xdr:colOff>85725</xdr:colOff>
          <xdr:row>47</xdr:row>
          <xdr:rowOff>104775</xdr:rowOff>
        </xdr:to>
        <xdr:sp macro="" textlink="">
          <xdr:nvSpPr>
            <xdr:cNvPr id="25601" name="inei1_ASUNCIO ANNA MA" hidden="1">
              <a:extLst>
                <a:ext uri="{63B3BB69-23CF-44E3-9099-C40C66FF867C}">
                  <a14:compatExt spid="_x0000_s25601"/>
                </a:ext>
                <a:ext uri="{FF2B5EF4-FFF2-40B4-BE49-F238E27FC236}">
                  <a16:creationId xmlns:a16="http://schemas.microsoft.com/office/drawing/2014/main" id="{00000000-0008-0000-0000-0000016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6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7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37</xdr:col>
      <xdr:colOff>0</xdr:colOff>
      <xdr:row>15</xdr:row>
      <xdr:rowOff>0</xdr:rowOff>
    </xdr:from>
    <xdr:to>
      <xdr:col>62</xdr:col>
      <xdr:colOff>601423</xdr:colOff>
      <xdr:row>28</xdr:row>
      <xdr:rowOff>135553</xdr:rowOff>
    </xdr:to>
    <xdr:pic>
      <xdr:nvPicPr>
        <xdr:cNvPr id="3" name="図 2">
          <a:extLst>
            <a:ext uri="{FF2B5EF4-FFF2-40B4-BE49-F238E27FC236}">
              <a16:creationId xmlns:a16="http://schemas.microsoft.com/office/drawing/2014/main" id="{00000000-0008-0000-0800-000003000000}"/>
            </a:ext>
          </a:extLst>
        </xdr:cNvPr>
        <xdr:cNvPicPr>
          <a:picLocks noChangeAspect="1"/>
        </xdr:cNvPicPr>
      </xdr:nvPicPr>
      <xdr:blipFill>
        <a:blip xmlns:r="http://schemas.openxmlformats.org/officeDocument/2006/relationships" r:embed="rId1"/>
        <a:stretch>
          <a:fillRect/>
        </a:stretch>
      </xdr:blipFill>
      <xdr:spPr>
        <a:xfrm>
          <a:off x="28698265" y="3776382"/>
          <a:ext cx="17690394" cy="3743847"/>
        </a:xfrm>
        <a:prstGeom prst="rect">
          <a:avLst/>
        </a:prstGeom>
      </xdr:spPr>
    </xdr:pic>
    <xdr:clientData/>
  </xdr:twoCellAnchor>
  <xdr:twoCellAnchor>
    <xdr:from>
      <xdr:col>18</xdr:col>
      <xdr:colOff>616324</xdr:colOff>
      <xdr:row>1</xdr:row>
      <xdr:rowOff>145677</xdr:rowOff>
    </xdr:from>
    <xdr:to>
      <xdr:col>73</xdr:col>
      <xdr:colOff>556494</xdr:colOff>
      <xdr:row>102</xdr:row>
      <xdr:rowOff>72838</xdr:rowOff>
    </xdr:to>
    <xdr:grpSp>
      <xdr:nvGrpSpPr>
        <xdr:cNvPr id="25" name="グループ化 24">
          <a:extLst>
            <a:ext uri="{FF2B5EF4-FFF2-40B4-BE49-F238E27FC236}">
              <a16:creationId xmlns:a16="http://schemas.microsoft.com/office/drawing/2014/main" id="{00000000-0008-0000-0800-000019000000}"/>
            </a:ext>
          </a:extLst>
        </xdr:cNvPr>
        <xdr:cNvGrpSpPr/>
      </xdr:nvGrpSpPr>
      <xdr:grpSpPr>
        <a:xfrm>
          <a:off x="16584706" y="313765"/>
          <a:ext cx="37535906" cy="19593485"/>
          <a:chOff x="17094574" y="381000"/>
          <a:chExt cx="36611420" cy="20557191"/>
        </a:xfrm>
      </xdr:grpSpPr>
      <xdr:pic>
        <xdr:nvPicPr>
          <xdr:cNvPr id="7" name="図 6">
            <a:extLst>
              <a:ext uri="{FF2B5EF4-FFF2-40B4-BE49-F238E27FC236}">
                <a16:creationId xmlns:a16="http://schemas.microsoft.com/office/drawing/2014/main" id="{00000000-0008-0000-0800-000007000000}"/>
              </a:ext>
            </a:extLst>
          </xdr:cNvPr>
          <xdr:cNvPicPr>
            <a:picLocks noChangeAspect="1"/>
          </xdr:cNvPicPr>
        </xdr:nvPicPr>
        <xdr:blipFill>
          <a:blip xmlns:r="http://schemas.openxmlformats.org/officeDocument/2006/relationships" r:embed="rId2"/>
          <a:stretch>
            <a:fillRect/>
          </a:stretch>
        </xdr:blipFill>
        <xdr:spPr>
          <a:xfrm>
            <a:off x="17145000" y="381000"/>
            <a:ext cx="10864392" cy="6340690"/>
          </a:xfrm>
          <a:prstGeom prst="rect">
            <a:avLst/>
          </a:prstGeom>
        </xdr:spPr>
      </xdr:pic>
      <xdr:pic>
        <xdr:nvPicPr>
          <xdr:cNvPr id="9" name="図 8">
            <a:extLst>
              <a:ext uri="{FF2B5EF4-FFF2-40B4-BE49-F238E27FC236}">
                <a16:creationId xmlns:a16="http://schemas.microsoft.com/office/drawing/2014/main" id="{00000000-0008-0000-0800-000009000000}"/>
              </a:ext>
            </a:extLst>
          </xdr:cNvPr>
          <xdr:cNvPicPr>
            <a:picLocks noChangeAspect="1"/>
          </xdr:cNvPicPr>
        </xdr:nvPicPr>
        <xdr:blipFill>
          <a:blip xmlns:r="http://schemas.openxmlformats.org/officeDocument/2006/relationships" r:embed="rId3"/>
          <a:stretch>
            <a:fillRect/>
          </a:stretch>
        </xdr:blipFill>
        <xdr:spPr>
          <a:xfrm>
            <a:off x="17145000" y="7143750"/>
            <a:ext cx="2406717" cy="714854"/>
          </a:xfrm>
          <a:prstGeom prst="rect">
            <a:avLst/>
          </a:prstGeom>
        </xdr:spPr>
      </xdr:pic>
      <xdr:pic>
        <xdr:nvPicPr>
          <xdr:cNvPr id="10" name="図 9">
            <a:extLst>
              <a:ext uri="{FF2B5EF4-FFF2-40B4-BE49-F238E27FC236}">
                <a16:creationId xmlns:a16="http://schemas.microsoft.com/office/drawing/2014/main" id="{00000000-0008-0000-0800-00000A000000}"/>
              </a:ext>
            </a:extLst>
          </xdr:cNvPr>
          <xdr:cNvPicPr>
            <a:picLocks noChangeAspect="1"/>
          </xdr:cNvPicPr>
        </xdr:nvPicPr>
        <xdr:blipFill>
          <a:blip xmlns:r="http://schemas.openxmlformats.org/officeDocument/2006/relationships" r:embed="rId4"/>
          <a:stretch>
            <a:fillRect/>
          </a:stretch>
        </xdr:blipFill>
        <xdr:spPr>
          <a:xfrm>
            <a:off x="17145000" y="8096250"/>
            <a:ext cx="2178145" cy="765837"/>
          </a:xfrm>
          <a:prstGeom prst="rect">
            <a:avLst/>
          </a:prstGeom>
        </xdr:spPr>
      </xdr:pic>
      <xdr:pic>
        <xdr:nvPicPr>
          <xdr:cNvPr id="11" name="図 10">
            <a:extLst>
              <a:ext uri="{FF2B5EF4-FFF2-40B4-BE49-F238E27FC236}">
                <a16:creationId xmlns:a16="http://schemas.microsoft.com/office/drawing/2014/main" id="{00000000-0008-0000-0800-00000B000000}"/>
              </a:ext>
            </a:extLst>
          </xdr:cNvPr>
          <xdr:cNvPicPr>
            <a:picLocks noChangeAspect="1"/>
          </xdr:cNvPicPr>
        </xdr:nvPicPr>
        <xdr:blipFill>
          <a:blip xmlns:r="http://schemas.openxmlformats.org/officeDocument/2006/relationships" r:embed="rId5"/>
          <a:stretch>
            <a:fillRect/>
          </a:stretch>
        </xdr:blipFill>
        <xdr:spPr>
          <a:xfrm>
            <a:off x="17145000" y="9048750"/>
            <a:ext cx="2244812" cy="686283"/>
          </a:xfrm>
          <a:prstGeom prst="rect">
            <a:avLst/>
          </a:prstGeom>
        </xdr:spPr>
      </xdr:pic>
      <xdr:sp macro="" textlink="">
        <xdr:nvSpPr>
          <xdr:cNvPr id="41" name="正方形/長方形 40">
            <a:extLst>
              <a:ext uri="{FF2B5EF4-FFF2-40B4-BE49-F238E27FC236}">
                <a16:creationId xmlns:a16="http://schemas.microsoft.com/office/drawing/2014/main" id="{00000000-0008-0000-0800-000029000000}"/>
              </a:ext>
            </a:extLst>
          </xdr:cNvPr>
          <xdr:cNvSpPr/>
        </xdr:nvSpPr>
        <xdr:spPr>
          <a:xfrm>
            <a:off x="17094574" y="7098926"/>
            <a:ext cx="2319618" cy="2622176"/>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42" name="線吹き出し 1 (枠付き) 41">
            <a:extLst>
              <a:ext uri="{FF2B5EF4-FFF2-40B4-BE49-F238E27FC236}">
                <a16:creationId xmlns:a16="http://schemas.microsoft.com/office/drawing/2014/main" id="{00000000-0008-0000-0800-00002A000000}"/>
              </a:ext>
            </a:extLst>
          </xdr:cNvPr>
          <xdr:cNvSpPr/>
        </xdr:nvSpPr>
        <xdr:spPr>
          <a:xfrm>
            <a:off x="20031521" y="7150315"/>
            <a:ext cx="1894139" cy="583345"/>
          </a:xfrm>
          <a:prstGeom prst="borderCallout1">
            <a:avLst>
              <a:gd name="adj1" fmla="val 38503"/>
              <a:gd name="adj2" fmla="val 309"/>
              <a:gd name="adj3" fmla="val 71271"/>
              <a:gd name="adj4" fmla="val -3301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TT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は適用無し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pic>
        <xdr:nvPicPr>
          <xdr:cNvPr id="12" name="図 11">
            <a:extLst>
              <a:ext uri="{FF2B5EF4-FFF2-40B4-BE49-F238E27FC236}">
                <a16:creationId xmlns:a16="http://schemas.microsoft.com/office/drawing/2014/main" id="{00000000-0008-0000-0800-00000C000000}"/>
              </a:ext>
            </a:extLst>
          </xdr:cNvPr>
          <xdr:cNvPicPr>
            <a:picLocks noChangeAspect="1"/>
          </xdr:cNvPicPr>
        </xdr:nvPicPr>
        <xdr:blipFill>
          <a:blip xmlns:r="http://schemas.openxmlformats.org/officeDocument/2006/relationships" r:embed="rId6"/>
          <a:stretch>
            <a:fillRect/>
          </a:stretch>
        </xdr:blipFill>
        <xdr:spPr>
          <a:xfrm>
            <a:off x="17145000" y="10001250"/>
            <a:ext cx="2082907" cy="705331"/>
          </a:xfrm>
          <a:prstGeom prst="rect">
            <a:avLst/>
          </a:prstGeom>
        </xdr:spPr>
      </xdr:pic>
      <xdr:sp macro="" textlink="">
        <xdr:nvSpPr>
          <xdr:cNvPr id="43" name="正方形/長方形 42">
            <a:extLst>
              <a:ext uri="{FF2B5EF4-FFF2-40B4-BE49-F238E27FC236}">
                <a16:creationId xmlns:a16="http://schemas.microsoft.com/office/drawing/2014/main" id="{00000000-0008-0000-0800-00002B000000}"/>
              </a:ext>
            </a:extLst>
          </xdr:cNvPr>
          <xdr:cNvSpPr/>
        </xdr:nvSpPr>
        <xdr:spPr>
          <a:xfrm>
            <a:off x="17094574" y="9877987"/>
            <a:ext cx="2319618" cy="885264"/>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44" name="線吹き出し 1 (枠付き) 43">
            <a:extLst>
              <a:ext uri="{FF2B5EF4-FFF2-40B4-BE49-F238E27FC236}">
                <a16:creationId xmlns:a16="http://schemas.microsoft.com/office/drawing/2014/main" id="{00000000-0008-0000-0800-00002C000000}"/>
              </a:ext>
            </a:extLst>
          </xdr:cNvPr>
          <xdr:cNvSpPr/>
        </xdr:nvSpPr>
        <xdr:spPr>
          <a:xfrm>
            <a:off x="20031521" y="9906963"/>
            <a:ext cx="1894139" cy="583345"/>
          </a:xfrm>
          <a:prstGeom prst="borderCallout1">
            <a:avLst>
              <a:gd name="adj1" fmla="val 38503"/>
              <a:gd name="adj2" fmla="val 309"/>
              <a:gd name="adj3" fmla="val 71271"/>
              <a:gd name="adj4" fmla="val -3301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BC</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は適用無し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pic>
        <xdr:nvPicPr>
          <xdr:cNvPr id="13" name="図 12">
            <a:extLst>
              <a:ext uri="{FF2B5EF4-FFF2-40B4-BE49-F238E27FC236}">
                <a16:creationId xmlns:a16="http://schemas.microsoft.com/office/drawing/2014/main" id="{00000000-0008-0000-0800-00000D000000}"/>
              </a:ext>
            </a:extLst>
          </xdr:cNvPr>
          <xdr:cNvPicPr>
            <a:picLocks noChangeAspect="1"/>
          </xdr:cNvPicPr>
        </xdr:nvPicPr>
        <xdr:blipFill>
          <a:blip xmlns:r="http://schemas.openxmlformats.org/officeDocument/2006/relationships" r:embed="rId7"/>
          <a:stretch>
            <a:fillRect/>
          </a:stretch>
        </xdr:blipFill>
        <xdr:spPr>
          <a:xfrm>
            <a:off x="17145000" y="11334750"/>
            <a:ext cx="17236923" cy="6708220"/>
          </a:xfrm>
          <a:prstGeom prst="rect">
            <a:avLst/>
          </a:prstGeom>
        </xdr:spPr>
      </xdr:pic>
      <xdr:pic>
        <xdr:nvPicPr>
          <xdr:cNvPr id="14" name="図 13">
            <a:extLst>
              <a:ext uri="{FF2B5EF4-FFF2-40B4-BE49-F238E27FC236}">
                <a16:creationId xmlns:a16="http://schemas.microsoft.com/office/drawing/2014/main" id="{00000000-0008-0000-0800-00000E000000}"/>
              </a:ext>
            </a:extLst>
          </xdr:cNvPr>
          <xdr:cNvPicPr>
            <a:picLocks noChangeAspect="1"/>
          </xdr:cNvPicPr>
        </xdr:nvPicPr>
        <xdr:blipFill>
          <a:blip xmlns:r="http://schemas.openxmlformats.org/officeDocument/2006/relationships" r:embed="rId8"/>
          <a:stretch>
            <a:fillRect/>
          </a:stretch>
        </xdr:blipFill>
        <xdr:spPr>
          <a:xfrm>
            <a:off x="17145000" y="18573750"/>
            <a:ext cx="2904194" cy="997773"/>
          </a:xfrm>
          <a:prstGeom prst="rect">
            <a:avLst/>
          </a:prstGeom>
        </xdr:spPr>
      </xdr:pic>
      <xdr:sp macro="" textlink="">
        <xdr:nvSpPr>
          <xdr:cNvPr id="49" name="正方形/長方形 48">
            <a:extLst>
              <a:ext uri="{FF2B5EF4-FFF2-40B4-BE49-F238E27FC236}">
                <a16:creationId xmlns:a16="http://schemas.microsoft.com/office/drawing/2014/main" id="{00000000-0008-0000-0800-000031000000}"/>
              </a:ext>
            </a:extLst>
          </xdr:cNvPr>
          <xdr:cNvSpPr/>
        </xdr:nvSpPr>
        <xdr:spPr>
          <a:xfrm>
            <a:off x="17094574" y="18652192"/>
            <a:ext cx="2319618" cy="1030941"/>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50" name="線吹き出し 1 (枠付き) 49">
            <a:extLst>
              <a:ext uri="{FF2B5EF4-FFF2-40B4-BE49-F238E27FC236}">
                <a16:creationId xmlns:a16="http://schemas.microsoft.com/office/drawing/2014/main" id="{00000000-0008-0000-0800-000032000000}"/>
              </a:ext>
            </a:extLst>
          </xdr:cNvPr>
          <xdr:cNvSpPr/>
        </xdr:nvSpPr>
        <xdr:spPr>
          <a:xfrm>
            <a:off x="20031521" y="18681168"/>
            <a:ext cx="1894139" cy="583345"/>
          </a:xfrm>
          <a:prstGeom prst="borderCallout1">
            <a:avLst>
              <a:gd name="adj1" fmla="val 38503"/>
              <a:gd name="adj2" fmla="val 309"/>
              <a:gd name="adj3" fmla="val 71271"/>
              <a:gd name="adj4" fmla="val -3301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VMID</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は適用無し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pic>
        <xdr:nvPicPr>
          <xdr:cNvPr id="17" name="図 16">
            <a:extLst>
              <a:ext uri="{FF2B5EF4-FFF2-40B4-BE49-F238E27FC236}">
                <a16:creationId xmlns:a16="http://schemas.microsoft.com/office/drawing/2014/main" id="{00000000-0008-0000-0800-000011000000}"/>
              </a:ext>
            </a:extLst>
          </xdr:cNvPr>
          <xdr:cNvPicPr>
            <a:picLocks noChangeAspect="1"/>
          </xdr:cNvPicPr>
        </xdr:nvPicPr>
        <xdr:blipFill>
          <a:blip xmlns:r="http://schemas.openxmlformats.org/officeDocument/2006/relationships" r:embed="rId9"/>
          <a:stretch>
            <a:fillRect/>
          </a:stretch>
        </xdr:blipFill>
        <xdr:spPr>
          <a:xfrm>
            <a:off x="17145000" y="20097750"/>
            <a:ext cx="2216241" cy="714854"/>
          </a:xfrm>
          <a:prstGeom prst="rect">
            <a:avLst/>
          </a:prstGeom>
        </xdr:spPr>
      </xdr:pic>
      <xdr:sp macro="" textlink="">
        <xdr:nvSpPr>
          <xdr:cNvPr id="53" name="正方形/長方形 52">
            <a:extLst>
              <a:ext uri="{FF2B5EF4-FFF2-40B4-BE49-F238E27FC236}">
                <a16:creationId xmlns:a16="http://schemas.microsoft.com/office/drawing/2014/main" id="{00000000-0008-0000-0800-000035000000}"/>
              </a:ext>
            </a:extLst>
          </xdr:cNvPr>
          <xdr:cNvSpPr/>
        </xdr:nvSpPr>
        <xdr:spPr>
          <a:xfrm>
            <a:off x="17094574" y="19907250"/>
            <a:ext cx="2319618" cy="1030941"/>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55" name="線吹き出し 1 (枠付き) 54">
            <a:extLst>
              <a:ext uri="{FF2B5EF4-FFF2-40B4-BE49-F238E27FC236}">
                <a16:creationId xmlns:a16="http://schemas.microsoft.com/office/drawing/2014/main" id="{00000000-0008-0000-0800-000037000000}"/>
              </a:ext>
            </a:extLst>
          </xdr:cNvPr>
          <xdr:cNvSpPr/>
        </xdr:nvSpPr>
        <xdr:spPr>
          <a:xfrm>
            <a:off x="20031521" y="19936226"/>
            <a:ext cx="1894139" cy="583345"/>
          </a:xfrm>
          <a:prstGeom prst="borderCallout1">
            <a:avLst>
              <a:gd name="adj1" fmla="val 38503"/>
              <a:gd name="adj2" fmla="val 309"/>
              <a:gd name="adj3" fmla="val 71271"/>
              <a:gd name="adj4" fmla="val -3301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SW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は適用無し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pic>
        <xdr:nvPicPr>
          <xdr:cNvPr id="18" name="図 17">
            <a:extLst>
              <a:ext uri="{FF2B5EF4-FFF2-40B4-BE49-F238E27FC236}">
                <a16:creationId xmlns:a16="http://schemas.microsoft.com/office/drawing/2014/main" id="{00000000-0008-0000-0800-000012000000}"/>
              </a:ext>
            </a:extLst>
          </xdr:cNvPr>
          <xdr:cNvPicPr>
            <a:picLocks noChangeAspect="1"/>
          </xdr:cNvPicPr>
        </xdr:nvPicPr>
        <xdr:blipFill>
          <a:blip xmlns:r="http://schemas.openxmlformats.org/officeDocument/2006/relationships" r:embed="rId10"/>
          <a:stretch>
            <a:fillRect/>
          </a:stretch>
        </xdr:blipFill>
        <xdr:spPr>
          <a:xfrm>
            <a:off x="37147500" y="11334750"/>
            <a:ext cx="16558494" cy="8694243"/>
          </a:xfrm>
          <a:prstGeom prst="rect">
            <a:avLst/>
          </a:prstGeom>
        </xdr:spPr>
      </xdr:pic>
      <xdr:sp macro="" textlink="">
        <xdr:nvSpPr>
          <xdr:cNvPr id="56" name="正方形/長方形 55">
            <a:extLst>
              <a:ext uri="{FF2B5EF4-FFF2-40B4-BE49-F238E27FC236}">
                <a16:creationId xmlns:a16="http://schemas.microsoft.com/office/drawing/2014/main" id="{00000000-0008-0000-0800-000038000000}"/>
              </a:ext>
            </a:extLst>
          </xdr:cNvPr>
          <xdr:cNvSpPr/>
        </xdr:nvSpPr>
        <xdr:spPr>
          <a:xfrm>
            <a:off x="21924308" y="3548767"/>
            <a:ext cx="633134" cy="255630"/>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61" name="正方形/長方形 60">
            <a:extLst>
              <a:ext uri="{FF2B5EF4-FFF2-40B4-BE49-F238E27FC236}">
                <a16:creationId xmlns:a16="http://schemas.microsoft.com/office/drawing/2014/main" id="{00000000-0008-0000-0800-00003D000000}"/>
              </a:ext>
            </a:extLst>
          </xdr:cNvPr>
          <xdr:cNvSpPr/>
        </xdr:nvSpPr>
        <xdr:spPr>
          <a:xfrm>
            <a:off x="22871208" y="12722833"/>
            <a:ext cx="532279" cy="1379769"/>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62" name="正方形/長方形 61">
            <a:extLst>
              <a:ext uri="{FF2B5EF4-FFF2-40B4-BE49-F238E27FC236}">
                <a16:creationId xmlns:a16="http://schemas.microsoft.com/office/drawing/2014/main" id="{00000000-0008-0000-0800-00003E000000}"/>
              </a:ext>
            </a:extLst>
          </xdr:cNvPr>
          <xdr:cNvSpPr/>
        </xdr:nvSpPr>
        <xdr:spPr>
          <a:xfrm>
            <a:off x="25448560" y="13138896"/>
            <a:ext cx="879660" cy="946251"/>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63" name="線吹き出し 1 (枠付き) 62">
            <a:extLst>
              <a:ext uri="{FF2B5EF4-FFF2-40B4-BE49-F238E27FC236}">
                <a16:creationId xmlns:a16="http://schemas.microsoft.com/office/drawing/2014/main" id="{00000000-0008-0000-0800-00003F000000}"/>
              </a:ext>
            </a:extLst>
          </xdr:cNvPr>
          <xdr:cNvSpPr/>
        </xdr:nvSpPr>
        <xdr:spPr>
          <a:xfrm>
            <a:off x="30161487" y="14470151"/>
            <a:ext cx="1877731" cy="512727"/>
          </a:xfrm>
          <a:prstGeom prst="borderCallout1">
            <a:avLst>
              <a:gd name="adj1" fmla="val 45277"/>
              <a:gd name="adj2" fmla="val -3670"/>
              <a:gd name="adj3" fmla="val -175420"/>
              <a:gd name="adj4" fmla="val -20254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特別条件無し</a:t>
            </a:r>
          </a:p>
        </xdr:txBody>
      </xdr:sp>
      <xdr:sp macro="" textlink="">
        <xdr:nvSpPr>
          <xdr:cNvPr id="64" name="線吹き出し 1 (枠付き) 63">
            <a:extLst>
              <a:ext uri="{FF2B5EF4-FFF2-40B4-BE49-F238E27FC236}">
                <a16:creationId xmlns:a16="http://schemas.microsoft.com/office/drawing/2014/main" id="{00000000-0008-0000-0800-000040000000}"/>
              </a:ext>
            </a:extLst>
          </xdr:cNvPr>
          <xdr:cNvSpPr/>
        </xdr:nvSpPr>
        <xdr:spPr>
          <a:xfrm>
            <a:off x="21448059" y="11469221"/>
            <a:ext cx="1489619" cy="402767"/>
          </a:xfrm>
          <a:prstGeom prst="borderCallout1">
            <a:avLst>
              <a:gd name="adj1" fmla="val 98498"/>
              <a:gd name="adj2" fmla="val 50229"/>
              <a:gd name="adj3" fmla="val 366343"/>
              <a:gd name="adj4" fmla="val 9475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動作電源は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a:t>
            </a:r>
            <a:endPar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sp macro="" textlink="">
        <xdr:nvSpPr>
          <xdr:cNvPr id="65" name="線吹き出し 1 (枠付き) 64">
            <a:extLst>
              <a:ext uri="{FF2B5EF4-FFF2-40B4-BE49-F238E27FC236}">
                <a16:creationId xmlns:a16="http://schemas.microsoft.com/office/drawing/2014/main" id="{00000000-0008-0000-0800-000041000000}"/>
              </a:ext>
            </a:extLst>
          </xdr:cNvPr>
          <xdr:cNvSpPr/>
        </xdr:nvSpPr>
        <xdr:spPr>
          <a:xfrm>
            <a:off x="27908306" y="15401842"/>
            <a:ext cx="2353179" cy="639379"/>
          </a:xfrm>
          <a:prstGeom prst="borderCallout1">
            <a:avLst>
              <a:gd name="adj1" fmla="val 66821"/>
              <a:gd name="adj2" fmla="val 992"/>
              <a:gd name="adj3" fmla="val -823"/>
              <a:gd name="adj4" fmla="val -13758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通信途絶時、前値保持</a:t>
            </a:r>
            <a:endPar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xdr:txBody>
      </xdr:sp>
      <xdr:sp macro="" textlink="">
        <xdr:nvSpPr>
          <xdr:cNvPr id="66" name="正方形/長方形 65">
            <a:extLst>
              <a:ext uri="{FF2B5EF4-FFF2-40B4-BE49-F238E27FC236}">
                <a16:creationId xmlns:a16="http://schemas.microsoft.com/office/drawing/2014/main" id="{00000000-0008-0000-0800-000042000000}"/>
              </a:ext>
            </a:extLst>
          </xdr:cNvPr>
          <xdr:cNvSpPr/>
        </xdr:nvSpPr>
        <xdr:spPr>
          <a:xfrm>
            <a:off x="22871208" y="14574206"/>
            <a:ext cx="1019733" cy="838040"/>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68" name="正方形/長方形 67">
            <a:extLst>
              <a:ext uri="{FF2B5EF4-FFF2-40B4-BE49-F238E27FC236}">
                <a16:creationId xmlns:a16="http://schemas.microsoft.com/office/drawing/2014/main" id="{00000000-0008-0000-0800-000044000000}"/>
              </a:ext>
            </a:extLst>
          </xdr:cNvPr>
          <xdr:cNvSpPr/>
        </xdr:nvSpPr>
        <xdr:spPr>
          <a:xfrm>
            <a:off x="23890686" y="14864602"/>
            <a:ext cx="801477" cy="547644"/>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69" name="線吹き出し 1 (枠付き) 68">
            <a:extLst>
              <a:ext uri="{FF2B5EF4-FFF2-40B4-BE49-F238E27FC236}">
                <a16:creationId xmlns:a16="http://schemas.microsoft.com/office/drawing/2014/main" id="{00000000-0008-0000-0800-000045000000}"/>
              </a:ext>
            </a:extLst>
          </xdr:cNvPr>
          <xdr:cNvSpPr/>
        </xdr:nvSpPr>
        <xdr:spPr>
          <a:xfrm>
            <a:off x="20792514" y="14118270"/>
            <a:ext cx="1826187" cy="400829"/>
          </a:xfrm>
          <a:prstGeom prst="borderCallout1">
            <a:avLst>
              <a:gd name="adj1" fmla="val 101481"/>
              <a:gd name="adj2" fmla="val 67547"/>
              <a:gd name="adj3" fmla="val 206551"/>
              <a:gd name="adj4" fmla="val 11498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初期値は表示無し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xnSp macro="">
        <xdr:nvCxnSpPr>
          <xdr:cNvPr id="70" name="直線コネクタ 69">
            <a:extLst>
              <a:ext uri="{FF2B5EF4-FFF2-40B4-BE49-F238E27FC236}">
                <a16:creationId xmlns:a16="http://schemas.microsoft.com/office/drawing/2014/main" id="{00000000-0008-0000-0800-000046000000}"/>
              </a:ext>
            </a:extLst>
          </xdr:cNvPr>
          <xdr:cNvCxnSpPr>
            <a:stCxn id="63" idx="0"/>
            <a:endCxn id="71" idx="1"/>
          </xdr:cNvCxnSpPr>
        </xdr:nvCxnSpPr>
        <xdr:spPr>
          <a:xfrm>
            <a:off x="32039218" y="14715309"/>
            <a:ext cx="13103679" cy="1286691"/>
          </a:xfrm>
          <a:prstGeom prst="line">
            <a:avLst/>
          </a:prstGeom>
          <a:ln w="28575"/>
        </xdr:spPr>
        <xdr:style>
          <a:lnRef idx="1">
            <a:schemeClr val="accent1"/>
          </a:lnRef>
          <a:fillRef idx="0">
            <a:schemeClr val="accent1"/>
          </a:fillRef>
          <a:effectRef idx="0">
            <a:schemeClr val="accent1"/>
          </a:effectRef>
          <a:fontRef idx="minor">
            <a:schemeClr val="tx1"/>
          </a:fontRef>
        </xdr:style>
      </xdr:cxnSp>
      <xdr:sp macro="" textlink="">
        <xdr:nvSpPr>
          <xdr:cNvPr id="71" name="正方形/長方形 70">
            <a:extLst>
              <a:ext uri="{FF2B5EF4-FFF2-40B4-BE49-F238E27FC236}">
                <a16:creationId xmlns:a16="http://schemas.microsoft.com/office/drawing/2014/main" id="{00000000-0008-0000-0800-000047000000}"/>
              </a:ext>
            </a:extLst>
          </xdr:cNvPr>
          <xdr:cNvSpPr/>
        </xdr:nvSpPr>
        <xdr:spPr>
          <a:xfrm>
            <a:off x="45142897" y="12040721"/>
            <a:ext cx="8499662" cy="7922558"/>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60" name="線吹き出し 1 (枠付き) 59">
            <a:extLst>
              <a:ext uri="{FF2B5EF4-FFF2-40B4-BE49-F238E27FC236}">
                <a16:creationId xmlns:a16="http://schemas.microsoft.com/office/drawing/2014/main" id="{00000000-0008-0000-0800-00003C000000}"/>
              </a:ext>
            </a:extLst>
          </xdr:cNvPr>
          <xdr:cNvSpPr/>
        </xdr:nvSpPr>
        <xdr:spPr>
          <a:xfrm>
            <a:off x="26314033" y="5045474"/>
            <a:ext cx="3640131" cy="882861"/>
          </a:xfrm>
          <a:prstGeom prst="borderCallout1">
            <a:avLst>
              <a:gd name="adj1" fmla="val 41573"/>
              <a:gd name="adj2" fmla="val -911"/>
              <a:gd name="adj3" fmla="val -144090"/>
              <a:gd name="adj4" fmla="val -10475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仕様書で「</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」になっているが</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REMWAR</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仕様に記載ありのため、</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送信を対応する</a:t>
            </a:r>
          </a:p>
        </xdr:txBody>
      </xdr:sp>
    </xdr:grpSp>
    <xdr:clientData/>
  </xdr:twoCellAnchor>
  <xdr:twoCellAnchor>
    <xdr:from>
      <xdr:col>1</xdr:col>
      <xdr:colOff>2252383</xdr:colOff>
      <xdr:row>15</xdr:row>
      <xdr:rowOff>33619</xdr:rowOff>
    </xdr:from>
    <xdr:to>
      <xdr:col>10</xdr:col>
      <xdr:colOff>840441</xdr:colOff>
      <xdr:row>17</xdr:row>
      <xdr:rowOff>89647</xdr:rowOff>
    </xdr:to>
    <xdr:sp macro="" textlink="">
      <xdr:nvSpPr>
        <xdr:cNvPr id="72" name="線吹き出し 1 (枠付き) 71">
          <a:extLst>
            <a:ext uri="{FF2B5EF4-FFF2-40B4-BE49-F238E27FC236}">
              <a16:creationId xmlns:a16="http://schemas.microsoft.com/office/drawing/2014/main" id="{00000000-0008-0000-0800-000048000000}"/>
            </a:ext>
          </a:extLst>
        </xdr:cNvPr>
        <xdr:cNvSpPr/>
      </xdr:nvSpPr>
      <xdr:spPr>
        <a:xfrm>
          <a:off x="2935942" y="3810001"/>
          <a:ext cx="3227293" cy="392205"/>
        </a:xfrm>
        <a:prstGeom prst="borderCallout1">
          <a:avLst>
            <a:gd name="adj1" fmla="val 47144"/>
            <a:gd name="adj2" fmla="val -921"/>
            <a:gd name="adj3" fmla="val -53463"/>
            <a:gd name="adj4" fmla="val -1647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IG-OFF</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は通信状態</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未受信</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に含まれる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37</xdr:col>
      <xdr:colOff>212912</xdr:colOff>
      <xdr:row>35</xdr:row>
      <xdr:rowOff>22410</xdr:rowOff>
    </xdr:from>
    <xdr:to>
      <xdr:col>51</xdr:col>
      <xdr:colOff>44824</xdr:colOff>
      <xdr:row>37</xdr:row>
      <xdr:rowOff>22410</xdr:rowOff>
    </xdr:to>
    <xdr:sp macro="" textlink="">
      <xdr:nvSpPr>
        <xdr:cNvPr id="4" name="正方形/長方形 3">
          <a:extLst>
            <a:ext uri="{FF2B5EF4-FFF2-40B4-BE49-F238E27FC236}">
              <a16:creationId xmlns:a16="http://schemas.microsoft.com/office/drawing/2014/main" id="{00000000-0008-0000-0800-000004000000}"/>
            </a:ext>
          </a:extLst>
        </xdr:cNvPr>
        <xdr:cNvSpPr/>
      </xdr:nvSpPr>
      <xdr:spPr>
        <a:xfrm>
          <a:off x="28911177" y="7160557"/>
          <a:ext cx="9401735" cy="336177"/>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35</xdr:col>
      <xdr:colOff>314111</xdr:colOff>
      <xdr:row>23</xdr:row>
      <xdr:rowOff>92899</xdr:rowOff>
    </xdr:from>
    <xdr:to>
      <xdr:col>39</xdr:col>
      <xdr:colOff>437030</xdr:colOff>
      <xdr:row>35</xdr:row>
      <xdr:rowOff>0</xdr:rowOff>
    </xdr:to>
    <xdr:cxnSp macro="">
      <xdr:nvCxnSpPr>
        <xdr:cNvPr id="6" name="直線コネクタ 5">
          <a:extLst>
            <a:ext uri="{FF2B5EF4-FFF2-40B4-BE49-F238E27FC236}">
              <a16:creationId xmlns:a16="http://schemas.microsoft.com/office/drawing/2014/main" id="{00000000-0008-0000-0800-000006000000}"/>
            </a:ext>
          </a:extLst>
        </xdr:cNvPr>
        <xdr:cNvCxnSpPr>
          <a:stCxn id="60" idx="1"/>
        </xdr:cNvCxnSpPr>
      </xdr:nvCxnSpPr>
      <xdr:spPr>
        <a:xfrm>
          <a:off x="27645258" y="5213987"/>
          <a:ext cx="2857154" cy="1924160"/>
        </a:xfrm>
        <a:prstGeom prst="line">
          <a:avLst/>
        </a:prstGeom>
        <a:ln w="19050">
          <a:solidFill>
            <a:schemeClr val="tx2"/>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2252383</xdr:colOff>
      <xdr:row>33</xdr:row>
      <xdr:rowOff>33619</xdr:rowOff>
    </xdr:from>
    <xdr:to>
      <xdr:col>10</xdr:col>
      <xdr:colOff>840441</xdr:colOff>
      <xdr:row>35</xdr:row>
      <xdr:rowOff>89647</xdr:rowOff>
    </xdr:to>
    <xdr:sp macro="" textlink="">
      <xdr:nvSpPr>
        <xdr:cNvPr id="16" name="線吹き出し 1 (枠付き) 71">
          <a:extLst>
            <a:ext uri="{FF2B5EF4-FFF2-40B4-BE49-F238E27FC236}">
              <a16:creationId xmlns:a16="http://schemas.microsoft.com/office/drawing/2014/main" id="{00000000-0008-0000-0800-000010000000}"/>
            </a:ext>
          </a:extLst>
        </xdr:cNvPr>
        <xdr:cNvSpPr/>
      </xdr:nvSpPr>
      <xdr:spPr>
        <a:xfrm>
          <a:off x="2935942" y="3810001"/>
          <a:ext cx="3227293" cy="392205"/>
        </a:xfrm>
        <a:prstGeom prst="borderCallout1">
          <a:avLst>
            <a:gd name="adj1" fmla="val 47144"/>
            <a:gd name="adj2" fmla="val -921"/>
            <a:gd name="adj3" fmla="val -53463"/>
            <a:gd name="adj4" fmla="val -1647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IG-OFF</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は通信状態</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未受信</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に含まれる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16</xdr:col>
      <xdr:colOff>0</xdr:colOff>
      <xdr:row>22</xdr:row>
      <xdr:rowOff>0</xdr:rowOff>
    </xdr:from>
    <xdr:to>
      <xdr:col>17</xdr:col>
      <xdr:colOff>0</xdr:colOff>
      <xdr:row>32</xdr:row>
      <xdr:rowOff>0</xdr:rowOff>
    </xdr:to>
    <xdr:sp macro="" textlink="">
      <xdr:nvSpPr>
        <xdr:cNvPr id="19" name="正方形/長方形 18">
          <a:extLst>
            <a:ext uri="{FF2B5EF4-FFF2-40B4-BE49-F238E27FC236}">
              <a16:creationId xmlns:a16="http://schemas.microsoft.com/office/drawing/2014/main" id="{00000000-0008-0000-0800-000013000000}"/>
            </a:ext>
          </a:extLst>
        </xdr:cNvPr>
        <xdr:cNvSpPr/>
      </xdr:nvSpPr>
      <xdr:spPr>
        <a:xfrm>
          <a:off x="14455588" y="4997824"/>
          <a:ext cx="829236" cy="3070411"/>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mn-ea"/>
            <a:ea typeface="+mn-ea"/>
          </a:endParaRP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Ok41103\kojin\windows\&#65411;&#65438;&#65405;&#65400;&#65412;&#65391;&#65420;&#65439;\020620&#65306;03G-BOOK&#65306;IDPW.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BODYE1-FS1\MG_&#25216;2\windows\TEMP\(02,03)&#26032;&#35215;&#28857;&#22793;&#21270;&#28857;.xls"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36554;&#20001;&#20181;&#27096;"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Bodye1-soft2\dn_dev\job\&#22522;&#30436;&#12477;&#12501;&#12488;&#25972;&#20633;\11.display\&#12510;&#12491;&#12517;&#12450;&#12523;\&#12304;&#30707;&#20489;&#32232;&#38598;&#20013;&#12305;DisplayStateTransitionTable_ver.0.07.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20620：03G-BOOK：IDPW"/>
      <sheetName val="#REF"/>
      <sheetName val="選択肢"/>
      <sheetName val="入力規則"/>
      <sheetName val="IDPW(AW)"/>
      <sheetName val="スケジュール"/>
      <sheetName val="IDPW(全体)"/>
      <sheetName val="V205複合試験"/>
      <sheetName val="V200複合試験_担当分け (2)"/>
      <sheetName val="全項目help"/>
      <sheetName val="_REF"/>
      <sheetName val="020620_03G-BOOK_IDPW"/>
      <sheetName val="List"/>
      <sheetName val="Sheet2"/>
      <sheetName val="Setting"/>
      <sheetName val="ChoiceValues"/>
      <sheetName val="リスト"/>
      <sheetName val="Dropdowns"/>
      <sheetName val="緊急度"/>
      <sheetName val="03_リスト"/>
      <sheetName val="電源ボード"/>
      <sheetName val="ブラウザ遷移"/>
      <sheetName val="アミューズメント連携"/>
      <sheetName val="ini"/>
      <sheetName val="MOTO"/>
      <sheetName val="分類"/>
      <sheetName val="区分リスト"/>
      <sheetName val="ResultSummary"/>
      <sheetName val="Spec_List (19MC-DCM) "/>
      <sheetName val="紐づけ作業_TG3"/>
      <sheetName val="CV開発案件_ソフト"/>
      <sheetName val="要件_仕様0124版"/>
      <sheetName val="課題"/>
      <sheetName val="01_はじめに"/>
      <sheetName val="10_変更履歴"/>
      <sheetName val="11_方針"/>
      <sheetName val="設計書_サンプル(DCMTG3S-53)"/>
      <sheetName val="21_レビュー指摘一覧"/>
      <sheetName val="99_凡例"/>
      <sheetName val="紐づけ作業_TG2"/>
      <sheetName val="項目集計"/>
      <sheetName val="評価項目_15PF"/>
      <sheetName val="評価項目_19PF"/>
      <sheetName val="TS集計"/>
      <sheetName val="V200複合試験_担当分け_(2)"/>
      <sheetName val="Spec_List_(19MC-DCM)_"/>
      <sheetName val="Version"/>
      <sheetName val="データ定義"/>
      <sheetName val="Cooling Unit"/>
      <sheetName val="Summary"/>
      <sheetName val="ﾃﾞｰﾀﾍﾞｰｽ"/>
      <sheetName val="凡例・注記記載用"/>
      <sheetName val="Inf"/>
      <sheetName val="17CY利用OSS"/>
      <sheetName val="特性"/>
      <sheetName val="For legend, note"/>
      <sheetName val="mapReg(4)"/>
      <sheetName val="４．ナビモデル"/>
      <sheetName val="３．サウンドモデル"/>
      <sheetName val="２．ラジオモデル"/>
      <sheetName val="1.概述"/>
      <sheetName val="V200複合試験_担当分け_(2)1"/>
      <sheetName val="Spec_List_(19MC-DCM)_1"/>
      <sheetName val="Cooling_Unit"/>
      <sheetName val="OpenIssueList"/>
      <sheetName val="ECU基盤"/>
      <sheetName val="Name2"/>
      <sheetName val="Name3"/>
      <sheetName val="Company"/>
      <sheetName val="Name"/>
      <sheetName val="PullDow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ow r="1">
          <cell r="A1">
            <v>0</v>
          </cell>
        </row>
      </sheetData>
      <sheetData sheetId="29"/>
      <sheetData sheetId="30"/>
      <sheetData sheetId="31"/>
      <sheetData sheetId="32"/>
      <sheetData sheetId="33"/>
      <sheetData sheetId="34"/>
      <sheetData sheetId="35"/>
      <sheetData sheetId="36"/>
      <sheetData sheetId="37"/>
      <sheetData sheetId="38"/>
      <sheetData sheetId="39"/>
      <sheetData sheetId="40" refreshError="1"/>
      <sheetData sheetId="41"/>
      <sheetData sheetId="42">
        <row r="1">
          <cell r="A1">
            <v>0</v>
          </cell>
        </row>
      </sheetData>
      <sheetData sheetId="43" refreshError="1"/>
      <sheetData sheetId="44"/>
      <sheetData sheetId="45">
        <row r="1">
          <cell r="A1">
            <v>0</v>
          </cell>
        </row>
      </sheetData>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sheetData sheetId="62"/>
      <sheetData sheetId="63"/>
      <sheetData sheetId="64" refreshError="1"/>
      <sheetData sheetId="65" refreshError="1"/>
      <sheetData sheetId="66" refreshError="1"/>
      <sheetData sheetId="67" refreshError="1"/>
      <sheetData sheetId="68" refreshError="1"/>
      <sheetData sheetId="69" refreshError="1"/>
      <sheetData sheetId="7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GVIF1"/>
      <sheetName val="GVIF2"/>
      <sheetName val="作業要領"/>
      <sheetName val="INDEX"/>
      <sheetName val="端子№判定基準設定"/>
      <sheetName val="試験ﾒﾆｭｰ"/>
      <sheetName val="放射_LW"/>
      <sheetName val="放射_AM"/>
      <sheetName val="放射_SW"/>
      <sheetName val="放射_ｽﾏｰﾄ"/>
      <sheetName val="放射_FM"/>
      <sheetName val="放射_TV1"/>
      <sheetName val="放射_TV2"/>
      <sheetName val="放射_TV3"/>
      <sheetName val="放射_TV1 (北米・台・韓)"/>
      <sheetName val="放射_TV2 (北米・台・韓)"/>
      <sheetName val="放射_TV3 (北米・台・韓)"/>
      <sheetName val="放射_TV1 (欧・豪・中近・中国)"/>
      <sheetName val="放射_TV2 (欧・豪・中近・中国)"/>
      <sheetName val="放射_TV3 (欧・豪・中近・中国)"/>
      <sheetName val="放射_ｷｰﾚｽ1_国内・北米"/>
      <sheetName val="放射_ｷｰﾚｽ1_中近東・豪州"/>
      <sheetName val="放射_ｷｰﾚｽ1_ｼﾝｶﾞﾎﾟｰﾙ"/>
      <sheetName val="放射_ｷｰﾚｽ2_欧州"/>
      <sheetName val="放射_電話_国内1"/>
      <sheetName val="放射_電話_国内2"/>
      <sheetName val="放射_電話_北米1"/>
      <sheetName val="放射_電話_北米2"/>
      <sheetName val="放射_電話_欧州・豪州・中近東1"/>
      <sheetName val="放射_電話_欧州・豪州・中近東2"/>
      <sheetName val="放射_GPS1"/>
      <sheetName val="放射_GPS2"/>
      <sheetName val="伝導_LW"/>
      <sheetName val="伝導_AM"/>
      <sheetName val="伝導_SW"/>
      <sheetName val="伝導_ｽﾏｰﾄ"/>
      <sheetName val="伝導_FM・TV1"/>
      <sheetName val="伝導_TV2"/>
      <sheetName val="伝導_TV3"/>
      <sheetName val="伝導_TV1 (北米・台・韓)"/>
      <sheetName val="伝導_TV2 (北米・台・韓)"/>
      <sheetName val="伝導_TV3 (北米・台・韓)"/>
      <sheetName val="伝導_TV1 (欧・豪・中近・中国)"/>
      <sheetName val="伝導_TV2 (欧・豪・中近・中国)"/>
      <sheetName val="伝導_TV3 (欧・豪・中近・中国)"/>
      <sheetName val="伝導_ｷｰﾚｽ1_国内・北米"/>
      <sheetName val="伝導_ｷｰﾚｽ1_中近東・豪州"/>
      <sheetName val="伝導_ｷｰﾚｽ1_ｼﾝｶﾞﾎﾟｰﾙ"/>
      <sheetName val="伝導_ｷｰﾚｽ2_欧州"/>
      <sheetName val="伝導_電話_国内1"/>
      <sheetName val="伝導_電話_国内2"/>
      <sheetName val="伝導_電話_北米1"/>
      <sheetName val="伝導_電話_北米2"/>
      <sheetName val="伝導_電話_欧州・豪州・中近東1"/>
      <sheetName val="伝導_電話_欧州・豪州・中近東2"/>
      <sheetName val="試験結果まとめ（ｸﾞﾗﾌ）"/>
      <sheetName val="試験結果まとめ（編集ｸﾞﾗﾌ）"/>
      <sheetName val="試験結果まとめ（一覧表）"/>
      <sheetName val="Packaging"/>
      <sheetName val="95実績"/>
      <sheetName val="NF-CAR(MT)STEP"/>
      <sheetName val="設定"/>
      <sheetName val="⑥フューエル"/>
      <sheetName val="目次"/>
      <sheetName val="エンジン型式"/>
      <sheetName val="放射_TV1_(北米・台・韓)"/>
      <sheetName val="放射_TV2_(北米・台・韓)"/>
      <sheetName val="放射_TV3_(北米・台・韓)"/>
      <sheetName val="放射_TV1_(欧・豪・中近・中国)"/>
      <sheetName val="放射_TV2_(欧・豪・中近・中国)"/>
      <sheetName val="放射_TV3_(欧・豪・中近・中国)"/>
      <sheetName val="伝導_TV1_(北米・台・韓)"/>
      <sheetName val="伝導_TV2_(北米・台・韓)"/>
      <sheetName val="伝導_TV3_(北米・台・韓)"/>
      <sheetName val="伝導_TV1_(欧・豪・中近・中国)"/>
      <sheetName val="伝導_TV2_(欧・豪・中近・中国)"/>
      <sheetName val="伝導_TV3_(欧・豪・中近・中国)"/>
      <sheetName val="要求仕様Ｑ＆Ａ-ソフト"/>
      <sheetName val="DataList"/>
      <sheetName val="MDL製造仕様書"/>
      <sheetName val="リスト"/>
      <sheetName val="(02,03)新規点変化点"/>
      <sheetName val="リリース前チェック"/>
      <sheetName val="集計用"/>
      <sheetName val="List"/>
      <sheetName val="ﾊﾟﾗﾒｰﾀｰ表"/>
      <sheetName val="Menu List"/>
      <sheetName val="開発QA棚卸"/>
      <sheetName val="Inf"/>
      <sheetName val="集計"/>
      <sheetName val="Q&amp;A確認"/>
      <sheetName val="OpenIssueList"/>
      <sheetName val="ドメイン"/>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ow r="7">
          <cell r="B7" t="str">
            <v>評価結果ｸﾞﾗﾌ</v>
          </cell>
        </row>
      </sheetData>
      <sheetData sheetId="58"/>
      <sheetData sheetId="59" refreshError="1"/>
      <sheetData sheetId="60" refreshError="1"/>
      <sheetData sheetId="61" refreshError="1"/>
      <sheetData sheetId="62" refreshError="1"/>
      <sheetData sheetId="63" refreshError="1"/>
      <sheetData sheetId="64"/>
      <sheetData sheetId="65" refreshError="1"/>
      <sheetData sheetId="66"/>
      <sheetData sheetId="67"/>
      <sheetData sheetId="68"/>
      <sheetData sheetId="69"/>
      <sheetData sheetId="70"/>
      <sheetData sheetId="71"/>
      <sheetData sheetId="72"/>
      <sheetData sheetId="73"/>
      <sheetData sheetId="74"/>
      <sheetData sheetId="75"/>
      <sheetData sheetId="76"/>
      <sheetData sheetId="77" refreshError="1"/>
      <sheetData sheetId="78" refreshError="1"/>
      <sheetData sheetId="79"/>
      <sheetData sheetId="80"/>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車両仕様"/>
      <sheetName val="車両仕様_x0000_4?_x0000__x0000__x0011__x0000__x0000_"/>
      <sheetName val="車両仕様 _x0000__x0000_?_x0012_?瞳?"/>
      <sheetName val="対米新旧差"/>
      <sheetName val="購入品費入り"/>
      <sheetName val="品名なし"/>
      <sheetName val="Sheet3"/>
      <sheetName val="500以上"/>
      <sheetName val="WARPより"/>
      <sheetName val="aug05"/>
      <sheetName val="jul05"/>
      <sheetName val="RR Diff  Progressive(28-Aug (2)"/>
      <sheetName val="RR Diff  Progressive(4-Sep-03)"/>
      <sheetName val="NICHE"/>
      <sheetName val="CAR"/>
      <sheetName val="COM"/>
      <sheetName val="TMMT"/>
      <sheetName val="TMUK"/>
      <sheetName val="CHRONOLOGY INDEX"/>
      <sheetName val="&lt;"/>
      <sheetName val="TMF"/>
      <sheetName val="SC430"/>
      <sheetName val="CBU"/>
      <sheetName val="&gt;"/>
      <sheetName val="COST REC. DISCREP."/>
      <sheetName val="車両仕様_x0000_ New02㾐"/>
      <sheetName val="車両仕様_x0000__x0000__x0000_ꎨ_x0012_窉瞳㾐"/>
      <sheetName val="表紙"/>
      <sheetName val="車両基本情報"/>
      <sheetName val="月別生産台数"/>
      <sheetName val="Sheet1"/>
      <sheetName val="アラジン"/>
      <sheetName val="入力用"/>
      <sheetName val="本体価格検討"/>
      <sheetName val="Competitor"/>
      <sheetName val="車両仕様 "/>
      <sheetName val="#REF"/>
      <sheetName val="MARCH-APRIL. 03"/>
      <sheetName val="sum_gtm"/>
      <sheetName val="検証確認シート"/>
      <sheetName val="帳票説明"/>
      <sheetName val="車両仕様?4???_x0011_??"/>
      <sheetName val="車両仕様 ???_x0012_?瞳?"/>
      <sheetName val="車両仕様? New02㾐"/>
      <sheetName val="車両仕様???ꎨ_x0012_窉瞳㾐"/>
      <sheetName val="車両仕様?4??_x0011_?"/>
      <sheetName val="車両仕様4??_x0011_?"/>
      <sheetName val="F Lead"/>
      <sheetName val="007SS"/>
      <sheetName val="2005．05．26Iwasaki"/>
      <sheetName val="Corona"/>
      <sheetName val="隠し"/>
      <sheetName val="車両仕様 __x0012__瞳_"/>
      <sheetName val="車両仕様4_"/>
      <sheetName val="ﾃｽﾄﾃﾞｰﾀ一覧"/>
      <sheetName val="車両仕様 ____x0012__瞳_"/>
      <sheetName val="車両仕様_4____x0011___"/>
      <sheetName val="車両仕様_ New02㾐"/>
      <sheetName val="車両仕様___ꎨ_x0012_窉瞳㾐"/>
      <sheetName val="車両仕様_4___x0011__"/>
      <sheetName val="車両仕様4___x0011__"/>
      <sheetName val="Distributor &amp; Dealer code"/>
      <sheetName val="T1 &amp; T2 Code"/>
      <sheetName val="All of Part list rev.49"/>
      <sheetName val="All of Part list rev.49 (PNo)"/>
      <sheetName val="車型仕様"/>
      <sheetName val="02年9月 まとめ 32βＨ"/>
      <sheetName val="車両ｽﾍﾟｯｸ表"/>
      <sheetName val="NOV"/>
      <sheetName val="D88D CAL"/>
      <sheetName val="Comparison"/>
      <sheetName val="parameter"/>
      <sheetName val="ES UX  27 40.464"/>
      <sheetName val="Part No."/>
      <sheetName val="715L Unit Price"/>
      <sheetName val="MARCH_APRIL_ 03"/>
      <sheetName val="MASTER FILE"/>
      <sheetName val="REPUESTOS LPA"/>
      <sheetName val="TALLER"/>
      <sheetName val="6770T02"/>
      <sheetName val="Oct Truckfest GMAC BC"/>
      <sheetName val="Corolla Gas"/>
      <sheetName val="tbContab05"/>
      <sheetName val="TCL1"/>
      <sheetName val="REVICED"/>
      <sheetName val="PL_1_2"/>
      <sheetName val="ESSBASE"/>
      <sheetName val="TANI"/>
      <sheetName val="091L"/>
      <sheetName val="200L"/>
      <sheetName val="180L"/>
      <sheetName val="Table"/>
      <sheetName val="11パラメータ"/>
      <sheetName val="保有ﾘｽﾄ"/>
      <sheetName val="Price"/>
      <sheetName val="ﾄﾖﾀUNIT"/>
      <sheetName val="投資ﾌｫﾛｰ"/>
      <sheetName val="RACK (CB)new"/>
      <sheetName val="001N99"/>
      <sheetName val="479T"/>
      <sheetName val="pre"/>
      <sheetName val="계실5-1"/>
      <sheetName val="%E8%BB%8A%E4%B8%A1%E4%BB%95%E6%"/>
      <sheetName val="ｲﾝﾊﾟｸﾄ影響台数集計表"/>
      <sheetName val="実勢(売上)台数表"/>
      <sheetName val="月別企画台数表"/>
      <sheetName val="プロジェクト一覧表(現行)"/>
      <sheetName val="限界利益表(半期別)"/>
      <sheetName val="機種マスタ"/>
      <sheetName val="機種ﾏｽﾀ（他車）"/>
      <sheetName val="売上高表(半期別)"/>
      <sheetName val="★작성양식"/>
      <sheetName val="仕入住原"/>
      <sheetName val="Datos HHRR"/>
      <sheetName val="進度管理表"/>
      <sheetName val="PP_LETTER"/>
      <sheetName val="７月発注分 (VLOOK)"/>
      <sheetName val="DBS040_RPT.RPT"/>
      <sheetName val="Plate_Bumper"/>
      <sheetName val="DATA"/>
      <sheetName val="Plate_Bumper (Summary)"/>
      <sheetName val="Inpanel"/>
      <sheetName val="Interior Trim"/>
      <sheetName val="Assumptions"/>
      <sheetName val="現調化効果"/>
      <sheetName val="日供品"/>
      <sheetName val="FAD Sum"/>
      <sheetName val="Medium"/>
      <sheetName val="Small"/>
      <sheetName val="車両仕様 _x005f_x0000__x005f_x0000___x005f_x0012__瞳_"/>
      <sheetName val="車両仕様_x005f_x0000_4__x005f_x0000__x005f_x0000__x00"/>
      <sheetName val="車両仕様_x005f_x0000_ New02㾐"/>
      <sheetName val="車両仕様_x005f_x0000__x005f_x0000__x005f_x0000_ꎨ_x001"/>
      <sheetName val="車両仕様 ____x005f_x0012__瞳_"/>
      <sheetName val="車両仕様_4____x005f_x0011___"/>
      <sheetName val="車両仕様___ꎨ_x005f_x0012_窉瞳㾐"/>
      <sheetName val="車両仕様_4___x005f_x0011__"/>
      <sheetName val="車両仕様4___x005f_x0011__"/>
      <sheetName val="車両仕様 __x005f_x0012__瞳_"/>
      <sheetName val="性能"/>
      <sheetName val="Wenger"/>
      <sheetName val="銷售&amp;毛利"/>
      <sheetName val="latest"/>
      <sheetName val="2005 TKM"/>
      <sheetName val="諸元表STR58043"/>
      <sheetName val="Actual"/>
      <sheetName val="AS"/>
      <sheetName val="Avanza"/>
      <sheetName val="Hiace"/>
      <sheetName val="Comm CKD"/>
      <sheetName val="Alphard"/>
      <sheetName val="Supp.List"/>
      <sheetName val="ＦＣ～FT"/>
      <sheetName val="Regional Penetration"/>
      <sheetName val="094W原紙 "/>
      <sheetName val="ヘッダ"/>
      <sheetName val="TMMI"/>
      <sheetName val="Parts"/>
      <sheetName val="97RAW"/>
      <sheetName val="costing"/>
      <sheetName val="Sheet2"/>
      <sheetName val="NAME"/>
      <sheetName val="Risk &amp; Opps"/>
      <sheetName val="長計対比"/>
      <sheetName val="投資･工数推移"/>
      <sheetName val="推移"/>
      <sheetName val="?"/>
      <sheetName val="TR"/>
      <sheetName val="542F"/>
      <sheetName val="CPF"/>
      <sheetName val="編集"/>
      <sheetName val="PAIData"/>
      <sheetName val="NCastalone"/>
      <sheetName val="dongia (2)"/>
      <sheetName val="Volumes"/>
      <sheetName val="⑪1ﾊﾞﾘｴｰｼｮﾝ(16LX)△１"/>
      <sheetName val="加工費"/>
      <sheetName val="車両仕様 嗼1嗼1噌1鲌"/>
      <sheetName val="車両仕様 勜+勜+匬+鲌"/>
      <sheetName val=" PART 479W LHD"/>
      <sheetName val=" PART MYY5A"/>
      <sheetName val="DUTRO"/>
      <sheetName val="Y230"/>
      <sheetName val="MASTER"/>
      <sheetName val="設定"/>
      <sheetName val="⑥フューエル"/>
      <sheetName val="電子ﾎﾞﾘｭｰﾑ設定値（740Nと同一）"/>
      <sheetName val="ﾌﾟﾙﾀﾞｳﾝﾒﾆｭｰ"/>
      <sheetName val="設品表01-3-23作成"/>
      <sheetName val="wire"/>
      <sheetName val="EquipmentTrimming Cabin NS"/>
      <sheetName val="MTRX96"/>
      <sheetName val="ｻﾝﾌﾟﾙ取出日程"/>
      <sheetName val="NWEA1180"/>
      <sheetName val="金型申入書ﾃﾞｰﾀ(05.7～)"/>
      <sheetName val="原単位表"/>
      <sheetName val="方針書表紙"/>
      <sheetName val="工数データ"/>
      <sheetName val="S-PLAN"/>
      <sheetName val="610L611L品番一覧"/>
      <sheetName val="【Input】見積基礎情報（海外生産分)"/>
      <sheetName val="IM-P-L-JB "/>
      <sheetName val="797T輸入部品リスト"/>
      <sheetName val="テーブル"/>
      <sheetName val="Master Updated(517)"/>
      <sheetName val="４-２．151項目累積（日本）"/>
      <sheetName val="５-２．151項目累積（北米）"/>
      <sheetName val="５-１．151項目詳細（北米）"/>
      <sheetName val="545N仕様ﾗﾌ2"/>
      <sheetName val="商品力向上"/>
      <sheetName val="OP-PD"/>
      <sheetName val="６２３Ｔ"/>
      <sheetName val="Main 2"/>
      <sheetName val="Datasheet from R. Hinds"/>
      <sheetName val="GMT900 IPC"/>
      <sheetName val="HORAS_TRAB"/>
      <sheetName val="Resumo_Corolla"/>
      <sheetName val="GASTOS_COROLLA"/>
      <sheetName val="CALC"/>
      <sheetName val="ﾘｽﾄ候補"/>
      <sheetName val="ｺｰﾄﾞ表"/>
      <sheetName val="①評価項目_メーカー"/>
      <sheetName val="車両仕様_x005f_x0000_4__x005f_x0000__x005f_x0011__x00"/>
      <sheetName val="車両仕様4__x005f_x0000__x005f_x0011__x005f_x0000_"/>
      <sheetName val="車両仕様 _x005f_x005f_x005f_x0000__x005f_x005f_x005f_x0000_"/>
      <sheetName val="車両仕様_x005f_x005f_x005f_x0000_4__x005f_x005f_x0000"/>
      <sheetName val="車両仕様_x005f_x005f_x005f_x0000_ New02㾐"/>
      <sheetName val="車両仕様_x005f_x005f_x005f_x0000__x005f_x005f_x005f_x0000__"/>
      <sheetName val="車両仕様 __x005f_x005f_x005f_x0012__瞳_"/>
      <sheetName val="車両仕様4__x005f_x005f_x005f_x0000__x005f_x005f_x0011"/>
      <sheetName val="車両仕様_4____x005f_x005f_x005f_x0011___"/>
      <sheetName val="車両仕様 ____x005f_x005f_x005f_x0012__瞳_"/>
      <sheetName val="車両仕様___ꎨ_x005f_x005f_x005f_x0012_窉瞳㾐"/>
      <sheetName val="車両仕様_4___x005f_x005f_x005f_x0011__"/>
      <sheetName val="車両仕様4___x005f_x005f_x005f_x0011__"/>
      <sheetName val="車両仕様 _x005f_x005f_x005f_x005f_x005f_x005f_x005f_x0000__"/>
      <sheetName val="車両仕様_x005f_x005f_x005f_x005f_x005f_x005f_x005f_x0000_4_"/>
      <sheetName val="車両仕様_x005f_x005f_x005f_x005f_x005f_x005f_x005f_x0000_ N"/>
      <sheetName val="車両仕様_x005f_x005f_x005f_x005f_x005f_x005f_x005f_x0000__x"/>
      <sheetName val="車両仕様 __x005f_x005f_x005f_x005f_x005f_x005f_x005f_x0012_"/>
      <sheetName val="車両仕様4__x005f_x005f_x005f_x005f_x005f_x005f_x005f_x0000_"/>
      <sheetName val="車両仕様_4____x005f_x005f_x005f_x005f_x005f_x005f_x00"/>
      <sheetName val="車両仕様 ____x005f_x005f_x005f_x005f_x005f_x005f_x001"/>
      <sheetName val="車両仕様___ꎨ_x005f_x005f_x005f_x005f_x005f_x005f_x001"/>
      <sheetName val="車両仕様_4___x005f_x005f_x005f_x005f_x005f_x005f_x001"/>
      <sheetName val="車両仕様4___x005f_x005f_x005f_x005f_x005f_x005f_x0011"/>
      <sheetName val="EFFY_MAZDA"/>
      <sheetName val="ﾌﾟﾙﾀﾞｳﾝﾒﾆｭｰ用ｺｰﾄﾞ表"/>
      <sheetName val="_"/>
      <sheetName val="RMBSS's Triggered"/>
      <sheetName val="ED AND EDOV"/>
      <sheetName val="④要素記号一覧表"/>
      <sheetName val="START"/>
      <sheetName val="Blue Flag"/>
      <sheetName val="Calc Sheet Budget"/>
      <sheetName val="見積一覧（１案）"/>
      <sheetName val="部品"/>
      <sheetName val="sebelumCR"/>
      <sheetName val="08TMME"/>
      <sheetName val="VCPT"/>
      <sheetName val="promo lists 2011"/>
      <sheetName val="(5)Individual_DM"/>
      <sheetName val="FOList"/>
      <sheetName val="WIP Cal Sheet"/>
      <sheetName val="Pricing overview"/>
      <sheetName val="駆動系1"/>
      <sheetName val="393.N"/>
      <sheetName val="CæÊ _x0015_ Op"/>
      <sheetName val="ƒƒCƒ“‰æ–Ê _x0015_ Op"/>
      <sheetName val="メイン画面 _x0015_ Op"/>
      <sheetName val="160th NPCC_Nov'10"/>
      <sheetName val="image"/>
      <sheetName val="HHB90007_DAT"/>
      <sheetName val="Idx"/>
      <sheetName val="Lookup Table"/>
      <sheetName val="PRICE LIST"/>
      <sheetName val="車両仕様_x0000__x0000_毛_x0000_利_x0000__x0000__x0000_"/>
      <sheetName val="車両仕様_x0000_ᵣ逰ᵣ邀ᵣ郰ᵣ"/>
      <sheetName val="車両仕様??毛?利???"/>
      <sheetName val="車両仕様?ᵣ逰ᵣ邀ᵣ郰ᵣ"/>
      <sheetName val="REQUEST_TABLE"/>
      <sheetName val="車両仕様__毛_利___"/>
      <sheetName val="車両仕様_ᵣ逰ᵣ邀ᵣ郰ᵣ"/>
      <sheetName val="他"/>
      <sheetName val="part"/>
      <sheetName val="Vectra"/>
      <sheetName val="PRADO"/>
      <sheetName val="Previous"/>
      <sheetName val="帳票拡大"/>
      <sheetName val="NON-FLEET"/>
      <sheetName val="Reference "/>
      <sheetName val="車両仕様 _x005f_x0000__x005f_x0000_?_x005f_x0012_?瞳?"/>
      <sheetName val="車両仕様_x005f_x0000_4?_x005f_x0000__x005f_x0000__x00"/>
      <sheetName val="車両仕様?4???_x005f_x0011_??"/>
      <sheetName val="車両仕様 ???_x005f_x0012_?瞳?"/>
      <sheetName val="車両仕様???ꎨ_x005f_x0012_窉瞳㾐"/>
      <sheetName val="車両仕様?4??_x005f_x0011_?"/>
      <sheetName val="車両仕様4??_x005f_x0011_?"/>
      <sheetName val="A"/>
      <sheetName val="ｂB"/>
      <sheetName val="ｶﾛｰﾗ（1）"/>
      <sheetName val="TOTAL"/>
      <sheetName val="Proto"/>
      <sheetName val="表紙(代表者)"/>
      <sheetName val="車両仕様_x0000_4?_x0000__x0000_ _x0000__x0000_"/>
      <sheetName val="車両仕様 _x0000__x0000_? ?瞳?"/>
      <sheetName val="車両仕様_x0000__x0000__x0000_ꎨ 窉瞳㾐"/>
      <sheetName val="車両仕様?4??? ??"/>
      <sheetName val="車両仕様 ??? ?瞳?"/>
      <sheetName val="車両仕様???ꎨ 窉瞳㾐"/>
      <sheetName val="車両仕様?4?? ?"/>
      <sheetName val="車両仕様4?? ?"/>
      <sheetName val="車両仕様 _ _瞳_"/>
      <sheetName val="車両仕様 ___ _瞳_"/>
      <sheetName val="車両仕様_4___ __"/>
      <sheetName val="車両仕様___ꎨ 窉瞳㾐"/>
      <sheetName val="車両仕様_4__ _"/>
      <sheetName val="車両仕様4__ _"/>
      <sheetName val="paramètres"/>
      <sheetName val="ＣＡＭＹ　ＭⅢ"/>
      <sheetName val="C-2"/>
      <sheetName val="OTHERS x620"/>
      <sheetName val="Ref"/>
      <sheetName val="TOTAL P2"/>
      <sheetName val="415T原"/>
      <sheetName val="PAC14"/>
      <sheetName val="部品表"/>
      <sheetName val="■07中期明細雛形"/>
      <sheetName val="BUYERS"/>
      <sheetName val="Status"/>
      <sheetName val="PR"/>
      <sheetName val="大物部品"/>
      <sheetName val="C1(TMENG)"/>
      <sheetName val="C2(TMENG)"/>
      <sheetName val=""/>
      <sheetName val="Annexes toutes bases"/>
      <sheetName val="マスター"/>
      <sheetName val="IPOTESI PIANO STATICA"/>
      <sheetName val="車両仕様4?"/>
      <sheetName val="画面説明"/>
      <sheetName val="基本情報"/>
      <sheetName val="ANIjan'99"/>
      <sheetName val="コード表"/>
      <sheetName val="改定記録"/>
      <sheetName val="為替前提"/>
      <sheetName val="matrix"/>
      <sheetName val="Loss Time"/>
      <sheetName val="Price range IT"/>
      <sheetName val="PCD"/>
      <sheetName val="Avensis+d seg  in &amp; out of UK+F"/>
      <sheetName val="NAVI"/>
      <sheetName val="#ofclose .xl"/>
      <sheetName val="JY134J"/>
      <sheetName val="PA2000"/>
      <sheetName val="ﾘｽﾄ"/>
      <sheetName val="No12 營業成本表 cost1"/>
      <sheetName val="GPP損益実績"/>
      <sheetName val="解説a"/>
      <sheetName val="従推"/>
      <sheetName val="BaseSheet1"/>
      <sheetName val="その他"/>
      <sheetName val="変更履歴"/>
      <sheetName val="引言"/>
      <sheetName val="信息定义"/>
      <sheetName val="Navigation"/>
      <sheetName val="PullDown"/>
      <sheetName val="1.概述"/>
      <sheetName val="Drop-down Menu List"/>
      <sheetName val="Open Item List"/>
      <sheetName val="MDL製造仕様書"/>
      <sheetName val="調査シート"/>
      <sheetName val="差異詳細(インクルード)"/>
      <sheetName val="差異詳細(bm)"/>
      <sheetName val="差異詳細(jb2)"/>
      <sheetName val="差異詳細(jh)"/>
      <sheetName val="差異詳細(ji)"/>
      <sheetName val="差異詳細(jx)"/>
      <sheetName val="車両仕様 _x005f_x005f_x005f_x005f_x005f_x005f_x005f_x005f_x"/>
      <sheetName val="車両仕様_x005f_x005f_x005f_x005f_x005f_x005f_x005f_x005f_x0"/>
      <sheetName val="車両仕様 __x005f_x005f_x005f_x005f_x005f_x005f_x005f_x005f_"/>
      <sheetName val="車両仕様4__x005f_x005f_x005f_x005f_x005f_x005f_x005f_x005f_"/>
      <sheetName val="車両仕様 ____x005f_x005f_x005f_x005f_x005f_x005f_x005"/>
      <sheetName val="車両仕様___ꎨ_x005f_x005f_x005f_x005f_x005f_x005f_x005"/>
      <sheetName val="車両仕様_4___x005f_x005f_x005f_x005f_x005f_x005f_x005"/>
      <sheetName val="車両仕様4___x005f_x005f_x005f_x005f_x005f_x005f_x005f"/>
      <sheetName val="車両仕様_x0000_4__x0000__x0000__x00"/>
      <sheetName val="車両仕様_x0000__x0000__x0000_ꎨ_x001"/>
      <sheetName val="車両仕様_x0000_4__x0000__x0011__x00"/>
      <sheetName val="車両仕様4__x0000__x0011__x0000_"/>
      <sheetName val="車両仕様 _x005f_x0000__x005f_x0000_"/>
      <sheetName val="車両仕様_x005f_x0000_4__x0000"/>
      <sheetName val="車両仕様_x005f_x0000__x005f_x0000__"/>
      <sheetName val="車両仕様4__x005f_x0000__x0011"/>
      <sheetName val="車両仕様 _x005f_x005f_x005f_x0000__"/>
      <sheetName val="車両仕様_x005f_x005f_x005f_x0000_4_"/>
      <sheetName val="車両仕様_x005f_x005f_x005f_x0000_ N"/>
      <sheetName val="車両仕様_x005f_x005f_x005f_x0000__x"/>
      <sheetName val="車両仕様 __x005f_x005f_x005f_x0012_"/>
      <sheetName val="車両仕様4__x005f_x005f_x005f_x0000_"/>
      <sheetName val="車両仕様_4____x005f_x005f_x00"/>
      <sheetName val="車両仕様 ____x005f_x005f_x001"/>
      <sheetName val="車両仕様___ꎨ_x005f_x005f_x001"/>
      <sheetName val="車両仕様_4___x005f_x005f_x001"/>
      <sheetName val="車両仕様4___x005f_x005f_x0011"/>
      <sheetName val="車両仕様 _x005f_x005f_x005f_x005f_x"/>
      <sheetName val="車両仕様_x005f_x005f_x005f_x005f_x0"/>
      <sheetName val="車両仕様 __x005f_x005f_x005f_x005f_"/>
      <sheetName val="車両仕様4__x005f_x005f_x005f_x005f_"/>
      <sheetName val="車両仕様 ____x005f_x005f_x005"/>
      <sheetName val="車両仕様___ꎨ_x005f_x005f_x005"/>
      <sheetName val="車両仕様_4___x005f_x005f_x005"/>
      <sheetName val="車両仕様4___x005f_x005f_x005f"/>
      <sheetName val="Sheet5"/>
      <sheetName val="ベンダー名"/>
      <sheetName val="chitiet"/>
      <sheetName val="gvl"/>
      <sheetName val="DON GIA"/>
      <sheetName val="CHITIET VL-NC"/>
      <sheetName val="Tiepdia"/>
      <sheetName val="TDTKP"/>
      <sheetName val="TONGKE3p "/>
      <sheetName val="VCV-BE-TONG"/>
      <sheetName val="TNHCHINH"/>
      <sheetName val="S"/>
      <sheetName val="車両仕様 _x0000__x0000__x000a__x0000__x0000__x0000__x0000_"/>
      <sheetName val="車両仕様_x0000_ῃ_x0000__x0014__x0000__x0000__x0000__x0000_"/>
      <sheetName val="車両仕様_x0000__x0000__x0000__x0000_胲䇘誹⇾"/>
      <sheetName val="車両仕様_x0000__x0000__x0000__x0000_帅_xdae2_Ǿ"/>
      <sheetName val="車両仕様_x0000_ῆ玐ῆꆠῨ"/>
      <sheetName val="Nenkei"/>
      <sheetName val="COST5"/>
      <sheetName val="2 - Summary"/>
      <sheetName val="新新粗利"/>
      <sheetName val="make up"/>
      <sheetName val="開発目標値"/>
      <sheetName val="単体ﾍﾞﾝﾁ"/>
      <sheetName val="TUNDRA"/>
      <sheetName val="MOTO"/>
      <sheetName val="Tables"/>
      <sheetName val="調達担当者(06.2～)"/>
      <sheetName val="新帳票①特設台帳(314WT0846～)"/>
      <sheetName val="ｺｽﾄｾﾝﾀｰ別設備稼働費ﾚｰﾄ算出表"/>
      <sheetName val="仕訳情報"/>
      <sheetName val="車両仕様_x005f_x005f_x005f_x0000_4?_x005f_x005f_x0000"/>
      <sheetName val="車両仕様 ???_x005f_x005f_x005f_x0012_?瞳?"/>
      <sheetName val="車両仕様?4???_x005f_x005f_x005f_x0011_??"/>
      <sheetName val="車両仕様???ꎨ_x005f_x005f_x005f_x0012_窉瞳㾐"/>
      <sheetName val="車両仕様?4??_x005f_x005f_x005f_x0011_?"/>
      <sheetName val="車両仕様4??_x005f_x005f_x005f_x0011_?"/>
      <sheetName val="PROFILE"/>
      <sheetName val="本修正_DIFF "/>
      <sheetName val="Sector Assignment"/>
      <sheetName val="Formulas"/>
      <sheetName val="車両仕様_x005f_x005f_x005f_x0000_4__x0000"/>
      <sheetName val="車両仕様4__x005f_x005f_x005f_x0000__x0011"/>
      <sheetName val="車両仕様_4____x005f_x005f_x005f_x005f_x00"/>
      <sheetName val="車両仕様 ____x005f_x005f_x005f_x005f_x001"/>
      <sheetName val="車両仕様___ꎨ_x005f_x005f_x005f_x005f_x001"/>
      <sheetName val="車両仕様_4___x005f_x005f_x005f_x005f_x001"/>
      <sheetName val="車両仕様4___x005f_x005f_x005f_x005f_x0011"/>
      <sheetName val="車両仕様 ____x005f_x005f_x005f_x005f_x005"/>
      <sheetName val="車両仕様___ꎨ_x005f_x005f_x005f_x005f_x005"/>
      <sheetName val="車両仕様_4___x005f_x005f_x005f_x005f_x005"/>
      <sheetName val="車両仕様4___x005f_x005f_x005f_x005f_x005f"/>
      <sheetName val="Sheet8"/>
      <sheetName val="sep_nov"/>
      <sheetName val="W_LBOOK"/>
      <sheetName val="3頁CE判断"/>
      <sheetName val="【グラフネタ】新表紙用"/>
      <sheetName val="ｶﾚﾝﾀﾞｰﾃｰﾌﾞﾙ"/>
      <sheetName val="FAV"/>
      <sheetName val="GPC"/>
      <sheetName val="JAH"/>
      <sheetName val="損益予算Muster"/>
      <sheetName val="名簿データ"/>
      <sheetName val="SF課"/>
      <sheetName val="PARAM"/>
      <sheetName val="損失(690Aﾍﾞｰｽ)"/>
      <sheetName val="計算DATA"/>
      <sheetName val="ROUTE"/>
      <sheetName val="１次原価"/>
      <sheetName val="車両仕様_x005f_x0000_4__x005f_x005f_x0000"/>
      <sheetName val="車両仕様4__x005f_x0000__x005f_x005f_x0011"/>
      <sheetName val="車両仕様 _x005f_x0000__"/>
      <sheetName val="車両仕様_x005f_x0000_4_"/>
      <sheetName val="車両仕様_x005f_x0000_ N"/>
      <sheetName val="車両仕様_x005f_x0000__x"/>
      <sheetName val="車両仕様 __x005f_x0012_"/>
      <sheetName val="車両仕様4__x005f_x0000_"/>
      <sheetName val="車両仕様 _x005f_x005f_x"/>
      <sheetName val="車両仕様_x005f_x005f_x0"/>
      <sheetName val="車両仕様 __x005f_x005f_"/>
      <sheetName val="車両仕様4__x005f_x005f_"/>
      <sheetName val="車両仕様_x005f_x0000_4?_x005f_x005f_x0000"/>
      <sheetName val="ass'y 12'04-05'05"/>
      <sheetName val="総市場"/>
      <sheetName val="COST"/>
      <sheetName val="EXP"/>
      <sheetName val="需給"/>
      <sheetName val="設定一覧"/>
      <sheetName val="Sheet7"/>
      <sheetName val="関税"/>
      <sheetName val="ﾋﾟﾝﾎﾞｽ応力検討"/>
      <sheetName val="YK37進度管理表"/>
      <sheetName val="選択ﾘｽﾄ"/>
      <sheetName val="諸元まとめ"/>
      <sheetName val="Ａｽﾍﾟｰｽ"/>
      <sheetName val="Budget by Category"/>
      <sheetName val="■以降不要■"/>
      <sheetName val="investment_tmc v8.0 34p"/>
      <sheetName val="Activity"/>
      <sheetName val="PTD Activity"/>
      <sheetName val="ＴＡＢＬＥ調査"/>
      <sheetName val="Price Trend"/>
      <sheetName val="Ô¼dl"/>
      <sheetName val="06-004"/>
      <sheetName val="06-003"/>
      <sheetName val="05-065 she"/>
      <sheetName val="idgr - formula"/>
      <sheetName val="IDGR (3)"/>
      <sheetName val="IDGR (2)"/>
      <sheetName val="IDGR"/>
      <sheetName val="PLIV (3)"/>
      <sheetName val="PLIV (2)"/>
      <sheetName val="LABEL"/>
      <sheetName val="PLIV (template)"/>
      <sheetName val="inv recon"/>
      <sheetName val="side member"/>
      <sheetName val="TTC (FG)"/>
      <sheetName val="Sheet1 (3)"/>
      <sheetName val="in"/>
      <sheetName val="$"/>
      <sheetName val="truck allocation"/>
      <sheetName val="Supplier Price Check"/>
      <sheetName val="$ - june"/>
      <sheetName val="Vios Cost Reduction actual prod"/>
      <sheetName val="RET PALLET"/>
      <sheetName val="Form A"/>
      <sheetName val="others"/>
      <sheetName val="NG SUMMARY"/>
      <sheetName val="impact pallet and racks"/>
      <sheetName val="Type I"/>
      <sheetName val="Schedule PM"/>
      <sheetName val="training forklift"/>
      <sheetName val="DBシート"/>
      <sheetName val="Proses_Mesin"/>
      <sheetName val="国内-採算"/>
      <sheetName val="Hoja1"/>
      <sheetName val="Daily WSD"/>
      <sheetName val="車両仕様_x005f_x0000_4?_x005f_x0000__x005f_x0011__x00"/>
      <sheetName val="車両仕様 ?_x005f_x0012_?瞳?"/>
      <sheetName val="車両仕様4?_x005f_x0000__x005f_x0011__x005f_x0000_"/>
      <sheetName val="車両仕様_x005f_x0000__x005f_x0000_毛_x005f_x0000_利_x00"/>
      <sheetName val="車両仕様_x005f_x0000_ᵣ逰ᵣ邀ᵣ郰ᵣ"/>
      <sheetName val="CAL"/>
      <sheetName val="投資比較"/>
      <sheetName val="YARIS HB"/>
      <sheetName val="設備データ基準表"/>
      <sheetName val="台当梱包費"/>
      <sheetName val="●資料一覧表"/>
      <sheetName val="Sample 1PP "/>
      <sheetName val="list"/>
      <sheetName val="supp_name"/>
      <sheetName val="データ"/>
      <sheetName val="基準"/>
      <sheetName val="選択肢"/>
      <sheetName val="PRADO 3Dr_fl"/>
      <sheetName val="top"/>
      <sheetName val="ROYALTY(RUNG)"/>
      <sheetName val="01 DATA"/>
      <sheetName val="CæÊ _x005f_x0015_ Op"/>
      <sheetName val="ƒƒCƒ“‰æ–Ê _x005f_x0015_ Op"/>
      <sheetName val="メイン画面 _x005f_x0015_ Op"/>
      <sheetName val="重量"/>
      <sheetName val="資料_700部品点数設定"/>
      <sheetName val="ｺﾝﾋﾞ"/>
      <sheetName val="Config - dspmgr"/>
      <sheetName val="車両仕様_x005f_x0000_4__x005f"/>
      <sheetName val="車両仕様4__x005f_x0000__x005f"/>
      <sheetName val="車両仕様_x005f_x0000__x005f_x0000_毛"/>
      <sheetName val="同時加工品番"/>
      <sheetName val="F4301"/>
      <sheetName val="IMV LIST 2003"/>
      <sheetName val="噴射系"/>
      <sheetName val="D1"/>
      <sheetName val="E2"/>
      <sheetName val="F1"/>
      <sheetName val="TBP350A"/>
      <sheetName val="備考コメント入力シート"/>
      <sheetName val="Open Ran"/>
      <sheetName val="Open RAN 2"/>
      <sheetName val="975ＨKD"/>
      <sheetName val="車両仕様?4_??_x00"/>
      <sheetName val="車両仕様???ꎨ_x001"/>
      <sheetName val="車両仕様?4_?_x0011__x00"/>
      <sheetName val="車両仕様4_?_x0011_?"/>
      <sheetName val="車両仕様 ??__x0012__瞳_"/>
      <sheetName val="MANPOWER"/>
      <sheetName val="②排ガス"/>
      <sheetName val="Q&amp;A確認"/>
      <sheetName val="企画P3"/>
      <sheetName val="INPUT"/>
      <sheetName val="PJ7_W2"/>
      <sheetName val="PJ7_W4"/>
      <sheetName val="PJ7_W5"/>
      <sheetName val="PJ8_W1"/>
      <sheetName val="PJ8_W2"/>
      <sheetName val="PJ8_W4"/>
      <sheetName val="PJ8_W5"/>
      <sheetName val="PJ7_W1"/>
      <sheetName val="CHIA KH"/>
      <sheetName val="国"/>
      <sheetName val="海"/>
      <sheetName val="設備"/>
      <sheetName val="Purch. BP"/>
      <sheetName val="NWEA1180(2)"/>
      <sheetName val="8214130T00-A0000ca"/>
      <sheetName val="ピストン基本径"/>
      <sheetName val="ロッカーアーム内径"/>
      <sheetName val="INTRODUCTION"/>
      <sheetName val="A-A"/>
      <sheetName val="Stock in Trade"/>
      <sheetName val="PGM登録台帳"/>
      <sheetName val="ﾍｯﾀﾞ"/>
      <sheetName val="総括BUP"/>
      <sheetName val="Production Database 399"/>
      <sheetName val="Short Plan "/>
      <sheetName val="6-11'03 - 6-11'04"/>
      <sheetName val="Invoice"/>
      <sheetName val="Packing List2"/>
      <sheetName val="Packing List"/>
      <sheetName val="納品依頼書"/>
      <sheetName val="DSO"/>
      <sheetName val="JOB_FO"/>
      <sheetName val="Investment_4x4economy"/>
      <sheetName val="Lookup1"/>
      <sheetName val="Arrivals"/>
      <sheetName val="Courier 4x2"/>
      <sheetName val="7-12'11"/>
      <sheetName val="計数"/>
      <sheetName val="__"/>
      <sheetName val="ＰＲＥ NO1"/>
      <sheetName val="月間受注"/>
      <sheetName val="実績"/>
      <sheetName val="計画立案"/>
      <sheetName val="【印刷不要】改訂履歴"/>
      <sheetName val="作業者情報"/>
      <sheetName val="PL"/>
      <sheetName val="Internal Price List"/>
      <sheetName val="T_Efficiency_Machine"/>
      <sheetName val="営業外"/>
      <sheetName val="別4-2"/>
      <sheetName val="別4-1"/>
      <sheetName val="Quality Update"/>
      <sheetName val="車両仕様_??瞳?"/>
      <sheetName val="RR_Diff__Progressive(28-Aug_(2)"/>
      <sheetName val="RR_Diff__Progressive(4-Sep-03)"/>
      <sheetName val="CHRONOLOGY_INDEX"/>
      <sheetName val="COST_REC__DISCREP_"/>
      <sheetName val="車両仕様_New02㾐"/>
      <sheetName val="車両仕様ꎨ窉瞳㾐"/>
      <sheetName val="車両仕様_"/>
      <sheetName val="MARCH-APRIL__03"/>
      <sheetName val="車両仕様_????瞳?"/>
      <sheetName val="車両仕様?4?????"/>
      <sheetName val="車両仕様?_New02㾐"/>
      <sheetName val="車両仕様???ꎨ窉瞳㾐"/>
      <sheetName val="F_Lead"/>
      <sheetName val="車両仕様?4???"/>
      <sheetName val="車両仕様4???"/>
      <sheetName val="車両仕様___瞳_"/>
      <sheetName val="車両仕様_____瞳_"/>
      <sheetName val="車両仕様_4_____"/>
      <sheetName val="車両仕様__New02㾐"/>
      <sheetName val="車両仕様___ꎨ窉瞳㾐"/>
      <sheetName val="D88D_CAL"/>
      <sheetName val="車両仕様_4___"/>
      <sheetName val="車両仕様4___"/>
      <sheetName val="Distributor_&amp;_Dealer_code"/>
      <sheetName val="T1_&amp;_T2_Code"/>
      <sheetName val="All_of_Part_list_rev_49"/>
      <sheetName val="All_of_Part_list_rev_49_(PNo)"/>
      <sheetName val="02年9月_まとめ_32βＨ"/>
      <sheetName val="ES_UX__27_40_464"/>
      <sheetName val="Part_No_"/>
      <sheetName val="Oct_Truckfest_GMAC_BC"/>
      <sheetName val="Corolla_Gas"/>
      <sheetName val="715L_Unit_Price"/>
      <sheetName val="REPUESTOS_LPA"/>
      <sheetName val="MARCH_APRIL__03"/>
      <sheetName val="MASTER_FILE"/>
      <sheetName val="RACK_(CB)new"/>
      <sheetName val="2005_TKM"/>
      <sheetName val="WIP_Cal_Sheet"/>
      <sheetName val="金型申入書ﾃﾞｰﾀ(05_7～)"/>
      <sheetName val="Datos_HHRR"/>
      <sheetName val="７月発注分_(VLOOK)"/>
      <sheetName val="DBS040_RPT_RPT"/>
      <sheetName val="Interior_Trim"/>
      <sheetName val="Plate_Bumper_(Summary)"/>
      <sheetName val="IM-P-L-JB_"/>
      <sheetName val="094W原紙_"/>
      <sheetName val="Regional_Penetration"/>
      <sheetName val="Comm_CKD"/>
      <sheetName val="FAD_Sum"/>
      <sheetName val="dongia_(2)"/>
      <sheetName val="車両仕様__x005f_x0000__x005f_x0000___x005f_x0012__瞳_"/>
      <sheetName val="車両仕様_x005f_x0000__New02㾐"/>
      <sheetName val="車両仕様_____x005f_x0012__瞳_"/>
      <sheetName val="車両仕様___x005f_x0012__瞳_"/>
      <sheetName val="GMT900_IPC"/>
      <sheetName val="Open_Ran"/>
      <sheetName val="Open_RAN_2"/>
      <sheetName val="Master_Updated(517)"/>
      <sheetName val="Supp_List"/>
      <sheetName val="ED_AND_EDOV"/>
      <sheetName val="Main_2"/>
      <sheetName val="Datasheet_from_R__Hinds"/>
      <sheetName val="Blue_Flag"/>
      <sheetName val="Calc_Sheet_Budget"/>
      <sheetName val="_PART_479W_LHD"/>
      <sheetName val="_PART_MYY5A"/>
      <sheetName val="Risk_&amp;_Opps"/>
      <sheetName val="車両仕様__x005f_x005f_x005f_x0000__x005f_x005f_x005f_x0000_"/>
      <sheetName val="車両仕様_x005f_x005f_x005f_x0000__New02㾐"/>
      <sheetName val="車両仕様___x005f_x005f_x005f_x0012__瞳_"/>
      <sheetName val="車両仕様_____x005f_x005f_x005f_x0012__瞳_"/>
      <sheetName val="車両仕様__x005f_x005f_x005f_x005f_x005f_x005f_x005f_x0000__"/>
      <sheetName val="車両仕様_x005f_x005f_x005f_x005f_x005f_x005f_x005f_x0000__N"/>
      <sheetName val="車両仕様___x005f_x005f_x005f_x005f_x005f_x005f_x005f_x0012_"/>
      <sheetName val="車両仕様_____x005f_x005f_x005f_x005f_x005f_x005f_x001"/>
      <sheetName val="Lookup_Table"/>
      <sheetName val="車両仕様4?_"/>
      <sheetName val="車両仕様_?_?瞳?"/>
      <sheetName val="車両仕様ꎨ_窉瞳㾐"/>
      <sheetName val="車両仕様?4???_??"/>
      <sheetName val="車両仕様_???_?瞳?"/>
      <sheetName val="車両仕様???ꎨ_窉瞳㾐"/>
      <sheetName val="車両仕様?4??_?"/>
      <sheetName val="車両仕様4??_?"/>
      <sheetName val="車両仕様____瞳_"/>
      <sheetName val="車両仕様______瞳_"/>
      <sheetName val="車両仕様_4______"/>
      <sheetName val="車両仕様___ꎨ_窉瞳㾐"/>
      <sheetName val="車両仕様_4____"/>
      <sheetName val="車両仕様4____"/>
      <sheetName val="車両仕様_嗼1嗼1噌1鲌"/>
      <sheetName val="車両仕様_勜+勜+匬+鲌"/>
      <sheetName val="Pricing_overview"/>
      <sheetName val="Reference_"/>
      <sheetName val="車両仕様__x005f_x0000__x005f_x0000_?_x005f_x0012_?瞳?"/>
      <sheetName val="車両仕様_???_x005f_x0012_?瞳?"/>
      <sheetName val="CHIA_KH"/>
      <sheetName val="ass'y_12'04-05'05"/>
      <sheetName val="RMBSS's_Triggered"/>
      <sheetName val="OTHERS_x620"/>
      <sheetName val="No12_營業成本表_cost1"/>
      <sheetName val="車両仕様__x005f_x005f_x005f_x005f_x005f_x005f_x005f_x005f_x"/>
      <sheetName val="車両仕様___x005f_x005f_x005f_x005f_x005f_x005f_x005f_x005f_"/>
      <sheetName val="車両仕様_____x005f_x005f_x005f_x005f_x005f_x005f_x005"/>
      <sheetName val="車両仕様__x005f_x0000__x005f_x0000_"/>
      <sheetName val="車両仕様__x005f_x005f_x005f_x0000__"/>
      <sheetName val="車両仕様_x005f_x005f_x005f_x0000__N"/>
      <sheetName val="車両仕様___x005f_x005f_x005f_x0012_"/>
      <sheetName val="車両仕様_____x005f_x005f_x001"/>
      <sheetName val="車両仕様__x005f_x005f_x005f_x005f_x"/>
      <sheetName val="車両仕様___x005f_x005f_x005f_x005f_"/>
      <sheetName val="車両仕様_____x005f_x005f_x005"/>
      <sheetName val="393_N"/>
      <sheetName val="CæÊ__Op"/>
      <sheetName val="ƒƒCƒ“‰æ–Ê__Op"/>
      <sheetName val="メイン画面__Op"/>
      <sheetName val="promo_lists_2011"/>
      <sheetName val="EquipmentTrimming_Cabin_NS"/>
      <sheetName val="160th_NPCC_Nov'10"/>
      <sheetName val="PRICE_LIST"/>
      <sheetName val="Loss_Time"/>
      <sheetName val="Price_range_IT"/>
      <sheetName val="Avensis+d_seg__in_&amp;_out_of_UK+F"/>
      <sheetName val="#ofclose__xl"/>
      <sheetName val="TOTAL_P2"/>
      <sheetName val="車両仕様__x000a_"/>
      <sheetName val="車両仕様ῃ"/>
      <sheetName val="Annexes_toutes_bases"/>
      <sheetName val="調達担当者(06_2～)"/>
      <sheetName val="Purch__BP"/>
      <sheetName val="Quality_Update"/>
      <sheetName val="色"/>
      <sheetName val="ﾒｰｶ規格材料"/>
      <sheetName val="LATEST ROYALTY"/>
      <sheetName val="工数ﾃｰﾌﾞﾙ"/>
      <sheetName val="Graph"/>
      <sheetName val="説明資料1"/>
      <sheetName val="通常申請ﾌｫｰﾏｯﾄ"/>
      <sheetName val="説明資料3"/>
      <sheetName val="余剰データ"/>
      <sheetName val="Air申請"/>
      <sheetName val="ﾉﾐﾅﾙﾊﾞﾗﾝｽ"/>
      <sheetName val="00 KS"/>
      <sheetName val="CB_CBZ"/>
      <sheetName val="Attachment-4(2)"/>
      <sheetName val="532N"/>
      <sheetName val="FS21D"/>
      <sheetName val="塗料ﾛｽ条件"/>
      <sheetName val="色ﾃｰﾌﾞﾙ"/>
      <sheetName val="面積ﾃｰﾌﾞﾙ"/>
      <sheetName val="Customer behaver"/>
      <sheetName val="Seat Assy Tool Tracking"/>
      <sheetName val="車両仕様4?_x0000__x0000_検"/>
      <sheetName val="BR (C Matrix)"/>
      <sheetName val="Prices"/>
      <sheetName val="車両仕様_x0000__x0000__x0000__x0000_帅?Ǿ"/>
      <sheetName val="車両仕様 ??_x000a_????"/>
      <sheetName val="車両仕様?ῃ?_x0014_????"/>
      <sheetName val="車両仕様????胲䇘誹⇾"/>
      <sheetName val="車両仕様????帅_xdae2_Ǿ"/>
      <sheetName val="車両仕様?ῆ玐ῆꆠῨ"/>
      <sheetName val="車両仕様4????"/>
      <sheetName val="驗証來源"/>
      <sheetName val="分析"/>
      <sheetName val="シェル台ｾﾂﾄ流し改 (2)"/>
      <sheetName val="Main"/>
      <sheetName val="車両仕様_x005f_x005f_x005f_x005f_x005f_x005f_x005f_x0000_4?"/>
      <sheetName val="車両仕様?4???_x005f_x005f_x005f_x005f_x005f_x005f_x00"/>
      <sheetName val="車両仕様 ???_x005f_x005f_x005f_x005f_x005f_x005f_x001"/>
      <sheetName val="車両仕様???ꎨ_x005f_x005f_x005f_x005f_x005f_x005f_x001"/>
      <sheetName val="車両仕様?4??_x005f_x005f_x005f_x005f_x005f_x005f_x001"/>
      <sheetName val="車両仕様4??_x005f_x005f_x005f_x005f_x005f_x005f_x0011"/>
      <sheetName val="車両仕様_x005f_x0000_4?_x005f_x0000__x005f_x0000_ _x0"/>
      <sheetName val="車両仕様 _x005f_x0000__x005f_x0000_? ?瞳?"/>
      <sheetName val="車両仕様_x005f_x0000__x005f_x0000__x005f_x0000_ꎨ 窉瞳㾐"/>
      <sheetName val=" 型  治  具  投  資   売  買  差    比  "/>
      <sheetName val="内外控支まとめ"/>
      <sheetName val="Rate"/>
      <sheetName val="台当り集計表"/>
      <sheetName val="賞与合算"/>
      <sheetName val="2_-_Summary"/>
      <sheetName val="IPOTESI_PIANO_STATICA"/>
      <sheetName val="make_up"/>
      <sheetName val="DON_GIA"/>
      <sheetName val="CHITIET_VL-NC"/>
      <sheetName val="TONGKE3p_"/>
      <sheetName val="車両仕様_???_x005f_x005f_x005f_x0012_?瞳?"/>
      <sheetName val="Hoja9"/>
      <sheetName val="SpeakerNote"/>
      <sheetName val="走行計画"/>
      <sheetName val="物性"/>
      <sheetName val="RR_Diff__Progressive(28-Aug_(21"/>
      <sheetName val="RR_Diff__Progressive(4-Sep-03)1"/>
      <sheetName val="CHRONOLOGY_INDEX1"/>
      <sheetName val="COST_REC__DISCREP_1"/>
      <sheetName val="車両仕様_1"/>
      <sheetName val="MARCH-APRIL__031"/>
      <sheetName val="車両仕様?_New02㾐1"/>
      <sheetName val="F_Lead1"/>
      <sheetName val="D88D_CAL1"/>
      <sheetName val="車両仕様__New02㾐1"/>
      <sheetName val="715L_Unit_Price1"/>
      <sheetName val="Distributor_&amp;_Dealer_code1"/>
      <sheetName val="T1_&amp;_T2_Code1"/>
      <sheetName val="All_of_Part_list_rev_491"/>
      <sheetName val="All_of_Part_list_rev_49_(PNo)1"/>
      <sheetName val="Oct_Truckfest_GMAC_BC1"/>
      <sheetName val="REPUESTOS_LPA1"/>
      <sheetName val="Corolla_Gas1"/>
      <sheetName val="02年9月_まとめ_32βＨ1"/>
      <sheetName val="ES_UX__27_40_4641"/>
      <sheetName val="Part_No_1"/>
      <sheetName val="RACK_(CB)new1"/>
      <sheetName val="MARCH_APRIL__031"/>
      <sheetName val="MASTER_FILE1"/>
      <sheetName val="2005_TKM1"/>
      <sheetName val="Comm_CKD1"/>
      <sheetName val="Datos_HHRR1"/>
      <sheetName val="７月発注分_(VLOOK)1"/>
      <sheetName val="DBS040_RPT_RPT1"/>
      <sheetName val="094W原紙_1"/>
      <sheetName val="Regional_Penetration1"/>
      <sheetName val="Interior_Trim1"/>
      <sheetName val="FAD_Sum1"/>
      <sheetName val="Plate_Bumper_(Summary)1"/>
      <sheetName val="dongia_(2)1"/>
      <sheetName val="Main_21"/>
      <sheetName val="Datasheet_from_R__Hinds1"/>
      <sheetName val="金型申入書ﾃﾞｰﾀ(05_7～)1"/>
      <sheetName val="Master_Updated(517)1"/>
      <sheetName val="車両仕様__x005f_x0000__x005f_x0000___x005f_x0012__瞳_1"/>
      <sheetName val="車両仕様_x005f_x0000__New02㾐1"/>
      <sheetName val="車両仕様_____x005f_x0012__瞳_1"/>
      <sheetName val="車両仕様___x005f_x0012__瞳_1"/>
      <sheetName val="IM-P-L-JB_1"/>
      <sheetName val="GMT900_IPC1"/>
      <sheetName val="WIP_Cal_Sheet1"/>
      <sheetName val="Supp_List1"/>
      <sheetName val="Risk_&amp;_Opps1"/>
      <sheetName val="車両仕様?4???_??1"/>
      <sheetName val="車両仕様_???_?瞳?1"/>
      <sheetName val="車両仕様???ꎨ_窉瞳㾐1"/>
      <sheetName val="車両仕様?4??_?1"/>
      <sheetName val="車両仕様4??_?1"/>
      <sheetName val="車両仕様____瞳_1"/>
      <sheetName val="車両仕様______瞳_1"/>
      <sheetName val="車両仕様_4______1"/>
      <sheetName val="車両仕様___ꎨ_窉瞳㾐1"/>
      <sheetName val="車両仕様_4____1"/>
      <sheetName val="車両仕様4____1"/>
      <sheetName val="車両仕様_嗼1嗼1噌1鲌1"/>
      <sheetName val="車両仕様_勜+勜+匬+鲌1"/>
      <sheetName val="_PART_479W_LHD1"/>
      <sheetName val="_PART_MYY5A1"/>
      <sheetName val="Pricing_overview1"/>
      <sheetName val="ED_AND_EDOV1"/>
      <sheetName val="Reference_1"/>
      <sheetName val="車両仕様__x005f_x0000__x005f_x0000_?_x005f_x0012_?瞳?1"/>
      <sheetName val="車両仕様_???_x005f_x0012_?瞳?1"/>
      <sheetName val="Lookup_Table1"/>
      <sheetName val="車両仕様__x005f_x005f_x005f_x0000__x005f_x005f_x00001"/>
      <sheetName val="車両仕様_x005f_x005f_x005f_x0000__New02㾐1"/>
      <sheetName val="車両仕様___x005f_x005f_x005f_x0012__瞳_1"/>
      <sheetName val="車両仕様_____x005f_x005f_x005f_x0012__瞳_1"/>
      <sheetName val="車両仕様__x005f_x005f_x005f_x005f_x005f_x005f_x005f_x0000_1"/>
      <sheetName val="車両仕様_x005f_x005f_x005f_x005f_x005f_x005f_x005f_x0000__1"/>
      <sheetName val="車両仕様___x005f_x005f_x005f_x005f_x005f_x005f_x00121"/>
      <sheetName val="車両仕様_____x005f_x005f_x005f_x005f_x005f_x005f_x002"/>
      <sheetName val="Blue_Flag1"/>
      <sheetName val="Calc_Sheet_Budget1"/>
      <sheetName val="ass'y_12'04-05'051"/>
      <sheetName val="RMBSS's_Triggered1"/>
      <sheetName val="OTHERS_x6201"/>
      <sheetName val="No12_營業成本表_cost11"/>
      <sheetName val="車両仕様__x005f_x005f_x005f_x005f_x005f_x005f_x005f_x005f_1"/>
      <sheetName val="車両仕様___x005f_x005f_x005f_x005f_x005f_x005f_x005f1"/>
      <sheetName val="車両仕様_____x005f_x005f_x005f_x005f_x005f_x005f_x003"/>
      <sheetName val="車両仕様__x005f_x0000__x005f_x0000_1"/>
      <sheetName val="車両仕様__x005f_x005f_x005f_x0000__1"/>
      <sheetName val="車両仕様_x005f_x005f_x005f_x0000__N1"/>
      <sheetName val="車両仕様___x005f_x005f_x005f_x0012_1"/>
      <sheetName val="車両仕様_____x005f_x005f_x0011"/>
      <sheetName val="車両仕様__x005f_x005f_x005f_x005f_x1"/>
      <sheetName val="車両仕様___x005f_x005f_x005f_x005f_1"/>
      <sheetName val="車両仕様_____x005f_x005f_x0051"/>
      <sheetName val="393_N1"/>
      <sheetName val="promo_lists_20111"/>
      <sheetName val="EquipmentTrimming_Cabin_NS1"/>
      <sheetName val="車両仕様_New02㾐1"/>
      <sheetName val="Open_Ran1"/>
      <sheetName val="Open_RAN_21"/>
      <sheetName val="CHIA_KH1"/>
      <sheetName val="160th_NPCC_Nov'101"/>
      <sheetName val="PRICE_LIST1"/>
      <sheetName val="Loss_Time1"/>
      <sheetName val="Price_range_IT1"/>
      <sheetName val="Avensis+d_seg__in_&amp;_out_of_UK+1"/>
      <sheetName val="#ofclose__xl1"/>
      <sheetName val="TOTAL_P21"/>
      <sheetName val="Annexes_toutes_bases1"/>
      <sheetName val="調達担当者(06_2～)1"/>
      <sheetName val="Purch__BP1"/>
      <sheetName val="Quality_Update1"/>
      <sheetName val="車両仕様_____x005f_x005f_x005f_x005f_x001"/>
      <sheetName val="車両仕様_____x005f_x005f_x005f_x005f_x005"/>
      <sheetName val="車両仕様_x0000_4__x0000"/>
      <sheetName val="車両仕様4__x0000__x0011"/>
      <sheetName val="車両仕様_x0000_4?_x0000__x0000__x00"/>
      <sheetName val="車両仕様 _x0000__"/>
      <sheetName val="車両仕様_x0000_ N"/>
      <sheetName val="車両仕様_x0000__x"/>
      <sheetName val="車両仕様 __x0012_"/>
      <sheetName val="車両仕様_4____x00"/>
      <sheetName val="車両仕様 ____x001"/>
      <sheetName val="車両仕様___ꎨ_x001"/>
      <sheetName val="車両仕様_4___x001"/>
      <sheetName val="車両仕様4___x0011"/>
      <sheetName val="車両仕様 ____x005"/>
      <sheetName val="車両仕様___ꎨ_x005"/>
      <sheetName val="車両仕様_4___x005"/>
      <sheetName val="車両仕様4___x005f"/>
      <sheetName val="車両仕様 _x"/>
      <sheetName val="車両仕様_x0"/>
      <sheetName val="車両仕様 __"/>
      <sheetName val="車両仕様4__"/>
      <sheetName val="フォーム2"/>
      <sheetName val="フォーム1"/>
      <sheetName val="ＳＱＬ"/>
      <sheetName val="T_ＣＡＤ情報"/>
      <sheetName val="T_チューブ所要量"/>
      <sheetName val="T_原価"/>
      <sheetName val="T_工数"/>
      <sheetName val="T_見積品番"/>
      <sheetName val="T_見積実績"/>
      <sheetName val="T_賃率"/>
      <sheetName val="T_賃率係数"/>
      <sheetName val="T_部品所要量"/>
      <sheetName val="T_部品管理"/>
      <sheetName val="T_銅ベース"/>
      <sheetName val="T_電線所要量"/>
      <sheetName val="基本枠"/>
      <sheetName val="画面チューブ"/>
      <sheetName val="画面チューブ計"/>
      <sheetName val="画面加工"/>
      <sheetName val="画面総括"/>
      <sheetName val="画面要求"/>
      <sheetName val="画面部品"/>
      <sheetName val="画面部品計"/>
      <sheetName val="画面電線"/>
      <sheetName val="画面電線計"/>
      <sheetName val="車両仕様_x0000_4?_x0000__x0011__x00"/>
      <sheetName val="部品構成82111"/>
      <sheetName val="KLUGER"/>
      <sheetName val="IPSAION"/>
      <sheetName val="315W"/>
      <sheetName val="LAPIN_AERIO"/>
      <sheetName val="ALTO_YN3"/>
      <sheetName val="VIOS"/>
      <sheetName val="ISIS"/>
      <sheetName val="導通"/>
      <sheetName val="FBリスト"/>
      <sheetName val="金日FJK0508"/>
      <sheetName val="最新基準単価 "/>
      <sheetName val="金日HZR0505"/>
      <sheetName val="T_入出庫F"/>
      <sheetName val="T_入出庫F詳細"/>
      <sheetName val="W_基本枠"/>
      <sheetName val="画面"/>
      <sheetName val="部門ﾏｽﾀｰ"/>
      <sheetName val="月次データ"/>
      <sheetName val="月度内示データa"/>
      <sheetName val="３発デ－タ"/>
      <sheetName val="PS(UC)"/>
      <sheetName val="prior data"/>
      <sheetName val="選定一覧"/>
      <sheetName val="ListWork"/>
      <sheetName val="パラメータ設定表"/>
      <sheetName val="分类数据"/>
      <sheetName val="集計"/>
      <sheetName val="用語集"/>
      <sheetName val="【参考】AD計算"/>
      <sheetName val="階層一覧"/>
      <sheetName val="リスト"/>
      <sheetName val="市販STD Mecha（PTM)"/>
      <sheetName val="Table Master"/>
      <sheetName val="N(02a)"/>
      <sheetName val="Volume-Sales"/>
      <sheetName val="Calculation PS"/>
      <sheetName val="車両仕様?4_?_x00"/>
      <sheetName val="車両仕様4_??"/>
      <sheetName val="車両仕様_??__瞳_"/>
      <sheetName val="DON_GIA1"/>
      <sheetName val="CHITIET_VL-NC1"/>
      <sheetName val="TONGKE3p_1"/>
      <sheetName val="車両仕様_???_x005f_x005f_x005f_x0012_?瞳?1"/>
      <sheetName val="車両仕様_____x005f_x005f_x005f_x005f_x0011"/>
      <sheetName val="車両仕様_____x005f_x005f_x005f_x005f_x0051"/>
      <sheetName val="2_-_Summary1"/>
      <sheetName val="IPOTESI_PIANO_STATICA1"/>
      <sheetName val="make_up1"/>
      <sheetName val="車両仕様__x005f_x0000__"/>
      <sheetName val="車両仕様_x005f_x0000__N"/>
      <sheetName val="車両仕様___x005f_x0012_"/>
      <sheetName val="車両仕様__x005f_x005f_x"/>
      <sheetName val="車両仕様___x005f_x005f_"/>
      <sheetName val="車両仕様_?_x005f_x0012_?瞳?"/>
      <sheetName val="Budget_by_Category"/>
      <sheetName val="investment_tmc_v8_0_34p"/>
      <sheetName val="Daily_WSD"/>
      <sheetName val="PTD_Activity"/>
      <sheetName val="Price_Trend"/>
      <sheetName val="YARIS_HB"/>
      <sheetName val="05-065_she"/>
      <sheetName val="idgr_-_formula"/>
      <sheetName val="IDGR_(3)"/>
      <sheetName val="IDGR_(2)"/>
      <sheetName val="PLIV_(3)"/>
      <sheetName val="PLIV_(2)"/>
      <sheetName val="PLIV_(template)"/>
      <sheetName val="inv_recon"/>
      <sheetName val="side_member"/>
      <sheetName val="TTC_(FG)"/>
      <sheetName val="Sheet1_(3)"/>
      <sheetName val="truck_allocation"/>
      <sheetName val="Supplier_Price_Check"/>
      <sheetName val="$_-_june"/>
      <sheetName val="Vios_Cost_Reduction_actual_prod"/>
      <sheetName val="RET_PALLET"/>
      <sheetName val="Form_A"/>
      <sheetName val="NG_SUMMARY"/>
      <sheetName val="impact_pallet_and_racks"/>
      <sheetName val="Type_I"/>
      <sheetName val="Schedule_PM"/>
      <sheetName val="training_forklift"/>
      <sheetName val="Sample_1PP_"/>
      <sheetName val="PRADO_3Dr_fl"/>
      <sheetName val="01_DATA"/>
      <sheetName val="RR_Diff__Progressive(28-Aug_(22"/>
      <sheetName val="RR_Diff__Progressive(4-Sep-03)2"/>
      <sheetName val="CHRONOLOGY_INDEX2"/>
      <sheetName val="COST_REC__DISCREP_2"/>
      <sheetName val="車両仕様_2"/>
      <sheetName val="MARCH-APRIL__032"/>
      <sheetName val="車両仕様_New02㾐2"/>
      <sheetName val="車両仕様?_New02㾐2"/>
      <sheetName val="車両仕様__New02㾐2"/>
      <sheetName val="F_Lead2"/>
      <sheetName val="Distributor_&amp;_Dealer_code2"/>
      <sheetName val="T1_&amp;_T2_Code2"/>
      <sheetName val="All_of_Part_list_rev_492"/>
      <sheetName val="All_of_Part_list_rev_49_(PNo)2"/>
      <sheetName val="D88D_CAL2"/>
      <sheetName val="02年9月_まとめ_32βＨ2"/>
      <sheetName val="715L_Unit_Price2"/>
      <sheetName val="Oct_Truckfest_GMAC_BC2"/>
      <sheetName val="Corolla_Gas2"/>
      <sheetName val="REPUESTOS_LPA2"/>
      <sheetName val="MARCH_APRIL__032"/>
      <sheetName val="MASTER_FILE2"/>
      <sheetName val="７月発注分_(VLOOK)2"/>
      <sheetName val="DBS040_RPT_RPT2"/>
      <sheetName val="ES_UX__27_40_4642"/>
      <sheetName val="Part_No_2"/>
      <sheetName val="RACK_(CB)new2"/>
      <sheetName val="Plate_Bumper_(Summary)2"/>
      <sheetName val="Interior_Trim2"/>
      <sheetName val="FAD_Sum2"/>
      <sheetName val="2005_TKM2"/>
      <sheetName val="Comm_CKD2"/>
      <sheetName val="Datos_HHRR2"/>
      <sheetName val="094W原紙_2"/>
      <sheetName val="Regional_Penetration2"/>
      <sheetName val="車両仕様__x005f_x0000__x005f_x0000___x005f_x0012__瞳_2"/>
      <sheetName val="車両仕様_x005f_x0000__New02㾐2"/>
      <sheetName val="車両仕様_____x005f_x0012__瞳_2"/>
      <sheetName val="車両仕様___x005f_x0012__瞳_2"/>
      <sheetName val="Supp_List2"/>
      <sheetName val="dongia_(2)2"/>
      <sheetName val="Risk_&amp;_Opps2"/>
      <sheetName val="車両仕様_嗼1嗼1噌1鲌2"/>
      <sheetName val="車両仕様_勜+勜+匬+鲌2"/>
      <sheetName val="_PART_479W_LHD2"/>
      <sheetName val="_PART_MYY5A2"/>
      <sheetName val="金型申入書ﾃﾞｰﾀ(05_7～)2"/>
      <sheetName val="Master_Updated(517)2"/>
      <sheetName val="Main_22"/>
      <sheetName val="Datasheet_from_R__Hinds2"/>
      <sheetName val="EquipmentTrimming_Cabin_NS2"/>
      <sheetName val="車両仕様__x005f_x005f_x005f_x0000__x005f_x005f_x00002"/>
      <sheetName val="車両仕様_x005f_x005f_x005f_x0000__New02㾐2"/>
      <sheetName val="車両仕様___x005f_x005f_x005f_x0012__瞳_2"/>
      <sheetName val="車両仕様_____x005f_x005f_x005f_x0012__瞳_2"/>
      <sheetName val="車両仕様__x005f_x005f_x005f_x005f_x005f_x005f_x005f_x0000_2"/>
      <sheetName val="車両仕様_x005f_x005f_x005f_x005f_x005f_x005f_x005f_x0000__2"/>
      <sheetName val="車両仕様___x005f_x005f_x005f_x005f_x005f_x005f_x00122"/>
      <sheetName val="車両仕様_____x005f_x005f_x005f_x005f_x005f_x005f_x004"/>
      <sheetName val="ED_AND_EDOV2"/>
      <sheetName val="Blue_Flag2"/>
      <sheetName val="Calc_Sheet_Budget2"/>
      <sheetName val="IM-P-L-JB_2"/>
      <sheetName val="GMT900_IPC2"/>
      <sheetName val="WIP_Cal_Sheet2"/>
      <sheetName val="Pricing_overview2"/>
      <sheetName val="promo_lists_20112"/>
      <sheetName val="Lookup_Table2"/>
      <sheetName val="393_N2"/>
      <sheetName val="RMBSS's_Triggered2"/>
      <sheetName val="160th_NPCC_Nov'102"/>
      <sheetName val="PRICE_LIST2"/>
      <sheetName val="車両仕様?4???_??2"/>
      <sheetName val="車両仕様_???_?瞳?2"/>
      <sheetName val="車両仕様???ꎨ_窉瞳㾐2"/>
      <sheetName val="車両仕様?4??_?2"/>
      <sheetName val="車両仕様4??_?2"/>
      <sheetName val="車両仕様____瞳_2"/>
      <sheetName val="車両仕様______瞳_2"/>
      <sheetName val="車両仕様_4______2"/>
      <sheetName val="車両仕様___ꎨ_窉瞳㾐2"/>
      <sheetName val="車両仕様_4____2"/>
      <sheetName val="車両仕様4____2"/>
      <sheetName val="Reference_2"/>
      <sheetName val="車両仕様__x005f_x0000__x005f_x0000_?_x005f_x0012_?瞳?2"/>
      <sheetName val="車両仕様_???_x005f_x0012_?瞳?2"/>
      <sheetName val="Loss_Time2"/>
      <sheetName val="Price_range_IT2"/>
      <sheetName val="Avensis+d_seg__in_&amp;_out_of_UK+2"/>
      <sheetName val="#ofclose__xl2"/>
      <sheetName val="No12_營業成本表_cost12"/>
      <sheetName val="OTHERS_x6202"/>
      <sheetName val="TOTAL_P22"/>
      <sheetName val="Annexes_toutes_bases2"/>
      <sheetName val="車両仕様__x005f_x005f_x005f_x005f_x005f_x005f_x005f_x005f_2"/>
      <sheetName val="車両仕様___x005f_x005f_x005f_x005f_x005f_x005f_x005f2"/>
      <sheetName val="車両仕様_____x005f_x005f_x005f_x005f_x005f_x005f_x006"/>
      <sheetName val="車両仕様__x005f_x0000__x005f_x0000_2"/>
      <sheetName val="車両仕様__x005f_x005f_x005f_x0000__2"/>
      <sheetName val="車両仕様_x005f_x005f_x005f_x0000__N2"/>
      <sheetName val="車両仕様___x005f_x005f_x005f_x0012_2"/>
      <sheetName val="車両仕様_____x005f_x005f_x0012"/>
      <sheetName val="車両仕様__x005f_x005f_x005f_x005f_x2"/>
      <sheetName val="車両仕様___x005f_x005f_x005f_x005f_2"/>
      <sheetName val="車両仕様_____x005f_x005f_x0052"/>
      <sheetName val="ass'y_12'04-05'052"/>
      <sheetName val="Open_Ran2"/>
      <sheetName val="Open_RAN_22"/>
      <sheetName val="DON_GIA2"/>
      <sheetName val="CHITIET_VL-NC2"/>
      <sheetName val="TONGKE3p_2"/>
      <sheetName val="車両仕様_???_x005f_x005f_x005f_x0012_?瞳?2"/>
      <sheetName val="車両仕様_____x005f_x005f_x005f_x005f_x0012"/>
      <sheetName val="車両仕様_____x005f_x005f_x005f_x005f_x0052"/>
      <sheetName val="調達担当者(06_2～)2"/>
      <sheetName val="2_-_Summary2"/>
      <sheetName val="IPOTESI_PIANO_STATICA2"/>
      <sheetName val="make_up2"/>
      <sheetName val="車両仕様__x005f_x0000__1"/>
      <sheetName val="車両仕様_x005f_x0000__N1"/>
      <sheetName val="車両仕様___x005f_x0012_1"/>
      <sheetName val="車両仕様__x005f_x005f_x1"/>
      <sheetName val="車両仕様___x005f_x005f_1"/>
      <sheetName val="車両仕様_?_x005f_x0012_?瞳?1"/>
      <sheetName val="Budget_by_Category1"/>
      <sheetName val="investment_tmc_v8_0_34p1"/>
      <sheetName val="Daily_WSD1"/>
      <sheetName val="PTD_Activity1"/>
      <sheetName val="Price_Trend1"/>
      <sheetName val="YARIS_HB1"/>
      <sheetName val="05-065_she1"/>
      <sheetName val="idgr_-_formula1"/>
      <sheetName val="IDGR_(3)1"/>
      <sheetName val="IDGR_(2)1"/>
      <sheetName val="PLIV_(3)1"/>
      <sheetName val="PLIV_(2)1"/>
      <sheetName val="PLIV_(template)1"/>
      <sheetName val="inv_recon1"/>
      <sheetName val="side_member1"/>
      <sheetName val="TTC_(FG)1"/>
      <sheetName val="Sheet1_(3)1"/>
      <sheetName val="truck_allocation1"/>
      <sheetName val="Supplier_Price_Check1"/>
      <sheetName val="$_-_june1"/>
      <sheetName val="Vios_Cost_Reduction_actual_pro1"/>
      <sheetName val="RET_PALLET1"/>
      <sheetName val="Form_A1"/>
      <sheetName val="NG_SUMMARY1"/>
      <sheetName val="impact_pallet_and_racks1"/>
      <sheetName val="Type_I1"/>
      <sheetName val="Schedule_PM1"/>
      <sheetName val="training_forklift1"/>
      <sheetName val="Sample_1PP_1"/>
      <sheetName val="PRADO_3Dr_fl1"/>
      <sheetName val="01_DATA1"/>
      <sheetName val="Menu"/>
      <sheetName val="Query2"/>
      <sheetName val="Lban"/>
      <sheetName val="車両仕様_x005f_x0000_4__x005f_x0000__x005f_x0000_ _x0"/>
      <sheetName val="車両仕様 _x005f_x0000__x005f_x0000__ _瞳_"/>
      <sheetName val="TN7"/>
      <sheetName val="Macro1"/>
      <sheetName val="resumen"/>
      <sheetName val="残業推移"/>
      <sheetName val="上郷計画"/>
      <sheetName val="P0103"/>
      <sheetName val="Catalog"/>
      <sheetName val="IBASE"/>
      <sheetName val="BQ CONVEYOR"/>
      <sheetName val="Joko"/>
      <sheetName val="L400"/>
      <sheetName val="PDS_BK"/>
      <sheetName val="XXXX"/>
      <sheetName val="Etudes"/>
      <sheetName val="Toggle Duplicate Highlighting"/>
      <sheetName val="UNIDADESHS02MY"/>
      <sheetName val="038W本革"/>
      <sheetName val="Plan"/>
      <sheetName val="前工程の能率実績(NS)"/>
      <sheetName val="E3"/>
      <sheetName val="基準TBL"/>
      <sheetName val="見出し"/>
      <sheetName val="ＶＡＦ"/>
      <sheetName val="SH_CARLINE"/>
      <sheetName val="SH_ENTITY"/>
      <sheetName val="SH_ICP"/>
      <sheetName val="SH_MAKER"/>
      <sheetName val="SH_PRODUCTS"/>
      <sheetName val="SH_PROFILE"/>
      <sheetName val="4.5.6 大日程"/>
      <sheetName val="部品リスト"/>
      <sheetName val=" D2"/>
      <sheetName val="PHỤ KIỆN HỦY"/>
      <sheetName val="Sập khóa"/>
      <sheetName val="成形総括表"/>
      <sheetName val="Wyatt"/>
      <sheetName val="Table-Ratio"/>
      <sheetName val="deta"/>
      <sheetName val="Sensitivity"/>
      <sheetName val="9月度"/>
      <sheetName val="【参考】 大中トラ"/>
      <sheetName val="【参考】 小トラ"/>
      <sheetName val="基準ｲﾝﾌﾟｯﾄ"/>
      <sheetName val="Part list"/>
      <sheetName val="車両仕様 _x005f_x005f_x005f_x005F_x005f_x0000__"/>
      <sheetName val="車両仕様_x005f_x005f_x005f_x005F_x005f_x0000_4_"/>
      <sheetName val="車両仕様_x005f_x005f_x005f_x005F_x005f_x0000_ N"/>
      <sheetName val="車両仕様_x005f_x005f_x005f_x005F_x005f_x0000__x"/>
      <sheetName val="車両仕様 __x005f_x005f_x005f_x005F_x005f_x0012_"/>
      <sheetName val="車両仕様4__x005f_x005f_x005f_x005F_x005f_x0000_"/>
      <sheetName val="車両仕様 _x005f_x005f_x005f_x005F_x005f_x005f_x"/>
      <sheetName val="車両仕様_x005f_x005f_x005f_x005F_x005f_x005f_x0"/>
      <sheetName val="車両仕様 __x005f_x005f_x005f_x005F_x005f_x005f_"/>
      <sheetName val="車両仕様4__x005f_x005f_x005f_x005F_x005f_x005f_"/>
      <sheetName val="营业费用"/>
      <sheetName val="SLIP"/>
      <sheetName val="Inc Statement"/>
      <sheetName val="PAGE3"/>
      <sheetName val="Steuerung"/>
      <sheetName val="SUM"/>
      <sheetName val="ﾄﾗｯｸ"/>
      <sheetName val="00"/>
    </sheetNames>
    <sheetDataSet>
      <sheetData sheetId="0" refreshError="1"/>
      <sheetData sheetId="1" refreshError="1"/>
      <sheetData sheetId="2" refreshError="1"/>
      <sheetData sheetId="3">
        <row r="1">
          <cell r="B1" t="str">
            <v>1</v>
          </cell>
        </row>
      </sheetData>
      <sheetData sheetId="4">
        <row r="1">
          <cell r="B1" t="str">
            <v>1</v>
          </cell>
        </row>
      </sheetData>
      <sheetData sheetId="5">
        <row r="1">
          <cell r="B1" t="str">
            <v>1</v>
          </cell>
        </row>
      </sheetData>
      <sheetData sheetId="6">
        <row r="1">
          <cell r="B1" t="str">
            <v>1</v>
          </cell>
        </row>
      </sheetData>
      <sheetData sheetId="7">
        <row r="1">
          <cell r="B1" t="str">
            <v>1</v>
          </cell>
        </row>
      </sheetData>
      <sheetData sheetId="8">
        <row r="1">
          <cell r="B1" t="str">
            <v>1</v>
          </cell>
        </row>
      </sheetData>
      <sheetData sheetId="9">
        <row r="1">
          <cell r="B1" t="str">
            <v>1</v>
          </cell>
        </row>
      </sheetData>
      <sheetData sheetId="10">
        <row r="1">
          <cell r="B1" t="str">
            <v>1</v>
          </cell>
        </row>
      </sheetData>
      <sheetData sheetId="11">
        <row r="1">
          <cell r="B1" t="str">
            <v>1</v>
          </cell>
        </row>
      </sheetData>
      <sheetData sheetId="12">
        <row r="1">
          <cell r="B1" t="str">
            <v>1</v>
          </cell>
        </row>
      </sheetData>
      <sheetData sheetId="13">
        <row r="1">
          <cell r="B1" t="str">
            <v>1</v>
          </cell>
        </row>
      </sheetData>
      <sheetData sheetId="14">
        <row r="1">
          <cell r="B1" t="str">
            <v>1</v>
          </cell>
        </row>
      </sheetData>
      <sheetData sheetId="15">
        <row r="1">
          <cell r="B1" t="str">
            <v>1</v>
          </cell>
        </row>
      </sheetData>
      <sheetData sheetId="16">
        <row r="1">
          <cell r="B1" t="str">
            <v>1</v>
          </cell>
        </row>
      </sheetData>
      <sheetData sheetId="17">
        <row r="1">
          <cell r="B1" t="str">
            <v>1</v>
          </cell>
        </row>
      </sheetData>
      <sheetData sheetId="18">
        <row r="1">
          <cell r="B1" t="str">
            <v>1</v>
          </cell>
        </row>
      </sheetData>
      <sheetData sheetId="19">
        <row r="1">
          <cell r="B1" t="str">
            <v>1</v>
          </cell>
        </row>
      </sheetData>
      <sheetData sheetId="20">
        <row r="1">
          <cell r="B1" t="str">
            <v>1</v>
          </cell>
        </row>
      </sheetData>
      <sheetData sheetId="21">
        <row r="1">
          <cell r="B1" t="str">
            <v>1</v>
          </cell>
        </row>
      </sheetData>
      <sheetData sheetId="22">
        <row r="1">
          <cell r="B1" t="str">
            <v>1</v>
          </cell>
        </row>
      </sheetData>
      <sheetData sheetId="23">
        <row r="1">
          <cell r="B1" t="str">
            <v>1</v>
          </cell>
        </row>
      </sheetData>
      <sheetData sheetId="24">
        <row r="1">
          <cell r="B1" t="str">
            <v>1</v>
          </cell>
        </row>
      </sheetData>
      <sheetData sheetId="25" refreshError="1"/>
      <sheetData sheetId="26" refreshError="1"/>
      <sheetData sheetId="27">
        <row r="1">
          <cell r="B1" t="str">
            <v>1</v>
          </cell>
        </row>
      </sheetData>
      <sheetData sheetId="28">
        <row r="1">
          <cell r="B1" t="str">
            <v>1</v>
          </cell>
        </row>
      </sheetData>
      <sheetData sheetId="29">
        <row r="1">
          <cell r="B1" t="str">
            <v>1</v>
          </cell>
        </row>
      </sheetData>
      <sheetData sheetId="30">
        <row r="1">
          <cell r="B1" t="str">
            <v>1</v>
          </cell>
        </row>
      </sheetData>
      <sheetData sheetId="31">
        <row r="1">
          <cell r="B1" t="str">
            <v>1</v>
          </cell>
        </row>
      </sheetData>
      <sheetData sheetId="32">
        <row r="1">
          <cell r="B1" t="str">
            <v>1</v>
          </cell>
        </row>
      </sheetData>
      <sheetData sheetId="33">
        <row r="1">
          <cell r="B1" t="str">
            <v>1</v>
          </cell>
        </row>
      </sheetData>
      <sheetData sheetId="34" refreshError="1"/>
      <sheetData sheetId="35" refreshError="1"/>
      <sheetData sheetId="36" refreshError="1"/>
      <sheetData sheetId="37" refreshError="1"/>
      <sheetData sheetId="38" refreshError="1"/>
      <sheetData sheetId="39" refreshError="1"/>
      <sheetData sheetId="40" refreshError="1"/>
      <sheetData sheetId="41">
        <row r="1">
          <cell r="B1" t="str">
            <v>1</v>
          </cell>
        </row>
      </sheetData>
      <sheetData sheetId="42">
        <row r="1">
          <cell r="B1" t="str">
            <v>1</v>
          </cell>
        </row>
      </sheetData>
      <sheetData sheetId="43">
        <row r="1">
          <cell r="B1" t="str">
            <v>1</v>
          </cell>
        </row>
      </sheetData>
      <sheetData sheetId="44">
        <row r="1">
          <cell r="B1" t="str">
            <v>1</v>
          </cell>
        </row>
      </sheetData>
      <sheetData sheetId="45">
        <row r="1">
          <cell r="B1" t="str">
            <v>1</v>
          </cell>
        </row>
      </sheetData>
      <sheetData sheetId="46">
        <row r="1">
          <cell r="B1" t="str">
            <v>1</v>
          </cell>
        </row>
      </sheetData>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ow r="1">
          <cell r="B1" t="str">
            <v>1</v>
          </cell>
        </row>
      </sheetData>
      <sheetData sheetId="62">
        <row r="1">
          <cell r="B1" t="str">
            <v>1</v>
          </cell>
        </row>
      </sheetData>
      <sheetData sheetId="63">
        <row r="1">
          <cell r="B1" t="str">
            <v>1</v>
          </cell>
        </row>
      </sheetData>
      <sheetData sheetId="64">
        <row r="1">
          <cell r="B1" t="str">
            <v>1</v>
          </cell>
        </row>
      </sheetData>
      <sheetData sheetId="65" refreshError="1"/>
      <sheetData sheetId="66" refreshError="1"/>
      <sheetData sheetId="67" refreshError="1"/>
      <sheetData sheetId="68" refreshError="1"/>
      <sheetData sheetId="69">
        <row r="1">
          <cell r="B1" t="str">
            <v>1</v>
          </cell>
        </row>
      </sheetData>
      <sheetData sheetId="70"/>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ow r="1">
          <cell r="B1" t="str">
            <v>1</v>
          </cell>
        </row>
      </sheetData>
      <sheetData sheetId="308">
        <row r="1">
          <cell r="B1" t="str">
            <v>1</v>
          </cell>
        </row>
      </sheetData>
      <sheetData sheetId="309"/>
      <sheetData sheetId="310"/>
      <sheetData sheetId="31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ow r="3">
          <cell r="B3" t="str">
            <v>TOYOTA   TSUSHO  PHILIPPINES CORPORATION</v>
          </cell>
        </row>
      </sheetData>
      <sheetData sheetId="362">
        <row r="3">
          <cell r="B3" t="str">
            <v>TOYOTA   TSUSHO  PHILIPPINES CORPORATION</v>
          </cell>
        </row>
      </sheetData>
      <sheetData sheetId="363">
        <row r="3">
          <cell r="B3" t="str">
            <v>TOYOTA   TSUSHO  PHILIPPINES CORPORATION</v>
          </cell>
        </row>
      </sheetData>
      <sheetData sheetId="364">
        <row r="3">
          <cell r="B3" t="str">
            <v>TOYOTA   TSUSHO  PHILIPPINES CORPORATION</v>
          </cell>
        </row>
      </sheetData>
      <sheetData sheetId="365">
        <row r="3">
          <cell r="B3" t="str">
            <v>TOYOTA   TSUSHO  PHILIPPINES CORPORATION</v>
          </cell>
        </row>
      </sheetData>
      <sheetData sheetId="366"/>
      <sheetData sheetId="367"/>
      <sheetData sheetId="368"/>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ow r="3">
          <cell r="B3" t="str">
            <v>TOYOTA   TSUSHO  PHILIPPINES CORPORATION</v>
          </cell>
        </row>
      </sheetData>
      <sheetData sheetId="482">
        <row r="3">
          <cell r="B3" t="str">
            <v>TOYOTA   TSUSHO  PHILIPPINES CORPORATION</v>
          </cell>
        </row>
      </sheetData>
      <sheetData sheetId="483">
        <row r="3">
          <cell r="B3" t="str">
            <v>TOYOTA   TSUSHO  PHILIPPINES CORPORATION</v>
          </cell>
        </row>
      </sheetData>
      <sheetData sheetId="484">
        <row r="3">
          <cell r="B3" t="str">
            <v>TOYOTA   TSUSHO  PHILIPPINES CORPORATION</v>
          </cell>
        </row>
      </sheetData>
      <sheetData sheetId="485">
        <row r="3">
          <cell r="B3" t="str">
            <v>TOYOTA   TSUSHO  PHILIPPINES CORPORATION</v>
          </cell>
        </row>
      </sheetData>
      <sheetData sheetId="486">
        <row r="3">
          <cell r="B3" t="str">
            <v>TOYOTA   TSUSHO  PHILIPPINES CORPORATION</v>
          </cell>
        </row>
      </sheetData>
      <sheetData sheetId="487">
        <row r="3">
          <cell r="B3" t="str">
            <v>TOYOTA   TSUSHO  PHILIPPINES CORPORATION</v>
          </cell>
        </row>
      </sheetData>
      <sheetData sheetId="488">
        <row r="3">
          <cell r="B3" t="str">
            <v>TOYOTA   TSUSHO  PHILIPPINES CORPORATION</v>
          </cell>
        </row>
      </sheetData>
      <sheetData sheetId="489">
        <row r="3">
          <cell r="B3" t="str">
            <v>TOYOTA   TSUSHO  PHILIPPINES CORPORATION</v>
          </cell>
        </row>
      </sheetData>
      <sheetData sheetId="490">
        <row r="3">
          <cell r="B3" t="str">
            <v>TOYOTA   TSUSHO  PHILIPPINES CORPORATION</v>
          </cell>
        </row>
      </sheetData>
      <sheetData sheetId="491">
        <row r="3">
          <cell r="B3" t="str">
            <v>TOYOTA   TSUSHO  PHILIPPINES CORPORATION</v>
          </cell>
        </row>
      </sheetData>
      <sheetData sheetId="492">
        <row r="3">
          <cell r="B3" t="str">
            <v>TOYOTA   TSUSHO  PHILIPPINES CORPORATION</v>
          </cell>
        </row>
      </sheetData>
      <sheetData sheetId="493">
        <row r="3">
          <cell r="B3" t="str">
            <v>TOYOTA   TSUSHO  PHILIPPINES CORPORATION</v>
          </cell>
        </row>
      </sheetData>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ow r="3">
          <cell r="B3" t="str">
            <v>TOYOTA   TSUSHO  PHILIPPINES CORPORATION</v>
          </cell>
        </row>
      </sheetData>
      <sheetData sheetId="516">
        <row r="3">
          <cell r="B3" t="str">
            <v>TOYOTA   TSUSHO  PHILIPPINES CORPORATION</v>
          </cell>
        </row>
      </sheetData>
      <sheetData sheetId="517">
        <row r="3">
          <cell r="B3" t="str">
            <v>TOYOTA   TSUSHO  PHILIPPINES CORPORATION</v>
          </cell>
        </row>
      </sheetData>
      <sheetData sheetId="518">
        <row r="3">
          <cell r="B3" t="str">
            <v>TOYOTA   TSUSHO  PHILIPPINES CORPORATION</v>
          </cell>
        </row>
      </sheetData>
      <sheetData sheetId="519">
        <row r="3">
          <cell r="B3" t="str">
            <v>TOYOTA   TSUSHO  PHILIPPINES CORPORATION</v>
          </cell>
        </row>
      </sheetData>
      <sheetData sheetId="520">
        <row r="3">
          <cell r="B3" t="str">
            <v>TOYOTA   TSUSHO  PHILIPPINES CORPORATION</v>
          </cell>
        </row>
      </sheetData>
      <sheetData sheetId="521">
        <row r="3">
          <cell r="B3" t="str">
            <v>TOYOTA   TSUSHO  PHILIPPINES CORPORATION</v>
          </cell>
        </row>
      </sheetData>
      <sheetData sheetId="522">
        <row r="3">
          <cell r="B3" t="str">
            <v>TOYOTA   TSUSHO  PHILIPPINES CORPORATION</v>
          </cell>
        </row>
      </sheetData>
      <sheetData sheetId="523">
        <row r="3">
          <cell r="B3" t="str">
            <v>TOYOTA   TSUSHO  PHILIPPINES CORPORATION</v>
          </cell>
        </row>
      </sheetData>
      <sheetData sheetId="524">
        <row r="3">
          <cell r="B3" t="str">
            <v>TOYOTA   TSUSHO  PHILIPPINES CORPORATION</v>
          </cell>
        </row>
      </sheetData>
      <sheetData sheetId="525">
        <row r="3">
          <cell r="B3" t="str">
            <v>TOYOTA   TSUSHO  PHILIPPINES CORPORATION</v>
          </cell>
        </row>
      </sheetData>
      <sheetData sheetId="526">
        <row r="3">
          <cell r="B3" t="str">
            <v>TOYOTA   TSUSHO  PHILIPPINES CORPORATION</v>
          </cell>
        </row>
      </sheetData>
      <sheetData sheetId="527">
        <row r="3">
          <cell r="B3" t="str">
            <v>TOYOTA   TSUSHO  PHILIPPINES CORPORATION</v>
          </cell>
        </row>
      </sheetData>
      <sheetData sheetId="528">
        <row r="3">
          <cell r="B3" t="str">
            <v>TOYOTA   TSUSHO  PHILIPPINES CORPORATION</v>
          </cell>
        </row>
      </sheetData>
      <sheetData sheetId="529">
        <row r="3">
          <cell r="B3" t="str">
            <v>TOYOTA   TSUSHO  PHILIPPINES CORPORATION</v>
          </cell>
        </row>
      </sheetData>
      <sheetData sheetId="530">
        <row r="3">
          <cell r="B3" t="str">
            <v>TOYOTA   TSUSHO  PHILIPPINES CORPORATION</v>
          </cell>
        </row>
      </sheetData>
      <sheetData sheetId="531">
        <row r="3">
          <cell r="B3" t="str">
            <v>TOYOTA   TSUSHO  PHILIPPINES CORPORATION</v>
          </cell>
        </row>
      </sheetData>
      <sheetData sheetId="532">
        <row r="3">
          <cell r="B3" t="str">
            <v>TOYOTA   TSUSHO  PHILIPPINES CORPORATION</v>
          </cell>
        </row>
      </sheetData>
      <sheetData sheetId="533">
        <row r="3">
          <cell r="B3" t="str">
            <v>TOYOTA   TSUSHO  PHILIPPINES CORPORATION</v>
          </cell>
        </row>
      </sheetData>
      <sheetData sheetId="534">
        <row r="3">
          <cell r="B3" t="str">
            <v>TOYOTA   TSUSHO  PHILIPPINES CORPORATION</v>
          </cell>
        </row>
      </sheetData>
      <sheetData sheetId="535">
        <row r="3">
          <cell r="B3" t="str">
            <v>TOYOTA   TSUSHO  PHILIPPINES CORPORATION</v>
          </cell>
        </row>
      </sheetData>
      <sheetData sheetId="536">
        <row r="3">
          <cell r="B3" t="str">
            <v>TOYOTA   TSUSHO  PHILIPPINES CORPORATION</v>
          </cell>
        </row>
      </sheetData>
      <sheetData sheetId="537">
        <row r="3">
          <cell r="B3" t="str">
            <v>TOYOTA   TSUSHO  PHILIPPINES CORPORATION</v>
          </cell>
        </row>
      </sheetData>
      <sheetData sheetId="538">
        <row r="3">
          <cell r="B3" t="str">
            <v>TOYOTA   TSUSHO  PHILIPPINES CORPORATION</v>
          </cell>
        </row>
      </sheetData>
      <sheetData sheetId="539">
        <row r="3">
          <cell r="B3" t="str">
            <v>TOYOTA   TSUSHO  PHILIPPINES CORPORATION</v>
          </cell>
        </row>
      </sheetData>
      <sheetData sheetId="540">
        <row r="3">
          <cell r="B3" t="str">
            <v>TOYOTA   TSUSHO  PHILIPPINES CORPORATION</v>
          </cell>
        </row>
      </sheetData>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ow r="1">
          <cell r="B1" t="str">
            <v>1</v>
          </cell>
        </row>
      </sheetData>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ow r="1">
          <cell r="B1" t="str">
            <v>1</v>
          </cell>
        </row>
      </sheetData>
      <sheetData sheetId="655">
        <row r="1">
          <cell r="B1" t="str">
            <v>1</v>
          </cell>
        </row>
      </sheetData>
      <sheetData sheetId="656">
        <row r="1">
          <cell r="B1" t="str">
            <v>1</v>
          </cell>
        </row>
      </sheetData>
      <sheetData sheetId="657">
        <row r="1">
          <cell r="B1" t="str">
            <v>1</v>
          </cell>
        </row>
      </sheetData>
      <sheetData sheetId="658">
        <row r="1">
          <cell r="B1" t="str">
            <v>1</v>
          </cell>
        </row>
      </sheetData>
      <sheetData sheetId="659">
        <row r="1">
          <cell r="B1" t="str">
            <v>1</v>
          </cell>
        </row>
      </sheetData>
      <sheetData sheetId="660">
        <row r="1">
          <cell r="B1" t="str">
            <v>1</v>
          </cell>
        </row>
      </sheetData>
      <sheetData sheetId="661">
        <row r="1">
          <cell r="B1" t="str">
            <v>1</v>
          </cell>
        </row>
      </sheetData>
      <sheetData sheetId="662">
        <row r="1">
          <cell r="B1" t="str">
            <v>1</v>
          </cell>
        </row>
      </sheetData>
      <sheetData sheetId="663">
        <row r="1">
          <cell r="B1" t="str">
            <v>1</v>
          </cell>
        </row>
      </sheetData>
      <sheetData sheetId="664">
        <row r="1">
          <cell r="B1" t="str">
            <v>1</v>
          </cell>
        </row>
      </sheetData>
      <sheetData sheetId="665">
        <row r="1">
          <cell r="B1" t="str">
            <v>1</v>
          </cell>
        </row>
      </sheetData>
      <sheetData sheetId="666">
        <row r="1">
          <cell r="B1" t="str">
            <v>1</v>
          </cell>
        </row>
      </sheetData>
      <sheetData sheetId="667">
        <row r="1">
          <cell r="B1" t="str">
            <v>1</v>
          </cell>
        </row>
      </sheetData>
      <sheetData sheetId="668">
        <row r="1">
          <cell r="B1" t="str">
            <v>1</v>
          </cell>
        </row>
      </sheetData>
      <sheetData sheetId="669">
        <row r="1">
          <cell r="B1" t="str">
            <v>1</v>
          </cell>
        </row>
      </sheetData>
      <sheetData sheetId="670">
        <row r="1">
          <cell r="B1" t="str">
            <v>1</v>
          </cell>
        </row>
      </sheetData>
      <sheetData sheetId="671">
        <row r="1">
          <cell r="B1" t="str">
            <v>1</v>
          </cell>
        </row>
      </sheetData>
      <sheetData sheetId="672">
        <row r="1">
          <cell r="B1" t="str">
            <v>1</v>
          </cell>
        </row>
      </sheetData>
      <sheetData sheetId="673">
        <row r="1">
          <cell r="B1" t="str">
            <v>1</v>
          </cell>
        </row>
      </sheetData>
      <sheetData sheetId="674">
        <row r="1">
          <cell r="B1" t="str">
            <v>1</v>
          </cell>
        </row>
      </sheetData>
      <sheetData sheetId="675">
        <row r="1">
          <cell r="B1" t="str">
            <v>1</v>
          </cell>
        </row>
      </sheetData>
      <sheetData sheetId="676">
        <row r="1">
          <cell r="B1" t="str">
            <v>1</v>
          </cell>
        </row>
      </sheetData>
      <sheetData sheetId="677">
        <row r="1">
          <cell r="B1" t="str">
            <v>1</v>
          </cell>
        </row>
      </sheetData>
      <sheetData sheetId="678">
        <row r="1">
          <cell r="B1" t="str">
            <v>1</v>
          </cell>
        </row>
      </sheetData>
      <sheetData sheetId="679">
        <row r="1">
          <cell r="B1" t="str">
            <v>1</v>
          </cell>
        </row>
      </sheetData>
      <sheetData sheetId="680">
        <row r="1">
          <cell r="B1" t="str">
            <v>1</v>
          </cell>
        </row>
      </sheetData>
      <sheetData sheetId="681">
        <row r="1">
          <cell r="B1" t="str">
            <v>1</v>
          </cell>
        </row>
      </sheetData>
      <sheetData sheetId="682">
        <row r="1">
          <cell r="B1" t="str">
            <v>1</v>
          </cell>
        </row>
      </sheetData>
      <sheetData sheetId="683">
        <row r="1">
          <cell r="B1" t="str">
            <v>1</v>
          </cell>
        </row>
      </sheetData>
      <sheetData sheetId="684">
        <row r="1">
          <cell r="B1" t="str">
            <v>1</v>
          </cell>
        </row>
      </sheetData>
      <sheetData sheetId="685">
        <row r="1">
          <cell r="B1" t="str">
            <v>1</v>
          </cell>
        </row>
      </sheetData>
      <sheetData sheetId="686">
        <row r="1">
          <cell r="B1" t="str">
            <v>1</v>
          </cell>
        </row>
      </sheetData>
      <sheetData sheetId="687">
        <row r="1">
          <cell r="B1" t="str">
            <v>1</v>
          </cell>
        </row>
      </sheetData>
      <sheetData sheetId="688">
        <row r="1">
          <cell r="B1" t="str">
            <v>1</v>
          </cell>
        </row>
      </sheetData>
      <sheetData sheetId="689">
        <row r="1">
          <cell r="B1" t="str">
            <v>1</v>
          </cell>
        </row>
      </sheetData>
      <sheetData sheetId="690">
        <row r="1">
          <cell r="B1" t="str">
            <v>1</v>
          </cell>
        </row>
      </sheetData>
      <sheetData sheetId="691"/>
      <sheetData sheetId="692">
        <row r="1">
          <cell r="B1" t="str">
            <v>1</v>
          </cell>
        </row>
      </sheetData>
      <sheetData sheetId="693"/>
      <sheetData sheetId="694">
        <row r="1">
          <cell r="B1" t="str">
            <v>1</v>
          </cell>
        </row>
      </sheetData>
      <sheetData sheetId="695"/>
      <sheetData sheetId="696">
        <row r="1">
          <cell r="B1" t="str">
            <v>1</v>
          </cell>
        </row>
      </sheetData>
      <sheetData sheetId="697"/>
      <sheetData sheetId="698">
        <row r="1">
          <cell r="B1" t="str">
            <v>1</v>
          </cell>
        </row>
      </sheetData>
      <sheetData sheetId="699">
        <row r="1">
          <cell r="B1" t="str">
            <v>1</v>
          </cell>
        </row>
      </sheetData>
      <sheetData sheetId="700"/>
      <sheetData sheetId="701"/>
      <sheetData sheetId="702">
        <row r="1">
          <cell r="B1" t="str">
            <v>1</v>
          </cell>
        </row>
      </sheetData>
      <sheetData sheetId="703">
        <row r="1">
          <cell r="B1" t="str">
            <v>1</v>
          </cell>
        </row>
      </sheetData>
      <sheetData sheetId="704">
        <row r="1">
          <cell r="B1" t="str">
            <v>1</v>
          </cell>
        </row>
      </sheetData>
      <sheetData sheetId="705">
        <row r="1">
          <cell r="B1" t="str">
            <v>1</v>
          </cell>
        </row>
      </sheetData>
      <sheetData sheetId="706">
        <row r="1">
          <cell r="B1" t="str">
            <v>1</v>
          </cell>
        </row>
      </sheetData>
      <sheetData sheetId="707">
        <row r="1">
          <cell r="B1" t="str">
            <v>1</v>
          </cell>
        </row>
      </sheetData>
      <sheetData sheetId="708">
        <row r="1">
          <cell r="B1" t="str">
            <v>1</v>
          </cell>
        </row>
      </sheetData>
      <sheetData sheetId="709">
        <row r="1">
          <cell r="B1" t="str">
            <v>1</v>
          </cell>
        </row>
      </sheetData>
      <sheetData sheetId="710">
        <row r="1">
          <cell r="B1" t="str">
            <v>1</v>
          </cell>
        </row>
      </sheetData>
      <sheetData sheetId="711">
        <row r="1">
          <cell r="B1" t="str">
            <v>1</v>
          </cell>
        </row>
      </sheetData>
      <sheetData sheetId="712"/>
      <sheetData sheetId="713">
        <row r="1">
          <cell r="B1" t="str">
            <v>1</v>
          </cell>
        </row>
      </sheetData>
      <sheetData sheetId="714">
        <row r="1">
          <cell r="B1" t="str">
            <v>1</v>
          </cell>
        </row>
      </sheetData>
      <sheetData sheetId="715">
        <row r="1">
          <cell r="B1" t="str">
            <v>1</v>
          </cell>
        </row>
      </sheetData>
      <sheetData sheetId="716">
        <row r="1">
          <cell r="B1" t="str">
            <v>1</v>
          </cell>
        </row>
      </sheetData>
      <sheetData sheetId="717">
        <row r="1">
          <cell r="B1" t="str">
            <v>1</v>
          </cell>
        </row>
      </sheetData>
      <sheetData sheetId="718">
        <row r="1">
          <cell r="B1" t="str">
            <v>1</v>
          </cell>
        </row>
      </sheetData>
      <sheetData sheetId="719">
        <row r="1">
          <cell r="B1" t="str">
            <v>1</v>
          </cell>
        </row>
      </sheetData>
      <sheetData sheetId="720">
        <row r="1">
          <cell r="B1" t="str">
            <v>1</v>
          </cell>
        </row>
      </sheetData>
      <sheetData sheetId="721"/>
      <sheetData sheetId="722">
        <row r="1">
          <cell r="B1" t="str">
            <v>1</v>
          </cell>
        </row>
      </sheetData>
      <sheetData sheetId="723">
        <row r="1">
          <cell r="B1" t="str">
            <v>1</v>
          </cell>
        </row>
      </sheetData>
      <sheetData sheetId="724">
        <row r="1">
          <cell r="B1" t="str">
            <v>1</v>
          </cell>
        </row>
      </sheetData>
      <sheetData sheetId="725">
        <row r="1">
          <cell r="B1" t="str">
            <v>1</v>
          </cell>
        </row>
      </sheetData>
      <sheetData sheetId="726">
        <row r="1">
          <cell r="B1" t="str">
            <v>1</v>
          </cell>
        </row>
      </sheetData>
      <sheetData sheetId="727">
        <row r="1">
          <cell r="B1" t="str">
            <v>1</v>
          </cell>
        </row>
      </sheetData>
      <sheetData sheetId="728">
        <row r="1">
          <cell r="B1" t="str">
            <v>1</v>
          </cell>
        </row>
      </sheetData>
      <sheetData sheetId="729">
        <row r="1">
          <cell r="B1" t="str">
            <v>1</v>
          </cell>
        </row>
      </sheetData>
      <sheetData sheetId="730">
        <row r="1">
          <cell r="B1" t="str">
            <v>1</v>
          </cell>
        </row>
      </sheetData>
      <sheetData sheetId="731">
        <row r="1">
          <cell r="B1" t="str">
            <v>1</v>
          </cell>
        </row>
      </sheetData>
      <sheetData sheetId="732">
        <row r="1">
          <cell r="B1" t="str">
            <v>1</v>
          </cell>
        </row>
      </sheetData>
      <sheetData sheetId="733">
        <row r="1">
          <cell r="B1" t="str">
            <v>1</v>
          </cell>
        </row>
      </sheetData>
      <sheetData sheetId="734">
        <row r="1">
          <cell r="B1" t="str">
            <v>1</v>
          </cell>
        </row>
      </sheetData>
      <sheetData sheetId="735">
        <row r="1">
          <cell r="B1" t="str">
            <v>1</v>
          </cell>
        </row>
      </sheetData>
      <sheetData sheetId="736"/>
      <sheetData sheetId="737"/>
      <sheetData sheetId="738"/>
      <sheetData sheetId="739"/>
      <sheetData sheetId="740"/>
      <sheetData sheetId="741"/>
      <sheetData sheetId="742"/>
      <sheetData sheetId="743"/>
      <sheetData sheetId="744">
        <row r="1">
          <cell r="B1" t="str">
            <v>1</v>
          </cell>
        </row>
      </sheetData>
      <sheetData sheetId="745"/>
      <sheetData sheetId="746">
        <row r="1">
          <cell r="B1" t="str">
            <v>1</v>
          </cell>
        </row>
      </sheetData>
      <sheetData sheetId="747">
        <row r="1">
          <cell r="B1" t="str">
            <v>1</v>
          </cell>
        </row>
      </sheetData>
      <sheetData sheetId="748"/>
      <sheetData sheetId="749">
        <row r="1">
          <cell r="B1" t="str">
            <v>1</v>
          </cell>
        </row>
      </sheetData>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row r="1">
          <cell r="B1" t="str">
            <v>1</v>
          </cell>
        </row>
      </sheetData>
      <sheetData sheetId="777"/>
      <sheetData sheetId="778"/>
      <sheetData sheetId="779"/>
      <sheetData sheetId="780"/>
      <sheetData sheetId="781"/>
      <sheetData sheetId="782">
        <row r="1">
          <cell r="B1" t="str">
            <v>1</v>
          </cell>
        </row>
      </sheetData>
      <sheetData sheetId="783"/>
      <sheetData sheetId="784"/>
      <sheetData sheetId="785"/>
      <sheetData sheetId="786"/>
      <sheetData sheetId="787" refreshError="1"/>
      <sheetData sheetId="788" refreshError="1"/>
      <sheetData sheetId="789" refreshError="1"/>
      <sheetData sheetId="790" refreshError="1"/>
      <sheetData sheetId="791" refreshError="1"/>
      <sheetData sheetId="792"/>
      <sheetData sheetId="793"/>
      <sheetData sheetId="794"/>
      <sheetData sheetId="795"/>
      <sheetData sheetId="796">
        <row r="1">
          <cell r="A1" t="str">
            <v>ﾄﾖﾀ自動車株式会社　調達本部　</v>
          </cell>
        </row>
      </sheetData>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ow r="1">
          <cell r="B1" t="str">
            <v>1</v>
          </cell>
        </row>
      </sheetData>
      <sheetData sheetId="848">
        <row r="1">
          <cell r="B1" t="str">
            <v>1</v>
          </cell>
        </row>
      </sheetData>
      <sheetData sheetId="849"/>
      <sheetData sheetId="850">
        <row r="1">
          <cell r="B1" t="str">
            <v>1</v>
          </cell>
        </row>
      </sheetData>
      <sheetData sheetId="851"/>
      <sheetData sheetId="852">
        <row r="1">
          <cell r="B1" t="str">
            <v>1</v>
          </cell>
        </row>
      </sheetData>
      <sheetData sheetId="853">
        <row r="1">
          <cell r="B1" t="str">
            <v>1</v>
          </cell>
        </row>
      </sheetData>
      <sheetData sheetId="854"/>
      <sheetData sheetId="855"/>
      <sheetData sheetId="856"/>
      <sheetData sheetId="857">
        <row r="1">
          <cell r="B1" t="str">
            <v>1</v>
          </cell>
        </row>
      </sheetData>
      <sheetData sheetId="858"/>
      <sheetData sheetId="859">
        <row r="1">
          <cell r="B1" t="str">
            <v>1</v>
          </cell>
        </row>
      </sheetData>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row r="1">
          <cell r="B1" t="str">
            <v>1</v>
          </cell>
        </row>
      </sheetData>
      <sheetData sheetId="883"/>
      <sheetData sheetId="884"/>
      <sheetData sheetId="885">
        <row r="1">
          <cell r="B1" t="str">
            <v>1</v>
          </cell>
        </row>
      </sheetData>
      <sheetData sheetId="886"/>
      <sheetData sheetId="887"/>
      <sheetData sheetId="888">
        <row r="3">
          <cell r="B3" t="str">
            <v>TOYOTA   TSUSHO  PHILIPPINES CORPORATION</v>
          </cell>
        </row>
      </sheetData>
      <sheetData sheetId="889"/>
      <sheetData sheetId="890"/>
      <sheetData sheetId="891">
        <row r="1">
          <cell r="B1" t="str">
            <v>1</v>
          </cell>
        </row>
      </sheetData>
      <sheetData sheetId="892"/>
      <sheetData sheetId="893"/>
      <sheetData sheetId="894"/>
      <sheetData sheetId="895"/>
      <sheetData sheetId="896"/>
      <sheetData sheetId="897"/>
      <sheetData sheetId="898">
        <row r="1">
          <cell r="B1" t="str">
            <v>1</v>
          </cell>
        </row>
      </sheetData>
      <sheetData sheetId="899"/>
      <sheetData sheetId="900"/>
      <sheetData sheetId="901"/>
      <sheetData sheetId="902"/>
      <sheetData sheetId="903"/>
      <sheetData sheetId="904">
        <row r="1">
          <cell r="B1" t="str">
            <v>1</v>
          </cell>
        </row>
      </sheetData>
      <sheetData sheetId="905"/>
      <sheetData sheetId="906"/>
      <sheetData sheetId="907"/>
      <sheetData sheetId="908"/>
      <sheetData sheetId="909"/>
      <sheetData sheetId="910"/>
      <sheetData sheetId="911"/>
      <sheetData sheetId="912"/>
      <sheetData sheetId="913">
        <row r="1">
          <cell r="B1" t="str">
            <v>1</v>
          </cell>
        </row>
      </sheetData>
      <sheetData sheetId="914"/>
      <sheetData sheetId="915"/>
      <sheetData sheetId="916"/>
      <sheetData sheetId="917">
        <row r="1">
          <cell r="B1" t="str">
            <v>1</v>
          </cell>
        </row>
      </sheetData>
      <sheetData sheetId="918"/>
      <sheetData sheetId="919">
        <row r="1">
          <cell r="B1" t="str">
            <v>1</v>
          </cell>
        </row>
      </sheetData>
      <sheetData sheetId="920"/>
      <sheetData sheetId="921"/>
      <sheetData sheetId="922"/>
      <sheetData sheetId="923"/>
      <sheetData sheetId="924"/>
      <sheetData sheetId="925"/>
      <sheetData sheetId="926"/>
      <sheetData sheetId="927">
        <row r="3">
          <cell r="B3" t="str">
            <v>TOYOTA   TSUSHO  PHILIPPINES CORPORATION</v>
          </cell>
        </row>
      </sheetData>
      <sheetData sheetId="928"/>
      <sheetData sheetId="929"/>
      <sheetData sheetId="930"/>
      <sheetData sheetId="931"/>
      <sheetData sheetId="932"/>
      <sheetData sheetId="933">
        <row r="3">
          <cell r="B3" t="str">
            <v>TOYOTA   TSUSHO  PHILIPPINES CORPORATION</v>
          </cell>
        </row>
      </sheetData>
      <sheetData sheetId="934"/>
      <sheetData sheetId="935"/>
      <sheetData sheetId="936"/>
      <sheetData sheetId="937"/>
      <sheetData sheetId="938"/>
      <sheetData sheetId="939"/>
      <sheetData sheetId="940"/>
      <sheetData sheetId="941"/>
      <sheetData sheetId="942">
        <row r="3">
          <cell r="B3" t="str">
            <v>TOYOTA   TSUSHO  PHILIPPINES CORPORATION</v>
          </cell>
        </row>
      </sheetData>
      <sheetData sheetId="943">
        <row r="1">
          <cell r="B1" t="str">
            <v>1</v>
          </cell>
        </row>
      </sheetData>
      <sheetData sheetId="944"/>
      <sheetData sheetId="945"/>
      <sheetData sheetId="946"/>
      <sheetData sheetId="947"/>
      <sheetData sheetId="948">
        <row r="3">
          <cell r="B3" t="str">
            <v>TOYOTA   TSUSHO  PHILIPPINES CORPORATION</v>
          </cell>
        </row>
      </sheetData>
      <sheetData sheetId="949"/>
      <sheetData sheetId="950"/>
      <sheetData sheetId="951"/>
      <sheetData sheetId="952"/>
      <sheetData sheetId="953"/>
      <sheetData sheetId="954"/>
      <sheetData sheetId="955"/>
      <sheetData sheetId="956"/>
      <sheetData sheetId="957"/>
      <sheetData sheetId="958"/>
      <sheetData sheetId="959"/>
      <sheetData sheetId="960"/>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row r="3">
          <cell r="B3" t="str">
            <v>TOYOTA   TSUSHO  PHILIPPINES CORPORATION</v>
          </cell>
        </row>
      </sheetData>
      <sheetData sheetId="1058">
        <row r="3">
          <cell r="B3" t="str">
            <v>TOYOTA   TSUSHO  PHILIPPINES CORPORATION</v>
          </cell>
        </row>
      </sheetData>
      <sheetData sheetId="1059"/>
      <sheetData sheetId="1060"/>
      <sheetData sheetId="1061"/>
      <sheetData sheetId="1062"/>
      <sheetData sheetId="1063"/>
      <sheetData sheetId="1064"/>
      <sheetData sheetId="1065"/>
      <sheetData sheetId="1066"/>
      <sheetData sheetId="1067"/>
      <sheetData sheetId="1068">
        <row r="3">
          <cell r="B3" t="str">
            <v>TOYOTA   TSUSHO  PHILIPPINES CORPORATION</v>
          </cell>
        </row>
      </sheetData>
      <sheetData sheetId="1069">
        <row r="3">
          <cell r="B3" t="str">
            <v>TOYOTA   TSUSHO  PHILIPPINES CORPORATION</v>
          </cell>
        </row>
      </sheetData>
      <sheetData sheetId="1070">
        <row r="3">
          <cell r="B3" t="str">
            <v>TOYOTA   TSUSHO  PHILIPPINES CORPORATION</v>
          </cell>
        </row>
      </sheetData>
      <sheetData sheetId="1071">
        <row r="3">
          <cell r="B3" t="str">
            <v>TOYOTA   TSUSHO  PHILIPPINES CORPORATION</v>
          </cell>
        </row>
      </sheetData>
      <sheetData sheetId="1072"/>
      <sheetData sheetId="1073">
        <row r="3">
          <cell r="B3" t="str">
            <v>TOYOTA   TSUSHO  PHILIPPINES CORPORATION</v>
          </cell>
        </row>
      </sheetData>
      <sheetData sheetId="1074">
        <row r="3">
          <cell r="B3" t="str">
            <v>TOYOTA   TSUSHO  PHILIPPINES CORPORATION</v>
          </cell>
        </row>
      </sheetData>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row r="1">
          <cell r="B1" t="str">
            <v>1</v>
          </cell>
        </row>
      </sheetData>
      <sheetData sheetId="1094">
        <row r="1">
          <cell r="B1" t="str">
            <v>1</v>
          </cell>
        </row>
      </sheetData>
      <sheetData sheetId="1095"/>
      <sheetData sheetId="1096">
        <row r="1">
          <cell r="B1" t="str">
            <v>1</v>
          </cell>
        </row>
      </sheetData>
      <sheetData sheetId="1097">
        <row r="1">
          <cell r="B1" t="str">
            <v>1</v>
          </cell>
        </row>
      </sheetData>
      <sheetData sheetId="1098"/>
      <sheetData sheetId="1099"/>
      <sheetData sheetId="1100">
        <row r="1">
          <cell r="B1" t="str">
            <v>1</v>
          </cell>
        </row>
      </sheetData>
      <sheetData sheetId="1101"/>
      <sheetData sheetId="1102"/>
      <sheetData sheetId="1103">
        <row r="1">
          <cell r="B1" t="str">
            <v>1</v>
          </cell>
        </row>
      </sheetData>
      <sheetData sheetId="1104">
        <row r="1">
          <cell r="B1" t="str">
            <v>1</v>
          </cell>
        </row>
      </sheetData>
      <sheetData sheetId="1105">
        <row r="1">
          <cell r="B1" t="str">
            <v>1</v>
          </cell>
        </row>
      </sheetData>
      <sheetData sheetId="1106">
        <row r="1">
          <cell r="B1" t="str">
            <v>1</v>
          </cell>
        </row>
      </sheetData>
      <sheetData sheetId="1107">
        <row r="1">
          <cell r="B1" t="str">
            <v>1</v>
          </cell>
        </row>
      </sheetData>
      <sheetData sheetId="1108"/>
      <sheetData sheetId="1109"/>
      <sheetData sheetId="1110"/>
      <sheetData sheetId="1111"/>
      <sheetData sheetId="1112"/>
      <sheetData sheetId="1113"/>
      <sheetData sheetId="1114"/>
      <sheetData sheetId="1115">
        <row r="3">
          <cell r="B3" t="str">
            <v>TOYOTA   TSUSHO  PHILIPPINES CORPORATION</v>
          </cell>
        </row>
      </sheetData>
      <sheetData sheetId="1116">
        <row r="3">
          <cell r="B3" t="str">
            <v>TOYOTA   TSUSHO  PHILIPPINES CORPORATION</v>
          </cell>
        </row>
      </sheetData>
      <sheetData sheetId="1117">
        <row r="3">
          <cell r="B3" t="str">
            <v>TOYOTA   TSUSHO  PHILIPPINES CORPORATION</v>
          </cell>
        </row>
      </sheetData>
      <sheetData sheetId="1118">
        <row r="3">
          <cell r="B3" t="str">
            <v>TOYOTA   TSUSHO  PHILIPPINES CORPORATION</v>
          </cell>
        </row>
      </sheetData>
      <sheetData sheetId="1119"/>
      <sheetData sheetId="1120">
        <row r="3">
          <cell r="B3" t="str">
            <v>TOYOTA   TSUSHO  PHILIPPINES CORPORATION</v>
          </cell>
        </row>
      </sheetData>
      <sheetData sheetId="1121">
        <row r="3">
          <cell r="B3" t="str">
            <v>TOYOTA   TSUSHO  PHILIPPINES CORPORATION</v>
          </cell>
        </row>
      </sheetData>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row r="1">
          <cell r="B1" t="str">
            <v>1</v>
          </cell>
        </row>
      </sheetData>
      <sheetData sheetId="1141">
        <row r="1">
          <cell r="B1" t="str">
            <v>1</v>
          </cell>
        </row>
      </sheetData>
      <sheetData sheetId="1142"/>
      <sheetData sheetId="1143">
        <row r="1">
          <cell r="B1" t="str">
            <v>1</v>
          </cell>
        </row>
      </sheetData>
      <sheetData sheetId="1144">
        <row r="1">
          <cell r="B1" t="str">
            <v>1</v>
          </cell>
        </row>
      </sheetData>
      <sheetData sheetId="1145"/>
      <sheetData sheetId="1146"/>
      <sheetData sheetId="1147">
        <row r="1">
          <cell r="B1" t="str">
            <v>1</v>
          </cell>
        </row>
      </sheetData>
      <sheetData sheetId="1148"/>
      <sheetData sheetId="1149"/>
      <sheetData sheetId="1150">
        <row r="1">
          <cell r="B1" t="str">
            <v>1</v>
          </cell>
        </row>
      </sheetData>
      <sheetData sheetId="1151">
        <row r="1">
          <cell r="B1" t="str">
            <v>1</v>
          </cell>
        </row>
      </sheetData>
      <sheetData sheetId="1152">
        <row r="1">
          <cell r="B1" t="str">
            <v>1</v>
          </cell>
        </row>
      </sheetData>
      <sheetData sheetId="1153">
        <row r="1">
          <cell r="B1" t="str">
            <v>1</v>
          </cell>
        </row>
      </sheetData>
      <sheetData sheetId="1154">
        <row r="1">
          <cell r="B1" t="str">
            <v>1</v>
          </cell>
        </row>
      </sheetData>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row r="3">
          <cell r="B3" t="str">
            <v>TOYOTA   TSUSHO  PHILIPPINES CORPORATION</v>
          </cell>
        </row>
      </sheetData>
      <sheetData sheetId="1213">
        <row r="3">
          <cell r="B3" t="str">
            <v>TOYOTA   TSUSHO  PHILIPPINES CORPORATION</v>
          </cell>
        </row>
      </sheetData>
      <sheetData sheetId="1214"/>
      <sheetData sheetId="1215"/>
      <sheetData sheetId="1216"/>
      <sheetData sheetId="1217"/>
      <sheetData sheetId="1218"/>
      <sheetData sheetId="1219"/>
      <sheetData sheetId="1220"/>
      <sheetData sheetId="1221"/>
      <sheetData sheetId="1222"/>
      <sheetData sheetId="1223">
        <row r="3">
          <cell r="B3" t="str">
            <v>TOYOTA   TSUSHO  PHILIPPINES CORPORATION</v>
          </cell>
        </row>
      </sheetData>
      <sheetData sheetId="1224">
        <row r="3">
          <cell r="B3" t="str">
            <v>TOYOTA   TSUSHO  PHILIPPINES CORPORATION</v>
          </cell>
        </row>
      </sheetData>
      <sheetData sheetId="1225">
        <row r="3">
          <cell r="B3" t="str">
            <v>TOYOTA   TSUSHO  PHILIPPINES CORPORATION</v>
          </cell>
        </row>
      </sheetData>
      <sheetData sheetId="1226">
        <row r="3">
          <cell r="B3" t="str">
            <v>TOYOTA   TSUSHO  PHILIPPINES CORPORATION</v>
          </cell>
        </row>
      </sheetData>
      <sheetData sheetId="1227"/>
      <sheetData sheetId="1228">
        <row r="3">
          <cell r="B3" t="str">
            <v>TOYOTA   TSUSHO  PHILIPPINES CORPORATION</v>
          </cell>
        </row>
      </sheetData>
      <sheetData sheetId="1229">
        <row r="3">
          <cell r="B3" t="str">
            <v>TOYOTA   TSUSHO  PHILIPPINES CORPORATION</v>
          </cell>
        </row>
      </sheetData>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sheetData sheetId="1293"/>
      <sheetData sheetId="1294"/>
      <sheetData sheetId="1295" refreshError="1"/>
      <sheetData sheetId="1296" refreshError="1"/>
      <sheetData sheetId="1297"/>
      <sheetData sheetId="1298"/>
      <sheetData sheetId="1299"/>
      <sheetData sheetId="1300"/>
      <sheetData sheetId="1301"/>
      <sheetData sheetId="1302"/>
      <sheetData sheetId="1303"/>
      <sheetData sheetId="1304"/>
      <sheetData sheetId="1305"/>
      <sheetData sheetId="1306"/>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目次"/>
      <sheetName val="お願い"/>
      <sheetName val="ユーザーカスタマイズ手順"/>
      <sheetName val="基礎知識"/>
      <sheetName val="Config - dspmgr"/>
      <sheetName val="【非表示】Work"/>
      <sheetName val="【非表示】Core"/>
      <sheetName val="Config - swdtctr"/>
      <sheetName val="Config - dspmainctl"/>
      <sheetName val="dspmaincfg"/>
      <sheetName val="【作成中】dspmaincfg_form"/>
      <sheetName val="Mainscrl"/>
      <sheetName val="Welcome"/>
      <sheetName val="OdoTrip (1SW)"/>
      <sheetName val="OdoTrip (2SW)"/>
      <sheetName val="Diagdsp"/>
      <sheetName val="Blank"/>
      <sheetName val="Opening"/>
      <sheetName val="Ending"/>
      <sheetName val="STM"/>
      <sheetName val="担当者"/>
      <sheetName val="用語"/>
      <sheetName val="変更履歴"/>
      <sheetName val="【旧2】dspmgr"/>
      <sheetName val="【参考】Core (14xL)"/>
      <sheetName val="※参考1"/>
      <sheetName val="※参考2"/>
      <sheetName val="【旧】dspmgr"/>
      <sheetName val="XSSマイコン依存部 (基本設定)"/>
      <sheetName val="設定値定義"/>
      <sheetName val="階層一覧"/>
      <sheetName val="車両仕様"/>
      <sheetName val="2003S_CR込み"/>
      <sheetName val="パラメータ一覧(AXSS.AXCS)"/>
      <sheetName val="ドメインリスト"/>
      <sheetName val="入力パラメータ"/>
      <sheetName val="多言語翻訳リスト"/>
      <sheetName val="リストデータ"/>
      <sheetName val="議事・勧告一覧"/>
      <sheetName val="課題管理"/>
      <sheetName val="集計"/>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image" Target="../media/image1.emf"/><Relationship Id="rId4" Type="http://schemas.openxmlformats.org/officeDocument/2006/relationships/oleObject" Target="../embeddings/oleObject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aip01.dndev.net/bitbucket/scm/aip_tp/tmcapp_ict1_alert.git" TargetMode="External"/></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hyperlink" Target="https://aip01.dndev.net/wiki/display/MET631B/D1L1+and+R-Car+Local+Communication+Specification" TargetMode="External"/><Relationship Id="rId1" Type="http://schemas.openxmlformats.org/officeDocument/2006/relationships/hyperlink" Target="https://aip01.dndev.net/svn/aip/tmcapp/sd/evidence/trunk/02_Design/01_Vom/Alert/03_Component/v5xx/alert_design.pptx" TargetMode="External"/></Relationships>
</file>

<file path=xl/worksheets/_rels/sheet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3.v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5.vml"/><Relationship Id="rId1" Type="http://schemas.openxmlformats.org/officeDocument/2006/relationships/drawing" Target="../drawings/drawing4.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BACAE3-0328-411F-BC07-1A1B280F2396}">
  <sheetPr>
    <tabColor theme="5"/>
  </sheetPr>
  <dimension ref="C1:AM57"/>
  <sheetViews>
    <sheetView showGridLines="0" tabSelected="1" view="pageBreakPreview" zoomScale="85" zoomScaleNormal="100" zoomScaleSheetLayoutView="85" workbookViewId="0"/>
  </sheetViews>
  <sheetFormatPr defaultColWidth="8.125" defaultRowHeight="15.75"/>
  <cols>
    <col min="1" max="52" width="2.125" style="259" customWidth="1"/>
    <col min="53" max="16384" width="8.125" style="259"/>
  </cols>
  <sheetData>
    <row r="1" spans="6:20" ht="13.15" customHeight="1"/>
    <row r="2" spans="6:20" ht="13.15" customHeight="1"/>
    <row r="3" spans="6:20" ht="13.15" customHeight="1"/>
    <row r="4" spans="6:20" ht="13.15" customHeight="1"/>
    <row r="5" spans="6:20" ht="13.15" customHeight="1"/>
    <row r="6" spans="6:20" ht="13.15" customHeight="1"/>
    <row r="7" spans="6:20" ht="13.15" customHeight="1"/>
    <row r="8" spans="6:20" ht="13.15" customHeight="1"/>
    <row r="9" spans="6:20" ht="13.15" customHeight="1"/>
    <row r="10" spans="6:20" ht="13.15" customHeight="1">
      <c r="F10" s="260"/>
    </row>
    <row r="11" spans="6:20" ht="13.15" customHeight="1"/>
    <row r="12" spans="6:20" ht="13.15" customHeight="1"/>
    <row r="13" spans="6:20" ht="13.15" customHeight="1">
      <c r="T13" s="261" t="str">
        <f ca="1">MID(CELL("filename",A1),FIND("[",CELL("filename",A1))+1,FIND("]",CELL("filename",A1))-FIND("[",CELL("filename",A1))-1)</f>
        <v>alert_D_ATFWRN-CSTD-0-00-B-C0.xlsx</v>
      </c>
    </row>
    <row r="14" spans="6:20" ht="13.15" customHeight="1"/>
    <row r="15" spans="6:20" ht="13.15" customHeight="1"/>
    <row r="16" spans="6:20" ht="13.15" customHeight="1"/>
    <row r="17" spans="3:22" ht="13.15" customHeight="1"/>
    <row r="18" spans="3:22" ht="13.15" customHeight="1"/>
    <row r="19" spans="3:22" ht="13.15" customHeight="1"/>
    <row r="20" spans="3:22" ht="13.15" customHeight="1"/>
    <row r="21" spans="3:22" ht="13.15" customHeight="1"/>
    <row r="22" spans="3:22" ht="13.15" customHeight="1"/>
    <row r="23" spans="3:22" ht="13.15" customHeight="1"/>
    <row r="24" spans="3:22" ht="13.15" customHeight="1"/>
    <row r="25" spans="3:22" ht="13.15" customHeight="1"/>
    <row r="26" spans="3:22" ht="13.15" customHeight="1"/>
    <row r="27" spans="3:22" ht="13.15" customHeight="1"/>
    <row r="28" spans="3:22" ht="13.15" customHeight="1"/>
    <row r="29" spans="3:22" ht="13.15" customHeight="1"/>
    <row r="30" spans="3:22" ht="13.15" customHeight="1"/>
    <row r="31" spans="3:22" ht="13.15" customHeight="1"/>
    <row r="32" spans="3:22" ht="13.15" customHeight="1">
      <c r="C32" s="262"/>
      <c r="V32" s="262"/>
    </row>
    <row r="33" spans="3:39" ht="13.15" customHeight="1">
      <c r="M33" s="263"/>
      <c r="N33" s="263"/>
      <c r="O33" s="263"/>
      <c r="P33" s="263"/>
      <c r="Q33" s="263"/>
      <c r="AF33" s="263"/>
      <c r="AG33" s="263"/>
      <c r="AH33" s="263"/>
      <c r="AI33" s="263"/>
      <c r="AJ33" s="263"/>
    </row>
    <row r="34" spans="3:39" ht="13.15" customHeight="1">
      <c r="Y34" s="262" t="s">
        <v>277</v>
      </c>
    </row>
    <row r="35" spans="3:39" ht="13.15" customHeight="1">
      <c r="Y35" s="280" t="s">
        <v>278</v>
      </c>
      <c r="Z35" s="281"/>
      <c r="AA35" s="281"/>
      <c r="AB35" s="281"/>
      <c r="AC35" s="282"/>
      <c r="AD35" s="280" t="s">
        <v>279</v>
      </c>
      <c r="AE35" s="281"/>
      <c r="AF35" s="281"/>
      <c r="AG35" s="281"/>
      <c r="AH35" s="282"/>
      <c r="AI35" s="280" t="s">
        <v>280</v>
      </c>
      <c r="AJ35" s="281"/>
      <c r="AK35" s="281"/>
      <c r="AL35" s="281"/>
      <c r="AM35" s="282"/>
    </row>
    <row r="36" spans="3:39" ht="13.15" customHeight="1">
      <c r="D36" s="263"/>
      <c r="E36" s="264"/>
      <c r="F36" s="263"/>
      <c r="G36" s="263"/>
      <c r="I36" s="263"/>
      <c r="J36" s="264"/>
      <c r="K36" s="263"/>
      <c r="L36" s="263"/>
      <c r="M36" s="263"/>
      <c r="N36" s="263"/>
      <c r="O36" s="264"/>
      <c r="P36" s="263"/>
      <c r="Q36" s="263"/>
      <c r="W36" s="263"/>
      <c r="X36" s="264"/>
      <c r="Y36" s="265"/>
      <c r="Z36" s="266"/>
      <c r="AA36" s="266"/>
      <c r="AB36" s="266"/>
      <c r="AC36" s="267"/>
      <c r="AD36" s="265"/>
      <c r="AE36" s="266"/>
      <c r="AF36" s="266"/>
      <c r="AG36" s="266"/>
      <c r="AH36" s="267"/>
      <c r="AI36" s="265"/>
      <c r="AJ36" s="266"/>
      <c r="AK36" s="266"/>
      <c r="AL36" s="266"/>
      <c r="AM36" s="267"/>
    </row>
    <row r="37" spans="3:39" ht="13.15" customHeight="1">
      <c r="Y37" s="268"/>
      <c r="AC37" s="269"/>
      <c r="AD37" s="268"/>
      <c r="AH37" s="269"/>
      <c r="AI37" s="268"/>
      <c r="AM37" s="269"/>
    </row>
    <row r="38" spans="3:39" ht="13.15" customHeight="1">
      <c r="Y38" s="268"/>
      <c r="Z38" s="263"/>
      <c r="AA38" s="264" t="s">
        <v>281</v>
      </c>
      <c r="AB38" s="263"/>
      <c r="AC38" s="270"/>
      <c r="AD38" s="268"/>
      <c r="AE38" s="263"/>
      <c r="AF38" s="264" t="s">
        <v>282</v>
      </c>
      <c r="AG38" s="263"/>
      <c r="AH38" s="270"/>
      <c r="AI38" s="271"/>
      <c r="AJ38" s="263"/>
      <c r="AK38" s="264" t="s">
        <v>283</v>
      </c>
      <c r="AL38" s="263"/>
      <c r="AM38" s="270"/>
    </row>
    <row r="39" spans="3:39" ht="13.15" customHeight="1">
      <c r="Y39" s="268"/>
      <c r="AC39" s="269"/>
      <c r="AD39" s="268"/>
      <c r="AH39" s="269"/>
      <c r="AI39" s="268"/>
      <c r="AM39" s="269"/>
    </row>
    <row r="40" spans="3:39" ht="13.15" customHeight="1">
      <c r="C40" s="262"/>
      <c r="V40" s="262"/>
      <c r="Y40" s="272"/>
      <c r="Z40" s="273"/>
      <c r="AA40" s="273"/>
      <c r="AB40" s="273"/>
      <c r="AC40" s="274"/>
      <c r="AD40" s="272"/>
      <c r="AE40" s="273"/>
      <c r="AF40" s="273"/>
      <c r="AG40" s="273"/>
      <c r="AH40" s="274"/>
      <c r="AI40" s="272"/>
      <c r="AJ40" s="273"/>
      <c r="AK40" s="273"/>
      <c r="AL40" s="273"/>
      <c r="AM40" s="274"/>
    </row>
    <row r="41" spans="3:39" ht="13.15" customHeight="1"/>
    <row r="42" spans="3:39" ht="13.15" customHeight="1">
      <c r="Y42" s="262" t="s">
        <v>284</v>
      </c>
    </row>
    <row r="43" spans="3:39" ht="13.15" customHeight="1">
      <c r="Y43" s="280" t="s">
        <v>278</v>
      </c>
      <c r="Z43" s="281"/>
      <c r="AA43" s="281"/>
      <c r="AB43" s="281"/>
      <c r="AC43" s="282"/>
      <c r="AD43" s="280" t="s">
        <v>279</v>
      </c>
      <c r="AE43" s="281"/>
      <c r="AF43" s="281"/>
      <c r="AG43" s="281"/>
      <c r="AH43" s="282"/>
      <c r="AI43" s="280" t="s">
        <v>280</v>
      </c>
      <c r="AJ43" s="281"/>
      <c r="AK43" s="281"/>
      <c r="AL43" s="281"/>
      <c r="AM43" s="282"/>
    </row>
    <row r="44" spans="3:39" ht="13.15" customHeight="1">
      <c r="D44" s="263"/>
      <c r="E44" s="264"/>
      <c r="F44" s="263"/>
      <c r="G44" s="263"/>
      <c r="H44" s="263"/>
      <c r="I44" s="263"/>
      <c r="J44" s="264"/>
      <c r="K44" s="263"/>
      <c r="L44" s="263"/>
      <c r="M44" s="263"/>
      <c r="N44" s="263"/>
      <c r="O44" s="264"/>
      <c r="P44" s="263"/>
      <c r="Q44" s="263"/>
      <c r="W44" s="263"/>
      <c r="X44" s="264"/>
      <c r="Y44" s="265"/>
      <c r="Z44" s="266"/>
      <c r="AA44" s="266"/>
      <c r="AB44" s="266"/>
      <c r="AC44" s="267"/>
      <c r="AD44" s="266"/>
      <c r="AE44" s="266"/>
      <c r="AF44" s="266"/>
      <c r="AG44" s="266"/>
      <c r="AH44" s="267"/>
      <c r="AI44" s="265"/>
      <c r="AJ44" s="266"/>
      <c r="AK44" s="266"/>
      <c r="AL44" s="266"/>
      <c r="AM44" s="267"/>
    </row>
    <row r="45" spans="3:39" ht="13.15" customHeight="1">
      <c r="Y45" s="268"/>
      <c r="AC45" s="269"/>
      <c r="AH45" s="269"/>
      <c r="AI45" s="268"/>
      <c r="AM45" s="269"/>
    </row>
    <row r="46" spans="3:39" ht="13.15" customHeight="1">
      <c r="Y46" s="268"/>
      <c r="Z46" s="263"/>
      <c r="AA46" s="264" t="s">
        <v>285</v>
      </c>
      <c r="AB46" s="263"/>
      <c r="AC46" s="270"/>
      <c r="AD46" s="263"/>
      <c r="AE46" s="263"/>
      <c r="AF46" s="264" t="s">
        <v>286</v>
      </c>
      <c r="AG46" s="263"/>
      <c r="AH46" s="270"/>
      <c r="AI46" s="271"/>
      <c r="AJ46" s="263"/>
      <c r="AK46" s="264" t="s">
        <v>287</v>
      </c>
      <c r="AL46" s="263"/>
      <c r="AM46" s="270"/>
    </row>
    <row r="47" spans="3:39" ht="13.15" customHeight="1">
      <c r="Y47" s="268"/>
      <c r="AC47" s="269"/>
      <c r="AH47" s="269"/>
      <c r="AI47" s="268"/>
      <c r="AM47" s="269"/>
    </row>
    <row r="48" spans="3:39" ht="13.15" customHeight="1">
      <c r="C48" s="262"/>
      <c r="V48" s="262"/>
      <c r="Y48" s="272"/>
      <c r="Z48" s="273"/>
      <c r="AA48" s="273"/>
      <c r="AB48" s="273"/>
      <c r="AC48" s="274"/>
      <c r="AD48" s="273"/>
      <c r="AE48" s="273"/>
      <c r="AF48" s="273"/>
      <c r="AG48" s="273"/>
      <c r="AH48" s="274"/>
      <c r="AI48" s="272"/>
      <c r="AJ48" s="273"/>
      <c r="AK48" s="273"/>
      <c r="AL48" s="273"/>
      <c r="AM48" s="274"/>
    </row>
    <row r="49" spans="4:39" ht="13.15" customHeight="1"/>
    <row r="50" spans="4:39" ht="13.15" customHeight="1">
      <c r="Y50" s="262" t="s">
        <v>288</v>
      </c>
    </row>
    <row r="51" spans="4:39" ht="13.15" customHeight="1">
      <c r="Y51" s="280" t="s">
        <v>278</v>
      </c>
      <c r="Z51" s="281"/>
      <c r="AA51" s="281"/>
      <c r="AB51" s="281"/>
      <c r="AC51" s="282"/>
      <c r="AD51" s="280" t="s">
        <v>279</v>
      </c>
      <c r="AE51" s="281"/>
      <c r="AF51" s="281"/>
      <c r="AG51" s="281"/>
      <c r="AH51" s="282"/>
      <c r="AI51" s="280" t="s">
        <v>280</v>
      </c>
      <c r="AJ51" s="281"/>
      <c r="AK51" s="281"/>
      <c r="AL51" s="281"/>
      <c r="AM51" s="282"/>
    </row>
    <row r="52" spans="4:39" ht="13.15" customHeight="1">
      <c r="D52" s="263"/>
      <c r="E52" s="264"/>
      <c r="F52" s="263"/>
      <c r="G52" s="263"/>
      <c r="H52" s="263"/>
      <c r="I52" s="263"/>
      <c r="J52" s="264"/>
      <c r="K52" s="263"/>
      <c r="L52" s="263"/>
      <c r="M52" s="263"/>
      <c r="N52" s="263"/>
      <c r="O52" s="264"/>
      <c r="P52" s="263"/>
      <c r="Q52" s="263"/>
      <c r="W52" s="263"/>
      <c r="X52" s="264"/>
      <c r="Y52" s="265"/>
      <c r="Z52" s="266"/>
      <c r="AA52" s="266"/>
      <c r="AB52" s="266"/>
      <c r="AC52" s="267"/>
      <c r="AD52" s="266"/>
      <c r="AE52" s="266"/>
      <c r="AF52" s="266"/>
      <c r="AG52" s="266"/>
      <c r="AH52" s="267"/>
      <c r="AI52" s="265"/>
      <c r="AJ52" s="266"/>
      <c r="AK52" s="266"/>
      <c r="AL52" s="266"/>
      <c r="AM52" s="267"/>
    </row>
    <row r="53" spans="4:39" ht="13.15" customHeight="1">
      <c r="Y53" s="268"/>
      <c r="AC53" s="269"/>
      <c r="AH53" s="269"/>
      <c r="AI53" s="268"/>
      <c r="AM53" s="269"/>
    </row>
    <row r="54" spans="4:39" ht="13.15" customHeight="1">
      <c r="Y54" s="268"/>
      <c r="Z54" s="263"/>
      <c r="AA54" s="264" t="s">
        <v>289</v>
      </c>
      <c r="AB54" s="263"/>
      <c r="AC54" s="270"/>
      <c r="AD54" s="263"/>
      <c r="AE54" s="263"/>
      <c r="AF54" s="264" t="s">
        <v>290</v>
      </c>
      <c r="AG54" s="263"/>
      <c r="AH54" s="270"/>
      <c r="AI54" s="271"/>
      <c r="AJ54" s="263"/>
      <c r="AK54" s="264" t="s">
        <v>287</v>
      </c>
      <c r="AL54" s="263"/>
      <c r="AM54" s="270"/>
    </row>
    <row r="55" spans="4:39" ht="13.15" customHeight="1">
      <c r="Y55" s="268"/>
      <c r="AC55" s="269"/>
      <c r="AH55" s="269"/>
      <c r="AI55" s="268"/>
      <c r="AM55" s="269"/>
    </row>
    <row r="56" spans="4:39" ht="13.15" customHeight="1">
      <c r="Y56" s="272"/>
      <c r="Z56" s="273"/>
      <c r="AA56" s="273"/>
      <c r="AB56" s="273"/>
      <c r="AC56" s="274"/>
      <c r="AD56" s="273"/>
      <c r="AE56" s="273"/>
      <c r="AF56" s="273"/>
      <c r="AG56" s="273"/>
      <c r="AH56" s="274"/>
      <c r="AI56" s="272"/>
      <c r="AJ56" s="273"/>
      <c r="AK56" s="273"/>
      <c r="AL56" s="273"/>
      <c r="AM56" s="274"/>
    </row>
    <row r="57" spans="4:39" ht="13.15" customHeight="1">
      <c r="AK57" s="259" t="s">
        <v>291</v>
      </c>
    </row>
  </sheetData>
  <mergeCells count="9">
    <mergeCell ref="Y51:AC51"/>
    <mergeCell ref="AD51:AH51"/>
    <mergeCell ref="AI51:AM51"/>
    <mergeCell ref="Y35:AC35"/>
    <mergeCell ref="AD35:AH35"/>
    <mergeCell ref="AI35:AM35"/>
    <mergeCell ref="Y43:AC43"/>
    <mergeCell ref="AD43:AH43"/>
    <mergeCell ref="AI43:AM43"/>
  </mergeCells>
  <phoneticPr fontId="2"/>
  <pageMargins left="0.7" right="0.7" top="0.75" bottom="0.75" header="0.3" footer="0.3"/>
  <pageSetup paperSize="9" scale="78" orientation="portrait" r:id="rId1"/>
  <drawing r:id="rId2"/>
  <legacyDrawing r:id="rId3"/>
  <oleObjects>
    <mc:AlternateContent xmlns:mc="http://schemas.openxmlformats.org/markup-compatibility/2006">
      <mc:Choice Requires="x14">
        <oleObject progId="Dstmp.StampObject.7" shapeId="25601" r:id="rId4">
          <objectPr defaultSize="0" r:id="rId5">
            <anchor>
              <from>
                <xdr:col>34</xdr:col>
                <xdr:colOff>38100</xdr:colOff>
                <xdr:row>43</xdr:row>
                <xdr:rowOff>66675</xdr:rowOff>
              </from>
              <to>
                <xdr:col>38</xdr:col>
                <xdr:colOff>85725</xdr:colOff>
                <xdr:row>47</xdr:row>
                <xdr:rowOff>104775</xdr:rowOff>
              </to>
            </anchor>
          </objectPr>
        </oleObject>
      </mc:Choice>
      <mc:Fallback>
        <oleObject progId="Dstmp.StampObject.7" shapeId="25601" r:id="rId4"/>
      </mc:Fallback>
    </mc:AlternateContent>
  </oleObjec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X13"/>
  <sheetViews>
    <sheetView showGridLines="0" zoomScale="85" zoomScaleNormal="85" workbookViewId="0"/>
  </sheetViews>
  <sheetFormatPr defaultRowHeight="13.5"/>
  <cols>
    <col min="1" max="1" width="4.5" customWidth="1"/>
    <col min="2" max="2" width="9" style="10" hidden="1" customWidth="1"/>
    <col min="4" max="4" width="69.5" customWidth="1"/>
    <col min="5" max="6" width="12.75" customWidth="1"/>
    <col min="7" max="18" width="13.125" customWidth="1"/>
  </cols>
  <sheetData>
    <row r="2" spans="2:24" ht="25.5" customHeight="1">
      <c r="C2" s="7"/>
      <c r="D2" s="7"/>
      <c r="E2" s="7"/>
      <c r="F2" s="7"/>
      <c r="H2" s="8" t="s">
        <v>13</v>
      </c>
      <c r="I2" s="283" t="s">
        <v>14</v>
      </c>
      <c r="J2" s="283"/>
      <c r="K2" s="283"/>
      <c r="L2" s="283"/>
      <c r="M2" s="283"/>
      <c r="N2" s="283"/>
      <c r="O2" s="283"/>
      <c r="P2" s="283"/>
      <c r="Q2" s="283"/>
      <c r="R2" s="283"/>
    </row>
    <row r="3" spans="2:24" ht="25.5" customHeight="1">
      <c r="C3" s="7"/>
      <c r="D3" s="11" t="str">
        <f ca="1">REPLACE(LEFT(CELL("filename",$B$1),FIND(".xls",CELL("filename",$B$1))-1),1,FIND("[",CELL("filename",$B$1)),)</f>
        <v>alert_D_ATFWRN-CSTD-0-00-B-C0</v>
      </c>
      <c r="E3" s="7"/>
      <c r="F3" s="7"/>
      <c r="H3" s="9" t="s">
        <v>173</v>
      </c>
      <c r="I3" s="284" t="s">
        <v>172</v>
      </c>
      <c r="J3" s="285"/>
      <c r="K3" s="285"/>
      <c r="L3" s="285"/>
      <c r="M3" s="285"/>
      <c r="N3" s="285"/>
      <c r="O3" s="285"/>
      <c r="P3" s="285"/>
      <c r="Q3" s="285"/>
      <c r="R3" s="285"/>
    </row>
    <row r="4" spans="2:24" ht="25.5" customHeight="1">
      <c r="C4" s="7"/>
      <c r="D4" s="7"/>
      <c r="E4" s="25" t="str">
        <f>DGET(B8:C14,"Ver.",H4:H5)</f>
        <v>1.1.0</v>
      </c>
      <c r="F4" s="7"/>
      <c r="H4" s="10" t="s">
        <v>15</v>
      </c>
    </row>
    <row r="5" spans="2:24" ht="25.5" customHeight="1">
      <c r="C5" s="7"/>
      <c r="D5" s="7"/>
      <c r="E5" s="7"/>
      <c r="F5" s="7"/>
      <c r="H5" s="12">
        <f>MAX(B9:B14)</f>
        <v>3</v>
      </c>
    </row>
    <row r="6" spans="2:24" ht="14.25" thickBot="1"/>
    <row r="7" spans="2:24">
      <c r="C7" s="289" t="s">
        <v>0</v>
      </c>
      <c r="D7" s="290"/>
      <c r="E7" s="291" t="s">
        <v>2</v>
      </c>
      <c r="F7" s="291"/>
      <c r="G7" s="292" t="s">
        <v>5</v>
      </c>
      <c r="H7" s="292"/>
      <c r="I7" s="292"/>
      <c r="J7" s="292"/>
      <c r="K7" s="292"/>
      <c r="L7" s="292"/>
      <c r="M7" s="293" t="s">
        <v>12</v>
      </c>
      <c r="N7" s="293"/>
      <c r="O7" s="293"/>
      <c r="P7" s="293"/>
      <c r="Q7" s="293"/>
      <c r="R7" s="294"/>
      <c r="S7" s="286" t="s">
        <v>292</v>
      </c>
      <c r="T7" s="287"/>
      <c r="U7" s="287"/>
      <c r="V7" s="287"/>
      <c r="W7" s="287"/>
      <c r="X7" s="288"/>
    </row>
    <row r="8" spans="2:24" ht="27.75" thickBot="1">
      <c r="B8" s="10" t="s">
        <v>91</v>
      </c>
      <c r="C8" s="16" t="s">
        <v>16</v>
      </c>
      <c r="D8" s="17" t="s">
        <v>1</v>
      </c>
      <c r="E8" s="18" t="s">
        <v>3</v>
      </c>
      <c r="F8" s="19" t="s">
        <v>4</v>
      </c>
      <c r="G8" s="20" t="s">
        <v>6</v>
      </c>
      <c r="H8" s="20" t="s">
        <v>7</v>
      </c>
      <c r="I8" s="20" t="s">
        <v>8</v>
      </c>
      <c r="J8" s="20" t="s">
        <v>9</v>
      </c>
      <c r="K8" s="20" t="s">
        <v>10</v>
      </c>
      <c r="L8" s="20" t="s">
        <v>11</v>
      </c>
      <c r="M8" s="21" t="s">
        <v>6</v>
      </c>
      <c r="N8" s="21" t="s">
        <v>7</v>
      </c>
      <c r="O8" s="21" t="s">
        <v>8</v>
      </c>
      <c r="P8" s="21" t="s">
        <v>9</v>
      </c>
      <c r="Q8" s="21" t="s">
        <v>10</v>
      </c>
      <c r="R8" s="22" t="s">
        <v>11</v>
      </c>
      <c r="S8" s="275" t="s">
        <v>293</v>
      </c>
      <c r="T8" s="276" t="s">
        <v>7</v>
      </c>
      <c r="U8" s="276" t="s">
        <v>8</v>
      </c>
      <c r="V8" s="276" t="s">
        <v>9</v>
      </c>
      <c r="W8" s="276" t="s">
        <v>10</v>
      </c>
      <c r="X8" s="277" t="s">
        <v>11</v>
      </c>
    </row>
    <row r="9" spans="2:24" ht="14.25" thickTop="1">
      <c r="B9" s="10">
        <f>IF(C9=0,0,ROW()-ROW($B$8))</f>
        <v>1</v>
      </c>
      <c r="C9" s="13" t="s">
        <v>195</v>
      </c>
      <c r="D9" s="14" t="s">
        <v>225</v>
      </c>
      <c r="E9" s="14" t="s">
        <v>31</v>
      </c>
      <c r="F9" s="14" t="s">
        <v>196</v>
      </c>
      <c r="G9" s="14" t="s">
        <v>31</v>
      </c>
      <c r="H9" s="14" t="s">
        <v>31</v>
      </c>
      <c r="I9" s="14" t="s">
        <v>31</v>
      </c>
      <c r="J9" s="14" t="s">
        <v>31</v>
      </c>
      <c r="K9" s="14" t="s">
        <v>31</v>
      </c>
      <c r="L9" s="14" t="s">
        <v>31</v>
      </c>
      <c r="M9" s="14"/>
      <c r="N9" s="200"/>
      <c r="O9" s="14"/>
      <c r="P9" s="200"/>
      <c r="Q9" s="14" t="s">
        <v>226</v>
      </c>
      <c r="R9" s="194">
        <v>44281</v>
      </c>
      <c r="S9" s="278"/>
      <c r="T9" s="1"/>
      <c r="U9" s="1"/>
      <c r="V9" s="1"/>
      <c r="W9" s="1"/>
      <c r="X9" s="203"/>
    </row>
    <row r="10" spans="2:24" ht="40.5">
      <c r="B10" s="10">
        <f t="shared" ref="B10:B13" si="0">IF(C10=0,0,ROW()-ROW($B$8))</f>
        <v>2</v>
      </c>
      <c r="C10" s="2" t="s">
        <v>250</v>
      </c>
      <c r="D10" s="202" t="s">
        <v>252</v>
      </c>
      <c r="E10" s="1" t="s">
        <v>31</v>
      </c>
      <c r="F10" s="1" t="s">
        <v>196</v>
      </c>
      <c r="G10" s="1" t="s">
        <v>31</v>
      </c>
      <c r="H10" s="1" t="s">
        <v>31</v>
      </c>
      <c r="I10" s="1" t="s">
        <v>31</v>
      </c>
      <c r="J10" s="1" t="s">
        <v>31</v>
      </c>
      <c r="K10" s="1" t="s">
        <v>31</v>
      </c>
      <c r="L10" s="1" t="s">
        <v>31</v>
      </c>
      <c r="M10" s="1"/>
      <c r="N10" s="1"/>
      <c r="O10" s="1"/>
      <c r="P10" s="1"/>
      <c r="Q10" s="212" t="s">
        <v>251</v>
      </c>
      <c r="R10" s="203">
        <v>44350</v>
      </c>
      <c r="S10" s="278"/>
      <c r="T10" s="1"/>
      <c r="U10" s="1"/>
      <c r="V10" s="1"/>
      <c r="W10" s="1"/>
      <c r="X10" s="203"/>
    </row>
    <row r="11" spans="2:24" ht="27">
      <c r="B11" s="10">
        <f t="shared" si="0"/>
        <v>3</v>
      </c>
      <c r="C11" s="2" t="s">
        <v>295</v>
      </c>
      <c r="D11" s="202" t="s">
        <v>296</v>
      </c>
      <c r="E11" s="1" t="s">
        <v>31</v>
      </c>
      <c r="F11" s="1" t="s">
        <v>196</v>
      </c>
      <c r="G11" s="1"/>
      <c r="H11" s="1"/>
      <c r="I11" s="1"/>
      <c r="J11" s="1"/>
      <c r="K11" s="1"/>
      <c r="L11" s="1"/>
      <c r="M11" s="1"/>
      <c r="N11" s="1"/>
      <c r="O11" s="1"/>
      <c r="P11" s="1"/>
      <c r="Q11" s="1"/>
      <c r="R11" s="203"/>
      <c r="S11" s="278"/>
      <c r="T11" s="1"/>
      <c r="U11" s="1"/>
      <c r="V11" s="1"/>
      <c r="W11" s="1" t="s">
        <v>294</v>
      </c>
      <c r="X11" s="203">
        <v>45387</v>
      </c>
    </row>
    <row r="12" spans="2:24">
      <c r="B12" s="10">
        <f t="shared" si="0"/>
        <v>0</v>
      </c>
      <c r="C12" s="2"/>
      <c r="D12" s="1"/>
      <c r="E12" s="1"/>
      <c r="F12" s="1"/>
      <c r="G12" s="1"/>
      <c r="H12" s="1"/>
      <c r="I12" s="1"/>
      <c r="J12" s="1"/>
      <c r="K12" s="1"/>
      <c r="L12" s="1"/>
      <c r="M12" s="1"/>
      <c r="N12" s="1"/>
      <c r="O12" s="1"/>
      <c r="P12" s="1"/>
      <c r="Q12" s="1"/>
      <c r="R12" s="3"/>
      <c r="S12" s="278"/>
      <c r="T12" s="1"/>
      <c r="U12" s="1"/>
      <c r="V12" s="1"/>
      <c r="W12" s="1"/>
      <c r="X12" s="75"/>
    </row>
    <row r="13" spans="2:24" ht="14.25" thickBot="1">
      <c r="B13" s="10">
        <f t="shared" si="0"/>
        <v>0</v>
      </c>
      <c r="C13" s="4"/>
      <c r="D13" s="5"/>
      <c r="E13" s="5"/>
      <c r="F13" s="5"/>
      <c r="G13" s="5"/>
      <c r="H13" s="5"/>
      <c r="I13" s="5"/>
      <c r="J13" s="5"/>
      <c r="K13" s="5"/>
      <c r="L13" s="5"/>
      <c r="M13" s="5"/>
      <c r="N13" s="5"/>
      <c r="O13" s="5"/>
      <c r="P13" s="5"/>
      <c r="Q13" s="5"/>
      <c r="R13" s="6"/>
      <c r="S13" s="279"/>
      <c r="T13" s="5"/>
      <c r="U13" s="5"/>
      <c r="V13" s="5"/>
      <c r="W13" s="5"/>
      <c r="X13" s="6"/>
    </row>
  </sheetData>
  <mergeCells count="7">
    <mergeCell ref="I2:R2"/>
    <mergeCell ref="I3:R3"/>
    <mergeCell ref="S7:X7"/>
    <mergeCell ref="C7:D7"/>
    <mergeCell ref="E7:F7"/>
    <mergeCell ref="G7:L7"/>
    <mergeCell ref="M7:R7"/>
  </mergeCells>
  <phoneticPr fontId="2"/>
  <hyperlinks>
    <hyperlink ref="I3" r:id="rId1" xr:uid="{00000000-0004-0000-0000-000000000000}"/>
  </hyperlinks>
  <pageMargins left="0.7" right="0.7" top="0.75" bottom="0.75" header="0.3" footer="0.3"/>
  <pageSetup paperSize="9"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dimension ref="B2:E39"/>
  <sheetViews>
    <sheetView zoomScale="85" zoomScaleNormal="85" workbookViewId="0"/>
  </sheetViews>
  <sheetFormatPr defaultRowHeight="13.5"/>
  <cols>
    <col min="2" max="2" width="4.625" customWidth="1"/>
    <col min="3" max="3" width="3.5" customWidth="1"/>
    <col min="4" max="4" width="17.5" customWidth="1"/>
    <col min="5" max="5" width="106" customWidth="1"/>
  </cols>
  <sheetData>
    <row r="2" spans="2:5">
      <c r="B2" s="157" t="s">
        <v>127</v>
      </c>
    </row>
    <row r="3" spans="2:5">
      <c r="C3" t="s">
        <v>137</v>
      </c>
    </row>
    <row r="6" spans="2:5" ht="14.25" thickBot="1">
      <c r="B6" s="157" t="s">
        <v>128</v>
      </c>
      <c r="C6" s="157"/>
    </row>
    <row r="7" spans="2:5" ht="14.25" thickBot="1">
      <c r="C7" s="79" t="s">
        <v>130</v>
      </c>
      <c r="D7" s="87"/>
      <c r="E7" s="80" t="s">
        <v>138</v>
      </c>
    </row>
    <row r="8" spans="2:5" ht="20.25" customHeight="1" thickTop="1">
      <c r="C8" s="161">
        <v>0</v>
      </c>
      <c r="D8" s="88" t="s">
        <v>139</v>
      </c>
      <c r="E8" s="160" t="s">
        <v>140</v>
      </c>
    </row>
    <row r="9" spans="2:5" ht="27">
      <c r="C9" s="167">
        <v>1</v>
      </c>
      <c r="D9" s="169" t="s">
        <v>159</v>
      </c>
      <c r="E9" s="168" t="s">
        <v>158</v>
      </c>
    </row>
    <row r="10" spans="2:5" ht="14.25" thickBot="1">
      <c r="C10" s="165"/>
      <c r="D10" s="90"/>
      <c r="E10" s="6"/>
    </row>
    <row r="11" spans="2:5">
      <c r="C11" s="163"/>
    </row>
    <row r="12" spans="2:5" ht="14.25" thickBot="1">
      <c r="B12" s="158" t="s">
        <v>129</v>
      </c>
      <c r="C12" s="86"/>
      <c r="D12" s="86"/>
    </row>
    <row r="13" spans="2:5" ht="14.25" thickBot="1">
      <c r="B13" s="159"/>
      <c r="C13" s="164" t="s">
        <v>130</v>
      </c>
      <c r="D13" s="87" t="s">
        <v>131</v>
      </c>
      <c r="E13" s="80" t="s">
        <v>132</v>
      </c>
    </row>
    <row r="14" spans="2:5" ht="14.25" thickTop="1">
      <c r="C14" s="161">
        <v>0</v>
      </c>
      <c r="D14" s="88" t="s">
        <v>145</v>
      </c>
      <c r="E14" s="166" t="s">
        <v>146</v>
      </c>
    </row>
    <row r="15" spans="2:5">
      <c r="C15" s="162">
        <v>1</v>
      </c>
      <c r="D15" s="89" t="s">
        <v>23</v>
      </c>
      <c r="E15" s="75" t="s">
        <v>133</v>
      </c>
    </row>
    <row r="16" spans="2:5">
      <c r="C16" s="162">
        <v>2</v>
      </c>
      <c r="D16" s="89" t="s">
        <v>24</v>
      </c>
      <c r="E16" s="75" t="s">
        <v>134</v>
      </c>
    </row>
    <row r="17" spans="2:5">
      <c r="C17" s="162">
        <v>3</v>
      </c>
      <c r="D17" s="89" t="s">
        <v>25</v>
      </c>
      <c r="E17" s="75" t="s">
        <v>135</v>
      </c>
    </row>
    <row r="18" spans="2:5">
      <c r="C18" s="162">
        <v>4</v>
      </c>
      <c r="D18" s="89" t="s">
        <v>26</v>
      </c>
      <c r="E18" s="75" t="s">
        <v>136</v>
      </c>
    </row>
    <row r="19" spans="2:5">
      <c r="C19" s="162">
        <v>5</v>
      </c>
      <c r="D19" s="89" t="s">
        <v>147</v>
      </c>
      <c r="E19" s="75" t="s">
        <v>149</v>
      </c>
    </row>
    <row r="20" spans="2:5">
      <c r="C20" s="162">
        <v>6</v>
      </c>
      <c r="D20" s="89" t="s">
        <v>153</v>
      </c>
      <c r="E20" s="75" t="s">
        <v>167</v>
      </c>
    </row>
    <row r="21" spans="2:5" ht="14.25" thickBot="1">
      <c r="C21" s="165"/>
      <c r="D21" s="90"/>
      <c r="E21" s="6"/>
    </row>
    <row r="24" spans="2:5" ht="14.25" thickBot="1">
      <c r="B24" s="157" t="s">
        <v>141</v>
      </c>
    </row>
    <row r="25" spans="2:5" ht="14.25" thickBot="1">
      <c r="C25" s="164" t="s">
        <v>130</v>
      </c>
      <c r="D25" s="87" t="s">
        <v>131</v>
      </c>
      <c r="E25" s="80" t="s">
        <v>132</v>
      </c>
    </row>
    <row r="26" spans="2:5" ht="30.75" customHeight="1" thickTop="1">
      <c r="C26" s="161">
        <v>0</v>
      </c>
      <c r="D26" s="88" t="s">
        <v>142</v>
      </c>
      <c r="E26" s="166" t="s">
        <v>150</v>
      </c>
    </row>
    <row r="27" spans="2:5" ht="120" customHeight="1">
      <c r="C27" s="162">
        <v>1</v>
      </c>
      <c r="D27" s="89" t="s">
        <v>169</v>
      </c>
      <c r="E27" s="91" t="s">
        <v>171</v>
      </c>
    </row>
    <row r="28" spans="2:5" ht="81" customHeight="1">
      <c r="C28" s="162">
        <v>2</v>
      </c>
      <c r="D28" s="89" t="s">
        <v>166</v>
      </c>
      <c r="E28" s="91" t="s">
        <v>177</v>
      </c>
    </row>
    <row r="29" spans="2:5" ht="45" customHeight="1">
      <c r="C29" s="162">
        <v>3</v>
      </c>
      <c r="D29" s="89" t="s">
        <v>148</v>
      </c>
      <c r="E29" s="91" t="s">
        <v>151</v>
      </c>
    </row>
    <row r="30" spans="2:5" ht="16.5" customHeight="1">
      <c r="C30" s="162">
        <v>4</v>
      </c>
      <c r="D30" s="89" t="s">
        <v>143</v>
      </c>
      <c r="E30" s="75" t="s">
        <v>157</v>
      </c>
    </row>
    <row r="31" spans="2:5" ht="16.5" customHeight="1">
      <c r="C31" s="162">
        <v>5</v>
      </c>
      <c r="D31" s="89" t="s">
        <v>144</v>
      </c>
      <c r="E31" s="75" t="s">
        <v>152</v>
      </c>
    </row>
    <row r="32" spans="2:5">
      <c r="C32" s="162"/>
      <c r="D32" s="89"/>
      <c r="E32" s="75"/>
    </row>
    <row r="33" spans="2:5">
      <c r="C33" s="162"/>
      <c r="D33" s="89"/>
      <c r="E33" s="75"/>
    </row>
    <row r="34" spans="2:5" ht="14.25" thickBot="1">
      <c r="C34" s="165"/>
      <c r="D34" s="90"/>
      <c r="E34" s="6"/>
    </row>
    <row r="37" spans="2:5" ht="14.25" thickBot="1">
      <c r="B37" s="157" t="s">
        <v>163</v>
      </c>
    </row>
    <row r="38" spans="2:5">
      <c r="C38" s="295"/>
      <c r="D38" s="296"/>
      <c r="E38" s="115" t="s">
        <v>117</v>
      </c>
    </row>
    <row r="39" spans="2:5" ht="14.25" thickBot="1">
      <c r="C39" s="297"/>
      <c r="D39" s="298"/>
      <c r="E39" s="6" t="s">
        <v>118</v>
      </c>
    </row>
  </sheetData>
  <mergeCells count="2">
    <mergeCell ref="C38:D38"/>
    <mergeCell ref="C39:D39"/>
  </mergeCells>
  <phoneticPr fontId="2"/>
  <hyperlinks>
    <hyperlink ref="E8" r:id="rId1" xr:uid="{00000000-0004-0000-0100-000000000000}"/>
    <hyperlink ref="E9" r:id="rId2" xr:uid="{00000000-0004-0000-0100-000001000000}"/>
  </hyperlinks>
  <pageMargins left="0.7" right="0.7" top="0.75" bottom="0.75" header="0.3" footer="0.3"/>
  <pageSetup paperSize="9" orientation="portrait"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rgb="FFCCFFCC"/>
  </sheetPr>
  <dimension ref="B1:N37"/>
  <sheetViews>
    <sheetView workbookViewId="0"/>
  </sheetViews>
  <sheetFormatPr defaultRowHeight="13.5"/>
  <cols>
    <col min="2" max="2" width="3.75" bestFit="1" customWidth="1"/>
    <col min="3" max="3" width="9.125" bestFit="1" customWidth="1"/>
    <col min="4" max="4" width="19.125" bestFit="1" customWidth="1"/>
    <col min="6" max="8" width="26.75" customWidth="1"/>
    <col min="9" max="9" width="20.875" hidden="1" customWidth="1"/>
    <col min="10" max="14" width="9" hidden="1" customWidth="1"/>
  </cols>
  <sheetData>
    <row r="1" spans="2:14" ht="14.25" thickBot="1"/>
    <row r="2" spans="2:14">
      <c r="B2" s="324" t="s">
        <v>18</v>
      </c>
      <c r="C2" s="325"/>
      <c r="D2" s="312" t="s">
        <v>227</v>
      </c>
      <c r="E2" s="313"/>
      <c r="F2" s="313"/>
      <c r="G2" s="313"/>
      <c r="H2" s="314"/>
    </row>
    <row r="3" spans="2:14" ht="13.5" customHeight="1">
      <c r="B3" s="299" t="s">
        <v>115</v>
      </c>
      <c r="C3" s="300"/>
      <c r="D3" s="315" t="s">
        <v>276</v>
      </c>
      <c r="E3" s="316"/>
      <c r="F3" s="316"/>
      <c r="G3" s="316"/>
      <c r="H3" s="317"/>
    </row>
    <row r="4" spans="2:14" ht="14.25" thickBot="1">
      <c r="B4" s="310" t="s">
        <v>17</v>
      </c>
      <c r="C4" s="311"/>
      <c r="D4" s="318" t="str">
        <f ca="1">表紙!D3&amp;".c"</f>
        <v>alert_D_ATFWRN-CSTD-0-00-B-C0.c</v>
      </c>
      <c r="E4" s="319"/>
      <c r="F4" s="319"/>
      <c r="G4" s="319"/>
      <c r="H4" s="320"/>
    </row>
    <row r="5" spans="2:14" ht="14.25" thickBot="1">
      <c r="D5" t="str">
        <f ca="1">IF(LEN(表紙!D3&amp;".c") = LENB(表紙!D3&amp;".c"),"※モジュール名 全角チェックOK","※モジュール名 全角チェックNG：ファイル名に全角文字が使用されています！")</f>
        <v>※モジュール名 全角チェックOK</v>
      </c>
    </row>
    <row r="6" spans="2:14">
      <c r="B6" s="324" t="s">
        <v>35</v>
      </c>
      <c r="C6" s="325"/>
      <c r="D6" s="321" t="str">
        <f ca="1">MID(D4, LEN("alert_") + 1, FIND("-",D4,1) - LEN("alert_") - 1)</f>
        <v>D_ATFWRN</v>
      </c>
      <c r="E6" s="322"/>
      <c r="F6" s="322"/>
      <c r="G6" s="322"/>
      <c r="H6" s="323"/>
    </row>
    <row r="7" spans="2:14">
      <c r="B7" s="299" t="s">
        <v>36</v>
      </c>
      <c r="C7" s="300"/>
      <c r="D7" s="301">
        <f>COUNTA($D$13:$D$37)</f>
        <v>2</v>
      </c>
      <c r="E7" s="302"/>
      <c r="F7" s="302"/>
      <c r="G7" s="302"/>
      <c r="H7" s="303"/>
    </row>
    <row r="8" spans="2:14">
      <c r="B8" s="299" t="s">
        <v>94</v>
      </c>
      <c r="C8" s="300"/>
      <c r="D8" s="301" t="str">
        <f ca="1">"st_gp_ALERT_"&amp;UPPER(D6)&amp;"_MTRX"</f>
        <v>st_gp_ALERT_D_ATFWRN_MTRX</v>
      </c>
      <c r="E8" s="302"/>
      <c r="F8" s="302"/>
      <c r="G8" s="302"/>
      <c r="H8" s="303"/>
    </row>
    <row r="9" spans="2:14">
      <c r="B9" s="299" t="s">
        <v>37</v>
      </c>
      <c r="C9" s="300"/>
      <c r="D9" s="304" t="s">
        <v>228</v>
      </c>
      <c r="E9" s="305"/>
      <c r="F9" s="305"/>
      <c r="G9" s="305"/>
      <c r="H9" s="306"/>
    </row>
    <row r="10" spans="2:14" ht="14.25" thickBot="1">
      <c r="B10" s="310" t="s">
        <v>43</v>
      </c>
      <c r="C10" s="311"/>
      <c r="D10" s="307"/>
      <c r="E10" s="308"/>
      <c r="F10" s="308"/>
      <c r="G10" s="308"/>
      <c r="H10" s="309"/>
    </row>
    <row r="11" spans="2:14" ht="14.25" thickBot="1"/>
    <row r="12" spans="2:14" ht="14.25" thickBot="1">
      <c r="B12" s="148" t="s">
        <v>33</v>
      </c>
      <c r="C12" s="105" t="s">
        <v>42</v>
      </c>
      <c r="D12" s="106" t="s">
        <v>34</v>
      </c>
      <c r="E12" s="106" t="s">
        <v>38</v>
      </c>
      <c r="F12" s="106" t="s">
        <v>39</v>
      </c>
      <c r="G12" s="106" t="s">
        <v>40</v>
      </c>
      <c r="H12" s="107" t="s">
        <v>41</v>
      </c>
      <c r="I12" s="153" t="s">
        <v>50</v>
      </c>
      <c r="K12" s="46" t="s">
        <v>44</v>
      </c>
      <c r="L12" s="46" t="s">
        <v>37</v>
      </c>
      <c r="M12" t="s">
        <v>86</v>
      </c>
    </row>
    <row r="13" spans="2:14" ht="14.25" thickTop="1">
      <c r="B13" s="108">
        <v>1</v>
      </c>
      <c r="C13" s="113" t="s">
        <v>253</v>
      </c>
      <c r="D13" s="114" t="s">
        <v>47</v>
      </c>
      <c r="E13" s="114" t="s">
        <v>162</v>
      </c>
      <c r="F13" s="52" t="str">
        <f t="shared" ref="F13:F37" ca="1" si="0">IF($D13&lt;&gt;"","u4_s_Alert"&amp;UPPER(LEFT($D$6,1))&amp;LOWER(MID($D$6,2,100))&amp;IF($D$7=1,"",N13)&amp;"Srcchk","")</f>
        <v>u4_s_AlertD_atfwrnPdSrcchk</v>
      </c>
      <c r="G13" s="52" t="str">
        <f t="shared" ref="G13:G37" si="1">IF($D13&lt;&gt;"",IF($E13="○","vd_s_Alert"&amp;UPPER(LEFT($D$6,1))&amp;LOWER(MID($D$6,2,100))&amp;IF($D$7=1,"",N13)&amp;"RwTx","NULL"),"")</f>
        <v>NULL</v>
      </c>
      <c r="H13" s="112" t="str">
        <f ca="1">IF($D13&lt;&gt;"","ALERT_CH_"&amp;UPPER($D$6)&amp;IF($D$7=1,"","_"&amp;UPPER($C13)),"")</f>
        <v>ALERT_CH_D_ATFWRN_PD</v>
      </c>
      <c r="I13" s="154" t="str">
        <f ca="1">IF($D13&lt;&gt;"","ALERT_REQ_"&amp;UPPER($D$6)&amp;IF($D$7=1,"","_"&amp;UPPER($C13)),"")</f>
        <v>ALERT_REQ_D_ATFWRN_PD</v>
      </c>
      <c r="K13" t="s">
        <v>45</v>
      </c>
      <c r="L13" t="s">
        <v>49</v>
      </c>
      <c r="M13" t="e">
        <f t="shared" ref="M13:M37" si="2">FIND("_",C13,1)</f>
        <v>#VALUE!</v>
      </c>
      <c r="N13" t="str">
        <f t="shared" ref="N13:N37" si="3">IF(IFERROR(M13,0),UPPER(LEFT(C13,1))&amp;LOWER(MID(C13,2,M13-2))&amp;UPPER(MID(C13,M13+1,1))&amp;LOWER(MID(C13,M13+2,100)),UPPER(LEFT(C13,1))&amp;LOWER(MID(C13,2,100)))</f>
        <v>Pd</v>
      </c>
    </row>
    <row r="14" spans="2:14">
      <c r="B14" s="98">
        <v>2</v>
      </c>
      <c r="C14" s="151" t="s">
        <v>299</v>
      </c>
      <c r="D14" s="152" t="s">
        <v>47</v>
      </c>
      <c r="E14" s="152" t="s">
        <v>254</v>
      </c>
      <c r="F14" s="47" t="str">
        <f t="shared" ca="1" si="0"/>
        <v>u4_s_AlertD_atfwrnRwrnSrcchk</v>
      </c>
      <c r="G14" s="47" t="str">
        <f t="shared" ca="1" si="1"/>
        <v>vd_s_AlertD_atfwrnRwrnRwTx</v>
      </c>
      <c r="H14" s="68" t="str">
        <f t="shared" ref="H14:H37" ca="1" si="4">IF($D14&lt;&gt;"","ALERT_CH_"&amp;UPPER($D$6)&amp;IF($D$7=1,"","_"&amp;UPPER($C14)),"")</f>
        <v>ALERT_CH_D_ATFWRN_RWRN</v>
      </c>
      <c r="I14" s="155" t="str">
        <f t="shared" ref="I14:I37" ca="1" si="5">IF($D14&lt;&gt;"","ALERT_REQ_"&amp;UPPER($D$6)&amp;IF($D$7=1,"","_"&amp;UPPER($C14)),"")</f>
        <v>ALERT_REQ_D_ATFWRN_RWRN</v>
      </c>
      <c r="K14" t="s">
        <v>46</v>
      </c>
      <c r="L14" t="str">
        <f ca="1">"vd_g_Alert"&amp;UPPER(LEFT(D6,1))&amp;LOWER(MID(D6,2,100))&amp;"Init"</f>
        <v>vd_g_AlertD_atfwrnInit</v>
      </c>
      <c r="M14" t="e">
        <f t="shared" si="2"/>
        <v>#VALUE!</v>
      </c>
      <c r="N14" t="str">
        <f t="shared" si="3"/>
        <v>Rwrn</v>
      </c>
    </row>
    <row r="15" spans="2:14">
      <c r="B15" s="98">
        <v>3</v>
      </c>
      <c r="C15" s="151"/>
      <c r="D15" s="152"/>
      <c r="E15" s="152"/>
      <c r="F15" s="47" t="str">
        <f t="shared" si="0"/>
        <v/>
      </c>
      <c r="G15" s="47" t="str">
        <f t="shared" si="1"/>
        <v/>
      </c>
      <c r="H15" s="68" t="str">
        <f t="shared" si="4"/>
        <v/>
      </c>
      <c r="I15" s="155" t="str">
        <f t="shared" si="5"/>
        <v/>
      </c>
      <c r="K15" t="s">
        <v>119</v>
      </c>
      <c r="M15" t="e">
        <f t="shared" si="2"/>
        <v>#VALUE!</v>
      </c>
      <c r="N15" t="str">
        <f t="shared" si="3"/>
        <v/>
      </c>
    </row>
    <row r="16" spans="2:14">
      <c r="B16" s="98">
        <v>4</v>
      </c>
      <c r="C16" s="151"/>
      <c r="D16" s="152"/>
      <c r="E16" s="152"/>
      <c r="F16" s="47" t="str">
        <f t="shared" si="0"/>
        <v/>
      </c>
      <c r="G16" s="47" t="str">
        <f t="shared" si="1"/>
        <v/>
      </c>
      <c r="H16" s="68" t="str">
        <f t="shared" si="4"/>
        <v/>
      </c>
      <c r="I16" s="155" t="str">
        <f t="shared" si="5"/>
        <v/>
      </c>
      <c r="K16" t="s">
        <v>120</v>
      </c>
      <c r="M16" t="e">
        <f t="shared" si="2"/>
        <v>#VALUE!</v>
      </c>
      <c r="N16" t="str">
        <f t="shared" si="3"/>
        <v/>
      </c>
    </row>
    <row r="17" spans="2:14">
      <c r="B17" s="98">
        <v>5</v>
      </c>
      <c r="C17" s="151"/>
      <c r="D17" s="152"/>
      <c r="E17" s="152"/>
      <c r="F17" s="47" t="str">
        <f t="shared" si="0"/>
        <v/>
      </c>
      <c r="G17" s="47" t="str">
        <f t="shared" si="1"/>
        <v/>
      </c>
      <c r="H17" s="68" t="str">
        <f t="shared" si="4"/>
        <v/>
      </c>
      <c r="I17" s="155" t="str">
        <f t="shared" si="5"/>
        <v/>
      </c>
      <c r="K17" t="s">
        <v>47</v>
      </c>
      <c r="M17" t="e">
        <f t="shared" si="2"/>
        <v>#VALUE!</v>
      </c>
      <c r="N17" t="str">
        <f t="shared" si="3"/>
        <v/>
      </c>
    </row>
    <row r="18" spans="2:14">
      <c r="B18" s="98">
        <v>6</v>
      </c>
      <c r="C18" s="151"/>
      <c r="D18" s="152"/>
      <c r="E18" s="152"/>
      <c r="F18" s="47" t="str">
        <f t="shared" si="0"/>
        <v/>
      </c>
      <c r="G18" s="47" t="str">
        <f t="shared" si="1"/>
        <v/>
      </c>
      <c r="H18" s="68" t="str">
        <f t="shared" si="4"/>
        <v/>
      </c>
      <c r="I18" s="155" t="str">
        <f t="shared" si="5"/>
        <v/>
      </c>
      <c r="K18" t="s">
        <v>48</v>
      </c>
      <c r="M18" t="e">
        <f t="shared" si="2"/>
        <v>#VALUE!</v>
      </c>
      <c r="N18" t="str">
        <f t="shared" si="3"/>
        <v/>
      </c>
    </row>
    <row r="19" spans="2:14">
      <c r="B19" s="98">
        <v>7</v>
      </c>
      <c r="C19" s="151"/>
      <c r="D19" s="152"/>
      <c r="E19" s="152"/>
      <c r="F19" s="47" t="str">
        <f t="shared" si="0"/>
        <v/>
      </c>
      <c r="G19" s="47" t="str">
        <f t="shared" si="1"/>
        <v/>
      </c>
      <c r="H19" s="68" t="str">
        <f t="shared" si="4"/>
        <v/>
      </c>
      <c r="I19" s="155" t="str">
        <f t="shared" si="5"/>
        <v/>
      </c>
      <c r="K19" t="s">
        <v>48</v>
      </c>
      <c r="M19" t="e">
        <f t="shared" si="2"/>
        <v>#VALUE!</v>
      </c>
      <c r="N19" t="str">
        <f t="shared" si="3"/>
        <v/>
      </c>
    </row>
    <row r="20" spans="2:14">
      <c r="B20" s="98">
        <v>8</v>
      </c>
      <c r="C20" s="151"/>
      <c r="D20" s="152"/>
      <c r="E20" s="152"/>
      <c r="F20" s="47" t="str">
        <f t="shared" si="0"/>
        <v/>
      </c>
      <c r="G20" s="47" t="str">
        <f t="shared" si="1"/>
        <v/>
      </c>
      <c r="H20" s="68" t="str">
        <f t="shared" si="4"/>
        <v/>
      </c>
      <c r="I20" s="155" t="str">
        <f t="shared" si="5"/>
        <v/>
      </c>
      <c r="K20" t="s">
        <v>48</v>
      </c>
      <c r="M20" t="e">
        <f t="shared" si="2"/>
        <v>#VALUE!</v>
      </c>
      <c r="N20" t="str">
        <f t="shared" si="3"/>
        <v/>
      </c>
    </row>
    <row r="21" spans="2:14">
      <c r="B21" s="98">
        <v>9</v>
      </c>
      <c r="C21" s="151"/>
      <c r="D21" s="152"/>
      <c r="E21" s="152"/>
      <c r="F21" s="47" t="str">
        <f t="shared" si="0"/>
        <v/>
      </c>
      <c r="G21" s="47" t="str">
        <f t="shared" si="1"/>
        <v/>
      </c>
      <c r="H21" s="68" t="str">
        <f t="shared" si="4"/>
        <v/>
      </c>
      <c r="I21" s="155" t="str">
        <f t="shared" si="5"/>
        <v/>
      </c>
      <c r="K21" t="s">
        <v>48</v>
      </c>
      <c r="M21" t="e">
        <f t="shared" si="2"/>
        <v>#VALUE!</v>
      </c>
      <c r="N21" t="str">
        <f t="shared" si="3"/>
        <v/>
      </c>
    </row>
    <row r="22" spans="2:14">
      <c r="B22" s="98">
        <v>10</v>
      </c>
      <c r="C22" s="151"/>
      <c r="D22" s="152"/>
      <c r="E22" s="152"/>
      <c r="F22" s="47" t="str">
        <f t="shared" si="0"/>
        <v/>
      </c>
      <c r="G22" s="47" t="str">
        <f t="shared" si="1"/>
        <v/>
      </c>
      <c r="H22" s="68" t="str">
        <f t="shared" si="4"/>
        <v/>
      </c>
      <c r="I22" s="155" t="str">
        <f t="shared" si="5"/>
        <v/>
      </c>
      <c r="K22" t="s">
        <v>48</v>
      </c>
      <c r="M22" t="e">
        <f t="shared" si="2"/>
        <v>#VALUE!</v>
      </c>
      <c r="N22" t="str">
        <f t="shared" si="3"/>
        <v/>
      </c>
    </row>
    <row r="23" spans="2:14">
      <c r="B23" s="98">
        <v>11</v>
      </c>
      <c r="C23" s="151"/>
      <c r="D23" s="152"/>
      <c r="E23" s="152"/>
      <c r="F23" s="47" t="str">
        <f t="shared" si="0"/>
        <v/>
      </c>
      <c r="G23" s="47" t="str">
        <f t="shared" si="1"/>
        <v/>
      </c>
      <c r="H23" s="68" t="str">
        <f t="shared" si="4"/>
        <v/>
      </c>
      <c r="I23" s="155" t="str">
        <f t="shared" si="5"/>
        <v/>
      </c>
      <c r="K23" t="s">
        <v>48</v>
      </c>
      <c r="M23" t="e">
        <f t="shared" si="2"/>
        <v>#VALUE!</v>
      </c>
      <c r="N23" t="str">
        <f t="shared" si="3"/>
        <v/>
      </c>
    </row>
    <row r="24" spans="2:14">
      <c r="B24" s="98">
        <v>12</v>
      </c>
      <c r="C24" s="151"/>
      <c r="D24" s="152"/>
      <c r="E24" s="152"/>
      <c r="F24" s="47" t="str">
        <f t="shared" si="0"/>
        <v/>
      </c>
      <c r="G24" s="47" t="str">
        <f t="shared" si="1"/>
        <v/>
      </c>
      <c r="H24" s="68" t="str">
        <f t="shared" si="4"/>
        <v/>
      </c>
      <c r="I24" s="155" t="str">
        <f t="shared" si="5"/>
        <v/>
      </c>
      <c r="K24" t="s">
        <v>48</v>
      </c>
      <c r="M24" t="e">
        <f t="shared" si="2"/>
        <v>#VALUE!</v>
      </c>
      <c r="N24" t="str">
        <f t="shared" si="3"/>
        <v/>
      </c>
    </row>
    <row r="25" spans="2:14">
      <c r="B25" s="98">
        <v>13</v>
      </c>
      <c r="C25" s="151"/>
      <c r="D25" s="152"/>
      <c r="E25" s="152"/>
      <c r="F25" s="47" t="str">
        <f t="shared" si="0"/>
        <v/>
      </c>
      <c r="G25" s="47" t="str">
        <f t="shared" si="1"/>
        <v/>
      </c>
      <c r="H25" s="68" t="str">
        <f t="shared" si="4"/>
        <v/>
      </c>
      <c r="I25" s="155" t="str">
        <f t="shared" si="5"/>
        <v/>
      </c>
      <c r="K25" t="s">
        <v>48</v>
      </c>
      <c r="M25" t="e">
        <f t="shared" si="2"/>
        <v>#VALUE!</v>
      </c>
      <c r="N25" t="str">
        <f t="shared" si="3"/>
        <v/>
      </c>
    </row>
    <row r="26" spans="2:14">
      <c r="B26" s="98">
        <v>14</v>
      </c>
      <c r="C26" s="151"/>
      <c r="D26" s="152"/>
      <c r="E26" s="152"/>
      <c r="F26" s="47" t="str">
        <f t="shared" si="0"/>
        <v/>
      </c>
      <c r="G26" s="47" t="str">
        <f t="shared" si="1"/>
        <v/>
      </c>
      <c r="H26" s="68" t="str">
        <f t="shared" si="4"/>
        <v/>
      </c>
      <c r="I26" s="155" t="str">
        <f t="shared" si="5"/>
        <v/>
      </c>
      <c r="K26" t="s">
        <v>48</v>
      </c>
      <c r="M26" t="e">
        <f t="shared" si="2"/>
        <v>#VALUE!</v>
      </c>
      <c r="N26" t="str">
        <f t="shared" si="3"/>
        <v/>
      </c>
    </row>
    <row r="27" spans="2:14">
      <c r="B27" s="98">
        <v>15</v>
      </c>
      <c r="C27" s="151"/>
      <c r="D27" s="152"/>
      <c r="E27" s="152"/>
      <c r="F27" s="47" t="str">
        <f t="shared" si="0"/>
        <v/>
      </c>
      <c r="G27" s="47" t="str">
        <f t="shared" si="1"/>
        <v/>
      </c>
      <c r="H27" s="68" t="str">
        <f t="shared" si="4"/>
        <v/>
      </c>
      <c r="I27" s="155" t="str">
        <f t="shared" si="5"/>
        <v/>
      </c>
      <c r="K27" t="s">
        <v>48</v>
      </c>
      <c r="M27" t="e">
        <f t="shared" si="2"/>
        <v>#VALUE!</v>
      </c>
      <c r="N27" t="str">
        <f t="shared" si="3"/>
        <v/>
      </c>
    </row>
    <row r="28" spans="2:14">
      <c r="B28" s="98">
        <v>16</v>
      </c>
      <c r="C28" s="151"/>
      <c r="D28" s="152"/>
      <c r="E28" s="152"/>
      <c r="F28" s="47" t="str">
        <f t="shared" si="0"/>
        <v/>
      </c>
      <c r="G28" s="47" t="str">
        <f t="shared" si="1"/>
        <v/>
      </c>
      <c r="H28" s="68" t="str">
        <f t="shared" si="4"/>
        <v/>
      </c>
      <c r="I28" s="155" t="str">
        <f t="shared" si="5"/>
        <v/>
      </c>
      <c r="K28" t="s">
        <v>48</v>
      </c>
      <c r="M28" t="e">
        <f t="shared" si="2"/>
        <v>#VALUE!</v>
      </c>
      <c r="N28" t="str">
        <f t="shared" si="3"/>
        <v/>
      </c>
    </row>
    <row r="29" spans="2:14">
      <c r="B29" s="98">
        <v>17</v>
      </c>
      <c r="C29" s="151"/>
      <c r="D29" s="152"/>
      <c r="E29" s="152"/>
      <c r="F29" s="47" t="str">
        <f t="shared" si="0"/>
        <v/>
      </c>
      <c r="G29" s="47" t="str">
        <f t="shared" si="1"/>
        <v/>
      </c>
      <c r="H29" s="68" t="str">
        <f t="shared" si="4"/>
        <v/>
      </c>
      <c r="I29" s="155" t="str">
        <f t="shared" si="5"/>
        <v/>
      </c>
      <c r="K29" t="s">
        <v>48</v>
      </c>
      <c r="M29" t="e">
        <f t="shared" si="2"/>
        <v>#VALUE!</v>
      </c>
      <c r="N29" t="str">
        <f t="shared" si="3"/>
        <v/>
      </c>
    </row>
    <row r="30" spans="2:14">
      <c r="B30" s="98">
        <v>18</v>
      </c>
      <c r="C30" s="151"/>
      <c r="D30" s="152"/>
      <c r="E30" s="152"/>
      <c r="F30" s="47" t="str">
        <f t="shared" si="0"/>
        <v/>
      </c>
      <c r="G30" s="47" t="str">
        <f t="shared" si="1"/>
        <v/>
      </c>
      <c r="H30" s="68" t="str">
        <f t="shared" si="4"/>
        <v/>
      </c>
      <c r="I30" s="155" t="str">
        <f t="shared" si="5"/>
        <v/>
      </c>
      <c r="K30" t="s">
        <v>48</v>
      </c>
      <c r="M30" t="e">
        <f t="shared" si="2"/>
        <v>#VALUE!</v>
      </c>
      <c r="N30" t="str">
        <f t="shared" si="3"/>
        <v/>
      </c>
    </row>
    <row r="31" spans="2:14">
      <c r="B31" s="98">
        <v>19</v>
      </c>
      <c r="C31" s="151"/>
      <c r="D31" s="152"/>
      <c r="E31" s="152"/>
      <c r="F31" s="47" t="str">
        <f t="shared" si="0"/>
        <v/>
      </c>
      <c r="G31" s="47" t="str">
        <f t="shared" si="1"/>
        <v/>
      </c>
      <c r="H31" s="68" t="str">
        <f t="shared" si="4"/>
        <v/>
      </c>
      <c r="I31" s="155" t="str">
        <f t="shared" si="5"/>
        <v/>
      </c>
      <c r="K31" t="s">
        <v>48</v>
      </c>
      <c r="M31" t="e">
        <f t="shared" si="2"/>
        <v>#VALUE!</v>
      </c>
      <c r="N31" t="str">
        <f t="shared" si="3"/>
        <v/>
      </c>
    </row>
    <row r="32" spans="2:14">
      <c r="B32" s="98">
        <v>20</v>
      </c>
      <c r="C32" s="151"/>
      <c r="D32" s="152"/>
      <c r="E32" s="152"/>
      <c r="F32" s="47" t="str">
        <f t="shared" si="0"/>
        <v/>
      </c>
      <c r="G32" s="47" t="str">
        <f t="shared" si="1"/>
        <v/>
      </c>
      <c r="H32" s="68" t="str">
        <f t="shared" si="4"/>
        <v/>
      </c>
      <c r="I32" s="155" t="str">
        <f t="shared" si="5"/>
        <v/>
      </c>
      <c r="K32" t="s">
        <v>48</v>
      </c>
      <c r="M32" t="e">
        <f t="shared" si="2"/>
        <v>#VALUE!</v>
      </c>
      <c r="N32" t="str">
        <f t="shared" si="3"/>
        <v/>
      </c>
    </row>
    <row r="33" spans="2:14">
      <c r="B33" s="98">
        <v>21</v>
      </c>
      <c r="C33" s="151"/>
      <c r="D33" s="152"/>
      <c r="E33" s="152"/>
      <c r="F33" s="47" t="str">
        <f t="shared" si="0"/>
        <v/>
      </c>
      <c r="G33" s="47" t="str">
        <f t="shared" si="1"/>
        <v/>
      </c>
      <c r="H33" s="68" t="str">
        <f t="shared" si="4"/>
        <v/>
      </c>
      <c r="I33" s="155" t="str">
        <f t="shared" si="5"/>
        <v/>
      </c>
      <c r="K33" t="s">
        <v>48</v>
      </c>
      <c r="M33" t="e">
        <f t="shared" si="2"/>
        <v>#VALUE!</v>
      </c>
      <c r="N33" t="str">
        <f t="shared" si="3"/>
        <v/>
      </c>
    </row>
    <row r="34" spans="2:14">
      <c r="B34" s="98">
        <v>22</v>
      </c>
      <c r="C34" s="151"/>
      <c r="D34" s="152"/>
      <c r="E34" s="152"/>
      <c r="F34" s="47" t="str">
        <f t="shared" si="0"/>
        <v/>
      </c>
      <c r="G34" s="47" t="str">
        <f t="shared" si="1"/>
        <v/>
      </c>
      <c r="H34" s="68" t="str">
        <f t="shared" si="4"/>
        <v/>
      </c>
      <c r="I34" s="155" t="str">
        <f t="shared" si="5"/>
        <v/>
      </c>
      <c r="K34" t="s">
        <v>48</v>
      </c>
      <c r="M34" t="e">
        <f t="shared" si="2"/>
        <v>#VALUE!</v>
      </c>
      <c r="N34" t="str">
        <f t="shared" si="3"/>
        <v/>
      </c>
    </row>
    <row r="35" spans="2:14">
      <c r="B35" s="98">
        <v>23</v>
      </c>
      <c r="C35" s="151"/>
      <c r="D35" s="152"/>
      <c r="E35" s="152"/>
      <c r="F35" s="47" t="str">
        <f t="shared" si="0"/>
        <v/>
      </c>
      <c r="G35" s="47" t="str">
        <f t="shared" si="1"/>
        <v/>
      </c>
      <c r="H35" s="68" t="str">
        <f t="shared" si="4"/>
        <v/>
      </c>
      <c r="I35" s="155" t="str">
        <f t="shared" si="5"/>
        <v/>
      </c>
      <c r="K35" t="s">
        <v>48</v>
      </c>
      <c r="M35" t="e">
        <f t="shared" si="2"/>
        <v>#VALUE!</v>
      </c>
      <c r="N35" t="str">
        <f t="shared" si="3"/>
        <v/>
      </c>
    </row>
    <row r="36" spans="2:14">
      <c r="B36" s="98">
        <v>24</v>
      </c>
      <c r="C36" s="151"/>
      <c r="D36" s="152"/>
      <c r="E36" s="152"/>
      <c r="F36" s="47" t="str">
        <f t="shared" si="0"/>
        <v/>
      </c>
      <c r="G36" s="47" t="str">
        <f t="shared" si="1"/>
        <v/>
      </c>
      <c r="H36" s="68" t="str">
        <f t="shared" si="4"/>
        <v/>
      </c>
      <c r="I36" s="155" t="str">
        <f t="shared" si="5"/>
        <v/>
      </c>
      <c r="K36" t="s">
        <v>48</v>
      </c>
      <c r="M36" t="e">
        <f t="shared" si="2"/>
        <v>#VALUE!</v>
      </c>
      <c r="N36" t="str">
        <f t="shared" si="3"/>
        <v/>
      </c>
    </row>
    <row r="37" spans="2:14" ht="14.25" thickBot="1">
      <c r="B37" s="99">
        <v>25</v>
      </c>
      <c r="C37" s="149"/>
      <c r="D37" s="150"/>
      <c r="E37" s="150"/>
      <c r="F37" s="55" t="str">
        <f t="shared" si="0"/>
        <v/>
      </c>
      <c r="G37" s="55" t="str">
        <f t="shared" si="1"/>
        <v/>
      </c>
      <c r="H37" s="69" t="str">
        <f t="shared" si="4"/>
        <v/>
      </c>
      <c r="I37" s="156" t="str">
        <f t="shared" si="5"/>
        <v/>
      </c>
      <c r="K37" t="s">
        <v>48</v>
      </c>
      <c r="M37" t="e">
        <f t="shared" si="2"/>
        <v>#VALUE!</v>
      </c>
      <c r="N37" t="str">
        <f t="shared" si="3"/>
        <v/>
      </c>
    </row>
  </sheetData>
  <sheetProtection sheet="1" objects="1" scenarios="1"/>
  <protectedRanges>
    <protectedRange sqref="D2:H3 D9:H10 C13:E37" name="編集許可"/>
  </protectedRanges>
  <mergeCells count="16">
    <mergeCell ref="B2:C2"/>
    <mergeCell ref="B3:C3"/>
    <mergeCell ref="B4:C4"/>
    <mergeCell ref="B6:C6"/>
    <mergeCell ref="B7:C7"/>
    <mergeCell ref="D2:H2"/>
    <mergeCell ref="D3:H3"/>
    <mergeCell ref="D4:H4"/>
    <mergeCell ref="D6:H6"/>
    <mergeCell ref="D7:H7"/>
    <mergeCell ref="B9:C9"/>
    <mergeCell ref="D8:H8"/>
    <mergeCell ref="D9:H9"/>
    <mergeCell ref="D10:H10"/>
    <mergeCell ref="B10:C10"/>
    <mergeCell ref="B8:C8"/>
  </mergeCells>
  <phoneticPr fontId="2"/>
  <conditionalFormatting sqref="C13:C37">
    <cfRule type="expression" dxfId="10" priority="4">
      <formula>14&lt;LEN($D$6)+LEN($C13)</formula>
    </cfRule>
  </conditionalFormatting>
  <conditionalFormatting sqref="D6">
    <cfRule type="expression" dxfId="9" priority="3">
      <formula>14 &lt; LEN($D$6)</formula>
    </cfRule>
  </conditionalFormatting>
  <conditionalFormatting sqref="D5">
    <cfRule type="containsText" dxfId="8" priority="1" operator="containsText" text="NG">
      <formula>NOT(ISERROR(SEARCH("NG",D5)))</formula>
    </cfRule>
  </conditionalFormatting>
  <dataValidations count="3">
    <dataValidation type="list" allowBlank="1" showInputMessage="1" showErrorMessage="1" sqref="E13:E37" xr:uid="{00000000-0002-0000-0200-000000000000}">
      <formula1>"○,－"</formula1>
    </dataValidation>
    <dataValidation type="list" allowBlank="1" showInputMessage="1" showErrorMessage="1" sqref="D13:D37" xr:uid="{00000000-0002-0000-0200-000001000000}">
      <formula1>$K$13:$K$37</formula1>
    </dataValidation>
    <dataValidation type="list" allowBlank="1" showInputMessage="1" showErrorMessage="1" sqref="D9" xr:uid="{00000000-0002-0000-0200-000002000000}">
      <formula1>$L$13:$L$14</formula1>
    </dataValidation>
  </dataValidations>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7">
    <tabColor rgb="FFCCFFCC"/>
  </sheetPr>
  <dimension ref="B2:R59"/>
  <sheetViews>
    <sheetView zoomScaleNormal="100" workbookViewId="0"/>
  </sheetViews>
  <sheetFormatPr defaultRowHeight="13.5"/>
  <cols>
    <col min="2" max="2" width="3.75" bestFit="1" customWidth="1"/>
    <col min="3" max="3" width="19.125" bestFit="1" customWidth="1"/>
    <col min="4" max="4" width="13" customWidth="1"/>
    <col min="5" max="5" width="36.5" customWidth="1"/>
    <col min="6" max="6" width="52.75" customWidth="1"/>
    <col min="7" max="7" width="7.125" bestFit="1" customWidth="1"/>
    <col min="8" max="15" width="3.875" customWidth="1"/>
    <col min="16" max="16" width="9.875" customWidth="1"/>
    <col min="17" max="17" width="44.625" customWidth="1"/>
    <col min="18" max="18" width="73.625" customWidth="1"/>
  </cols>
  <sheetData>
    <row r="2" spans="2:18" ht="14.25" thickBot="1">
      <c r="B2" t="s">
        <v>189</v>
      </c>
      <c r="O2" t="s">
        <v>191</v>
      </c>
    </row>
    <row r="3" spans="2:18" ht="14.25" thickBot="1">
      <c r="B3" s="148" t="s">
        <v>33</v>
      </c>
      <c r="C3" s="106" t="s">
        <v>179</v>
      </c>
      <c r="D3" s="106" t="s">
        <v>185</v>
      </c>
      <c r="E3" s="107" t="s">
        <v>186</v>
      </c>
      <c r="F3" s="191" t="s">
        <v>181</v>
      </c>
      <c r="G3" s="188" t="s">
        <v>194</v>
      </c>
      <c r="H3" s="46"/>
      <c r="I3" s="46"/>
      <c r="J3" s="46"/>
      <c r="K3" s="46"/>
      <c r="L3" s="46"/>
      <c r="M3" s="46"/>
      <c r="O3" s="148" t="s">
        <v>33</v>
      </c>
      <c r="P3" s="187" t="s">
        <v>175</v>
      </c>
      <c r="Q3" s="187" t="s">
        <v>188</v>
      </c>
      <c r="R3" s="188" t="s">
        <v>181</v>
      </c>
    </row>
    <row r="4" spans="2:18" ht="14.25" hidden="1" thickTop="1">
      <c r="B4" s="179">
        <v>0</v>
      </c>
      <c r="C4" s="180" t="s">
        <v>164</v>
      </c>
      <c r="D4" s="180"/>
      <c r="E4" s="181"/>
      <c r="F4" s="192"/>
      <c r="G4" s="193"/>
      <c r="H4" s="46"/>
      <c r="I4" s="46"/>
      <c r="J4" s="46"/>
      <c r="K4" s="46"/>
      <c r="L4" s="46"/>
      <c r="M4" s="46"/>
      <c r="O4" s="189">
        <v>0</v>
      </c>
      <c r="P4" s="186" t="s">
        <v>164</v>
      </c>
      <c r="Q4" s="186" t="s">
        <v>164</v>
      </c>
      <c r="R4" s="143"/>
    </row>
    <row r="5" spans="2:18" ht="14.25" thickTop="1">
      <c r="B5" s="182">
        <v>1</v>
      </c>
      <c r="C5" s="152"/>
      <c r="D5" s="26"/>
      <c r="E5" s="68" t="str">
        <f>IF($C5&lt;&gt;"","ALERT_" &amp; D5 &amp; "_ID_"&amp;UPPER(Matrix!$D$6) &amp; "_" &amp; $C5,"")</f>
        <v/>
      </c>
      <c r="F5" s="119"/>
      <c r="G5" s="68" t="str">
        <f>IF(E5&lt;&gt;"",LEN(E5),"")</f>
        <v/>
      </c>
      <c r="O5" s="182">
        <v>1</v>
      </c>
      <c r="P5" s="152"/>
      <c r="Q5" s="152"/>
      <c r="R5" s="120"/>
    </row>
    <row r="6" spans="2:18">
      <c r="B6" s="182">
        <v>2</v>
      </c>
      <c r="C6" s="152"/>
      <c r="D6" s="26"/>
      <c r="E6" s="68" t="str">
        <f>IF($C6&lt;&gt;"","ALERT_" &amp; D6 &amp; "_ID_"&amp;UPPER(Matrix!$D$6) &amp; "_" &amp; $C6,"")</f>
        <v/>
      </c>
      <c r="F6" s="119"/>
      <c r="G6" s="68" t="str">
        <f t="shared" ref="G6:G29" si="0">IF(E6&lt;&gt;"",LEN(E6),"")</f>
        <v/>
      </c>
      <c r="O6" s="182">
        <v>2</v>
      </c>
      <c r="P6" s="152"/>
      <c r="Q6" s="152"/>
      <c r="R6" s="120"/>
    </row>
    <row r="7" spans="2:18">
      <c r="B7" s="182">
        <v>3</v>
      </c>
      <c r="C7" s="152"/>
      <c r="D7" s="26"/>
      <c r="E7" s="68" t="str">
        <f>IF($C7&lt;&gt;"","ALERT_" &amp; D7 &amp; "_ID_"&amp;UPPER(Matrix!$D$6) &amp; "_" &amp; $C7,"")</f>
        <v/>
      </c>
      <c r="F7" s="119"/>
      <c r="G7" s="68" t="str">
        <f t="shared" si="0"/>
        <v/>
      </c>
      <c r="O7" s="182">
        <v>3</v>
      </c>
      <c r="P7" s="152"/>
      <c r="Q7" s="152"/>
      <c r="R7" s="120"/>
    </row>
    <row r="8" spans="2:18">
      <c r="B8" s="182">
        <v>4</v>
      </c>
      <c r="C8" s="152"/>
      <c r="D8" s="26"/>
      <c r="E8" s="68" t="str">
        <f>IF($C8&lt;&gt;"","ALERT_" &amp; D8 &amp; "_ID_"&amp;UPPER(Matrix!$D$6) &amp; "_" &amp; $C8,"")</f>
        <v/>
      </c>
      <c r="F8" s="119"/>
      <c r="G8" s="68" t="str">
        <f t="shared" si="0"/>
        <v/>
      </c>
      <c r="O8" s="182">
        <v>4</v>
      </c>
      <c r="P8" s="152"/>
      <c r="Q8" s="152"/>
      <c r="R8" s="120"/>
    </row>
    <row r="9" spans="2:18">
      <c r="B9" s="182">
        <v>5</v>
      </c>
      <c r="C9" s="152"/>
      <c r="D9" s="26"/>
      <c r="E9" s="68" t="str">
        <f>IF($C9&lt;&gt;"","ALERT_" &amp; D9 &amp; "_ID_"&amp;UPPER(Matrix!$D$6) &amp; "_" &amp; $C9,"")</f>
        <v/>
      </c>
      <c r="F9" s="119"/>
      <c r="G9" s="68" t="str">
        <f t="shared" si="0"/>
        <v/>
      </c>
      <c r="O9" s="182">
        <v>5</v>
      </c>
      <c r="P9" s="152"/>
      <c r="Q9" s="152"/>
      <c r="R9" s="120"/>
    </row>
    <row r="10" spans="2:18">
      <c r="B10" s="182">
        <v>6</v>
      </c>
      <c r="C10" s="152"/>
      <c r="D10" s="26"/>
      <c r="E10" s="68" t="str">
        <f>IF($C10&lt;&gt;"","ALERT_" &amp; D10 &amp; "_ID_"&amp;UPPER(Matrix!$D$6) &amp; "_" &amp; $C10,"")</f>
        <v/>
      </c>
      <c r="F10" s="119"/>
      <c r="G10" s="68" t="str">
        <f t="shared" si="0"/>
        <v/>
      </c>
      <c r="O10" s="182">
        <v>6</v>
      </c>
      <c r="P10" s="152"/>
      <c r="Q10" s="152"/>
      <c r="R10" s="120"/>
    </row>
    <row r="11" spans="2:18">
      <c r="B11" s="182">
        <v>7</v>
      </c>
      <c r="C11" s="152"/>
      <c r="D11" s="26"/>
      <c r="E11" s="68" t="str">
        <f>IF($C11&lt;&gt;"","ALERT_" &amp; D11 &amp; "_ID_"&amp;UPPER(Matrix!$D$6) &amp; "_" &amp; $C11,"")</f>
        <v/>
      </c>
      <c r="F11" s="119"/>
      <c r="G11" s="68" t="str">
        <f t="shared" si="0"/>
        <v/>
      </c>
      <c r="O11" s="182">
        <v>7</v>
      </c>
      <c r="P11" s="152"/>
      <c r="Q11" s="152"/>
      <c r="R11" s="120"/>
    </row>
    <row r="12" spans="2:18">
      <c r="B12" s="182">
        <v>8</v>
      </c>
      <c r="C12" s="152"/>
      <c r="D12" s="26"/>
      <c r="E12" s="68" t="str">
        <f>IF($C12&lt;&gt;"","ALERT_" &amp; D12 &amp; "_ID_"&amp;UPPER(Matrix!$D$6) &amp; "_" &amp; $C12,"")</f>
        <v/>
      </c>
      <c r="F12" s="119"/>
      <c r="G12" s="68" t="str">
        <f t="shared" si="0"/>
        <v/>
      </c>
      <c r="O12" s="182">
        <v>8</v>
      </c>
      <c r="P12" s="152"/>
      <c r="Q12" s="152"/>
      <c r="R12" s="120"/>
    </row>
    <row r="13" spans="2:18">
      <c r="B13" s="182">
        <v>9</v>
      </c>
      <c r="C13" s="152"/>
      <c r="D13" s="26"/>
      <c r="E13" s="68" t="str">
        <f>IF($C13&lt;&gt;"","ALERT_" &amp; D13 &amp; "_ID_"&amp;UPPER(Matrix!$D$6) &amp; "_" &amp; $C13,"")</f>
        <v/>
      </c>
      <c r="F13" s="119"/>
      <c r="G13" s="68" t="str">
        <f t="shared" si="0"/>
        <v/>
      </c>
      <c r="O13" s="182">
        <v>9</v>
      </c>
      <c r="P13" s="152"/>
      <c r="Q13" s="152"/>
      <c r="R13" s="120"/>
    </row>
    <row r="14" spans="2:18">
      <c r="B14" s="182">
        <v>10</v>
      </c>
      <c r="C14" s="152"/>
      <c r="D14" s="26"/>
      <c r="E14" s="68" t="str">
        <f>IF($C14&lt;&gt;"","ALERT_" &amp; D14 &amp; "_ID_"&amp;UPPER(Matrix!$D$6) &amp; "_" &amp; $C14,"")</f>
        <v/>
      </c>
      <c r="F14" s="119"/>
      <c r="G14" s="68" t="str">
        <f t="shared" si="0"/>
        <v/>
      </c>
      <c r="O14" s="182">
        <v>10</v>
      </c>
      <c r="P14" s="152"/>
      <c r="Q14" s="152"/>
      <c r="R14" s="120"/>
    </row>
    <row r="15" spans="2:18">
      <c r="B15" s="182">
        <v>11</v>
      </c>
      <c r="C15" s="152"/>
      <c r="D15" s="26"/>
      <c r="E15" s="68" t="str">
        <f>IF($C15&lt;&gt;"","ALERT_" &amp; D15 &amp; "_ID_"&amp;UPPER(Matrix!$D$6) &amp; "_" &amp; $C15,"")</f>
        <v/>
      </c>
      <c r="F15" s="119"/>
      <c r="G15" s="68" t="str">
        <f t="shared" si="0"/>
        <v/>
      </c>
      <c r="O15" s="182">
        <v>11</v>
      </c>
      <c r="P15" s="152"/>
      <c r="Q15" s="152"/>
      <c r="R15" s="120"/>
    </row>
    <row r="16" spans="2:18">
      <c r="B16" s="182">
        <v>12</v>
      </c>
      <c r="C16" s="152"/>
      <c r="D16" s="26"/>
      <c r="E16" s="68" t="str">
        <f>IF($C16&lt;&gt;"","ALERT_" &amp; D16 &amp; "_ID_"&amp;UPPER(Matrix!$D$6) &amp; "_" &amp; $C16,"")</f>
        <v/>
      </c>
      <c r="F16" s="119"/>
      <c r="G16" s="68" t="str">
        <f t="shared" si="0"/>
        <v/>
      </c>
      <c r="O16" s="182">
        <v>12</v>
      </c>
      <c r="P16" s="152"/>
      <c r="Q16" s="152"/>
      <c r="R16" s="120"/>
    </row>
    <row r="17" spans="2:18">
      <c r="B17" s="182">
        <v>13</v>
      </c>
      <c r="C17" s="152"/>
      <c r="D17" s="26"/>
      <c r="E17" s="68" t="str">
        <f>IF($C17&lt;&gt;"","ALERT_" &amp; D17 &amp; "_ID_"&amp;UPPER(Matrix!$D$6) &amp; "_" &amp; $C17,"")</f>
        <v/>
      </c>
      <c r="F17" s="119"/>
      <c r="G17" s="68" t="str">
        <f t="shared" si="0"/>
        <v/>
      </c>
      <c r="O17" s="182">
        <v>13</v>
      </c>
      <c r="P17" s="152"/>
      <c r="Q17" s="152"/>
      <c r="R17" s="120"/>
    </row>
    <row r="18" spans="2:18">
      <c r="B18" s="182">
        <v>14</v>
      </c>
      <c r="C18" s="152"/>
      <c r="D18" s="26"/>
      <c r="E18" s="68" t="str">
        <f>IF($C18&lt;&gt;"","ALERT_" &amp; D18 &amp; "_ID_"&amp;UPPER(Matrix!$D$6) &amp; "_" &amp; $C18,"")</f>
        <v/>
      </c>
      <c r="F18" s="119"/>
      <c r="G18" s="68" t="str">
        <f t="shared" si="0"/>
        <v/>
      </c>
      <c r="O18" s="182">
        <v>14</v>
      </c>
      <c r="P18" s="152"/>
      <c r="Q18" s="152"/>
      <c r="R18" s="120"/>
    </row>
    <row r="19" spans="2:18">
      <c r="B19" s="182">
        <v>15</v>
      </c>
      <c r="C19" s="152"/>
      <c r="D19" s="26"/>
      <c r="E19" s="68" t="str">
        <f>IF($C19&lt;&gt;"","ALERT_" &amp; D19 &amp; "_ID_"&amp;UPPER(Matrix!$D$6) &amp; "_" &amp; $C19,"")</f>
        <v/>
      </c>
      <c r="F19" s="119"/>
      <c r="G19" s="68" t="str">
        <f t="shared" si="0"/>
        <v/>
      </c>
      <c r="O19" s="182">
        <v>15</v>
      </c>
      <c r="P19" s="152"/>
      <c r="Q19" s="152"/>
      <c r="R19" s="120"/>
    </row>
    <row r="20" spans="2:18">
      <c r="B20" s="182">
        <v>16</v>
      </c>
      <c r="C20" s="152"/>
      <c r="D20" s="26"/>
      <c r="E20" s="68" t="str">
        <f>IF($C20&lt;&gt;"","ALERT_" &amp; D20 &amp; "_ID_"&amp;UPPER(Matrix!$D$6) &amp; "_" &amp; $C20,"")</f>
        <v/>
      </c>
      <c r="F20" s="119"/>
      <c r="G20" s="68" t="str">
        <f t="shared" si="0"/>
        <v/>
      </c>
      <c r="O20" s="182">
        <v>16</v>
      </c>
      <c r="P20" s="152"/>
      <c r="Q20" s="152"/>
      <c r="R20" s="120"/>
    </row>
    <row r="21" spans="2:18">
      <c r="B21" s="182">
        <v>17</v>
      </c>
      <c r="C21" s="152"/>
      <c r="D21" s="26"/>
      <c r="E21" s="68" t="str">
        <f>IF($C21&lt;&gt;"","ALERT_" &amp; D21 &amp; "_ID_"&amp;UPPER(Matrix!$D$6) &amp; "_" &amp; $C21,"")</f>
        <v/>
      </c>
      <c r="F21" s="119"/>
      <c r="G21" s="68" t="str">
        <f t="shared" si="0"/>
        <v/>
      </c>
      <c r="O21" s="182">
        <v>17</v>
      </c>
      <c r="P21" s="152"/>
      <c r="Q21" s="152"/>
      <c r="R21" s="120"/>
    </row>
    <row r="22" spans="2:18">
      <c r="B22" s="182">
        <v>18</v>
      </c>
      <c r="C22" s="152"/>
      <c r="D22" s="26"/>
      <c r="E22" s="68" t="str">
        <f>IF($C22&lt;&gt;"","ALERT_" &amp; D22 &amp; "_ID_"&amp;UPPER(Matrix!$D$6) &amp; "_" &amp; $C22,"")</f>
        <v/>
      </c>
      <c r="F22" s="119"/>
      <c r="G22" s="68" t="str">
        <f t="shared" si="0"/>
        <v/>
      </c>
      <c r="O22" s="182">
        <v>18</v>
      </c>
      <c r="P22" s="152"/>
      <c r="Q22" s="152"/>
      <c r="R22" s="120"/>
    </row>
    <row r="23" spans="2:18">
      <c r="B23" s="182">
        <v>19</v>
      </c>
      <c r="C23" s="152"/>
      <c r="D23" s="26"/>
      <c r="E23" s="68" t="str">
        <f>IF($C23&lt;&gt;"","ALERT_" &amp; D23 &amp; "_ID_"&amp;UPPER(Matrix!$D$6) &amp; "_" &amp; $C23,"")</f>
        <v/>
      </c>
      <c r="F23" s="119"/>
      <c r="G23" s="68" t="str">
        <f t="shared" si="0"/>
        <v/>
      </c>
      <c r="O23" s="182">
        <v>19</v>
      </c>
      <c r="P23" s="152"/>
      <c r="Q23" s="152"/>
      <c r="R23" s="120"/>
    </row>
    <row r="24" spans="2:18">
      <c r="B24" s="182">
        <v>20</v>
      </c>
      <c r="C24" s="152"/>
      <c r="D24" s="26"/>
      <c r="E24" s="68" t="str">
        <f>IF($C24&lt;&gt;"","ALERT_" &amp; D24 &amp; "_ID_"&amp;UPPER(Matrix!$D$6) &amp; "_" &amp; $C24,"")</f>
        <v/>
      </c>
      <c r="F24" s="119"/>
      <c r="G24" s="68" t="str">
        <f t="shared" si="0"/>
        <v/>
      </c>
      <c r="O24" s="182">
        <v>20</v>
      </c>
      <c r="P24" s="152"/>
      <c r="Q24" s="152"/>
      <c r="R24" s="120"/>
    </row>
    <row r="25" spans="2:18">
      <c r="B25" s="182">
        <v>21</v>
      </c>
      <c r="C25" s="152"/>
      <c r="D25" s="26"/>
      <c r="E25" s="68" t="str">
        <f>IF($C25&lt;&gt;"","ALERT_" &amp; D25 &amp; "_ID_"&amp;UPPER(Matrix!$D$6) &amp; "_" &amp; $C25,"")</f>
        <v/>
      </c>
      <c r="F25" s="119"/>
      <c r="G25" s="68" t="str">
        <f t="shared" si="0"/>
        <v/>
      </c>
      <c r="O25" s="182">
        <v>21</v>
      </c>
      <c r="P25" s="152"/>
      <c r="Q25" s="152"/>
      <c r="R25" s="120"/>
    </row>
    <row r="26" spans="2:18">
      <c r="B26" s="182">
        <v>22</v>
      </c>
      <c r="C26" s="152"/>
      <c r="D26" s="26"/>
      <c r="E26" s="68" t="str">
        <f>IF($C26&lt;&gt;"","ALERT_" &amp; D26 &amp; "_ID_"&amp;UPPER(Matrix!$D$6) &amp; "_" &amp; $C26,"")</f>
        <v/>
      </c>
      <c r="F26" s="119"/>
      <c r="G26" s="68" t="str">
        <f t="shared" si="0"/>
        <v/>
      </c>
      <c r="O26" s="182">
        <v>22</v>
      </c>
      <c r="P26" s="152"/>
      <c r="Q26" s="152"/>
      <c r="R26" s="120"/>
    </row>
    <row r="27" spans="2:18">
      <c r="B27" s="182">
        <v>23</v>
      </c>
      <c r="C27" s="152"/>
      <c r="D27" s="26"/>
      <c r="E27" s="68" t="str">
        <f>IF($C27&lt;&gt;"","ALERT_" &amp; D27 &amp; "_ID_"&amp;UPPER(Matrix!$D$6) &amp; "_" &amp; $C27,"")</f>
        <v/>
      </c>
      <c r="F27" s="119"/>
      <c r="G27" s="68" t="str">
        <f t="shared" si="0"/>
        <v/>
      </c>
      <c r="O27" s="182">
        <v>23</v>
      </c>
      <c r="P27" s="152"/>
      <c r="Q27" s="152"/>
      <c r="R27" s="120"/>
    </row>
    <row r="28" spans="2:18">
      <c r="B28" s="182">
        <v>24</v>
      </c>
      <c r="C28" s="152"/>
      <c r="D28" s="26"/>
      <c r="E28" s="68" t="str">
        <f>IF($C28&lt;&gt;"","ALERT_" &amp; D28 &amp; "_ID_"&amp;UPPER(Matrix!$D$6) &amp; "_" &amp; $C28,"")</f>
        <v/>
      </c>
      <c r="F28" s="119"/>
      <c r="G28" s="68" t="str">
        <f t="shared" si="0"/>
        <v/>
      </c>
      <c r="O28" s="182">
        <v>24</v>
      </c>
      <c r="P28" s="152"/>
      <c r="Q28" s="152"/>
      <c r="R28" s="120"/>
    </row>
    <row r="29" spans="2:18" ht="14.25" thickBot="1">
      <c r="B29" s="183">
        <v>25</v>
      </c>
      <c r="C29" s="150"/>
      <c r="D29" s="54"/>
      <c r="E29" s="69" t="str">
        <f>IF($C29&lt;&gt;"","ALERT_" &amp; D29 &amp; "_ID_"&amp;UPPER(Matrix!$D$6) &amp; "_" &amp; $C29,"")</f>
        <v/>
      </c>
      <c r="F29" s="121"/>
      <c r="G29" s="69" t="str">
        <f t="shared" si="0"/>
        <v/>
      </c>
      <c r="O29" s="183">
        <v>25</v>
      </c>
      <c r="P29" s="150"/>
      <c r="Q29" s="150"/>
      <c r="R29" s="122"/>
    </row>
    <row r="32" spans="2:18" ht="14.25" thickBot="1">
      <c r="B32" t="s">
        <v>190</v>
      </c>
      <c r="O32" t="s">
        <v>187</v>
      </c>
    </row>
    <row r="33" spans="2:18" ht="14.25" thickBot="1">
      <c r="B33" s="148" t="s">
        <v>33</v>
      </c>
      <c r="C33" s="106" t="s">
        <v>179</v>
      </c>
      <c r="D33" s="106" t="s">
        <v>184</v>
      </c>
      <c r="E33" s="107" t="s">
        <v>182</v>
      </c>
      <c r="F33" s="188" t="s">
        <v>183</v>
      </c>
      <c r="G33" s="188" t="s">
        <v>194</v>
      </c>
      <c r="O33" s="148" t="s">
        <v>33</v>
      </c>
      <c r="P33" s="187" t="s">
        <v>176</v>
      </c>
      <c r="Q33" s="187" t="s">
        <v>192</v>
      </c>
      <c r="R33" s="188" t="s">
        <v>180</v>
      </c>
    </row>
    <row r="34" spans="2:18" ht="14.25" hidden="1" thickTop="1">
      <c r="B34" s="179">
        <v>0</v>
      </c>
      <c r="C34" s="180" t="s">
        <v>164</v>
      </c>
      <c r="D34" s="180"/>
      <c r="E34" s="181"/>
      <c r="F34" s="190" t="s">
        <v>164</v>
      </c>
      <c r="G34" s="193"/>
      <c r="O34" s="189">
        <v>0</v>
      </c>
      <c r="P34" s="186" t="s">
        <v>164</v>
      </c>
      <c r="Q34" s="186" t="s">
        <v>164</v>
      </c>
      <c r="R34" s="190" t="s">
        <v>164</v>
      </c>
    </row>
    <row r="35" spans="2:18" ht="14.25" thickTop="1">
      <c r="B35" s="182">
        <v>1</v>
      </c>
      <c r="C35" s="152"/>
      <c r="D35" s="26"/>
      <c r="E35" s="68" t="str">
        <f>IF($C35&lt;&gt;"","ALERT_" &amp; UPPER(Matrix!$D$6) &amp; "_" &amp; $C35,"")</f>
        <v/>
      </c>
      <c r="F35" s="184"/>
      <c r="G35" s="68" t="str">
        <f>IF(E35&lt;&gt;"",LEN(E35),"")</f>
        <v/>
      </c>
      <c r="O35" s="182">
        <v>1</v>
      </c>
      <c r="P35" s="152"/>
      <c r="Q35" s="152"/>
      <c r="R35" s="184"/>
    </row>
    <row r="36" spans="2:18">
      <c r="B36" s="182">
        <v>2</v>
      </c>
      <c r="C36" s="152"/>
      <c r="D36" s="26"/>
      <c r="E36" s="68" t="str">
        <f>IF($C36&lt;&gt;"","ALERT_" &amp; UPPER(Matrix!$D$6) &amp; "_" &amp; $C36,"")</f>
        <v/>
      </c>
      <c r="F36" s="184"/>
      <c r="G36" s="68" t="str">
        <f>IF(E36&lt;&gt;"",LEN(E36),"")</f>
        <v/>
      </c>
      <c r="O36" s="182">
        <v>2</v>
      </c>
      <c r="P36" s="152"/>
      <c r="Q36" s="152"/>
      <c r="R36" s="184"/>
    </row>
    <row r="37" spans="2:18">
      <c r="B37" s="182">
        <v>3</v>
      </c>
      <c r="C37" s="152"/>
      <c r="D37" s="26"/>
      <c r="E37" s="68" t="str">
        <f>IF($C37&lt;&gt;"","ALERT_" &amp; UPPER(Matrix!$D$6) &amp; "_" &amp; $C37,"")</f>
        <v/>
      </c>
      <c r="F37" s="184"/>
      <c r="G37" s="68" t="str">
        <f>IF(E37&lt;&gt;"",LEN(E37),"")</f>
        <v/>
      </c>
      <c r="O37" s="182">
        <v>3</v>
      </c>
      <c r="P37" s="152"/>
      <c r="Q37" s="152"/>
      <c r="R37" s="184"/>
    </row>
    <row r="38" spans="2:18">
      <c r="B38" s="182">
        <v>4</v>
      </c>
      <c r="C38" s="152"/>
      <c r="D38" s="26"/>
      <c r="E38" s="68" t="str">
        <f>IF($C38&lt;&gt;"","ALERT_" &amp; UPPER(Matrix!$D$6) &amp; "_" &amp; $C38,"")</f>
        <v/>
      </c>
      <c r="F38" s="184"/>
      <c r="G38" s="68" t="str">
        <f t="shared" ref="G38:G59" si="1">IF(E38&lt;&gt;"",LEN(E38),"")</f>
        <v/>
      </c>
      <c r="O38" s="182">
        <v>4</v>
      </c>
      <c r="P38" s="152"/>
      <c r="Q38" s="152"/>
      <c r="R38" s="184"/>
    </row>
    <row r="39" spans="2:18">
      <c r="B39" s="182">
        <v>5</v>
      </c>
      <c r="C39" s="152"/>
      <c r="D39" s="26"/>
      <c r="E39" s="68" t="str">
        <f>IF($C39&lt;&gt;"","ALERT_" &amp; UPPER(Matrix!$D$6) &amp; "_" &amp; $C39,"")</f>
        <v/>
      </c>
      <c r="F39" s="184"/>
      <c r="G39" s="68" t="str">
        <f t="shared" si="1"/>
        <v/>
      </c>
      <c r="O39" s="182">
        <v>5</v>
      </c>
      <c r="P39" s="152"/>
      <c r="Q39" s="152"/>
      <c r="R39" s="184"/>
    </row>
    <row r="40" spans="2:18">
      <c r="B40" s="182">
        <v>6</v>
      </c>
      <c r="C40" s="152"/>
      <c r="D40" s="26"/>
      <c r="E40" s="68" t="str">
        <f>IF($C40&lt;&gt;"","ALERT_" &amp; UPPER(Matrix!$D$6) &amp; "_" &amp; $C40,"")</f>
        <v/>
      </c>
      <c r="F40" s="184"/>
      <c r="G40" s="68" t="str">
        <f t="shared" si="1"/>
        <v/>
      </c>
      <c r="O40" s="182">
        <v>6</v>
      </c>
      <c r="P40" s="152"/>
      <c r="Q40" s="152"/>
      <c r="R40" s="184"/>
    </row>
    <row r="41" spans="2:18">
      <c r="B41" s="182">
        <v>7</v>
      </c>
      <c r="C41" s="152"/>
      <c r="D41" s="26"/>
      <c r="E41" s="68" t="str">
        <f>IF($C41&lt;&gt;"","ALERT_" &amp; UPPER(Matrix!$D$6) &amp; "_" &amp; $C41,"")</f>
        <v/>
      </c>
      <c r="F41" s="184"/>
      <c r="G41" s="68" t="str">
        <f t="shared" si="1"/>
        <v/>
      </c>
      <c r="O41" s="182">
        <v>7</v>
      </c>
      <c r="P41" s="152"/>
      <c r="Q41" s="152"/>
      <c r="R41" s="184"/>
    </row>
    <row r="42" spans="2:18">
      <c r="B42" s="182">
        <v>8</v>
      </c>
      <c r="C42" s="152"/>
      <c r="D42" s="26"/>
      <c r="E42" s="68" t="str">
        <f>IF($C42&lt;&gt;"","ALERT_" &amp; UPPER(Matrix!$D$6) &amp; "_" &amp; $C42,"")</f>
        <v/>
      </c>
      <c r="F42" s="184"/>
      <c r="G42" s="68" t="str">
        <f t="shared" si="1"/>
        <v/>
      </c>
      <c r="O42" s="182">
        <v>8</v>
      </c>
      <c r="P42" s="152"/>
      <c r="Q42" s="152"/>
      <c r="R42" s="184"/>
    </row>
    <row r="43" spans="2:18">
      <c r="B43" s="182">
        <v>9</v>
      </c>
      <c r="C43" s="152"/>
      <c r="D43" s="26"/>
      <c r="E43" s="68" t="str">
        <f>IF($C43&lt;&gt;"","ALERT_" &amp; UPPER(Matrix!$D$6) &amp; "_" &amp; $C43,"")</f>
        <v/>
      </c>
      <c r="F43" s="184"/>
      <c r="G43" s="68" t="str">
        <f t="shared" si="1"/>
        <v/>
      </c>
      <c r="O43" s="182">
        <v>9</v>
      </c>
      <c r="P43" s="152"/>
      <c r="Q43" s="152"/>
      <c r="R43" s="184"/>
    </row>
    <row r="44" spans="2:18">
      <c r="B44" s="182">
        <v>10</v>
      </c>
      <c r="C44" s="152"/>
      <c r="D44" s="26"/>
      <c r="E44" s="68" t="str">
        <f>IF($C44&lt;&gt;"","ALERT_" &amp; UPPER(Matrix!$D$6) &amp; "_" &amp; $C44,"")</f>
        <v/>
      </c>
      <c r="F44" s="184"/>
      <c r="G44" s="68" t="str">
        <f t="shared" si="1"/>
        <v/>
      </c>
      <c r="O44" s="182">
        <v>10</v>
      </c>
      <c r="P44" s="152"/>
      <c r="Q44" s="152"/>
      <c r="R44" s="184"/>
    </row>
    <row r="45" spans="2:18">
      <c r="B45" s="182">
        <v>11</v>
      </c>
      <c r="C45" s="152"/>
      <c r="D45" s="26"/>
      <c r="E45" s="68" t="str">
        <f>IF($C45&lt;&gt;"","ALERT_" &amp; UPPER(Matrix!$D$6) &amp; "_" &amp; $C45,"")</f>
        <v/>
      </c>
      <c r="F45" s="184"/>
      <c r="G45" s="68" t="str">
        <f t="shared" si="1"/>
        <v/>
      </c>
      <c r="O45" s="182">
        <v>11</v>
      </c>
      <c r="P45" s="152"/>
      <c r="Q45" s="152"/>
      <c r="R45" s="184"/>
    </row>
    <row r="46" spans="2:18">
      <c r="B46" s="182">
        <v>12</v>
      </c>
      <c r="C46" s="152"/>
      <c r="D46" s="26"/>
      <c r="E46" s="68" t="str">
        <f>IF($C46&lt;&gt;"","ALERT_" &amp; UPPER(Matrix!$D$6) &amp; "_" &amp; $C46,"")</f>
        <v/>
      </c>
      <c r="F46" s="184"/>
      <c r="G46" s="68" t="str">
        <f t="shared" si="1"/>
        <v/>
      </c>
      <c r="O46" s="182">
        <v>12</v>
      </c>
      <c r="P46" s="152"/>
      <c r="Q46" s="152"/>
      <c r="R46" s="184"/>
    </row>
    <row r="47" spans="2:18">
      <c r="B47" s="182">
        <v>13</v>
      </c>
      <c r="C47" s="152"/>
      <c r="D47" s="26"/>
      <c r="E47" s="68" t="str">
        <f>IF($C47&lt;&gt;"","ALERT_" &amp; UPPER(Matrix!$D$6) &amp; "_" &amp; $C47,"")</f>
        <v/>
      </c>
      <c r="F47" s="184"/>
      <c r="G47" s="68" t="str">
        <f t="shared" si="1"/>
        <v/>
      </c>
      <c r="O47" s="182">
        <v>13</v>
      </c>
      <c r="P47" s="152"/>
      <c r="Q47" s="152"/>
      <c r="R47" s="184"/>
    </row>
    <row r="48" spans="2:18">
      <c r="B48" s="182">
        <v>14</v>
      </c>
      <c r="C48" s="152"/>
      <c r="D48" s="26"/>
      <c r="E48" s="68" t="str">
        <f>IF($C48&lt;&gt;"","ALERT_" &amp; UPPER(Matrix!$D$6) &amp; "_" &amp; $C48,"")</f>
        <v/>
      </c>
      <c r="F48" s="184"/>
      <c r="G48" s="68" t="str">
        <f t="shared" si="1"/>
        <v/>
      </c>
      <c r="O48" s="182">
        <v>14</v>
      </c>
      <c r="P48" s="152"/>
      <c r="Q48" s="152"/>
      <c r="R48" s="184"/>
    </row>
    <row r="49" spans="2:18">
      <c r="B49" s="182">
        <v>15</v>
      </c>
      <c r="C49" s="152"/>
      <c r="D49" s="26"/>
      <c r="E49" s="68" t="str">
        <f>IF($C49&lt;&gt;"","ALERT_" &amp; UPPER(Matrix!$D$6) &amp; "_" &amp; $C49,"")</f>
        <v/>
      </c>
      <c r="F49" s="184"/>
      <c r="G49" s="68" t="str">
        <f t="shared" si="1"/>
        <v/>
      </c>
      <c r="O49" s="182">
        <v>15</v>
      </c>
      <c r="P49" s="152"/>
      <c r="Q49" s="152"/>
      <c r="R49" s="184"/>
    </row>
    <row r="50" spans="2:18">
      <c r="B50" s="182">
        <v>16</v>
      </c>
      <c r="C50" s="152"/>
      <c r="D50" s="26"/>
      <c r="E50" s="68" t="str">
        <f>IF($C50&lt;&gt;"","ALERT_" &amp; UPPER(Matrix!$D$6) &amp; "_" &amp; $C50,"")</f>
        <v/>
      </c>
      <c r="F50" s="184"/>
      <c r="G50" s="68" t="str">
        <f t="shared" si="1"/>
        <v/>
      </c>
      <c r="O50" s="182">
        <v>16</v>
      </c>
      <c r="P50" s="152"/>
      <c r="Q50" s="152"/>
      <c r="R50" s="184"/>
    </row>
    <row r="51" spans="2:18">
      <c r="B51" s="182">
        <v>17</v>
      </c>
      <c r="C51" s="152"/>
      <c r="D51" s="26"/>
      <c r="E51" s="68" t="str">
        <f>IF($C51&lt;&gt;"","ALERT_" &amp; UPPER(Matrix!$D$6) &amp; "_" &amp; $C51,"")</f>
        <v/>
      </c>
      <c r="F51" s="184"/>
      <c r="G51" s="68" t="str">
        <f t="shared" si="1"/>
        <v/>
      </c>
      <c r="O51" s="182">
        <v>17</v>
      </c>
      <c r="P51" s="152"/>
      <c r="Q51" s="152"/>
      <c r="R51" s="184"/>
    </row>
    <row r="52" spans="2:18">
      <c r="B52" s="182">
        <v>18</v>
      </c>
      <c r="C52" s="152"/>
      <c r="D52" s="26"/>
      <c r="E52" s="68" t="str">
        <f>IF($C52&lt;&gt;"","ALERT_" &amp; UPPER(Matrix!$D$6) &amp; "_" &amp; $C52,"")</f>
        <v/>
      </c>
      <c r="F52" s="184"/>
      <c r="G52" s="68" t="str">
        <f t="shared" si="1"/>
        <v/>
      </c>
      <c r="O52" s="182">
        <v>18</v>
      </c>
      <c r="P52" s="152"/>
      <c r="Q52" s="152"/>
      <c r="R52" s="184"/>
    </row>
    <row r="53" spans="2:18">
      <c r="B53" s="182">
        <v>19</v>
      </c>
      <c r="C53" s="152"/>
      <c r="D53" s="26"/>
      <c r="E53" s="68" t="str">
        <f>IF($C53&lt;&gt;"","ALERT_" &amp; UPPER(Matrix!$D$6) &amp; "_" &amp; $C53,"")</f>
        <v/>
      </c>
      <c r="F53" s="184"/>
      <c r="G53" s="68" t="str">
        <f t="shared" si="1"/>
        <v/>
      </c>
      <c r="O53" s="182">
        <v>19</v>
      </c>
      <c r="P53" s="152"/>
      <c r="Q53" s="152"/>
      <c r="R53" s="184"/>
    </row>
    <row r="54" spans="2:18">
      <c r="B54" s="182">
        <v>20</v>
      </c>
      <c r="C54" s="152"/>
      <c r="D54" s="26"/>
      <c r="E54" s="68" t="str">
        <f>IF($C54&lt;&gt;"","ALERT_" &amp; UPPER(Matrix!$D$6) &amp; "_" &amp; $C54,"")</f>
        <v/>
      </c>
      <c r="F54" s="184"/>
      <c r="G54" s="68" t="str">
        <f t="shared" si="1"/>
        <v/>
      </c>
      <c r="O54" s="182">
        <v>20</v>
      </c>
      <c r="P54" s="152"/>
      <c r="Q54" s="152"/>
      <c r="R54" s="184"/>
    </row>
    <row r="55" spans="2:18">
      <c r="B55" s="182">
        <v>21</v>
      </c>
      <c r="C55" s="152"/>
      <c r="D55" s="26"/>
      <c r="E55" s="68" t="str">
        <f>IF($C55&lt;&gt;"","ALERT_" &amp; UPPER(Matrix!$D$6) &amp; "_" &amp; $C55,"")</f>
        <v/>
      </c>
      <c r="F55" s="184"/>
      <c r="G55" s="68" t="str">
        <f t="shared" si="1"/>
        <v/>
      </c>
      <c r="O55" s="182">
        <v>21</v>
      </c>
      <c r="P55" s="152"/>
      <c r="Q55" s="152"/>
      <c r="R55" s="184"/>
    </row>
    <row r="56" spans="2:18">
      <c r="B56" s="182">
        <v>22</v>
      </c>
      <c r="C56" s="152"/>
      <c r="D56" s="26"/>
      <c r="E56" s="68" t="str">
        <f>IF($C56&lt;&gt;"","ALERT_" &amp; UPPER(Matrix!$D$6) &amp; "_" &amp; $C56,"")</f>
        <v/>
      </c>
      <c r="F56" s="184"/>
      <c r="G56" s="68" t="str">
        <f t="shared" si="1"/>
        <v/>
      </c>
      <c r="O56" s="182">
        <v>22</v>
      </c>
      <c r="P56" s="152"/>
      <c r="Q56" s="152"/>
      <c r="R56" s="184"/>
    </row>
    <row r="57" spans="2:18">
      <c r="B57" s="182">
        <v>23</v>
      </c>
      <c r="C57" s="152"/>
      <c r="D57" s="26"/>
      <c r="E57" s="68" t="str">
        <f>IF($C57&lt;&gt;"","ALERT_" &amp; UPPER(Matrix!$D$6) &amp; "_" &amp; $C57,"")</f>
        <v/>
      </c>
      <c r="F57" s="184"/>
      <c r="G57" s="68" t="str">
        <f t="shared" si="1"/>
        <v/>
      </c>
      <c r="O57" s="182">
        <v>23</v>
      </c>
      <c r="P57" s="152"/>
      <c r="Q57" s="152"/>
      <c r="R57" s="184"/>
    </row>
    <row r="58" spans="2:18">
      <c r="B58" s="182">
        <v>24</v>
      </c>
      <c r="C58" s="152"/>
      <c r="D58" s="26"/>
      <c r="E58" s="68" t="str">
        <f>IF($C58&lt;&gt;"","ALERT_" &amp; UPPER(Matrix!$D$6) &amp; "_" &amp; $C58,"")</f>
        <v/>
      </c>
      <c r="F58" s="184"/>
      <c r="G58" s="68" t="str">
        <f t="shared" si="1"/>
        <v/>
      </c>
      <c r="O58" s="182">
        <v>24</v>
      </c>
      <c r="P58" s="152"/>
      <c r="Q58" s="152"/>
      <c r="R58" s="184"/>
    </row>
    <row r="59" spans="2:18" ht="14.25" thickBot="1">
      <c r="B59" s="183">
        <v>25</v>
      </c>
      <c r="C59" s="150"/>
      <c r="D59" s="54"/>
      <c r="E59" s="69" t="str">
        <f>IF($C59&lt;&gt;"","ALERT_" &amp; UPPER(Matrix!$D$6) &amp; "_" &amp; $C59,"")</f>
        <v/>
      </c>
      <c r="F59" s="185"/>
      <c r="G59" s="69" t="str">
        <f t="shared" si="1"/>
        <v/>
      </c>
      <c r="O59" s="183">
        <v>25</v>
      </c>
      <c r="P59" s="150"/>
      <c r="Q59" s="150"/>
      <c r="R59" s="185"/>
    </row>
  </sheetData>
  <sheetProtection sheet="1" objects="1" scenarios="1"/>
  <protectedRanges>
    <protectedRange sqref="C5:D29 P5:R29 F5:F29 C35:D59 F35:F59 P35:R59" name="編集許可"/>
  </protectedRanges>
  <phoneticPr fontId="2"/>
  <dataValidations count="2">
    <dataValidation type="list" allowBlank="1" showInputMessage="1" showErrorMessage="1" sqref="D5:D29" xr:uid="{00000000-0002-0000-0300-000000000000}">
      <formula1>"OPT,HW"</formula1>
    </dataValidation>
    <dataValidation type="list" allowBlank="1" showInputMessage="1" showErrorMessage="1" sqref="D35:D59" xr:uid="{00000000-0002-0000-0300-000001000000}">
      <formula1>"DEF"</formula1>
    </dataValidation>
  </dataValidations>
  <pageMargins left="0.7" right="0.7" top="0.75" bottom="0.75" header="0.3" footer="0.3"/>
  <pageSetup paperSize="9" orientation="portrait"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tabColor rgb="FFCCFFCC"/>
  </sheetPr>
  <dimension ref="B1:U103"/>
  <sheetViews>
    <sheetView zoomScaleNormal="100" workbookViewId="0">
      <pane ySplit="2" topLeftCell="A4" activePane="bottomLeft" state="frozen"/>
      <selection pane="bottomLeft" activeCell="A4" sqref="A4"/>
    </sheetView>
  </sheetViews>
  <sheetFormatPr defaultRowHeight="13.5"/>
  <cols>
    <col min="2" max="2" width="28.375" customWidth="1"/>
    <col min="3" max="3" width="15.875" customWidth="1"/>
    <col min="5" max="9" width="12.375" customWidth="1"/>
    <col min="10" max="10" width="33.25" bestFit="1" customWidth="1"/>
    <col min="11" max="12" width="12.375" customWidth="1"/>
    <col min="14" max="14" width="30.125" bestFit="1" customWidth="1"/>
    <col min="15" max="15" width="57.125" hidden="1" customWidth="1"/>
    <col min="21" max="21" width="13" hidden="1" customWidth="1"/>
  </cols>
  <sheetData>
    <row r="1" spans="2:21" ht="14.25" thickBot="1">
      <c r="C1" s="92" t="s">
        <v>103</v>
      </c>
    </row>
    <row r="2" spans="2:21" ht="14.25" thickBot="1">
      <c r="B2" s="100" t="s">
        <v>57</v>
      </c>
      <c r="C2" s="101" t="s">
        <v>121</v>
      </c>
      <c r="D2" s="102" t="s">
        <v>51</v>
      </c>
      <c r="E2" s="103" t="s">
        <v>52</v>
      </c>
      <c r="F2" s="104" t="s">
        <v>23</v>
      </c>
      <c r="G2" s="103" t="s">
        <v>53</v>
      </c>
      <c r="H2" s="104" t="s">
        <v>25</v>
      </c>
      <c r="I2" s="103" t="s">
        <v>54</v>
      </c>
      <c r="J2" s="104" t="s">
        <v>161</v>
      </c>
      <c r="K2" s="103" t="s">
        <v>55</v>
      </c>
      <c r="L2" s="104" t="s">
        <v>26</v>
      </c>
      <c r="M2" s="101" t="s">
        <v>56</v>
      </c>
      <c r="N2" s="104" t="s">
        <v>116</v>
      </c>
      <c r="O2" s="125" t="s">
        <v>82</v>
      </c>
    </row>
    <row r="3" spans="2:21" ht="15" hidden="1" thickTop="1" thickBot="1">
      <c r="B3" s="27"/>
      <c r="C3" s="51" t="s">
        <v>107</v>
      </c>
      <c r="D3" s="116"/>
      <c r="E3" s="13"/>
      <c r="F3" s="15"/>
      <c r="G3" s="13"/>
      <c r="H3" s="15"/>
      <c r="I3" s="13"/>
      <c r="J3" s="15"/>
      <c r="K3" s="13"/>
      <c r="L3" s="15"/>
      <c r="M3" s="52"/>
      <c r="N3" s="112"/>
      <c r="O3" s="126"/>
      <c r="U3" s="96" t="s">
        <v>97</v>
      </c>
    </row>
    <row r="4" spans="2:21" ht="14.25" thickTop="1">
      <c r="B4" s="27" t="s">
        <v>255</v>
      </c>
      <c r="C4" s="51" t="s">
        <v>230</v>
      </c>
      <c r="D4" s="116">
        <v>0</v>
      </c>
      <c r="E4" s="117" t="s">
        <v>125</v>
      </c>
      <c r="F4" s="118" t="s">
        <v>231</v>
      </c>
      <c r="G4" s="117" t="s">
        <v>125</v>
      </c>
      <c r="H4" s="118" t="s">
        <v>31</v>
      </c>
      <c r="I4" s="117" t="s">
        <v>125</v>
      </c>
      <c r="J4" s="118" t="s">
        <v>232</v>
      </c>
      <c r="K4" s="117" t="s">
        <v>125</v>
      </c>
      <c r="L4" s="118" t="s">
        <v>31</v>
      </c>
      <c r="M4" s="52">
        <f ca="1">LEN(N4)</f>
        <v>29</v>
      </c>
      <c r="N4" s="112" t="str">
        <f ca="1">VLOOKUP($B4,Matrix!$H$13:$I$37,2,FALSE)&amp;"_"&amp;C4</f>
        <v>ALERT_REQ_D_ATFWRN_PD_ATFREPL</v>
      </c>
      <c r="O4" s="126" t="str">
        <f t="shared" ref="O4:O35" ca="1" si="0">"#define "&amp;N4&amp;REPT(" ",48-M4)&amp;"("&amp;D4&amp;"U)"</f>
        <v>#define ALERT_REQ_D_ATFWRN_PD_ATFREPL                   (0U)</v>
      </c>
      <c r="U4" s="96" t="s">
        <v>97</v>
      </c>
    </row>
    <row r="5" spans="2:21">
      <c r="B5" s="27" t="s">
        <v>300</v>
      </c>
      <c r="C5" s="26" t="s">
        <v>298</v>
      </c>
      <c r="D5" s="119">
        <v>0</v>
      </c>
      <c r="E5" s="27" t="s">
        <v>125</v>
      </c>
      <c r="F5" s="120" t="s">
        <v>31</v>
      </c>
      <c r="G5" s="27" t="s">
        <v>125</v>
      </c>
      <c r="H5" s="120" t="s">
        <v>31</v>
      </c>
      <c r="I5" s="27" t="s">
        <v>125</v>
      </c>
      <c r="J5" s="120" t="s">
        <v>256</v>
      </c>
      <c r="K5" s="27" t="s">
        <v>125</v>
      </c>
      <c r="L5" s="120" t="s">
        <v>266</v>
      </c>
      <c r="M5" s="47">
        <f t="shared" ref="M5:M68" ca="1" si="1">LEN(N5)</f>
        <v>31</v>
      </c>
      <c r="N5" s="112" t="str">
        <f ca="1">VLOOKUP($B5,Matrix!$H$13:$I$37,2,FALSE)&amp;"_"&amp;C5</f>
        <v>ALERT_REQ_D_ATFWRN_RWRN_ATFWREQ</v>
      </c>
      <c r="O5" s="127" t="str">
        <f t="shared" ca="1" si="0"/>
        <v>#define ALERT_REQ_D_ATFWRN_RWRN_ATFWREQ                 (0U)</v>
      </c>
      <c r="U5" s="94" t="s">
        <v>98</v>
      </c>
    </row>
    <row r="6" spans="2:21">
      <c r="B6" s="27"/>
      <c r="C6" s="109"/>
      <c r="D6" s="123"/>
      <c r="E6" s="27"/>
      <c r="F6" s="120"/>
      <c r="G6" s="27"/>
      <c r="H6" s="120"/>
      <c r="I6" s="27"/>
      <c r="J6" s="120"/>
      <c r="K6" s="27"/>
      <c r="L6" s="120"/>
      <c r="M6" s="47" t="e">
        <f t="shared" ca="1" si="1"/>
        <v>#N/A</v>
      </c>
      <c r="N6" s="112" t="e">
        <f ca="1">VLOOKUP($B6,Matrix!$H$13:$I$37,2,FALSE)&amp;"_"&amp;C6</f>
        <v>#N/A</v>
      </c>
      <c r="O6" s="127" t="e">
        <f t="shared" ca="1" si="0"/>
        <v>#N/A</v>
      </c>
      <c r="U6" s="31" t="s">
        <v>99</v>
      </c>
    </row>
    <row r="7" spans="2:21">
      <c r="B7" s="111"/>
      <c r="C7" s="110"/>
      <c r="D7" s="124"/>
      <c r="E7" s="27"/>
      <c r="F7" s="120"/>
      <c r="G7" s="27"/>
      <c r="H7" s="120"/>
      <c r="I7" s="27"/>
      <c r="J7" s="120"/>
      <c r="K7" s="27"/>
      <c r="L7" s="120"/>
      <c r="M7" s="47" t="e">
        <f t="shared" ca="1" si="1"/>
        <v>#N/A</v>
      </c>
      <c r="N7" s="112" t="e">
        <f ca="1">VLOOKUP($B7,Matrix!$H$13:$I$37,2,FALSE)&amp;"_"&amp;C7</f>
        <v>#N/A</v>
      </c>
      <c r="O7" s="127" t="e">
        <f t="shared" ca="1" si="0"/>
        <v>#N/A</v>
      </c>
      <c r="U7" s="31" t="s">
        <v>100</v>
      </c>
    </row>
    <row r="8" spans="2:21">
      <c r="B8" s="111"/>
      <c r="C8" s="110"/>
      <c r="D8" s="124"/>
      <c r="E8" s="27"/>
      <c r="F8" s="120"/>
      <c r="G8" s="27"/>
      <c r="H8" s="120"/>
      <c r="I8" s="27"/>
      <c r="J8" s="120"/>
      <c r="K8" s="27"/>
      <c r="L8" s="120"/>
      <c r="M8" s="47" t="e">
        <f t="shared" ca="1" si="1"/>
        <v>#N/A</v>
      </c>
      <c r="N8" s="112" t="e">
        <f ca="1">VLOOKUP($B8,Matrix!$H$13:$I$37,2,FALSE)&amp;"_"&amp;C8</f>
        <v>#N/A</v>
      </c>
      <c r="O8" s="127" t="e">
        <f t="shared" ca="1" si="0"/>
        <v>#N/A</v>
      </c>
      <c r="U8" s="31" t="s">
        <v>101</v>
      </c>
    </row>
    <row r="9" spans="2:21">
      <c r="B9" s="27"/>
      <c r="C9" s="26"/>
      <c r="D9" s="119"/>
      <c r="E9" s="27"/>
      <c r="F9" s="120"/>
      <c r="G9" s="27"/>
      <c r="H9" s="120"/>
      <c r="I9" s="27"/>
      <c r="J9" s="120"/>
      <c r="K9" s="27"/>
      <c r="L9" s="120"/>
      <c r="M9" s="47" t="e">
        <f t="shared" ca="1" si="1"/>
        <v>#N/A</v>
      </c>
      <c r="N9" s="112" t="e">
        <f ca="1">VLOOKUP($B9,Matrix!$H$13:$I$37,2,FALSE)&amp;"_"&amp;C9</f>
        <v>#N/A</v>
      </c>
      <c r="O9" s="127" t="e">
        <f t="shared" ca="1" si="0"/>
        <v>#N/A</v>
      </c>
      <c r="U9" s="31" t="s">
        <v>102</v>
      </c>
    </row>
    <row r="10" spans="2:21">
      <c r="B10" s="27"/>
      <c r="C10" s="26"/>
      <c r="D10" s="119"/>
      <c r="E10" s="27"/>
      <c r="F10" s="120"/>
      <c r="G10" s="27"/>
      <c r="H10" s="120"/>
      <c r="I10" s="27"/>
      <c r="J10" s="120"/>
      <c r="K10" s="27"/>
      <c r="L10" s="120"/>
      <c r="M10" s="47" t="e">
        <f t="shared" ca="1" si="1"/>
        <v>#N/A</v>
      </c>
      <c r="N10" s="112" t="e">
        <f ca="1">VLOOKUP($B10,Matrix!$H$13:$I$37,2,FALSE)&amp;"_"&amp;C10</f>
        <v>#N/A</v>
      </c>
      <c r="O10" s="127" t="e">
        <f t="shared" ca="1" si="0"/>
        <v>#N/A</v>
      </c>
      <c r="U10" s="31"/>
    </row>
    <row r="11" spans="2:21">
      <c r="B11" s="27"/>
      <c r="C11" s="26"/>
      <c r="D11" s="119"/>
      <c r="E11" s="27"/>
      <c r="F11" s="120"/>
      <c r="G11" s="27"/>
      <c r="H11" s="120"/>
      <c r="I11" s="27"/>
      <c r="J11" s="120"/>
      <c r="K11" s="27"/>
      <c r="L11" s="120"/>
      <c r="M11" s="47" t="e">
        <f t="shared" ca="1" si="1"/>
        <v>#N/A</v>
      </c>
      <c r="N11" s="112" t="e">
        <f ca="1">VLOOKUP($B11,Matrix!$H$13:$I$37,2,FALSE)&amp;"_"&amp;C11</f>
        <v>#N/A</v>
      </c>
      <c r="O11" s="127" t="e">
        <f t="shared" ca="1" si="0"/>
        <v>#N/A</v>
      </c>
      <c r="U11" s="31"/>
    </row>
    <row r="12" spans="2:21">
      <c r="B12" s="27"/>
      <c r="C12" s="26"/>
      <c r="D12" s="119"/>
      <c r="E12" s="27"/>
      <c r="F12" s="120"/>
      <c r="G12" s="27"/>
      <c r="H12" s="120"/>
      <c r="I12" s="27"/>
      <c r="J12" s="120"/>
      <c r="K12" s="27"/>
      <c r="L12" s="120"/>
      <c r="M12" s="47" t="e">
        <f t="shared" ca="1" si="1"/>
        <v>#N/A</v>
      </c>
      <c r="N12" s="112" t="e">
        <f ca="1">VLOOKUP($B12,Matrix!$H$13:$I$37,2,FALSE)&amp;"_"&amp;C12</f>
        <v>#N/A</v>
      </c>
      <c r="O12" s="127" t="e">
        <f t="shared" ca="1" si="0"/>
        <v>#N/A</v>
      </c>
      <c r="U12" s="31"/>
    </row>
    <row r="13" spans="2:21" ht="14.25" thickBot="1">
      <c r="B13" s="27"/>
      <c r="C13" s="26"/>
      <c r="D13" s="119"/>
      <c r="E13" s="27"/>
      <c r="F13" s="120"/>
      <c r="G13" s="27"/>
      <c r="H13" s="120"/>
      <c r="I13" s="27"/>
      <c r="J13" s="120"/>
      <c r="K13" s="27"/>
      <c r="L13" s="120"/>
      <c r="M13" s="47" t="e">
        <f t="shared" ca="1" si="1"/>
        <v>#N/A</v>
      </c>
      <c r="N13" s="112" t="e">
        <f ca="1">VLOOKUP($B13,Matrix!$H$13:$I$37,2,FALSE)&amp;"_"&amp;C13</f>
        <v>#N/A</v>
      </c>
      <c r="O13" s="127" t="e">
        <f t="shared" ca="1" si="0"/>
        <v>#N/A</v>
      </c>
      <c r="U13" s="95"/>
    </row>
    <row r="14" spans="2:21">
      <c r="B14" s="27"/>
      <c r="C14" s="26"/>
      <c r="D14" s="119"/>
      <c r="E14" s="27"/>
      <c r="F14" s="120"/>
      <c r="G14" s="27"/>
      <c r="H14" s="120"/>
      <c r="I14" s="27"/>
      <c r="J14" s="120"/>
      <c r="K14" s="27"/>
      <c r="L14" s="120"/>
      <c r="M14" s="47" t="e">
        <f t="shared" ca="1" si="1"/>
        <v>#N/A</v>
      </c>
      <c r="N14" s="112" t="e">
        <f ca="1">VLOOKUP($B14,Matrix!$H$13:$I$37,2,FALSE)&amp;"_"&amp;C14</f>
        <v>#N/A</v>
      </c>
      <c r="O14" s="127" t="e">
        <f t="shared" ca="1" si="0"/>
        <v>#N/A</v>
      </c>
    </row>
    <row r="15" spans="2:21">
      <c r="B15" s="27"/>
      <c r="C15" s="26"/>
      <c r="D15" s="119"/>
      <c r="E15" s="27"/>
      <c r="F15" s="120"/>
      <c r="G15" s="27"/>
      <c r="H15" s="120"/>
      <c r="I15" s="27"/>
      <c r="J15" s="120"/>
      <c r="K15" s="27"/>
      <c r="L15" s="120"/>
      <c r="M15" s="47" t="e">
        <f t="shared" ca="1" si="1"/>
        <v>#N/A</v>
      </c>
      <c r="N15" s="112" t="e">
        <f ca="1">VLOOKUP($B15,Matrix!$H$13:$I$37,2,FALSE)&amp;"_"&amp;C15</f>
        <v>#N/A</v>
      </c>
      <c r="O15" s="127" t="e">
        <f t="shared" ca="1" si="0"/>
        <v>#N/A</v>
      </c>
    </row>
    <row r="16" spans="2:21">
      <c r="B16" s="27"/>
      <c r="C16" s="26"/>
      <c r="D16" s="119"/>
      <c r="E16" s="27"/>
      <c r="F16" s="120"/>
      <c r="G16" s="27"/>
      <c r="H16" s="120"/>
      <c r="I16" s="27"/>
      <c r="J16" s="120"/>
      <c r="K16" s="27"/>
      <c r="L16" s="120"/>
      <c r="M16" s="47" t="e">
        <f t="shared" ca="1" si="1"/>
        <v>#N/A</v>
      </c>
      <c r="N16" s="112" t="e">
        <f ca="1">VLOOKUP($B16,Matrix!$H$13:$I$37,2,FALSE)&amp;"_"&amp;C16</f>
        <v>#N/A</v>
      </c>
      <c r="O16" s="127" t="e">
        <f t="shared" ca="1" si="0"/>
        <v>#N/A</v>
      </c>
    </row>
    <row r="17" spans="2:15">
      <c r="B17" s="27"/>
      <c r="C17" s="26"/>
      <c r="D17" s="119"/>
      <c r="E17" s="27"/>
      <c r="F17" s="120"/>
      <c r="G17" s="27"/>
      <c r="H17" s="120"/>
      <c r="I17" s="27"/>
      <c r="J17" s="120"/>
      <c r="K17" s="27"/>
      <c r="L17" s="120"/>
      <c r="M17" s="47" t="e">
        <f t="shared" ca="1" si="1"/>
        <v>#N/A</v>
      </c>
      <c r="N17" s="112" t="e">
        <f ca="1">VLOOKUP($B17,Matrix!$H$13:$I$37,2,FALSE)&amp;"_"&amp;C17</f>
        <v>#N/A</v>
      </c>
      <c r="O17" s="127" t="e">
        <f t="shared" ca="1" si="0"/>
        <v>#N/A</v>
      </c>
    </row>
    <row r="18" spans="2:15">
      <c r="B18" s="27"/>
      <c r="C18" s="26"/>
      <c r="D18" s="119"/>
      <c r="E18" s="27"/>
      <c r="F18" s="120"/>
      <c r="G18" s="27"/>
      <c r="H18" s="120"/>
      <c r="I18" s="27"/>
      <c r="J18" s="120"/>
      <c r="K18" s="27"/>
      <c r="L18" s="120"/>
      <c r="M18" s="47" t="e">
        <f t="shared" ca="1" si="1"/>
        <v>#N/A</v>
      </c>
      <c r="N18" s="112" t="e">
        <f ca="1">VLOOKUP($B18,Matrix!$H$13:$I$37,2,FALSE)&amp;"_"&amp;C18</f>
        <v>#N/A</v>
      </c>
      <c r="O18" s="127" t="e">
        <f t="shared" ca="1" si="0"/>
        <v>#N/A</v>
      </c>
    </row>
    <row r="19" spans="2:15">
      <c r="B19" s="27"/>
      <c r="C19" s="26"/>
      <c r="D19" s="119"/>
      <c r="E19" s="27"/>
      <c r="F19" s="120"/>
      <c r="G19" s="27"/>
      <c r="H19" s="120"/>
      <c r="I19" s="27"/>
      <c r="J19" s="120"/>
      <c r="K19" s="27"/>
      <c r="L19" s="120"/>
      <c r="M19" s="47" t="e">
        <f t="shared" ca="1" si="1"/>
        <v>#N/A</v>
      </c>
      <c r="N19" s="112" t="e">
        <f ca="1">VLOOKUP($B19,Matrix!$H$13:$I$37,2,FALSE)&amp;"_"&amp;C19</f>
        <v>#N/A</v>
      </c>
      <c r="O19" s="127" t="e">
        <f t="shared" ca="1" si="0"/>
        <v>#N/A</v>
      </c>
    </row>
    <row r="20" spans="2:15">
      <c r="B20" s="27"/>
      <c r="C20" s="26"/>
      <c r="D20" s="119"/>
      <c r="E20" s="27"/>
      <c r="F20" s="120"/>
      <c r="G20" s="27"/>
      <c r="H20" s="120"/>
      <c r="I20" s="27"/>
      <c r="J20" s="120"/>
      <c r="K20" s="27"/>
      <c r="L20" s="120"/>
      <c r="M20" s="47" t="e">
        <f t="shared" ca="1" si="1"/>
        <v>#N/A</v>
      </c>
      <c r="N20" s="112" t="e">
        <f ca="1">VLOOKUP($B20,Matrix!$H$13:$I$37,2,FALSE)&amp;"_"&amp;C20</f>
        <v>#N/A</v>
      </c>
      <c r="O20" s="127" t="e">
        <f t="shared" ca="1" si="0"/>
        <v>#N/A</v>
      </c>
    </row>
    <row r="21" spans="2:15">
      <c r="B21" s="27"/>
      <c r="C21" s="26"/>
      <c r="D21" s="119"/>
      <c r="E21" s="27"/>
      <c r="F21" s="120"/>
      <c r="G21" s="27"/>
      <c r="H21" s="120"/>
      <c r="I21" s="27"/>
      <c r="J21" s="120"/>
      <c r="K21" s="27"/>
      <c r="L21" s="120"/>
      <c r="M21" s="47" t="e">
        <f t="shared" ca="1" si="1"/>
        <v>#N/A</v>
      </c>
      <c r="N21" s="112" t="e">
        <f ca="1">VLOOKUP($B21,Matrix!$H$13:$I$37,2,FALSE)&amp;"_"&amp;C21</f>
        <v>#N/A</v>
      </c>
      <c r="O21" s="127" t="e">
        <f t="shared" ca="1" si="0"/>
        <v>#N/A</v>
      </c>
    </row>
    <row r="22" spans="2:15">
      <c r="B22" s="27"/>
      <c r="C22" s="26"/>
      <c r="D22" s="119"/>
      <c r="E22" s="27"/>
      <c r="F22" s="120"/>
      <c r="G22" s="27"/>
      <c r="H22" s="120"/>
      <c r="I22" s="27"/>
      <c r="J22" s="120"/>
      <c r="K22" s="27"/>
      <c r="L22" s="120"/>
      <c r="M22" s="47" t="e">
        <f t="shared" ca="1" si="1"/>
        <v>#N/A</v>
      </c>
      <c r="N22" s="112" t="e">
        <f ca="1">VLOOKUP($B22,Matrix!$H$13:$I$37,2,FALSE)&amp;"_"&amp;C22</f>
        <v>#N/A</v>
      </c>
      <c r="O22" s="127" t="e">
        <f t="shared" ca="1" si="0"/>
        <v>#N/A</v>
      </c>
    </row>
    <row r="23" spans="2:15">
      <c r="B23" s="27"/>
      <c r="C23" s="26"/>
      <c r="D23" s="119"/>
      <c r="E23" s="27"/>
      <c r="F23" s="120"/>
      <c r="G23" s="27"/>
      <c r="H23" s="120"/>
      <c r="I23" s="27"/>
      <c r="J23" s="120"/>
      <c r="K23" s="27"/>
      <c r="L23" s="120"/>
      <c r="M23" s="47" t="e">
        <f t="shared" ca="1" si="1"/>
        <v>#N/A</v>
      </c>
      <c r="N23" s="112" t="e">
        <f ca="1">VLOOKUP($B23,Matrix!$H$13:$I$37,2,FALSE)&amp;"_"&amp;C23</f>
        <v>#N/A</v>
      </c>
      <c r="O23" s="127" t="e">
        <f t="shared" ca="1" si="0"/>
        <v>#N/A</v>
      </c>
    </row>
    <row r="24" spans="2:15">
      <c r="B24" s="27"/>
      <c r="C24" s="26"/>
      <c r="D24" s="119"/>
      <c r="E24" s="27"/>
      <c r="F24" s="120"/>
      <c r="G24" s="27"/>
      <c r="H24" s="120"/>
      <c r="I24" s="27"/>
      <c r="J24" s="120"/>
      <c r="K24" s="27"/>
      <c r="L24" s="120"/>
      <c r="M24" s="47" t="e">
        <f t="shared" ca="1" si="1"/>
        <v>#N/A</v>
      </c>
      <c r="N24" s="112" t="e">
        <f ca="1">VLOOKUP($B24,Matrix!$H$13:$I$37,2,FALSE)&amp;"_"&amp;C24</f>
        <v>#N/A</v>
      </c>
      <c r="O24" s="127" t="e">
        <f t="shared" ca="1" si="0"/>
        <v>#N/A</v>
      </c>
    </row>
    <row r="25" spans="2:15">
      <c r="B25" s="27"/>
      <c r="C25" s="26"/>
      <c r="D25" s="119"/>
      <c r="E25" s="27"/>
      <c r="F25" s="120"/>
      <c r="G25" s="27"/>
      <c r="H25" s="120"/>
      <c r="I25" s="27"/>
      <c r="J25" s="120"/>
      <c r="K25" s="27"/>
      <c r="L25" s="120"/>
      <c r="M25" s="47" t="e">
        <f t="shared" ca="1" si="1"/>
        <v>#N/A</v>
      </c>
      <c r="N25" s="112" t="e">
        <f ca="1">VLOOKUP($B25,Matrix!$H$13:$I$37,2,FALSE)&amp;"_"&amp;C25</f>
        <v>#N/A</v>
      </c>
      <c r="O25" s="127" t="e">
        <f t="shared" ca="1" si="0"/>
        <v>#N/A</v>
      </c>
    </row>
    <row r="26" spans="2:15">
      <c r="B26" s="27"/>
      <c r="C26" s="26"/>
      <c r="D26" s="119"/>
      <c r="E26" s="27"/>
      <c r="F26" s="120"/>
      <c r="G26" s="27"/>
      <c r="H26" s="120"/>
      <c r="I26" s="27"/>
      <c r="J26" s="120"/>
      <c r="K26" s="27"/>
      <c r="L26" s="120"/>
      <c r="M26" s="47" t="e">
        <f t="shared" ca="1" si="1"/>
        <v>#N/A</v>
      </c>
      <c r="N26" s="112" t="e">
        <f ca="1">VLOOKUP($B26,Matrix!$H$13:$I$37,2,FALSE)&amp;"_"&amp;C26</f>
        <v>#N/A</v>
      </c>
      <c r="O26" s="127" t="e">
        <f t="shared" ca="1" si="0"/>
        <v>#N/A</v>
      </c>
    </row>
    <row r="27" spans="2:15">
      <c r="B27" s="27"/>
      <c r="C27" s="26"/>
      <c r="D27" s="119"/>
      <c r="E27" s="27"/>
      <c r="F27" s="120"/>
      <c r="G27" s="27"/>
      <c r="H27" s="120"/>
      <c r="I27" s="27"/>
      <c r="J27" s="120"/>
      <c r="K27" s="27"/>
      <c r="L27" s="120"/>
      <c r="M27" s="47" t="e">
        <f t="shared" ca="1" si="1"/>
        <v>#N/A</v>
      </c>
      <c r="N27" s="112" t="e">
        <f ca="1">VLOOKUP($B27,Matrix!$H$13:$I$37,2,FALSE)&amp;"_"&amp;C27</f>
        <v>#N/A</v>
      </c>
      <c r="O27" s="127" t="e">
        <f t="shared" ca="1" si="0"/>
        <v>#N/A</v>
      </c>
    </row>
    <row r="28" spans="2:15">
      <c r="B28" s="27"/>
      <c r="C28" s="26"/>
      <c r="D28" s="119"/>
      <c r="E28" s="27"/>
      <c r="F28" s="120"/>
      <c r="G28" s="27"/>
      <c r="H28" s="120"/>
      <c r="I28" s="27"/>
      <c r="J28" s="120"/>
      <c r="K28" s="27"/>
      <c r="L28" s="120"/>
      <c r="M28" s="47" t="e">
        <f t="shared" ca="1" si="1"/>
        <v>#N/A</v>
      </c>
      <c r="N28" s="112" t="e">
        <f ca="1">VLOOKUP($B28,Matrix!$H$13:$I$37,2,FALSE)&amp;"_"&amp;C28</f>
        <v>#N/A</v>
      </c>
      <c r="O28" s="127" t="e">
        <f t="shared" ca="1" si="0"/>
        <v>#N/A</v>
      </c>
    </row>
    <row r="29" spans="2:15">
      <c r="B29" s="27"/>
      <c r="C29" s="26"/>
      <c r="D29" s="119"/>
      <c r="E29" s="27"/>
      <c r="F29" s="120"/>
      <c r="G29" s="27"/>
      <c r="H29" s="120"/>
      <c r="I29" s="27"/>
      <c r="J29" s="120"/>
      <c r="K29" s="27"/>
      <c r="L29" s="120"/>
      <c r="M29" s="47" t="e">
        <f t="shared" ca="1" si="1"/>
        <v>#N/A</v>
      </c>
      <c r="N29" s="112" t="e">
        <f ca="1">VLOOKUP($B29,Matrix!$H$13:$I$37,2,FALSE)&amp;"_"&amp;C29</f>
        <v>#N/A</v>
      </c>
      <c r="O29" s="127" t="e">
        <f t="shared" ca="1" si="0"/>
        <v>#N/A</v>
      </c>
    </row>
    <row r="30" spans="2:15">
      <c r="B30" s="27"/>
      <c r="C30" s="26"/>
      <c r="D30" s="119"/>
      <c r="E30" s="27"/>
      <c r="F30" s="120"/>
      <c r="G30" s="27"/>
      <c r="H30" s="120"/>
      <c r="I30" s="27"/>
      <c r="J30" s="120"/>
      <c r="K30" s="27"/>
      <c r="L30" s="120"/>
      <c r="M30" s="47" t="e">
        <f t="shared" ca="1" si="1"/>
        <v>#N/A</v>
      </c>
      <c r="N30" s="112" t="e">
        <f ca="1">VLOOKUP($B30,Matrix!$H$13:$I$37,2,FALSE)&amp;"_"&amp;C30</f>
        <v>#N/A</v>
      </c>
      <c r="O30" s="127" t="e">
        <f t="shared" ca="1" si="0"/>
        <v>#N/A</v>
      </c>
    </row>
    <row r="31" spans="2:15">
      <c r="B31" s="27"/>
      <c r="C31" s="26"/>
      <c r="D31" s="119"/>
      <c r="E31" s="27"/>
      <c r="F31" s="120"/>
      <c r="G31" s="27"/>
      <c r="H31" s="120"/>
      <c r="I31" s="27"/>
      <c r="J31" s="120"/>
      <c r="K31" s="27"/>
      <c r="L31" s="120"/>
      <c r="M31" s="47" t="e">
        <f t="shared" ca="1" si="1"/>
        <v>#N/A</v>
      </c>
      <c r="N31" s="112" t="e">
        <f ca="1">VLOOKUP($B31,Matrix!$H$13:$I$37,2,FALSE)&amp;"_"&amp;C31</f>
        <v>#N/A</v>
      </c>
      <c r="O31" s="127" t="e">
        <f t="shared" ca="1" si="0"/>
        <v>#N/A</v>
      </c>
    </row>
    <row r="32" spans="2:15">
      <c r="B32" s="27"/>
      <c r="C32" s="26"/>
      <c r="D32" s="119"/>
      <c r="E32" s="27"/>
      <c r="F32" s="120"/>
      <c r="G32" s="27"/>
      <c r="H32" s="120"/>
      <c r="I32" s="27"/>
      <c r="J32" s="120"/>
      <c r="K32" s="27"/>
      <c r="L32" s="120"/>
      <c r="M32" s="47" t="e">
        <f t="shared" ca="1" si="1"/>
        <v>#N/A</v>
      </c>
      <c r="N32" s="112" t="e">
        <f ca="1">VLOOKUP($B32,Matrix!$H$13:$I$37,2,FALSE)&amp;"_"&amp;C32</f>
        <v>#N/A</v>
      </c>
      <c r="O32" s="127" t="e">
        <f t="shared" ca="1" si="0"/>
        <v>#N/A</v>
      </c>
    </row>
    <row r="33" spans="2:15">
      <c r="B33" s="27"/>
      <c r="C33" s="26"/>
      <c r="D33" s="119"/>
      <c r="E33" s="27"/>
      <c r="F33" s="120"/>
      <c r="G33" s="27"/>
      <c r="H33" s="120"/>
      <c r="I33" s="27"/>
      <c r="J33" s="120"/>
      <c r="K33" s="27"/>
      <c r="L33" s="120"/>
      <c r="M33" s="47" t="e">
        <f t="shared" ca="1" si="1"/>
        <v>#N/A</v>
      </c>
      <c r="N33" s="112" t="e">
        <f ca="1">VLOOKUP($B33,Matrix!$H$13:$I$37,2,FALSE)&amp;"_"&amp;C33</f>
        <v>#N/A</v>
      </c>
      <c r="O33" s="127" t="e">
        <f t="shared" ca="1" si="0"/>
        <v>#N/A</v>
      </c>
    </row>
    <row r="34" spans="2:15">
      <c r="B34" s="27"/>
      <c r="C34" s="26"/>
      <c r="D34" s="119"/>
      <c r="E34" s="27"/>
      <c r="F34" s="120"/>
      <c r="G34" s="27"/>
      <c r="H34" s="120"/>
      <c r="I34" s="27"/>
      <c r="J34" s="120"/>
      <c r="K34" s="27"/>
      <c r="L34" s="120"/>
      <c r="M34" s="47" t="e">
        <f t="shared" ca="1" si="1"/>
        <v>#N/A</v>
      </c>
      <c r="N34" s="112" t="e">
        <f ca="1">VLOOKUP($B34,Matrix!$H$13:$I$37,2,FALSE)&amp;"_"&amp;C34</f>
        <v>#N/A</v>
      </c>
      <c r="O34" s="127" t="e">
        <f t="shared" ca="1" si="0"/>
        <v>#N/A</v>
      </c>
    </row>
    <row r="35" spans="2:15">
      <c r="B35" s="27"/>
      <c r="C35" s="26"/>
      <c r="D35" s="119"/>
      <c r="E35" s="27"/>
      <c r="F35" s="120"/>
      <c r="G35" s="27"/>
      <c r="H35" s="120"/>
      <c r="I35" s="27"/>
      <c r="J35" s="120"/>
      <c r="K35" s="27"/>
      <c r="L35" s="120"/>
      <c r="M35" s="47" t="e">
        <f t="shared" ca="1" si="1"/>
        <v>#N/A</v>
      </c>
      <c r="N35" s="112" t="e">
        <f ca="1">VLOOKUP($B35,Matrix!$H$13:$I$37,2,FALSE)&amp;"_"&amp;C35</f>
        <v>#N/A</v>
      </c>
      <c r="O35" s="127" t="e">
        <f t="shared" ca="1" si="0"/>
        <v>#N/A</v>
      </c>
    </row>
    <row r="36" spans="2:15">
      <c r="B36" s="27"/>
      <c r="C36" s="26"/>
      <c r="D36" s="119"/>
      <c r="E36" s="27"/>
      <c r="F36" s="120"/>
      <c r="G36" s="27"/>
      <c r="H36" s="120"/>
      <c r="I36" s="27"/>
      <c r="J36" s="120"/>
      <c r="K36" s="27"/>
      <c r="L36" s="120"/>
      <c r="M36" s="47" t="e">
        <f t="shared" ca="1" si="1"/>
        <v>#N/A</v>
      </c>
      <c r="N36" s="112" t="e">
        <f ca="1">VLOOKUP($B36,Matrix!$H$13:$I$37,2,FALSE)&amp;"_"&amp;C36</f>
        <v>#N/A</v>
      </c>
      <c r="O36" s="127" t="e">
        <f t="shared" ref="O36:O67" ca="1" si="2">"#define "&amp;N36&amp;REPT(" ",48-M36)&amp;"("&amp;D36&amp;"U)"</f>
        <v>#N/A</v>
      </c>
    </row>
    <row r="37" spans="2:15">
      <c r="B37" s="27"/>
      <c r="C37" s="26"/>
      <c r="D37" s="119"/>
      <c r="E37" s="27"/>
      <c r="F37" s="120"/>
      <c r="G37" s="27"/>
      <c r="H37" s="120"/>
      <c r="I37" s="27"/>
      <c r="J37" s="120"/>
      <c r="K37" s="27"/>
      <c r="L37" s="120"/>
      <c r="M37" s="47" t="e">
        <f t="shared" ca="1" si="1"/>
        <v>#N/A</v>
      </c>
      <c r="N37" s="112" t="e">
        <f ca="1">VLOOKUP($B37,Matrix!$H$13:$I$37,2,FALSE)&amp;"_"&amp;C37</f>
        <v>#N/A</v>
      </c>
      <c r="O37" s="127" t="e">
        <f t="shared" ca="1" si="2"/>
        <v>#N/A</v>
      </c>
    </row>
    <row r="38" spans="2:15">
      <c r="B38" s="27"/>
      <c r="C38" s="26"/>
      <c r="D38" s="119"/>
      <c r="E38" s="27"/>
      <c r="F38" s="120"/>
      <c r="G38" s="27"/>
      <c r="H38" s="120"/>
      <c r="I38" s="27"/>
      <c r="J38" s="120"/>
      <c r="K38" s="27"/>
      <c r="L38" s="120"/>
      <c r="M38" s="47" t="e">
        <f t="shared" ca="1" si="1"/>
        <v>#N/A</v>
      </c>
      <c r="N38" s="112" t="e">
        <f ca="1">VLOOKUP($B38,Matrix!$H$13:$I$37,2,FALSE)&amp;"_"&amp;C38</f>
        <v>#N/A</v>
      </c>
      <c r="O38" s="127" t="e">
        <f t="shared" ca="1" si="2"/>
        <v>#N/A</v>
      </c>
    </row>
    <row r="39" spans="2:15">
      <c r="B39" s="27"/>
      <c r="C39" s="26"/>
      <c r="D39" s="119"/>
      <c r="E39" s="27"/>
      <c r="F39" s="120"/>
      <c r="G39" s="27"/>
      <c r="H39" s="120"/>
      <c r="I39" s="27"/>
      <c r="J39" s="120"/>
      <c r="K39" s="27"/>
      <c r="L39" s="120"/>
      <c r="M39" s="47" t="e">
        <f t="shared" ca="1" si="1"/>
        <v>#N/A</v>
      </c>
      <c r="N39" s="112" t="e">
        <f ca="1">VLOOKUP($B39,Matrix!$H$13:$I$37,2,FALSE)&amp;"_"&amp;C39</f>
        <v>#N/A</v>
      </c>
      <c r="O39" s="127" t="e">
        <f t="shared" ca="1" si="2"/>
        <v>#N/A</v>
      </c>
    </row>
    <row r="40" spans="2:15">
      <c r="B40" s="27"/>
      <c r="C40" s="26"/>
      <c r="D40" s="119"/>
      <c r="E40" s="27"/>
      <c r="F40" s="120"/>
      <c r="G40" s="27"/>
      <c r="H40" s="120"/>
      <c r="I40" s="27"/>
      <c r="J40" s="120"/>
      <c r="K40" s="27"/>
      <c r="L40" s="120"/>
      <c r="M40" s="47" t="e">
        <f t="shared" ca="1" si="1"/>
        <v>#N/A</v>
      </c>
      <c r="N40" s="112" t="e">
        <f ca="1">VLOOKUP($B40,Matrix!$H$13:$I$37,2,FALSE)&amp;"_"&amp;C40</f>
        <v>#N/A</v>
      </c>
      <c r="O40" s="127" t="e">
        <f t="shared" ca="1" si="2"/>
        <v>#N/A</v>
      </c>
    </row>
    <row r="41" spans="2:15">
      <c r="B41" s="27"/>
      <c r="C41" s="26"/>
      <c r="D41" s="119"/>
      <c r="E41" s="27"/>
      <c r="F41" s="120"/>
      <c r="G41" s="27"/>
      <c r="H41" s="120"/>
      <c r="I41" s="27"/>
      <c r="J41" s="120"/>
      <c r="K41" s="27"/>
      <c r="L41" s="120"/>
      <c r="M41" s="47" t="e">
        <f t="shared" ca="1" si="1"/>
        <v>#N/A</v>
      </c>
      <c r="N41" s="112" t="e">
        <f ca="1">VLOOKUP($B41,Matrix!$H$13:$I$37,2,FALSE)&amp;"_"&amp;C41</f>
        <v>#N/A</v>
      </c>
      <c r="O41" s="127" t="e">
        <f t="shared" ca="1" si="2"/>
        <v>#N/A</v>
      </c>
    </row>
    <row r="42" spans="2:15">
      <c r="B42" s="27"/>
      <c r="C42" s="26"/>
      <c r="D42" s="119"/>
      <c r="E42" s="27"/>
      <c r="F42" s="120"/>
      <c r="G42" s="27"/>
      <c r="H42" s="120"/>
      <c r="I42" s="27"/>
      <c r="J42" s="120"/>
      <c r="K42" s="27"/>
      <c r="L42" s="120"/>
      <c r="M42" s="47" t="e">
        <f t="shared" ca="1" si="1"/>
        <v>#N/A</v>
      </c>
      <c r="N42" s="112" t="e">
        <f ca="1">VLOOKUP($B42,Matrix!$H$13:$I$37,2,FALSE)&amp;"_"&amp;C42</f>
        <v>#N/A</v>
      </c>
      <c r="O42" s="127" t="e">
        <f t="shared" ca="1" si="2"/>
        <v>#N/A</v>
      </c>
    </row>
    <row r="43" spans="2:15">
      <c r="B43" s="27"/>
      <c r="C43" s="26"/>
      <c r="D43" s="119"/>
      <c r="E43" s="27"/>
      <c r="F43" s="120"/>
      <c r="G43" s="27"/>
      <c r="H43" s="120"/>
      <c r="I43" s="27"/>
      <c r="J43" s="120"/>
      <c r="K43" s="27"/>
      <c r="L43" s="120"/>
      <c r="M43" s="47" t="e">
        <f t="shared" ca="1" si="1"/>
        <v>#N/A</v>
      </c>
      <c r="N43" s="112" t="e">
        <f ca="1">VLOOKUP($B43,Matrix!$H$13:$I$37,2,FALSE)&amp;"_"&amp;C43</f>
        <v>#N/A</v>
      </c>
      <c r="O43" s="127" t="e">
        <f t="shared" ca="1" si="2"/>
        <v>#N/A</v>
      </c>
    </row>
    <row r="44" spans="2:15">
      <c r="B44" s="27"/>
      <c r="C44" s="26"/>
      <c r="D44" s="119"/>
      <c r="E44" s="27"/>
      <c r="F44" s="120"/>
      <c r="G44" s="27"/>
      <c r="H44" s="120"/>
      <c r="I44" s="27"/>
      <c r="J44" s="120"/>
      <c r="K44" s="27"/>
      <c r="L44" s="120"/>
      <c r="M44" s="47" t="e">
        <f t="shared" ca="1" si="1"/>
        <v>#N/A</v>
      </c>
      <c r="N44" s="112" t="e">
        <f ca="1">VLOOKUP($B44,Matrix!$H$13:$I$37,2,FALSE)&amp;"_"&amp;C44</f>
        <v>#N/A</v>
      </c>
      <c r="O44" s="127" t="e">
        <f t="shared" ca="1" si="2"/>
        <v>#N/A</v>
      </c>
    </row>
    <row r="45" spans="2:15">
      <c r="B45" s="27"/>
      <c r="C45" s="26"/>
      <c r="D45" s="119"/>
      <c r="E45" s="27"/>
      <c r="F45" s="120"/>
      <c r="G45" s="27"/>
      <c r="H45" s="120"/>
      <c r="I45" s="27"/>
      <c r="J45" s="120"/>
      <c r="K45" s="27"/>
      <c r="L45" s="120"/>
      <c r="M45" s="47" t="e">
        <f t="shared" ca="1" si="1"/>
        <v>#N/A</v>
      </c>
      <c r="N45" s="112" t="e">
        <f ca="1">VLOOKUP($B45,Matrix!$H$13:$I$37,2,FALSE)&amp;"_"&amp;C45</f>
        <v>#N/A</v>
      </c>
      <c r="O45" s="127" t="e">
        <f t="shared" ca="1" si="2"/>
        <v>#N/A</v>
      </c>
    </row>
    <row r="46" spans="2:15">
      <c r="B46" s="27"/>
      <c r="C46" s="26"/>
      <c r="D46" s="119"/>
      <c r="E46" s="27"/>
      <c r="F46" s="120"/>
      <c r="G46" s="27"/>
      <c r="H46" s="120"/>
      <c r="I46" s="27"/>
      <c r="J46" s="120"/>
      <c r="K46" s="27"/>
      <c r="L46" s="120"/>
      <c r="M46" s="47" t="e">
        <f t="shared" ca="1" si="1"/>
        <v>#N/A</v>
      </c>
      <c r="N46" s="112" t="e">
        <f ca="1">VLOOKUP($B46,Matrix!$H$13:$I$37,2,FALSE)&amp;"_"&amp;C46</f>
        <v>#N/A</v>
      </c>
      <c r="O46" s="127" t="e">
        <f t="shared" ca="1" si="2"/>
        <v>#N/A</v>
      </c>
    </row>
    <row r="47" spans="2:15">
      <c r="B47" s="27"/>
      <c r="C47" s="26"/>
      <c r="D47" s="119"/>
      <c r="E47" s="27"/>
      <c r="F47" s="120"/>
      <c r="G47" s="27"/>
      <c r="H47" s="120"/>
      <c r="I47" s="27"/>
      <c r="J47" s="120"/>
      <c r="K47" s="27"/>
      <c r="L47" s="120"/>
      <c r="M47" s="47" t="e">
        <f t="shared" ca="1" si="1"/>
        <v>#N/A</v>
      </c>
      <c r="N47" s="112" t="e">
        <f ca="1">VLOOKUP($B47,Matrix!$H$13:$I$37,2,FALSE)&amp;"_"&amp;C47</f>
        <v>#N/A</v>
      </c>
      <c r="O47" s="127" t="e">
        <f t="shared" ca="1" si="2"/>
        <v>#N/A</v>
      </c>
    </row>
    <row r="48" spans="2:15">
      <c r="B48" s="27"/>
      <c r="C48" s="26"/>
      <c r="D48" s="119"/>
      <c r="E48" s="27"/>
      <c r="F48" s="120"/>
      <c r="G48" s="27"/>
      <c r="H48" s="120"/>
      <c r="I48" s="27"/>
      <c r="J48" s="120"/>
      <c r="K48" s="27"/>
      <c r="L48" s="120"/>
      <c r="M48" s="47" t="e">
        <f t="shared" ca="1" si="1"/>
        <v>#N/A</v>
      </c>
      <c r="N48" s="112" t="e">
        <f ca="1">VLOOKUP($B48,Matrix!$H$13:$I$37,2,FALSE)&amp;"_"&amp;C48</f>
        <v>#N/A</v>
      </c>
      <c r="O48" s="127" t="e">
        <f t="shared" ca="1" si="2"/>
        <v>#N/A</v>
      </c>
    </row>
    <row r="49" spans="2:15">
      <c r="B49" s="27"/>
      <c r="C49" s="26"/>
      <c r="D49" s="119"/>
      <c r="E49" s="27"/>
      <c r="F49" s="120"/>
      <c r="G49" s="27"/>
      <c r="H49" s="120"/>
      <c r="I49" s="27"/>
      <c r="J49" s="120"/>
      <c r="K49" s="27"/>
      <c r="L49" s="120"/>
      <c r="M49" s="47" t="e">
        <f t="shared" ca="1" si="1"/>
        <v>#N/A</v>
      </c>
      <c r="N49" s="112" t="e">
        <f ca="1">VLOOKUP($B49,Matrix!$H$13:$I$37,2,FALSE)&amp;"_"&amp;C49</f>
        <v>#N/A</v>
      </c>
      <c r="O49" s="127" t="e">
        <f t="shared" ca="1" si="2"/>
        <v>#N/A</v>
      </c>
    </row>
    <row r="50" spans="2:15">
      <c r="B50" s="27"/>
      <c r="C50" s="26"/>
      <c r="D50" s="119"/>
      <c r="E50" s="27"/>
      <c r="F50" s="120"/>
      <c r="G50" s="27"/>
      <c r="H50" s="120"/>
      <c r="I50" s="27"/>
      <c r="J50" s="120"/>
      <c r="K50" s="27"/>
      <c r="L50" s="120"/>
      <c r="M50" s="47" t="e">
        <f t="shared" ca="1" si="1"/>
        <v>#N/A</v>
      </c>
      <c r="N50" s="112" t="e">
        <f ca="1">VLOOKUP($B50,Matrix!$H$13:$I$37,2,FALSE)&amp;"_"&amp;C50</f>
        <v>#N/A</v>
      </c>
      <c r="O50" s="127" t="e">
        <f t="shared" ca="1" si="2"/>
        <v>#N/A</v>
      </c>
    </row>
    <row r="51" spans="2:15">
      <c r="B51" s="27"/>
      <c r="C51" s="26"/>
      <c r="D51" s="119"/>
      <c r="E51" s="27"/>
      <c r="F51" s="120"/>
      <c r="G51" s="27"/>
      <c r="H51" s="120"/>
      <c r="I51" s="27"/>
      <c r="J51" s="120"/>
      <c r="K51" s="27"/>
      <c r="L51" s="120"/>
      <c r="M51" s="47" t="e">
        <f t="shared" ca="1" si="1"/>
        <v>#N/A</v>
      </c>
      <c r="N51" s="112" t="e">
        <f ca="1">VLOOKUP($B51,Matrix!$H$13:$I$37,2,FALSE)&amp;"_"&amp;C51</f>
        <v>#N/A</v>
      </c>
      <c r="O51" s="127" t="e">
        <f t="shared" ca="1" si="2"/>
        <v>#N/A</v>
      </c>
    </row>
    <row r="52" spans="2:15">
      <c r="B52" s="27"/>
      <c r="C52" s="26"/>
      <c r="D52" s="119"/>
      <c r="E52" s="27"/>
      <c r="F52" s="120"/>
      <c r="G52" s="27"/>
      <c r="H52" s="120"/>
      <c r="I52" s="27"/>
      <c r="J52" s="120"/>
      <c r="K52" s="27"/>
      <c r="L52" s="120"/>
      <c r="M52" s="47" t="e">
        <f t="shared" ca="1" si="1"/>
        <v>#N/A</v>
      </c>
      <c r="N52" s="112" t="e">
        <f ca="1">VLOOKUP($B52,Matrix!$H$13:$I$37,2,FALSE)&amp;"_"&amp;C52</f>
        <v>#N/A</v>
      </c>
      <c r="O52" s="127" t="e">
        <f t="shared" ca="1" si="2"/>
        <v>#N/A</v>
      </c>
    </row>
    <row r="53" spans="2:15">
      <c r="B53" s="27"/>
      <c r="C53" s="26"/>
      <c r="D53" s="119"/>
      <c r="E53" s="27"/>
      <c r="F53" s="120"/>
      <c r="G53" s="27"/>
      <c r="H53" s="120"/>
      <c r="I53" s="27"/>
      <c r="J53" s="120"/>
      <c r="K53" s="27"/>
      <c r="L53" s="120"/>
      <c r="M53" s="47" t="e">
        <f t="shared" ca="1" si="1"/>
        <v>#N/A</v>
      </c>
      <c r="N53" s="112" t="e">
        <f ca="1">VLOOKUP($B53,Matrix!$H$13:$I$37,2,FALSE)&amp;"_"&amp;C53</f>
        <v>#N/A</v>
      </c>
      <c r="O53" s="127" t="e">
        <f t="shared" ca="1" si="2"/>
        <v>#N/A</v>
      </c>
    </row>
    <row r="54" spans="2:15">
      <c r="B54" s="27"/>
      <c r="C54" s="26"/>
      <c r="D54" s="119"/>
      <c r="E54" s="27"/>
      <c r="F54" s="120"/>
      <c r="G54" s="27"/>
      <c r="H54" s="120"/>
      <c r="I54" s="27"/>
      <c r="J54" s="120"/>
      <c r="K54" s="27"/>
      <c r="L54" s="120"/>
      <c r="M54" s="47" t="e">
        <f t="shared" ca="1" si="1"/>
        <v>#N/A</v>
      </c>
      <c r="N54" s="112" t="e">
        <f ca="1">VLOOKUP($B54,Matrix!$H$13:$I$37,2,FALSE)&amp;"_"&amp;C54</f>
        <v>#N/A</v>
      </c>
      <c r="O54" s="127" t="e">
        <f t="shared" ca="1" si="2"/>
        <v>#N/A</v>
      </c>
    </row>
    <row r="55" spans="2:15">
      <c r="B55" s="27"/>
      <c r="C55" s="26"/>
      <c r="D55" s="119"/>
      <c r="E55" s="27"/>
      <c r="F55" s="120"/>
      <c r="G55" s="27"/>
      <c r="H55" s="120"/>
      <c r="I55" s="27"/>
      <c r="J55" s="120"/>
      <c r="K55" s="27"/>
      <c r="L55" s="120"/>
      <c r="M55" s="47" t="e">
        <f t="shared" ca="1" si="1"/>
        <v>#N/A</v>
      </c>
      <c r="N55" s="112" t="e">
        <f ca="1">VLOOKUP($B55,Matrix!$H$13:$I$37,2,FALSE)&amp;"_"&amp;C55</f>
        <v>#N/A</v>
      </c>
      <c r="O55" s="127" t="e">
        <f t="shared" ca="1" si="2"/>
        <v>#N/A</v>
      </c>
    </row>
    <row r="56" spans="2:15">
      <c r="B56" s="27"/>
      <c r="C56" s="26"/>
      <c r="D56" s="119"/>
      <c r="E56" s="27"/>
      <c r="F56" s="120"/>
      <c r="G56" s="27"/>
      <c r="H56" s="120"/>
      <c r="I56" s="27"/>
      <c r="J56" s="120"/>
      <c r="K56" s="27"/>
      <c r="L56" s="120"/>
      <c r="M56" s="47" t="e">
        <f t="shared" ca="1" si="1"/>
        <v>#N/A</v>
      </c>
      <c r="N56" s="112" t="e">
        <f ca="1">VLOOKUP($B56,Matrix!$H$13:$I$37,2,FALSE)&amp;"_"&amp;C56</f>
        <v>#N/A</v>
      </c>
      <c r="O56" s="127" t="e">
        <f t="shared" ca="1" si="2"/>
        <v>#N/A</v>
      </c>
    </row>
    <row r="57" spans="2:15">
      <c r="B57" s="27"/>
      <c r="C57" s="26"/>
      <c r="D57" s="119"/>
      <c r="E57" s="27"/>
      <c r="F57" s="120"/>
      <c r="G57" s="27"/>
      <c r="H57" s="120"/>
      <c r="I57" s="27"/>
      <c r="J57" s="120"/>
      <c r="K57" s="27"/>
      <c r="L57" s="120"/>
      <c r="M57" s="47" t="e">
        <f t="shared" ca="1" si="1"/>
        <v>#N/A</v>
      </c>
      <c r="N57" s="112" t="e">
        <f ca="1">VLOOKUP($B57,Matrix!$H$13:$I$37,2,FALSE)&amp;"_"&amp;C57</f>
        <v>#N/A</v>
      </c>
      <c r="O57" s="127" t="e">
        <f t="shared" ca="1" si="2"/>
        <v>#N/A</v>
      </c>
    </row>
    <row r="58" spans="2:15">
      <c r="B58" s="27"/>
      <c r="C58" s="26"/>
      <c r="D58" s="119"/>
      <c r="E58" s="27"/>
      <c r="F58" s="120"/>
      <c r="G58" s="27"/>
      <c r="H58" s="120"/>
      <c r="I58" s="27"/>
      <c r="J58" s="120"/>
      <c r="K58" s="27"/>
      <c r="L58" s="120"/>
      <c r="M58" s="47" t="e">
        <f t="shared" ca="1" si="1"/>
        <v>#N/A</v>
      </c>
      <c r="N58" s="112" t="e">
        <f ca="1">VLOOKUP($B58,Matrix!$H$13:$I$37,2,FALSE)&amp;"_"&amp;C58</f>
        <v>#N/A</v>
      </c>
      <c r="O58" s="127" t="e">
        <f t="shared" ca="1" si="2"/>
        <v>#N/A</v>
      </c>
    </row>
    <row r="59" spans="2:15">
      <c r="B59" s="27"/>
      <c r="C59" s="26"/>
      <c r="D59" s="119"/>
      <c r="E59" s="27"/>
      <c r="F59" s="120"/>
      <c r="G59" s="27"/>
      <c r="H59" s="120"/>
      <c r="I59" s="27"/>
      <c r="J59" s="120"/>
      <c r="K59" s="27"/>
      <c r="L59" s="120"/>
      <c r="M59" s="47" t="e">
        <f t="shared" ca="1" si="1"/>
        <v>#N/A</v>
      </c>
      <c r="N59" s="112" t="e">
        <f ca="1">VLOOKUP($B59,Matrix!$H$13:$I$37,2,FALSE)&amp;"_"&amp;C59</f>
        <v>#N/A</v>
      </c>
      <c r="O59" s="127" t="e">
        <f t="shared" ca="1" si="2"/>
        <v>#N/A</v>
      </c>
    </row>
    <row r="60" spans="2:15">
      <c r="B60" s="27"/>
      <c r="C60" s="26"/>
      <c r="D60" s="119"/>
      <c r="E60" s="27"/>
      <c r="F60" s="120"/>
      <c r="G60" s="27"/>
      <c r="H60" s="120"/>
      <c r="I60" s="27"/>
      <c r="J60" s="120"/>
      <c r="K60" s="27"/>
      <c r="L60" s="120"/>
      <c r="M60" s="47" t="e">
        <f t="shared" ca="1" si="1"/>
        <v>#N/A</v>
      </c>
      <c r="N60" s="112" t="e">
        <f ca="1">VLOOKUP($B60,Matrix!$H$13:$I$37,2,FALSE)&amp;"_"&amp;C60</f>
        <v>#N/A</v>
      </c>
      <c r="O60" s="127" t="e">
        <f t="shared" ca="1" si="2"/>
        <v>#N/A</v>
      </c>
    </row>
    <row r="61" spans="2:15">
      <c r="B61" s="27"/>
      <c r="C61" s="26"/>
      <c r="D61" s="119"/>
      <c r="E61" s="27"/>
      <c r="F61" s="120"/>
      <c r="G61" s="27"/>
      <c r="H61" s="120"/>
      <c r="I61" s="27"/>
      <c r="J61" s="120"/>
      <c r="K61" s="27"/>
      <c r="L61" s="120"/>
      <c r="M61" s="47" t="e">
        <f t="shared" ca="1" si="1"/>
        <v>#N/A</v>
      </c>
      <c r="N61" s="112" t="e">
        <f ca="1">VLOOKUP($B61,Matrix!$H$13:$I$37,2,FALSE)&amp;"_"&amp;C61</f>
        <v>#N/A</v>
      </c>
      <c r="O61" s="127" t="e">
        <f t="shared" ca="1" si="2"/>
        <v>#N/A</v>
      </c>
    </row>
    <row r="62" spans="2:15">
      <c r="B62" s="27"/>
      <c r="C62" s="26"/>
      <c r="D62" s="119"/>
      <c r="E62" s="27"/>
      <c r="F62" s="120"/>
      <c r="G62" s="27"/>
      <c r="H62" s="120"/>
      <c r="I62" s="27"/>
      <c r="J62" s="120"/>
      <c r="K62" s="27"/>
      <c r="L62" s="120"/>
      <c r="M62" s="47" t="e">
        <f t="shared" ca="1" si="1"/>
        <v>#N/A</v>
      </c>
      <c r="N62" s="112" t="e">
        <f ca="1">VLOOKUP($B62,Matrix!$H$13:$I$37,2,FALSE)&amp;"_"&amp;C62</f>
        <v>#N/A</v>
      </c>
      <c r="O62" s="127" t="e">
        <f t="shared" ca="1" si="2"/>
        <v>#N/A</v>
      </c>
    </row>
    <row r="63" spans="2:15">
      <c r="B63" s="27"/>
      <c r="C63" s="26"/>
      <c r="D63" s="119"/>
      <c r="E63" s="27"/>
      <c r="F63" s="120"/>
      <c r="G63" s="27"/>
      <c r="H63" s="120"/>
      <c r="I63" s="27"/>
      <c r="J63" s="120"/>
      <c r="K63" s="27"/>
      <c r="L63" s="120"/>
      <c r="M63" s="47" t="e">
        <f t="shared" ca="1" si="1"/>
        <v>#N/A</v>
      </c>
      <c r="N63" s="112" t="e">
        <f ca="1">VLOOKUP($B63,Matrix!$H$13:$I$37,2,FALSE)&amp;"_"&amp;C63</f>
        <v>#N/A</v>
      </c>
      <c r="O63" s="127" t="e">
        <f t="shared" ca="1" si="2"/>
        <v>#N/A</v>
      </c>
    </row>
    <row r="64" spans="2:15">
      <c r="B64" s="27"/>
      <c r="C64" s="26"/>
      <c r="D64" s="119"/>
      <c r="E64" s="27"/>
      <c r="F64" s="120"/>
      <c r="G64" s="27"/>
      <c r="H64" s="120"/>
      <c r="I64" s="27"/>
      <c r="J64" s="120"/>
      <c r="K64" s="27"/>
      <c r="L64" s="120"/>
      <c r="M64" s="47" t="e">
        <f t="shared" ca="1" si="1"/>
        <v>#N/A</v>
      </c>
      <c r="N64" s="112" t="e">
        <f ca="1">VLOOKUP($B64,Matrix!$H$13:$I$37,2,FALSE)&amp;"_"&amp;C64</f>
        <v>#N/A</v>
      </c>
      <c r="O64" s="127" t="e">
        <f t="shared" ca="1" si="2"/>
        <v>#N/A</v>
      </c>
    </row>
    <row r="65" spans="2:15">
      <c r="B65" s="27"/>
      <c r="C65" s="26"/>
      <c r="D65" s="119"/>
      <c r="E65" s="27"/>
      <c r="F65" s="120"/>
      <c r="G65" s="27"/>
      <c r="H65" s="120"/>
      <c r="I65" s="27"/>
      <c r="J65" s="120"/>
      <c r="K65" s="27"/>
      <c r="L65" s="120"/>
      <c r="M65" s="47" t="e">
        <f t="shared" ca="1" si="1"/>
        <v>#N/A</v>
      </c>
      <c r="N65" s="112" t="e">
        <f ca="1">VLOOKUP($B65,Matrix!$H$13:$I$37,2,FALSE)&amp;"_"&amp;C65</f>
        <v>#N/A</v>
      </c>
      <c r="O65" s="127" t="e">
        <f t="shared" ca="1" si="2"/>
        <v>#N/A</v>
      </c>
    </row>
    <row r="66" spans="2:15">
      <c r="B66" s="27"/>
      <c r="C66" s="26"/>
      <c r="D66" s="119"/>
      <c r="E66" s="27"/>
      <c r="F66" s="120"/>
      <c r="G66" s="27"/>
      <c r="H66" s="120"/>
      <c r="I66" s="27"/>
      <c r="J66" s="120"/>
      <c r="K66" s="27"/>
      <c r="L66" s="120"/>
      <c r="M66" s="47" t="e">
        <f t="shared" ca="1" si="1"/>
        <v>#N/A</v>
      </c>
      <c r="N66" s="112" t="e">
        <f ca="1">VLOOKUP($B66,Matrix!$H$13:$I$37,2,FALSE)&amp;"_"&amp;C66</f>
        <v>#N/A</v>
      </c>
      <c r="O66" s="127" t="e">
        <f t="shared" ca="1" si="2"/>
        <v>#N/A</v>
      </c>
    </row>
    <row r="67" spans="2:15">
      <c r="B67" s="27"/>
      <c r="C67" s="26"/>
      <c r="D67" s="119"/>
      <c r="E67" s="27"/>
      <c r="F67" s="120"/>
      <c r="G67" s="27"/>
      <c r="H67" s="120"/>
      <c r="I67" s="27"/>
      <c r="J67" s="120"/>
      <c r="K67" s="27"/>
      <c r="L67" s="120"/>
      <c r="M67" s="47" t="e">
        <f t="shared" ca="1" si="1"/>
        <v>#N/A</v>
      </c>
      <c r="N67" s="112" t="e">
        <f ca="1">VLOOKUP($B67,Matrix!$H$13:$I$37,2,FALSE)&amp;"_"&amp;C67</f>
        <v>#N/A</v>
      </c>
      <c r="O67" s="127" t="e">
        <f t="shared" ca="1" si="2"/>
        <v>#N/A</v>
      </c>
    </row>
    <row r="68" spans="2:15">
      <c r="B68" s="27"/>
      <c r="C68" s="26"/>
      <c r="D68" s="119"/>
      <c r="E68" s="27"/>
      <c r="F68" s="120"/>
      <c r="G68" s="27"/>
      <c r="H68" s="120"/>
      <c r="I68" s="27"/>
      <c r="J68" s="120"/>
      <c r="K68" s="27"/>
      <c r="L68" s="120"/>
      <c r="M68" s="47" t="e">
        <f t="shared" ca="1" si="1"/>
        <v>#N/A</v>
      </c>
      <c r="N68" s="112" t="e">
        <f ca="1">VLOOKUP($B68,Matrix!$H$13:$I$37,2,FALSE)&amp;"_"&amp;C68</f>
        <v>#N/A</v>
      </c>
      <c r="O68" s="127" t="e">
        <f t="shared" ref="O68:O99" ca="1" si="3">"#define "&amp;N68&amp;REPT(" ",48-M68)&amp;"("&amp;D68&amp;"U)"</f>
        <v>#N/A</v>
      </c>
    </row>
    <row r="69" spans="2:15">
      <c r="B69" s="27"/>
      <c r="C69" s="26"/>
      <c r="D69" s="119"/>
      <c r="E69" s="27"/>
      <c r="F69" s="120"/>
      <c r="G69" s="27"/>
      <c r="H69" s="120"/>
      <c r="I69" s="27"/>
      <c r="J69" s="120"/>
      <c r="K69" s="27"/>
      <c r="L69" s="120"/>
      <c r="M69" s="47" t="e">
        <f t="shared" ref="M69:M103" ca="1" si="4">LEN(N69)</f>
        <v>#N/A</v>
      </c>
      <c r="N69" s="112" t="e">
        <f ca="1">VLOOKUP($B69,Matrix!$H$13:$I$37,2,FALSE)&amp;"_"&amp;C69</f>
        <v>#N/A</v>
      </c>
      <c r="O69" s="127" t="e">
        <f t="shared" ca="1" si="3"/>
        <v>#N/A</v>
      </c>
    </row>
    <row r="70" spans="2:15">
      <c r="B70" s="27"/>
      <c r="C70" s="26"/>
      <c r="D70" s="119"/>
      <c r="E70" s="27"/>
      <c r="F70" s="120"/>
      <c r="G70" s="27"/>
      <c r="H70" s="120"/>
      <c r="I70" s="27"/>
      <c r="J70" s="120"/>
      <c r="K70" s="27"/>
      <c r="L70" s="120"/>
      <c r="M70" s="47" t="e">
        <f t="shared" ca="1" si="4"/>
        <v>#N/A</v>
      </c>
      <c r="N70" s="112" t="e">
        <f ca="1">VLOOKUP($B70,Matrix!$H$13:$I$37,2,FALSE)&amp;"_"&amp;C70</f>
        <v>#N/A</v>
      </c>
      <c r="O70" s="127" t="e">
        <f t="shared" ca="1" si="3"/>
        <v>#N/A</v>
      </c>
    </row>
    <row r="71" spans="2:15">
      <c r="B71" s="27"/>
      <c r="C71" s="26"/>
      <c r="D71" s="119"/>
      <c r="E71" s="27"/>
      <c r="F71" s="120"/>
      <c r="G71" s="27"/>
      <c r="H71" s="120"/>
      <c r="I71" s="27"/>
      <c r="J71" s="120"/>
      <c r="K71" s="27"/>
      <c r="L71" s="120"/>
      <c r="M71" s="47" t="e">
        <f t="shared" ca="1" si="4"/>
        <v>#N/A</v>
      </c>
      <c r="N71" s="112" t="e">
        <f ca="1">VLOOKUP($B71,Matrix!$H$13:$I$37,2,FALSE)&amp;"_"&amp;C71</f>
        <v>#N/A</v>
      </c>
      <c r="O71" s="127" t="e">
        <f t="shared" ca="1" si="3"/>
        <v>#N/A</v>
      </c>
    </row>
    <row r="72" spans="2:15">
      <c r="B72" s="27"/>
      <c r="C72" s="26"/>
      <c r="D72" s="119"/>
      <c r="E72" s="27"/>
      <c r="F72" s="120"/>
      <c r="G72" s="27"/>
      <c r="H72" s="120"/>
      <c r="I72" s="27"/>
      <c r="J72" s="120"/>
      <c r="K72" s="27"/>
      <c r="L72" s="120"/>
      <c r="M72" s="47" t="e">
        <f t="shared" ca="1" si="4"/>
        <v>#N/A</v>
      </c>
      <c r="N72" s="112" t="e">
        <f ca="1">VLOOKUP($B72,Matrix!$H$13:$I$37,2,FALSE)&amp;"_"&amp;C72</f>
        <v>#N/A</v>
      </c>
      <c r="O72" s="127" t="e">
        <f t="shared" ca="1" si="3"/>
        <v>#N/A</v>
      </c>
    </row>
    <row r="73" spans="2:15">
      <c r="B73" s="27"/>
      <c r="C73" s="26"/>
      <c r="D73" s="119"/>
      <c r="E73" s="27"/>
      <c r="F73" s="120"/>
      <c r="G73" s="27"/>
      <c r="H73" s="120"/>
      <c r="I73" s="27"/>
      <c r="J73" s="120"/>
      <c r="K73" s="27"/>
      <c r="L73" s="120"/>
      <c r="M73" s="47" t="e">
        <f t="shared" ca="1" si="4"/>
        <v>#N/A</v>
      </c>
      <c r="N73" s="112" t="e">
        <f ca="1">VLOOKUP($B73,Matrix!$H$13:$I$37,2,FALSE)&amp;"_"&amp;C73</f>
        <v>#N/A</v>
      </c>
      <c r="O73" s="127" t="e">
        <f t="shared" ca="1" si="3"/>
        <v>#N/A</v>
      </c>
    </row>
    <row r="74" spans="2:15">
      <c r="B74" s="27"/>
      <c r="C74" s="26"/>
      <c r="D74" s="119"/>
      <c r="E74" s="27"/>
      <c r="F74" s="120"/>
      <c r="G74" s="27"/>
      <c r="H74" s="120"/>
      <c r="I74" s="27"/>
      <c r="J74" s="120"/>
      <c r="K74" s="27"/>
      <c r="L74" s="120"/>
      <c r="M74" s="47" t="e">
        <f t="shared" ca="1" si="4"/>
        <v>#N/A</v>
      </c>
      <c r="N74" s="112" t="e">
        <f ca="1">VLOOKUP($B74,Matrix!$H$13:$I$37,2,FALSE)&amp;"_"&amp;C74</f>
        <v>#N/A</v>
      </c>
      <c r="O74" s="127" t="e">
        <f t="shared" ca="1" si="3"/>
        <v>#N/A</v>
      </c>
    </row>
    <row r="75" spans="2:15">
      <c r="B75" s="27"/>
      <c r="C75" s="26"/>
      <c r="D75" s="119"/>
      <c r="E75" s="27"/>
      <c r="F75" s="120"/>
      <c r="G75" s="27"/>
      <c r="H75" s="120"/>
      <c r="I75" s="27"/>
      <c r="J75" s="120"/>
      <c r="K75" s="27"/>
      <c r="L75" s="120"/>
      <c r="M75" s="47" t="e">
        <f t="shared" ca="1" si="4"/>
        <v>#N/A</v>
      </c>
      <c r="N75" s="112" t="e">
        <f ca="1">VLOOKUP($B75,Matrix!$H$13:$I$37,2,FALSE)&amp;"_"&amp;C75</f>
        <v>#N/A</v>
      </c>
      <c r="O75" s="127" t="e">
        <f t="shared" ca="1" si="3"/>
        <v>#N/A</v>
      </c>
    </row>
    <row r="76" spans="2:15">
      <c r="B76" s="27"/>
      <c r="C76" s="26"/>
      <c r="D76" s="119"/>
      <c r="E76" s="27"/>
      <c r="F76" s="120"/>
      <c r="G76" s="27"/>
      <c r="H76" s="120"/>
      <c r="I76" s="27"/>
      <c r="J76" s="120"/>
      <c r="K76" s="27"/>
      <c r="L76" s="120"/>
      <c r="M76" s="47" t="e">
        <f t="shared" ca="1" si="4"/>
        <v>#N/A</v>
      </c>
      <c r="N76" s="112" t="e">
        <f ca="1">VLOOKUP($B76,Matrix!$H$13:$I$37,2,FALSE)&amp;"_"&amp;C76</f>
        <v>#N/A</v>
      </c>
      <c r="O76" s="127" t="e">
        <f t="shared" ca="1" si="3"/>
        <v>#N/A</v>
      </c>
    </row>
    <row r="77" spans="2:15">
      <c r="B77" s="27"/>
      <c r="C77" s="26"/>
      <c r="D77" s="119"/>
      <c r="E77" s="27"/>
      <c r="F77" s="120"/>
      <c r="G77" s="27"/>
      <c r="H77" s="120"/>
      <c r="I77" s="27"/>
      <c r="J77" s="120"/>
      <c r="K77" s="27"/>
      <c r="L77" s="120"/>
      <c r="M77" s="47" t="e">
        <f t="shared" ca="1" si="4"/>
        <v>#N/A</v>
      </c>
      <c r="N77" s="112" t="e">
        <f ca="1">VLOOKUP($B77,Matrix!$H$13:$I$37,2,FALSE)&amp;"_"&amp;C77</f>
        <v>#N/A</v>
      </c>
      <c r="O77" s="127" t="e">
        <f t="shared" ca="1" si="3"/>
        <v>#N/A</v>
      </c>
    </row>
    <row r="78" spans="2:15">
      <c r="B78" s="27"/>
      <c r="C78" s="26"/>
      <c r="D78" s="119"/>
      <c r="E78" s="27"/>
      <c r="F78" s="120"/>
      <c r="G78" s="27"/>
      <c r="H78" s="120"/>
      <c r="I78" s="27"/>
      <c r="J78" s="120"/>
      <c r="K78" s="27"/>
      <c r="L78" s="120"/>
      <c r="M78" s="47" t="e">
        <f t="shared" ca="1" si="4"/>
        <v>#N/A</v>
      </c>
      <c r="N78" s="112" t="e">
        <f ca="1">VLOOKUP($B78,Matrix!$H$13:$I$37,2,FALSE)&amp;"_"&amp;C78</f>
        <v>#N/A</v>
      </c>
      <c r="O78" s="127" t="e">
        <f t="shared" ca="1" si="3"/>
        <v>#N/A</v>
      </c>
    </row>
    <row r="79" spans="2:15">
      <c r="B79" s="27"/>
      <c r="C79" s="26"/>
      <c r="D79" s="119"/>
      <c r="E79" s="27"/>
      <c r="F79" s="120"/>
      <c r="G79" s="27"/>
      <c r="H79" s="120"/>
      <c r="I79" s="27"/>
      <c r="J79" s="120"/>
      <c r="K79" s="27"/>
      <c r="L79" s="120"/>
      <c r="M79" s="47" t="e">
        <f t="shared" ca="1" si="4"/>
        <v>#N/A</v>
      </c>
      <c r="N79" s="112" t="e">
        <f ca="1">VLOOKUP($B79,Matrix!$H$13:$I$37,2,FALSE)&amp;"_"&amp;C79</f>
        <v>#N/A</v>
      </c>
      <c r="O79" s="127" t="e">
        <f t="shared" ca="1" si="3"/>
        <v>#N/A</v>
      </c>
    </row>
    <row r="80" spans="2:15">
      <c r="B80" s="27"/>
      <c r="C80" s="26"/>
      <c r="D80" s="119"/>
      <c r="E80" s="27"/>
      <c r="F80" s="120"/>
      <c r="G80" s="27"/>
      <c r="H80" s="120"/>
      <c r="I80" s="27"/>
      <c r="J80" s="120"/>
      <c r="K80" s="27"/>
      <c r="L80" s="120"/>
      <c r="M80" s="47" t="e">
        <f t="shared" ca="1" si="4"/>
        <v>#N/A</v>
      </c>
      <c r="N80" s="112" t="e">
        <f ca="1">VLOOKUP($B80,Matrix!$H$13:$I$37,2,FALSE)&amp;"_"&amp;C80</f>
        <v>#N/A</v>
      </c>
      <c r="O80" s="127" t="e">
        <f t="shared" ca="1" si="3"/>
        <v>#N/A</v>
      </c>
    </row>
    <row r="81" spans="2:15">
      <c r="B81" s="27"/>
      <c r="C81" s="26"/>
      <c r="D81" s="119"/>
      <c r="E81" s="27"/>
      <c r="F81" s="120"/>
      <c r="G81" s="27"/>
      <c r="H81" s="120"/>
      <c r="I81" s="27"/>
      <c r="J81" s="120"/>
      <c r="K81" s="27"/>
      <c r="L81" s="120"/>
      <c r="M81" s="47" t="e">
        <f t="shared" ca="1" si="4"/>
        <v>#N/A</v>
      </c>
      <c r="N81" s="112" t="e">
        <f ca="1">VLOOKUP($B81,Matrix!$H$13:$I$37,2,FALSE)&amp;"_"&amp;C81</f>
        <v>#N/A</v>
      </c>
      <c r="O81" s="127" t="e">
        <f t="shared" ca="1" si="3"/>
        <v>#N/A</v>
      </c>
    </row>
    <row r="82" spans="2:15">
      <c r="B82" s="27"/>
      <c r="C82" s="26"/>
      <c r="D82" s="119"/>
      <c r="E82" s="27"/>
      <c r="F82" s="120"/>
      <c r="G82" s="27"/>
      <c r="H82" s="120"/>
      <c r="I82" s="27"/>
      <c r="J82" s="120"/>
      <c r="K82" s="27"/>
      <c r="L82" s="120"/>
      <c r="M82" s="47" t="e">
        <f t="shared" ca="1" si="4"/>
        <v>#N/A</v>
      </c>
      <c r="N82" s="112" t="e">
        <f ca="1">VLOOKUP($B82,Matrix!$H$13:$I$37,2,FALSE)&amp;"_"&amp;C82</f>
        <v>#N/A</v>
      </c>
      <c r="O82" s="127" t="e">
        <f t="shared" ca="1" si="3"/>
        <v>#N/A</v>
      </c>
    </row>
    <row r="83" spans="2:15">
      <c r="B83" s="27"/>
      <c r="C83" s="26"/>
      <c r="D83" s="119"/>
      <c r="E83" s="27"/>
      <c r="F83" s="120"/>
      <c r="G83" s="27"/>
      <c r="H83" s="120"/>
      <c r="I83" s="27"/>
      <c r="J83" s="120"/>
      <c r="K83" s="27"/>
      <c r="L83" s="120"/>
      <c r="M83" s="47" t="e">
        <f t="shared" ca="1" si="4"/>
        <v>#N/A</v>
      </c>
      <c r="N83" s="112" t="e">
        <f ca="1">VLOOKUP($B83,Matrix!$H$13:$I$37,2,FALSE)&amp;"_"&amp;C83</f>
        <v>#N/A</v>
      </c>
      <c r="O83" s="127" t="e">
        <f t="shared" ca="1" si="3"/>
        <v>#N/A</v>
      </c>
    </row>
    <row r="84" spans="2:15">
      <c r="B84" s="27"/>
      <c r="C84" s="26"/>
      <c r="D84" s="119"/>
      <c r="E84" s="27"/>
      <c r="F84" s="120"/>
      <c r="G84" s="27"/>
      <c r="H84" s="120"/>
      <c r="I84" s="27"/>
      <c r="J84" s="120"/>
      <c r="K84" s="27"/>
      <c r="L84" s="120"/>
      <c r="M84" s="47" t="e">
        <f t="shared" ca="1" si="4"/>
        <v>#N/A</v>
      </c>
      <c r="N84" s="112" t="e">
        <f ca="1">VLOOKUP($B84,Matrix!$H$13:$I$37,2,FALSE)&amp;"_"&amp;C84</f>
        <v>#N/A</v>
      </c>
      <c r="O84" s="127" t="e">
        <f t="shared" ca="1" si="3"/>
        <v>#N/A</v>
      </c>
    </row>
    <row r="85" spans="2:15">
      <c r="B85" s="27"/>
      <c r="C85" s="26"/>
      <c r="D85" s="119"/>
      <c r="E85" s="27"/>
      <c r="F85" s="120"/>
      <c r="G85" s="27"/>
      <c r="H85" s="120"/>
      <c r="I85" s="27"/>
      <c r="J85" s="120"/>
      <c r="K85" s="27"/>
      <c r="L85" s="120"/>
      <c r="M85" s="47" t="e">
        <f t="shared" ca="1" si="4"/>
        <v>#N/A</v>
      </c>
      <c r="N85" s="112" t="e">
        <f ca="1">VLOOKUP($B85,Matrix!$H$13:$I$37,2,FALSE)&amp;"_"&amp;C85</f>
        <v>#N/A</v>
      </c>
      <c r="O85" s="127" t="e">
        <f t="shared" ca="1" si="3"/>
        <v>#N/A</v>
      </c>
    </row>
    <row r="86" spans="2:15">
      <c r="B86" s="27"/>
      <c r="C86" s="26"/>
      <c r="D86" s="119"/>
      <c r="E86" s="27"/>
      <c r="F86" s="120"/>
      <c r="G86" s="27"/>
      <c r="H86" s="120"/>
      <c r="I86" s="27"/>
      <c r="J86" s="120"/>
      <c r="K86" s="27"/>
      <c r="L86" s="120"/>
      <c r="M86" s="47" t="e">
        <f t="shared" ca="1" si="4"/>
        <v>#N/A</v>
      </c>
      <c r="N86" s="112" t="e">
        <f ca="1">VLOOKUP($B86,Matrix!$H$13:$I$37,2,FALSE)&amp;"_"&amp;C86</f>
        <v>#N/A</v>
      </c>
      <c r="O86" s="127" t="e">
        <f t="shared" ca="1" si="3"/>
        <v>#N/A</v>
      </c>
    </row>
    <row r="87" spans="2:15">
      <c r="B87" s="27"/>
      <c r="C87" s="26"/>
      <c r="D87" s="119"/>
      <c r="E87" s="27"/>
      <c r="F87" s="120"/>
      <c r="G87" s="27"/>
      <c r="H87" s="120"/>
      <c r="I87" s="27"/>
      <c r="J87" s="120"/>
      <c r="K87" s="27"/>
      <c r="L87" s="120"/>
      <c r="M87" s="47" t="e">
        <f t="shared" ca="1" si="4"/>
        <v>#N/A</v>
      </c>
      <c r="N87" s="68" t="e">
        <f ca="1">VLOOKUP($B87,Matrix!$H$13:$I$37,2,FALSE)&amp;"_"&amp;C87</f>
        <v>#N/A</v>
      </c>
      <c r="O87" s="127" t="e">
        <f t="shared" ca="1" si="3"/>
        <v>#N/A</v>
      </c>
    </row>
    <row r="88" spans="2:15">
      <c r="B88" s="27"/>
      <c r="C88" s="26"/>
      <c r="D88" s="119"/>
      <c r="E88" s="27"/>
      <c r="F88" s="120"/>
      <c r="G88" s="27"/>
      <c r="H88" s="120"/>
      <c r="I88" s="27"/>
      <c r="J88" s="120"/>
      <c r="K88" s="27"/>
      <c r="L88" s="120"/>
      <c r="M88" s="47" t="e">
        <f t="shared" ca="1" si="4"/>
        <v>#N/A</v>
      </c>
      <c r="N88" s="68" t="e">
        <f ca="1">VLOOKUP($B88,Matrix!$H$13:$I$37,2,FALSE)&amp;"_"&amp;C88</f>
        <v>#N/A</v>
      </c>
      <c r="O88" s="127" t="e">
        <f t="shared" ca="1" si="3"/>
        <v>#N/A</v>
      </c>
    </row>
    <row r="89" spans="2:15">
      <c r="B89" s="27"/>
      <c r="C89" s="26"/>
      <c r="D89" s="119"/>
      <c r="E89" s="27"/>
      <c r="F89" s="120"/>
      <c r="G89" s="27"/>
      <c r="H89" s="120"/>
      <c r="I89" s="27"/>
      <c r="J89" s="120"/>
      <c r="K89" s="27"/>
      <c r="L89" s="120"/>
      <c r="M89" s="47" t="e">
        <f t="shared" ca="1" si="4"/>
        <v>#N/A</v>
      </c>
      <c r="N89" s="68" t="e">
        <f ca="1">VLOOKUP($B89,Matrix!$H$13:$I$37,2,FALSE)&amp;"_"&amp;C89</f>
        <v>#N/A</v>
      </c>
      <c r="O89" s="127" t="e">
        <f t="shared" ca="1" si="3"/>
        <v>#N/A</v>
      </c>
    </row>
    <row r="90" spans="2:15">
      <c r="B90" s="27"/>
      <c r="C90" s="26"/>
      <c r="D90" s="119"/>
      <c r="E90" s="27"/>
      <c r="F90" s="120"/>
      <c r="G90" s="27"/>
      <c r="H90" s="120"/>
      <c r="I90" s="27"/>
      <c r="J90" s="120"/>
      <c r="K90" s="27"/>
      <c r="L90" s="120"/>
      <c r="M90" s="47" t="e">
        <f t="shared" ca="1" si="4"/>
        <v>#N/A</v>
      </c>
      <c r="N90" s="68" t="e">
        <f ca="1">VLOOKUP($B90,Matrix!$H$13:$I$37,2,FALSE)&amp;"_"&amp;C90</f>
        <v>#N/A</v>
      </c>
      <c r="O90" s="127" t="e">
        <f t="shared" ca="1" si="3"/>
        <v>#N/A</v>
      </c>
    </row>
    <row r="91" spans="2:15">
      <c r="B91" s="27"/>
      <c r="C91" s="26"/>
      <c r="D91" s="119"/>
      <c r="E91" s="27"/>
      <c r="F91" s="120"/>
      <c r="G91" s="27"/>
      <c r="H91" s="120"/>
      <c r="I91" s="27"/>
      <c r="J91" s="120"/>
      <c r="K91" s="27"/>
      <c r="L91" s="120"/>
      <c r="M91" s="47" t="e">
        <f t="shared" ca="1" si="4"/>
        <v>#N/A</v>
      </c>
      <c r="N91" s="68" t="e">
        <f ca="1">VLOOKUP($B91,Matrix!$H$13:$I$37,2,FALSE)&amp;"_"&amp;C91</f>
        <v>#N/A</v>
      </c>
      <c r="O91" s="127" t="e">
        <f t="shared" ca="1" si="3"/>
        <v>#N/A</v>
      </c>
    </row>
    <row r="92" spans="2:15">
      <c r="B92" s="27"/>
      <c r="C92" s="26"/>
      <c r="D92" s="119"/>
      <c r="E92" s="27"/>
      <c r="F92" s="120"/>
      <c r="G92" s="27"/>
      <c r="H92" s="120"/>
      <c r="I92" s="27"/>
      <c r="J92" s="120"/>
      <c r="K92" s="27"/>
      <c r="L92" s="120"/>
      <c r="M92" s="47" t="e">
        <f t="shared" ca="1" si="4"/>
        <v>#N/A</v>
      </c>
      <c r="N92" s="68" t="e">
        <f ca="1">VLOOKUP($B92,Matrix!$H$13:$I$37,2,FALSE)&amp;"_"&amp;C92</f>
        <v>#N/A</v>
      </c>
      <c r="O92" s="127" t="e">
        <f t="shared" ca="1" si="3"/>
        <v>#N/A</v>
      </c>
    </row>
    <row r="93" spans="2:15">
      <c r="B93" s="27"/>
      <c r="C93" s="26"/>
      <c r="D93" s="119"/>
      <c r="E93" s="27"/>
      <c r="F93" s="120"/>
      <c r="G93" s="27"/>
      <c r="H93" s="120"/>
      <c r="I93" s="27"/>
      <c r="J93" s="120"/>
      <c r="K93" s="27"/>
      <c r="L93" s="120"/>
      <c r="M93" s="47" t="e">
        <f t="shared" ca="1" si="4"/>
        <v>#N/A</v>
      </c>
      <c r="N93" s="68" t="e">
        <f ca="1">VLOOKUP($B93,Matrix!$H$13:$I$37,2,FALSE)&amp;"_"&amp;C93</f>
        <v>#N/A</v>
      </c>
      <c r="O93" s="127" t="e">
        <f t="shared" ca="1" si="3"/>
        <v>#N/A</v>
      </c>
    </row>
    <row r="94" spans="2:15">
      <c r="B94" s="27"/>
      <c r="C94" s="26"/>
      <c r="D94" s="119"/>
      <c r="E94" s="27"/>
      <c r="F94" s="120"/>
      <c r="G94" s="27"/>
      <c r="H94" s="120"/>
      <c r="I94" s="27"/>
      <c r="J94" s="120"/>
      <c r="K94" s="27"/>
      <c r="L94" s="120"/>
      <c r="M94" s="47" t="e">
        <f t="shared" ca="1" si="4"/>
        <v>#N/A</v>
      </c>
      <c r="N94" s="68" t="e">
        <f ca="1">VLOOKUP($B94,Matrix!$H$13:$I$37,2,FALSE)&amp;"_"&amp;C94</f>
        <v>#N/A</v>
      </c>
      <c r="O94" s="127" t="e">
        <f t="shared" ca="1" si="3"/>
        <v>#N/A</v>
      </c>
    </row>
    <row r="95" spans="2:15">
      <c r="B95" s="27"/>
      <c r="C95" s="26"/>
      <c r="D95" s="119"/>
      <c r="E95" s="27"/>
      <c r="F95" s="120"/>
      <c r="G95" s="27"/>
      <c r="H95" s="120"/>
      <c r="I95" s="27"/>
      <c r="J95" s="120"/>
      <c r="K95" s="27"/>
      <c r="L95" s="120"/>
      <c r="M95" s="47" t="e">
        <f t="shared" ca="1" si="4"/>
        <v>#N/A</v>
      </c>
      <c r="N95" s="68" t="e">
        <f ca="1">VLOOKUP($B95,Matrix!$H$13:$I$37,2,FALSE)&amp;"_"&amp;C95</f>
        <v>#N/A</v>
      </c>
      <c r="O95" s="127" t="e">
        <f t="shared" ca="1" si="3"/>
        <v>#N/A</v>
      </c>
    </row>
    <row r="96" spans="2:15">
      <c r="B96" s="27"/>
      <c r="C96" s="26"/>
      <c r="D96" s="119"/>
      <c r="E96" s="27"/>
      <c r="F96" s="120"/>
      <c r="G96" s="27"/>
      <c r="H96" s="120"/>
      <c r="I96" s="27"/>
      <c r="J96" s="120"/>
      <c r="K96" s="27"/>
      <c r="L96" s="120"/>
      <c r="M96" s="47" t="e">
        <f t="shared" ca="1" si="4"/>
        <v>#N/A</v>
      </c>
      <c r="N96" s="68" t="e">
        <f ca="1">VLOOKUP($B96,Matrix!$H$13:$I$37,2,FALSE)&amp;"_"&amp;C96</f>
        <v>#N/A</v>
      </c>
      <c r="O96" s="127" t="e">
        <f t="shared" ca="1" si="3"/>
        <v>#N/A</v>
      </c>
    </row>
    <row r="97" spans="2:15">
      <c r="B97" s="27"/>
      <c r="C97" s="26"/>
      <c r="D97" s="119"/>
      <c r="E97" s="27"/>
      <c r="F97" s="120"/>
      <c r="G97" s="27"/>
      <c r="H97" s="120"/>
      <c r="I97" s="27"/>
      <c r="J97" s="120"/>
      <c r="K97" s="27"/>
      <c r="L97" s="120"/>
      <c r="M97" s="47" t="e">
        <f t="shared" ca="1" si="4"/>
        <v>#N/A</v>
      </c>
      <c r="N97" s="68" t="e">
        <f ca="1">VLOOKUP($B97,Matrix!$H$13:$I$37,2,FALSE)&amp;"_"&amp;C97</f>
        <v>#N/A</v>
      </c>
      <c r="O97" s="127" t="e">
        <f t="shared" ca="1" si="3"/>
        <v>#N/A</v>
      </c>
    </row>
    <row r="98" spans="2:15">
      <c r="B98" s="27"/>
      <c r="C98" s="26"/>
      <c r="D98" s="119"/>
      <c r="E98" s="27"/>
      <c r="F98" s="120"/>
      <c r="G98" s="27"/>
      <c r="H98" s="120"/>
      <c r="I98" s="27"/>
      <c r="J98" s="120"/>
      <c r="K98" s="27"/>
      <c r="L98" s="120"/>
      <c r="M98" s="47" t="e">
        <f t="shared" ca="1" si="4"/>
        <v>#N/A</v>
      </c>
      <c r="N98" s="68" t="e">
        <f ca="1">VLOOKUP($B98,Matrix!$H$13:$I$37,2,FALSE)&amp;"_"&amp;C98</f>
        <v>#N/A</v>
      </c>
      <c r="O98" s="127" t="e">
        <f t="shared" ca="1" si="3"/>
        <v>#N/A</v>
      </c>
    </row>
    <row r="99" spans="2:15">
      <c r="B99" s="27"/>
      <c r="C99" s="26"/>
      <c r="D99" s="119"/>
      <c r="E99" s="27"/>
      <c r="F99" s="120"/>
      <c r="G99" s="27"/>
      <c r="H99" s="120"/>
      <c r="I99" s="27"/>
      <c r="J99" s="120"/>
      <c r="K99" s="27"/>
      <c r="L99" s="120"/>
      <c r="M99" s="47" t="e">
        <f t="shared" ca="1" si="4"/>
        <v>#N/A</v>
      </c>
      <c r="N99" s="68" t="e">
        <f ca="1">VLOOKUP($B99,Matrix!$H$13:$I$37,2,FALSE)&amp;"_"&amp;C99</f>
        <v>#N/A</v>
      </c>
      <c r="O99" s="127" t="e">
        <f t="shared" ca="1" si="3"/>
        <v>#N/A</v>
      </c>
    </row>
    <row r="100" spans="2:15">
      <c r="B100" s="27"/>
      <c r="C100" s="26"/>
      <c r="D100" s="119"/>
      <c r="E100" s="27"/>
      <c r="F100" s="120"/>
      <c r="G100" s="27"/>
      <c r="H100" s="120"/>
      <c r="I100" s="27"/>
      <c r="J100" s="120"/>
      <c r="K100" s="27"/>
      <c r="L100" s="120"/>
      <c r="M100" s="47" t="e">
        <f t="shared" ca="1" si="4"/>
        <v>#N/A</v>
      </c>
      <c r="N100" s="68" t="e">
        <f ca="1">VLOOKUP($B100,Matrix!$H$13:$I$37,2,FALSE)&amp;"_"&amp;C100</f>
        <v>#N/A</v>
      </c>
      <c r="O100" s="127" t="e">
        <f t="shared" ref="O100:O103" ca="1" si="5">"#define "&amp;N100&amp;REPT(" ",48-M100)&amp;"("&amp;D100&amp;"U)"</f>
        <v>#N/A</v>
      </c>
    </row>
    <row r="101" spans="2:15">
      <c r="B101" s="27"/>
      <c r="C101" s="26"/>
      <c r="D101" s="119"/>
      <c r="E101" s="27"/>
      <c r="F101" s="120"/>
      <c r="G101" s="27"/>
      <c r="H101" s="120"/>
      <c r="I101" s="27"/>
      <c r="J101" s="120"/>
      <c r="K101" s="27"/>
      <c r="L101" s="120"/>
      <c r="M101" s="47" t="e">
        <f t="shared" ca="1" si="4"/>
        <v>#N/A</v>
      </c>
      <c r="N101" s="68" t="e">
        <f ca="1">VLOOKUP($B101,Matrix!$H$13:$I$37,2,FALSE)&amp;"_"&amp;C101</f>
        <v>#N/A</v>
      </c>
      <c r="O101" s="127" t="e">
        <f t="shared" ca="1" si="5"/>
        <v>#N/A</v>
      </c>
    </row>
    <row r="102" spans="2:15">
      <c r="B102" s="27"/>
      <c r="C102" s="26"/>
      <c r="D102" s="119"/>
      <c r="E102" s="27"/>
      <c r="F102" s="120"/>
      <c r="G102" s="27"/>
      <c r="H102" s="120"/>
      <c r="I102" s="27"/>
      <c r="J102" s="120"/>
      <c r="K102" s="27"/>
      <c r="L102" s="120"/>
      <c r="M102" s="47" t="e">
        <f t="shared" ca="1" si="4"/>
        <v>#N/A</v>
      </c>
      <c r="N102" s="68" t="e">
        <f ca="1">VLOOKUP($B102,Matrix!$H$13:$I$37,2,FALSE)&amp;"_"&amp;C102</f>
        <v>#N/A</v>
      </c>
      <c r="O102" s="127" t="e">
        <f t="shared" ca="1" si="5"/>
        <v>#N/A</v>
      </c>
    </row>
    <row r="103" spans="2:15" ht="14.25" thickBot="1">
      <c r="B103" s="53"/>
      <c r="C103" s="54"/>
      <c r="D103" s="121"/>
      <c r="E103" s="53"/>
      <c r="F103" s="122"/>
      <c r="G103" s="53"/>
      <c r="H103" s="122"/>
      <c r="I103" s="53"/>
      <c r="J103" s="122"/>
      <c r="K103" s="53"/>
      <c r="L103" s="122"/>
      <c r="M103" s="55" t="e">
        <f t="shared" ca="1" si="4"/>
        <v>#N/A</v>
      </c>
      <c r="N103" s="69" t="e">
        <f ca="1">VLOOKUP($B103,Matrix!$H$13:$I$37,2,FALSE)&amp;"_"&amp;C103</f>
        <v>#N/A</v>
      </c>
      <c r="O103" s="128" t="e">
        <f t="shared" ca="1" si="5"/>
        <v>#N/A</v>
      </c>
    </row>
  </sheetData>
  <sheetProtection sheet="1" objects="1" scenarios="1"/>
  <protectedRanges>
    <protectedRange sqref="B4:L103" name="範囲1"/>
  </protectedRanges>
  <phoneticPr fontId="2"/>
  <conditionalFormatting sqref="M4:M103">
    <cfRule type="cellIs" dxfId="7" priority="2" operator="greaterThan">
      <formula>32</formula>
    </cfRule>
  </conditionalFormatting>
  <conditionalFormatting sqref="M3">
    <cfRule type="cellIs" dxfId="6" priority="1" operator="greaterThan">
      <formula>32</formula>
    </cfRule>
  </conditionalFormatting>
  <dataValidations count="1">
    <dataValidation type="list" allowBlank="1" showInputMessage="1" showErrorMessage="1" sqref="K3 G3 I3 E3" xr:uid="{00000000-0002-0000-0400-000000000000}">
      <formula1>"あり,なし"</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Matrix!$H$13:$H$37</xm:f>
          </x14:formula1>
          <xm:sqref>B3:B103</xm:sqref>
        </x14:dataValidation>
        <x14:dataValidation type="list" allowBlank="1" showInputMessage="1" showErrorMessage="1" xr:uid="{00000000-0002-0000-0400-000002000000}">
          <x14:formula1>
            <xm:f>Config_IF!$C$4:$C$29</xm:f>
          </x14:formula1>
          <xm:sqref>K4:K103</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8">
    <tabColor rgb="FFCCECFF"/>
  </sheetPr>
  <dimension ref="A1:AW199"/>
  <sheetViews>
    <sheetView zoomScale="85" zoomScaleNormal="85" workbookViewId="0">
      <pane ySplit="3" topLeftCell="A4" activePane="bottomLeft" state="frozen"/>
      <selection pane="bottomLeft" activeCell="A4" sqref="A4:B5"/>
    </sheetView>
  </sheetViews>
  <sheetFormatPr defaultRowHeight="13.5"/>
  <cols>
    <col min="1" max="1" width="6" customWidth="1"/>
    <col min="2" max="2" width="16.75" bestFit="1" customWidth="1"/>
    <col min="3" max="3" width="3" bestFit="1" customWidth="1"/>
    <col min="4" max="35" width="3" customWidth="1"/>
    <col min="36" max="36" width="36.375" bestFit="1" customWidth="1"/>
    <col min="37" max="37" width="4.125" customWidth="1"/>
    <col min="38" max="42" width="9" hidden="1" customWidth="1"/>
    <col min="43" max="43" width="20.625" hidden="1" customWidth="1"/>
    <col min="44" max="47" width="41.125" customWidth="1"/>
    <col min="48" max="48" width="23.625" customWidth="1"/>
    <col min="49" max="49" width="29" bestFit="1" customWidth="1"/>
  </cols>
  <sheetData>
    <row r="1" spans="1:49">
      <c r="AH1" t="s">
        <v>58</v>
      </c>
      <c r="AI1" t="s">
        <v>59</v>
      </c>
    </row>
    <row r="2" spans="1:49">
      <c r="B2" s="129" t="s">
        <v>122</v>
      </c>
      <c r="C2" s="326" t="s">
        <v>83</v>
      </c>
      <c r="D2" s="58">
        <v>31</v>
      </c>
      <c r="E2" s="58">
        <v>30</v>
      </c>
      <c r="F2" s="58">
        <v>29</v>
      </c>
      <c r="G2" s="58">
        <v>28</v>
      </c>
      <c r="H2" s="58">
        <v>27</v>
      </c>
      <c r="I2" s="58">
        <v>26</v>
      </c>
      <c r="J2" s="58">
        <v>25</v>
      </c>
      <c r="K2" s="58">
        <v>24</v>
      </c>
      <c r="L2" s="58">
        <v>23</v>
      </c>
      <c r="M2" s="58">
        <v>22</v>
      </c>
      <c r="N2" s="58">
        <v>21</v>
      </c>
      <c r="O2" s="58">
        <v>20</v>
      </c>
      <c r="P2" s="58">
        <v>19</v>
      </c>
      <c r="Q2" s="58">
        <v>18</v>
      </c>
      <c r="R2" s="58">
        <v>17</v>
      </c>
      <c r="S2" s="58">
        <v>16</v>
      </c>
      <c r="T2" s="58">
        <v>15</v>
      </c>
      <c r="U2" s="58">
        <v>14</v>
      </c>
      <c r="V2" s="58">
        <v>13</v>
      </c>
      <c r="W2" s="58">
        <v>12</v>
      </c>
      <c r="X2" s="58">
        <v>11</v>
      </c>
      <c r="Y2" s="58">
        <v>10</v>
      </c>
      <c r="Z2" s="58">
        <v>9</v>
      </c>
      <c r="AA2" s="58">
        <v>8</v>
      </c>
      <c r="AB2" s="58">
        <v>7</v>
      </c>
      <c r="AC2" s="58">
        <v>6</v>
      </c>
      <c r="AD2" s="58">
        <v>5</v>
      </c>
      <c r="AE2" s="58">
        <v>4</v>
      </c>
      <c r="AF2" s="58">
        <v>3</v>
      </c>
      <c r="AG2" s="58">
        <v>2</v>
      </c>
      <c r="AH2" s="58">
        <v>1</v>
      </c>
      <c r="AI2" s="58">
        <v>0</v>
      </c>
      <c r="AJ2" s="328" t="s">
        <v>154</v>
      </c>
    </row>
    <row r="3" spans="1:49" ht="213" customHeight="1" thickBot="1">
      <c r="B3" s="201" t="str">
        <f>IF(OR(IF(COUNTIF(D6:AC69,"0")&lt;&gt;0,TRUE,FALSE),IF(COUNTIF(D6:AC69,"1")&lt;&gt;0,TRUE,FALSE)),"Search Table","Index Table")</f>
        <v>Index Table</v>
      </c>
      <c r="C3" s="327"/>
      <c r="D3" s="131" t="s">
        <v>60</v>
      </c>
      <c r="E3" s="131" t="s">
        <v>65</v>
      </c>
      <c r="F3" s="131" t="s">
        <v>48</v>
      </c>
      <c r="G3" s="131" t="s">
        <v>47</v>
      </c>
      <c r="H3" s="131" t="s">
        <v>120</v>
      </c>
      <c r="I3" s="131" t="s">
        <v>119</v>
      </c>
      <c r="J3" s="131" t="s">
        <v>124</v>
      </c>
      <c r="K3" s="131" t="s">
        <v>123</v>
      </c>
      <c r="L3" s="132" t="s">
        <v>65</v>
      </c>
      <c r="M3" s="132" t="s">
        <v>61</v>
      </c>
      <c r="N3" s="132" t="s">
        <v>61</v>
      </c>
      <c r="O3" s="132" t="s">
        <v>61</v>
      </c>
      <c r="P3" s="132" t="s">
        <v>61</v>
      </c>
      <c r="Q3" s="132" t="s">
        <v>61</v>
      </c>
      <c r="R3" s="132" t="s">
        <v>61</v>
      </c>
      <c r="S3" s="132" t="s">
        <v>61</v>
      </c>
      <c r="T3" s="132" t="s">
        <v>61</v>
      </c>
      <c r="U3" s="132" t="s">
        <v>61</v>
      </c>
      <c r="V3" s="132" t="s">
        <v>61</v>
      </c>
      <c r="W3" s="132" t="s">
        <v>61</v>
      </c>
      <c r="X3" s="132" t="s">
        <v>61</v>
      </c>
      <c r="Y3" s="132" t="s">
        <v>61</v>
      </c>
      <c r="Z3" s="132" t="s">
        <v>61</v>
      </c>
      <c r="AA3" s="132" t="s">
        <v>61</v>
      </c>
      <c r="AB3" s="132" t="s">
        <v>156</v>
      </c>
      <c r="AC3" s="132" t="s">
        <v>61</v>
      </c>
      <c r="AD3" s="132" t="s">
        <v>61</v>
      </c>
      <c r="AE3" s="132" t="s">
        <v>61</v>
      </c>
      <c r="AF3" s="132" t="s">
        <v>61</v>
      </c>
      <c r="AG3" s="132" t="s">
        <v>61</v>
      </c>
      <c r="AH3" s="209" t="s">
        <v>233</v>
      </c>
      <c r="AI3" s="198" t="s">
        <v>249</v>
      </c>
      <c r="AJ3" s="329"/>
      <c r="AR3" s="93" t="s">
        <v>95</v>
      </c>
    </row>
    <row r="4" spans="1:49" ht="14.25" thickBot="1">
      <c r="A4" s="330" t="s">
        <v>62</v>
      </c>
      <c r="B4" s="331"/>
      <c r="C4" s="141"/>
      <c r="D4" s="141"/>
      <c r="E4" s="141"/>
      <c r="F4" s="141"/>
      <c r="G4" s="141"/>
      <c r="H4" s="141"/>
      <c r="I4" s="141"/>
      <c r="J4" s="141"/>
      <c r="K4" s="141"/>
      <c r="L4" s="141"/>
      <c r="M4" s="141"/>
      <c r="N4" s="141"/>
      <c r="O4" s="141"/>
      <c r="P4" s="141"/>
      <c r="Q4" s="141"/>
      <c r="R4" s="141"/>
      <c r="S4" s="141"/>
      <c r="T4" s="141"/>
      <c r="U4" s="141"/>
      <c r="V4" s="141"/>
      <c r="W4" s="141"/>
      <c r="X4" s="141"/>
      <c r="Y4" s="141"/>
      <c r="Z4" s="141"/>
      <c r="AA4" s="141"/>
      <c r="AB4" s="141"/>
      <c r="AC4" s="141"/>
      <c r="AD4" s="141"/>
      <c r="AE4" s="141"/>
      <c r="AF4" s="141"/>
      <c r="AG4" s="141"/>
      <c r="AH4" s="141"/>
      <c r="AI4" s="141"/>
      <c r="AJ4" s="134"/>
      <c r="AR4" s="81" t="s">
        <v>81</v>
      </c>
      <c r="AS4" s="82"/>
      <c r="AT4" s="82"/>
      <c r="AU4" s="82"/>
      <c r="AV4" s="82"/>
      <c r="AW4" s="83"/>
    </row>
    <row r="5" spans="1:49" ht="14.25" thickBot="1">
      <c r="A5" s="332"/>
      <c r="B5" s="333"/>
      <c r="C5" s="142"/>
      <c r="D5" s="142"/>
      <c r="E5" s="142"/>
      <c r="F5" s="142"/>
      <c r="G5" s="142"/>
      <c r="H5" s="142"/>
      <c r="I5" s="142"/>
      <c r="J5" s="142"/>
      <c r="K5" s="142"/>
      <c r="L5" s="142"/>
      <c r="M5" s="142"/>
      <c r="N5" s="142"/>
      <c r="O5" s="142"/>
      <c r="P5" s="142"/>
      <c r="Q5" s="142"/>
      <c r="R5" s="142"/>
      <c r="S5" s="142"/>
      <c r="T5" s="142"/>
      <c r="U5" s="142"/>
      <c r="V5" s="142"/>
      <c r="W5" s="142"/>
      <c r="X5" s="142"/>
      <c r="Y5" s="142"/>
      <c r="Z5" s="142"/>
      <c r="AA5" s="142"/>
      <c r="AB5" s="142"/>
      <c r="AC5" s="142"/>
      <c r="AD5" s="142"/>
      <c r="AE5" s="142"/>
      <c r="AF5" s="142"/>
      <c r="AG5" s="142"/>
      <c r="AH5" s="142"/>
      <c r="AI5" s="142"/>
      <c r="AJ5" s="135"/>
      <c r="AR5" s="84" t="str">
        <f ca="1">"static const U4  "&amp;AW8&amp;"["&amp;AW10&amp;"]"&amp;" = {"</f>
        <v>static const U4  u4_sp_ALERT_D_ATFWRN_PD_CRIT[ALERT_D_ATFWRN_PD_NUM_DST] = {</v>
      </c>
      <c r="AS5" s="84" t="str">
        <f ca="1">"static const U4  "&amp;$AW$9&amp;"["&amp;$AW$10&amp;"] = {"</f>
        <v>static const U4  u4_sp_ALERT_D_ATFWRN_PD_MASK[ALERT_D_ATFWRN_PD_NUM_DST] = {</v>
      </c>
      <c r="AT5" s="84" t="str">
        <f ca="1">"static const U1  "&amp;$AW$11&amp;"["&amp;$AW$10&amp;"] = {"</f>
        <v>static const U1  u1_sp_ALERT_D_ATFWRN_PD_DST[ALERT_D_ATFWRN_PD_NUM_DST] = {</v>
      </c>
      <c r="AU5" s="84" t="str">
        <f ca="1">"const ST_ALERT_MTRX "&amp;$AW$12&amp;" = {"</f>
        <v>const ST_ALERT_MTRX st_gp_ALERT_D_ATFWRN_MTRX[2] = {</v>
      </c>
      <c r="AV5" s="65" t="str">
        <f ca="1">"#define "&amp;AW10&amp;REPT(" ",41-LEN(AW10))&amp;"("&amp;AW13&amp;"U)"</f>
        <v>#define ALERT_D_ATFWRN_PD_NUM_DST                (4U)</v>
      </c>
      <c r="AW5" s="66"/>
    </row>
    <row r="6" spans="1:49">
      <c r="B6" s="138" t="str">
        <f ca="1">"Table "&amp;$AW$6</f>
        <v>Table PD</v>
      </c>
      <c r="C6" s="52">
        <f>ROW()-ROW($C$6)</f>
        <v>0</v>
      </c>
      <c r="D6" s="133" t="s">
        <v>197</v>
      </c>
      <c r="E6" s="133" t="s">
        <v>197</v>
      </c>
      <c r="F6" s="133" t="s">
        <v>197</v>
      </c>
      <c r="G6" s="133" t="s">
        <v>197</v>
      </c>
      <c r="H6" s="133" t="s">
        <v>197</v>
      </c>
      <c r="I6" s="133" t="s">
        <v>197</v>
      </c>
      <c r="J6" s="133" t="s">
        <v>197</v>
      </c>
      <c r="K6" s="133" t="s">
        <v>197</v>
      </c>
      <c r="L6" s="133" t="s">
        <v>197</v>
      </c>
      <c r="M6" s="133" t="s">
        <v>197</v>
      </c>
      <c r="N6" s="133" t="s">
        <v>197</v>
      </c>
      <c r="O6" s="133" t="s">
        <v>197</v>
      </c>
      <c r="P6" s="133" t="s">
        <v>197</v>
      </c>
      <c r="Q6" s="133" t="s">
        <v>197</v>
      </c>
      <c r="R6" s="133" t="s">
        <v>197</v>
      </c>
      <c r="S6" s="133" t="s">
        <v>197</v>
      </c>
      <c r="T6" s="133" t="s">
        <v>197</v>
      </c>
      <c r="U6" s="133" t="s">
        <v>197</v>
      </c>
      <c r="V6" s="133" t="s">
        <v>197</v>
      </c>
      <c r="W6" s="133" t="s">
        <v>197</v>
      </c>
      <c r="X6" s="133" t="s">
        <v>197</v>
      </c>
      <c r="Y6" s="133" t="s">
        <v>197</v>
      </c>
      <c r="Z6" s="133" t="s">
        <v>197</v>
      </c>
      <c r="AA6" s="133" t="s">
        <v>197</v>
      </c>
      <c r="AB6" s="133" t="s">
        <v>197</v>
      </c>
      <c r="AC6" s="133" t="s">
        <v>197</v>
      </c>
      <c r="AD6" s="133" t="s">
        <v>197</v>
      </c>
      <c r="AE6" s="133" t="s">
        <v>197</v>
      </c>
      <c r="AF6" s="136" t="s">
        <v>197</v>
      </c>
      <c r="AG6" s="136" t="s">
        <v>197</v>
      </c>
      <c r="AH6" s="136">
        <v>0</v>
      </c>
      <c r="AI6" s="136">
        <v>0</v>
      </c>
      <c r="AJ6" s="51" t="s">
        <v>218</v>
      </c>
      <c r="AL6" t="str">
        <f t="shared" ref="AL6:AL69" si="0">IF($AJ6="UNKNOWN","    (U1)ALERT_REQ_UNKNOWN","    (U1)"&amp;"ALERT_REQ_"&amp;$AW$17&amp;"_"&amp;IF($AW$6&lt;&gt;$AW$17,$AW$6&amp;"_","")&amp;AJ6)</f>
        <v xml:space="preserve">    (U1)ALERT_REQ_UNKNOWN</v>
      </c>
      <c r="AR6" s="63" t="str">
        <f>IF(AQ71&lt;&gt;"",AQ71,IF(AQ70&lt;&gt;"","};",""))</f>
        <v xml:space="preserve">    (U4)0x00000000U,                                                           /* 00 UNKNOWN                                         */</v>
      </c>
      <c r="AS6" s="63" t="str">
        <f>IF(AQ136&lt;&gt;"",AQ136,IF(AQ135&lt;&gt;"","};",""))</f>
        <v xml:space="preserve">    (U4)0x00000003U,                                                           /* 00 UNKNOWN                                         */</v>
      </c>
      <c r="AT6" s="63" t="str">
        <f t="shared" ref="AT6:AT69" si="1">IF(AJ6&lt;&gt;"",AL6&amp;IF(AJ7&lt;&gt;"",","," ")&amp;REPT(" ",78-LEN(AL6))&amp;"/* "&amp;IF(C6&lt;10,"0"&amp;C6,C6)&amp;" "&amp;AJ6&amp;REPT(" ",48-LEN(AJ6))&amp;"*/",IF(AJ5&lt;&gt;"","};",""))</f>
        <v xml:space="preserve">    (U1)ALERT_REQ_UNKNOWN,                                                     /* 00 UNKNOWN                                         */</v>
      </c>
      <c r="AU6" s="63" t="s">
        <v>67</v>
      </c>
      <c r="AV6" s="48" t="s">
        <v>69</v>
      </c>
      <c r="AW6" s="67" t="str">
        <f ca="1">UPPER(RIGHT(CELL("filename",A1),LEN(CELL("filename",A1))-FIND("]",CELL("filename",A1))))</f>
        <v>PD</v>
      </c>
    </row>
    <row r="7" spans="1:49">
      <c r="B7" s="138"/>
      <c r="C7" s="47">
        <f t="shared" ref="C7:C69" si="2">ROW()-ROW($C$6)</f>
        <v>1</v>
      </c>
      <c r="D7" s="61" t="s">
        <v>197</v>
      </c>
      <c r="E7" s="61" t="s">
        <v>197</v>
      </c>
      <c r="F7" s="61" t="s">
        <v>197</v>
      </c>
      <c r="G7" s="61" t="s">
        <v>197</v>
      </c>
      <c r="H7" s="61" t="s">
        <v>197</v>
      </c>
      <c r="I7" s="61" t="s">
        <v>197</v>
      </c>
      <c r="J7" s="61" t="s">
        <v>197</v>
      </c>
      <c r="K7" s="61" t="s">
        <v>197</v>
      </c>
      <c r="L7" s="61" t="s">
        <v>197</v>
      </c>
      <c r="M7" s="61" t="s">
        <v>197</v>
      </c>
      <c r="N7" s="61" t="s">
        <v>197</v>
      </c>
      <c r="O7" s="61" t="s">
        <v>197</v>
      </c>
      <c r="P7" s="61" t="s">
        <v>197</v>
      </c>
      <c r="Q7" s="61" t="s">
        <v>197</v>
      </c>
      <c r="R7" s="61" t="s">
        <v>197</v>
      </c>
      <c r="S7" s="61" t="s">
        <v>197</v>
      </c>
      <c r="T7" s="61" t="s">
        <v>197</v>
      </c>
      <c r="U7" s="61" t="s">
        <v>197</v>
      </c>
      <c r="V7" s="61" t="s">
        <v>197</v>
      </c>
      <c r="W7" s="61" t="s">
        <v>197</v>
      </c>
      <c r="X7" s="61" t="s">
        <v>197</v>
      </c>
      <c r="Y7" s="61" t="s">
        <v>197</v>
      </c>
      <c r="Z7" s="61" t="s">
        <v>197</v>
      </c>
      <c r="AA7" s="61" t="s">
        <v>197</v>
      </c>
      <c r="AB7" s="61" t="s">
        <v>197</v>
      </c>
      <c r="AC7" s="61" t="s">
        <v>197</v>
      </c>
      <c r="AD7" s="133" t="s">
        <v>197</v>
      </c>
      <c r="AE7" s="133" t="s">
        <v>197</v>
      </c>
      <c r="AF7" s="136" t="s">
        <v>197</v>
      </c>
      <c r="AG7" s="136" t="s">
        <v>197</v>
      </c>
      <c r="AH7" s="136">
        <v>0</v>
      </c>
      <c r="AI7" s="136">
        <v>1</v>
      </c>
      <c r="AJ7" s="26" t="s">
        <v>229</v>
      </c>
      <c r="AL7" t="str">
        <f t="shared" ca="1" si="0"/>
        <v xml:space="preserve">    (U1)ALERT_REQ_D_ATFWRN_PD_ATFREPL</v>
      </c>
      <c r="AR7" s="63" t="str">
        <f t="shared" ref="AR7:AR70" si="3">IF(AQ72&lt;&gt;"",AQ72,IF(AQ71&lt;&gt;"","};",""))</f>
        <v xml:space="preserve">    (U4)0x00000001U,                                                           /* 01 ATFREPL                                         */</v>
      </c>
      <c r="AS7" s="63" t="str">
        <f t="shared" ref="AS7:AS70" si="4">IF(AQ137&lt;&gt;"",AQ137,IF(AQ136&lt;&gt;"","};",""))</f>
        <v xml:space="preserve">    (U4)0x00000003U,                                                           /* 01 ATFREPL                                         */</v>
      </c>
      <c r="AT7" s="63" t="str">
        <f t="shared" ca="1" si="1"/>
        <v xml:space="preserve">    (U1)ALERT_REQ_D_ATFWRN_PD_ATFREPL,                                         /* 01 ATFREPL                                         */</v>
      </c>
      <c r="AU7" s="63" t="str">
        <f ca="1">"        &amp;"&amp;$AW$14&amp;","&amp;REPT(" ",69-LEN($AW$14))&amp;"/* fp_u4_SRC_CHK                                      */"</f>
        <v xml:space="preserve">        &amp;u4_s_AlertD_atfwrnPdSrcchk,                                           /* fp_u4_SRC_CHK                                      */</v>
      </c>
      <c r="AV7" s="49" t="s">
        <v>70</v>
      </c>
      <c r="AW7" s="137">
        <f>IF(B3="Search Table",1,0)</f>
        <v>0</v>
      </c>
    </row>
    <row r="8" spans="1:49">
      <c r="B8" s="138"/>
      <c r="C8" s="47">
        <f t="shared" si="2"/>
        <v>2</v>
      </c>
      <c r="D8" s="61" t="s">
        <v>197</v>
      </c>
      <c r="E8" s="61" t="s">
        <v>197</v>
      </c>
      <c r="F8" s="61" t="s">
        <v>197</v>
      </c>
      <c r="G8" s="61" t="s">
        <v>197</v>
      </c>
      <c r="H8" s="61" t="s">
        <v>197</v>
      </c>
      <c r="I8" s="61" t="s">
        <v>197</v>
      </c>
      <c r="J8" s="61" t="s">
        <v>197</v>
      </c>
      <c r="K8" s="61" t="s">
        <v>197</v>
      </c>
      <c r="L8" s="61" t="s">
        <v>197</v>
      </c>
      <c r="M8" s="61" t="s">
        <v>197</v>
      </c>
      <c r="N8" s="61" t="s">
        <v>197</v>
      </c>
      <c r="O8" s="61" t="s">
        <v>197</v>
      </c>
      <c r="P8" s="61" t="s">
        <v>197</v>
      </c>
      <c r="Q8" s="61" t="s">
        <v>197</v>
      </c>
      <c r="R8" s="61" t="s">
        <v>197</v>
      </c>
      <c r="S8" s="61" t="s">
        <v>197</v>
      </c>
      <c r="T8" s="61" t="s">
        <v>197</v>
      </c>
      <c r="U8" s="61" t="s">
        <v>197</v>
      </c>
      <c r="V8" s="61" t="s">
        <v>197</v>
      </c>
      <c r="W8" s="61" t="s">
        <v>197</v>
      </c>
      <c r="X8" s="61" t="s">
        <v>197</v>
      </c>
      <c r="Y8" s="61" t="s">
        <v>197</v>
      </c>
      <c r="Z8" s="61" t="s">
        <v>197</v>
      </c>
      <c r="AA8" s="61" t="s">
        <v>197</v>
      </c>
      <c r="AB8" s="61" t="s">
        <v>197</v>
      </c>
      <c r="AC8" s="61" t="s">
        <v>197</v>
      </c>
      <c r="AD8" s="61" t="s">
        <v>197</v>
      </c>
      <c r="AE8" s="61" t="s">
        <v>197</v>
      </c>
      <c r="AF8" s="136" t="s">
        <v>197</v>
      </c>
      <c r="AG8" s="136" t="s">
        <v>197</v>
      </c>
      <c r="AH8" s="136">
        <v>1</v>
      </c>
      <c r="AI8" s="136">
        <v>0</v>
      </c>
      <c r="AJ8" s="26" t="s">
        <v>218</v>
      </c>
      <c r="AL8" t="str">
        <f t="shared" si="0"/>
        <v xml:space="preserve">    (U1)ALERT_REQ_UNKNOWN</v>
      </c>
      <c r="AR8" s="63" t="str">
        <f t="shared" si="3"/>
        <v xml:space="preserve">    (U4)0x00000002U,                                                           /* 02 UNKNOWN                                         */</v>
      </c>
      <c r="AS8" s="63" t="str">
        <f t="shared" si="4"/>
        <v xml:space="preserve">    (U4)0x00000003U,                                                           /* 02 UNKNOWN                                         */</v>
      </c>
      <c r="AT8" s="63" t="str">
        <f>IF(AJ8&lt;&gt;"",AL8&amp;IF(AJ9&lt;&gt;"",","," ")&amp;REPT(" ",78-LEN(AL8))&amp;"/* "&amp;IF(C8&lt;10,"0"&amp;C8,C8)&amp;" "&amp;AJ8&amp;REPT(" ",48-LEN(AJ8))&amp;"*/",IF(AJ7&lt;&gt;"","};",""))</f>
        <v xml:space="preserve">    (U1)ALERT_REQ_UNKNOWN,                                                     /* 02 UNKNOWN                                         */</v>
      </c>
      <c r="AU8" s="63" t="str">
        <f ca="1">IF($AW$15&lt;&gt;"NULL","        &amp;"&amp;$AW$15&amp;","&amp;REPT(" ",69-LEN($AW$15))&amp;"/* fp_vd_XDST                                         */","        vdp_PTR_NA,                                                            /* fp_vd_XDST                                         */")</f>
        <v xml:space="preserve">        vdp_PTR_NA,                                                            /* fp_vd_XDST                                         */</v>
      </c>
      <c r="AV8" s="49" t="s">
        <v>71</v>
      </c>
      <c r="AW8" s="68" t="str">
        <f ca="1">"u4_sp_ALERT_"&amp;IF(AW6&lt;&gt;AW17,$AW$17&amp;"_"&amp;$AW$6,AW17)&amp;"_CRIT"</f>
        <v>u4_sp_ALERT_D_ATFWRN_PD_CRIT</v>
      </c>
    </row>
    <row r="9" spans="1:49">
      <c r="B9" s="138"/>
      <c r="C9" s="47">
        <f t="shared" si="2"/>
        <v>3</v>
      </c>
      <c r="D9" s="61" t="s">
        <v>197</v>
      </c>
      <c r="E9" s="61" t="s">
        <v>197</v>
      </c>
      <c r="F9" s="61" t="s">
        <v>197</v>
      </c>
      <c r="G9" s="61" t="s">
        <v>197</v>
      </c>
      <c r="H9" s="61" t="s">
        <v>197</v>
      </c>
      <c r="I9" s="61" t="s">
        <v>197</v>
      </c>
      <c r="J9" s="61" t="s">
        <v>197</v>
      </c>
      <c r="K9" s="61" t="s">
        <v>197</v>
      </c>
      <c r="L9" s="61" t="s">
        <v>197</v>
      </c>
      <c r="M9" s="61" t="s">
        <v>197</v>
      </c>
      <c r="N9" s="61" t="s">
        <v>197</v>
      </c>
      <c r="O9" s="61" t="s">
        <v>197</v>
      </c>
      <c r="P9" s="61" t="s">
        <v>197</v>
      </c>
      <c r="Q9" s="61" t="s">
        <v>197</v>
      </c>
      <c r="R9" s="61" t="s">
        <v>197</v>
      </c>
      <c r="S9" s="61" t="s">
        <v>197</v>
      </c>
      <c r="T9" s="61" t="s">
        <v>197</v>
      </c>
      <c r="U9" s="61" t="s">
        <v>197</v>
      </c>
      <c r="V9" s="61" t="s">
        <v>197</v>
      </c>
      <c r="W9" s="61" t="s">
        <v>197</v>
      </c>
      <c r="X9" s="61" t="s">
        <v>197</v>
      </c>
      <c r="Y9" s="61" t="s">
        <v>197</v>
      </c>
      <c r="Z9" s="61" t="s">
        <v>197</v>
      </c>
      <c r="AA9" s="61" t="s">
        <v>197</v>
      </c>
      <c r="AB9" s="61" t="s">
        <v>197</v>
      </c>
      <c r="AC9" s="61" t="s">
        <v>197</v>
      </c>
      <c r="AD9" s="61" t="s">
        <v>197</v>
      </c>
      <c r="AE9" s="61" t="s">
        <v>197</v>
      </c>
      <c r="AF9" s="61" t="s">
        <v>197</v>
      </c>
      <c r="AG9" s="61" t="s">
        <v>197</v>
      </c>
      <c r="AH9" s="61">
        <v>1</v>
      </c>
      <c r="AI9" s="61">
        <v>1</v>
      </c>
      <c r="AJ9" s="26" t="s">
        <v>218</v>
      </c>
      <c r="AL9" t="str">
        <f t="shared" si="0"/>
        <v xml:space="preserve">    (U1)ALERT_REQ_UNKNOWN</v>
      </c>
      <c r="AR9" s="63" t="str">
        <f t="shared" si="3"/>
        <v xml:space="preserve">    (U4)0x00000003U                                                            /* 03 UNKNOWN                                         */</v>
      </c>
      <c r="AS9" s="63" t="str">
        <f t="shared" si="4"/>
        <v xml:space="preserve">    (U4)0x00000003U                                                            /* 03 UNKNOWN                                         */</v>
      </c>
      <c r="AT9" s="63" t="str">
        <f t="shared" si="1"/>
        <v xml:space="preserve">    (U1)ALERT_REQ_UNKNOWN                                                      /* 03 UNKNOWN                                         */</v>
      </c>
      <c r="AU9" s="63"/>
      <c r="AV9" s="49" t="s">
        <v>72</v>
      </c>
      <c r="AW9" s="68" t="str">
        <f ca="1">"u4_sp_ALERT_"&amp;IF(AW6&lt;&gt;AW17,$AW$17&amp;"_"&amp;$AW$6,AW17)&amp;"_MASK"</f>
        <v>u4_sp_ALERT_D_ATFWRN_PD_MASK</v>
      </c>
    </row>
    <row r="10" spans="1:49">
      <c r="B10" s="138"/>
      <c r="C10" s="47">
        <f t="shared" si="2"/>
        <v>4</v>
      </c>
      <c r="D10" s="61" t="s">
        <v>66</v>
      </c>
      <c r="E10" s="61" t="s">
        <v>66</v>
      </c>
      <c r="F10" s="61" t="s">
        <v>66</v>
      </c>
      <c r="G10" s="61" t="s">
        <v>197</v>
      </c>
      <c r="H10" s="61" t="s">
        <v>197</v>
      </c>
      <c r="I10" s="61" t="s">
        <v>197</v>
      </c>
      <c r="J10" s="61" t="s">
        <v>197</v>
      </c>
      <c r="K10" s="61" t="s">
        <v>197</v>
      </c>
      <c r="L10" s="61" t="s">
        <v>66</v>
      </c>
      <c r="M10" s="61" t="s">
        <v>66</v>
      </c>
      <c r="N10" s="61" t="s">
        <v>66</v>
      </c>
      <c r="O10" s="61" t="s">
        <v>66</v>
      </c>
      <c r="P10" s="61" t="s">
        <v>66</v>
      </c>
      <c r="Q10" s="61" t="s">
        <v>66</v>
      </c>
      <c r="R10" s="61" t="s">
        <v>66</v>
      </c>
      <c r="S10" s="61" t="s">
        <v>66</v>
      </c>
      <c r="T10" s="61" t="s">
        <v>66</v>
      </c>
      <c r="U10" s="61" t="s">
        <v>66</v>
      </c>
      <c r="V10" s="61" t="s">
        <v>66</v>
      </c>
      <c r="W10" s="61" t="s">
        <v>66</v>
      </c>
      <c r="X10" s="61" t="s">
        <v>66</v>
      </c>
      <c r="Y10" s="61" t="s">
        <v>66</v>
      </c>
      <c r="Z10" s="61" t="s">
        <v>66</v>
      </c>
      <c r="AA10" s="61" t="s">
        <v>66</v>
      </c>
      <c r="AB10" s="61" t="s">
        <v>66</v>
      </c>
      <c r="AC10" s="61" t="s">
        <v>66</v>
      </c>
      <c r="AD10" s="61" t="s">
        <v>66</v>
      </c>
      <c r="AE10" s="61" t="s">
        <v>197</v>
      </c>
      <c r="AF10" s="61" t="s">
        <v>197</v>
      </c>
      <c r="AG10" s="61" t="s">
        <v>197</v>
      </c>
      <c r="AH10" s="61" t="s">
        <v>197</v>
      </c>
      <c r="AI10" s="61" t="s">
        <v>197</v>
      </c>
      <c r="AJ10" s="26"/>
      <c r="AL10" t="str">
        <f t="shared" ca="1" si="0"/>
        <v xml:space="preserve">    (U1)ALERT_REQ_D_ATFWRN_PD_</v>
      </c>
      <c r="AR10" s="63" t="str">
        <f t="shared" si="3"/>
        <v>};</v>
      </c>
      <c r="AS10" s="63" t="str">
        <f t="shared" si="4"/>
        <v>};</v>
      </c>
      <c r="AT10" s="63" t="str">
        <f t="shared" si="1"/>
        <v>};</v>
      </c>
      <c r="AU10" s="63" t="str">
        <f>IF($AW$7=1,"        &amp;"&amp;$AW$9&amp;"[0],"&amp;REPT(" ",66-LEN($AW$9))&amp;"/* u4p_MASK                                           */","        (const U4 *)vdp_PTR_NA,                                                /* u4p_MASK                                           */")</f>
        <v xml:space="preserve">        (const U4 *)vdp_PTR_NA,                                                /* u4p_MASK                                           */</v>
      </c>
      <c r="AV10" s="49" t="s">
        <v>73</v>
      </c>
      <c r="AW10" s="68" t="str">
        <f ca="1">"ALERT_"&amp;IF(AW6&lt;&gt;AW17,$AW$17&amp;"_"&amp;$AW$6,AW17)&amp;"_NUM_DST"</f>
        <v>ALERT_D_ATFWRN_PD_NUM_DST</v>
      </c>
    </row>
    <row r="11" spans="1:49">
      <c r="B11" s="138"/>
      <c r="C11" s="47">
        <f t="shared" si="2"/>
        <v>5</v>
      </c>
      <c r="D11" s="61" t="s">
        <v>66</v>
      </c>
      <c r="E11" s="61" t="s">
        <v>66</v>
      </c>
      <c r="F11" s="61" t="s">
        <v>66</v>
      </c>
      <c r="G11" s="61" t="s">
        <v>197</v>
      </c>
      <c r="H11" s="61" t="s">
        <v>197</v>
      </c>
      <c r="I11" s="61" t="s">
        <v>197</v>
      </c>
      <c r="J11" s="61" t="s">
        <v>197</v>
      </c>
      <c r="K11" s="61" t="s">
        <v>197</v>
      </c>
      <c r="L11" s="61" t="s">
        <v>66</v>
      </c>
      <c r="M11" s="61" t="s">
        <v>66</v>
      </c>
      <c r="N11" s="61" t="s">
        <v>66</v>
      </c>
      <c r="O11" s="61" t="s">
        <v>66</v>
      </c>
      <c r="P11" s="61" t="s">
        <v>66</v>
      </c>
      <c r="Q11" s="61" t="s">
        <v>66</v>
      </c>
      <c r="R11" s="61" t="s">
        <v>66</v>
      </c>
      <c r="S11" s="61" t="s">
        <v>66</v>
      </c>
      <c r="T11" s="61" t="s">
        <v>66</v>
      </c>
      <c r="U11" s="61" t="s">
        <v>66</v>
      </c>
      <c r="V11" s="61" t="s">
        <v>66</v>
      </c>
      <c r="W11" s="61" t="s">
        <v>66</v>
      </c>
      <c r="X11" s="61" t="s">
        <v>66</v>
      </c>
      <c r="Y11" s="61" t="s">
        <v>66</v>
      </c>
      <c r="Z11" s="61" t="s">
        <v>66</v>
      </c>
      <c r="AA11" s="61" t="s">
        <v>66</v>
      </c>
      <c r="AB11" s="61" t="s">
        <v>66</v>
      </c>
      <c r="AC11" s="61" t="s">
        <v>66</v>
      </c>
      <c r="AD11" s="61" t="s">
        <v>66</v>
      </c>
      <c r="AE11" s="61" t="s">
        <v>197</v>
      </c>
      <c r="AF11" s="61" t="s">
        <v>197</v>
      </c>
      <c r="AG11" s="61" t="s">
        <v>197</v>
      </c>
      <c r="AH11" s="61" t="s">
        <v>197</v>
      </c>
      <c r="AI11" s="61" t="s">
        <v>197</v>
      </c>
      <c r="AJ11" s="26"/>
      <c r="AL11" t="str">
        <f t="shared" ca="1" si="0"/>
        <v xml:space="preserve">    (U1)ALERT_REQ_D_ATFWRN_PD_</v>
      </c>
      <c r="AR11" s="63" t="str">
        <f t="shared" si="3"/>
        <v/>
      </c>
      <c r="AS11" s="63" t="str">
        <f t="shared" si="4"/>
        <v/>
      </c>
      <c r="AT11" s="63" t="str">
        <f t="shared" si="1"/>
        <v/>
      </c>
      <c r="AU11" s="63" t="str">
        <f>IF($AW$7=1,"        &amp;"&amp;$AW$8&amp;"[0],"&amp;REPT(" ",66-LEN($AW$8))&amp;"/* u4p_CRIT                                           */","        (const U4 *)vdp_PTR_NA,                                                /* u4p_CRIT                                           */")</f>
        <v xml:space="preserve">        (const U4 *)vdp_PTR_NA,                                                /* u4p_CRIT                                           */</v>
      </c>
      <c r="AV11" s="49" t="s">
        <v>74</v>
      </c>
      <c r="AW11" s="68" t="str">
        <f ca="1">"u1_sp_ALERT_"&amp;IF(AW6&lt;&gt;AW17,$AW$17&amp;"_"&amp;$AW$6,AW17)&amp;"_DST"</f>
        <v>u1_sp_ALERT_D_ATFWRN_PD_DST</v>
      </c>
    </row>
    <row r="12" spans="1:49">
      <c r="B12" s="138"/>
      <c r="C12" s="47">
        <f t="shared" si="2"/>
        <v>6</v>
      </c>
      <c r="D12" s="61" t="s">
        <v>66</v>
      </c>
      <c r="E12" s="61" t="s">
        <v>66</v>
      </c>
      <c r="F12" s="61" t="s">
        <v>66</v>
      </c>
      <c r="G12" s="61" t="s">
        <v>197</v>
      </c>
      <c r="H12" s="61" t="s">
        <v>197</v>
      </c>
      <c r="I12" s="61" t="s">
        <v>197</v>
      </c>
      <c r="J12" s="61" t="s">
        <v>197</v>
      </c>
      <c r="K12" s="61" t="s">
        <v>197</v>
      </c>
      <c r="L12" s="61" t="s">
        <v>66</v>
      </c>
      <c r="M12" s="61" t="s">
        <v>66</v>
      </c>
      <c r="N12" s="61" t="s">
        <v>66</v>
      </c>
      <c r="O12" s="61" t="s">
        <v>66</v>
      </c>
      <c r="P12" s="61" t="s">
        <v>66</v>
      </c>
      <c r="Q12" s="61" t="s">
        <v>66</v>
      </c>
      <c r="R12" s="61" t="s">
        <v>66</v>
      </c>
      <c r="S12" s="61" t="s">
        <v>66</v>
      </c>
      <c r="T12" s="61" t="s">
        <v>66</v>
      </c>
      <c r="U12" s="61" t="s">
        <v>66</v>
      </c>
      <c r="V12" s="61" t="s">
        <v>66</v>
      </c>
      <c r="W12" s="61" t="s">
        <v>66</v>
      </c>
      <c r="X12" s="61" t="s">
        <v>66</v>
      </c>
      <c r="Y12" s="61" t="s">
        <v>66</v>
      </c>
      <c r="Z12" s="61" t="s">
        <v>66</v>
      </c>
      <c r="AA12" s="61" t="s">
        <v>66</v>
      </c>
      <c r="AB12" s="61" t="s">
        <v>66</v>
      </c>
      <c r="AC12" s="61" t="s">
        <v>66</v>
      </c>
      <c r="AD12" s="61" t="s">
        <v>66</v>
      </c>
      <c r="AE12" s="133" t="s">
        <v>197</v>
      </c>
      <c r="AF12" s="61" t="s">
        <v>197</v>
      </c>
      <c r="AG12" s="61" t="s">
        <v>197</v>
      </c>
      <c r="AH12" s="61" t="s">
        <v>197</v>
      </c>
      <c r="AI12" s="61" t="s">
        <v>197</v>
      </c>
      <c r="AJ12" s="26"/>
      <c r="AL12" t="str">
        <f t="shared" ca="1" si="0"/>
        <v xml:space="preserve">    (U1)ALERT_REQ_D_ATFWRN_PD_</v>
      </c>
      <c r="AR12" s="63" t="str">
        <f t="shared" si="3"/>
        <v/>
      </c>
      <c r="AS12" s="63" t="str">
        <f t="shared" si="4"/>
        <v/>
      </c>
      <c r="AT12" s="63" t="str">
        <f t="shared" si="1"/>
        <v/>
      </c>
      <c r="AU12" s="63"/>
      <c r="AV12" s="49" t="s">
        <v>87</v>
      </c>
      <c r="AW12" s="68" t="str">
        <f ca="1">Matrix!D8&amp;"["&amp;Matrix!D7&amp;"]"</f>
        <v>st_gp_ALERT_D_ATFWRN_MTRX[2]</v>
      </c>
    </row>
    <row r="13" spans="1:49">
      <c r="B13" s="138"/>
      <c r="C13" s="47">
        <f t="shared" si="2"/>
        <v>7</v>
      </c>
      <c r="D13" s="61" t="s">
        <v>66</v>
      </c>
      <c r="E13" s="61" t="s">
        <v>66</v>
      </c>
      <c r="F13" s="61" t="s">
        <v>66</v>
      </c>
      <c r="G13" s="61" t="s">
        <v>66</v>
      </c>
      <c r="H13" s="61" t="s">
        <v>66</v>
      </c>
      <c r="I13" s="61" t="s">
        <v>66</v>
      </c>
      <c r="J13" s="61" t="s">
        <v>66</v>
      </c>
      <c r="K13" s="61" t="s">
        <v>66</v>
      </c>
      <c r="L13" s="61" t="s">
        <v>66</v>
      </c>
      <c r="M13" s="61" t="s">
        <v>66</v>
      </c>
      <c r="N13" s="61" t="s">
        <v>66</v>
      </c>
      <c r="O13" s="61" t="s">
        <v>66</v>
      </c>
      <c r="P13" s="61" t="s">
        <v>66</v>
      </c>
      <c r="Q13" s="61" t="s">
        <v>66</v>
      </c>
      <c r="R13" s="61" t="s">
        <v>66</v>
      </c>
      <c r="S13" s="61" t="s">
        <v>66</v>
      </c>
      <c r="T13" s="61" t="s">
        <v>66</v>
      </c>
      <c r="U13" s="61" t="s">
        <v>66</v>
      </c>
      <c r="V13" s="61" t="s">
        <v>66</v>
      </c>
      <c r="W13" s="61" t="s">
        <v>66</v>
      </c>
      <c r="X13" s="61" t="s">
        <v>66</v>
      </c>
      <c r="Y13" s="61" t="s">
        <v>66</v>
      </c>
      <c r="Z13" s="61" t="s">
        <v>66</v>
      </c>
      <c r="AA13" s="61" t="s">
        <v>66</v>
      </c>
      <c r="AB13" s="61" t="s">
        <v>66</v>
      </c>
      <c r="AC13" s="61" t="s">
        <v>66</v>
      </c>
      <c r="AD13" s="61" t="s">
        <v>66</v>
      </c>
      <c r="AE13" s="61" t="s">
        <v>197</v>
      </c>
      <c r="AF13" s="61" t="s">
        <v>197</v>
      </c>
      <c r="AG13" s="61" t="s">
        <v>197</v>
      </c>
      <c r="AH13" s="61" t="s">
        <v>197</v>
      </c>
      <c r="AI13" s="61" t="s">
        <v>197</v>
      </c>
      <c r="AJ13" s="26"/>
      <c r="AL13" t="str">
        <f t="shared" ca="1" si="0"/>
        <v xml:space="preserve">    (U1)ALERT_REQ_D_ATFWRN_PD_</v>
      </c>
      <c r="AR13" s="63" t="str">
        <f t="shared" si="3"/>
        <v/>
      </c>
      <c r="AS13" s="63" t="str">
        <f t="shared" si="4"/>
        <v/>
      </c>
      <c r="AT13" s="63" t="str">
        <f t="shared" si="1"/>
        <v/>
      </c>
      <c r="AU13" s="63" t="str">
        <f ca="1">"        &amp;"&amp;$AW$11&amp;"[0],"&amp;REPT(" ",66-LEN($AW$11))&amp;"/* u1p_DST                                            */"</f>
        <v xml:space="preserve">        &amp;u1_sp_ALERT_D_ATFWRN_PD_DST[0],                                       /* u1p_DST                                            */</v>
      </c>
      <c r="AV13" s="49" t="s">
        <v>75</v>
      </c>
      <c r="AW13" s="137">
        <f>COUNTA($AJ$6:$AJ$69)</f>
        <v>4</v>
      </c>
    </row>
    <row r="14" spans="1:49">
      <c r="B14" s="138"/>
      <c r="C14" s="47">
        <f t="shared" si="2"/>
        <v>8</v>
      </c>
      <c r="D14" s="61" t="s">
        <v>66</v>
      </c>
      <c r="E14" s="61" t="s">
        <v>66</v>
      </c>
      <c r="F14" s="61" t="s">
        <v>66</v>
      </c>
      <c r="G14" s="61" t="s">
        <v>66</v>
      </c>
      <c r="H14" s="61" t="s">
        <v>66</v>
      </c>
      <c r="I14" s="61" t="s">
        <v>66</v>
      </c>
      <c r="J14" s="61" t="s">
        <v>66</v>
      </c>
      <c r="K14" s="61" t="s">
        <v>66</v>
      </c>
      <c r="L14" s="61" t="s">
        <v>66</v>
      </c>
      <c r="M14" s="61" t="s">
        <v>66</v>
      </c>
      <c r="N14" s="61" t="s">
        <v>66</v>
      </c>
      <c r="O14" s="61" t="s">
        <v>66</v>
      </c>
      <c r="P14" s="61" t="s">
        <v>66</v>
      </c>
      <c r="Q14" s="61" t="s">
        <v>66</v>
      </c>
      <c r="R14" s="61" t="s">
        <v>66</v>
      </c>
      <c r="S14" s="61" t="s">
        <v>66</v>
      </c>
      <c r="T14" s="61" t="s">
        <v>66</v>
      </c>
      <c r="U14" s="61" t="s">
        <v>66</v>
      </c>
      <c r="V14" s="61" t="s">
        <v>66</v>
      </c>
      <c r="W14" s="61" t="s">
        <v>66</v>
      </c>
      <c r="X14" s="61" t="s">
        <v>66</v>
      </c>
      <c r="Y14" s="61" t="s">
        <v>66</v>
      </c>
      <c r="Z14" s="61" t="s">
        <v>66</v>
      </c>
      <c r="AA14" s="61" t="s">
        <v>66</v>
      </c>
      <c r="AB14" s="61" t="s">
        <v>66</v>
      </c>
      <c r="AC14" s="61" t="s">
        <v>66</v>
      </c>
      <c r="AD14" s="61" t="s">
        <v>66</v>
      </c>
      <c r="AE14" s="61" t="s">
        <v>197</v>
      </c>
      <c r="AF14" s="61" t="s">
        <v>197</v>
      </c>
      <c r="AG14" s="61" t="s">
        <v>197</v>
      </c>
      <c r="AH14" s="61" t="s">
        <v>197</v>
      </c>
      <c r="AI14" s="61" t="s">
        <v>197</v>
      </c>
      <c r="AJ14" s="26"/>
      <c r="AL14" t="str">
        <f t="shared" ca="1" si="0"/>
        <v xml:space="preserve">    (U1)ALERT_REQ_D_ATFWRN_PD_</v>
      </c>
      <c r="AR14" s="63" t="str">
        <f t="shared" si="3"/>
        <v/>
      </c>
      <c r="AS14" s="63" t="str">
        <f t="shared" si="4"/>
        <v/>
      </c>
      <c r="AT14" s="63" t="str">
        <f t="shared" si="1"/>
        <v/>
      </c>
      <c r="AU14" s="63" t="str">
        <f ca="1">"        (U2)"&amp;$AW$10&amp;","&amp;REPT(" ",66-LEN($AW$10))&amp;"/* u2_num_srch                                        */"</f>
        <v xml:space="preserve">        (U2)ALERT_D_ATFWRN_PD_NUM_DST,                                         /* u2_num_srch                                        */</v>
      </c>
      <c r="AV14" s="49" t="s">
        <v>76</v>
      </c>
      <c r="AW14" s="68" t="str">
        <f ca="1">IF(AW6&lt;&gt;AW17,VLOOKUP(AW6,Matrix!$C$13:$G$37,4,FALSE),Matrix!F13)</f>
        <v>u4_s_AlertD_atfwrnPdSrcchk</v>
      </c>
    </row>
    <row r="15" spans="1:49">
      <c r="B15" s="138"/>
      <c r="C15" s="47">
        <f t="shared" si="2"/>
        <v>9</v>
      </c>
      <c r="D15" s="61" t="s">
        <v>66</v>
      </c>
      <c r="E15" s="61" t="s">
        <v>66</v>
      </c>
      <c r="F15" s="61" t="s">
        <v>66</v>
      </c>
      <c r="G15" s="61" t="s">
        <v>66</v>
      </c>
      <c r="H15" s="61" t="s">
        <v>66</v>
      </c>
      <c r="I15" s="61" t="s">
        <v>66</v>
      </c>
      <c r="J15" s="61" t="s">
        <v>66</v>
      </c>
      <c r="K15" s="61" t="s">
        <v>66</v>
      </c>
      <c r="L15" s="61" t="s">
        <v>66</v>
      </c>
      <c r="M15" s="61" t="s">
        <v>66</v>
      </c>
      <c r="N15" s="61" t="s">
        <v>66</v>
      </c>
      <c r="O15" s="61" t="s">
        <v>66</v>
      </c>
      <c r="P15" s="61" t="s">
        <v>66</v>
      </c>
      <c r="Q15" s="61" t="s">
        <v>66</v>
      </c>
      <c r="R15" s="61" t="s">
        <v>66</v>
      </c>
      <c r="S15" s="61" t="s">
        <v>66</v>
      </c>
      <c r="T15" s="61" t="s">
        <v>66</v>
      </c>
      <c r="U15" s="61" t="s">
        <v>66</v>
      </c>
      <c r="V15" s="61" t="s">
        <v>66</v>
      </c>
      <c r="W15" s="61" t="s">
        <v>66</v>
      </c>
      <c r="X15" s="61" t="s">
        <v>66</v>
      </c>
      <c r="Y15" s="61" t="s">
        <v>66</v>
      </c>
      <c r="Z15" s="61" t="s">
        <v>66</v>
      </c>
      <c r="AA15" s="61" t="s">
        <v>66</v>
      </c>
      <c r="AB15" s="61" t="s">
        <v>66</v>
      </c>
      <c r="AC15" s="61" t="s">
        <v>66</v>
      </c>
      <c r="AD15" s="61" t="s">
        <v>66</v>
      </c>
      <c r="AE15" s="61" t="s">
        <v>197</v>
      </c>
      <c r="AF15" s="61" t="s">
        <v>197</v>
      </c>
      <c r="AG15" s="61" t="s">
        <v>197</v>
      </c>
      <c r="AH15" s="61" t="s">
        <v>197</v>
      </c>
      <c r="AI15" s="61" t="s">
        <v>197</v>
      </c>
      <c r="AJ15" s="26"/>
      <c r="AL15" t="str">
        <f t="shared" ca="1" si="0"/>
        <v xml:space="preserve">    (U1)ALERT_REQ_D_ATFWRN_PD_</v>
      </c>
      <c r="AR15" s="63" t="str">
        <f t="shared" si="3"/>
        <v/>
      </c>
      <c r="AS15" s="63" t="str">
        <f t="shared" si="4"/>
        <v/>
      </c>
      <c r="AT15" s="63" t="str">
        <f t="shared" si="1"/>
        <v/>
      </c>
      <c r="AU15" s="63" t="str">
        <f ca="1">"        (U1)"&amp;$AW$16&amp;REPT(" ",67-LEN($AW$16))&amp;"/* u1_vom_act                                         */"</f>
        <v xml:space="preserve">        (U1)ALERT_VOM_IGN_ON                                                   /* u1_vom_act                                         */</v>
      </c>
      <c r="AV15" s="49" t="s">
        <v>79</v>
      </c>
      <c r="AW15" s="68" t="str">
        <f ca="1">IF(AW6&lt;&gt;AW17,VLOOKUP(AW6,Matrix!$C$13:$G$37,5,FALSE),Matrix!G13)</f>
        <v>NULL</v>
      </c>
    </row>
    <row r="16" spans="1:49">
      <c r="B16" s="138"/>
      <c r="C16" s="47">
        <f t="shared" si="2"/>
        <v>10</v>
      </c>
      <c r="D16" s="61" t="s">
        <v>66</v>
      </c>
      <c r="E16" s="61" t="s">
        <v>66</v>
      </c>
      <c r="F16" s="61" t="s">
        <v>66</v>
      </c>
      <c r="G16" s="61" t="s">
        <v>66</v>
      </c>
      <c r="H16" s="61" t="s">
        <v>66</v>
      </c>
      <c r="I16" s="61" t="s">
        <v>66</v>
      </c>
      <c r="J16" s="61" t="s">
        <v>66</v>
      </c>
      <c r="K16" s="61" t="s">
        <v>66</v>
      </c>
      <c r="L16" s="61" t="s">
        <v>66</v>
      </c>
      <c r="M16" s="61" t="s">
        <v>66</v>
      </c>
      <c r="N16" s="61" t="s">
        <v>66</v>
      </c>
      <c r="O16" s="61" t="s">
        <v>66</v>
      </c>
      <c r="P16" s="61" t="s">
        <v>66</v>
      </c>
      <c r="Q16" s="61" t="s">
        <v>66</v>
      </c>
      <c r="R16" s="61" t="s">
        <v>66</v>
      </c>
      <c r="S16" s="61" t="s">
        <v>66</v>
      </c>
      <c r="T16" s="61" t="s">
        <v>66</v>
      </c>
      <c r="U16" s="61" t="s">
        <v>66</v>
      </c>
      <c r="V16" s="61" t="s">
        <v>66</v>
      </c>
      <c r="W16" s="61" t="s">
        <v>66</v>
      </c>
      <c r="X16" s="61" t="s">
        <v>66</v>
      </c>
      <c r="Y16" s="61" t="s">
        <v>66</v>
      </c>
      <c r="Z16" s="61" t="s">
        <v>66</v>
      </c>
      <c r="AA16" s="61" t="s">
        <v>66</v>
      </c>
      <c r="AB16" s="61" t="s">
        <v>66</v>
      </c>
      <c r="AC16" s="61" t="s">
        <v>66</v>
      </c>
      <c r="AD16" s="61" t="s">
        <v>66</v>
      </c>
      <c r="AE16" s="61" t="s">
        <v>197</v>
      </c>
      <c r="AF16" s="61" t="s">
        <v>197</v>
      </c>
      <c r="AG16" s="61" t="s">
        <v>197</v>
      </c>
      <c r="AH16" s="61" t="s">
        <v>197</v>
      </c>
      <c r="AI16" s="61" t="s">
        <v>197</v>
      </c>
      <c r="AJ16" s="26"/>
      <c r="AL16" t="str">
        <f t="shared" ca="1" si="0"/>
        <v xml:space="preserve">    (U1)ALERT_REQ_D_ATFWRN_PD_</v>
      </c>
      <c r="AR16" s="63" t="str">
        <f t="shared" si="3"/>
        <v/>
      </c>
      <c r="AS16" s="63" t="str">
        <f t="shared" si="4"/>
        <v/>
      </c>
      <c r="AT16" s="63" t="str">
        <f t="shared" si="1"/>
        <v/>
      </c>
      <c r="AU16" s="63" t="s">
        <v>68</v>
      </c>
      <c r="AV16" s="49" t="s">
        <v>77</v>
      </c>
      <c r="AW16" s="68" t="str">
        <f ca="1">IF(AW6&lt;&gt;AW17,VLOOKUP(AW6,Matrix!$C$13:$G$37,2,FALSE),Matrix!D13)</f>
        <v>ALERT_VOM_IGN_ON</v>
      </c>
    </row>
    <row r="17" spans="2:49" ht="14.25" thickBot="1">
      <c r="B17" s="138"/>
      <c r="C17" s="47">
        <f t="shared" si="2"/>
        <v>11</v>
      </c>
      <c r="D17" s="61" t="s">
        <v>66</v>
      </c>
      <c r="E17" s="61" t="s">
        <v>66</v>
      </c>
      <c r="F17" s="61" t="s">
        <v>66</v>
      </c>
      <c r="G17" s="61" t="s">
        <v>66</v>
      </c>
      <c r="H17" s="61" t="s">
        <v>66</v>
      </c>
      <c r="I17" s="61" t="s">
        <v>66</v>
      </c>
      <c r="J17" s="61" t="s">
        <v>66</v>
      </c>
      <c r="K17" s="61" t="s">
        <v>66</v>
      </c>
      <c r="L17" s="61" t="s">
        <v>66</v>
      </c>
      <c r="M17" s="61" t="s">
        <v>66</v>
      </c>
      <c r="N17" s="61" t="s">
        <v>66</v>
      </c>
      <c r="O17" s="61" t="s">
        <v>66</v>
      </c>
      <c r="P17" s="61" t="s">
        <v>66</v>
      </c>
      <c r="Q17" s="61" t="s">
        <v>66</v>
      </c>
      <c r="R17" s="61" t="s">
        <v>66</v>
      </c>
      <c r="S17" s="61" t="s">
        <v>66</v>
      </c>
      <c r="T17" s="61" t="s">
        <v>66</v>
      </c>
      <c r="U17" s="61" t="s">
        <v>66</v>
      </c>
      <c r="V17" s="61" t="s">
        <v>66</v>
      </c>
      <c r="W17" s="61" t="s">
        <v>66</v>
      </c>
      <c r="X17" s="61" t="s">
        <v>66</v>
      </c>
      <c r="Y17" s="61" t="s">
        <v>66</v>
      </c>
      <c r="Z17" s="61" t="s">
        <v>66</v>
      </c>
      <c r="AA17" s="61" t="s">
        <v>66</v>
      </c>
      <c r="AB17" s="61" t="s">
        <v>66</v>
      </c>
      <c r="AC17" s="61" t="s">
        <v>66</v>
      </c>
      <c r="AD17" s="61" t="s">
        <v>66</v>
      </c>
      <c r="AE17" s="61" t="s">
        <v>197</v>
      </c>
      <c r="AF17" s="61" t="s">
        <v>197</v>
      </c>
      <c r="AG17" s="61" t="s">
        <v>197</v>
      </c>
      <c r="AH17" s="61" t="s">
        <v>197</v>
      </c>
      <c r="AI17" s="61" t="s">
        <v>197</v>
      </c>
      <c r="AJ17" s="26"/>
      <c r="AL17" t="str">
        <f t="shared" ca="1" si="0"/>
        <v xml:space="preserve">    (U1)ALERT_REQ_D_ATFWRN_PD_</v>
      </c>
      <c r="AR17" s="63" t="str">
        <f t="shared" si="3"/>
        <v/>
      </c>
      <c r="AS17" s="63" t="str">
        <f t="shared" si="4"/>
        <v/>
      </c>
      <c r="AT17" s="63" t="str">
        <f t="shared" si="1"/>
        <v/>
      </c>
      <c r="AU17" s="64" t="s">
        <v>80</v>
      </c>
      <c r="AV17" s="50" t="s">
        <v>78</v>
      </c>
      <c r="AW17" s="69" t="str">
        <f ca="1">UPPER(Matrix!$D$6)</f>
        <v>D_ATFWRN</v>
      </c>
    </row>
    <row r="18" spans="2:49">
      <c r="B18" s="138"/>
      <c r="C18" s="47">
        <f t="shared" si="2"/>
        <v>12</v>
      </c>
      <c r="D18" s="61" t="s">
        <v>66</v>
      </c>
      <c r="E18" s="61" t="s">
        <v>66</v>
      </c>
      <c r="F18" s="61" t="s">
        <v>66</v>
      </c>
      <c r="G18" s="61" t="s">
        <v>66</v>
      </c>
      <c r="H18" s="61" t="s">
        <v>66</v>
      </c>
      <c r="I18" s="61" t="s">
        <v>66</v>
      </c>
      <c r="J18" s="61" t="s">
        <v>66</v>
      </c>
      <c r="K18" s="61" t="s">
        <v>66</v>
      </c>
      <c r="L18" s="61" t="s">
        <v>66</v>
      </c>
      <c r="M18" s="61" t="s">
        <v>66</v>
      </c>
      <c r="N18" s="61" t="s">
        <v>66</v>
      </c>
      <c r="O18" s="61" t="s">
        <v>66</v>
      </c>
      <c r="P18" s="61" t="s">
        <v>66</v>
      </c>
      <c r="Q18" s="61" t="s">
        <v>66</v>
      </c>
      <c r="R18" s="61" t="s">
        <v>66</v>
      </c>
      <c r="S18" s="61" t="s">
        <v>66</v>
      </c>
      <c r="T18" s="61" t="s">
        <v>66</v>
      </c>
      <c r="U18" s="61" t="s">
        <v>66</v>
      </c>
      <c r="V18" s="61" t="s">
        <v>66</v>
      </c>
      <c r="W18" s="61" t="s">
        <v>66</v>
      </c>
      <c r="X18" s="61" t="s">
        <v>66</v>
      </c>
      <c r="Y18" s="61" t="s">
        <v>66</v>
      </c>
      <c r="Z18" s="61" t="s">
        <v>66</v>
      </c>
      <c r="AA18" s="61" t="s">
        <v>66</v>
      </c>
      <c r="AB18" s="61" t="s">
        <v>66</v>
      </c>
      <c r="AC18" s="61" t="s">
        <v>66</v>
      </c>
      <c r="AD18" s="61" t="s">
        <v>66</v>
      </c>
      <c r="AE18" s="61" t="s">
        <v>197</v>
      </c>
      <c r="AF18" s="61" t="s">
        <v>197</v>
      </c>
      <c r="AG18" s="61" t="s">
        <v>197</v>
      </c>
      <c r="AH18" s="61" t="s">
        <v>197</v>
      </c>
      <c r="AI18" s="61" t="s">
        <v>197</v>
      </c>
      <c r="AJ18" s="26"/>
      <c r="AL18" t="str">
        <f t="shared" ca="1" si="0"/>
        <v xml:space="preserve">    (U1)ALERT_REQ_D_ATFWRN_PD_</v>
      </c>
      <c r="AR18" s="63" t="str">
        <f t="shared" si="3"/>
        <v/>
      </c>
      <c r="AS18" s="63" t="str">
        <f t="shared" si="4"/>
        <v/>
      </c>
      <c r="AT18" s="63" t="str">
        <f t="shared" si="1"/>
        <v/>
      </c>
    </row>
    <row r="19" spans="2:49">
      <c r="B19" s="138"/>
      <c r="C19" s="47">
        <f t="shared" si="2"/>
        <v>13</v>
      </c>
      <c r="D19" s="61" t="s">
        <v>66</v>
      </c>
      <c r="E19" s="61" t="s">
        <v>66</v>
      </c>
      <c r="F19" s="61" t="s">
        <v>66</v>
      </c>
      <c r="G19" s="61" t="s">
        <v>66</v>
      </c>
      <c r="H19" s="61" t="s">
        <v>66</v>
      </c>
      <c r="I19" s="61" t="s">
        <v>66</v>
      </c>
      <c r="J19" s="61" t="s">
        <v>66</v>
      </c>
      <c r="K19" s="61" t="s">
        <v>66</v>
      </c>
      <c r="L19" s="61" t="s">
        <v>66</v>
      </c>
      <c r="M19" s="61" t="s">
        <v>66</v>
      </c>
      <c r="N19" s="61" t="s">
        <v>66</v>
      </c>
      <c r="O19" s="61" t="s">
        <v>66</v>
      </c>
      <c r="P19" s="61" t="s">
        <v>66</v>
      </c>
      <c r="Q19" s="61" t="s">
        <v>66</v>
      </c>
      <c r="R19" s="61" t="s">
        <v>66</v>
      </c>
      <c r="S19" s="61" t="s">
        <v>66</v>
      </c>
      <c r="T19" s="61" t="s">
        <v>66</v>
      </c>
      <c r="U19" s="61" t="s">
        <v>66</v>
      </c>
      <c r="V19" s="61" t="s">
        <v>66</v>
      </c>
      <c r="W19" s="61" t="s">
        <v>66</v>
      </c>
      <c r="X19" s="61" t="s">
        <v>66</v>
      </c>
      <c r="Y19" s="61" t="s">
        <v>66</v>
      </c>
      <c r="Z19" s="61" t="s">
        <v>66</v>
      </c>
      <c r="AA19" s="61" t="s">
        <v>66</v>
      </c>
      <c r="AB19" s="61" t="s">
        <v>66</v>
      </c>
      <c r="AC19" s="61" t="s">
        <v>66</v>
      </c>
      <c r="AD19" s="61" t="s">
        <v>66</v>
      </c>
      <c r="AE19" s="61" t="s">
        <v>197</v>
      </c>
      <c r="AF19" s="61" t="s">
        <v>197</v>
      </c>
      <c r="AG19" s="61" t="s">
        <v>197</v>
      </c>
      <c r="AH19" s="61" t="s">
        <v>197</v>
      </c>
      <c r="AI19" s="61" t="s">
        <v>197</v>
      </c>
      <c r="AJ19" s="26"/>
      <c r="AL19" t="str">
        <f t="shared" ca="1" si="0"/>
        <v xml:space="preserve">    (U1)ALERT_REQ_D_ATFWRN_PD_</v>
      </c>
      <c r="AR19" s="63" t="str">
        <f t="shared" si="3"/>
        <v/>
      </c>
      <c r="AS19" s="63" t="str">
        <f t="shared" si="4"/>
        <v/>
      </c>
      <c r="AT19" s="63" t="str">
        <f t="shared" si="1"/>
        <v/>
      </c>
    </row>
    <row r="20" spans="2:49">
      <c r="B20" s="138"/>
      <c r="C20" s="47">
        <f t="shared" si="2"/>
        <v>14</v>
      </c>
      <c r="D20" s="61" t="s">
        <v>66</v>
      </c>
      <c r="E20" s="61" t="s">
        <v>66</v>
      </c>
      <c r="F20" s="61" t="s">
        <v>66</v>
      </c>
      <c r="G20" s="61" t="s">
        <v>66</v>
      </c>
      <c r="H20" s="61" t="s">
        <v>66</v>
      </c>
      <c r="I20" s="61" t="s">
        <v>66</v>
      </c>
      <c r="J20" s="61" t="s">
        <v>66</v>
      </c>
      <c r="K20" s="61" t="s">
        <v>66</v>
      </c>
      <c r="L20" s="61" t="s">
        <v>66</v>
      </c>
      <c r="M20" s="61" t="s">
        <v>66</v>
      </c>
      <c r="N20" s="61" t="s">
        <v>66</v>
      </c>
      <c r="O20" s="61" t="s">
        <v>66</v>
      </c>
      <c r="P20" s="61" t="s">
        <v>66</v>
      </c>
      <c r="Q20" s="61" t="s">
        <v>66</v>
      </c>
      <c r="R20" s="61" t="s">
        <v>66</v>
      </c>
      <c r="S20" s="61" t="s">
        <v>66</v>
      </c>
      <c r="T20" s="61" t="s">
        <v>66</v>
      </c>
      <c r="U20" s="61" t="s">
        <v>66</v>
      </c>
      <c r="V20" s="61" t="s">
        <v>66</v>
      </c>
      <c r="W20" s="61" t="s">
        <v>66</v>
      </c>
      <c r="X20" s="61" t="s">
        <v>66</v>
      </c>
      <c r="Y20" s="61" t="s">
        <v>66</v>
      </c>
      <c r="Z20" s="61" t="s">
        <v>66</v>
      </c>
      <c r="AA20" s="61" t="s">
        <v>66</v>
      </c>
      <c r="AB20" s="61" t="s">
        <v>66</v>
      </c>
      <c r="AC20" s="61" t="s">
        <v>66</v>
      </c>
      <c r="AD20" s="61" t="s">
        <v>66</v>
      </c>
      <c r="AE20" s="61" t="s">
        <v>197</v>
      </c>
      <c r="AF20" s="61" t="s">
        <v>197</v>
      </c>
      <c r="AG20" s="61" t="s">
        <v>197</v>
      </c>
      <c r="AH20" s="61" t="s">
        <v>197</v>
      </c>
      <c r="AI20" s="61" t="s">
        <v>197</v>
      </c>
      <c r="AJ20" s="26"/>
      <c r="AL20" t="str">
        <f t="shared" ca="1" si="0"/>
        <v xml:space="preserve">    (U1)ALERT_REQ_D_ATFWRN_PD_</v>
      </c>
      <c r="AR20" s="63" t="str">
        <f t="shared" si="3"/>
        <v/>
      </c>
      <c r="AS20" s="63" t="str">
        <f t="shared" si="4"/>
        <v/>
      </c>
      <c r="AT20" s="63" t="str">
        <f t="shared" si="1"/>
        <v/>
      </c>
    </row>
    <row r="21" spans="2:49">
      <c r="B21" s="138"/>
      <c r="C21" s="47">
        <f t="shared" si="2"/>
        <v>15</v>
      </c>
      <c r="D21" s="61" t="s">
        <v>66</v>
      </c>
      <c r="E21" s="61" t="s">
        <v>66</v>
      </c>
      <c r="F21" s="61" t="s">
        <v>66</v>
      </c>
      <c r="G21" s="61" t="s">
        <v>66</v>
      </c>
      <c r="H21" s="61" t="s">
        <v>66</v>
      </c>
      <c r="I21" s="61" t="s">
        <v>66</v>
      </c>
      <c r="J21" s="61" t="s">
        <v>66</v>
      </c>
      <c r="K21" s="61" t="s">
        <v>66</v>
      </c>
      <c r="L21" s="61" t="s">
        <v>66</v>
      </c>
      <c r="M21" s="61" t="s">
        <v>66</v>
      </c>
      <c r="N21" s="61" t="s">
        <v>66</v>
      </c>
      <c r="O21" s="61" t="s">
        <v>66</v>
      </c>
      <c r="P21" s="61" t="s">
        <v>66</v>
      </c>
      <c r="Q21" s="61" t="s">
        <v>66</v>
      </c>
      <c r="R21" s="61" t="s">
        <v>66</v>
      </c>
      <c r="S21" s="61" t="s">
        <v>66</v>
      </c>
      <c r="T21" s="61" t="s">
        <v>66</v>
      </c>
      <c r="U21" s="61" t="s">
        <v>66</v>
      </c>
      <c r="V21" s="61" t="s">
        <v>66</v>
      </c>
      <c r="W21" s="61" t="s">
        <v>66</v>
      </c>
      <c r="X21" s="61" t="s">
        <v>66</v>
      </c>
      <c r="Y21" s="61" t="s">
        <v>66</v>
      </c>
      <c r="Z21" s="61" t="s">
        <v>66</v>
      </c>
      <c r="AA21" s="61" t="s">
        <v>66</v>
      </c>
      <c r="AB21" s="61" t="s">
        <v>66</v>
      </c>
      <c r="AC21" s="61" t="s">
        <v>66</v>
      </c>
      <c r="AD21" s="61" t="s">
        <v>66</v>
      </c>
      <c r="AE21" s="61" t="s">
        <v>197</v>
      </c>
      <c r="AF21" s="61" t="s">
        <v>197</v>
      </c>
      <c r="AG21" s="61" t="s">
        <v>197</v>
      </c>
      <c r="AH21" s="61" t="s">
        <v>197</v>
      </c>
      <c r="AI21" s="61" t="s">
        <v>197</v>
      </c>
      <c r="AJ21" s="26"/>
      <c r="AL21" t="str">
        <f t="shared" ca="1" si="0"/>
        <v xml:space="preserve">    (U1)ALERT_REQ_D_ATFWRN_PD_</v>
      </c>
      <c r="AR21" s="63" t="str">
        <f t="shared" si="3"/>
        <v/>
      </c>
      <c r="AS21" s="63" t="str">
        <f t="shared" si="4"/>
        <v/>
      </c>
      <c r="AT21" s="63" t="str">
        <f t="shared" si="1"/>
        <v/>
      </c>
    </row>
    <row r="22" spans="2:49">
      <c r="B22" s="138"/>
      <c r="C22" s="47">
        <f t="shared" si="2"/>
        <v>16</v>
      </c>
      <c r="D22" s="61" t="s">
        <v>66</v>
      </c>
      <c r="E22" s="61" t="s">
        <v>66</v>
      </c>
      <c r="F22" s="61" t="s">
        <v>66</v>
      </c>
      <c r="G22" s="61" t="s">
        <v>66</v>
      </c>
      <c r="H22" s="61" t="s">
        <v>66</v>
      </c>
      <c r="I22" s="61" t="s">
        <v>66</v>
      </c>
      <c r="J22" s="61" t="s">
        <v>66</v>
      </c>
      <c r="K22" s="61" t="s">
        <v>66</v>
      </c>
      <c r="L22" s="61" t="s">
        <v>66</v>
      </c>
      <c r="M22" s="61" t="s">
        <v>66</v>
      </c>
      <c r="N22" s="61" t="s">
        <v>66</v>
      </c>
      <c r="O22" s="61" t="s">
        <v>66</v>
      </c>
      <c r="P22" s="61" t="s">
        <v>66</v>
      </c>
      <c r="Q22" s="61" t="s">
        <v>66</v>
      </c>
      <c r="R22" s="61" t="s">
        <v>66</v>
      </c>
      <c r="S22" s="61" t="s">
        <v>66</v>
      </c>
      <c r="T22" s="61" t="s">
        <v>66</v>
      </c>
      <c r="U22" s="61" t="s">
        <v>66</v>
      </c>
      <c r="V22" s="61" t="s">
        <v>66</v>
      </c>
      <c r="W22" s="61" t="s">
        <v>66</v>
      </c>
      <c r="X22" s="61" t="s">
        <v>66</v>
      </c>
      <c r="Y22" s="61" t="s">
        <v>66</v>
      </c>
      <c r="Z22" s="61" t="s">
        <v>66</v>
      </c>
      <c r="AA22" s="61" t="s">
        <v>66</v>
      </c>
      <c r="AB22" s="61" t="s">
        <v>66</v>
      </c>
      <c r="AC22" s="61" t="s">
        <v>66</v>
      </c>
      <c r="AD22" s="61" t="s">
        <v>66</v>
      </c>
      <c r="AE22" s="61" t="s">
        <v>197</v>
      </c>
      <c r="AF22" s="61" t="s">
        <v>197</v>
      </c>
      <c r="AG22" s="61" t="s">
        <v>197</v>
      </c>
      <c r="AH22" s="61" t="s">
        <v>197</v>
      </c>
      <c r="AI22" s="61" t="s">
        <v>197</v>
      </c>
      <c r="AJ22" s="26"/>
      <c r="AL22" t="str">
        <f t="shared" ca="1" si="0"/>
        <v xml:space="preserve">    (U1)ALERT_REQ_D_ATFWRN_PD_</v>
      </c>
      <c r="AR22" s="63" t="str">
        <f t="shared" si="3"/>
        <v/>
      </c>
      <c r="AS22" s="63" t="str">
        <f t="shared" si="4"/>
        <v/>
      </c>
      <c r="AT22" s="63" t="str">
        <f t="shared" si="1"/>
        <v/>
      </c>
    </row>
    <row r="23" spans="2:49">
      <c r="B23" s="138"/>
      <c r="C23" s="47">
        <f t="shared" si="2"/>
        <v>17</v>
      </c>
      <c r="D23" s="61" t="s">
        <v>66</v>
      </c>
      <c r="E23" s="61" t="s">
        <v>66</v>
      </c>
      <c r="F23" s="61" t="s">
        <v>66</v>
      </c>
      <c r="G23" s="61" t="s">
        <v>66</v>
      </c>
      <c r="H23" s="61" t="s">
        <v>66</v>
      </c>
      <c r="I23" s="61" t="s">
        <v>66</v>
      </c>
      <c r="J23" s="61" t="s">
        <v>66</v>
      </c>
      <c r="K23" s="61" t="s">
        <v>66</v>
      </c>
      <c r="L23" s="61" t="s">
        <v>66</v>
      </c>
      <c r="M23" s="61" t="s">
        <v>66</v>
      </c>
      <c r="N23" s="61" t="s">
        <v>66</v>
      </c>
      <c r="O23" s="61" t="s">
        <v>66</v>
      </c>
      <c r="P23" s="61" t="s">
        <v>66</v>
      </c>
      <c r="Q23" s="61" t="s">
        <v>66</v>
      </c>
      <c r="R23" s="61" t="s">
        <v>66</v>
      </c>
      <c r="S23" s="61" t="s">
        <v>66</v>
      </c>
      <c r="T23" s="61" t="s">
        <v>66</v>
      </c>
      <c r="U23" s="61" t="s">
        <v>66</v>
      </c>
      <c r="V23" s="61" t="s">
        <v>66</v>
      </c>
      <c r="W23" s="61" t="s">
        <v>66</v>
      </c>
      <c r="X23" s="61" t="s">
        <v>66</v>
      </c>
      <c r="Y23" s="61" t="s">
        <v>66</v>
      </c>
      <c r="Z23" s="61" t="s">
        <v>66</v>
      </c>
      <c r="AA23" s="61" t="s">
        <v>66</v>
      </c>
      <c r="AB23" s="61" t="s">
        <v>66</v>
      </c>
      <c r="AC23" s="61" t="s">
        <v>66</v>
      </c>
      <c r="AD23" s="61" t="s">
        <v>66</v>
      </c>
      <c r="AE23" s="61" t="s">
        <v>197</v>
      </c>
      <c r="AF23" s="61" t="s">
        <v>197</v>
      </c>
      <c r="AG23" s="61" t="s">
        <v>197</v>
      </c>
      <c r="AH23" s="61" t="s">
        <v>197</v>
      </c>
      <c r="AI23" s="61" t="s">
        <v>197</v>
      </c>
      <c r="AJ23" s="26"/>
      <c r="AL23" t="str">
        <f t="shared" ca="1" si="0"/>
        <v xml:space="preserve">    (U1)ALERT_REQ_D_ATFWRN_PD_</v>
      </c>
      <c r="AR23" s="63" t="str">
        <f t="shared" si="3"/>
        <v/>
      </c>
      <c r="AS23" s="63" t="str">
        <f t="shared" si="4"/>
        <v/>
      </c>
      <c r="AT23" s="63" t="str">
        <f t="shared" si="1"/>
        <v/>
      </c>
    </row>
    <row r="24" spans="2:49">
      <c r="B24" s="138"/>
      <c r="C24" s="47">
        <f t="shared" si="2"/>
        <v>18</v>
      </c>
      <c r="D24" s="61" t="s">
        <v>66</v>
      </c>
      <c r="E24" s="61" t="s">
        <v>66</v>
      </c>
      <c r="F24" s="61" t="s">
        <v>66</v>
      </c>
      <c r="G24" s="61" t="s">
        <v>66</v>
      </c>
      <c r="H24" s="61" t="s">
        <v>66</v>
      </c>
      <c r="I24" s="61" t="s">
        <v>66</v>
      </c>
      <c r="J24" s="61" t="s">
        <v>66</v>
      </c>
      <c r="K24" s="61" t="s">
        <v>66</v>
      </c>
      <c r="L24" s="61" t="s">
        <v>66</v>
      </c>
      <c r="M24" s="61" t="s">
        <v>66</v>
      </c>
      <c r="N24" s="61" t="s">
        <v>66</v>
      </c>
      <c r="O24" s="61" t="s">
        <v>66</v>
      </c>
      <c r="P24" s="61" t="s">
        <v>66</v>
      </c>
      <c r="Q24" s="61" t="s">
        <v>66</v>
      </c>
      <c r="R24" s="61" t="s">
        <v>66</v>
      </c>
      <c r="S24" s="61" t="s">
        <v>66</v>
      </c>
      <c r="T24" s="61" t="s">
        <v>66</v>
      </c>
      <c r="U24" s="61" t="s">
        <v>66</v>
      </c>
      <c r="V24" s="61" t="s">
        <v>66</v>
      </c>
      <c r="W24" s="61" t="s">
        <v>66</v>
      </c>
      <c r="X24" s="61" t="s">
        <v>66</v>
      </c>
      <c r="Y24" s="61" t="s">
        <v>66</v>
      </c>
      <c r="Z24" s="61" t="s">
        <v>66</v>
      </c>
      <c r="AA24" s="61" t="s">
        <v>66</v>
      </c>
      <c r="AB24" s="61" t="s">
        <v>66</v>
      </c>
      <c r="AC24" s="61" t="s">
        <v>66</v>
      </c>
      <c r="AD24" s="61" t="s">
        <v>66</v>
      </c>
      <c r="AE24" s="61" t="s">
        <v>197</v>
      </c>
      <c r="AF24" s="61" t="s">
        <v>197</v>
      </c>
      <c r="AG24" s="61" t="s">
        <v>197</v>
      </c>
      <c r="AH24" s="61" t="s">
        <v>197</v>
      </c>
      <c r="AI24" s="61" t="s">
        <v>197</v>
      </c>
      <c r="AJ24" s="26"/>
      <c r="AL24" t="str">
        <f t="shared" ca="1" si="0"/>
        <v xml:space="preserve">    (U1)ALERT_REQ_D_ATFWRN_PD_</v>
      </c>
      <c r="AR24" s="63" t="str">
        <f t="shared" si="3"/>
        <v/>
      </c>
      <c r="AS24" s="63" t="str">
        <f t="shared" si="4"/>
        <v/>
      </c>
      <c r="AT24" s="63" t="str">
        <f t="shared" si="1"/>
        <v/>
      </c>
    </row>
    <row r="25" spans="2:49">
      <c r="B25" s="138"/>
      <c r="C25" s="47">
        <f t="shared" si="2"/>
        <v>19</v>
      </c>
      <c r="D25" s="61" t="s">
        <v>66</v>
      </c>
      <c r="E25" s="61" t="s">
        <v>66</v>
      </c>
      <c r="F25" s="61" t="s">
        <v>66</v>
      </c>
      <c r="G25" s="61" t="s">
        <v>66</v>
      </c>
      <c r="H25" s="61" t="s">
        <v>66</v>
      </c>
      <c r="I25" s="61" t="s">
        <v>66</v>
      </c>
      <c r="J25" s="61" t="s">
        <v>66</v>
      </c>
      <c r="K25" s="61" t="s">
        <v>66</v>
      </c>
      <c r="L25" s="61" t="s">
        <v>66</v>
      </c>
      <c r="M25" s="61" t="s">
        <v>66</v>
      </c>
      <c r="N25" s="61" t="s">
        <v>66</v>
      </c>
      <c r="O25" s="61" t="s">
        <v>66</v>
      </c>
      <c r="P25" s="61" t="s">
        <v>66</v>
      </c>
      <c r="Q25" s="61" t="s">
        <v>66</v>
      </c>
      <c r="R25" s="61" t="s">
        <v>66</v>
      </c>
      <c r="S25" s="61" t="s">
        <v>66</v>
      </c>
      <c r="T25" s="61" t="s">
        <v>66</v>
      </c>
      <c r="U25" s="61" t="s">
        <v>66</v>
      </c>
      <c r="V25" s="61" t="s">
        <v>66</v>
      </c>
      <c r="W25" s="61" t="s">
        <v>66</v>
      </c>
      <c r="X25" s="61" t="s">
        <v>66</v>
      </c>
      <c r="Y25" s="61" t="s">
        <v>66</v>
      </c>
      <c r="Z25" s="61" t="s">
        <v>66</v>
      </c>
      <c r="AA25" s="61" t="s">
        <v>66</v>
      </c>
      <c r="AB25" s="61" t="s">
        <v>66</v>
      </c>
      <c r="AC25" s="61" t="s">
        <v>66</v>
      </c>
      <c r="AD25" s="61" t="s">
        <v>66</v>
      </c>
      <c r="AE25" s="61" t="s">
        <v>197</v>
      </c>
      <c r="AF25" s="61" t="s">
        <v>197</v>
      </c>
      <c r="AG25" s="61" t="s">
        <v>197</v>
      </c>
      <c r="AH25" s="61" t="s">
        <v>197</v>
      </c>
      <c r="AI25" s="61" t="s">
        <v>197</v>
      </c>
      <c r="AJ25" s="26"/>
      <c r="AL25" t="str">
        <f t="shared" ca="1" si="0"/>
        <v xml:space="preserve">    (U1)ALERT_REQ_D_ATFWRN_PD_</v>
      </c>
      <c r="AR25" s="63" t="str">
        <f t="shared" si="3"/>
        <v/>
      </c>
      <c r="AS25" s="63" t="str">
        <f t="shared" si="4"/>
        <v/>
      </c>
      <c r="AT25" s="63" t="str">
        <f t="shared" si="1"/>
        <v/>
      </c>
    </row>
    <row r="26" spans="2:49">
      <c r="B26" s="138"/>
      <c r="C26" s="47">
        <f t="shared" si="2"/>
        <v>20</v>
      </c>
      <c r="D26" s="61" t="s">
        <v>66</v>
      </c>
      <c r="E26" s="61" t="s">
        <v>66</v>
      </c>
      <c r="F26" s="61" t="s">
        <v>66</v>
      </c>
      <c r="G26" s="61" t="s">
        <v>66</v>
      </c>
      <c r="H26" s="61" t="s">
        <v>66</v>
      </c>
      <c r="I26" s="61" t="s">
        <v>66</v>
      </c>
      <c r="J26" s="61" t="s">
        <v>66</v>
      </c>
      <c r="K26" s="61" t="s">
        <v>66</v>
      </c>
      <c r="L26" s="61" t="s">
        <v>66</v>
      </c>
      <c r="M26" s="61" t="s">
        <v>66</v>
      </c>
      <c r="N26" s="61" t="s">
        <v>66</v>
      </c>
      <c r="O26" s="61" t="s">
        <v>66</v>
      </c>
      <c r="P26" s="61" t="s">
        <v>66</v>
      </c>
      <c r="Q26" s="61" t="s">
        <v>66</v>
      </c>
      <c r="R26" s="61" t="s">
        <v>66</v>
      </c>
      <c r="S26" s="61" t="s">
        <v>66</v>
      </c>
      <c r="T26" s="61" t="s">
        <v>66</v>
      </c>
      <c r="U26" s="61" t="s">
        <v>66</v>
      </c>
      <c r="V26" s="61" t="s">
        <v>66</v>
      </c>
      <c r="W26" s="61" t="s">
        <v>66</v>
      </c>
      <c r="X26" s="61" t="s">
        <v>66</v>
      </c>
      <c r="Y26" s="61" t="s">
        <v>66</v>
      </c>
      <c r="Z26" s="61" t="s">
        <v>66</v>
      </c>
      <c r="AA26" s="61" t="s">
        <v>66</v>
      </c>
      <c r="AB26" s="61" t="s">
        <v>66</v>
      </c>
      <c r="AC26" s="61" t="s">
        <v>66</v>
      </c>
      <c r="AD26" s="61" t="s">
        <v>66</v>
      </c>
      <c r="AE26" s="61" t="s">
        <v>197</v>
      </c>
      <c r="AF26" s="61" t="s">
        <v>197</v>
      </c>
      <c r="AG26" s="61" t="s">
        <v>197</v>
      </c>
      <c r="AH26" s="61" t="s">
        <v>197</v>
      </c>
      <c r="AI26" s="61" t="s">
        <v>197</v>
      </c>
      <c r="AJ26" s="26"/>
      <c r="AL26" t="str">
        <f t="shared" ca="1" si="0"/>
        <v xml:space="preserve">    (U1)ALERT_REQ_D_ATFWRN_PD_</v>
      </c>
      <c r="AR26" s="63" t="str">
        <f t="shared" si="3"/>
        <v/>
      </c>
      <c r="AS26" s="63" t="str">
        <f t="shared" si="4"/>
        <v/>
      </c>
      <c r="AT26" s="63" t="str">
        <f t="shared" si="1"/>
        <v/>
      </c>
    </row>
    <row r="27" spans="2:49">
      <c r="B27" s="138"/>
      <c r="C27" s="47">
        <f t="shared" si="2"/>
        <v>21</v>
      </c>
      <c r="D27" s="61" t="s">
        <v>66</v>
      </c>
      <c r="E27" s="61" t="s">
        <v>66</v>
      </c>
      <c r="F27" s="61" t="s">
        <v>66</v>
      </c>
      <c r="G27" s="61" t="s">
        <v>66</v>
      </c>
      <c r="H27" s="61" t="s">
        <v>66</v>
      </c>
      <c r="I27" s="61" t="s">
        <v>66</v>
      </c>
      <c r="J27" s="61" t="s">
        <v>66</v>
      </c>
      <c r="K27" s="61" t="s">
        <v>66</v>
      </c>
      <c r="L27" s="61" t="s">
        <v>66</v>
      </c>
      <c r="M27" s="61" t="s">
        <v>66</v>
      </c>
      <c r="N27" s="61" t="s">
        <v>66</v>
      </c>
      <c r="O27" s="61" t="s">
        <v>66</v>
      </c>
      <c r="P27" s="61" t="s">
        <v>66</v>
      </c>
      <c r="Q27" s="61" t="s">
        <v>66</v>
      </c>
      <c r="R27" s="61" t="s">
        <v>66</v>
      </c>
      <c r="S27" s="61" t="s">
        <v>66</v>
      </c>
      <c r="T27" s="61" t="s">
        <v>66</v>
      </c>
      <c r="U27" s="61" t="s">
        <v>66</v>
      </c>
      <c r="V27" s="61" t="s">
        <v>66</v>
      </c>
      <c r="W27" s="61" t="s">
        <v>66</v>
      </c>
      <c r="X27" s="61" t="s">
        <v>66</v>
      </c>
      <c r="Y27" s="61" t="s">
        <v>66</v>
      </c>
      <c r="Z27" s="61" t="s">
        <v>66</v>
      </c>
      <c r="AA27" s="61" t="s">
        <v>66</v>
      </c>
      <c r="AB27" s="61" t="s">
        <v>66</v>
      </c>
      <c r="AC27" s="61" t="s">
        <v>66</v>
      </c>
      <c r="AD27" s="61" t="s">
        <v>66</v>
      </c>
      <c r="AE27" s="61" t="s">
        <v>197</v>
      </c>
      <c r="AF27" s="61" t="s">
        <v>197</v>
      </c>
      <c r="AG27" s="61" t="s">
        <v>197</v>
      </c>
      <c r="AH27" s="61" t="s">
        <v>197</v>
      </c>
      <c r="AI27" s="61" t="s">
        <v>197</v>
      </c>
      <c r="AJ27" s="26"/>
      <c r="AL27" t="str">
        <f t="shared" ca="1" si="0"/>
        <v xml:space="preserve">    (U1)ALERT_REQ_D_ATFWRN_PD_</v>
      </c>
      <c r="AR27" s="63" t="str">
        <f t="shared" si="3"/>
        <v/>
      </c>
      <c r="AS27" s="63" t="str">
        <f t="shared" si="4"/>
        <v/>
      </c>
      <c r="AT27" s="63" t="str">
        <f t="shared" si="1"/>
        <v/>
      </c>
    </row>
    <row r="28" spans="2:49">
      <c r="B28" s="138"/>
      <c r="C28" s="47">
        <f t="shared" si="2"/>
        <v>22</v>
      </c>
      <c r="D28" s="61" t="s">
        <v>66</v>
      </c>
      <c r="E28" s="61" t="s">
        <v>66</v>
      </c>
      <c r="F28" s="61" t="s">
        <v>66</v>
      </c>
      <c r="G28" s="61" t="s">
        <v>66</v>
      </c>
      <c r="H28" s="61" t="s">
        <v>66</v>
      </c>
      <c r="I28" s="61" t="s">
        <v>66</v>
      </c>
      <c r="J28" s="61" t="s">
        <v>66</v>
      </c>
      <c r="K28" s="61" t="s">
        <v>66</v>
      </c>
      <c r="L28" s="61" t="s">
        <v>66</v>
      </c>
      <c r="M28" s="61" t="s">
        <v>66</v>
      </c>
      <c r="N28" s="61" t="s">
        <v>66</v>
      </c>
      <c r="O28" s="61" t="s">
        <v>66</v>
      </c>
      <c r="P28" s="61" t="s">
        <v>66</v>
      </c>
      <c r="Q28" s="61" t="s">
        <v>66</v>
      </c>
      <c r="R28" s="61" t="s">
        <v>66</v>
      </c>
      <c r="S28" s="61" t="s">
        <v>66</v>
      </c>
      <c r="T28" s="61" t="s">
        <v>66</v>
      </c>
      <c r="U28" s="61" t="s">
        <v>66</v>
      </c>
      <c r="V28" s="61" t="s">
        <v>66</v>
      </c>
      <c r="W28" s="61" t="s">
        <v>66</v>
      </c>
      <c r="X28" s="61" t="s">
        <v>66</v>
      </c>
      <c r="Y28" s="61" t="s">
        <v>66</v>
      </c>
      <c r="Z28" s="61" t="s">
        <v>66</v>
      </c>
      <c r="AA28" s="61" t="s">
        <v>66</v>
      </c>
      <c r="AB28" s="61" t="s">
        <v>66</v>
      </c>
      <c r="AC28" s="61" t="s">
        <v>66</v>
      </c>
      <c r="AD28" s="61" t="s">
        <v>66</v>
      </c>
      <c r="AE28" s="61" t="s">
        <v>197</v>
      </c>
      <c r="AF28" s="61" t="s">
        <v>197</v>
      </c>
      <c r="AG28" s="61" t="s">
        <v>197</v>
      </c>
      <c r="AH28" s="61" t="s">
        <v>197</v>
      </c>
      <c r="AI28" s="61" t="s">
        <v>197</v>
      </c>
      <c r="AJ28" s="26"/>
      <c r="AL28" t="str">
        <f t="shared" ca="1" si="0"/>
        <v xml:space="preserve">    (U1)ALERT_REQ_D_ATFWRN_PD_</v>
      </c>
      <c r="AR28" s="63" t="str">
        <f t="shared" si="3"/>
        <v/>
      </c>
      <c r="AS28" s="63" t="str">
        <f t="shared" si="4"/>
        <v/>
      </c>
      <c r="AT28" s="63" t="str">
        <f t="shared" si="1"/>
        <v/>
      </c>
    </row>
    <row r="29" spans="2:49">
      <c r="B29" s="138"/>
      <c r="C29" s="47">
        <f t="shared" si="2"/>
        <v>23</v>
      </c>
      <c r="D29" s="61" t="s">
        <v>66</v>
      </c>
      <c r="E29" s="61" t="s">
        <v>66</v>
      </c>
      <c r="F29" s="61" t="s">
        <v>66</v>
      </c>
      <c r="G29" s="61" t="s">
        <v>66</v>
      </c>
      <c r="H29" s="61" t="s">
        <v>66</v>
      </c>
      <c r="I29" s="61" t="s">
        <v>66</v>
      </c>
      <c r="J29" s="61" t="s">
        <v>66</v>
      </c>
      <c r="K29" s="61" t="s">
        <v>66</v>
      </c>
      <c r="L29" s="61" t="s">
        <v>66</v>
      </c>
      <c r="M29" s="61" t="s">
        <v>66</v>
      </c>
      <c r="N29" s="61" t="s">
        <v>66</v>
      </c>
      <c r="O29" s="61" t="s">
        <v>66</v>
      </c>
      <c r="P29" s="61" t="s">
        <v>66</v>
      </c>
      <c r="Q29" s="61" t="s">
        <v>66</v>
      </c>
      <c r="R29" s="61" t="s">
        <v>66</v>
      </c>
      <c r="S29" s="61" t="s">
        <v>66</v>
      </c>
      <c r="T29" s="61" t="s">
        <v>66</v>
      </c>
      <c r="U29" s="61" t="s">
        <v>66</v>
      </c>
      <c r="V29" s="61" t="s">
        <v>66</v>
      </c>
      <c r="W29" s="61" t="s">
        <v>66</v>
      </c>
      <c r="X29" s="61" t="s">
        <v>66</v>
      </c>
      <c r="Y29" s="61" t="s">
        <v>66</v>
      </c>
      <c r="Z29" s="61" t="s">
        <v>66</v>
      </c>
      <c r="AA29" s="61" t="s">
        <v>66</v>
      </c>
      <c r="AB29" s="61" t="s">
        <v>66</v>
      </c>
      <c r="AC29" s="61" t="s">
        <v>66</v>
      </c>
      <c r="AD29" s="61" t="s">
        <v>66</v>
      </c>
      <c r="AE29" s="61" t="s">
        <v>197</v>
      </c>
      <c r="AF29" s="61" t="s">
        <v>197</v>
      </c>
      <c r="AG29" s="61" t="s">
        <v>197</v>
      </c>
      <c r="AH29" s="61" t="s">
        <v>197</v>
      </c>
      <c r="AI29" s="61" t="s">
        <v>197</v>
      </c>
      <c r="AJ29" s="26"/>
      <c r="AL29" t="str">
        <f t="shared" ca="1" si="0"/>
        <v xml:space="preserve">    (U1)ALERT_REQ_D_ATFWRN_PD_</v>
      </c>
      <c r="AR29" s="63" t="str">
        <f t="shared" si="3"/>
        <v/>
      </c>
      <c r="AS29" s="63" t="str">
        <f t="shared" si="4"/>
        <v/>
      </c>
      <c r="AT29" s="63" t="str">
        <f t="shared" si="1"/>
        <v/>
      </c>
    </row>
    <row r="30" spans="2:49">
      <c r="B30" s="138"/>
      <c r="C30" s="47">
        <f t="shared" si="2"/>
        <v>24</v>
      </c>
      <c r="D30" s="61" t="s">
        <v>66</v>
      </c>
      <c r="E30" s="61" t="s">
        <v>66</v>
      </c>
      <c r="F30" s="61" t="s">
        <v>66</v>
      </c>
      <c r="G30" s="61" t="s">
        <v>66</v>
      </c>
      <c r="H30" s="61" t="s">
        <v>66</v>
      </c>
      <c r="I30" s="61" t="s">
        <v>66</v>
      </c>
      <c r="J30" s="61" t="s">
        <v>66</v>
      </c>
      <c r="K30" s="61" t="s">
        <v>66</v>
      </c>
      <c r="L30" s="61" t="s">
        <v>66</v>
      </c>
      <c r="M30" s="61" t="s">
        <v>66</v>
      </c>
      <c r="N30" s="61" t="s">
        <v>66</v>
      </c>
      <c r="O30" s="61" t="s">
        <v>66</v>
      </c>
      <c r="P30" s="61" t="s">
        <v>66</v>
      </c>
      <c r="Q30" s="61" t="s">
        <v>66</v>
      </c>
      <c r="R30" s="61" t="s">
        <v>66</v>
      </c>
      <c r="S30" s="61" t="s">
        <v>66</v>
      </c>
      <c r="T30" s="61" t="s">
        <v>66</v>
      </c>
      <c r="U30" s="61" t="s">
        <v>66</v>
      </c>
      <c r="V30" s="61" t="s">
        <v>66</v>
      </c>
      <c r="W30" s="61" t="s">
        <v>66</v>
      </c>
      <c r="X30" s="61" t="s">
        <v>66</v>
      </c>
      <c r="Y30" s="61" t="s">
        <v>66</v>
      </c>
      <c r="Z30" s="61" t="s">
        <v>66</v>
      </c>
      <c r="AA30" s="61" t="s">
        <v>66</v>
      </c>
      <c r="AB30" s="61" t="s">
        <v>66</v>
      </c>
      <c r="AC30" s="61" t="s">
        <v>66</v>
      </c>
      <c r="AD30" s="61" t="s">
        <v>66</v>
      </c>
      <c r="AE30" s="61" t="s">
        <v>197</v>
      </c>
      <c r="AF30" s="61" t="s">
        <v>197</v>
      </c>
      <c r="AG30" s="61" t="s">
        <v>197</v>
      </c>
      <c r="AH30" s="61" t="s">
        <v>197</v>
      </c>
      <c r="AI30" s="61" t="s">
        <v>197</v>
      </c>
      <c r="AJ30" s="26"/>
      <c r="AL30" t="str">
        <f t="shared" ca="1" si="0"/>
        <v xml:space="preserve">    (U1)ALERT_REQ_D_ATFWRN_PD_</v>
      </c>
      <c r="AR30" s="63" t="str">
        <f t="shared" si="3"/>
        <v/>
      </c>
      <c r="AS30" s="63" t="str">
        <f t="shared" si="4"/>
        <v/>
      </c>
      <c r="AT30" s="63" t="str">
        <f t="shared" si="1"/>
        <v/>
      </c>
    </row>
    <row r="31" spans="2:49">
      <c r="B31" s="138"/>
      <c r="C31" s="47">
        <f t="shared" si="2"/>
        <v>25</v>
      </c>
      <c r="D31" s="61" t="s">
        <v>66</v>
      </c>
      <c r="E31" s="61" t="s">
        <v>66</v>
      </c>
      <c r="F31" s="61" t="s">
        <v>66</v>
      </c>
      <c r="G31" s="61" t="s">
        <v>66</v>
      </c>
      <c r="H31" s="61" t="s">
        <v>66</v>
      </c>
      <c r="I31" s="61" t="s">
        <v>66</v>
      </c>
      <c r="J31" s="61" t="s">
        <v>66</v>
      </c>
      <c r="K31" s="61" t="s">
        <v>66</v>
      </c>
      <c r="L31" s="61" t="s">
        <v>66</v>
      </c>
      <c r="M31" s="61" t="s">
        <v>66</v>
      </c>
      <c r="N31" s="61" t="s">
        <v>66</v>
      </c>
      <c r="O31" s="61" t="s">
        <v>66</v>
      </c>
      <c r="P31" s="61" t="s">
        <v>66</v>
      </c>
      <c r="Q31" s="61" t="s">
        <v>66</v>
      </c>
      <c r="R31" s="61" t="s">
        <v>66</v>
      </c>
      <c r="S31" s="61" t="s">
        <v>66</v>
      </c>
      <c r="T31" s="61" t="s">
        <v>66</v>
      </c>
      <c r="U31" s="61" t="s">
        <v>66</v>
      </c>
      <c r="V31" s="61" t="s">
        <v>66</v>
      </c>
      <c r="W31" s="61" t="s">
        <v>66</v>
      </c>
      <c r="X31" s="61" t="s">
        <v>66</v>
      </c>
      <c r="Y31" s="61" t="s">
        <v>66</v>
      </c>
      <c r="Z31" s="61" t="s">
        <v>66</v>
      </c>
      <c r="AA31" s="61" t="s">
        <v>66</v>
      </c>
      <c r="AB31" s="61" t="s">
        <v>66</v>
      </c>
      <c r="AC31" s="61" t="s">
        <v>66</v>
      </c>
      <c r="AD31" s="61" t="s">
        <v>66</v>
      </c>
      <c r="AE31" s="61" t="s">
        <v>197</v>
      </c>
      <c r="AF31" s="61" t="s">
        <v>197</v>
      </c>
      <c r="AG31" s="61" t="s">
        <v>197</v>
      </c>
      <c r="AH31" s="61" t="s">
        <v>197</v>
      </c>
      <c r="AI31" s="61" t="s">
        <v>197</v>
      </c>
      <c r="AJ31" s="26"/>
      <c r="AL31" t="str">
        <f t="shared" ca="1" si="0"/>
        <v xml:space="preserve">    (U1)ALERT_REQ_D_ATFWRN_PD_</v>
      </c>
      <c r="AR31" s="63" t="str">
        <f t="shared" si="3"/>
        <v/>
      </c>
      <c r="AS31" s="63" t="str">
        <f t="shared" si="4"/>
        <v/>
      </c>
      <c r="AT31" s="63" t="str">
        <f t="shared" si="1"/>
        <v/>
      </c>
    </row>
    <row r="32" spans="2:49">
      <c r="B32" s="138"/>
      <c r="C32" s="47">
        <f t="shared" si="2"/>
        <v>26</v>
      </c>
      <c r="D32" s="61" t="s">
        <v>66</v>
      </c>
      <c r="E32" s="61" t="s">
        <v>66</v>
      </c>
      <c r="F32" s="61" t="s">
        <v>66</v>
      </c>
      <c r="G32" s="61" t="s">
        <v>66</v>
      </c>
      <c r="H32" s="61" t="s">
        <v>66</v>
      </c>
      <c r="I32" s="61" t="s">
        <v>66</v>
      </c>
      <c r="J32" s="61" t="s">
        <v>66</v>
      </c>
      <c r="K32" s="61" t="s">
        <v>66</v>
      </c>
      <c r="L32" s="61" t="s">
        <v>66</v>
      </c>
      <c r="M32" s="61" t="s">
        <v>66</v>
      </c>
      <c r="N32" s="61" t="s">
        <v>66</v>
      </c>
      <c r="O32" s="61" t="s">
        <v>66</v>
      </c>
      <c r="P32" s="61" t="s">
        <v>66</v>
      </c>
      <c r="Q32" s="61" t="s">
        <v>66</v>
      </c>
      <c r="R32" s="61" t="s">
        <v>66</v>
      </c>
      <c r="S32" s="61" t="s">
        <v>66</v>
      </c>
      <c r="T32" s="61" t="s">
        <v>66</v>
      </c>
      <c r="U32" s="61" t="s">
        <v>66</v>
      </c>
      <c r="V32" s="61" t="s">
        <v>66</v>
      </c>
      <c r="W32" s="61" t="s">
        <v>66</v>
      </c>
      <c r="X32" s="61" t="s">
        <v>66</v>
      </c>
      <c r="Y32" s="61" t="s">
        <v>66</v>
      </c>
      <c r="Z32" s="61" t="s">
        <v>66</v>
      </c>
      <c r="AA32" s="61" t="s">
        <v>66</v>
      </c>
      <c r="AB32" s="61" t="s">
        <v>66</v>
      </c>
      <c r="AC32" s="61" t="s">
        <v>66</v>
      </c>
      <c r="AD32" s="61" t="s">
        <v>66</v>
      </c>
      <c r="AE32" s="61" t="s">
        <v>197</v>
      </c>
      <c r="AF32" s="61" t="s">
        <v>197</v>
      </c>
      <c r="AG32" s="61" t="s">
        <v>197</v>
      </c>
      <c r="AH32" s="61" t="s">
        <v>197</v>
      </c>
      <c r="AI32" s="61" t="s">
        <v>197</v>
      </c>
      <c r="AJ32" s="26"/>
      <c r="AL32" t="str">
        <f t="shared" ca="1" si="0"/>
        <v xml:space="preserve">    (U1)ALERT_REQ_D_ATFWRN_PD_</v>
      </c>
      <c r="AR32" s="63" t="str">
        <f t="shared" si="3"/>
        <v/>
      </c>
      <c r="AS32" s="63" t="str">
        <f t="shared" si="4"/>
        <v/>
      </c>
      <c r="AT32" s="63" t="str">
        <f t="shared" si="1"/>
        <v/>
      </c>
    </row>
    <row r="33" spans="2:46">
      <c r="B33" s="138"/>
      <c r="C33" s="47">
        <f t="shared" si="2"/>
        <v>27</v>
      </c>
      <c r="D33" s="61" t="s">
        <v>66</v>
      </c>
      <c r="E33" s="61" t="s">
        <v>66</v>
      </c>
      <c r="F33" s="61" t="s">
        <v>66</v>
      </c>
      <c r="G33" s="61" t="s">
        <v>66</v>
      </c>
      <c r="H33" s="61" t="s">
        <v>66</v>
      </c>
      <c r="I33" s="61" t="s">
        <v>66</v>
      </c>
      <c r="J33" s="61" t="s">
        <v>66</v>
      </c>
      <c r="K33" s="61" t="s">
        <v>66</v>
      </c>
      <c r="L33" s="61" t="s">
        <v>66</v>
      </c>
      <c r="M33" s="61" t="s">
        <v>66</v>
      </c>
      <c r="N33" s="61" t="s">
        <v>66</v>
      </c>
      <c r="O33" s="61" t="s">
        <v>66</v>
      </c>
      <c r="P33" s="61" t="s">
        <v>66</v>
      </c>
      <c r="Q33" s="61" t="s">
        <v>66</v>
      </c>
      <c r="R33" s="61" t="s">
        <v>66</v>
      </c>
      <c r="S33" s="61" t="s">
        <v>66</v>
      </c>
      <c r="T33" s="61" t="s">
        <v>66</v>
      </c>
      <c r="U33" s="61" t="s">
        <v>66</v>
      </c>
      <c r="V33" s="61" t="s">
        <v>66</v>
      </c>
      <c r="W33" s="61" t="s">
        <v>66</v>
      </c>
      <c r="X33" s="61" t="s">
        <v>66</v>
      </c>
      <c r="Y33" s="61" t="s">
        <v>66</v>
      </c>
      <c r="Z33" s="61" t="s">
        <v>66</v>
      </c>
      <c r="AA33" s="61" t="s">
        <v>66</v>
      </c>
      <c r="AB33" s="61" t="s">
        <v>66</v>
      </c>
      <c r="AC33" s="61" t="s">
        <v>66</v>
      </c>
      <c r="AD33" s="61" t="s">
        <v>66</v>
      </c>
      <c r="AE33" s="61" t="s">
        <v>197</v>
      </c>
      <c r="AF33" s="61" t="s">
        <v>197</v>
      </c>
      <c r="AG33" s="61" t="s">
        <v>197</v>
      </c>
      <c r="AH33" s="61" t="s">
        <v>197</v>
      </c>
      <c r="AI33" s="61" t="s">
        <v>197</v>
      </c>
      <c r="AJ33" s="26"/>
      <c r="AL33" t="str">
        <f t="shared" ca="1" si="0"/>
        <v xml:space="preserve">    (U1)ALERT_REQ_D_ATFWRN_PD_</v>
      </c>
      <c r="AR33" s="63" t="str">
        <f t="shared" si="3"/>
        <v/>
      </c>
      <c r="AS33" s="63" t="str">
        <f t="shared" si="4"/>
        <v/>
      </c>
      <c r="AT33" s="63" t="str">
        <f t="shared" si="1"/>
        <v/>
      </c>
    </row>
    <row r="34" spans="2:46">
      <c r="B34" s="138"/>
      <c r="C34" s="47">
        <f t="shared" si="2"/>
        <v>28</v>
      </c>
      <c r="D34" s="61" t="s">
        <v>66</v>
      </c>
      <c r="E34" s="61" t="s">
        <v>66</v>
      </c>
      <c r="F34" s="61" t="s">
        <v>66</v>
      </c>
      <c r="G34" s="61" t="s">
        <v>66</v>
      </c>
      <c r="H34" s="61" t="s">
        <v>66</v>
      </c>
      <c r="I34" s="61" t="s">
        <v>66</v>
      </c>
      <c r="J34" s="61" t="s">
        <v>66</v>
      </c>
      <c r="K34" s="61" t="s">
        <v>66</v>
      </c>
      <c r="L34" s="61" t="s">
        <v>66</v>
      </c>
      <c r="M34" s="61" t="s">
        <v>66</v>
      </c>
      <c r="N34" s="61" t="s">
        <v>66</v>
      </c>
      <c r="O34" s="61" t="s">
        <v>66</v>
      </c>
      <c r="P34" s="61" t="s">
        <v>66</v>
      </c>
      <c r="Q34" s="61" t="s">
        <v>66</v>
      </c>
      <c r="R34" s="61" t="s">
        <v>66</v>
      </c>
      <c r="S34" s="61" t="s">
        <v>66</v>
      </c>
      <c r="T34" s="61" t="s">
        <v>66</v>
      </c>
      <c r="U34" s="61" t="s">
        <v>66</v>
      </c>
      <c r="V34" s="61" t="s">
        <v>66</v>
      </c>
      <c r="W34" s="61" t="s">
        <v>66</v>
      </c>
      <c r="X34" s="61" t="s">
        <v>66</v>
      </c>
      <c r="Y34" s="61" t="s">
        <v>66</v>
      </c>
      <c r="Z34" s="61" t="s">
        <v>66</v>
      </c>
      <c r="AA34" s="61" t="s">
        <v>66</v>
      </c>
      <c r="AB34" s="61" t="s">
        <v>66</v>
      </c>
      <c r="AC34" s="61" t="s">
        <v>66</v>
      </c>
      <c r="AD34" s="61" t="s">
        <v>66</v>
      </c>
      <c r="AE34" s="61" t="s">
        <v>197</v>
      </c>
      <c r="AF34" s="61" t="s">
        <v>197</v>
      </c>
      <c r="AG34" s="61" t="s">
        <v>197</v>
      </c>
      <c r="AH34" s="61" t="s">
        <v>197</v>
      </c>
      <c r="AI34" s="61" t="s">
        <v>197</v>
      </c>
      <c r="AJ34" s="26"/>
      <c r="AL34" t="str">
        <f t="shared" ca="1" si="0"/>
        <v xml:space="preserve">    (U1)ALERT_REQ_D_ATFWRN_PD_</v>
      </c>
      <c r="AR34" s="63" t="str">
        <f t="shared" si="3"/>
        <v/>
      </c>
      <c r="AS34" s="63" t="str">
        <f t="shared" si="4"/>
        <v/>
      </c>
      <c r="AT34" s="63" t="str">
        <f t="shared" si="1"/>
        <v/>
      </c>
    </row>
    <row r="35" spans="2:46">
      <c r="B35" s="138"/>
      <c r="C35" s="47">
        <f t="shared" si="2"/>
        <v>29</v>
      </c>
      <c r="D35" s="61" t="s">
        <v>66</v>
      </c>
      <c r="E35" s="61" t="s">
        <v>66</v>
      </c>
      <c r="F35" s="61" t="s">
        <v>66</v>
      </c>
      <c r="G35" s="61" t="s">
        <v>66</v>
      </c>
      <c r="H35" s="61" t="s">
        <v>66</v>
      </c>
      <c r="I35" s="61" t="s">
        <v>66</v>
      </c>
      <c r="J35" s="61" t="s">
        <v>66</v>
      </c>
      <c r="K35" s="61" t="s">
        <v>66</v>
      </c>
      <c r="L35" s="61" t="s">
        <v>66</v>
      </c>
      <c r="M35" s="61" t="s">
        <v>66</v>
      </c>
      <c r="N35" s="61" t="s">
        <v>66</v>
      </c>
      <c r="O35" s="61" t="s">
        <v>66</v>
      </c>
      <c r="P35" s="61" t="s">
        <v>66</v>
      </c>
      <c r="Q35" s="61" t="s">
        <v>66</v>
      </c>
      <c r="R35" s="61" t="s">
        <v>66</v>
      </c>
      <c r="S35" s="61" t="s">
        <v>66</v>
      </c>
      <c r="T35" s="61" t="s">
        <v>66</v>
      </c>
      <c r="U35" s="61" t="s">
        <v>66</v>
      </c>
      <c r="V35" s="61" t="s">
        <v>66</v>
      </c>
      <c r="W35" s="61" t="s">
        <v>66</v>
      </c>
      <c r="X35" s="61" t="s">
        <v>66</v>
      </c>
      <c r="Y35" s="61" t="s">
        <v>66</v>
      </c>
      <c r="Z35" s="61" t="s">
        <v>66</v>
      </c>
      <c r="AA35" s="61" t="s">
        <v>66</v>
      </c>
      <c r="AB35" s="61" t="s">
        <v>66</v>
      </c>
      <c r="AC35" s="61" t="s">
        <v>66</v>
      </c>
      <c r="AD35" s="61" t="s">
        <v>66</v>
      </c>
      <c r="AE35" s="61" t="s">
        <v>197</v>
      </c>
      <c r="AF35" s="61" t="s">
        <v>197</v>
      </c>
      <c r="AG35" s="61" t="s">
        <v>197</v>
      </c>
      <c r="AH35" s="61" t="s">
        <v>197</v>
      </c>
      <c r="AI35" s="61" t="s">
        <v>197</v>
      </c>
      <c r="AJ35" s="26"/>
      <c r="AL35" t="str">
        <f t="shared" ca="1" si="0"/>
        <v xml:space="preserve">    (U1)ALERT_REQ_D_ATFWRN_PD_</v>
      </c>
      <c r="AR35" s="63" t="str">
        <f t="shared" si="3"/>
        <v/>
      </c>
      <c r="AS35" s="63" t="str">
        <f t="shared" si="4"/>
        <v/>
      </c>
      <c r="AT35" s="63" t="str">
        <f t="shared" si="1"/>
        <v/>
      </c>
    </row>
    <row r="36" spans="2:46">
      <c r="B36" s="138"/>
      <c r="C36" s="47">
        <f t="shared" si="2"/>
        <v>30</v>
      </c>
      <c r="D36" s="61" t="s">
        <v>66</v>
      </c>
      <c r="E36" s="61" t="s">
        <v>66</v>
      </c>
      <c r="F36" s="61" t="s">
        <v>66</v>
      </c>
      <c r="G36" s="61" t="s">
        <v>66</v>
      </c>
      <c r="H36" s="61" t="s">
        <v>66</v>
      </c>
      <c r="I36" s="61" t="s">
        <v>66</v>
      </c>
      <c r="J36" s="61" t="s">
        <v>66</v>
      </c>
      <c r="K36" s="61" t="s">
        <v>66</v>
      </c>
      <c r="L36" s="61" t="s">
        <v>66</v>
      </c>
      <c r="M36" s="61" t="s">
        <v>66</v>
      </c>
      <c r="N36" s="61" t="s">
        <v>66</v>
      </c>
      <c r="O36" s="61" t="s">
        <v>66</v>
      </c>
      <c r="P36" s="61" t="s">
        <v>66</v>
      </c>
      <c r="Q36" s="61" t="s">
        <v>66</v>
      </c>
      <c r="R36" s="61" t="s">
        <v>66</v>
      </c>
      <c r="S36" s="61" t="s">
        <v>66</v>
      </c>
      <c r="T36" s="61" t="s">
        <v>66</v>
      </c>
      <c r="U36" s="61" t="s">
        <v>66</v>
      </c>
      <c r="V36" s="61" t="s">
        <v>66</v>
      </c>
      <c r="W36" s="61" t="s">
        <v>66</v>
      </c>
      <c r="X36" s="61" t="s">
        <v>66</v>
      </c>
      <c r="Y36" s="61" t="s">
        <v>66</v>
      </c>
      <c r="Z36" s="61" t="s">
        <v>66</v>
      </c>
      <c r="AA36" s="61" t="s">
        <v>66</v>
      </c>
      <c r="AB36" s="61" t="s">
        <v>66</v>
      </c>
      <c r="AC36" s="61" t="s">
        <v>66</v>
      </c>
      <c r="AD36" s="61" t="s">
        <v>66</v>
      </c>
      <c r="AE36" s="61" t="s">
        <v>197</v>
      </c>
      <c r="AF36" s="61" t="s">
        <v>197</v>
      </c>
      <c r="AG36" s="61" t="s">
        <v>197</v>
      </c>
      <c r="AH36" s="61" t="s">
        <v>197</v>
      </c>
      <c r="AI36" s="61" t="s">
        <v>197</v>
      </c>
      <c r="AJ36" s="26"/>
      <c r="AL36" t="str">
        <f t="shared" ca="1" si="0"/>
        <v xml:space="preserve">    (U1)ALERT_REQ_D_ATFWRN_PD_</v>
      </c>
      <c r="AR36" s="63" t="str">
        <f t="shared" si="3"/>
        <v/>
      </c>
      <c r="AS36" s="63" t="str">
        <f t="shared" si="4"/>
        <v/>
      </c>
      <c r="AT36" s="63" t="str">
        <f t="shared" si="1"/>
        <v/>
      </c>
    </row>
    <row r="37" spans="2:46">
      <c r="B37" s="138"/>
      <c r="C37" s="47">
        <f t="shared" si="2"/>
        <v>31</v>
      </c>
      <c r="D37" s="61" t="s">
        <v>66</v>
      </c>
      <c r="E37" s="61" t="s">
        <v>66</v>
      </c>
      <c r="F37" s="61" t="s">
        <v>66</v>
      </c>
      <c r="G37" s="61" t="s">
        <v>66</v>
      </c>
      <c r="H37" s="61" t="s">
        <v>66</v>
      </c>
      <c r="I37" s="61" t="s">
        <v>66</v>
      </c>
      <c r="J37" s="61" t="s">
        <v>66</v>
      </c>
      <c r="K37" s="61" t="s">
        <v>66</v>
      </c>
      <c r="L37" s="61" t="s">
        <v>66</v>
      </c>
      <c r="M37" s="61" t="s">
        <v>66</v>
      </c>
      <c r="N37" s="61" t="s">
        <v>66</v>
      </c>
      <c r="O37" s="61" t="s">
        <v>66</v>
      </c>
      <c r="P37" s="61" t="s">
        <v>66</v>
      </c>
      <c r="Q37" s="61" t="s">
        <v>66</v>
      </c>
      <c r="R37" s="61" t="s">
        <v>66</v>
      </c>
      <c r="S37" s="61" t="s">
        <v>66</v>
      </c>
      <c r="T37" s="61" t="s">
        <v>66</v>
      </c>
      <c r="U37" s="61" t="s">
        <v>66</v>
      </c>
      <c r="V37" s="61" t="s">
        <v>66</v>
      </c>
      <c r="W37" s="61" t="s">
        <v>66</v>
      </c>
      <c r="X37" s="61" t="s">
        <v>66</v>
      </c>
      <c r="Y37" s="61" t="s">
        <v>66</v>
      </c>
      <c r="Z37" s="61" t="s">
        <v>66</v>
      </c>
      <c r="AA37" s="61" t="s">
        <v>66</v>
      </c>
      <c r="AB37" s="61" t="s">
        <v>66</v>
      </c>
      <c r="AC37" s="61" t="s">
        <v>66</v>
      </c>
      <c r="AD37" s="61" t="s">
        <v>66</v>
      </c>
      <c r="AE37" s="61" t="s">
        <v>197</v>
      </c>
      <c r="AF37" s="61" t="s">
        <v>197</v>
      </c>
      <c r="AG37" s="61" t="s">
        <v>197</v>
      </c>
      <c r="AH37" s="61" t="s">
        <v>197</v>
      </c>
      <c r="AI37" s="61" t="s">
        <v>197</v>
      </c>
      <c r="AJ37" s="26"/>
      <c r="AL37" t="str">
        <f t="shared" ca="1" si="0"/>
        <v xml:space="preserve">    (U1)ALERT_REQ_D_ATFWRN_PD_</v>
      </c>
      <c r="AR37" s="63" t="str">
        <f t="shared" si="3"/>
        <v/>
      </c>
      <c r="AS37" s="63" t="str">
        <f t="shared" si="4"/>
        <v/>
      </c>
      <c r="AT37" s="63" t="str">
        <f t="shared" si="1"/>
        <v/>
      </c>
    </row>
    <row r="38" spans="2:46">
      <c r="B38" s="138"/>
      <c r="C38" s="47">
        <f t="shared" si="2"/>
        <v>32</v>
      </c>
      <c r="D38" s="61" t="s">
        <v>66</v>
      </c>
      <c r="E38" s="61" t="s">
        <v>66</v>
      </c>
      <c r="F38" s="61" t="s">
        <v>66</v>
      </c>
      <c r="G38" s="61" t="s">
        <v>66</v>
      </c>
      <c r="H38" s="61" t="s">
        <v>66</v>
      </c>
      <c r="I38" s="61" t="s">
        <v>66</v>
      </c>
      <c r="J38" s="61" t="s">
        <v>66</v>
      </c>
      <c r="K38" s="61" t="s">
        <v>66</v>
      </c>
      <c r="L38" s="61" t="s">
        <v>66</v>
      </c>
      <c r="M38" s="61" t="s">
        <v>66</v>
      </c>
      <c r="N38" s="61" t="s">
        <v>66</v>
      </c>
      <c r="O38" s="61" t="s">
        <v>66</v>
      </c>
      <c r="P38" s="61" t="s">
        <v>66</v>
      </c>
      <c r="Q38" s="61" t="s">
        <v>66</v>
      </c>
      <c r="R38" s="61" t="s">
        <v>66</v>
      </c>
      <c r="S38" s="61" t="s">
        <v>66</v>
      </c>
      <c r="T38" s="61" t="s">
        <v>66</v>
      </c>
      <c r="U38" s="61" t="s">
        <v>66</v>
      </c>
      <c r="V38" s="61" t="s">
        <v>66</v>
      </c>
      <c r="W38" s="61" t="s">
        <v>66</v>
      </c>
      <c r="X38" s="61" t="s">
        <v>66</v>
      </c>
      <c r="Y38" s="61" t="s">
        <v>66</v>
      </c>
      <c r="Z38" s="61" t="s">
        <v>66</v>
      </c>
      <c r="AA38" s="61" t="s">
        <v>66</v>
      </c>
      <c r="AB38" s="61" t="s">
        <v>66</v>
      </c>
      <c r="AC38" s="61" t="s">
        <v>66</v>
      </c>
      <c r="AD38" s="61" t="s">
        <v>66</v>
      </c>
      <c r="AE38" s="61" t="s">
        <v>66</v>
      </c>
      <c r="AF38" s="61" t="s">
        <v>66</v>
      </c>
      <c r="AG38" s="61" t="s">
        <v>66</v>
      </c>
      <c r="AH38" s="61" t="s">
        <v>66</v>
      </c>
      <c r="AI38" s="61" t="s">
        <v>66</v>
      </c>
      <c r="AJ38" s="26"/>
      <c r="AL38" t="str">
        <f t="shared" ca="1" si="0"/>
        <v xml:space="preserve">    (U1)ALERT_REQ_D_ATFWRN_PD_</v>
      </c>
      <c r="AR38" s="63" t="str">
        <f t="shared" si="3"/>
        <v/>
      </c>
      <c r="AS38" s="63" t="str">
        <f t="shared" si="4"/>
        <v/>
      </c>
      <c r="AT38" s="63" t="str">
        <f t="shared" si="1"/>
        <v/>
      </c>
    </row>
    <row r="39" spans="2:46">
      <c r="B39" s="138"/>
      <c r="C39" s="47">
        <f t="shared" si="2"/>
        <v>33</v>
      </c>
      <c r="D39" s="61" t="s">
        <v>66</v>
      </c>
      <c r="E39" s="61" t="s">
        <v>66</v>
      </c>
      <c r="F39" s="61" t="s">
        <v>66</v>
      </c>
      <c r="G39" s="61" t="s">
        <v>66</v>
      </c>
      <c r="H39" s="61" t="s">
        <v>66</v>
      </c>
      <c r="I39" s="61" t="s">
        <v>66</v>
      </c>
      <c r="J39" s="61" t="s">
        <v>66</v>
      </c>
      <c r="K39" s="61" t="s">
        <v>66</v>
      </c>
      <c r="L39" s="61" t="s">
        <v>66</v>
      </c>
      <c r="M39" s="61" t="s">
        <v>66</v>
      </c>
      <c r="N39" s="61" t="s">
        <v>66</v>
      </c>
      <c r="O39" s="61" t="s">
        <v>66</v>
      </c>
      <c r="P39" s="61" t="s">
        <v>66</v>
      </c>
      <c r="Q39" s="61" t="s">
        <v>66</v>
      </c>
      <c r="R39" s="61" t="s">
        <v>66</v>
      </c>
      <c r="S39" s="61" t="s">
        <v>66</v>
      </c>
      <c r="T39" s="61" t="s">
        <v>66</v>
      </c>
      <c r="U39" s="61" t="s">
        <v>66</v>
      </c>
      <c r="V39" s="61" t="s">
        <v>66</v>
      </c>
      <c r="W39" s="61" t="s">
        <v>66</v>
      </c>
      <c r="X39" s="61" t="s">
        <v>66</v>
      </c>
      <c r="Y39" s="61" t="s">
        <v>66</v>
      </c>
      <c r="Z39" s="61" t="s">
        <v>66</v>
      </c>
      <c r="AA39" s="61" t="s">
        <v>66</v>
      </c>
      <c r="AB39" s="61" t="s">
        <v>66</v>
      </c>
      <c r="AC39" s="61" t="s">
        <v>66</v>
      </c>
      <c r="AD39" s="61" t="s">
        <v>66</v>
      </c>
      <c r="AE39" s="61" t="s">
        <v>66</v>
      </c>
      <c r="AF39" s="61" t="s">
        <v>66</v>
      </c>
      <c r="AG39" s="61" t="s">
        <v>66</v>
      </c>
      <c r="AH39" s="61" t="s">
        <v>66</v>
      </c>
      <c r="AI39" s="61" t="s">
        <v>66</v>
      </c>
      <c r="AJ39" s="26"/>
      <c r="AL39" t="str">
        <f t="shared" ca="1" si="0"/>
        <v xml:space="preserve">    (U1)ALERT_REQ_D_ATFWRN_PD_</v>
      </c>
      <c r="AR39" s="63" t="str">
        <f t="shared" si="3"/>
        <v/>
      </c>
      <c r="AS39" s="63" t="str">
        <f t="shared" si="4"/>
        <v/>
      </c>
      <c r="AT39" s="63" t="str">
        <f t="shared" si="1"/>
        <v/>
      </c>
    </row>
    <row r="40" spans="2:46">
      <c r="B40" s="138"/>
      <c r="C40" s="47">
        <f t="shared" si="2"/>
        <v>34</v>
      </c>
      <c r="D40" s="61" t="s">
        <v>66</v>
      </c>
      <c r="E40" s="61" t="s">
        <v>66</v>
      </c>
      <c r="F40" s="61" t="s">
        <v>66</v>
      </c>
      <c r="G40" s="61" t="s">
        <v>66</v>
      </c>
      <c r="H40" s="61" t="s">
        <v>66</v>
      </c>
      <c r="I40" s="61" t="s">
        <v>66</v>
      </c>
      <c r="J40" s="61" t="s">
        <v>66</v>
      </c>
      <c r="K40" s="61" t="s">
        <v>66</v>
      </c>
      <c r="L40" s="61" t="s">
        <v>66</v>
      </c>
      <c r="M40" s="61" t="s">
        <v>66</v>
      </c>
      <c r="N40" s="61" t="s">
        <v>66</v>
      </c>
      <c r="O40" s="61" t="s">
        <v>66</v>
      </c>
      <c r="P40" s="61" t="s">
        <v>66</v>
      </c>
      <c r="Q40" s="61" t="s">
        <v>66</v>
      </c>
      <c r="R40" s="61" t="s">
        <v>66</v>
      </c>
      <c r="S40" s="61" t="s">
        <v>66</v>
      </c>
      <c r="T40" s="61" t="s">
        <v>66</v>
      </c>
      <c r="U40" s="61" t="s">
        <v>66</v>
      </c>
      <c r="V40" s="61" t="s">
        <v>66</v>
      </c>
      <c r="W40" s="61" t="s">
        <v>66</v>
      </c>
      <c r="X40" s="61" t="s">
        <v>66</v>
      </c>
      <c r="Y40" s="61" t="s">
        <v>66</v>
      </c>
      <c r="Z40" s="61" t="s">
        <v>66</v>
      </c>
      <c r="AA40" s="61" t="s">
        <v>66</v>
      </c>
      <c r="AB40" s="61" t="s">
        <v>66</v>
      </c>
      <c r="AC40" s="61" t="s">
        <v>66</v>
      </c>
      <c r="AD40" s="61" t="s">
        <v>66</v>
      </c>
      <c r="AE40" s="61" t="s">
        <v>66</v>
      </c>
      <c r="AF40" s="61" t="s">
        <v>66</v>
      </c>
      <c r="AG40" s="61" t="s">
        <v>66</v>
      </c>
      <c r="AH40" s="61" t="s">
        <v>66</v>
      </c>
      <c r="AI40" s="61" t="s">
        <v>66</v>
      </c>
      <c r="AJ40" s="26"/>
      <c r="AL40" t="str">
        <f t="shared" ca="1" si="0"/>
        <v xml:space="preserve">    (U1)ALERT_REQ_D_ATFWRN_PD_</v>
      </c>
      <c r="AR40" s="63" t="str">
        <f t="shared" si="3"/>
        <v/>
      </c>
      <c r="AS40" s="63" t="str">
        <f t="shared" si="4"/>
        <v/>
      </c>
      <c r="AT40" s="63" t="str">
        <f t="shared" si="1"/>
        <v/>
      </c>
    </row>
    <row r="41" spans="2:46">
      <c r="B41" s="138"/>
      <c r="C41" s="47">
        <f t="shared" si="2"/>
        <v>35</v>
      </c>
      <c r="D41" s="61" t="s">
        <v>66</v>
      </c>
      <c r="E41" s="61" t="s">
        <v>66</v>
      </c>
      <c r="F41" s="61" t="s">
        <v>66</v>
      </c>
      <c r="G41" s="61" t="s">
        <v>66</v>
      </c>
      <c r="H41" s="61" t="s">
        <v>66</v>
      </c>
      <c r="I41" s="61" t="s">
        <v>66</v>
      </c>
      <c r="J41" s="61" t="s">
        <v>66</v>
      </c>
      <c r="K41" s="61" t="s">
        <v>66</v>
      </c>
      <c r="L41" s="61" t="s">
        <v>66</v>
      </c>
      <c r="M41" s="61" t="s">
        <v>66</v>
      </c>
      <c r="N41" s="61" t="s">
        <v>66</v>
      </c>
      <c r="O41" s="61" t="s">
        <v>66</v>
      </c>
      <c r="P41" s="61" t="s">
        <v>66</v>
      </c>
      <c r="Q41" s="61" t="s">
        <v>66</v>
      </c>
      <c r="R41" s="61" t="s">
        <v>66</v>
      </c>
      <c r="S41" s="61" t="s">
        <v>66</v>
      </c>
      <c r="T41" s="61" t="s">
        <v>66</v>
      </c>
      <c r="U41" s="61" t="s">
        <v>66</v>
      </c>
      <c r="V41" s="61" t="s">
        <v>66</v>
      </c>
      <c r="W41" s="61" t="s">
        <v>66</v>
      </c>
      <c r="X41" s="61" t="s">
        <v>66</v>
      </c>
      <c r="Y41" s="61" t="s">
        <v>66</v>
      </c>
      <c r="Z41" s="61" t="s">
        <v>66</v>
      </c>
      <c r="AA41" s="61" t="s">
        <v>66</v>
      </c>
      <c r="AB41" s="61" t="s">
        <v>66</v>
      </c>
      <c r="AC41" s="61" t="s">
        <v>66</v>
      </c>
      <c r="AD41" s="61" t="s">
        <v>66</v>
      </c>
      <c r="AE41" s="61" t="s">
        <v>66</v>
      </c>
      <c r="AF41" s="61" t="s">
        <v>66</v>
      </c>
      <c r="AG41" s="61" t="s">
        <v>66</v>
      </c>
      <c r="AH41" s="61" t="s">
        <v>66</v>
      </c>
      <c r="AI41" s="61" t="s">
        <v>66</v>
      </c>
      <c r="AJ41" s="26"/>
      <c r="AL41" t="str">
        <f t="shared" ca="1" si="0"/>
        <v xml:space="preserve">    (U1)ALERT_REQ_D_ATFWRN_PD_</v>
      </c>
      <c r="AR41" s="63" t="str">
        <f t="shared" si="3"/>
        <v/>
      </c>
      <c r="AS41" s="63" t="str">
        <f t="shared" si="4"/>
        <v/>
      </c>
      <c r="AT41" s="63" t="str">
        <f t="shared" si="1"/>
        <v/>
      </c>
    </row>
    <row r="42" spans="2:46">
      <c r="B42" s="138"/>
      <c r="C42" s="47">
        <f t="shared" si="2"/>
        <v>36</v>
      </c>
      <c r="D42" s="61" t="s">
        <v>66</v>
      </c>
      <c r="E42" s="61" t="s">
        <v>66</v>
      </c>
      <c r="F42" s="61" t="s">
        <v>66</v>
      </c>
      <c r="G42" s="61" t="s">
        <v>66</v>
      </c>
      <c r="H42" s="61" t="s">
        <v>66</v>
      </c>
      <c r="I42" s="61" t="s">
        <v>66</v>
      </c>
      <c r="J42" s="61" t="s">
        <v>66</v>
      </c>
      <c r="K42" s="61" t="s">
        <v>66</v>
      </c>
      <c r="L42" s="61" t="s">
        <v>66</v>
      </c>
      <c r="M42" s="61" t="s">
        <v>66</v>
      </c>
      <c r="N42" s="61" t="s">
        <v>66</v>
      </c>
      <c r="O42" s="61" t="s">
        <v>66</v>
      </c>
      <c r="P42" s="61" t="s">
        <v>66</v>
      </c>
      <c r="Q42" s="61" t="s">
        <v>66</v>
      </c>
      <c r="R42" s="61" t="s">
        <v>66</v>
      </c>
      <c r="S42" s="61" t="s">
        <v>66</v>
      </c>
      <c r="T42" s="61" t="s">
        <v>66</v>
      </c>
      <c r="U42" s="61" t="s">
        <v>66</v>
      </c>
      <c r="V42" s="61" t="s">
        <v>66</v>
      </c>
      <c r="W42" s="61" t="s">
        <v>66</v>
      </c>
      <c r="X42" s="61" t="s">
        <v>66</v>
      </c>
      <c r="Y42" s="61" t="s">
        <v>66</v>
      </c>
      <c r="Z42" s="61" t="s">
        <v>66</v>
      </c>
      <c r="AA42" s="61" t="s">
        <v>66</v>
      </c>
      <c r="AB42" s="61" t="s">
        <v>66</v>
      </c>
      <c r="AC42" s="61" t="s">
        <v>66</v>
      </c>
      <c r="AD42" s="61" t="s">
        <v>66</v>
      </c>
      <c r="AE42" s="61" t="s">
        <v>66</v>
      </c>
      <c r="AF42" s="61" t="s">
        <v>66</v>
      </c>
      <c r="AG42" s="61" t="s">
        <v>66</v>
      </c>
      <c r="AH42" s="61" t="s">
        <v>66</v>
      </c>
      <c r="AI42" s="61" t="s">
        <v>66</v>
      </c>
      <c r="AJ42" s="26"/>
      <c r="AL42" t="str">
        <f t="shared" ca="1" si="0"/>
        <v xml:space="preserve">    (U1)ALERT_REQ_D_ATFWRN_PD_</v>
      </c>
      <c r="AR42" s="63" t="str">
        <f t="shared" si="3"/>
        <v/>
      </c>
      <c r="AS42" s="63" t="str">
        <f t="shared" si="4"/>
        <v/>
      </c>
      <c r="AT42" s="63" t="str">
        <f t="shared" si="1"/>
        <v/>
      </c>
    </row>
    <row r="43" spans="2:46">
      <c r="B43" s="138"/>
      <c r="C43" s="47">
        <f t="shared" si="2"/>
        <v>37</v>
      </c>
      <c r="D43" s="61" t="s">
        <v>66</v>
      </c>
      <c r="E43" s="61" t="s">
        <v>66</v>
      </c>
      <c r="F43" s="61" t="s">
        <v>66</v>
      </c>
      <c r="G43" s="61" t="s">
        <v>66</v>
      </c>
      <c r="H43" s="61" t="s">
        <v>66</v>
      </c>
      <c r="I43" s="61" t="s">
        <v>66</v>
      </c>
      <c r="J43" s="61" t="s">
        <v>66</v>
      </c>
      <c r="K43" s="61" t="s">
        <v>66</v>
      </c>
      <c r="L43" s="61" t="s">
        <v>66</v>
      </c>
      <c r="M43" s="61" t="s">
        <v>66</v>
      </c>
      <c r="N43" s="61" t="s">
        <v>66</v>
      </c>
      <c r="O43" s="61" t="s">
        <v>66</v>
      </c>
      <c r="P43" s="61" t="s">
        <v>66</v>
      </c>
      <c r="Q43" s="61" t="s">
        <v>66</v>
      </c>
      <c r="R43" s="61" t="s">
        <v>66</v>
      </c>
      <c r="S43" s="61" t="s">
        <v>66</v>
      </c>
      <c r="T43" s="61" t="s">
        <v>66</v>
      </c>
      <c r="U43" s="61" t="s">
        <v>66</v>
      </c>
      <c r="V43" s="61" t="s">
        <v>66</v>
      </c>
      <c r="W43" s="61" t="s">
        <v>66</v>
      </c>
      <c r="X43" s="61" t="s">
        <v>66</v>
      </c>
      <c r="Y43" s="61" t="s">
        <v>66</v>
      </c>
      <c r="Z43" s="61" t="s">
        <v>66</v>
      </c>
      <c r="AA43" s="61" t="s">
        <v>66</v>
      </c>
      <c r="AB43" s="61" t="s">
        <v>66</v>
      </c>
      <c r="AC43" s="61" t="s">
        <v>66</v>
      </c>
      <c r="AD43" s="61" t="s">
        <v>66</v>
      </c>
      <c r="AE43" s="61" t="s">
        <v>66</v>
      </c>
      <c r="AF43" s="61" t="s">
        <v>66</v>
      </c>
      <c r="AG43" s="61" t="s">
        <v>66</v>
      </c>
      <c r="AH43" s="61" t="s">
        <v>66</v>
      </c>
      <c r="AI43" s="61" t="s">
        <v>66</v>
      </c>
      <c r="AJ43" s="26"/>
      <c r="AL43" t="str">
        <f t="shared" ca="1" si="0"/>
        <v xml:space="preserve">    (U1)ALERT_REQ_D_ATFWRN_PD_</v>
      </c>
      <c r="AR43" s="63" t="str">
        <f t="shared" si="3"/>
        <v/>
      </c>
      <c r="AS43" s="63" t="str">
        <f t="shared" si="4"/>
        <v/>
      </c>
      <c r="AT43" s="63" t="str">
        <f t="shared" si="1"/>
        <v/>
      </c>
    </row>
    <row r="44" spans="2:46">
      <c r="B44" s="138"/>
      <c r="C44" s="47">
        <f t="shared" si="2"/>
        <v>38</v>
      </c>
      <c r="D44" s="61" t="s">
        <v>66</v>
      </c>
      <c r="E44" s="61" t="s">
        <v>66</v>
      </c>
      <c r="F44" s="61" t="s">
        <v>66</v>
      </c>
      <c r="G44" s="61" t="s">
        <v>66</v>
      </c>
      <c r="H44" s="61" t="s">
        <v>66</v>
      </c>
      <c r="I44" s="61" t="s">
        <v>66</v>
      </c>
      <c r="J44" s="61" t="s">
        <v>66</v>
      </c>
      <c r="K44" s="61" t="s">
        <v>66</v>
      </c>
      <c r="L44" s="61" t="s">
        <v>66</v>
      </c>
      <c r="M44" s="61" t="s">
        <v>66</v>
      </c>
      <c r="N44" s="61" t="s">
        <v>66</v>
      </c>
      <c r="O44" s="61" t="s">
        <v>66</v>
      </c>
      <c r="P44" s="61" t="s">
        <v>66</v>
      </c>
      <c r="Q44" s="61" t="s">
        <v>66</v>
      </c>
      <c r="R44" s="61" t="s">
        <v>66</v>
      </c>
      <c r="S44" s="61" t="s">
        <v>66</v>
      </c>
      <c r="T44" s="61" t="s">
        <v>66</v>
      </c>
      <c r="U44" s="61" t="s">
        <v>66</v>
      </c>
      <c r="V44" s="61" t="s">
        <v>66</v>
      </c>
      <c r="W44" s="61" t="s">
        <v>66</v>
      </c>
      <c r="X44" s="61" t="s">
        <v>66</v>
      </c>
      <c r="Y44" s="61" t="s">
        <v>66</v>
      </c>
      <c r="Z44" s="61" t="s">
        <v>66</v>
      </c>
      <c r="AA44" s="61" t="s">
        <v>66</v>
      </c>
      <c r="AB44" s="61" t="s">
        <v>66</v>
      </c>
      <c r="AC44" s="61" t="s">
        <v>66</v>
      </c>
      <c r="AD44" s="61" t="s">
        <v>66</v>
      </c>
      <c r="AE44" s="61" t="s">
        <v>66</v>
      </c>
      <c r="AF44" s="61" t="s">
        <v>66</v>
      </c>
      <c r="AG44" s="61" t="s">
        <v>66</v>
      </c>
      <c r="AH44" s="61" t="s">
        <v>66</v>
      </c>
      <c r="AI44" s="61" t="s">
        <v>66</v>
      </c>
      <c r="AJ44" s="26"/>
      <c r="AL44" t="str">
        <f t="shared" ca="1" si="0"/>
        <v xml:space="preserve">    (U1)ALERT_REQ_D_ATFWRN_PD_</v>
      </c>
      <c r="AR44" s="63" t="str">
        <f t="shared" si="3"/>
        <v/>
      </c>
      <c r="AS44" s="63" t="str">
        <f t="shared" si="4"/>
        <v/>
      </c>
      <c r="AT44" s="63" t="str">
        <f t="shared" si="1"/>
        <v/>
      </c>
    </row>
    <row r="45" spans="2:46">
      <c r="B45" s="138"/>
      <c r="C45" s="47">
        <f t="shared" si="2"/>
        <v>39</v>
      </c>
      <c r="D45" s="61" t="s">
        <v>66</v>
      </c>
      <c r="E45" s="61" t="s">
        <v>66</v>
      </c>
      <c r="F45" s="61" t="s">
        <v>66</v>
      </c>
      <c r="G45" s="61" t="s">
        <v>66</v>
      </c>
      <c r="H45" s="61" t="s">
        <v>66</v>
      </c>
      <c r="I45" s="61" t="s">
        <v>66</v>
      </c>
      <c r="J45" s="61" t="s">
        <v>66</v>
      </c>
      <c r="K45" s="61" t="s">
        <v>66</v>
      </c>
      <c r="L45" s="61" t="s">
        <v>66</v>
      </c>
      <c r="M45" s="61" t="s">
        <v>66</v>
      </c>
      <c r="N45" s="61" t="s">
        <v>66</v>
      </c>
      <c r="O45" s="61" t="s">
        <v>66</v>
      </c>
      <c r="P45" s="61" t="s">
        <v>66</v>
      </c>
      <c r="Q45" s="61" t="s">
        <v>66</v>
      </c>
      <c r="R45" s="61" t="s">
        <v>66</v>
      </c>
      <c r="S45" s="61" t="s">
        <v>66</v>
      </c>
      <c r="T45" s="61" t="s">
        <v>66</v>
      </c>
      <c r="U45" s="61" t="s">
        <v>66</v>
      </c>
      <c r="V45" s="61" t="s">
        <v>66</v>
      </c>
      <c r="W45" s="61" t="s">
        <v>66</v>
      </c>
      <c r="X45" s="61" t="s">
        <v>66</v>
      </c>
      <c r="Y45" s="61" t="s">
        <v>66</v>
      </c>
      <c r="Z45" s="61" t="s">
        <v>66</v>
      </c>
      <c r="AA45" s="61" t="s">
        <v>66</v>
      </c>
      <c r="AB45" s="61" t="s">
        <v>66</v>
      </c>
      <c r="AC45" s="61" t="s">
        <v>66</v>
      </c>
      <c r="AD45" s="61" t="s">
        <v>66</v>
      </c>
      <c r="AE45" s="61" t="s">
        <v>66</v>
      </c>
      <c r="AF45" s="61" t="s">
        <v>66</v>
      </c>
      <c r="AG45" s="61" t="s">
        <v>66</v>
      </c>
      <c r="AH45" s="61" t="s">
        <v>66</v>
      </c>
      <c r="AI45" s="61" t="s">
        <v>66</v>
      </c>
      <c r="AJ45" s="26"/>
      <c r="AL45" t="str">
        <f t="shared" ca="1" si="0"/>
        <v xml:space="preserve">    (U1)ALERT_REQ_D_ATFWRN_PD_</v>
      </c>
      <c r="AR45" s="63" t="str">
        <f t="shared" si="3"/>
        <v/>
      </c>
      <c r="AS45" s="63" t="str">
        <f t="shared" si="4"/>
        <v/>
      </c>
      <c r="AT45" s="63" t="str">
        <f t="shared" si="1"/>
        <v/>
      </c>
    </row>
    <row r="46" spans="2:46">
      <c r="B46" s="138"/>
      <c r="C46" s="47">
        <f t="shared" si="2"/>
        <v>40</v>
      </c>
      <c r="D46" s="61" t="s">
        <v>66</v>
      </c>
      <c r="E46" s="61" t="s">
        <v>66</v>
      </c>
      <c r="F46" s="61" t="s">
        <v>66</v>
      </c>
      <c r="G46" s="61" t="s">
        <v>66</v>
      </c>
      <c r="H46" s="61" t="s">
        <v>66</v>
      </c>
      <c r="I46" s="61" t="s">
        <v>66</v>
      </c>
      <c r="J46" s="61" t="s">
        <v>66</v>
      </c>
      <c r="K46" s="61" t="s">
        <v>66</v>
      </c>
      <c r="L46" s="61" t="s">
        <v>66</v>
      </c>
      <c r="M46" s="61" t="s">
        <v>66</v>
      </c>
      <c r="N46" s="61" t="s">
        <v>66</v>
      </c>
      <c r="O46" s="61" t="s">
        <v>66</v>
      </c>
      <c r="P46" s="61" t="s">
        <v>66</v>
      </c>
      <c r="Q46" s="61" t="s">
        <v>66</v>
      </c>
      <c r="R46" s="61" t="s">
        <v>66</v>
      </c>
      <c r="S46" s="61" t="s">
        <v>66</v>
      </c>
      <c r="T46" s="61" t="s">
        <v>66</v>
      </c>
      <c r="U46" s="61" t="s">
        <v>66</v>
      </c>
      <c r="V46" s="61" t="s">
        <v>66</v>
      </c>
      <c r="W46" s="61" t="s">
        <v>66</v>
      </c>
      <c r="X46" s="61" t="s">
        <v>66</v>
      </c>
      <c r="Y46" s="61" t="s">
        <v>66</v>
      </c>
      <c r="Z46" s="61" t="s">
        <v>66</v>
      </c>
      <c r="AA46" s="61" t="s">
        <v>66</v>
      </c>
      <c r="AB46" s="61" t="s">
        <v>66</v>
      </c>
      <c r="AC46" s="61" t="s">
        <v>66</v>
      </c>
      <c r="AD46" s="61" t="s">
        <v>66</v>
      </c>
      <c r="AE46" s="61" t="s">
        <v>66</v>
      </c>
      <c r="AF46" s="61" t="s">
        <v>66</v>
      </c>
      <c r="AG46" s="61" t="s">
        <v>66</v>
      </c>
      <c r="AH46" s="61" t="s">
        <v>66</v>
      </c>
      <c r="AI46" s="61" t="s">
        <v>66</v>
      </c>
      <c r="AJ46" s="26"/>
      <c r="AL46" t="str">
        <f t="shared" ca="1" si="0"/>
        <v xml:space="preserve">    (U1)ALERT_REQ_D_ATFWRN_PD_</v>
      </c>
      <c r="AR46" s="63" t="str">
        <f t="shared" si="3"/>
        <v/>
      </c>
      <c r="AS46" s="63" t="str">
        <f t="shared" si="4"/>
        <v/>
      </c>
      <c r="AT46" s="63" t="str">
        <f t="shared" si="1"/>
        <v/>
      </c>
    </row>
    <row r="47" spans="2:46">
      <c r="B47" s="138"/>
      <c r="C47" s="47">
        <f t="shared" si="2"/>
        <v>41</v>
      </c>
      <c r="D47" s="61" t="s">
        <v>66</v>
      </c>
      <c r="E47" s="61" t="s">
        <v>66</v>
      </c>
      <c r="F47" s="61" t="s">
        <v>66</v>
      </c>
      <c r="G47" s="61" t="s">
        <v>66</v>
      </c>
      <c r="H47" s="61" t="s">
        <v>66</v>
      </c>
      <c r="I47" s="61" t="s">
        <v>66</v>
      </c>
      <c r="J47" s="61" t="s">
        <v>66</v>
      </c>
      <c r="K47" s="61" t="s">
        <v>66</v>
      </c>
      <c r="L47" s="61" t="s">
        <v>66</v>
      </c>
      <c r="M47" s="61" t="s">
        <v>66</v>
      </c>
      <c r="N47" s="61" t="s">
        <v>66</v>
      </c>
      <c r="O47" s="61" t="s">
        <v>66</v>
      </c>
      <c r="P47" s="61" t="s">
        <v>66</v>
      </c>
      <c r="Q47" s="61" t="s">
        <v>66</v>
      </c>
      <c r="R47" s="61" t="s">
        <v>66</v>
      </c>
      <c r="S47" s="61" t="s">
        <v>66</v>
      </c>
      <c r="T47" s="61" t="s">
        <v>66</v>
      </c>
      <c r="U47" s="61" t="s">
        <v>66</v>
      </c>
      <c r="V47" s="61" t="s">
        <v>66</v>
      </c>
      <c r="W47" s="61" t="s">
        <v>66</v>
      </c>
      <c r="X47" s="61" t="s">
        <v>66</v>
      </c>
      <c r="Y47" s="61" t="s">
        <v>66</v>
      </c>
      <c r="Z47" s="61" t="s">
        <v>66</v>
      </c>
      <c r="AA47" s="61" t="s">
        <v>66</v>
      </c>
      <c r="AB47" s="61" t="s">
        <v>66</v>
      </c>
      <c r="AC47" s="61" t="s">
        <v>66</v>
      </c>
      <c r="AD47" s="61" t="s">
        <v>66</v>
      </c>
      <c r="AE47" s="61" t="s">
        <v>66</v>
      </c>
      <c r="AF47" s="61" t="s">
        <v>66</v>
      </c>
      <c r="AG47" s="61" t="s">
        <v>66</v>
      </c>
      <c r="AH47" s="61" t="s">
        <v>66</v>
      </c>
      <c r="AI47" s="61" t="s">
        <v>66</v>
      </c>
      <c r="AJ47" s="26"/>
      <c r="AL47" t="str">
        <f t="shared" ca="1" si="0"/>
        <v xml:space="preserve">    (U1)ALERT_REQ_D_ATFWRN_PD_</v>
      </c>
      <c r="AR47" s="63" t="str">
        <f t="shared" si="3"/>
        <v/>
      </c>
      <c r="AS47" s="63" t="str">
        <f t="shared" si="4"/>
        <v/>
      </c>
      <c r="AT47" s="63" t="str">
        <f t="shared" si="1"/>
        <v/>
      </c>
    </row>
    <row r="48" spans="2:46">
      <c r="B48" s="138"/>
      <c r="C48" s="47">
        <f t="shared" si="2"/>
        <v>42</v>
      </c>
      <c r="D48" s="61" t="s">
        <v>66</v>
      </c>
      <c r="E48" s="61" t="s">
        <v>66</v>
      </c>
      <c r="F48" s="61" t="s">
        <v>66</v>
      </c>
      <c r="G48" s="61" t="s">
        <v>66</v>
      </c>
      <c r="H48" s="61" t="s">
        <v>66</v>
      </c>
      <c r="I48" s="61" t="s">
        <v>66</v>
      </c>
      <c r="J48" s="61" t="s">
        <v>66</v>
      </c>
      <c r="K48" s="61" t="s">
        <v>66</v>
      </c>
      <c r="L48" s="61" t="s">
        <v>66</v>
      </c>
      <c r="M48" s="61" t="s">
        <v>66</v>
      </c>
      <c r="N48" s="61" t="s">
        <v>66</v>
      </c>
      <c r="O48" s="61" t="s">
        <v>66</v>
      </c>
      <c r="P48" s="61" t="s">
        <v>66</v>
      </c>
      <c r="Q48" s="61" t="s">
        <v>66</v>
      </c>
      <c r="R48" s="61" t="s">
        <v>66</v>
      </c>
      <c r="S48" s="61" t="s">
        <v>66</v>
      </c>
      <c r="T48" s="61" t="s">
        <v>66</v>
      </c>
      <c r="U48" s="61" t="s">
        <v>66</v>
      </c>
      <c r="V48" s="61" t="s">
        <v>66</v>
      </c>
      <c r="W48" s="61" t="s">
        <v>66</v>
      </c>
      <c r="X48" s="61" t="s">
        <v>66</v>
      </c>
      <c r="Y48" s="61" t="s">
        <v>66</v>
      </c>
      <c r="Z48" s="61" t="s">
        <v>66</v>
      </c>
      <c r="AA48" s="61" t="s">
        <v>66</v>
      </c>
      <c r="AB48" s="61" t="s">
        <v>66</v>
      </c>
      <c r="AC48" s="61" t="s">
        <v>66</v>
      </c>
      <c r="AD48" s="61" t="s">
        <v>66</v>
      </c>
      <c r="AE48" s="61" t="s">
        <v>66</v>
      </c>
      <c r="AF48" s="61" t="s">
        <v>66</v>
      </c>
      <c r="AG48" s="61" t="s">
        <v>66</v>
      </c>
      <c r="AH48" s="61" t="s">
        <v>66</v>
      </c>
      <c r="AI48" s="61" t="s">
        <v>66</v>
      </c>
      <c r="AJ48" s="26"/>
      <c r="AL48" t="str">
        <f t="shared" ca="1" si="0"/>
        <v xml:space="preserve">    (U1)ALERT_REQ_D_ATFWRN_PD_</v>
      </c>
      <c r="AR48" s="63" t="str">
        <f t="shared" si="3"/>
        <v/>
      </c>
      <c r="AS48" s="63" t="str">
        <f t="shared" si="4"/>
        <v/>
      </c>
      <c r="AT48" s="63" t="str">
        <f t="shared" si="1"/>
        <v/>
      </c>
    </row>
    <row r="49" spans="2:46">
      <c r="B49" s="138"/>
      <c r="C49" s="47">
        <f t="shared" si="2"/>
        <v>43</v>
      </c>
      <c r="D49" s="61" t="s">
        <v>66</v>
      </c>
      <c r="E49" s="61" t="s">
        <v>66</v>
      </c>
      <c r="F49" s="61" t="s">
        <v>66</v>
      </c>
      <c r="G49" s="61" t="s">
        <v>66</v>
      </c>
      <c r="H49" s="61" t="s">
        <v>66</v>
      </c>
      <c r="I49" s="61" t="s">
        <v>66</v>
      </c>
      <c r="J49" s="61" t="s">
        <v>66</v>
      </c>
      <c r="K49" s="61" t="s">
        <v>66</v>
      </c>
      <c r="L49" s="61" t="s">
        <v>66</v>
      </c>
      <c r="M49" s="61" t="s">
        <v>66</v>
      </c>
      <c r="N49" s="61" t="s">
        <v>66</v>
      </c>
      <c r="O49" s="61" t="s">
        <v>66</v>
      </c>
      <c r="P49" s="61" t="s">
        <v>66</v>
      </c>
      <c r="Q49" s="61" t="s">
        <v>66</v>
      </c>
      <c r="R49" s="61" t="s">
        <v>66</v>
      </c>
      <c r="S49" s="61" t="s">
        <v>66</v>
      </c>
      <c r="T49" s="61" t="s">
        <v>66</v>
      </c>
      <c r="U49" s="61" t="s">
        <v>66</v>
      </c>
      <c r="V49" s="61" t="s">
        <v>66</v>
      </c>
      <c r="W49" s="61" t="s">
        <v>66</v>
      </c>
      <c r="X49" s="61" t="s">
        <v>66</v>
      </c>
      <c r="Y49" s="61" t="s">
        <v>66</v>
      </c>
      <c r="Z49" s="61" t="s">
        <v>66</v>
      </c>
      <c r="AA49" s="61" t="s">
        <v>66</v>
      </c>
      <c r="AB49" s="61" t="s">
        <v>66</v>
      </c>
      <c r="AC49" s="61" t="s">
        <v>66</v>
      </c>
      <c r="AD49" s="61" t="s">
        <v>66</v>
      </c>
      <c r="AE49" s="61" t="s">
        <v>66</v>
      </c>
      <c r="AF49" s="61" t="s">
        <v>66</v>
      </c>
      <c r="AG49" s="61" t="s">
        <v>66</v>
      </c>
      <c r="AH49" s="61" t="s">
        <v>66</v>
      </c>
      <c r="AI49" s="61" t="s">
        <v>66</v>
      </c>
      <c r="AJ49" s="26"/>
      <c r="AL49" t="str">
        <f t="shared" ca="1" si="0"/>
        <v xml:space="preserve">    (U1)ALERT_REQ_D_ATFWRN_PD_</v>
      </c>
      <c r="AR49" s="63" t="str">
        <f t="shared" si="3"/>
        <v/>
      </c>
      <c r="AS49" s="63" t="str">
        <f t="shared" si="4"/>
        <v/>
      </c>
      <c r="AT49" s="63" t="str">
        <f t="shared" si="1"/>
        <v/>
      </c>
    </row>
    <row r="50" spans="2:46">
      <c r="B50" s="138"/>
      <c r="C50" s="47">
        <f t="shared" si="2"/>
        <v>44</v>
      </c>
      <c r="D50" s="61" t="s">
        <v>66</v>
      </c>
      <c r="E50" s="61" t="s">
        <v>66</v>
      </c>
      <c r="F50" s="61" t="s">
        <v>66</v>
      </c>
      <c r="G50" s="61" t="s">
        <v>66</v>
      </c>
      <c r="H50" s="61" t="s">
        <v>66</v>
      </c>
      <c r="I50" s="61" t="s">
        <v>66</v>
      </c>
      <c r="J50" s="61" t="s">
        <v>66</v>
      </c>
      <c r="K50" s="61" t="s">
        <v>66</v>
      </c>
      <c r="L50" s="61" t="s">
        <v>66</v>
      </c>
      <c r="M50" s="61" t="s">
        <v>66</v>
      </c>
      <c r="N50" s="61" t="s">
        <v>66</v>
      </c>
      <c r="O50" s="61" t="s">
        <v>66</v>
      </c>
      <c r="P50" s="61" t="s">
        <v>66</v>
      </c>
      <c r="Q50" s="61" t="s">
        <v>66</v>
      </c>
      <c r="R50" s="61" t="s">
        <v>66</v>
      </c>
      <c r="S50" s="61" t="s">
        <v>66</v>
      </c>
      <c r="T50" s="61" t="s">
        <v>66</v>
      </c>
      <c r="U50" s="61" t="s">
        <v>66</v>
      </c>
      <c r="V50" s="61" t="s">
        <v>66</v>
      </c>
      <c r="W50" s="61" t="s">
        <v>66</v>
      </c>
      <c r="X50" s="61" t="s">
        <v>66</v>
      </c>
      <c r="Y50" s="61" t="s">
        <v>66</v>
      </c>
      <c r="Z50" s="61" t="s">
        <v>66</v>
      </c>
      <c r="AA50" s="61" t="s">
        <v>66</v>
      </c>
      <c r="AB50" s="61" t="s">
        <v>66</v>
      </c>
      <c r="AC50" s="61" t="s">
        <v>66</v>
      </c>
      <c r="AD50" s="61" t="s">
        <v>66</v>
      </c>
      <c r="AE50" s="61" t="s">
        <v>66</v>
      </c>
      <c r="AF50" s="61" t="s">
        <v>66</v>
      </c>
      <c r="AG50" s="61" t="s">
        <v>66</v>
      </c>
      <c r="AH50" s="61" t="s">
        <v>66</v>
      </c>
      <c r="AI50" s="61" t="s">
        <v>66</v>
      </c>
      <c r="AJ50" s="26"/>
      <c r="AL50" t="str">
        <f t="shared" ca="1" si="0"/>
        <v xml:space="preserve">    (U1)ALERT_REQ_D_ATFWRN_PD_</v>
      </c>
      <c r="AR50" s="63" t="str">
        <f t="shared" si="3"/>
        <v/>
      </c>
      <c r="AS50" s="63" t="str">
        <f t="shared" si="4"/>
        <v/>
      </c>
      <c r="AT50" s="63" t="str">
        <f t="shared" si="1"/>
        <v/>
      </c>
    </row>
    <row r="51" spans="2:46">
      <c r="B51" s="138"/>
      <c r="C51" s="47">
        <f t="shared" si="2"/>
        <v>45</v>
      </c>
      <c r="D51" s="61" t="s">
        <v>66</v>
      </c>
      <c r="E51" s="61" t="s">
        <v>66</v>
      </c>
      <c r="F51" s="61" t="s">
        <v>66</v>
      </c>
      <c r="G51" s="61" t="s">
        <v>66</v>
      </c>
      <c r="H51" s="61" t="s">
        <v>66</v>
      </c>
      <c r="I51" s="61" t="s">
        <v>66</v>
      </c>
      <c r="J51" s="61" t="s">
        <v>66</v>
      </c>
      <c r="K51" s="61" t="s">
        <v>66</v>
      </c>
      <c r="L51" s="61" t="s">
        <v>66</v>
      </c>
      <c r="M51" s="61" t="s">
        <v>66</v>
      </c>
      <c r="N51" s="61" t="s">
        <v>66</v>
      </c>
      <c r="O51" s="61" t="s">
        <v>66</v>
      </c>
      <c r="P51" s="61" t="s">
        <v>66</v>
      </c>
      <c r="Q51" s="61" t="s">
        <v>66</v>
      </c>
      <c r="R51" s="61" t="s">
        <v>66</v>
      </c>
      <c r="S51" s="61" t="s">
        <v>66</v>
      </c>
      <c r="T51" s="61" t="s">
        <v>66</v>
      </c>
      <c r="U51" s="61" t="s">
        <v>66</v>
      </c>
      <c r="V51" s="61" t="s">
        <v>66</v>
      </c>
      <c r="W51" s="61" t="s">
        <v>66</v>
      </c>
      <c r="X51" s="61" t="s">
        <v>66</v>
      </c>
      <c r="Y51" s="61" t="s">
        <v>66</v>
      </c>
      <c r="Z51" s="61" t="s">
        <v>66</v>
      </c>
      <c r="AA51" s="61" t="s">
        <v>66</v>
      </c>
      <c r="AB51" s="61" t="s">
        <v>66</v>
      </c>
      <c r="AC51" s="61" t="s">
        <v>66</v>
      </c>
      <c r="AD51" s="61" t="s">
        <v>66</v>
      </c>
      <c r="AE51" s="61" t="s">
        <v>66</v>
      </c>
      <c r="AF51" s="61" t="s">
        <v>66</v>
      </c>
      <c r="AG51" s="61" t="s">
        <v>66</v>
      </c>
      <c r="AH51" s="61" t="s">
        <v>66</v>
      </c>
      <c r="AI51" s="61" t="s">
        <v>66</v>
      </c>
      <c r="AJ51" s="26"/>
      <c r="AL51" t="str">
        <f t="shared" ca="1" si="0"/>
        <v xml:space="preserve">    (U1)ALERT_REQ_D_ATFWRN_PD_</v>
      </c>
      <c r="AR51" s="63" t="str">
        <f t="shared" si="3"/>
        <v/>
      </c>
      <c r="AS51" s="63" t="str">
        <f t="shared" si="4"/>
        <v/>
      </c>
      <c r="AT51" s="63" t="str">
        <f t="shared" si="1"/>
        <v/>
      </c>
    </row>
    <row r="52" spans="2:46">
      <c r="B52" s="138"/>
      <c r="C52" s="47">
        <f t="shared" si="2"/>
        <v>46</v>
      </c>
      <c r="D52" s="61" t="s">
        <v>66</v>
      </c>
      <c r="E52" s="61" t="s">
        <v>66</v>
      </c>
      <c r="F52" s="61" t="s">
        <v>66</v>
      </c>
      <c r="G52" s="61" t="s">
        <v>66</v>
      </c>
      <c r="H52" s="61" t="s">
        <v>66</v>
      </c>
      <c r="I52" s="61" t="s">
        <v>66</v>
      </c>
      <c r="J52" s="61" t="s">
        <v>66</v>
      </c>
      <c r="K52" s="61" t="s">
        <v>66</v>
      </c>
      <c r="L52" s="61" t="s">
        <v>66</v>
      </c>
      <c r="M52" s="61" t="s">
        <v>66</v>
      </c>
      <c r="N52" s="61" t="s">
        <v>66</v>
      </c>
      <c r="O52" s="61" t="s">
        <v>66</v>
      </c>
      <c r="P52" s="61" t="s">
        <v>66</v>
      </c>
      <c r="Q52" s="61" t="s">
        <v>66</v>
      </c>
      <c r="R52" s="61" t="s">
        <v>66</v>
      </c>
      <c r="S52" s="61" t="s">
        <v>66</v>
      </c>
      <c r="T52" s="61" t="s">
        <v>66</v>
      </c>
      <c r="U52" s="61" t="s">
        <v>66</v>
      </c>
      <c r="V52" s="61" t="s">
        <v>66</v>
      </c>
      <c r="W52" s="61" t="s">
        <v>66</v>
      </c>
      <c r="X52" s="61" t="s">
        <v>66</v>
      </c>
      <c r="Y52" s="61" t="s">
        <v>66</v>
      </c>
      <c r="Z52" s="61" t="s">
        <v>66</v>
      </c>
      <c r="AA52" s="61" t="s">
        <v>66</v>
      </c>
      <c r="AB52" s="61" t="s">
        <v>66</v>
      </c>
      <c r="AC52" s="61" t="s">
        <v>66</v>
      </c>
      <c r="AD52" s="61" t="s">
        <v>66</v>
      </c>
      <c r="AE52" s="61" t="s">
        <v>66</v>
      </c>
      <c r="AF52" s="61" t="s">
        <v>66</v>
      </c>
      <c r="AG52" s="61" t="s">
        <v>66</v>
      </c>
      <c r="AH52" s="61" t="s">
        <v>66</v>
      </c>
      <c r="AI52" s="61" t="s">
        <v>66</v>
      </c>
      <c r="AJ52" s="26"/>
      <c r="AL52" t="str">
        <f t="shared" ca="1" si="0"/>
        <v xml:space="preserve">    (U1)ALERT_REQ_D_ATFWRN_PD_</v>
      </c>
      <c r="AR52" s="63" t="str">
        <f t="shared" si="3"/>
        <v/>
      </c>
      <c r="AS52" s="63" t="str">
        <f t="shared" si="4"/>
        <v/>
      </c>
      <c r="AT52" s="63" t="str">
        <f t="shared" si="1"/>
        <v/>
      </c>
    </row>
    <row r="53" spans="2:46">
      <c r="B53" s="138"/>
      <c r="C53" s="47">
        <f t="shared" si="2"/>
        <v>47</v>
      </c>
      <c r="D53" s="61" t="s">
        <v>66</v>
      </c>
      <c r="E53" s="61" t="s">
        <v>66</v>
      </c>
      <c r="F53" s="61" t="s">
        <v>66</v>
      </c>
      <c r="G53" s="61" t="s">
        <v>66</v>
      </c>
      <c r="H53" s="61" t="s">
        <v>66</v>
      </c>
      <c r="I53" s="61" t="s">
        <v>66</v>
      </c>
      <c r="J53" s="61" t="s">
        <v>66</v>
      </c>
      <c r="K53" s="61" t="s">
        <v>66</v>
      </c>
      <c r="L53" s="61" t="s">
        <v>66</v>
      </c>
      <c r="M53" s="61" t="s">
        <v>66</v>
      </c>
      <c r="N53" s="61" t="s">
        <v>66</v>
      </c>
      <c r="O53" s="61" t="s">
        <v>66</v>
      </c>
      <c r="P53" s="61" t="s">
        <v>66</v>
      </c>
      <c r="Q53" s="61" t="s">
        <v>66</v>
      </c>
      <c r="R53" s="61" t="s">
        <v>66</v>
      </c>
      <c r="S53" s="61" t="s">
        <v>66</v>
      </c>
      <c r="T53" s="61" t="s">
        <v>66</v>
      </c>
      <c r="U53" s="61" t="s">
        <v>66</v>
      </c>
      <c r="V53" s="61" t="s">
        <v>66</v>
      </c>
      <c r="W53" s="61" t="s">
        <v>66</v>
      </c>
      <c r="X53" s="61" t="s">
        <v>66</v>
      </c>
      <c r="Y53" s="61" t="s">
        <v>66</v>
      </c>
      <c r="Z53" s="61" t="s">
        <v>66</v>
      </c>
      <c r="AA53" s="61" t="s">
        <v>66</v>
      </c>
      <c r="AB53" s="61" t="s">
        <v>66</v>
      </c>
      <c r="AC53" s="61" t="s">
        <v>66</v>
      </c>
      <c r="AD53" s="61" t="s">
        <v>66</v>
      </c>
      <c r="AE53" s="61" t="s">
        <v>66</v>
      </c>
      <c r="AF53" s="61" t="s">
        <v>66</v>
      </c>
      <c r="AG53" s="61" t="s">
        <v>66</v>
      </c>
      <c r="AH53" s="61" t="s">
        <v>66</v>
      </c>
      <c r="AI53" s="61" t="s">
        <v>66</v>
      </c>
      <c r="AJ53" s="26"/>
      <c r="AL53" t="str">
        <f t="shared" ca="1" si="0"/>
        <v xml:space="preserve">    (U1)ALERT_REQ_D_ATFWRN_PD_</v>
      </c>
      <c r="AR53" s="63" t="str">
        <f t="shared" si="3"/>
        <v/>
      </c>
      <c r="AS53" s="63" t="str">
        <f t="shared" si="4"/>
        <v/>
      </c>
      <c r="AT53" s="63" t="str">
        <f t="shared" si="1"/>
        <v/>
      </c>
    </row>
    <row r="54" spans="2:46">
      <c r="B54" s="138"/>
      <c r="C54" s="47">
        <f t="shared" si="2"/>
        <v>48</v>
      </c>
      <c r="D54" s="61" t="s">
        <v>66</v>
      </c>
      <c r="E54" s="61" t="s">
        <v>66</v>
      </c>
      <c r="F54" s="61" t="s">
        <v>66</v>
      </c>
      <c r="G54" s="61" t="s">
        <v>66</v>
      </c>
      <c r="H54" s="61" t="s">
        <v>66</v>
      </c>
      <c r="I54" s="61" t="s">
        <v>66</v>
      </c>
      <c r="J54" s="61" t="s">
        <v>66</v>
      </c>
      <c r="K54" s="61" t="s">
        <v>66</v>
      </c>
      <c r="L54" s="61" t="s">
        <v>66</v>
      </c>
      <c r="M54" s="61" t="s">
        <v>66</v>
      </c>
      <c r="N54" s="61" t="s">
        <v>66</v>
      </c>
      <c r="O54" s="61" t="s">
        <v>66</v>
      </c>
      <c r="P54" s="61" t="s">
        <v>66</v>
      </c>
      <c r="Q54" s="61" t="s">
        <v>66</v>
      </c>
      <c r="R54" s="61" t="s">
        <v>66</v>
      </c>
      <c r="S54" s="61" t="s">
        <v>66</v>
      </c>
      <c r="T54" s="61" t="s">
        <v>66</v>
      </c>
      <c r="U54" s="61" t="s">
        <v>66</v>
      </c>
      <c r="V54" s="61" t="s">
        <v>66</v>
      </c>
      <c r="W54" s="61" t="s">
        <v>66</v>
      </c>
      <c r="X54" s="61" t="s">
        <v>66</v>
      </c>
      <c r="Y54" s="61" t="s">
        <v>66</v>
      </c>
      <c r="Z54" s="61" t="s">
        <v>66</v>
      </c>
      <c r="AA54" s="61" t="s">
        <v>66</v>
      </c>
      <c r="AB54" s="61" t="s">
        <v>66</v>
      </c>
      <c r="AC54" s="61" t="s">
        <v>66</v>
      </c>
      <c r="AD54" s="61" t="s">
        <v>66</v>
      </c>
      <c r="AE54" s="61" t="s">
        <v>66</v>
      </c>
      <c r="AF54" s="61" t="s">
        <v>66</v>
      </c>
      <c r="AG54" s="61" t="s">
        <v>66</v>
      </c>
      <c r="AH54" s="61" t="s">
        <v>66</v>
      </c>
      <c r="AI54" s="61" t="s">
        <v>66</v>
      </c>
      <c r="AJ54" s="26"/>
      <c r="AL54" t="str">
        <f t="shared" ca="1" si="0"/>
        <v xml:space="preserve">    (U1)ALERT_REQ_D_ATFWRN_PD_</v>
      </c>
      <c r="AR54" s="63" t="str">
        <f t="shared" si="3"/>
        <v/>
      </c>
      <c r="AS54" s="63" t="str">
        <f t="shared" si="4"/>
        <v/>
      </c>
      <c r="AT54" s="63" t="str">
        <f t="shared" si="1"/>
        <v/>
      </c>
    </row>
    <row r="55" spans="2:46">
      <c r="B55" s="138"/>
      <c r="C55" s="47">
        <f t="shared" si="2"/>
        <v>49</v>
      </c>
      <c r="D55" s="61" t="s">
        <v>66</v>
      </c>
      <c r="E55" s="61" t="s">
        <v>66</v>
      </c>
      <c r="F55" s="61" t="s">
        <v>66</v>
      </c>
      <c r="G55" s="61" t="s">
        <v>66</v>
      </c>
      <c r="H55" s="61" t="s">
        <v>66</v>
      </c>
      <c r="I55" s="61" t="s">
        <v>66</v>
      </c>
      <c r="J55" s="61" t="s">
        <v>66</v>
      </c>
      <c r="K55" s="61" t="s">
        <v>66</v>
      </c>
      <c r="L55" s="61" t="s">
        <v>66</v>
      </c>
      <c r="M55" s="61" t="s">
        <v>66</v>
      </c>
      <c r="N55" s="61" t="s">
        <v>66</v>
      </c>
      <c r="O55" s="61" t="s">
        <v>66</v>
      </c>
      <c r="P55" s="61" t="s">
        <v>66</v>
      </c>
      <c r="Q55" s="61" t="s">
        <v>66</v>
      </c>
      <c r="R55" s="61" t="s">
        <v>66</v>
      </c>
      <c r="S55" s="61" t="s">
        <v>66</v>
      </c>
      <c r="T55" s="61" t="s">
        <v>66</v>
      </c>
      <c r="U55" s="61" t="s">
        <v>66</v>
      </c>
      <c r="V55" s="61" t="s">
        <v>66</v>
      </c>
      <c r="W55" s="61" t="s">
        <v>66</v>
      </c>
      <c r="X55" s="61" t="s">
        <v>66</v>
      </c>
      <c r="Y55" s="61" t="s">
        <v>66</v>
      </c>
      <c r="Z55" s="61" t="s">
        <v>66</v>
      </c>
      <c r="AA55" s="61" t="s">
        <v>66</v>
      </c>
      <c r="AB55" s="61" t="s">
        <v>66</v>
      </c>
      <c r="AC55" s="61" t="s">
        <v>66</v>
      </c>
      <c r="AD55" s="61" t="s">
        <v>66</v>
      </c>
      <c r="AE55" s="61" t="s">
        <v>66</v>
      </c>
      <c r="AF55" s="61" t="s">
        <v>66</v>
      </c>
      <c r="AG55" s="61" t="s">
        <v>66</v>
      </c>
      <c r="AH55" s="61" t="s">
        <v>66</v>
      </c>
      <c r="AI55" s="61" t="s">
        <v>66</v>
      </c>
      <c r="AJ55" s="26"/>
      <c r="AL55" t="str">
        <f t="shared" ca="1" si="0"/>
        <v xml:space="preserve">    (U1)ALERT_REQ_D_ATFWRN_PD_</v>
      </c>
      <c r="AR55" s="63" t="str">
        <f t="shared" si="3"/>
        <v/>
      </c>
      <c r="AS55" s="63" t="str">
        <f t="shared" si="4"/>
        <v/>
      </c>
      <c r="AT55" s="63" t="str">
        <f t="shared" si="1"/>
        <v/>
      </c>
    </row>
    <row r="56" spans="2:46">
      <c r="B56" s="138"/>
      <c r="C56" s="47">
        <f t="shared" si="2"/>
        <v>50</v>
      </c>
      <c r="D56" s="61" t="s">
        <v>66</v>
      </c>
      <c r="E56" s="61" t="s">
        <v>66</v>
      </c>
      <c r="F56" s="61" t="s">
        <v>66</v>
      </c>
      <c r="G56" s="61" t="s">
        <v>66</v>
      </c>
      <c r="H56" s="61" t="s">
        <v>66</v>
      </c>
      <c r="I56" s="61" t="s">
        <v>66</v>
      </c>
      <c r="J56" s="61" t="s">
        <v>66</v>
      </c>
      <c r="K56" s="61" t="s">
        <v>66</v>
      </c>
      <c r="L56" s="61" t="s">
        <v>66</v>
      </c>
      <c r="M56" s="61" t="s">
        <v>66</v>
      </c>
      <c r="N56" s="61" t="s">
        <v>66</v>
      </c>
      <c r="O56" s="61" t="s">
        <v>66</v>
      </c>
      <c r="P56" s="61" t="s">
        <v>66</v>
      </c>
      <c r="Q56" s="61" t="s">
        <v>66</v>
      </c>
      <c r="R56" s="61" t="s">
        <v>66</v>
      </c>
      <c r="S56" s="61" t="s">
        <v>66</v>
      </c>
      <c r="T56" s="61" t="s">
        <v>66</v>
      </c>
      <c r="U56" s="61" t="s">
        <v>66</v>
      </c>
      <c r="V56" s="61" t="s">
        <v>66</v>
      </c>
      <c r="W56" s="61" t="s">
        <v>66</v>
      </c>
      <c r="X56" s="61" t="s">
        <v>66</v>
      </c>
      <c r="Y56" s="61" t="s">
        <v>66</v>
      </c>
      <c r="Z56" s="61" t="s">
        <v>66</v>
      </c>
      <c r="AA56" s="61" t="s">
        <v>66</v>
      </c>
      <c r="AB56" s="61" t="s">
        <v>66</v>
      </c>
      <c r="AC56" s="61" t="s">
        <v>66</v>
      </c>
      <c r="AD56" s="61" t="s">
        <v>66</v>
      </c>
      <c r="AE56" s="61" t="s">
        <v>66</v>
      </c>
      <c r="AF56" s="61" t="s">
        <v>66</v>
      </c>
      <c r="AG56" s="61" t="s">
        <v>66</v>
      </c>
      <c r="AH56" s="61" t="s">
        <v>66</v>
      </c>
      <c r="AI56" s="61" t="s">
        <v>66</v>
      </c>
      <c r="AJ56" s="26"/>
      <c r="AL56" t="str">
        <f t="shared" ca="1" si="0"/>
        <v xml:space="preserve">    (U1)ALERT_REQ_D_ATFWRN_PD_</v>
      </c>
      <c r="AR56" s="63" t="str">
        <f t="shared" si="3"/>
        <v/>
      </c>
      <c r="AS56" s="63" t="str">
        <f t="shared" si="4"/>
        <v/>
      </c>
      <c r="AT56" s="63" t="str">
        <f t="shared" si="1"/>
        <v/>
      </c>
    </row>
    <row r="57" spans="2:46">
      <c r="B57" s="138"/>
      <c r="C57" s="47">
        <f t="shared" si="2"/>
        <v>51</v>
      </c>
      <c r="D57" s="61" t="s">
        <v>66</v>
      </c>
      <c r="E57" s="61" t="s">
        <v>66</v>
      </c>
      <c r="F57" s="61" t="s">
        <v>66</v>
      </c>
      <c r="G57" s="61" t="s">
        <v>66</v>
      </c>
      <c r="H57" s="61" t="s">
        <v>66</v>
      </c>
      <c r="I57" s="61" t="s">
        <v>66</v>
      </c>
      <c r="J57" s="61" t="s">
        <v>66</v>
      </c>
      <c r="K57" s="61" t="s">
        <v>66</v>
      </c>
      <c r="L57" s="61" t="s">
        <v>66</v>
      </c>
      <c r="M57" s="61" t="s">
        <v>66</v>
      </c>
      <c r="N57" s="61" t="s">
        <v>66</v>
      </c>
      <c r="O57" s="61" t="s">
        <v>66</v>
      </c>
      <c r="P57" s="61" t="s">
        <v>66</v>
      </c>
      <c r="Q57" s="61" t="s">
        <v>66</v>
      </c>
      <c r="R57" s="61" t="s">
        <v>66</v>
      </c>
      <c r="S57" s="61" t="s">
        <v>66</v>
      </c>
      <c r="T57" s="61" t="s">
        <v>66</v>
      </c>
      <c r="U57" s="61" t="s">
        <v>66</v>
      </c>
      <c r="V57" s="61" t="s">
        <v>66</v>
      </c>
      <c r="W57" s="61" t="s">
        <v>66</v>
      </c>
      <c r="X57" s="61" t="s">
        <v>66</v>
      </c>
      <c r="Y57" s="61" t="s">
        <v>66</v>
      </c>
      <c r="Z57" s="61" t="s">
        <v>66</v>
      </c>
      <c r="AA57" s="61" t="s">
        <v>66</v>
      </c>
      <c r="AB57" s="61" t="s">
        <v>66</v>
      </c>
      <c r="AC57" s="61" t="s">
        <v>66</v>
      </c>
      <c r="AD57" s="61" t="s">
        <v>66</v>
      </c>
      <c r="AE57" s="61" t="s">
        <v>66</v>
      </c>
      <c r="AF57" s="61" t="s">
        <v>66</v>
      </c>
      <c r="AG57" s="61" t="s">
        <v>66</v>
      </c>
      <c r="AH57" s="61" t="s">
        <v>66</v>
      </c>
      <c r="AI57" s="61" t="s">
        <v>66</v>
      </c>
      <c r="AJ57" s="26"/>
      <c r="AL57" t="str">
        <f t="shared" ca="1" si="0"/>
        <v xml:space="preserve">    (U1)ALERT_REQ_D_ATFWRN_PD_</v>
      </c>
      <c r="AR57" s="63" t="str">
        <f t="shared" si="3"/>
        <v/>
      </c>
      <c r="AS57" s="63" t="str">
        <f t="shared" si="4"/>
        <v/>
      </c>
      <c r="AT57" s="63" t="str">
        <f t="shared" si="1"/>
        <v/>
      </c>
    </row>
    <row r="58" spans="2:46">
      <c r="B58" s="138"/>
      <c r="C58" s="47">
        <f t="shared" si="2"/>
        <v>52</v>
      </c>
      <c r="D58" s="61" t="s">
        <v>66</v>
      </c>
      <c r="E58" s="61" t="s">
        <v>66</v>
      </c>
      <c r="F58" s="61" t="s">
        <v>66</v>
      </c>
      <c r="G58" s="61" t="s">
        <v>66</v>
      </c>
      <c r="H58" s="61" t="s">
        <v>66</v>
      </c>
      <c r="I58" s="61" t="s">
        <v>66</v>
      </c>
      <c r="J58" s="61" t="s">
        <v>66</v>
      </c>
      <c r="K58" s="61" t="s">
        <v>66</v>
      </c>
      <c r="L58" s="61" t="s">
        <v>66</v>
      </c>
      <c r="M58" s="61" t="s">
        <v>66</v>
      </c>
      <c r="N58" s="61" t="s">
        <v>66</v>
      </c>
      <c r="O58" s="61" t="s">
        <v>66</v>
      </c>
      <c r="P58" s="61" t="s">
        <v>66</v>
      </c>
      <c r="Q58" s="61" t="s">
        <v>66</v>
      </c>
      <c r="R58" s="61" t="s">
        <v>66</v>
      </c>
      <c r="S58" s="61" t="s">
        <v>66</v>
      </c>
      <c r="T58" s="61" t="s">
        <v>66</v>
      </c>
      <c r="U58" s="61" t="s">
        <v>66</v>
      </c>
      <c r="V58" s="61" t="s">
        <v>66</v>
      </c>
      <c r="W58" s="61" t="s">
        <v>66</v>
      </c>
      <c r="X58" s="61" t="s">
        <v>66</v>
      </c>
      <c r="Y58" s="61" t="s">
        <v>66</v>
      </c>
      <c r="Z58" s="61" t="s">
        <v>66</v>
      </c>
      <c r="AA58" s="61" t="s">
        <v>66</v>
      </c>
      <c r="AB58" s="61" t="s">
        <v>66</v>
      </c>
      <c r="AC58" s="61" t="s">
        <v>66</v>
      </c>
      <c r="AD58" s="61" t="s">
        <v>66</v>
      </c>
      <c r="AE58" s="61" t="s">
        <v>66</v>
      </c>
      <c r="AF58" s="61" t="s">
        <v>66</v>
      </c>
      <c r="AG58" s="61" t="s">
        <v>66</v>
      </c>
      <c r="AH58" s="61" t="s">
        <v>66</v>
      </c>
      <c r="AI58" s="61" t="s">
        <v>66</v>
      </c>
      <c r="AJ58" s="26"/>
      <c r="AL58" t="str">
        <f t="shared" ca="1" si="0"/>
        <v xml:space="preserve">    (U1)ALERT_REQ_D_ATFWRN_PD_</v>
      </c>
      <c r="AR58" s="63" t="str">
        <f t="shared" si="3"/>
        <v/>
      </c>
      <c r="AS58" s="63" t="str">
        <f t="shared" si="4"/>
        <v/>
      </c>
      <c r="AT58" s="63" t="str">
        <f t="shared" si="1"/>
        <v/>
      </c>
    </row>
    <row r="59" spans="2:46">
      <c r="B59" s="138"/>
      <c r="C59" s="47">
        <f t="shared" si="2"/>
        <v>53</v>
      </c>
      <c r="D59" s="61" t="s">
        <v>66</v>
      </c>
      <c r="E59" s="61" t="s">
        <v>66</v>
      </c>
      <c r="F59" s="61" t="s">
        <v>66</v>
      </c>
      <c r="G59" s="61" t="s">
        <v>66</v>
      </c>
      <c r="H59" s="61" t="s">
        <v>66</v>
      </c>
      <c r="I59" s="61" t="s">
        <v>66</v>
      </c>
      <c r="J59" s="61" t="s">
        <v>66</v>
      </c>
      <c r="K59" s="61" t="s">
        <v>66</v>
      </c>
      <c r="L59" s="61" t="s">
        <v>66</v>
      </c>
      <c r="M59" s="61" t="s">
        <v>66</v>
      </c>
      <c r="N59" s="61" t="s">
        <v>66</v>
      </c>
      <c r="O59" s="61" t="s">
        <v>66</v>
      </c>
      <c r="P59" s="61" t="s">
        <v>66</v>
      </c>
      <c r="Q59" s="61" t="s">
        <v>66</v>
      </c>
      <c r="R59" s="61" t="s">
        <v>66</v>
      </c>
      <c r="S59" s="61" t="s">
        <v>66</v>
      </c>
      <c r="T59" s="61" t="s">
        <v>66</v>
      </c>
      <c r="U59" s="61" t="s">
        <v>66</v>
      </c>
      <c r="V59" s="61" t="s">
        <v>66</v>
      </c>
      <c r="W59" s="61" t="s">
        <v>66</v>
      </c>
      <c r="X59" s="61" t="s">
        <v>66</v>
      </c>
      <c r="Y59" s="61" t="s">
        <v>66</v>
      </c>
      <c r="Z59" s="61" t="s">
        <v>66</v>
      </c>
      <c r="AA59" s="61" t="s">
        <v>66</v>
      </c>
      <c r="AB59" s="61" t="s">
        <v>66</v>
      </c>
      <c r="AC59" s="61" t="s">
        <v>66</v>
      </c>
      <c r="AD59" s="61" t="s">
        <v>66</v>
      </c>
      <c r="AE59" s="61" t="s">
        <v>66</v>
      </c>
      <c r="AF59" s="61" t="s">
        <v>66</v>
      </c>
      <c r="AG59" s="61" t="s">
        <v>66</v>
      </c>
      <c r="AH59" s="61" t="s">
        <v>66</v>
      </c>
      <c r="AI59" s="61" t="s">
        <v>66</v>
      </c>
      <c r="AJ59" s="26"/>
      <c r="AL59" t="str">
        <f t="shared" ca="1" si="0"/>
        <v xml:space="preserve">    (U1)ALERT_REQ_D_ATFWRN_PD_</v>
      </c>
      <c r="AR59" s="63" t="str">
        <f t="shared" si="3"/>
        <v/>
      </c>
      <c r="AS59" s="63" t="str">
        <f t="shared" si="4"/>
        <v/>
      </c>
      <c r="AT59" s="63" t="str">
        <f t="shared" si="1"/>
        <v/>
      </c>
    </row>
    <row r="60" spans="2:46">
      <c r="B60" s="138"/>
      <c r="C60" s="47">
        <f t="shared" si="2"/>
        <v>54</v>
      </c>
      <c r="D60" s="61" t="s">
        <v>66</v>
      </c>
      <c r="E60" s="61" t="s">
        <v>66</v>
      </c>
      <c r="F60" s="61" t="s">
        <v>66</v>
      </c>
      <c r="G60" s="61" t="s">
        <v>66</v>
      </c>
      <c r="H60" s="61" t="s">
        <v>66</v>
      </c>
      <c r="I60" s="61" t="s">
        <v>66</v>
      </c>
      <c r="J60" s="61" t="s">
        <v>66</v>
      </c>
      <c r="K60" s="61" t="s">
        <v>66</v>
      </c>
      <c r="L60" s="61" t="s">
        <v>66</v>
      </c>
      <c r="M60" s="61" t="s">
        <v>66</v>
      </c>
      <c r="N60" s="61" t="s">
        <v>66</v>
      </c>
      <c r="O60" s="61" t="s">
        <v>66</v>
      </c>
      <c r="P60" s="61" t="s">
        <v>66</v>
      </c>
      <c r="Q60" s="61" t="s">
        <v>66</v>
      </c>
      <c r="R60" s="61" t="s">
        <v>66</v>
      </c>
      <c r="S60" s="61" t="s">
        <v>66</v>
      </c>
      <c r="T60" s="61" t="s">
        <v>66</v>
      </c>
      <c r="U60" s="61" t="s">
        <v>66</v>
      </c>
      <c r="V60" s="61" t="s">
        <v>66</v>
      </c>
      <c r="W60" s="61" t="s">
        <v>66</v>
      </c>
      <c r="X60" s="61" t="s">
        <v>66</v>
      </c>
      <c r="Y60" s="61" t="s">
        <v>66</v>
      </c>
      <c r="Z60" s="61" t="s">
        <v>66</v>
      </c>
      <c r="AA60" s="61" t="s">
        <v>66</v>
      </c>
      <c r="AB60" s="61" t="s">
        <v>66</v>
      </c>
      <c r="AC60" s="61" t="s">
        <v>66</v>
      </c>
      <c r="AD60" s="61" t="s">
        <v>66</v>
      </c>
      <c r="AE60" s="61" t="s">
        <v>66</v>
      </c>
      <c r="AF60" s="61" t="s">
        <v>66</v>
      </c>
      <c r="AG60" s="61" t="s">
        <v>66</v>
      </c>
      <c r="AH60" s="61" t="s">
        <v>66</v>
      </c>
      <c r="AI60" s="61" t="s">
        <v>66</v>
      </c>
      <c r="AJ60" s="26"/>
      <c r="AL60" t="str">
        <f t="shared" ca="1" si="0"/>
        <v xml:space="preserve">    (U1)ALERT_REQ_D_ATFWRN_PD_</v>
      </c>
      <c r="AR60" s="63" t="str">
        <f t="shared" si="3"/>
        <v/>
      </c>
      <c r="AS60" s="63" t="str">
        <f t="shared" si="4"/>
        <v/>
      </c>
      <c r="AT60" s="63" t="str">
        <f t="shared" si="1"/>
        <v/>
      </c>
    </row>
    <row r="61" spans="2:46">
      <c r="B61" s="138"/>
      <c r="C61" s="47">
        <f t="shared" si="2"/>
        <v>55</v>
      </c>
      <c r="D61" s="61" t="s">
        <v>66</v>
      </c>
      <c r="E61" s="61" t="s">
        <v>66</v>
      </c>
      <c r="F61" s="61" t="s">
        <v>66</v>
      </c>
      <c r="G61" s="61" t="s">
        <v>66</v>
      </c>
      <c r="H61" s="61" t="s">
        <v>66</v>
      </c>
      <c r="I61" s="61" t="s">
        <v>66</v>
      </c>
      <c r="J61" s="61" t="s">
        <v>66</v>
      </c>
      <c r="K61" s="61" t="s">
        <v>66</v>
      </c>
      <c r="L61" s="61" t="s">
        <v>66</v>
      </c>
      <c r="M61" s="61" t="s">
        <v>66</v>
      </c>
      <c r="N61" s="61" t="s">
        <v>66</v>
      </c>
      <c r="O61" s="61" t="s">
        <v>66</v>
      </c>
      <c r="P61" s="61" t="s">
        <v>66</v>
      </c>
      <c r="Q61" s="61" t="s">
        <v>66</v>
      </c>
      <c r="R61" s="61" t="s">
        <v>66</v>
      </c>
      <c r="S61" s="61" t="s">
        <v>66</v>
      </c>
      <c r="T61" s="61" t="s">
        <v>66</v>
      </c>
      <c r="U61" s="61" t="s">
        <v>66</v>
      </c>
      <c r="V61" s="61" t="s">
        <v>66</v>
      </c>
      <c r="W61" s="61" t="s">
        <v>66</v>
      </c>
      <c r="X61" s="61" t="s">
        <v>66</v>
      </c>
      <c r="Y61" s="61" t="s">
        <v>66</v>
      </c>
      <c r="Z61" s="61" t="s">
        <v>66</v>
      </c>
      <c r="AA61" s="61" t="s">
        <v>66</v>
      </c>
      <c r="AB61" s="61" t="s">
        <v>66</v>
      </c>
      <c r="AC61" s="61" t="s">
        <v>66</v>
      </c>
      <c r="AD61" s="61" t="s">
        <v>66</v>
      </c>
      <c r="AE61" s="61" t="s">
        <v>66</v>
      </c>
      <c r="AF61" s="61" t="s">
        <v>66</v>
      </c>
      <c r="AG61" s="61" t="s">
        <v>66</v>
      </c>
      <c r="AH61" s="61" t="s">
        <v>66</v>
      </c>
      <c r="AI61" s="61" t="s">
        <v>66</v>
      </c>
      <c r="AJ61" s="26"/>
      <c r="AL61" t="str">
        <f t="shared" ca="1" si="0"/>
        <v xml:space="preserve">    (U1)ALERT_REQ_D_ATFWRN_PD_</v>
      </c>
      <c r="AR61" s="63" t="str">
        <f t="shared" si="3"/>
        <v/>
      </c>
      <c r="AS61" s="63" t="str">
        <f t="shared" si="4"/>
        <v/>
      </c>
      <c r="AT61" s="63" t="str">
        <f t="shared" si="1"/>
        <v/>
      </c>
    </row>
    <row r="62" spans="2:46">
      <c r="B62" s="138"/>
      <c r="C62" s="47">
        <f t="shared" si="2"/>
        <v>56</v>
      </c>
      <c r="D62" s="61" t="s">
        <v>66</v>
      </c>
      <c r="E62" s="61" t="s">
        <v>66</v>
      </c>
      <c r="F62" s="61" t="s">
        <v>66</v>
      </c>
      <c r="G62" s="61" t="s">
        <v>66</v>
      </c>
      <c r="H62" s="61" t="s">
        <v>66</v>
      </c>
      <c r="I62" s="61" t="s">
        <v>66</v>
      </c>
      <c r="J62" s="61" t="s">
        <v>66</v>
      </c>
      <c r="K62" s="61" t="s">
        <v>66</v>
      </c>
      <c r="L62" s="61" t="s">
        <v>66</v>
      </c>
      <c r="M62" s="61" t="s">
        <v>66</v>
      </c>
      <c r="N62" s="61" t="s">
        <v>66</v>
      </c>
      <c r="O62" s="61" t="s">
        <v>66</v>
      </c>
      <c r="P62" s="61" t="s">
        <v>66</v>
      </c>
      <c r="Q62" s="61" t="s">
        <v>66</v>
      </c>
      <c r="R62" s="61" t="s">
        <v>66</v>
      </c>
      <c r="S62" s="61" t="s">
        <v>66</v>
      </c>
      <c r="T62" s="61" t="s">
        <v>66</v>
      </c>
      <c r="U62" s="61" t="s">
        <v>66</v>
      </c>
      <c r="V62" s="61" t="s">
        <v>66</v>
      </c>
      <c r="W62" s="61" t="s">
        <v>66</v>
      </c>
      <c r="X62" s="61" t="s">
        <v>66</v>
      </c>
      <c r="Y62" s="61" t="s">
        <v>66</v>
      </c>
      <c r="Z62" s="61" t="s">
        <v>66</v>
      </c>
      <c r="AA62" s="61" t="s">
        <v>66</v>
      </c>
      <c r="AB62" s="61" t="s">
        <v>66</v>
      </c>
      <c r="AC62" s="61" t="s">
        <v>66</v>
      </c>
      <c r="AD62" s="61" t="s">
        <v>66</v>
      </c>
      <c r="AE62" s="61" t="s">
        <v>66</v>
      </c>
      <c r="AF62" s="61" t="s">
        <v>66</v>
      </c>
      <c r="AG62" s="61" t="s">
        <v>66</v>
      </c>
      <c r="AH62" s="61" t="s">
        <v>66</v>
      </c>
      <c r="AI62" s="61" t="s">
        <v>66</v>
      </c>
      <c r="AJ62" s="26"/>
      <c r="AL62" t="str">
        <f t="shared" ca="1" si="0"/>
        <v xml:space="preserve">    (U1)ALERT_REQ_D_ATFWRN_PD_</v>
      </c>
      <c r="AR62" s="63" t="str">
        <f t="shared" si="3"/>
        <v/>
      </c>
      <c r="AS62" s="63" t="str">
        <f t="shared" si="4"/>
        <v/>
      </c>
      <c r="AT62" s="63" t="str">
        <f t="shared" si="1"/>
        <v/>
      </c>
    </row>
    <row r="63" spans="2:46">
      <c r="B63" s="138"/>
      <c r="C63" s="47">
        <f t="shared" si="2"/>
        <v>57</v>
      </c>
      <c r="D63" s="61" t="s">
        <v>66</v>
      </c>
      <c r="E63" s="61" t="s">
        <v>66</v>
      </c>
      <c r="F63" s="61" t="s">
        <v>66</v>
      </c>
      <c r="G63" s="61" t="s">
        <v>66</v>
      </c>
      <c r="H63" s="61" t="s">
        <v>66</v>
      </c>
      <c r="I63" s="61" t="s">
        <v>66</v>
      </c>
      <c r="J63" s="61" t="s">
        <v>66</v>
      </c>
      <c r="K63" s="61" t="s">
        <v>66</v>
      </c>
      <c r="L63" s="61" t="s">
        <v>66</v>
      </c>
      <c r="M63" s="61" t="s">
        <v>66</v>
      </c>
      <c r="N63" s="61" t="s">
        <v>66</v>
      </c>
      <c r="O63" s="61" t="s">
        <v>66</v>
      </c>
      <c r="P63" s="61" t="s">
        <v>66</v>
      </c>
      <c r="Q63" s="61" t="s">
        <v>66</v>
      </c>
      <c r="R63" s="61" t="s">
        <v>66</v>
      </c>
      <c r="S63" s="61" t="s">
        <v>66</v>
      </c>
      <c r="T63" s="61" t="s">
        <v>66</v>
      </c>
      <c r="U63" s="61" t="s">
        <v>66</v>
      </c>
      <c r="V63" s="61" t="s">
        <v>66</v>
      </c>
      <c r="W63" s="61" t="s">
        <v>66</v>
      </c>
      <c r="X63" s="61" t="s">
        <v>66</v>
      </c>
      <c r="Y63" s="61" t="s">
        <v>66</v>
      </c>
      <c r="Z63" s="61" t="s">
        <v>66</v>
      </c>
      <c r="AA63" s="61" t="s">
        <v>66</v>
      </c>
      <c r="AB63" s="61" t="s">
        <v>66</v>
      </c>
      <c r="AC63" s="61" t="s">
        <v>66</v>
      </c>
      <c r="AD63" s="61" t="s">
        <v>66</v>
      </c>
      <c r="AE63" s="61" t="s">
        <v>66</v>
      </c>
      <c r="AF63" s="61" t="s">
        <v>66</v>
      </c>
      <c r="AG63" s="61" t="s">
        <v>66</v>
      </c>
      <c r="AH63" s="61" t="s">
        <v>66</v>
      </c>
      <c r="AI63" s="61" t="s">
        <v>66</v>
      </c>
      <c r="AJ63" s="26"/>
      <c r="AL63" t="str">
        <f t="shared" ca="1" si="0"/>
        <v xml:space="preserve">    (U1)ALERT_REQ_D_ATFWRN_PD_</v>
      </c>
      <c r="AR63" s="63" t="str">
        <f t="shared" si="3"/>
        <v/>
      </c>
      <c r="AS63" s="63" t="str">
        <f t="shared" si="4"/>
        <v/>
      </c>
      <c r="AT63" s="63" t="str">
        <f t="shared" si="1"/>
        <v/>
      </c>
    </row>
    <row r="64" spans="2:46">
      <c r="B64" s="138"/>
      <c r="C64" s="47">
        <f t="shared" si="2"/>
        <v>58</v>
      </c>
      <c r="D64" s="61" t="s">
        <v>66</v>
      </c>
      <c r="E64" s="61" t="s">
        <v>66</v>
      </c>
      <c r="F64" s="61" t="s">
        <v>66</v>
      </c>
      <c r="G64" s="61" t="s">
        <v>66</v>
      </c>
      <c r="H64" s="61" t="s">
        <v>66</v>
      </c>
      <c r="I64" s="61" t="s">
        <v>66</v>
      </c>
      <c r="J64" s="61" t="s">
        <v>66</v>
      </c>
      <c r="K64" s="61" t="s">
        <v>66</v>
      </c>
      <c r="L64" s="61" t="s">
        <v>66</v>
      </c>
      <c r="M64" s="61" t="s">
        <v>66</v>
      </c>
      <c r="N64" s="61" t="s">
        <v>66</v>
      </c>
      <c r="O64" s="61" t="s">
        <v>66</v>
      </c>
      <c r="P64" s="61" t="s">
        <v>66</v>
      </c>
      <c r="Q64" s="61" t="s">
        <v>66</v>
      </c>
      <c r="R64" s="61" t="s">
        <v>66</v>
      </c>
      <c r="S64" s="61" t="s">
        <v>66</v>
      </c>
      <c r="T64" s="61" t="s">
        <v>66</v>
      </c>
      <c r="U64" s="61" t="s">
        <v>66</v>
      </c>
      <c r="V64" s="61" t="s">
        <v>66</v>
      </c>
      <c r="W64" s="61" t="s">
        <v>66</v>
      </c>
      <c r="X64" s="61" t="s">
        <v>66</v>
      </c>
      <c r="Y64" s="61" t="s">
        <v>66</v>
      </c>
      <c r="Z64" s="61" t="s">
        <v>66</v>
      </c>
      <c r="AA64" s="61" t="s">
        <v>66</v>
      </c>
      <c r="AB64" s="61" t="s">
        <v>66</v>
      </c>
      <c r="AC64" s="61" t="s">
        <v>66</v>
      </c>
      <c r="AD64" s="61" t="s">
        <v>66</v>
      </c>
      <c r="AE64" s="61" t="s">
        <v>66</v>
      </c>
      <c r="AF64" s="61" t="s">
        <v>66</v>
      </c>
      <c r="AG64" s="61" t="s">
        <v>66</v>
      </c>
      <c r="AH64" s="61" t="s">
        <v>66</v>
      </c>
      <c r="AI64" s="61" t="s">
        <v>66</v>
      </c>
      <c r="AJ64" s="26"/>
      <c r="AL64" t="str">
        <f t="shared" ca="1" si="0"/>
        <v xml:space="preserve">    (U1)ALERT_REQ_D_ATFWRN_PD_</v>
      </c>
      <c r="AR64" s="63" t="str">
        <f t="shared" si="3"/>
        <v/>
      </c>
      <c r="AS64" s="63" t="str">
        <f t="shared" si="4"/>
        <v/>
      </c>
      <c r="AT64" s="63" t="str">
        <f t="shared" si="1"/>
        <v/>
      </c>
    </row>
    <row r="65" spans="1:46">
      <c r="B65" s="138"/>
      <c r="C65" s="47">
        <f t="shared" si="2"/>
        <v>59</v>
      </c>
      <c r="D65" s="61" t="s">
        <v>66</v>
      </c>
      <c r="E65" s="61" t="s">
        <v>66</v>
      </c>
      <c r="F65" s="61" t="s">
        <v>66</v>
      </c>
      <c r="G65" s="61" t="s">
        <v>66</v>
      </c>
      <c r="H65" s="61" t="s">
        <v>66</v>
      </c>
      <c r="I65" s="61" t="s">
        <v>66</v>
      </c>
      <c r="J65" s="61" t="s">
        <v>66</v>
      </c>
      <c r="K65" s="61" t="s">
        <v>66</v>
      </c>
      <c r="L65" s="61" t="s">
        <v>66</v>
      </c>
      <c r="M65" s="61" t="s">
        <v>66</v>
      </c>
      <c r="N65" s="61" t="s">
        <v>66</v>
      </c>
      <c r="O65" s="61" t="s">
        <v>66</v>
      </c>
      <c r="P65" s="61" t="s">
        <v>66</v>
      </c>
      <c r="Q65" s="61" t="s">
        <v>66</v>
      </c>
      <c r="R65" s="61" t="s">
        <v>66</v>
      </c>
      <c r="S65" s="61" t="s">
        <v>66</v>
      </c>
      <c r="T65" s="61" t="s">
        <v>66</v>
      </c>
      <c r="U65" s="61" t="s">
        <v>66</v>
      </c>
      <c r="V65" s="61" t="s">
        <v>66</v>
      </c>
      <c r="W65" s="61" t="s">
        <v>66</v>
      </c>
      <c r="X65" s="61" t="s">
        <v>66</v>
      </c>
      <c r="Y65" s="61" t="s">
        <v>66</v>
      </c>
      <c r="Z65" s="61" t="s">
        <v>66</v>
      </c>
      <c r="AA65" s="61" t="s">
        <v>66</v>
      </c>
      <c r="AB65" s="61" t="s">
        <v>66</v>
      </c>
      <c r="AC65" s="61" t="s">
        <v>66</v>
      </c>
      <c r="AD65" s="61" t="s">
        <v>66</v>
      </c>
      <c r="AE65" s="61" t="s">
        <v>66</v>
      </c>
      <c r="AF65" s="61" t="s">
        <v>66</v>
      </c>
      <c r="AG65" s="61" t="s">
        <v>66</v>
      </c>
      <c r="AH65" s="61" t="s">
        <v>66</v>
      </c>
      <c r="AI65" s="61" t="s">
        <v>66</v>
      </c>
      <c r="AJ65" s="26"/>
      <c r="AL65" t="str">
        <f t="shared" ca="1" si="0"/>
        <v xml:space="preserve">    (U1)ALERT_REQ_D_ATFWRN_PD_</v>
      </c>
      <c r="AR65" s="63" t="str">
        <f t="shared" si="3"/>
        <v/>
      </c>
      <c r="AS65" s="63" t="str">
        <f t="shared" si="4"/>
        <v/>
      </c>
      <c r="AT65" s="63" t="str">
        <f t="shared" si="1"/>
        <v/>
      </c>
    </row>
    <row r="66" spans="1:46">
      <c r="B66" s="138"/>
      <c r="C66" s="47">
        <f t="shared" si="2"/>
        <v>60</v>
      </c>
      <c r="D66" s="61" t="s">
        <v>66</v>
      </c>
      <c r="E66" s="61" t="s">
        <v>66</v>
      </c>
      <c r="F66" s="61" t="s">
        <v>66</v>
      </c>
      <c r="G66" s="61" t="s">
        <v>66</v>
      </c>
      <c r="H66" s="61" t="s">
        <v>66</v>
      </c>
      <c r="I66" s="61" t="s">
        <v>66</v>
      </c>
      <c r="J66" s="61" t="s">
        <v>66</v>
      </c>
      <c r="K66" s="61" t="s">
        <v>66</v>
      </c>
      <c r="L66" s="61" t="s">
        <v>66</v>
      </c>
      <c r="M66" s="61" t="s">
        <v>66</v>
      </c>
      <c r="N66" s="61" t="s">
        <v>66</v>
      </c>
      <c r="O66" s="61" t="s">
        <v>66</v>
      </c>
      <c r="P66" s="61" t="s">
        <v>66</v>
      </c>
      <c r="Q66" s="61" t="s">
        <v>66</v>
      </c>
      <c r="R66" s="61" t="s">
        <v>66</v>
      </c>
      <c r="S66" s="61" t="s">
        <v>66</v>
      </c>
      <c r="T66" s="61" t="s">
        <v>66</v>
      </c>
      <c r="U66" s="61" t="s">
        <v>66</v>
      </c>
      <c r="V66" s="61" t="s">
        <v>66</v>
      </c>
      <c r="W66" s="61" t="s">
        <v>66</v>
      </c>
      <c r="X66" s="61" t="s">
        <v>66</v>
      </c>
      <c r="Y66" s="61" t="s">
        <v>66</v>
      </c>
      <c r="Z66" s="61" t="s">
        <v>66</v>
      </c>
      <c r="AA66" s="61" t="s">
        <v>66</v>
      </c>
      <c r="AB66" s="61" t="s">
        <v>66</v>
      </c>
      <c r="AC66" s="61" t="s">
        <v>66</v>
      </c>
      <c r="AD66" s="61" t="s">
        <v>66</v>
      </c>
      <c r="AE66" s="61" t="s">
        <v>66</v>
      </c>
      <c r="AF66" s="61" t="s">
        <v>66</v>
      </c>
      <c r="AG66" s="61" t="s">
        <v>66</v>
      </c>
      <c r="AH66" s="61" t="s">
        <v>66</v>
      </c>
      <c r="AI66" s="61" t="s">
        <v>66</v>
      </c>
      <c r="AJ66" s="26"/>
      <c r="AL66" t="str">
        <f t="shared" ca="1" si="0"/>
        <v xml:space="preserve">    (U1)ALERT_REQ_D_ATFWRN_PD_</v>
      </c>
      <c r="AR66" s="63" t="str">
        <f t="shared" si="3"/>
        <v/>
      </c>
      <c r="AS66" s="63" t="str">
        <f t="shared" si="4"/>
        <v/>
      </c>
      <c r="AT66" s="63" t="str">
        <f t="shared" si="1"/>
        <v/>
      </c>
    </row>
    <row r="67" spans="1:46">
      <c r="B67" s="138"/>
      <c r="C67" s="47">
        <f t="shared" si="2"/>
        <v>61</v>
      </c>
      <c r="D67" s="61" t="s">
        <v>66</v>
      </c>
      <c r="E67" s="61" t="s">
        <v>66</v>
      </c>
      <c r="F67" s="61" t="s">
        <v>66</v>
      </c>
      <c r="G67" s="61" t="s">
        <v>66</v>
      </c>
      <c r="H67" s="61" t="s">
        <v>66</v>
      </c>
      <c r="I67" s="61" t="s">
        <v>66</v>
      </c>
      <c r="J67" s="61" t="s">
        <v>66</v>
      </c>
      <c r="K67" s="61" t="s">
        <v>66</v>
      </c>
      <c r="L67" s="61" t="s">
        <v>66</v>
      </c>
      <c r="M67" s="61" t="s">
        <v>66</v>
      </c>
      <c r="N67" s="61" t="s">
        <v>66</v>
      </c>
      <c r="O67" s="61" t="s">
        <v>66</v>
      </c>
      <c r="P67" s="61" t="s">
        <v>66</v>
      </c>
      <c r="Q67" s="61" t="s">
        <v>66</v>
      </c>
      <c r="R67" s="61" t="s">
        <v>66</v>
      </c>
      <c r="S67" s="61" t="s">
        <v>66</v>
      </c>
      <c r="T67" s="61" t="s">
        <v>66</v>
      </c>
      <c r="U67" s="61" t="s">
        <v>66</v>
      </c>
      <c r="V67" s="61" t="s">
        <v>66</v>
      </c>
      <c r="W67" s="61" t="s">
        <v>66</v>
      </c>
      <c r="X67" s="61" t="s">
        <v>66</v>
      </c>
      <c r="Y67" s="61" t="s">
        <v>66</v>
      </c>
      <c r="Z67" s="61" t="s">
        <v>66</v>
      </c>
      <c r="AA67" s="61" t="s">
        <v>66</v>
      </c>
      <c r="AB67" s="61" t="s">
        <v>66</v>
      </c>
      <c r="AC67" s="61" t="s">
        <v>66</v>
      </c>
      <c r="AD67" s="61" t="s">
        <v>66</v>
      </c>
      <c r="AE67" s="61" t="s">
        <v>66</v>
      </c>
      <c r="AF67" s="61" t="s">
        <v>66</v>
      </c>
      <c r="AG67" s="61" t="s">
        <v>66</v>
      </c>
      <c r="AH67" s="61" t="s">
        <v>66</v>
      </c>
      <c r="AI67" s="61" t="s">
        <v>66</v>
      </c>
      <c r="AJ67" s="26"/>
      <c r="AL67" t="str">
        <f t="shared" ca="1" si="0"/>
        <v xml:space="preserve">    (U1)ALERT_REQ_D_ATFWRN_PD_</v>
      </c>
      <c r="AR67" s="63" t="str">
        <f t="shared" si="3"/>
        <v/>
      </c>
      <c r="AS67" s="63" t="str">
        <f t="shared" si="4"/>
        <v/>
      </c>
      <c r="AT67" s="63" t="str">
        <f t="shared" si="1"/>
        <v/>
      </c>
    </row>
    <row r="68" spans="1:46">
      <c r="B68" s="138"/>
      <c r="C68" s="47">
        <f t="shared" si="2"/>
        <v>62</v>
      </c>
      <c r="D68" s="61" t="s">
        <v>66</v>
      </c>
      <c r="E68" s="61" t="s">
        <v>66</v>
      </c>
      <c r="F68" s="61" t="s">
        <v>66</v>
      </c>
      <c r="G68" s="61" t="s">
        <v>66</v>
      </c>
      <c r="H68" s="61" t="s">
        <v>66</v>
      </c>
      <c r="I68" s="61" t="s">
        <v>66</v>
      </c>
      <c r="J68" s="61" t="s">
        <v>66</v>
      </c>
      <c r="K68" s="61" t="s">
        <v>66</v>
      </c>
      <c r="L68" s="61" t="s">
        <v>66</v>
      </c>
      <c r="M68" s="61" t="s">
        <v>66</v>
      </c>
      <c r="N68" s="61" t="s">
        <v>66</v>
      </c>
      <c r="O68" s="61" t="s">
        <v>66</v>
      </c>
      <c r="P68" s="61" t="s">
        <v>66</v>
      </c>
      <c r="Q68" s="61" t="s">
        <v>66</v>
      </c>
      <c r="R68" s="61" t="s">
        <v>66</v>
      </c>
      <c r="S68" s="61" t="s">
        <v>66</v>
      </c>
      <c r="T68" s="61" t="s">
        <v>66</v>
      </c>
      <c r="U68" s="61" t="s">
        <v>66</v>
      </c>
      <c r="V68" s="61" t="s">
        <v>66</v>
      </c>
      <c r="W68" s="61" t="s">
        <v>66</v>
      </c>
      <c r="X68" s="61" t="s">
        <v>66</v>
      </c>
      <c r="Y68" s="61" t="s">
        <v>66</v>
      </c>
      <c r="Z68" s="61" t="s">
        <v>66</v>
      </c>
      <c r="AA68" s="61" t="s">
        <v>66</v>
      </c>
      <c r="AB68" s="61" t="s">
        <v>66</v>
      </c>
      <c r="AC68" s="61" t="s">
        <v>66</v>
      </c>
      <c r="AD68" s="61" t="s">
        <v>66</v>
      </c>
      <c r="AE68" s="61" t="s">
        <v>66</v>
      </c>
      <c r="AF68" s="61" t="s">
        <v>66</v>
      </c>
      <c r="AG68" s="61" t="s">
        <v>66</v>
      </c>
      <c r="AH68" s="61" t="s">
        <v>66</v>
      </c>
      <c r="AI68" s="61" t="s">
        <v>66</v>
      </c>
      <c r="AJ68" s="26"/>
      <c r="AL68" t="str">
        <f t="shared" ca="1" si="0"/>
        <v xml:space="preserve">    (U1)ALERT_REQ_D_ATFWRN_PD_</v>
      </c>
      <c r="AR68" s="63" t="str">
        <f t="shared" si="3"/>
        <v/>
      </c>
      <c r="AS68" s="63" t="str">
        <f t="shared" si="4"/>
        <v/>
      </c>
      <c r="AT68" s="63" t="str">
        <f t="shared" si="1"/>
        <v/>
      </c>
    </row>
    <row r="69" spans="1:46">
      <c r="B69" s="139"/>
      <c r="C69" s="47">
        <f t="shared" si="2"/>
        <v>63</v>
      </c>
      <c r="D69" s="61" t="s">
        <v>66</v>
      </c>
      <c r="E69" s="61" t="s">
        <v>66</v>
      </c>
      <c r="F69" s="61" t="s">
        <v>66</v>
      </c>
      <c r="G69" s="61" t="s">
        <v>66</v>
      </c>
      <c r="H69" s="61" t="s">
        <v>66</v>
      </c>
      <c r="I69" s="61" t="s">
        <v>66</v>
      </c>
      <c r="J69" s="61" t="s">
        <v>66</v>
      </c>
      <c r="K69" s="61" t="s">
        <v>66</v>
      </c>
      <c r="L69" s="61" t="s">
        <v>66</v>
      </c>
      <c r="M69" s="61" t="s">
        <v>66</v>
      </c>
      <c r="N69" s="61" t="s">
        <v>66</v>
      </c>
      <c r="O69" s="61" t="s">
        <v>66</v>
      </c>
      <c r="P69" s="61" t="s">
        <v>66</v>
      </c>
      <c r="Q69" s="61" t="s">
        <v>66</v>
      </c>
      <c r="R69" s="61" t="s">
        <v>66</v>
      </c>
      <c r="S69" s="61" t="s">
        <v>66</v>
      </c>
      <c r="T69" s="61" t="s">
        <v>66</v>
      </c>
      <c r="U69" s="61" t="s">
        <v>66</v>
      </c>
      <c r="V69" s="61" t="s">
        <v>66</v>
      </c>
      <c r="W69" s="61" t="s">
        <v>66</v>
      </c>
      <c r="X69" s="61" t="s">
        <v>66</v>
      </c>
      <c r="Y69" s="61" t="s">
        <v>66</v>
      </c>
      <c r="Z69" s="61" t="s">
        <v>66</v>
      </c>
      <c r="AA69" s="61" t="s">
        <v>66</v>
      </c>
      <c r="AB69" s="61" t="s">
        <v>66</v>
      </c>
      <c r="AC69" s="61" t="s">
        <v>66</v>
      </c>
      <c r="AD69" s="61" t="s">
        <v>66</v>
      </c>
      <c r="AE69" s="61" t="s">
        <v>66</v>
      </c>
      <c r="AF69" s="61" t="s">
        <v>66</v>
      </c>
      <c r="AG69" s="61" t="s">
        <v>66</v>
      </c>
      <c r="AH69" s="61" t="s">
        <v>66</v>
      </c>
      <c r="AI69" s="61" t="s">
        <v>66</v>
      </c>
      <c r="AJ69" s="26"/>
      <c r="AL69" t="str">
        <f t="shared" ca="1" si="0"/>
        <v xml:space="preserve">    (U1)ALERT_REQ_D_ATFWRN_PD_</v>
      </c>
      <c r="AR69" s="63" t="str">
        <f t="shared" si="3"/>
        <v/>
      </c>
      <c r="AS69" s="63" t="str">
        <f t="shared" si="4"/>
        <v/>
      </c>
      <c r="AT69" s="63" t="str">
        <f t="shared" si="1"/>
        <v/>
      </c>
    </row>
    <row r="70" spans="1:46" ht="14.25" thickBot="1">
      <c r="A70" s="56" t="s">
        <v>63</v>
      </c>
      <c r="B70" s="57"/>
      <c r="C70" s="57"/>
      <c r="D70" s="59"/>
      <c r="E70" s="59"/>
      <c r="F70" s="59"/>
      <c r="G70" s="59"/>
      <c r="H70" s="59"/>
      <c r="I70" s="59"/>
      <c r="J70" s="59"/>
      <c r="K70" s="59"/>
      <c r="L70" s="59"/>
      <c r="M70" s="59"/>
      <c r="N70" s="59"/>
      <c r="O70" s="59"/>
      <c r="P70" s="59"/>
      <c r="Q70" s="59"/>
      <c r="R70" s="59"/>
      <c r="S70" s="59"/>
      <c r="T70" s="59"/>
      <c r="U70" s="59"/>
      <c r="V70" s="59"/>
      <c r="W70" s="59"/>
      <c r="X70" s="59"/>
      <c r="Y70" s="59"/>
      <c r="Z70" s="59"/>
      <c r="AA70" s="59"/>
      <c r="AB70" s="59"/>
      <c r="AC70" s="59"/>
      <c r="AD70" s="59"/>
      <c r="AE70" s="59"/>
      <c r="AF70" s="59"/>
      <c r="AG70" s="59"/>
      <c r="AH70" s="59"/>
      <c r="AI70" s="59"/>
      <c r="AJ70" s="57"/>
      <c r="AR70" s="64" t="str">
        <f t="shared" si="3"/>
        <v/>
      </c>
      <c r="AS70" s="64" t="str">
        <f t="shared" si="4"/>
        <v/>
      </c>
      <c r="AT70" s="64" t="str">
        <f t="shared" ref="AT70" si="5">IF(AJ70&lt;&gt;"",AL70&amp;IF(AJ71&lt;&gt;"",","," ")&amp;REPT(" ",78-LEN(AL70))&amp;"/* "&amp;IF(C70&lt;10,"0"&amp;C70,C70)&amp;" "&amp;AJ70&amp;REPT(" ",48-LEN(AJ70))&amp;"*/",IF(AJ69&lt;&gt;"","};",""))</f>
        <v/>
      </c>
    </row>
    <row r="71" spans="1:46">
      <c r="B71" s="140" t="str">
        <f ca="1">IF(B6&lt;&gt;"",B6,"")</f>
        <v>Table PD</v>
      </c>
      <c r="C71" s="47">
        <f>IF(C6&lt;&gt;"",C6,"")</f>
        <v>0</v>
      </c>
      <c r="D71" s="130">
        <f t="shared" ref="D71:AI78" si="6">IF(D6=1,1,0)</f>
        <v>0</v>
      </c>
      <c r="E71" s="130">
        <f t="shared" si="6"/>
        <v>0</v>
      </c>
      <c r="F71" s="130">
        <f t="shared" si="6"/>
        <v>0</v>
      </c>
      <c r="G71" s="130">
        <f t="shared" si="6"/>
        <v>0</v>
      </c>
      <c r="H71" s="130">
        <f t="shared" si="6"/>
        <v>0</v>
      </c>
      <c r="I71" s="130">
        <f t="shared" si="6"/>
        <v>0</v>
      </c>
      <c r="J71" s="130">
        <f t="shared" si="6"/>
        <v>0</v>
      </c>
      <c r="K71" s="130">
        <f t="shared" si="6"/>
        <v>0</v>
      </c>
      <c r="L71" s="130">
        <f t="shared" si="6"/>
        <v>0</v>
      </c>
      <c r="M71" s="130">
        <f t="shared" si="6"/>
        <v>0</v>
      </c>
      <c r="N71" s="130">
        <f t="shared" si="6"/>
        <v>0</v>
      </c>
      <c r="O71" s="130">
        <f t="shared" si="6"/>
        <v>0</v>
      </c>
      <c r="P71" s="130">
        <f t="shared" si="6"/>
        <v>0</v>
      </c>
      <c r="Q71" s="130">
        <f t="shared" si="6"/>
        <v>0</v>
      </c>
      <c r="R71" s="130">
        <f t="shared" si="6"/>
        <v>0</v>
      </c>
      <c r="S71" s="130">
        <f t="shared" si="6"/>
        <v>0</v>
      </c>
      <c r="T71" s="130">
        <f t="shared" si="6"/>
        <v>0</v>
      </c>
      <c r="U71" s="130">
        <f t="shared" si="6"/>
        <v>0</v>
      </c>
      <c r="V71" s="130">
        <f t="shared" si="6"/>
        <v>0</v>
      </c>
      <c r="W71" s="130">
        <f t="shared" si="6"/>
        <v>0</v>
      </c>
      <c r="X71" s="130">
        <f t="shared" si="6"/>
        <v>0</v>
      </c>
      <c r="Y71" s="130">
        <f t="shared" si="6"/>
        <v>0</v>
      </c>
      <c r="Z71" s="130">
        <f t="shared" si="6"/>
        <v>0</v>
      </c>
      <c r="AA71" s="130">
        <f t="shared" si="6"/>
        <v>0</v>
      </c>
      <c r="AB71" s="130">
        <f t="shared" si="6"/>
        <v>0</v>
      </c>
      <c r="AC71" s="130">
        <f t="shared" si="6"/>
        <v>0</v>
      </c>
      <c r="AD71" s="130">
        <f t="shared" si="6"/>
        <v>0</v>
      </c>
      <c r="AE71" s="130">
        <f t="shared" si="6"/>
        <v>0</v>
      </c>
      <c r="AF71" s="130">
        <f t="shared" si="6"/>
        <v>0</v>
      </c>
      <c r="AG71" s="130">
        <f t="shared" si="6"/>
        <v>0</v>
      </c>
      <c r="AH71" s="130">
        <f t="shared" si="6"/>
        <v>0</v>
      </c>
      <c r="AI71" s="130">
        <f t="shared" si="6"/>
        <v>0</v>
      </c>
      <c r="AJ71" s="47" t="str">
        <f t="shared" ref="AJ71:AJ134" si="7">IF(AJ6&lt;&gt;"",AJ6,"")</f>
        <v>UNKNOWN</v>
      </c>
      <c r="AK71" s="60"/>
      <c r="AL71" s="60" t="str">
        <f>BIN2HEX(AB71&amp;AC71&amp;AD71&amp;AE71&amp;AF71&amp;AG71&amp;AH71&amp;AI71,2)</f>
        <v>00</v>
      </c>
      <c r="AM71" s="62" t="str">
        <f>BIN2HEX(T71&amp;U71&amp;V71&amp;W71&amp;X71&amp;Y71&amp;Z71&amp;AA71,2)</f>
        <v>00</v>
      </c>
      <c r="AN71" s="62" t="str">
        <f>BIN2HEX(L71&amp;M71&amp;N71&amp;O71&amp;P71&amp;Q71&amp;R71&amp;S71,2)</f>
        <v>00</v>
      </c>
      <c r="AO71" s="62" t="str">
        <f>BIN2HEX(D71&amp;E71&amp;F71&amp;G71&amp;H71&amp;I71&amp;J71&amp;K71,2)</f>
        <v>00</v>
      </c>
      <c r="AQ71" t="str">
        <f t="shared" ref="AQ71:AQ134" si="8">IF(AJ71="","","    (U4)0x"&amp;AO71&amp;AN71&amp;AM71&amp;AL71&amp;"U"&amp;IF(AJ72=""," ",",")&amp;REPT(" ",59)&amp;"/* "&amp;IF(C71&lt;10,"0"&amp;C71,C71)&amp;" "&amp;AJ71&amp;REPT(" ",47-LEN(AJ71))&amp;" */")</f>
        <v xml:space="preserve">    (U4)0x00000000U,                                                           /* 00 UNKNOWN                                         */</v>
      </c>
    </row>
    <row r="72" spans="1:46">
      <c r="B72" s="138"/>
      <c r="C72" s="47">
        <f t="shared" ref="C72:C134" si="9">IF(C7&lt;&gt;"",C7,"")</f>
        <v>1</v>
      </c>
      <c r="D72" s="130">
        <f t="shared" si="6"/>
        <v>0</v>
      </c>
      <c r="E72" s="130">
        <f t="shared" si="6"/>
        <v>0</v>
      </c>
      <c r="F72" s="130">
        <f t="shared" si="6"/>
        <v>0</v>
      </c>
      <c r="G72" s="130">
        <f t="shared" si="6"/>
        <v>0</v>
      </c>
      <c r="H72" s="130">
        <f t="shared" si="6"/>
        <v>0</v>
      </c>
      <c r="I72" s="130">
        <f t="shared" si="6"/>
        <v>0</v>
      </c>
      <c r="J72" s="130">
        <f t="shared" si="6"/>
        <v>0</v>
      </c>
      <c r="K72" s="130">
        <f t="shared" si="6"/>
        <v>0</v>
      </c>
      <c r="L72" s="130">
        <f t="shared" si="6"/>
        <v>0</v>
      </c>
      <c r="M72" s="130">
        <f t="shared" si="6"/>
        <v>0</v>
      </c>
      <c r="N72" s="130">
        <f t="shared" si="6"/>
        <v>0</v>
      </c>
      <c r="O72" s="130">
        <f t="shared" si="6"/>
        <v>0</v>
      </c>
      <c r="P72" s="130">
        <f t="shared" si="6"/>
        <v>0</v>
      </c>
      <c r="Q72" s="130">
        <f t="shared" si="6"/>
        <v>0</v>
      </c>
      <c r="R72" s="130">
        <f t="shared" si="6"/>
        <v>0</v>
      </c>
      <c r="S72" s="130">
        <f t="shared" si="6"/>
        <v>0</v>
      </c>
      <c r="T72" s="130">
        <f t="shared" si="6"/>
        <v>0</v>
      </c>
      <c r="U72" s="130">
        <f t="shared" si="6"/>
        <v>0</v>
      </c>
      <c r="V72" s="130">
        <f t="shared" si="6"/>
        <v>0</v>
      </c>
      <c r="W72" s="130">
        <f t="shared" si="6"/>
        <v>0</v>
      </c>
      <c r="X72" s="130">
        <f t="shared" si="6"/>
        <v>0</v>
      </c>
      <c r="Y72" s="130">
        <f t="shared" si="6"/>
        <v>0</v>
      </c>
      <c r="Z72" s="130">
        <f t="shared" si="6"/>
        <v>0</v>
      </c>
      <c r="AA72" s="130">
        <f t="shared" si="6"/>
        <v>0</v>
      </c>
      <c r="AB72" s="130">
        <f t="shared" si="6"/>
        <v>0</v>
      </c>
      <c r="AC72" s="130">
        <f t="shared" si="6"/>
        <v>0</v>
      </c>
      <c r="AD72" s="130">
        <f t="shared" si="6"/>
        <v>0</v>
      </c>
      <c r="AE72" s="130">
        <f t="shared" si="6"/>
        <v>0</v>
      </c>
      <c r="AF72" s="130">
        <f t="shared" si="6"/>
        <v>0</v>
      </c>
      <c r="AG72" s="130">
        <f t="shared" si="6"/>
        <v>0</v>
      </c>
      <c r="AH72" s="130">
        <f t="shared" si="6"/>
        <v>0</v>
      </c>
      <c r="AI72" s="130">
        <f t="shared" si="6"/>
        <v>1</v>
      </c>
      <c r="AJ72" s="47" t="str">
        <f t="shared" si="7"/>
        <v>ATFREPL</v>
      </c>
      <c r="AK72" s="60"/>
      <c r="AL72" s="60" t="str">
        <f t="shared" ref="AL72:AL134" si="10">BIN2HEX(AB72&amp;AC72&amp;AD72&amp;AE72&amp;AF72&amp;AG72&amp;AH72&amp;AI72,2)</f>
        <v>01</v>
      </c>
      <c r="AM72" s="62" t="str">
        <f t="shared" ref="AM72:AM134" si="11">BIN2HEX(T72&amp;U72&amp;V72&amp;W72&amp;X72&amp;Y72&amp;Z72&amp;AA72,2)</f>
        <v>00</v>
      </c>
      <c r="AN72" s="62" t="str">
        <f t="shared" ref="AN72:AN134" si="12">BIN2HEX(L72&amp;M72&amp;N72&amp;O72&amp;P72&amp;Q72&amp;R72&amp;S72,2)</f>
        <v>00</v>
      </c>
      <c r="AO72" s="62" t="str">
        <f t="shared" ref="AO72:AO134" si="13">BIN2HEX(D72&amp;E72&amp;F72&amp;G72&amp;H72&amp;I72&amp;J72&amp;K72,2)</f>
        <v>00</v>
      </c>
      <c r="AQ72" t="str">
        <f t="shared" si="8"/>
        <v xml:space="preserve">    (U4)0x00000001U,                                                           /* 01 ATFREPL                                         */</v>
      </c>
    </row>
    <row r="73" spans="1:46">
      <c r="B73" s="138"/>
      <c r="C73" s="47">
        <f t="shared" si="9"/>
        <v>2</v>
      </c>
      <c r="D73" s="130">
        <f t="shared" si="6"/>
        <v>0</v>
      </c>
      <c r="E73" s="130">
        <f t="shared" si="6"/>
        <v>0</v>
      </c>
      <c r="F73" s="130">
        <f t="shared" si="6"/>
        <v>0</v>
      </c>
      <c r="G73" s="130">
        <f t="shared" si="6"/>
        <v>0</v>
      </c>
      <c r="H73" s="130">
        <f t="shared" si="6"/>
        <v>0</v>
      </c>
      <c r="I73" s="130">
        <f t="shared" si="6"/>
        <v>0</v>
      </c>
      <c r="J73" s="130">
        <f t="shared" si="6"/>
        <v>0</v>
      </c>
      <c r="K73" s="130">
        <f t="shared" si="6"/>
        <v>0</v>
      </c>
      <c r="L73" s="130">
        <f t="shared" si="6"/>
        <v>0</v>
      </c>
      <c r="M73" s="130">
        <f t="shared" si="6"/>
        <v>0</v>
      </c>
      <c r="N73" s="130">
        <f t="shared" si="6"/>
        <v>0</v>
      </c>
      <c r="O73" s="130">
        <f t="shared" si="6"/>
        <v>0</v>
      </c>
      <c r="P73" s="130">
        <f t="shared" si="6"/>
        <v>0</v>
      </c>
      <c r="Q73" s="130">
        <f t="shared" si="6"/>
        <v>0</v>
      </c>
      <c r="R73" s="130">
        <f t="shared" si="6"/>
        <v>0</v>
      </c>
      <c r="S73" s="130">
        <f t="shared" si="6"/>
        <v>0</v>
      </c>
      <c r="T73" s="130">
        <f t="shared" si="6"/>
        <v>0</v>
      </c>
      <c r="U73" s="130">
        <f t="shared" si="6"/>
        <v>0</v>
      </c>
      <c r="V73" s="130">
        <f t="shared" si="6"/>
        <v>0</v>
      </c>
      <c r="W73" s="130">
        <f t="shared" si="6"/>
        <v>0</v>
      </c>
      <c r="X73" s="130">
        <f t="shared" si="6"/>
        <v>0</v>
      </c>
      <c r="Y73" s="130">
        <f t="shared" si="6"/>
        <v>0</v>
      </c>
      <c r="Z73" s="130">
        <f t="shared" si="6"/>
        <v>0</v>
      </c>
      <c r="AA73" s="130">
        <f t="shared" si="6"/>
        <v>0</v>
      </c>
      <c r="AB73" s="130">
        <f t="shared" si="6"/>
        <v>0</v>
      </c>
      <c r="AC73" s="130">
        <f t="shared" si="6"/>
        <v>0</v>
      </c>
      <c r="AD73" s="130">
        <f t="shared" si="6"/>
        <v>0</v>
      </c>
      <c r="AE73" s="130">
        <f t="shared" si="6"/>
        <v>0</v>
      </c>
      <c r="AF73" s="130">
        <f t="shared" si="6"/>
        <v>0</v>
      </c>
      <c r="AG73" s="130">
        <f t="shared" si="6"/>
        <v>0</v>
      </c>
      <c r="AH73" s="130">
        <f t="shared" si="6"/>
        <v>1</v>
      </c>
      <c r="AI73" s="130">
        <f t="shared" si="6"/>
        <v>0</v>
      </c>
      <c r="AJ73" s="47" t="str">
        <f t="shared" si="7"/>
        <v>UNKNOWN</v>
      </c>
      <c r="AK73" s="60"/>
      <c r="AL73" s="60" t="str">
        <f t="shared" si="10"/>
        <v>02</v>
      </c>
      <c r="AM73" s="62" t="str">
        <f t="shared" si="11"/>
        <v>00</v>
      </c>
      <c r="AN73" s="62" t="str">
        <f t="shared" si="12"/>
        <v>00</v>
      </c>
      <c r="AO73" s="62" t="str">
        <f t="shared" si="13"/>
        <v>00</v>
      </c>
      <c r="AQ73" t="str">
        <f t="shared" si="8"/>
        <v xml:space="preserve">    (U4)0x00000002U,                                                           /* 02 UNKNOWN                                         */</v>
      </c>
    </row>
    <row r="74" spans="1:46">
      <c r="B74" s="138"/>
      <c r="C74" s="47">
        <f t="shared" si="9"/>
        <v>3</v>
      </c>
      <c r="D74" s="130">
        <f t="shared" si="6"/>
        <v>0</v>
      </c>
      <c r="E74" s="130">
        <f t="shared" si="6"/>
        <v>0</v>
      </c>
      <c r="F74" s="130">
        <f t="shared" si="6"/>
        <v>0</v>
      </c>
      <c r="G74" s="130">
        <f t="shared" si="6"/>
        <v>0</v>
      </c>
      <c r="H74" s="130">
        <f t="shared" si="6"/>
        <v>0</v>
      </c>
      <c r="I74" s="130">
        <f t="shared" si="6"/>
        <v>0</v>
      </c>
      <c r="J74" s="130">
        <f t="shared" si="6"/>
        <v>0</v>
      </c>
      <c r="K74" s="130">
        <f t="shared" si="6"/>
        <v>0</v>
      </c>
      <c r="L74" s="130">
        <f t="shared" si="6"/>
        <v>0</v>
      </c>
      <c r="M74" s="130">
        <f t="shared" si="6"/>
        <v>0</v>
      </c>
      <c r="N74" s="130">
        <f t="shared" si="6"/>
        <v>0</v>
      </c>
      <c r="O74" s="130">
        <f t="shared" si="6"/>
        <v>0</v>
      </c>
      <c r="P74" s="130">
        <f t="shared" si="6"/>
        <v>0</v>
      </c>
      <c r="Q74" s="130">
        <f t="shared" si="6"/>
        <v>0</v>
      </c>
      <c r="R74" s="130">
        <f t="shared" si="6"/>
        <v>0</v>
      </c>
      <c r="S74" s="130">
        <f t="shared" si="6"/>
        <v>0</v>
      </c>
      <c r="T74" s="130">
        <f t="shared" si="6"/>
        <v>0</v>
      </c>
      <c r="U74" s="130">
        <f t="shared" si="6"/>
        <v>0</v>
      </c>
      <c r="V74" s="130">
        <f t="shared" si="6"/>
        <v>0</v>
      </c>
      <c r="W74" s="130">
        <f t="shared" si="6"/>
        <v>0</v>
      </c>
      <c r="X74" s="130">
        <f t="shared" si="6"/>
        <v>0</v>
      </c>
      <c r="Y74" s="130">
        <f t="shared" si="6"/>
        <v>0</v>
      </c>
      <c r="Z74" s="130">
        <f t="shared" si="6"/>
        <v>0</v>
      </c>
      <c r="AA74" s="130">
        <f t="shared" si="6"/>
        <v>0</v>
      </c>
      <c r="AB74" s="130">
        <f t="shared" si="6"/>
        <v>0</v>
      </c>
      <c r="AC74" s="130">
        <f t="shared" si="6"/>
        <v>0</v>
      </c>
      <c r="AD74" s="130">
        <f t="shared" si="6"/>
        <v>0</v>
      </c>
      <c r="AE74" s="130">
        <f t="shared" si="6"/>
        <v>0</v>
      </c>
      <c r="AF74" s="130">
        <f t="shared" si="6"/>
        <v>0</v>
      </c>
      <c r="AG74" s="130">
        <f t="shared" si="6"/>
        <v>0</v>
      </c>
      <c r="AH74" s="130">
        <f t="shared" si="6"/>
        <v>1</v>
      </c>
      <c r="AI74" s="130">
        <f t="shared" si="6"/>
        <v>1</v>
      </c>
      <c r="AJ74" s="47" t="str">
        <f t="shared" si="7"/>
        <v>UNKNOWN</v>
      </c>
      <c r="AK74" s="60"/>
      <c r="AL74" s="60" t="str">
        <f t="shared" si="10"/>
        <v>03</v>
      </c>
      <c r="AM74" s="62" t="str">
        <f t="shared" si="11"/>
        <v>00</v>
      </c>
      <c r="AN74" s="62" t="str">
        <f t="shared" si="12"/>
        <v>00</v>
      </c>
      <c r="AO74" s="62" t="str">
        <f t="shared" si="13"/>
        <v>00</v>
      </c>
      <c r="AQ74" t="str">
        <f t="shared" si="8"/>
        <v xml:space="preserve">    (U4)0x00000003U                                                            /* 03 UNKNOWN                                         */</v>
      </c>
    </row>
    <row r="75" spans="1:46">
      <c r="B75" s="138"/>
      <c r="C75" s="47">
        <f t="shared" si="9"/>
        <v>4</v>
      </c>
      <c r="D75" s="130">
        <f t="shared" si="6"/>
        <v>0</v>
      </c>
      <c r="E75" s="130">
        <f t="shared" si="6"/>
        <v>0</v>
      </c>
      <c r="F75" s="130">
        <f t="shared" si="6"/>
        <v>0</v>
      </c>
      <c r="G75" s="130">
        <f t="shared" si="6"/>
        <v>0</v>
      </c>
      <c r="H75" s="130">
        <f t="shared" si="6"/>
        <v>0</v>
      </c>
      <c r="I75" s="130">
        <f t="shared" si="6"/>
        <v>0</v>
      </c>
      <c r="J75" s="130">
        <f t="shared" si="6"/>
        <v>0</v>
      </c>
      <c r="K75" s="130">
        <f t="shared" si="6"/>
        <v>0</v>
      </c>
      <c r="L75" s="130">
        <f t="shared" si="6"/>
        <v>0</v>
      </c>
      <c r="M75" s="130">
        <f t="shared" si="6"/>
        <v>0</v>
      </c>
      <c r="N75" s="130">
        <f t="shared" si="6"/>
        <v>0</v>
      </c>
      <c r="O75" s="130">
        <f t="shared" si="6"/>
        <v>0</v>
      </c>
      <c r="P75" s="130">
        <f t="shared" si="6"/>
        <v>0</v>
      </c>
      <c r="Q75" s="130">
        <f t="shared" si="6"/>
        <v>0</v>
      </c>
      <c r="R75" s="130">
        <f t="shared" si="6"/>
        <v>0</v>
      </c>
      <c r="S75" s="130">
        <f t="shared" si="6"/>
        <v>0</v>
      </c>
      <c r="T75" s="130">
        <f t="shared" si="6"/>
        <v>0</v>
      </c>
      <c r="U75" s="130">
        <f t="shared" si="6"/>
        <v>0</v>
      </c>
      <c r="V75" s="130">
        <f t="shared" si="6"/>
        <v>0</v>
      </c>
      <c r="W75" s="130">
        <f t="shared" si="6"/>
        <v>0</v>
      </c>
      <c r="X75" s="130">
        <f t="shared" si="6"/>
        <v>0</v>
      </c>
      <c r="Y75" s="130">
        <f t="shared" si="6"/>
        <v>0</v>
      </c>
      <c r="Z75" s="130">
        <f t="shared" si="6"/>
        <v>0</v>
      </c>
      <c r="AA75" s="130">
        <f t="shared" si="6"/>
        <v>0</v>
      </c>
      <c r="AB75" s="130">
        <f t="shared" si="6"/>
        <v>0</v>
      </c>
      <c r="AC75" s="130">
        <f t="shared" si="6"/>
        <v>0</v>
      </c>
      <c r="AD75" s="130">
        <f t="shared" si="6"/>
        <v>0</v>
      </c>
      <c r="AE75" s="130">
        <f t="shared" si="6"/>
        <v>0</v>
      </c>
      <c r="AF75" s="130">
        <f t="shared" si="6"/>
        <v>0</v>
      </c>
      <c r="AG75" s="130">
        <f t="shared" si="6"/>
        <v>0</v>
      </c>
      <c r="AH75" s="130">
        <f t="shared" si="6"/>
        <v>0</v>
      </c>
      <c r="AI75" s="130">
        <f t="shared" si="6"/>
        <v>0</v>
      </c>
      <c r="AJ75" s="47" t="str">
        <f t="shared" si="7"/>
        <v/>
      </c>
      <c r="AK75" s="60"/>
      <c r="AL75" s="60" t="str">
        <f t="shared" si="10"/>
        <v>00</v>
      </c>
      <c r="AM75" s="62" t="str">
        <f t="shared" si="11"/>
        <v>00</v>
      </c>
      <c r="AN75" s="62" t="str">
        <f t="shared" si="12"/>
        <v>00</v>
      </c>
      <c r="AO75" s="62" t="str">
        <f t="shared" si="13"/>
        <v>00</v>
      </c>
      <c r="AQ75" t="str">
        <f t="shared" si="8"/>
        <v/>
      </c>
    </row>
    <row r="76" spans="1:46">
      <c r="B76" s="138"/>
      <c r="C76" s="47">
        <f t="shared" si="9"/>
        <v>5</v>
      </c>
      <c r="D76" s="130">
        <f t="shared" si="6"/>
        <v>0</v>
      </c>
      <c r="E76" s="130">
        <f t="shared" si="6"/>
        <v>0</v>
      </c>
      <c r="F76" s="130">
        <f t="shared" si="6"/>
        <v>0</v>
      </c>
      <c r="G76" s="130">
        <f t="shared" si="6"/>
        <v>0</v>
      </c>
      <c r="H76" s="130">
        <f t="shared" si="6"/>
        <v>0</v>
      </c>
      <c r="I76" s="130">
        <f t="shared" si="6"/>
        <v>0</v>
      </c>
      <c r="J76" s="130">
        <f t="shared" si="6"/>
        <v>0</v>
      </c>
      <c r="K76" s="130">
        <f t="shared" si="6"/>
        <v>0</v>
      </c>
      <c r="L76" s="130">
        <f t="shared" si="6"/>
        <v>0</v>
      </c>
      <c r="M76" s="130">
        <f t="shared" si="6"/>
        <v>0</v>
      </c>
      <c r="N76" s="130">
        <f t="shared" si="6"/>
        <v>0</v>
      </c>
      <c r="O76" s="130">
        <f t="shared" si="6"/>
        <v>0</v>
      </c>
      <c r="P76" s="130">
        <f t="shared" si="6"/>
        <v>0</v>
      </c>
      <c r="Q76" s="130">
        <f t="shared" si="6"/>
        <v>0</v>
      </c>
      <c r="R76" s="130">
        <f t="shared" si="6"/>
        <v>0</v>
      </c>
      <c r="S76" s="130">
        <f t="shared" si="6"/>
        <v>0</v>
      </c>
      <c r="T76" s="130">
        <f t="shared" si="6"/>
        <v>0</v>
      </c>
      <c r="U76" s="130">
        <f t="shared" si="6"/>
        <v>0</v>
      </c>
      <c r="V76" s="130">
        <f t="shared" si="6"/>
        <v>0</v>
      </c>
      <c r="W76" s="130">
        <f t="shared" si="6"/>
        <v>0</v>
      </c>
      <c r="X76" s="130">
        <f t="shared" si="6"/>
        <v>0</v>
      </c>
      <c r="Y76" s="130">
        <f t="shared" si="6"/>
        <v>0</v>
      </c>
      <c r="Z76" s="130">
        <f t="shared" si="6"/>
        <v>0</v>
      </c>
      <c r="AA76" s="130">
        <f t="shared" si="6"/>
        <v>0</v>
      </c>
      <c r="AB76" s="130">
        <f t="shared" si="6"/>
        <v>0</v>
      </c>
      <c r="AC76" s="130">
        <f t="shared" si="6"/>
        <v>0</v>
      </c>
      <c r="AD76" s="130">
        <f t="shared" si="6"/>
        <v>0</v>
      </c>
      <c r="AE76" s="130">
        <f t="shared" si="6"/>
        <v>0</v>
      </c>
      <c r="AF76" s="130">
        <f t="shared" si="6"/>
        <v>0</v>
      </c>
      <c r="AG76" s="130">
        <f t="shared" si="6"/>
        <v>0</v>
      </c>
      <c r="AH76" s="130">
        <f t="shared" si="6"/>
        <v>0</v>
      </c>
      <c r="AI76" s="130">
        <f t="shared" si="6"/>
        <v>0</v>
      </c>
      <c r="AJ76" s="47" t="str">
        <f t="shared" si="7"/>
        <v/>
      </c>
      <c r="AK76" s="60"/>
      <c r="AL76" s="60" t="str">
        <f t="shared" si="10"/>
        <v>00</v>
      </c>
      <c r="AM76" s="62" t="str">
        <f t="shared" si="11"/>
        <v>00</v>
      </c>
      <c r="AN76" s="62" t="str">
        <f t="shared" si="12"/>
        <v>00</v>
      </c>
      <c r="AO76" s="62" t="str">
        <f t="shared" si="13"/>
        <v>00</v>
      </c>
      <c r="AQ76" t="str">
        <f t="shared" si="8"/>
        <v/>
      </c>
    </row>
    <row r="77" spans="1:46">
      <c r="B77" s="138"/>
      <c r="C77" s="47">
        <f t="shared" si="9"/>
        <v>6</v>
      </c>
      <c r="D77" s="130">
        <f t="shared" si="6"/>
        <v>0</v>
      </c>
      <c r="E77" s="130">
        <f t="shared" si="6"/>
        <v>0</v>
      </c>
      <c r="F77" s="130">
        <f t="shared" si="6"/>
        <v>0</v>
      </c>
      <c r="G77" s="130">
        <f t="shared" si="6"/>
        <v>0</v>
      </c>
      <c r="H77" s="130">
        <f t="shared" si="6"/>
        <v>0</v>
      </c>
      <c r="I77" s="130">
        <f t="shared" si="6"/>
        <v>0</v>
      </c>
      <c r="J77" s="130">
        <f t="shared" si="6"/>
        <v>0</v>
      </c>
      <c r="K77" s="130">
        <f t="shared" si="6"/>
        <v>0</v>
      </c>
      <c r="L77" s="130">
        <f t="shared" si="6"/>
        <v>0</v>
      </c>
      <c r="M77" s="130">
        <f t="shared" si="6"/>
        <v>0</v>
      </c>
      <c r="N77" s="130">
        <f t="shared" si="6"/>
        <v>0</v>
      </c>
      <c r="O77" s="130">
        <f t="shared" si="6"/>
        <v>0</v>
      </c>
      <c r="P77" s="130">
        <f t="shared" si="6"/>
        <v>0</v>
      </c>
      <c r="Q77" s="130">
        <f t="shared" si="6"/>
        <v>0</v>
      </c>
      <c r="R77" s="130">
        <f t="shared" si="6"/>
        <v>0</v>
      </c>
      <c r="S77" s="130">
        <f t="shared" si="6"/>
        <v>0</v>
      </c>
      <c r="T77" s="130">
        <f t="shared" si="6"/>
        <v>0</v>
      </c>
      <c r="U77" s="130">
        <f t="shared" si="6"/>
        <v>0</v>
      </c>
      <c r="V77" s="130">
        <f t="shared" si="6"/>
        <v>0</v>
      </c>
      <c r="W77" s="130">
        <f t="shared" si="6"/>
        <v>0</v>
      </c>
      <c r="X77" s="130">
        <f t="shared" si="6"/>
        <v>0</v>
      </c>
      <c r="Y77" s="130">
        <f t="shared" si="6"/>
        <v>0</v>
      </c>
      <c r="Z77" s="130">
        <f t="shared" si="6"/>
        <v>0</v>
      </c>
      <c r="AA77" s="130">
        <f t="shared" si="6"/>
        <v>0</v>
      </c>
      <c r="AB77" s="130">
        <f t="shared" si="6"/>
        <v>0</v>
      </c>
      <c r="AC77" s="130">
        <f t="shared" si="6"/>
        <v>0</v>
      </c>
      <c r="AD77" s="130">
        <f t="shared" si="6"/>
        <v>0</v>
      </c>
      <c r="AE77" s="130">
        <f t="shared" si="6"/>
        <v>0</v>
      </c>
      <c r="AF77" s="130">
        <f t="shared" si="6"/>
        <v>0</v>
      </c>
      <c r="AG77" s="130">
        <f t="shared" si="6"/>
        <v>0</v>
      </c>
      <c r="AH77" s="130">
        <f t="shared" si="6"/>
        <v>0</v>
      </c>
      <c r="AI77" s="130">
        <f t="shared" si="6"/>
        <v>0</v>
      </c>
      <c r="AJ77" s="47" t="str">
        <f t="shared" si="7"/>
        <v/>
      </c>
      <c r="AK77" s="60"/>
      <c r="AL77" s="60" t="str">
        <f t="shared" si="10"/>
        <v>00</v>
      </c>
      <c r="AM77" s="62" t="str">
        <f t="shared" si="11"/>
        <v>00</v>
      </c>
      <c r="AN77" s="62" t="str">
        <f t="shared" si="12"/>
        <v>00</v>
      </c>
      <c r="AO77" s="62" t="str">
        <f t="shared" si="13"/>
        <v>00</v>
      </c>
      <c r="AQ77" t="str">
        <f t="shared" si="8"/>
        <v/>
      </c>
    </row>
    <row r="78" spans="1:46">
      <c r="B78" s="138"/>
      <c r="C78" s="47">
        <f t="shared" si="9"/>
        <v>7</v>
      </c>
      <c r="D78" s="130">
        <f t="shared" si="6"/>
        <v>0</v>
      </c>
      <c r="E78" s="130">
        <f t="shared" si="6"/>
        <v>0</v>
      </c>
      <c r="F78" s="130">
        <f t="shared" si="6"/>
        <v>0</v>
      </c>
      <c r="G78" s="130">
        <f t="shared" si="6"/>
        <v>0</v>
      </c>
      <c r="H78" s="130">
        <f t="shared" si="6"/>
        <v>0</v>
      </c>
      <c r="I78" s="130">
        <f t="shared" si="6"/>
        <v>0</v>
      </c>
      <c r="J78" s="130">
        <f t="shared" si="6"/>
        <v>0</v>
      </c>
      <c r="K78" s="130">
        <f t="shared" si="6"/>
        <v>0</v>
      </c>
      <c r="L78" s="130">
        <f t="shared" si="6"/>
        <v>0</v>
      </c>
      <c r="M78" s="130">
        <f t="shared" si="6"/>
        <v>0</v>
      </c>
      <c r="N78" s="130">
        <f t="shared" si="6"/>
        <v>0</v>
      </c>
      <c r="O78" s="130">
        <f t="shared" si="6"/>
        <v>0</v>
      </c>
      <c r="P78" s="130">
        <f t="shared" si="6"/>
        <v>0</v>
      </c>
      <c r="Q78" s="130">
        <f t="shared" si="6"/>
        <v>0</v>
      </c>
      <c r="R78" s="130">
        <f t="shared" si="6"/>
        <v>0</v>
      </c>
      <c r="S78" s="130">
        <f t="shared" si="6"/>
        <v>0</v>
      </c>
      <c r="T78" s="130">
        <f t="shared" si="6"/>
        <v>0</v>
      </c>
      <c r="U78" s="130">
        <f t="shared" si="6"/>
        <v>0</v>
      </c>
      <c r="V78" s="130">
        <f t="shared" si="6"/>
        <v>0</v>
      </c>
      <c r="W78" s="130">
        <f t="shared" si="6"/>
        <v>0</v>
      </c>
      <c r="X78" s="130">
        <f t="shared" si="6"/>
        <v>0</v>
      </c>
      <c r="Y78" s="130">
        <f t="shared" si="6"/>
        <v>0</v>
      </c>
      <c r="Z78" s="130">
        <f t="shared" si="6"/>
        <v>0</v>
      </c>
      <c r="AA78" s="130">
        <f t="shared" si="6"/>
        <v>0</v>
      </c>
      <c r="AB78" s="130">
        <f t="shared" si="6"/>
        <v>0</v>
      </c>
      <c r="AC78" s="130">
        <f t="shared" si="6"/>
        <v>0</v>
      </c>
      <c r="AD78" s="130">
        <f t="shared" si="6"/>
        <v>0</v>
      </c>
      <c r="AE78" s="130">
        <f t="shared" si="6"/>
        <v>0</v>
      </c>
      <c r="AF78" s="130">
        <f t="shared" si="6"/>
        <v>0</v>
      </c>
      <c r="AG78" s="130">
        <f t="shared" si="6"/>
        <v>0</v>
      </c>
      <c r="AH78" s="130">
        <f t="shared" si="6"/>
        <v>0</v>
      </c>
      <c r="AI78" s="130">
        <f t="shared" ref="AI78" si="14">IF(AI13=1,1,0)</f>
        <v>0</v>
      </c>
      <c r="AJ78" s="47" t="str">
        <f t="shared" si="7"/>
        <v/>
      </c>
      <c r="AK78" s="60"/>
      <c r="AL78" s="60" t="str">
        <f t="shared" si="10"/>
        <v>00</v>
      </c>
      <c r="AM78" s="62" t="str">
        <f t="shared" si="11"/>
        <v>00</v>
      </c>
      <c r="AN78" s="62" t="str">
        <f t="shared" si="12"/>
        <v>00</v>
      </c>
      <c r="AO78" s="62" t="str">
        <f t="shared" si="13"/>
        <v>00</v>
      </c>
      <c r="AQ78" t="str">
        <f t="shared" si="8"/>
        <v/>
      </c>
    </row>
    <row r="79" spans="1:46">
      <c r="B79" s="138"/>
      <c r="C79" s="47">
        <f t="shared" si="9"/>
        <v>8</v>
      </c>
      <c r="D79" s="130">
        <f t="shared" ref="D79:AI86" si="15">IF(D14=1,1,0)</f>
        <v>0</v>
      </c>
      <c r="E79" s="130">
        <f t="shared" si="15"/>
        <v>0</v>
      </c>
      <c r="F79" s="130">
        <f t="shared" si="15"/>
        <v>0</v>
      </c>
      <c r="G79" s="130">
        <f t="shared" si="15"/>
        <v>0</v>
      </c>
      <c r="H79" s="130">
        <f t="shared" si="15"/>
        <v>0</v>
      </c>
      <c r="I79" s="130">
        <f t="shared" si="15"/>
        <v>0</v>
      </c>
      <c r="J79" s="130">
        <f t="shared" si="15"/>
        <v>0</v>
      </c>
      <c r="K79" s="130">
        <f t="shared" si="15"/>
        <v>0</v>
      </c>
      <c r="L79" s="130">
        <f t="shared" si="15"/>
        <v>0</v>
      </c>
      <c r="M79" s="130">
        <f t="shared" si="15"/>
        <v>0</v>
      </c>
      <c r="N79" s="130">
        <f t="shared" si="15"/>
        <v>0</v>
      </c>
      <c r="O79" s="130">
        <f t="shared" si="15"/>
        <v>0</v>
      </c>
      <c r="P79" s="130">
        <f t="shared" si="15"/>
        <v>0</v>
      </c>
      <c r="Q79" s="130">
        <f t="shared" si="15"/>
        <v>0</v>
      </c>
      <c r="R79" s="130">
        <f t="shared" si="15"/>
        <v>0</v>
      </c>
      <c r="S79" s="130">
        <f t="shared" si="15"/>
        <v>0</v>
      </c>
      <c r="T79" s="130">
        <f t="shared" si="15"/>
        <v>0</v>
      </c>
      <c r="U79" s="130">
        <f t="shared" si="15"/>
        <v>0</v>
      </c>
      <c r="V79" s="130">
        <f t="shared" si="15"/>
        <v>0</v>
      </c>
      <c r="W79" s="130">
        <f t="shared" si="15"/>
        <v>0</v>
      </c>
      <c r="X79" s="130">
        <f t="shared" si="15"/>
        <v>0</v>
      </c>
      <c r="Y79" s="130">
        <f t="shared" si="15"/>
        <v>0</v>
      </c>
      <c r="Z79" s="130">
        <f t="shared" si="15"/>
        <v>0</v>
      </c>
      <c r="AA79" s="130">
        <f t="shared" si="15"/>
        <v>0</v>
      </c>
      <c r="AB79" s="130">
        <f t="shared" si="15"/>
        <v>0</v>
      </c>
      <c r="AC79" s="130">
        <f t="shared" si="15"/>
        <v>0</v>
      </c>
      <c r="AD79" s="130">
        <f t="shared" si="15"/>
        <v>0</v>
      </c>
      <c r="AE79" s="130">
        <f t="shared" si="15"/>
        <v>0</v>
      </c>
      <c r="AF79" s="130">
        <f t="shared" si="15"/>
        <v>0</v>
      </c>
      <c r="AG79" s="130">
        <f t="shared" si="15"/>
        <v>0</v>
      </c>
      <c r="AH79" s="130">
        <f t="shared" si="15"/>
        <v>0</v>
      </c>
      <c r="AI79" s="130">
        <f t="shared" si="15"/>
        <v>0</v>
      </c>
      <c r="AJ79" s="47" t="str">
        <f t="shared" si="7"/>
        <v/>
      </c>
      <c r="AK79" s="60"/>
      <c r="AL79" s="60" t="str">
        <f t="shared" si="10"/>
        <v>00</v>
      </c>
      <c r="AM79" s="62" t="str">
        <f t="shared" si="11"/>
        <v>00</v>
      </c>
      <c r="AN79" s="62" t="str">
        <f t="shared" si="12"/>
        <v>00</v>
      </c>
      <c r="AO79" s="62" t="str">
        <f t="shared" si="13"/>
        <v>00</v>
      </c>
      <c r="AQ79" t="str">
        <f t="shared" si="8"/>
        <v/>
      </c>
    </row>
    <row r="80" spans="1:46">
      <c r="B80" s="138"/>
      <c r="C80" s="47">
        <f t="shared" si="9"/>
        <v>9</v>
      </c>
      <c r="D80" s="130">
        <f t="shared" si="15"/>
        <v>0</v>
      </c>
      <c r="E80" s="130">
        <f t="shared" si="15"/>
        <v>0</v>
      </c>
      <c r="F80" s="130">
        <f t="shared" si="15"/>
        <v>0</v>
      </c>
      <c r="G80" s="130">
        <f t="shared" si="15"/>
        <v>0</v>
      </c>
      <c r="H80" s="130">
        <f t="shared" si="15"/>
        <v>0</v>
      </c>
      <c r="I80" s="130">
        <f t="shared" si="15"/>
        <v>0</v>
      </c>
      <c r="J80" s="130">
        <f t="shared" si="15"/>
        <v>0</v>
      </c>
      <c r="K80" s="130">
        <f t="shared" si="15"/>
        <v>0</v>
      </c>
      <c r="L80" s="130">
        <f t="shared" si="15"/>
        <v>0</v>
      </c>
      <c r="M80" s="130">
        <f t="shared" si="15"/>
        <v>0</v>
      </c>
      <c r="N80" s="130">
        <f t="shared" si="15"/>
        <v>0</v>
      </c>
      <c r="O80" s="130">
        <f t="shared" si="15"/>
        <v>0</v>
      </c>
      <c r="P80" s="130">
        <f t="shared" si="15"/>
        <v>0</v>
      </c>
      <c r="Q80" s="130">
        <f t="shared" si="15"/>
        <v>0</v>
      </c>
      <c r="R80" s="130">
        <f t="shared" si="15"/>
        <v>0</v>
      </c>
      <c r="S80" s="130">
        <f t="shared" si="15"/>
        <v>0</v>
      </c>
      <c r="T80" s="130">
        <f t="shared" si="15"/>
        <v>0</v>
      </c>
      <c r="U80" s="130">
        <f t="shared" si="15"/>
        <v>0</v>
      </c>
      <c r="V80" s="130">
        <f t="shared" si="15"/>
        <v>0</v>
      </c>
      <c r="W80" s="130">
        <f t="shared" si="15"/>
        <v>0</v>
      </c>
      <c r="X80" s="130">
        <f t="shared" si="15"/>
        <v>0</v>
      </c>
      <c r="Y80" s="130">
        <f t="shared" si="15"/>
        <v>0</v>
      </c>
      <c r="Z80" s="130">
        <f t="shared" si="15"/>
        <v>0</v>
      </c>
      <c r="AA80" s="130">
        <f t="shared" si="15"/>
        <v>0</v>
      </c>
      <c r="AB80" s="130">
        <f t="shared" si="15"/>
        <v>0</v>
      </c>
      <c r="AC80" s="130">
        <f t="shared" si="15"/>
        <v>0</v>
      </c>
      <c r="AD80" s="130">
        <f t="shared" si="15"/>
        <v>0</v>
      </c>
      <c r="AE80" s="130">
        <f t="shared" si="15"/>
        <v>0</v>
      </c>
      <c r="AF80" s="130">
        <f t="shared" si="15"/>
        <v>0</v>
      </c>
      <c r="AG80" s="130">
        <f t="shared" si="15"/>
        <v>0</v>
      </c>
      <c r="AH80" s="130">
        <f t="shared" si="15"/>
        <v>0</v>
      </c>
      <c r="AI80" s="130">
        <f t="shared" si="15"/>
        <v>0</v>
      </c>
      <c r="AJ80" s="47" t="str">
        <f t="shared" si="7"/>
        <v/>
      </c>
      <c r="AK80" s="60"/>
      <c r="AL80" s="60" t="str">
        <f t="shared" si="10"/>
        <v>00</v>
      </c>
      <c r="AM80" s="62" t="str">
        <f t="shared" si="11"/>
        <v>00</v>
      </c>
      <c r="AN80" s="62" t="str">
        <f t="shared" si="12"/>
        <v>00</v>
      </c>
      <c r="AO80" s="62" t="str">
        <f t="shared" si="13"/>
        <v>00</v>
      </c>
      <c r="AQ80" t="str">
        <f t="shared" si="8"/>
        <v/>
      </c>
    </row>
    <row r="81" spans="2:43">
      <c r="B81" s="138"/>
      <c r="C81" s="47">
        <f t="shared" si="9"/>
        <v>10</v>
      </c>
      <c r="D81" s="130">
        <f t="shared" si="15"/>
        <v>0</v>
      </c>
      <c r="E81" s="130">
        <f t="shared" si="15"/>
        <v>0</v>
      </c>
      <c r="F81" s="130">
        <f t="shared" si="15"/>
        <v>0</v>
      </c>
      <c r="G81" s="130">
        <f t="shared" si="15"/>
        <v>0</v>
      </c>
      <c r="H81" s="130">
        <f t="shared" si="15"/>
        <v>0</v>
      </c>
      <c r="I81" s="130">
        <f t="shared" si="15"/>
        <v>0</v>
      </c>
      <c r="J81" s="130">
        <f t="shared" si="15"/>
        <v>0</v>
      </c>
      <c r="K81" s="130">
        <f t="shared" si="15"/>
        <v>0</v>
      </c>
      <c r="L81" s="130">
        <f t="shared" si="15"/>
        <v>0</v>
      </c>
      <c r="M81" s="130">
        <f t="shared" si="15"/>
        <v>0</v>
      </c>
      <c r="N81" s="130">
        <f t="shared" si="15"/>
        <v>0</v>
      </c>
      <c r="O81" s="130">
        <f t="shared" si="15"/>
        <v>0</v>
      </c>
      <c r="P81" s="130">
        <f t="shared" si="15"/>
        <v>0</v>
      </c>
      <c r="Q81" s="130">
        <f t="shared" si="15"/>
        <v>0</v>
      </c>
      <c r="R81" s="130">
        <f t="shared" si="15"/>
        <v>0</v>
      </c>
      <c r="S81" s="130">
        <f t="shared" si="15"/>
        <v>0</v>
      </c>
      <c r="T81" s="130">
        <f t="shared" si="15"/>
        <v>0</v>
      </c>
      <c r="U81" s="130">
        <f t="shared" si="15"/>
        <v>0</v>
      </c>
      <c r="V81" s="130">
        <f t="shared" si="15"/>
        <v>0</v>
      </c>
      <c r="W81" s="130">
        <f t="shared" si="15"/>
        <v>0</v>
      </c>
      <c r="X81" s="130">
        <f t="shared" si="15"/>
        <v>0</v>
      </c>
      <c r="Y81" s="130">
        <f t="shared" si="15"/>
        <v>0</v>
      </c>
      <c r="Z81" s="130">
        <f t="shared" si="15"/>
        <v>0</v>
      </c>
      <c r="AA81" s="130">
        <f t="shared" si="15"/>
        <v>0</v>
      </c>
      <c r="AB81" s="130">
        <f t="shared" si="15"/>
        <v>0</v>
      </c>
      <c r="AC81" s="130">
        <f t="shared" si="15"/>
        <v>0</v>
      </c>
      <c r="AD81" s="130">
        <f t="shared" si="15"/>
        <v>0</v>
      </c>
      <c r="AE81" s="130">
        <f t="shared" si="15"/>
        <v>0</v>
      </c>
      <c r="AF81" s="130">
        <f t="shared" si="15"/>
        <v>0</v>
      </c>
      <c r="AG81" s="130">
        <f t="shared" si="15"/>
        <v>0</v>
      </c>
      <c r="AH81" s="130">
        <f t="shared" si="15"/>
        <v>0</v>
      </c>
      <c r="AI81" s="130">
        <f t="shared" si="15"/>
        <v>0</v>
      </c>
      <c r="AJ81" s="47" t="str">
        <f t="shared" si="7"/>
        <v/>
      </c>
      <c r="AK81" s="60"/>
      <c r="AL81" s="60" t="str">
        <f t="shared" si="10"/>
        <v>00</v>
      </c>
      <c r="AM81" s="62" t="str">
        <f t="shared" si="11"/>
        <v>00</v>
      </c>
      <c r="AN81" s="62" t="str">
        <f t="shared" si="12"/>
        <v>00</v>
      </c>
      <c r="AO81" s="62" t="str">
        <f t="shared" si="13"/>
        <v>00</v>
      </c>
      <c r="AQ81" t="str">
        <f t="shared" si="8"/>
        <v/>
      </c>
    </row>
    <row r="82" spans="2:43">
      <c r="B82" s="138"/>
      <c r="C82" s="47">
        <f t="shared" si="9"/>
        <v>11</v>
      </c>
      <c r="D82" s="130">
        <f t="shared" si="15"/>
        <v>0</v>
      </c>
      <c r="E82" s="130">
        <f t="shared" si="15"/>
        <v>0</v>
      </c>
      <c r="F82" s="130">
        <f t="shared" si="15"/>
        <v>0</v>
      </c>
      <c r="G82" s="130">
        <f t="shared" si="15"/>
        <v>0</v>
      </c>
      <c r="H82" s="130">
        <f t="shared" si="15"/>
        <v>0</v>
      </c>
      <c r="I82" s="130">
        <f t="shared" si="15"/>
        <v>0</v>
      </c>
      <c r="J82" s="130">
        <f t="shared" si="15"/>
        <v>0</v>
      </c>
      <c r="K82" s="130">
        <f t="shared" si="15"/>
        <v>0</v>
      </c>
      <c r="L82" s="130">
        <f t="shared" si="15"/>
        <v>0</v>
      </c>
      <c r="M82" s="130">
        <f t="shared" si="15"/>
        <v>0</v>
      </c>
      <c r="N82" s="130">
        <f t="shared" si="15"/>
        <v>0</v>
      </c>
      <c r="O82" s="130">
        <f t="shared" si="15"/>
        <v>0</v>
      </c>
      <c r="P82" s="130">
        <f t="shared" si="15"/>
        <v>0</v>
      </c>
      <c r="Q82" s="130">
        <f t="shared" si="15"/>
        <v>0</v>
      </c>
      <c r="R82" s="130">
        <f t="shared" si="15"/>
        <v>0</v>
      </c>
      <c r="S82" s="130">
        <f t="shared" si="15"/>
        <v>0</v>
      </c>
      <c r="T82" s="130">
        <f t="shared" si="15"/>
        <v>0</v>
      </c>
      <c r="U82" s="130">
        <f t="shared" si="15"/>
        <v>0</v>
      </c>
      <c r="V82" s="130">
        <f t="shared" si="15"/>
        <v>0</v>
      </c>
      <c r="W82" s="130">
        <f t="shared" si="15"/>
        <v>0</v>
      </c>
      <c r="X82" s="130">
        <f t="shared" si="15"/>
        <v>0</v>
      </c>
      <c r="Y82" s="130">
        <f t="shared" si="15"/>
        <v>0</v>
      </c>
      <c r="Z82" s="130">
        <f t="shared" si="15"/>
        <v>0</v>
      </c>
      <c r="AA82" s="130">
        <f t="shared" si="15"/>
        <v>0</v>
      </c>
      <c r="AB82" s="130">
        <f t="shared" si="15"/>
        <v>0</v>
      </c>
      <c r="AC82" s="130">
        <f t="shared" si="15"/>
        <v>0</v>
      </c>
      <c r="AD82" s="130">
        <f t="shared" si="15"/>
        <v>0</v>
      </c>
      <c r="AE82" s="130">
        <f t="shared" si="15"/>
        <v>0</v>
      </c>
      <c r="AF82" s="130">
        <f t="shared" si="15"/>
        <v>0</v>
      </c>
      <c r="AG82" s="130">
        <f t="shared" si="15"/>
        <v>0</v>
      </c>
      <c r="AH82" s="130">
        <f t="shared" si="15"/>
        <v>0</v>
      </c>
      <c r="AI82" s="130">
        <f t="shared" si="15"/>
        <v>0</v>
      </c>
      <c r="AJ82" s="47" t="str">
        <f t="shared" si="7"/>
        <v/>
      </c>
      <c r="AK82" s="60"/>
      <c r="AL82" s="60" t="str">
        <f t="shared" si="10"/>
        <v>00</v>
      </c>
      <c r="AM82" s="62" t="str">
        <f t="shared" si="11"/>
        <v>00</v>
      </c>
      <c r="AN82" s="62" t="str">
        <f t="shared" si="12"/>
        <v>00</v>
      </c>
      <c r="AO82" s="62" t="str">
        <f t="shared" si="13"/>
        <v>00</v>
      </c>
      <c r="AQ82" t="str">
        <f t="shared" si="8"/>
        <v/>
      </c>
    </row>
    <row r="83" spans="2:43">
      <c r="B83" s="138"/>
      <c r="C83" s="47">
        <f t="shared" si="9"/>
        <v>12</v>
      </c>
      <c r="D83" s="130">
        <f t="shared" si="15"/>
        <v>0</v>
      </c>
      <c r="E83" s="130">
        <f t="shared" si="15"/>
        <v>0</v>
      </c>
      <c r="F83" s="130">
        <f t="shared" si="15"/>
        <v>0</v>
      </c>
      <c r="G83" s="130">
        <f t="shared" si="15"/>
        <v>0</v>
      </c>
      <c r="H83" s="130">
        <f t="shared" si="15"/>
        <v>0</v>
      </c>
      <c r="I83" s="130">
        <f t="shared" si="15"/>
        <v>0</v>
      </c>
      <c r="J83" s="130">
        <f t="shared" si="15"/>
        <v>0</v>
      </c>
      <c r="K83" s="130">
        <f t="shared" si="15"/>
        <v>0</v>
      </c>
      <c r="L83" s="130">
        <f t="shared" si="15"/>
        <v>0</v>
      </c>
      <c r="M83" s="130">
        <f t="shared" si="15"/>
        <v>0</v>
      </c>
      <c r="N83" s="130">
        <f t="shared" si="15"/>
        <v>0</v>
      </c>
      <c r="O83" s="130">
        <f t="shared" si="15"/>
        <v>0</v>
      </c>
      <c r="P83" s="130">
        <f t="shared" si="15"/>
        <v>0</v>
      </c>
      <c r="Q83" s="130">
        <f t="shared" si="15"/>
        <v>0</v>
      </c>
      <c r="R83" s="130">
        <f t="shared" si="15"/>
        <v>0</v>
      </c>
      <c r="S83" s="130">
        <f t="shared" si="15"/>
        <v>0</v>
      </c>
      <c r="T83" s="130">
        <f t="shared" si="15"/>
        <v>0</v>
      </c>
      <c r="U83" s="130">
        <f t="shared" si="15"/>
        <v>0</v>
      </c>
      <c r="V83" s="130">
        <f t="shared" si="15"/>
        <v>0</v>
      </c>
      <c r="W83" s="130">
        <f t="shared" si="15"/>
        <v>0</v>
      </c>
      <c r="X83" s="130">
        <f t="shared" si="15"/>
        <v>0</v>
      </c>
      <c r="Y83" s="130">
        <f t="shared" si="15"/>
        <v>0</v>
      </c>
      <c r="Z83" s="130">
        <f t="shared" si="15"/>
        <v>0</v>
      </c>
      <c r="AA83" s="130">
        <f t="shared" si="15"/>
        <v>0</v>
      </c>
      <c r="AB83" s="130">
        <f t="shared" si="15"/>
        <v>0</v>
      </c>
      <c r="AC83" s="130">
        <f t="shared" si="15"/>
        <v>0</v>
      </c>
      <c r="AD83" s="130">
        <f t="shared" si="15"/>
        <v>0</v>
      </c>
      <c r="AE83" s="130">
        <f t="shared" si="15"/>
        <v>0</v>
      </c>
      <c r="AF83" s="130">
        <f t="shared" si="15"/>
        <v>0</v>
      </c>
      <c r="AG83" s="130">
        <f t="shared" si="15"/>
        <v>0</v>
      </c>
      <c r="AH83" s="130">
        <f t="shared" si="15"/>
        <v>0</v>
      </c>
      <c r="AI83" s="130">
        <f t="shared" si="15"/>
        <v>0</v>
      </c>
      <c r="AJ83" s="47" t="str">
        <f t="shared" si="7"/>
        <v/>
      </c>
      <c r="AK83" s="60"/>
      <c r="AL83" s="60" t="str">
        <f t="shared" si="10"/>
        <v>00</v>
      </c>
      <c r="AM83" s="62" t="str">
        <f t="shared" si="11"/>
        <v>00</v>
      </c>
      <c r="AN83" s="62" t="str">
        <f t="shared" si="12"/>
        <v>00</v>
      </c>
      <c r="AO83" s="62" t="str">
        <f t="shared" si="13"/>
        <v>00</v>
      </c>
      <c r="AQ83" t="str">
        <f t="shared" si="8"/>
        <v/>
      </c>
    </row>
    <row r="84" spans="2:43">
      <c r="B84" s="138"/>
      <c r="C84" s="47">
        <f t="shared" si="9"/>
        <v>13</v>
      </c>
      <c r="D84" s="130">
        <f t="shared" si="15"/>
        <v>0</v>
      </c>
      <c r="E84" s="130">
        <f t="shared" si="15"/>
        <v>0</v>
      </c>
      <c r="F84" s="130">
        <f t="shared" si="15"/>
        <v>0</v>
      </c>
      <c r="G84" s="130">
        <f t="shared" si="15"/>
        <v>0</v>
      </c>
      <c r="H84" s="130">
        <f t="shared" si="15"/>
        <v>0</v>
      </c>
      <c r="I84" s="130">
        <f t="shared" si="15"/>
        <v>0</v>
      </c>
      <c r="J84" s="130">
        <f t="shared" si="15"/>
        <v>0</v>
      </c>
      <c r="K84" s="130">
        <f t="shared" si="15"/>
        <v>0</v>
      </c>
      <c r="L84" s="130">
        <f t="shared" si="15"/>
        <v>0</v>
      </c>
      <c r="M84" s="130">
        <f t="shared" si="15"/>
        <v>0</v>
      </c>
      <c r="N84" s="130">
        <f t="shared" si="15"/>
        <v>0</v>
      </c>
      <c r="O84" s="130">
        <f t="shared" si="15"/>
        <v>0</v>
      </c>
      <c r="P84" s="130">
        <f t="shared" si="15"/>
        <v>0</v>
      </c>
      <c r="Q84" s="130">
        <f t="shared" si="15"/>
        <v>0</v>
      </c>
      <c r="R84" s="130">
        <f t="shared" si="15"/>
        <v>0</v>
      </c>
      <c r="S84" s="130">
        <f t="shared" si="15"/>
        <v>0</v>
      </c>
      <c r="T84" s="130">
        <f t="shared" si="15"/>
        <v>0</v>
      </c>
      <c r="U84" s="130">
        <f t="shared" si="15"/>
        <v>0</v>
      </c>
      <c r="V84" s="130">
        <f t="shared" si="15"/>
        <v>0</v>
      </c>
      <c r="W84" s="130">
        <f t="shared" si="15"/>
        <v>0</v>
      </c>
      <c r="X84" s="130">
        <f t="shared" si="15"/>
        <v>0</v>
      </c>
      <c r="Y84" s="130">
        <f t="shared" si="15"/>
        <v>0</v>
      </c>
      <c r="Z84" s="130">
        <f t="shared" si="15"/>
        <v>0</v>
      </c>
      <c r="AA84" s="130">
        <f t="shared" si="15"/>
        <v>0</v>
      </c>
      <c r="AB84" s="130">
        <f t="shared" si="15"/>
        <v>0</v>
      </c>
      <c r="AC84" s="130">
        <f t="shared" si="15"/>
        <v>0</v>
      </c>
      <c r="AD84" s="130">
        <f t="shared" si="15"/>
        <v>0</v>
      </c>
      <c r="AE84" s="130">
        <f t="shared" si="15"/>
        <v>0</v>
      </c>
      <c r="AF84" s="130">
        <f t="shared" si="15"/>
        <v>0</v>
      </c>
      <c r="AG84" s="130">
        <f t="shared" si="15"/>
        <v>0</v>
      </c>
      <c r="AH84" s="130">
        <f t="shared" si="15"/>
        <v>0</v>
      </c>
      <c r="AI84" s="130">
        <f t="shared" si="15"/>
        <v>0</v>
      </c>
      <c r="AJ84" s="47" t="str">
        <f t="shared" si="7"/>
        <v/>
      </c>
      <c r="AK84" s="60"/>
      <c r="AL84" s="60" t="str">
        <f t="shared" si="10"/>
        <v>00</v>
      </c>
      <c r="AM84" s="62" t="str">
        <f t="shared" si="11"/>
        <v>00</v>
      </c>
      <c r="AN84" s="62" t="str">
        <f t="shared" si="12"/>
        <v>00</v>
      </c>
      <c r="AO84" s="62" t="str">
        <f t="shared" si="13"/>
        <v>00</v>
      </c>
      <c r="AQ84" t="str">
        <f t="shared" si="8"/>
        <v/>
      </c>
    </row>
    <row r="85" spans="2:43">
      <c r="B85" s="138"/>
      <c r="C85" s="47">
        <f t="shared" si="9"/>
        <v>14</v>
      </c>
      <c r="D85" s="130">
        <f t="shared" si="15"/>
        <v>0</v>
      </c>
      <c r="E85" s="130">
        <f t="shared" si="15"/>
        <v>0</v>
      </c>
      <c r="F85" s="130">
        <f t="shared" si="15"/>
        <v>0</v>
      </c>
      <c r="G85" s="130">
        <f t="shared" si="15"/>
        <v>0</v>
      </c>
      <c r="H85" s="130">
        <f t="shared" si="15"/>
        <v>0</v>
      </c>
      <c r="I85" s="130">
        <f t="shared" si="15"/>
        <v>0</v>
      </c>
      <c r="J85" s="130">
        <f t="shared" si="15"/>
        <v>0</v>
      </c>
      <c r="K85" s="130">
        <f t="shared" si="15"/>
        <v>0</v>
      </c>
      <c r="L85" s="130">
        <f t="shared" si="15"/>
        <v>0</v>
      </c>
      <c r="M85" s="130">
        <f t="shared" si="15"/>
        <v>0</v>
      </c>
      <c r="N85" s="130">
        <f t="shared" si="15"/>
        <v>0</v>
      </c>
      <c r="O85" s="130">
        <f t="shared" si="15"/>
        <v>0</v>
      </c>
      <c r="P85" s="130">
        <f t="shared" si="15"/>
        <v>0</v>
      </c>
      <c r="Q85" s="130">
        <f t="shared" si="15"/>
        <v>0</v>
      </c>
      <c r="R85" s="130">
        <f t="shared" si="15"/>
        <v>0</v>
      </c>
      <c r="S85" s="130">
        <f t="shared" si="15"/>
        <v>0</v>
      </c>
      <c r="T85" s="130">
        <f t="shared" si="15"/>
        <v>0</v>
      </c>
      <c r="U85" s="130">
        <f t="shared" si="15"/>
        <v>0</v>
      </c>
      <c r="V85" s="130">
        <f t="shared" si="15"/>
        <v>0</v>
      </c>
      <c r="W85" s="130">
        <f t="shared" si="15"/>
        <v>0</v>
      </c>
      <c r="X85" s="130">
        <f t="shared" si="15"/>
        <v>0</v>
      </c>
      <c r="Y85" s="130">
        <f t="shared" si="15"/>
        <v>0</v>
      </c>
      <c r="Z85" s="130">
        <f t="shared" si="15"/>
        <v>0</v>
      </c>
      <c r="AA85" s="130">
        <f t="shared" si="15"/>
        <v>0</v>
      </c>
      <c r="AB85" s="130">
        <f t="shared" si="15"/>
        <v>0</v>
      </c>
      <c r="AC85" s="130">
        <f t="shared" si="15"/>
        <v>0</v>
      </c>
      <c r="AD85" s="130">
        <f t="shared" si="15"/>
        <v>0</v>
      </c>
      <c r="AE85" s="130">
        <f t="shared" si="15"/>
        <v>0</v>
      </c>
      <c r="AF85" s="130">
        <f t="shared" si="15"/>
        <v>0</v>
      </c>
      <c r="AG85" s="130">
        <f t="shared" si="15"/>
        <v>0</v>
      </c>
      <c r="AH85" s="130">
        <f t="shared" si="15"/>
        <v>0</v>
      </c>
      <c r="AI85" s="130">
        <f t="shared" si="15"/>
        <v>0</v>
      </c>
      <c r="AJ85" s="47" t="str">
        <f t="shared" si="7"/>
        <v/>
      </c>
      <c r="AK85" s="60"/>
      <c r="AL85" s="60" t="str">
        <f t="shared" si="10"/>
        <v>00</v>
      </c>
      <c r="AM85" s="62" t="str">
        <f t="shared" si="11"/>
        <v>00</v>
      </c>
      <c r="AN85" s="62" t="str">
        <f t="shared" si="12"/>
        <v>00</v>
      </c>
      <c r="AO85" s="62" t="str">
        <f t="shared" si="13"/>
        <v>00</v>
      </c>
      <c r="AQ85" t="str">
        <f t="shared" si="8"/>
        <v/>
      </c>
    </row>
    <row r="86" spans="2:43">
      <c r="B86" s="138"/>
      <c r="C86" s="47">
        <f t="shared" si="9"/>
        <v>15</v>
      </c>
      <c r="D86" s="130">
        <f t="shared" si="15"/>
        <v>0</v>
      </c>
      <c r="E86" s="130">
        <f t="shared" si="15"/>
        <v>0</v>
      </c>
      <c r="F86" s="130">
        <f t="shared" si="15"/>
        <v>0</v>
      </c>
      <c r="G86" s="130">
        <f t="shared" si="15"/>
        <v>0</v>
      </c>
      <c r="H86" s="130">
        <f t="shared" si="15"/>
        <v>0</v>
      </c>
      <c r="I86" s="130">
        <f t="shared" si="15"/>
        <v>0</v>
      </c>
      <c r="J86" s="130">
        <f t="shared" si="15"/>
        <v>0</v>
      </c>
      <c r="K86" s="130">
        <f t="shared" si="15"/>
        <v>0</v>
      </c>
      <c r="L86" s="130">
        <f t="shared" si="15"/>
        <v>0</v>
      </c>
      <c r="M86" s="130">
        <f t="shared" si="15"/>
        <v>0</v>
      </c>
      <c r="N86" s="130">
        <f t="shared" si="15"/>
        <v>0</v>
      </c>
      <c r="O86" s="130">
        <f t="shared" si="15"/>
        <v>0</v>
      </c>
      <c r="P86" s="130">
        <f t="shared" si="15"/>
        <v>0</v>
      </c>
      <c r="Q86" s="130">
        <f t="shared" si="15"/>
        <v>0</v>
      </c>
      <c r="R86" s="130">
        <f t="shared" si="15"/>
        <v>0</v>
      </c>
      <c r="S86" s="130">
        <f t="shared" si="15"/>
        <v>0</v>
      </c>
      <c r="T86" s="130">
        <f t="shared" si="15"/>
        <v>0</v>
      </c>
      <c r="U86" s="130">
        <f t="shared" si="15"/>
        <v>0</v>
      </c>
      <c r="V86" s="130">
        <f t="shared" si="15"/>
        <v>0</v>
      </c>
      <c r="W86" s="130">
        <f t="shared" si="15"/>
        <v>0</v>
      </c>
      <c r="X86" s="130">
        <f t="shared" si="15"/>
        <v>0</v>
      </c>
      <c r="Y86" s="130">
        <f t="shared" si="15"/>
        <v>0</v>
      </c>
      <c r="Z86" s="130">
        <f t="shared" si="15"/>
        <v>0</v>
      </c>
      <c r="AA86" s="130">
        <f t="shared" si="15"/>
        <v>0</v>
      </c>
      <c r="AB86" s="130">
        <f t="shared" si="15"/>
        <v>0</v>
      </c>
      <c r="AC86" s="130">
        <f t="shared" si="15"/>
        <v>0</v>
      </c>
      <c r="AD86" s="130">
        <f t="shared" si="15"/>
        <v>0</v>
      </c>
      <c r="AE86" s="130">
        <f t="shared" si="15"/>
        <v>0</v>
      </c>
      <c r="AF86" s="130">
        <f t="shared" si="15"/>
        <v>0</v>
      </c>
      <c r="AG86" s="130">
        <f t="shared" si="15"/>
        <v>0</v>
      </c>
      <c r="AH86" s="130">
        <f t="shared" si="15"/>
        <v>0</v>
      </c>
      <c r="AI86" s="130">
        <f t="shared" ref="AI86" si="16">IF(AI21=1,1,0)</f>
        <v>0</v>
      </c>
      <c r="AJ86" s="47" t="str">
        <f t="shared" si="7"/>
        <v/>
      </c>
      <c r="AK86" s="60"/>
      <c r="AL86" s="60" t="str">
        <f t="shared" si="10"/>
        <v>00</v>
      </c>
      <c r="AM86" s="62" t="str">
        <f t="shared" si="11"/>
        <v>00</v>
      </c>
      <c r="AN86" s="62" t="str">
        <f t="shared" si="12"/>
        <v>00</v>
      </c>
      <c r="AO86" s="62" t="str">
        <f t="shared" si="13"/>
        <v>00</v>
      </c>
      <c r="AQ86" t="str">
        <f t="shared" si="8"/>
        <v/>
      </c>
    </row>
    <row r="87" spans="2:43">
      <c r="B87" s="138"/>
      <c r="C87" s="47">
        <f t="shared" si="9"/>
        <v>16</v>
      </c>
      <c r="D87" s="130">
        <f t="shared" ref="D87:AI94" si="17">IF(D22=1,1,0)</f>
        <v>0</v>
      </c>
      <c r="E87" s="130">
        <f t="shared" si="17"/>
        <v>0</v>
      </c>
      <c r="F87" s="130">
        <f t="shared" si="17"/>
        <v>0</v>
      </c>
      <c r="G87" s="130">
        <f t="shared" si="17"/>
        <v>0</v>
      </c>
      <c r="H87" s="130">
        <f t="shared" si="17"/>
        <v>0</v>
      </c>
      <c r="I87" s="130">
        <f t="shared" si="17"/>
        <v>0</v>
      </c>
      <c r="J87" s="130">
        <f t="shared" si="17"/>
        <v>0</v>
      </c>
      <c r="K87" s="130">
        <f t="shared" si="17"/>
        <v>0</v>
      </c>
      <c r="L87" s="130">
        <f t="shared" si="17"/>
        <v>0</v>
      </c>
      <c r="M87" s="130">
        <f t="shared" si="17"/>
        <v>0</v>
      </c>
      <c r="N87" s="130">
        <f t="shared" si="17"/>
        <v>0</v>
      </c>
      <c r="O87" s="130">
        <f t="shared" si="17"/>
        <v>0</v>
      </c>
      <c r="P87" s="130">
        <f t="shared" si="17"/>
        <v>0</v>
      </c>
      <c r="Q87" s="130">
        <f t="shared" si="17"/>
        <v>0</v>
      </c>
      <c r="R87" s="130">
        <f t="shared" si="17"/>
        <v>0</v>
      </c>
      <c r="S87" s="130">
        <f t="shared" si="17"/>
        <v>0</v>
      </c>
      <c r="T87" s="130">
        <f t="shared" si="17"/>
        <v>0</v>
      </c>
      <c r="U87" s="130">
        <f t="shared" si="17"/>
        <v>0</v>
      </c>
      <c r="V87" s="130">
        <f t="shared" si="17"/>
        <v>0</v>
      </c>
      <c r="W87" s="130">
        <f t="shared" si="17"/>
        <v>0</v>
      </c>
      <c r="X87" s="130">
        <f t="shared" si="17"/>
        <v>0</v>
      </c>
      <c r="Y87" s="130">
        <f t="shared" si="17"/>
        <v>0</v>
      </c>
      <c r="Z87" s="130">
        <f t="shared" si="17"/>
        <v>0</v>
      </c>
      <c r="AA87" s="130">
        <f t="shared" si="17"/>
        <v>0</v>
      </c>
      <c r="AB87" s="130">
        <f t="shared" si="17"/>
        <v>0</v>
      </c>
      <c r="AC87" s="130">
        <f t="shared" si="17"/>
        <v>0</v>
      </c>
      <c r="AD87" s="130">
        <f t="shared" si="17"/>
        <v>0</v>
      </c>
      <c r="AE87" s="130">
        <f t="shared" si="17"/>
        <v>0</v>
      </c>
      <c r="AF87" s="130">
        <f t="shared" si="17"/>
        <v>0</v>
      </c>
      <c r="AG87" s="130">
        <f t="shared" si="17"/>
        <v>0</v>
      </c>
      <c r="AH87" s="130">
        <f t="shared" si="17"/>
        <v>0</v>
      </c>
      <c r="AI87" s="130">
        <f t="shared" si="17"/>
        <v>0</v>
      </c>
      <c r="AJ87" s="47" t="str">
        <f t="shared" si="7"/>
        <v/>
      </c>
      <c r="AK87" s="60"/>
      <c r="AL87" s="60" t="str">
        <f t="shared" si="10"/>
        <v>00</v>
      </c>
      <c r="AM87" s="62" t="str">
        <f t="shared" si="11"/>
        <v>00</v>
      </c>
      <c r="AN87" s="62" t="str">
        <f t="shared" si="12"/>
        <v>00</v>
      </c>
      <c r="AO87" s="62" t="str">
        <f t="shared" si="13"/>
        <v>00</v>
      </c>
      <c r="AQ87" t="str">
        <f t="shared" si="8"/>
        <v/>
      </c>
    </row>
    <row r="88" spans="2:43">
      <c r="B88" s="138"/>
      <c r="C88" s="47">
        <f t="shared" si="9"/>
        <v>17</v>
      </c>
      <c r="D88" s="130">
        <f t="shared" si="17"/>
        <v>0</v>
      </c>
      <c r="E88" s="130">
        <f t="shared" si="17"/>
        <v>0</v>
      </c>
      <c r="F88" s="130">
        <f t="shared" si="17"/>
        <v>0</v>
      </c>
      <c r="G88" s="130">
        <f t="shared" si="17"/>
        <v>0</v>
      </c>
      <c r="H88" s="130">
        <f t="shared" si="17"/>
        <v>0</v>
      </c>
      <c r="I88" s="130">
        <f t="shared" si="17"/>
        <v>0</v>
      </c>
      <c r="J88" s="130">
        <f t="shared" si="17"/>
        <v>0</v>
      </c>
      <c r="K88" s="130">
        <f t="shared" si="17"/>
        <v>0</v>
      </c>
      <c r="L88" s="130">
        <f t="shared" si="17"/>
        <v>0</v>
      </c>
      <c r="M88" s="130">
        <f t="shared" si="17"/>
        <v>0</v>
      </c>
      <c r="N88" s="130">
        <f t="shared" si="17"/>
        <v>0</v>
      </c>
      <c r="O88" s="130">
        <f t="shared" si="17"/>
        <v>0</v>
      </c>
      <c r="P88" s="130">
        <f t="shared" si="17"/>
        <v>0</v>
      </c>
      <c r="Q88" s="130">
        <f t="shared" si="17"/>
        <v>0</v>
      </c>
      <c r="R88" s="130">
        <f t="shared" si="17"/>
        <v>0</v>
      </c>
      <c r="S88" s="130">
        <f t="shared" si="17"/>
        <v>0</v>
      </c>
      <c r="T88" s="130">
        <f t="shared" si="17"/>
        <v>0</v>
      </c>
      <c r="U88" s="130">
        <f t="shared" si="17"/>
        <v>0</v>
      </c>
      <c r="V88" s="130">
        <f t="shared" si="17"/>
        <v>0</v>
      </c>
      <c r="W88" s="130">
        <f t="shared" si="17"/>
        <v>0</v>
      </c>
      <c r="X88" s="130">
        <f t="shared" si="17"/>
        <v>0</v>
      </c>
      <c r="Y88" s="130">
        <f t="shared" si="17"/>
        <v>0</v>
      </c>
      <c r="Z88" s="130">
        <f t="shared" si="17"/>
        <v>0</v>
      </c>
      <c r="AA88" s="130">
        <f t="shared" si="17"/>
        <v>0</v>
      </c>
      <c r="AB88" s="130">
        <f t="shared" si="17"/>
        <v>0</v>
      </c>
      <c r="AC88" s="130">
        <f t="shared" si="17"/>
        <v>0</v>
      </c>
      <c r="AD88" s="130">
        <f t="shared" si="17"/>
        <v>0</v>
      </c>
      <c r="AE88" s="130">
        <f t="shared" si="17"/>
        <v>0</v>
      </c>
      <c r="AF88" s="130">
        <f t="shared" si="17"/>
        <v>0</v>
      </c>
      <c r="AG88" s="130">
        <f t="shared" si="17"/>
        <v>0</v>
      </c>
      <c r="AH88" s="130">
        <f t="shared" si="17"/>
        <v>0</v>
      </c>
      <c r="AI88" s="130">
        <f t="shared" si="17"/>
        <v>0</v>
      </c>
      <c r="AJ88" s="47" t="str">
        <f t="shared" si="7"/>
        <v/>
      </c>
      <c r="AK88" s="60"/>
      <c r="AL88" s="60" t="str">
        <f t="shared" si="10"/>
        <v>00</v>
      </c>
      <c r="AM88" s="62" t="str">
        <f t="shared" si="11"/>
        <v>00</v>
      </c>
      <c r="AN88" s="62" t="str">
        <f t="shared" si="12"/>
        <v>00</v>
      </c>
      <c r="AO88" s="62" t="str">
        <f t="shared" si="13"/>
        <v>00</v>
      </c>
      <c r="AQ88" t="str">
        <f t="shared" si="8"/>
        <v/>
      </c>
    </row>
    <row r="89" spans="2:43">
      <c r="B89" s="138"/>
      <c r="C89" s="47">
        <f t="shared" si="9"/>
        <v>18</v>
      </c>
      <c r="D89" s="130">
        <f t="shared" si="17"/>
        <v>0</v>
      </c>
      <c r="E89" s="130">
        <f t="shared" si="17"/>
        <v>0</v>
      </c>
      <c r="F89" s="130">
        <f t="shared" si="17"/>
        <v>0</v>
      </c>
      <c r="G89" s="130">
        <f t="shared" si="17"/>
        <v>0</v>
      </c>
      <c r="H89" s="130">
        <f t="shared" si="17"/>
        <v>0</v>
      </c>
      <c r="I89" s="130">
        <f t="shared" si="17"/>
        <v>0</v>
      </c>
      <c r="J89" s="130">
        <f t="shared" si="17"/>
        <v>0</v>
      </c>
      <c r="K89" s="130">
        <f t="shared" si="17"/>
        <v>0</v>
      </c>
      <c r="L89" s="130">
        <f t="shared" si="17"/>
        <v>0</v>
      </c>
      <c r="M89" s="130">
        <f t="shared" si="17"/>
        <v>0</v>
      </c>
      <c r="N89" s="130">
        <f t="shared" si="17"/>
        <v>0</v>
      </c>
      <c r="O89" s="130">
        <f t="shared" si="17"/>
        <v>0</v>
      </c>
      <c r="P89" s="130">
        <f t="shared" si="17"/>
        <v>0</v>
      </c>
      <c r="Q89" s="130">
        <f t="shared" si="17"/>
        <v>0</v>
      </c>
      <c r="R89" s="130">
        <f t="shared" si="17"/>
        <v>0</v>
      </c>
      <c r="S89" s="130">
        <f t="shared" si="17"/>
        <v>0</v>
      </c>
      <c r="T89" s="130">
        <f t="shared" si="17"/>
        <v>0</v>
      </c>
      <c r="U89" s="130">
        <f t="shared" si="17"/>
        <v>0</v>
      </c>
      <c r="V89" s="130">
        <f t="shared" si="17"/>
        <v>0</v>
      </c>
      <c r="W89" s="130">
        <f t="shared" si="17"/>
        <v>0</v>
      </c>
      <c r="X89" s="130">
        <f t="shared" si="17"/>
        <v>0</v>
      </c>
      <c r="Y89" s="130">
        <f t="shared" si="17"/>
        <v>0</v>
      </c>
      <c r="Z89" s="130">
        <f t="shared" si="17"/>
        <v>0</v>
      </c>
      <c r="AA89" s="130">
        <f t="shared" si="17"/>
        <v>0</v>
      </c>
      <c r="AB89" s="130">
        <f t="shared" si="17"/>
        <v>0</v>
      </c>
      <c r="AC89" s="130">
        <f t="shared" si="17"/>
        <v>0</v>
      </c>
      <c r="AD89" s="130">
        <f t="shared" si="17"/>
        <v>0</v>
      </c>
      <c r="AE89" s="130">
        <f t="shared" si="17"/>
        <v>0</v>
      </c>
      <c r="AF89" s="130">
        <f t="shared" si="17"/>
        <v>0</v>
      </c>
      <c r="AG89" s="130">
        <f t="shared" si="17"/>
        <v>0</v>
      </c>
      <c r="AH89" s="130">
        <f t="shared" si="17"/>
        <v>0</v>
      </c>
      <c r="AI89" s="130">
        <f t="shared" si="17"/>
        <v>0</v>
      </c>
      <c r="AJ89" s="47" t="str">
        <f t="shared" si="7"/>
        <v/>
      </c>
      <c r="AK89" s="60"/>
      <c r="AL89" s="60" t="str">
        <f t="shared" si="10"/>
        <v>00</v>
      </c>
      <c r="AM89" s="62" t="str">
        <f t="shared" si="11"/>
        <v>00</v>
      </c>
      <c r="AN89" s="62" t="str">
        <f t="shared" si="12"/>
        <v>00</v>
      </c>
      <c r="AO89" s="62" t="str">
        <f t="shared" si="13"/>
        <v>00</v>
      </c>
      <c r="AQ89" t="str">
        <f t="shared" si="8"/>
        <v/>
      </c>
    </row>
    <row r="90" spans="2:43">
      <c r="B90" s="138"/>
      <c r="C90" s="47">
        <f t="shared" si="9"/>
        <v>19</v>
      </c>
      <c r="D90" s="130">
        <f t="shared" si="17"/>
        <v>0</v>
      </c>
      <c r="E90" s="130">
        <f t="shared" si="17"/>
        <v>0</v>
      </c>
      <c r="F90" s="130">
        <f t="shared" si="17"/>
        <v>0</v>
      </c>
      <c r="G90" s="130">
        <f t="shared" si="17"/>
        <v>0</v>
      </c>
      <c r="H90" s="130">
        <f t="shared" si="17"/>
        <v>0</v>
      </c>
      <c r="I90" s="130">
        <f t="shared" si="17"/>
        <v>0</v>
      </c>
      <c r="J90" s="130">
        <f t="shared" si="17"/>
        <v>0</v>
      </c>
      <c r="K90" s="130">
        <f t="shared" si="17"/>
        <v>0</v>
      </c>
      <c r="L90" s="130">
        <f t="shared" si="17"/>
        <v>0</v>
      </c>
      <c r="M90" s="130">
        <f t="shared" si="17"/>
        <v>0</v>
      </c>
      <c r="N90" s="130">
        <f t="shared" si="17"/>
        <v>0</v>
      </c>
      <c r="O90" s="130">
        <f t="shared" si="17"/>
        <v>0</v>
      </c>
      <c r="P90" s="130">
        <f t="shared" si="17"/>
        <v>0</v>
      </c>
      <c r="Q90" s="130">
        <f t="shared" si="17"/>
        <v>0</v>
      </c>
      <c r="R90" s="130">
        <f t="shared" si="17"/>
        <v>0</v>
      </c>
      <c r="S90" s="130">
        <f t="shared" si="17"/>
        <v>0</v>
      </c>
      <c r="T90" s="130">
        <f t="shared" si="17"/>
        <v>0</v>
      </c>
      <c r="U90" s="130">
        <f t="shared" si="17"/>
        <v>0</v>
      </c>
      <c r="V90" s="130">
        <f t="shared" si="17"/>
        <v>0</v>
      </c>
      <c r="W90" s="130">
        <f t="shared" si="17"/>
        <v>0</v>
      </c>
      <c r="X90" s="130">
        <f t="shared" si="17"/>
        <v>0</v>
      </c>
      <c r="Y90" s="130">
        <f t="shared" si="17"/>
        <v>0</v>
      </c>
      <c r="Z90" s="130">
        <f t="shared" si="17"/>
        <v>0</v>
      </c>
      <c r="AA90" s="130">
        <f t="shared" si="17"/>
        <v>0</v>
      </c>
      <c r="AB90" s="130">
        <f t="shared" si="17"/>
        <v>0</v>
      </c>
      <c r="AC90" s="130">
        <f t="shared" si="17"/>
        <v>0</v>
      </c>
      <c r="AD90" s="130">
        <f t="shared" si="17"/>
        <v>0</v>
      </c>
      <c r="AE90" s="130">
        <f t="shared" si="17"/>
        <v>0</v>
      </c>
      <c r="AF90" s="130">
        <f t="shared" si="17"/>
        <v>0</v>
      </c>
      <c r="AG90" s="130">
        <f t="shared" si="17"/>
        <v>0</v>
      </c>
      <c r="AH90" s="130">
        <f t="shared" si="17"/>
        <v>0</v>
      </c>
      <c r="AI90" s="130">
        <f t="shared" si="17"/>
        <v>0</v>
      </c>
      <c r="AJ90" s="47" t="str">
        <f t="shared" si="7"/>
        <v/>
      </c>
      <c r="AK90" s="60"/>
      <c r="AL90" s="60" t="str">
        <f t="shared" si="10"/>
        <v>00</v>
      </c>
      <c r="AM90" s="62" t="str">
        <f t="shared" si="11"/>
        <v>00</v>
      </c>
      <c r="AN90" s="62" t="str">
        <f t="shared" si="12"/>
        <v>00</v>
      </c>
      <c r="AO90" s="62" t="str">
        <f t="shared" si="13"/>
        <v>00</v>
      </c>
      <c r="AQ90" t="str">
        <f t="shared" si="8"/>
        <v/>
      </c>
    </row>
    <row r="91" spans="2:43">
      <c r="B91" s="138"/>
      <c r="C91" s="47">
        <f t="shared" si="9"/>
        <v>20</v>
      </c>
      <c r="D91" s="130">
        <f t="shared" si="17"/>
        <v>0</v>
      </c>
      <c r="E91" s="130">
        <f t="shared" si="17"/>
        <v>0</v>
      </c>
      <c r="F91" s="130">
        <f t="shared" si="17"/>
        <v>0</v>
      </c>
      <c r="G91" s="130">
        <f t="shared" si="17"/>
        <v>0</v>
      </c>
      <c r="H91" s="130">
        <f t="shared" si="17"/>
        <v>0</v>
      </c>
      <c r="I91" s="130">
        <f t="shared" si="17"/>
        <v>0</v>
      </c>
      <c r="J91" s="130">
        <f t="shared" si="17"/>
        <v>0</v>
      </c>
      <c r="K91" s="130">
        <f t="shared" si="17"/>
        <v>0</v>
      </c>
      <c r="L91" s="130">
        <f t="shared" si="17"/>
        <v>0</v>
      </c>
      <c r="M91" s="130">
        <f t="shared" si="17"/>
        <v>0</v>
      </c>
      <c r="N91" s="130">
        <f t="shared" si="17"/>
        <v>0</v>
      </c>
      <c r="O91" s="130">
        <f t="shared" si="17"/>
        <v>0</v>
      </c>
      <c r="P91" s="130">
        <f t="shared" si="17"/>
        <v>0</v>
      </c>
      <c r="Q91" s="130">
        <f t="shared" si="17"/>
        <v>0</v>
      </c>
      <c r="R91" s="130">
        <f t="shared" si="17"/>
        <v>0</v>
      </c>
      <c r="S91" s="130">
        <f t="shared" si="17"/>
        <v>0</v>
      </c>
      <c r="T91" s="130">
        <f t="shared" si="17"/>
        <v>0</v>
      </c>
      <c r="U91" s="130">
        <f t="shared" si="17"/>
        <v>0</v>
      </c>
      <c r="V91" s="130">
        <f t="shared" si="17"/>
        <v>0</v>
      </c>
      <c r="W91" s="130">
        <f t="shared" si="17"/>
        <v>0</v>
      </c>
      <c r="X91" s="130">
        <f t="shared" si="17"/>
        <v>0</v>
      </c>
      <c r="Y91" s="130">
        <f t="shared" si="17"/>
        <v>0</v>
      </c>
      <c r="Z91" s="130">
        <f t="shared" si="17"/>
        <v>0</v>
      </c>
      <c r="AA91" s="130">
        <f t="shared" si="17"/>
        <v>0</v>
      </c>
      <c r="AB91" s="130">
        <f t="shared" si="17"/>
        <v>0</v>
      </c>
      <c r="AC91" s="130">
        <f t="shared" si="17"/>
        <v>0</v>
      </c>
      <c r="AD91" s="130">
        <f t="shared" si="17"/>
        <v>0</v>
      </c>
      <c r="AE91" s="130">
        <f t="shared" si="17"/>
        <v>0</v>
      </c>
      <c r="AF91" s="130">
        <f t="shared" si="17"/>
        <v>0</v>
      </c>
      <c r="AG91" s="130">
        <f t="shared" si="17"/>
        <v>0</v>
      </c>
      <c r="AH91" s="130">
        <f t="shared" si="17"/>
        <v>0</v>
      </c>
      <c r="AI91" s="130">
        <f t="shared" si="17"/>
        <v>0</v>
      </c>
      <c r="AJ91" s="47" t="str">
        <f t="shared" si="7"/>
        <v/>
      </c>
      <c r="AK91" s="60"/>
      <c r="AL91" s="60" t="str">
        <f t="shared" si="10"/>
        <v>00</v>
      </c>
      <c r="AM91" s="62" t="str">
        <f t="shared" si="11"/>
        <v>00</v>
      </c>
      <c r="AN91" s="62" t="str">
        <f t="shared" si="12"/>
        <v>00</v>
      </c>
      <c r="AO91" s="62" t="str">
        <f t="shared" si="13"/>
        <v>00</v>
      </c>
      <c r="AQ91" t="str">
        <f t="shared" si="8"/>
        <v/>
      </c>
    </row>
    <row r="92" spans="2:43">
      <c r="B92" s="138"/>
      <c r="C92" s="47">
        <f t="shared" si="9"/>
        <v>21</v>
      </c>
      <c r="D92" s="130">
        <f t="shared" si="17"/>
        <v>0</v>
      </c>
      <c r="E92" s="130">
        <f t="shared" si="17"/>
        <v>0</v>
      </c>
      <c r="F92" s="130">
        <f t="shared" si="17"/>
        <v>0</v>
      </c>
      <c r="G92" s="130">
        <f t="shared" si="17"/>
        <v>0</v>
      </c>
      <c r="H92" s="130">
        <f t="shared" si="17"/>
        <v>0</v>
      </c>
      <c r="I92" s="130">
        <f t="shared" si="17"/>
        <v>0</v>
      </c>
      <c r="J92" s="130">
        <f t="shared" si="17"/>
        <v>0</v>
      </c>
      <c r="K92" s="130">
        <f t="shared" si="17"/>
        <v>0</v>
      </c>
      <c r="L92" s="130">
        <f t="shared" si="17"/>
        <v>0</v>
      </c>
      <c r="M92" s="130">
        <f t="shared" si="17"/>
        <v>0</v>
      </c>
      <c r="N92" s="130">
        <f t="shared" si="17"/>
        <v>0</v>
      </c>
      <c r="O92" s="130">
        <f t="shared" si="17"/>
        <v>0</v>
      </c>
      <c r="P92" s="130">
        <f t="shared" si="17"/>
        <v>0</v>
      </c>
      <c r="Q92" s="130">
        <f t="shared" si="17"/>
        <v>0</v>
      </c>
      <c r="R92" s="130">
        <f t="shared" si="17"/>
        <v>0</v>
      </c>
      <c r="S92" s="130">
        <f t="shared" si="17"/>
        <v>0</v>
      </c>
      <c r="T92" s="130">
        <f t="shared" si="17"/>
        <v>0</v>
      </c>
      <c r="U92" s="130">
        <f t="shared" si="17"/>
        <v>0</v>
      </c>
      <c r="V92" s="130">
        <f t="shared" si="17"/>
        <v>0</v>
      </c>
      <c r="W92" s="130">
        <f t="shared" si="17"/>
        <v>0</v>
      </c>
      <c r="X92" s="130">
        <f t="shared" si="17"/>
        <v>0</v>
      </c>
      <c r="Y92" s="130">
        <f t="shared" si="17"/>
        <v>0</v>
      </c>
      <c r="Z92" s="130">
        <f t="shared" si="17"/>
        <v>0</v>
      </c>
      <c r="AA92" s="130">
        <f t="shared" si="17"/>
        <v>0</v>
      </c>
      <c r="AB92" s="130">
        <f t="shared" si="17"/>
        <v>0</v>
      </c>
      <c r="AC92" s="130">
        <f t="shared" si="17"/>
        <v>0</v>
      </c>
      <c r="AD92" s="130">
        <f t="shared" si="17"/>
        <v>0</v>
      </c>
      <c r="AE92" s="130">
        <f t="shared" si="17"/>
        <v>0</v>
      </c>
      <c r="AF92" s="130">
        <f t="shared" si="17"/>
        <v>0</v>
      </c>
      <c r="AG92" s="130">
        <f t="shared" si="17"/>
        <v>0</v>
      </c>
      <c r="AH92" s="130">
        <f t="shared" si="17"/>
        <v>0</v>
      </c>
      <c r="AI92" s="130">
        <f t="shared" si="17"/>
        <v>0</v>
      </c>
      <c r="AJ92" s="47" t="str">
        <f t="shared" si="7"/>
        <v/>
      </c>
      <c r="AK92" s="60"/>
      <c r="AL92" s="60" t="str">
        <f t="shared" si="10"/>
        <v>00</v>
      </c>
      <c r="AM92" s="62" t="str">
        <f t="shared" si="11"/>
        <v>00</v>
      </c>
      <c r="AN92" s="62" t="str">
        <f t="shared" si="12"/>
        <v>00</v>
      </c>
      <c r="AO92" s="62" t="str">
        <f t="shared" si="13"/>
        <v>00</v>
      </c>
      <c r="AQ92" t="str">
        <f t="shared" si="8"/>
        <v/>
      </c>
    </row>
    <row r="93" spans="2:43">
      <c r="B93" s="138"/>
      <c r="C93" s="47">
        <f t="shared" si="9"/>
        <v>22</v>
      </c>
      <c r="D93" s="130">
        <f t="shared" si="17"/>
        <v>0</v>
      </c>
      <c r="E93" s="130">
        <f t="shared" si="17"/>
        <v>0</v>
      </c>
      <c r="F93" s="130">
        <f t="shared" si="17"/>
        <v>0</v>
      </c>
      <c r="G93" s="130">
        <f t="shared" si="17"/>
        <v>0</v>
      </c>
      <c r="H93" s="130">
        <f t="shared" si="17"/>
        <v>0</v>
      </c>
      <c r="I93" s="130">
        <f t="shared" si="17"/>
        <v>0</v>
      </c>
      <c r="J93" s="130">
        <f t="shared" si="17"/>
        <v>0</v>
      </c>
      <c r="K93" s="130">
        <f t="shared" si="17"/>
        <v>0</v>
      </c>
      <c r="L93" s="130">
        <f t="shared" si="17"/>
        <v>0</v>
      </c>
      <c r="M93" s="130">
        <f t="shared" si="17"/>
        <v>0</v>
      </c>
      <c r="N93" s="130">
        <f t="shared" si="17"/>
        <v>0</v>
      </c>
      <c r="O93" s="130">
        <f t="shared" si="17"/>
        <v>0</v>
      </c>
      <c r="P93" s="130">
        <f t="shared" si="17"/>
        <v>0</v>
      </c>
      <c r="Q93" s="130">
        <f t="shared" si="17"/>
        <v>0</v>
      </c>
      <c r="R93" s="130">
        <f t="shared" si="17"/>
        <v>0</v>
      </c>
      <c r="S93" s="130">
        <f t="shared" si="17"/>
        <v>0</v>
      </c>
      <c r="T93" s="130">
        <f t="shared" si="17"/>
        <v>0</v>
      </c>
      <c r="U93" s="130">
        <f t="shared" si="17"/>
        <v>0</v>
      </c>
      <c r="V93" s="130">
        <f t="shared" si="17"/>
        <v>0</v>
      </c>
      <c r="W93" s="130">
        <f t="shared" si="17"/>
        <v>0</v>
      </c>
      <c r="X93" s="130">
        <f t="shared" si="17"/>
        <v>0</v>
      </c>
      <c r="Y93" s="130">
        <f t="shared" si="17"/>
        <v>0</v>
      </c>
      <c r="Z93" s="130">
        <f t="shared" si="17"/>
        <v>0</v>
      </c>
      <c r="AA93" s="130">
        <f t="shared" si="17"/>
        <v>0</v>
      </c>
      <c r="AB93" s="130">
        <f t="shared" si="17"/>
        <v>0</v>
      </c>
      <c r="AC93" s="130">
        <f t="shared" si="17"/>
        <v>0</v>
      </c>
      <c r="AD93" s="130">
        <f t="shared" si="17"/>
        <v>0</v>
      </c>
      <c r="AE93" s="130">
        <f t="shared" si="17"/>
        <v>0</v>
      </c>
      <c r="AF93" s="130">
        <f t="shared" si="17"/>
        <v>0</v>
      </c>
      <c r="AG93" s="130">
        <f t="shared" si="17"/>
        <v>0</v>
      </c>
      <c r="AH93" s="130">
        <f t="shared" si="17"/>
        <v>0</v>
      </c>
      <c r="AI93" s="130">
        <f t="shared" si="17"/>
        <v>0</v>
      </c>
      <c r="AJ93" s="47" t="str">
        <f t="shared" si="7"/>
        <v/>
      </c>
      <c r="AK93" s="60"/>
      <c r="AL93" s="60" t="str">
        <f t="shared" si="10"/>
        <v>00</v>
      </c>
      <c r="AM93" s="62" t="str">
        <f t="shared" si="11"/>
        <v>00</v>
      </c>
      <c r="AN93" s="62" t="str">
        <f t="shared" si="12"/>
        <v>00</v>
      </c>
      <c r="AO93" s="62" t="str">
        <f t="shared" si="13"/>
        <v>00</v>
      </c>
      <c r="AQ93" t="str">
        <f t="shared" si="8"/>
        <v/>
      </c>
    </row>
    <row r="94" spans="2:43">
      <c r="B94" s="138"/>
      <c r="C94" s="47">
        <f t="shared" si="9"/>
        <v>23</v>
      </c>
      <c r="D94" s="130">
        <f t="shared" si="17"/>
        <v>0</v>
      </c>
      <c r="E94" s="130">
        <f t="shared" si="17"/>
        <v>0</v>
      </c>
      <c r="F94" s="130">
        <f t="shared" si="17"/>
        <v>0</v>
      </c>
      <c r="G94" s="130">
        <f t="shared" si="17"/>
        <v>0</v>
      </c>
      <c r="H94" s="130">
        <f t="shared" si="17"/>
        <v>0</v>
      </c>
      <c r="I94" s="130">
        <f t="shared" si="17"/>
        <v>0</v>
      </c>
      <c r="J94" s="130">
        <f t="shared" si="17"/>
        <v>0</v>
      </c>
      <c r="K94" s="130">
        <f t="shared" si="17"/>
        <v>0</v>
      </c>
      <c r="L94" s="130">
        <f t="shared" si="17"/>
        <v>0</v>
      </c>
      <c r="M94" s="130">
        <f t="shared" si="17"/>
        <v>0</v>
      </c>
      <c r="N94" s="130">
        <f t="shared" si="17"/>
        <v>0</v>
      </c>
      <c r="O94" s="130">
        <f t="shared" si="17"/>
        <v>0</v>
      </c>
      <c r="P94" s="130">
        <f t="shared" si="17"/>
        <v>0</v>
      </c>
      <c r="Q94" s="130">
        <f t="shared" si="17"/>
        <v>0</v>
      </c>
      <c r="R94" s="130">
        <f t="shared" si="17"/>
        <v>0</v>
      </c>
      <c r="S94" s="130">
        <f t="shared" si="17"/>
        <v>0</v>
      </c>
      <c r="T94" s="130">
        <f t="shared" si="17"/>
        <v>0</v>
      </c>
      <c r="U94" s="130">
        <f t="shared" si="17"/>
        <v>0</v>
      </c>
      <c r="V94" s="130">
        <f t="shared" si="17"/>
        <v>0</v>
      </c>
      <c r="W94" s="130">
        <f t="shared" si="17"/>
        <v>0</v>
      </c>
      <c r="X94" s="130">
        <f t="shared" si="17"/>
        <v>0</v>
      </c>
      <c r="Y94" s="130">
        <f t="shared" si="17"/>
        <v>0</v>
      </c>
      <c r="Z94" s="130">
        <f t="shared" si="17"/>
        <v>0</v>
      </c>
      <c r="AA94" s="130">
        <f t="shared" si="17"/>
        <v>0</v>
      </c>
      <c r="AB94" s="130">
        <f t="shared" si="17"/>
        <v>0</v>
      </c>
      <c r="AC94" s="130">
        <f t="shared" si="17"/>
        <v>0</v>
      </c>
      <c r="AD94" s="130">
        <f t="shared" si="17"/>
        <v>0</v>
      </c>
      <c r="AE94" s="130">
        <f t="shared" si="17"/>
        <v>0</v>
      </c>
      <c r="AF94" s="130">
        <f t="shared" si="17"/>
        <v>0</v>
      </c>
      <c r="AG94" s="130">
        <f t="shared" si="17"/>
        <v>0</v>
      </c>
      <c r="AH94" s="130">
        <f t="shared" si="17"/>
        <v>0</v>
      </c>
      <c r="AI94" s="130">
        <f t="shared" ref="AI94" si="18">IF(AI29=1,1,0)</f>
        <v>0</v>
      </c>
      <c r="AJ94" s="47" t="str">
        <f t="shared" si="7"/>
        <v/>
      </c>
      <c r="AK94" s="60"/>
      <c r="AL94" s="60" t="str">
        <f t="shared" si="10"/>
        <v>00</v>
      </c>
      <c r="AM94" s="62" t="str">
        <f t="shared" si="11"/>
        <v>00</v>
      </c>
      <c r="AN94" s="62" t="str">
        <f t="shared" si="12"/>
        <v>00</v>
      </c>
      <c r="AO94" s="62" t="str">
        <f t="shared" si="13"/>
        <v>00</v>
      </c>
      <c r="AQ94" t="str">
        <f t="shared" si="8"/>
        <v/>
      </c>
    </row>
    <row r="95" spans="2:43">
      <c r="B95" s="138"/>
      <c r="C95" s="47">
        <f t="shared" si="9"/>
        <v>24</v>
      </c>
      <c r="D95" s="130">
        <f t="shared" ref="D95:AI102" si="19">IF(D30=1,1,0)</f>
        <v>0</v>
      </c>
      <c r="E95" s="130">
        <f t="shared" si="19"/>
        <v>0</v>
      </c>
      <c r="F95" s="130">
        <f t="shared" si="19"/>
        <v>0</v>
      </c>
      <c r="G95" s="130">
        <f t="shared" si="19"/>
        <v>0</v>
      </c>
      <c r="H95" s="130">
        <f t="shared" si="19"/>
        <v>0</v>
      </c>
      <c r="I95" s="130">
        <f t="shared" si="19"/>
        <v>0</v>
      </c>
      <c r="J95" s="130">
        <f t="shared" si="19"/>
        <v>0</v>
      </c>
      <c r="K95" s="130">
        <f t="shared" si="19"/>
        <v>0</v>
      </c>
      <c r="L95" s="130">
        <f t="shared" si="19"/>
        <v>0</v>
      </c>
      <c r="M95" s="130">
        <f t="shared" si="19"/>
        <v>0</v>
      </c>
      <c r="N95" s="130">
        <f t="shared" si="19"/>
        <v>0</v>
      </c>
      <c r="O95" s="130">
        <f t="shared" si="19"/>
        <v>0</v>
      </c>
      <c r="P95" s="130">
        <f t="shared" si="19"/>
        <v>0</v>
      </c>
      <c r="Q95" s="130">
        <f t="shared" si="19"/>
        <v>0</v>
      </c>
      <c r="R95" s="130">
        <f t="shared" si="19"/>
        <v>0</v>
      </c>
      <c r="S95" s="130">
        <f t="shared" si="19"/>
        <v>0</v>
      </c>
      <c r="T95" s="130">
        <f t="shared" si="19"/>
        <v>0</v>
      </c>
      <c r="U95" s="130">
        <f t="shared" si="19"/>
        <v>0</v>
      </c>
      <c r="V95" s="130">
        <f t="shared" si="19"/>
        <v>0</v>
      </c>
      <c r="W95" s="130">
        <f t="shared" si="19"/>
        <v>0</v>
      </c>
      <c r="X95" s="130">
        <f t="shared" si="19"/>
        <v>0</v>
      </c>
      <c r="Y95" s="130">
        <f t="shared" si="19"/>
        <v>0</v>
      </c>
      <c r="Z95" s="130">
        <f t="shared" si="19"/>
        <v>0</v>
      </c>
      <c r="AA95" s="130">
        <f t="shared" si="19"/>
        <v>0</v>
      </c>
      <c r="AB95" s="130">
        <f t="shared" si="19"/>
        <v>0</v>
      </c>
      <c r="AC95" s="130">
        <f t="shared" si="19"/>
        <v>0</v>
      </c>
      <c r="AD95" s="130">
        <f t="shared" si="19"/>
        <v>0</v>
      </c>
      <c r="AE95" s="130">
        <f t="shared" si="19"/>
        <v>0</v>
      </c>
      <c r="AF95" s="130">
        <f t="shared" si="19"/>
        <v>0</v>
      </c>
      <c r="AG95" s="130">
        <f t="shared" si="19"/>
        <v>0</v>
      </c>
      <c r="AH95" s="130">
        <f t="shared" si="19"/>
        <v>0</v>
      </c>
      <c r="AI95" s="130">
        <f t="shared" si="19"/>
        <v>0</v>
      </c>
      <c r="AJ95" s="47" t="str">
        <f t="shared" si="7"/>
        <v/>
      </c>
      <c r="AK95" s="60"/>
      <c r="AL95" s="60" t="str">
        <f t="shared" si="10"/>
        <v>00</v>
      </c>
      <c r="AM95" s="62" t="str">
        <f t="shared" si="11"/>
        <v>00</v>
      </c>
      <c r="AN95" s="62" t="str">
        <f t="shared" si="12"/>
        <v>00</v>
      </c>
      <c r="AO95" s="62" t="str">
        <f t="shared" si="13"/>
        <v>00</v>
      </c>
      <c r="AQ95" t="str">
        <f t="shared" si="8"/>
        <v/>
      </c>
    </row>
    <row r="96" spans="2:43">
      <c r="B96" s="138"/>
      <c r="C96" s="47">
        <f t="shared" si="9"/>
        <v>25</v>
      </c>
      <c r="D96" s="130">
        <f t="shared" si="19"/>
        <v>0</v>
      </c>
      <c r="E96" s="130">
        <f t="shared" si="19"/>
        <v>0</v>
      </c>
      <c r="F96" s="130">
        <f t="shared" si="19"/>
        <v>0</v>
      </c>
      <c r="G96" s="130">
        <f t="shared" si="19"/>
        <v>0</v>
      </c>
      <c r="H96" s="130">
        <f t="shared" si="19"/>
        <v>0</v>
      </c>
      <c r="I96" s="130">
        <f t="shared" si="19"/>
        <v>0</v>
      </c>
      <c r="J96" s="130">
        <f t="shared" si="19"/>
        <v>0</v>
      </c>
      <c r="K96" s="130">
        <f t="shared" si="19"/>
        <v>0</v>
      </c>
      <c r="L96" s="130">
        <f t="shared" si="19"/>
        <v>0</v>
      </c>
      <c r="M96" s="130">
        <f t="shared" si="19"/>
        <v>0</v>
      </c>
      <c r="N96" s="130">
        <f t="shared" si="19"/>
        <v>0</v>
      </c>
      <c r="O96" s="130">
        <f t="shared" si="19"/>
        <v>0</v>
      </c>
      <c r="P96" s="130">
        <f t="shared" si="19"/>
        <v>0</v>
      </c>
      <c r="Q96" s="130">
        <f t="shared" si="19"/>
        <v>0</v>
      </c>
      <c r="R96" s="130">
        <f t="shared" si="19"/>
        <v>0</v>
      </c>
      <c r="S96" s="130">
        <f t="shared" si="19"/>
        <v>0</v>
      </c>
      <c r="T96" s="130">
        <f t="shared" si="19"/>
        <v>0</v>
      </c>
      <c r="U96" s="130">
        <f t="shared" si="19"/>
        <v>0</v>
      </c>
      <c r="V96" s="130">
        <f t="shared" si="19"/>
        <v>0</v>
      </c>
      <c r="W96" s="130">
        <f t="shared" si="19"/>
        <v>0</v>
      </c>
      <c r="X96" s="130">
        <f t="shared" si="19"/>
        <v>0</v>
      </c>
      <c r="Y96" s="130">
        <f t="shared" si="19"/>
        <v>0</v>
      </c>
      <c r="Z96" s="130">
        <f t="shared" si="19"/>
        <v>0</v>
      </c>
      <c r="AA96" s="130">
        <f t="shared" si="19"/>
        <v>0</v>
      </c>
      <c r="AB96" s="130">
        <f t="shared" si="19"/>
        <v>0</v>
      </c>
      <c r="AC96" s="130">
        <f t="shared" si="19"/>
        <v>0</v>
      </c>
      <c r="AD96" s="130">
        <f t="shared" si="19"/>
        <v>0</v>
      </c>
      <c r="AE96" s="130">
        <f t="shared" si="19"/>
        <v>0</v>
      </c>
      <c r="AF96" s="130">
        <f t="shared" si="19"/>
        <v>0</v>
      </c>
      <c r="AG96" s="130">
        <f t="shared" si="19"/>
        <v>0</v>
      </c>
      <c r="AH96" s="130">
        <f t="shared" si="19"/>
        <v>0</v>
      </c>
      <c r="AI96" s="130">
        <f t="shared" si="19"/>
        <v>0</v>
      </c>
      <c r="AJ96" s="47" t="str">
        <f t="shared" si="7"/>
        <v/>
      </c>
      <c r="AK96" s="60"/>
      <c r="AL96" s="60" t="str">
        <f t="shared" si="10"/>
        <v>00</v>
      </c>
      <c r="AM96" s="62" t="str">
        <f t="shared" si="11"/>
        <v>00</v>
      </c>
      <c r="AN96" s="62" t="str">
        <f t="shared" si="12"/>
        <v>00</v>
      </c>
      <c r="AO96" s="62" t="str">
        <f t="shared" si="13"/>
        <v>00</v>
      </c>
      <c r="AQ96" t="str">
        <f t="shared" si="8"/>
        <v/>
      </c>
    </row>
    <row r="97" spans="2:43">
      <c r="B97" s="138"/>
      <c r="C97" s="47">
        <f t="shared" si="9"/>
        <v>26</v>
      </c>
      <c r="D97" s="130">
        <f t="shared" si="19"/>
        <v>0</v>
      </c>
      <c r="E97" s="130">
        <f t="shared" si="19"/>
        <v>0</v>
      </c>
      <c r="F97" s="130">
        <f t="shared" si="19"/>
        <v>0</v>
      </c>
      <c r="G97" s="130">
        <f t="shared" si="19"/>
        <v>0</v>
      </c>
      <c r="H97" s="130">
        <f t="shared" si="19"/>
        <v>0</v>
      </c>
      <c r="I97" s="130">
        <f t="shared" si="19"/>
        <v>0</v>
      </c>
      <c r="J97" s="130">
        <f t="shared" si="19"/>
        <v>0</v>
      </c>
      <c r="K97" s="130">
        <f t="shared" si="19"/>
        <v>0</v>
      </c>
      <c r="L97" s="130">
        <f t="shared" si="19"/>
        <v>0</v>
      </c>
      <c r="M97" s="130">
        <f t="shared" si="19"/>
        <v>0</v>
      </c>
      <c r="N97" s="130">
        <f t="shared" si="19"/>
        <v>0</v>
      </c>
      <c r="O97" s="130">
        <f t="shared" si="19"/>
        <v>0</v>
      </c>
      <c r="P97" s="130">
        <f t="shared" si="19"/>
        <v>0</v>
      </c>
      <c r="Q97" s="130">
        <f t="shared" si="19"/>
        <v>0</v>
      </c>
      <c r="R97" s="130">
        <f t="shared" si="19"/>
        <v>0</v>
      </c>
      <c r="S97" s="130">
        <f t="shared" si="19"/>
        <v>0</v>
      </c>
      <c r="T97" s="130">
        <f t="shared" si="19"/>
        <v>0</v>
      </c>
      <c r="U97" s="130">
        <f t="shared" si="19"/>
        <v>0</v>
      </c>
      <c r="V97" s="130">
        <f t="shared" si="19"/>
        <v>0</v>
      </c>
      <c r="W97" s="130">
        <f t="shared" si="19"/>
        <v>0</v>
      </c>
      <c r="X97" s="130">
        <f t="shared" si="19"/>
        <v>0</v>
      </c>
      <c r="Y97" s="130">
        <f t="shared" si="19"/>
        <v>0</v>
      </c>
      <c r="Z97" s="130">
        <f t="shared" si="19"/>
        <v>0</v>
      </c>
      <c r="AA97" s="130">
        <f t="shared" si="19"/>
        <v>0</v>
      </c>
      <c r="AB97" s="130">
        <f t="shared" si="19"/>
        <v>0</v>
      </c>
      <c r="AC97" s="130">
        <f t="shared" si="19"/>
        <v>0</v>
      </c>
      <c r="AD97" s="130">
        <f t="shared" si="19"/>
        <v>0</v>
      </c>
      <c r="AE97" s="130">
        <f t="shared" si="19"/>
        <v>0</v>
      </c>
      <c r="AF97" s="130">
        <f t="shared" si="19"/>
        <v>0</v>
      </c>
      <c r="AG97" s="130">
        <f t="shared" si="19"/>
        <v>0</v>
      </c>
      <c r="AH97" s="130">
        <f t="shared" si="19"/>
        <v>0</v>
      </c>
      <c r="AI97" s="130">
        <f t="shared" si="19"/>
        <v>0</v>
      </c>
      <c r="AJ97" s="47" t="str">
        <f t="shared" si="7"/>
        <v/>
      </c>
      <c r="AK97" s="60"/>
      <c r="AL97" s="60" t="str">
        <f t="shared" si="10"/>
        <v>00</v>
      </c>
      <c r="AM97" s="62" t="str">
        <f t="shared" si="11"/>
        <v>00</v>
      </c>
      <c r="AN97" s="62" t="str">
        <f t="shared" si="12"/>
        <v>00</v>
      </c>
      <c r="AO97" s="62" t="str">
        <f t="shared" si="13"/>
        <v>00</v>
      </c>
      <c r="AQ97" t="str">
        <f t="shared" si="8"/>
        <v/>
      </c>
    </row>
    <row r="98" spans="2:43">
      <c r="B98" s="138"/>
      <c r="C98" s="47">
        <f t="shared" si="9"/>
        <v>27</v>
      </c>
      <c r="D98" s="130">
        <f t="shared" si="19"/>
        <v>0</v>
      </c>
      <c r="E98" s="130">
        <f t="shared" si="19"/>
        <v>0</v>
      </c>
      <c r="F98" s="130">
        <f t="shared" si="19"/>
        <v>0</v>
      </c>
      <c r="G98" s="130">
        <f t="shared" si="19"/>
        <v>0</v>
      </c>
      <c r="H98" s="130">
        <f t="shared" si="19"/>
        <v>0</v>
      </c>
      <c r="I98" s="130">
        <f t="shared" si="19"/>
        <v>0</v>
      </c>
      <c r="J98" s="130">
        <f t="shared" si="19"/>
        <v>0</v>
      </c>
      <c r="K98" s="130">
        <f t="shared" si="19"/>
        <v>0</v>
      </c>
      <c r="L98" s="130">
        <f t="shared" si="19"/>
        <v>0</v>
      </c>
      <c r="M98" s="130">
        <f t="shared" si="19"/>
        <v>0</v>
      </c>
      <c r="N98" s="130">
        <f t="shared" si="19"/>
        <v>0</v>
      </c>
      <c r="O98" s="130">
        <f t="shared" si="19"/>
        <v>0</v>
      </c>
      <c r="P98" s="130">
        <f t="shared" si="19"/>
        <v>0</v>
      </c>
      <c r="Q98" s="130">
        <f t="shared" si="19"/>
        <v>0</v>
      </c>
      <c r="R98" s="130">
        <f t="shared" si="19"/>
        <v>0</v>
      </c>
      <c r="S98" s="130">
        <f t="shared" si="19"/>
        <v>0</v>
      </c>
      <c r="T98" s="130">
        <f t="shared" si="19"/>
        <v>0</v>
      </c>
      <c r="U98" s="130">
        <f t="shared" si="19"/>
        <v>0</v>
      </c>
      <c r="V98" s="130">
        <f t="shared" si="19"/>
        <v>0</v>
      </c>
      <c r="W98" s="130">
        <f t="shared" si="19"/>
        <v>0</v>
      </c>
      <c r="X98" s="130">
        <f t="shared" si="19"/>
        <v>0</v>
      </c>
      <c r="Y98" s="130">
        <f t="shared" si="19"/>
        <v>0</v>
      </c>
      <c r="Z98" s="130">
        <f t="shared" si="19"/>
        <v>0</v>
      </c>
      <c r="AA98" s="130">
        <f t="shared" si="19"/>
        <v>0</v>
      </c>
      <c r="AB98" s="130">
        <f t="shared" si="19"/>
        <v>0</v>
      </c>
      <c r="AC98" s="130">
        <f t="shared" si="19"/>
        <v>0</v>
      </c>
      <c r="AD98" s="130">
        <f t="shared" si="19"/>
        <v>0</v>
      </c>
      <c r="AE98" s="130">
        <f t="shared" si="19"/>
        <v>0</v>
      </c>
      <c r="AF98" s="130">
        <f t="shared" si="19"/>
        <v>0</v>
      </c>
      <c r="AG98" s="130">
        <f t="shared" si="19"/>
        <v>0</v>
      </c>
      <c r="AH98" s="130">
        <f t="shared" si="19"/>
        <v>0</v>
      </c>
      <c r="AI98" s="130">
        <f t="shared" si="19"/>
        <v>0</v>
      </c>
      <c r="AJ98" s="47" t="str">
        <f t="shared" si="7"/>
        <v/>
      </c>
      <c r="AK98" s="60"/>
      <c r="AL98" s="60" t="str">
        <f t="shared" si="10"/>
        <v>00</v>
      </c>
      <c r="AM98" s="62" t="str">
        <f t="shared" si="11"/>
        <v>00</v>
      </c>
      <c r="AN98" s="62" t="str">
        <f t="shared" si="12"/>
        <v>00</v>
      </c>
      <c r="AO98" s="62" t="str">
        <f t="shared" si="13"/>
        <v>00</v>
      </c>
      <c r="AQ98" t="str">
        <f t="shared" si="8"/>
        <v/>
      </c>
    </row>
    <row r="99" spans="2:43">
      <c r="B99" s="138"/>
      <c r="C99" s="47">
        <f t="shared" si="9"/>
        <v>28</v>
      </c>
      <c r="D99" s="130">
        <f t="shared" si="19"/>
        <v>0</v>
      </c>
      <c r="E99" s="130">
        <f t="shared" si="19"/>
        <v>0</v>
      </c>
      <c r="F99" s="130">
        <f t="shared" si="19"/>
        <v>0</v>
      </c>
      <c r="G99" s="130">
        <f t="shared" si="19"/>
        <v>0</v>
      </c>
      <c r="H99" s="130">
        <f t="shared" si="19"/>
        <v>0</v>
      </c>
      <c r="I99" s="130">
        <f t="shared" si="19"/>
        <v>0</v>
      </c>
      <c r="J99" s="130">
        <f t="shared" si="19"/>
        <v>0</v>
      </c>
      <c r="K99" s="130">
        <f t="shared" si="19"/>
        <v>0</v>
      </c>
      <c r="L99" s="130">
        <f t="shared" si="19"/>
        <v>0</v>
      </c>
      <c r="M99" s="130">
        <f t="shared" si="19"/>
        <v>0</v>
      </c>
      <c r="N99" s="130">
        <f t="shared" si="19"/>
        <v>0</v>
      </c>
      <c r="O99" s="130">
        <f t="shared" si="19"/>
        <v>0</v>
      </c>
      <c r="P99" s="130">
        <f t="shared" si="19"/>
        <v>0</v>
      </c>
      <c r="Q99" s="130">
        <f t="shared" si="19"/>
        <v>0</v>
      </c>
      <c r="R99" s="130">
        <f t="shared" si="19"/>
        <v>0</v>
      </c>
      <c r="S99" s="130">
        <f t="shared" si="19"/>
        <v>0</v>
      </c>
      <c r="T99" s="130">
        <f t="shared" si="19"/>
        <v>0</v>
      </c>
      <c r="U99" s="130">
        <f t="shared" si="19"/>
        <v>0</v>
      </c>
      <c r="V99" s="130">
        <f t="shared" si="19"/>
        <v>0</v>
      </c>
      <c r="W99" s="130">
        <f t="shared" si="19"/>
        <v>0</v>
      </c>
      <c r="X99" s="130">
        <f t="shared" si="19"/>
        <v>0</v>
      </c>
      <c r="Y99" s="130">
        <f t="shared" si="19"/>
        <v>0</v>
      </c>
      <c r="Z99" s="130">
        <f t="shared" si="19"/>
        <v>0</v>
      </c>
      <c r="AA99" s="130">
        <f t="shared" si="19"/>
        <v>0</v>
      </c>
      <c r="AB99" s="130">
        <f t="shared" si="19"/>
        <v>0</v>
      </c>
      <c r="AC99" s="130">
        <f t="shared" si="19"/>
        <v>0</v>
      </c>
      <c r="AD99" s="130">
        <f t="shared" si="19"/>
        <v>0</v>
      </c>
      <c r="AE99" s="130">
        <f t="shared" si="19"/>
        <v>0</v>
      </c>
      <c r="AF99" s="130">
        <f t="shared" si="19"/>
        <v>0</v>
      </c>
      <c r="AG99" s="130">
        <f t="shared" si="19"/>
        <v>0</v>
      </c>
      <c r="AH99" s="130">
        <f t="shared" si="19"/>
        <v>0</v>
      </c>
      <c r="AI99" s="130">
        <f t="shared" si="19"/>
        <v>0</v>
      </c>
      <c r="AJ99" s="47" t="str">
        <f t="shared" si="7"/>
        <v/>
      </c>
      <c r="AK99" s="60"/>
      <c r="AL99" s="60" t="str">
        <f t="shared" si="10"/>
        <v>00</v>
      </c>
      <c r="AM99" s="62" t="str">
        <f t="shared" si="11"/>
        <v>00</v>
      </c>
      <c r="AN99" s="62" t="str">
        <f t="shared" si="12"/>
        <v>00</v>
      </c>
      <c r="AO99" s="62" t="str">
        <f t="shared" si="13"/>
        <v>00</v>
      </c>
      <c r="AQ99" t="str">
        <f t="shared" si="8"/>
        <v/>
      </c>
    </row>
    <row r="100" spans="2:43">
      <c r="B100" s="138"/>
      <c r="C100" s="47">
        <f t="shared" si="9"/>
        <v>29</v>
      </c>
      <c r="D100" s="130">
        <f t="shared" si="19"/>
        <v>0</v>
      </c>
      <c r="E100" s="130">
        <f t="shared" si="19"/>
        <v>0</v>
      </c>
      <c r="F100" s="130">
        <f t="shared" si="19"/>
        <v>0</v>
      </c>
      <c r="G100" s="130">
        <f t="shared" si="19"/>
        <v>0</v>
      </c>
      <c r="H100" s="130">
        <f t="shared" si="19"/>
        <v>0</v>
      </c>
      <c r="I100" s="130">
        <f t="shared" si="19"/>
        <v>0</v>
      </c>
      <c r="J100" s="130">
        <f t="shared" si="19"/>
        <v>0</v>
      </c>
      <c r="K100" s="130">
        <f t="shared" si="19"/>
        <v>0</v>
      </c>
      <c r="L100" s="130">
        <f t="shared" si="19"/>
        <v>0</v>
      </c>
      <c r="M100" s="130">
        <f t="shared" si="19"/>
        <v>0</v>
      </c>
      <c r="N100" s="130">
        <f t="shared" si="19"/>
        <v>0</v>
      </c>
      <c r="O100" s="130">
        <f t="shared" si="19"/>
        <v>0</v>
      </c>
      <c r="P100" s="130">
        <f t="shared" si="19"/>
        <v>0</v>
      </c>
      <c r="Q100" s="130">
        <f t="shared" si="19"/>
        <v>0</v>
      </c>
      <c r="R100" s="130">
        <f t="shared" si="19"/>
        <v>0</v>
      </c>
      <c r="S100" s="130">
        <f t="shared" si="19"/>
        <v>0</v>
      </c>
      <c r="T100" s="130">
        <f t="shared" si="19"/>
        <v>0</v>
      </c>
      <c r="U100" s="130">
        <f t="shared" si="19"/>
        <v>0</v>
      </c>
      <c r="V100" s="130">
        <f t="shared" si="19"/>
        <v>0</v>
      </c>
      <c r="W100" s="130">
        <f t="shared" si="19"/>
        <v>0</v>
      </c>
      <c r="X100" s="130">
        <f t="shared" si="19"/>
        <v>0</v>
      </c>
      <c r="Y100" s="130">
        <f t="shared" si="19"/>
        <v>0</v>
      </c>
      <c r="Z100" s="130">
        <f t="shared" si="19"/>
        <v>0</v>
      </c>
      <c r="AA100" s="130">
        <f t="shared" si="19"/>
        <v>0</v>
      </c>
      <c r="AB100" s="130">
        <f t="shared" si="19"/>
        <v>0</v>
      </c>
      <c r="AC100" s="130">
        <f t="shared" si="19"/>
        <v>0</v>
      </c>
      <c r="AD100" s="130">
        <f t="shared" si="19"/>
        <v>0</v>
      </c>
      <c r="AE100" s="130">
        <f t="shared" si="19"/>
        <v>0</v>
      </c>
      <c r="AF100" s="130">
        <f t="shared" si="19"/>
        <v>0</v>
      </c>
      <c r="AG100" s="130">
        <f t="shared" si="19"/>
        <v>0</v>
      </c>
      <c r="AH100" s="130">
        <f t="shared" si="19"/>
        <v>0</v>
      </c>
      <c r="AI100" s="130">
        <f t="shared" si="19"/>
        <v>0</v>
      </c>
      <c r="AJ100" s="47" t="str">
        <f t="shared" si="7"/>
        <v/>
      </c>
      <c r="AK100" s="60"/>
      <c r="AL100" s="60" t="str">
        <f t="shared" si="10"/>
        <v>00</v>
      </c>
      <c r="AM100" s="62" t="str">
        <f t="shared" si="11"/>
        <v>00</v>
      </c>
      <c r="AN100" s="62" t="str">
        <f t="shared" si="12"/>
        <v>00</v>
      </c>
      <c r="AO100" s="62" t="str">
        <f t="shared" si="13"/>
        <v>00</v>
      </c>
      <c r="AQ100" t="str">
        <f t="shared" si="8"/>
        <v/>
      </c>
    </row>
    <row r="101" spans="2:43">
      <c r="B101" s="138"/>
      <c r="C101" s="47">
        <f t="shared" si="9"/>
        <v>30</v>
      </c>
      <c r="D101" s="130">
        <f t="shared" si="19"/>
        <v>0</v>
      </c>
      <c r="E101" s="130">
        <f t="shared" si="19"/>
        <v>0</v>
      </c>
      <c r="F101" s="130">
        <f t="shared" si="19"/>
        <v>0</v>
      </c>
      <c r="G101" s="130">
        <f t="shared" si="19"/>
        <v>0</v>
      </c>
      <c r="H101" s="130">
        <f t="shared" si="19"/>
        <v>0</v>
      </c>
      <c r="I101" s="130">
        <f t="shared" si="19"/>
        <v>0</v>
      </c>
      <c r="J101" s="130">
        <f t="shared" si="19"/>
        <v>0</v>
      </c>
      <c r="K101" s="130">
        <f t="shared" si="19"/>
        <v>0</v>
      </c>
      <c r="L101" s="130">
        <f t="shared" si="19"/>
        <v>0</v>
      </c>
      <c r="M101" s="130">
        <f t="shared" si="19"/>
        <v>0</v>
      </c>
      <c r="N101" s="130">
        <f t="shared" si="19"/>
        <v>0</v>
      </c>
      <c r="O101" s="130">
        <f t="shared" si="19"/>
        <v>0</v>
      </c>
      <c r="P101" s="130">
        <f t="shared" si="19"/>
        <v>0</v>
      </c>
      <c r="Q101" s="130">
        <f t="shared" si="19"/>
        <v>0</v>
      </c>
      <c r="R101" s="130">
        <f t="shared" si="19"/>
        <v>0</v>
      </c>
      <c r="S101" s="130">
        <f t="shared" si="19"/>
        <v>0</v>
      </c>
      <c r="T101" s="130">
        <f t="shared" si="19"/>
        <v>0</v>
      </c>
      <c r="U101" s="130">
        <f t="shared" si="19"/>
        <v>0</v>
      </c>
      <c r="V101" s="130">
        <f t="shared" si="19"/>
        <v>0</v>
      </c>
      <c r="W101" s="130">
        <f t="shared" si="19"/>
        <v>0</v>
      </c>
      <c r="X101" s="130">
        <f t="shared" si="19"/>
        <v>0</v>
      </c>
      <c r="Y101" s="130">
        <f t="shared" si="19"/>
        <v>0</v>
      </c>
      <c r="Z101" s="130">
        <f t="shared" si="19"/>
        <v>0</v>
      </c>
      <c r="AA101" s="130">
        <f t="shared" si="19"/>
        <v>0</v>
      </c>
      <c r="AB101" s="130">
        <f t="shared" si="19"/>
        <v>0</v>
      </c>
      <c r="AC101" s="130">
        <f t="shared" si="19"/>
        <v>0</v>
      </c>
      <c r="AD101" s="130">
        <f t="shared" si="19"/>
        <v>0</v>
      </c>
      <c r="AE101" s="130">
        <f t="shared" si="19"/>
        <v>0</v>
      </c>
      <c r="AF101" s="130">
        <f t="shared" si="19"/>
        <v>0</v>
      </c>
      <c r="AG101" s="130">
        <f t="shared" si="19"/>
        <v>0</v>
      </c>
      <c r="AH101" s="130">
        <f t="shared" si="19"/>
        <v>0</v>
      </c>
      <c r="AI101" s="130">
        <f t="shared" si="19"/>
        <v>0</v>
      </c>
      <c r="AJ101" s="47" t="str">
        <f t="shared" si="7"/>
        <v/>
      </c>
      <c r="AK101" s="60"/>
      <c r="AL101" s="60" t="str">
        <f t="shared" si="10"/>
        <v>00</v>
      </c>
      <c r="AM101" s="62" t="str">
        <f t="shared" si="11"/>
        <v>00</v>
      </c>
      <c r="AN101" s="62" t="str">
        <f t="shared" si="12"/>
        <v>00</v>
      </c>
      <c r="AO101" s="62" t="str">
        <f t="shared" si="13"/>
        <v>00</v>
      </c>
      <c r="AQ101" t="str">
        <f t="shared" si="8"/>
        <v/>
      </c>
    </row>
    <row r="102" spans="2:43">
      <c r="B102" s="138"/>
      <c r="C102" s="47">
        <f t="shared" si="9"/>
        <v>31</v>
      </c>
      <c r="D102" s="130">
        <f t="shared" si="19"/>
        <v>0</v>
      </c>
      <c r="E102" s="130">
        <f t="shared" si="19"/>
        <v>0</v>
      </c>
      <c r="F102" s="130">
        <f t="shared" si="19"/>
        <v>0</v>
      </c>
      <c r="G102" s="130">
        <f t="shared" si="19"/>
        <v>0</v>
      </c>
      <c r="H102" s="130">
        <f t="shared" si="19"/>
        <v>0</v>
      </c>
      <c r="I102" s="130">
        <f t="shared" si="19"/>
        <v>0</v>
      </c>
      <c r="J102" s="130">
        <f t="shared" si="19"/>
        <v>0</v>
      </c>
      <c r="K102" s="130">
        <f t="shared" si="19"/>
        <v>0</v>
      </c>
      <c r="L102" s="130">
        <f t="shared" si="19"/>
        <v>0</v>
      </c>
      <c r="M102" s="130">
        <f t="shared" si="19"/>
        <v>0</v>
      </c>
      <c r="N102" s="130">
        <f t="shared" si="19"/>
        <v>0</v>
      </c>
      <c r="O102" s="130">
        <f t="shared" si="19"/>
        <v>0</v>
      </c>
      <c r="P102" s="130">
        <f t="shared" si="19"/>
        <v>0</v>
      </c>
      <c r="Q102" s="130">
        <f t="shared" si="19"/>
        <v>0</v>
      </c>
      <c r="R102" s="130">
        <f t="shared" si="19"/>
        <v>0</v>
      </c>
      <c r="S102" s="130">
        <f t="shared" si="19"/>
        <v>0</v>
      </c>
      <c r="T102" s="130">
        <f t="shared" si="19"/>
        <v>0</v>
      </c>
      <c r="U102" s="130">
        <f t="shared" si="19"/>
        <v>0</v>
      </c>
      <c r="V102" s="130">
        <f t="shared" si="19"/>
        <v>0</v>
      </c>
      <c r="W102" s="130">
        <f t="shared" si="19"/>
        <v>0</v>
      </c>
      <c r="X102" s="130">
        <f t="shared" si="19"/>
        <v>0</v>
      </c>
      <c r="Y102" s="130">
        <f t="shared" si="19"/>
        <v>0</v>
      </c>
      <c r="Z102" s="130">
        <f t="shared" si="19"/>
        <v>0</v>
      </c>
      <c r="AA102" s="130">
        <f t="shared" si="19"/>
        <v>0</v>
      </c>
      <c r="AB102" s="130">
        <f t="shared" si="19"/>
        <v>0</v>
      </c>
      <c r="AC102" s="130">
        <f t="shared" si="19"/>
        <v>0</v>
      </c>
      <c r="AD102" s="130">
        <f t="shared" si="19"/>
        <v>0</v>
      </c>
      <c r="AE102" s="130">
        <f t="shared" si="19"/>
        <v>0</v>
      </c>
      <c r="AF102" s="130">
        <f t="shared" si="19"/>
        <v>0</v>
      </c>
      <c r="AG102" s="130">
        <f t="shared" si="19"/>
        <v>0</v>
      </c>
      <c r="AH102" s="130">
        <f t="shared" si="19"/>
        <v>0</v>
      </c>
      <c r="AI102" s="130">
        <f t="shared" ref="AI102" si="20">IF(AI37=1,1,0)</f>
        <v>0</v>
      </c>
      <c r="AJ102" s="47" t="str">
        <f t="shared" si="7"/>
        <v/>
      </c>
      <c r="AK102" s="60"/>
      <c r="AL102" s="60" t="str">
        <f t="shared" si="10"/>
        <v>00</v>
      </c>
      <c r="AM102" s="62" t="str">
        <f t="shared" si="11"/>
        <v>00</v>
      </c>
      <c r="AN102" s="62" t="str">
        <f t="shared" si="12"/>
        <v>00</v>
      </c>
      <c r="AO102" s="62" t="str">
        <f t="shared" si="13"/>
        <v>00</v>
      </c>
      <c r="AQ102" t="str">
        <f t="shared" si="8"/>
        <v/>
      </c>
    </row>
    <row r="103" spans="2:43">
      <c r="B103" s="138"/>
      <c r="C103" s="47">
        <f t="shared" si="9"/>
        <v>32</v>
      </c>
      <c r="D103" s="130">
        <f t="shared" ref="D103:AI110" si="21">IF(D38=1,1,0)</f>
        <v>0</v>
      </c>
      <c r="E103" s="130">
        <f t="shared" si="21"/>
        <v>0</v>
      </c>
      <c r="F103" s="130">
        <f t="shared" si="21"/>
        <v>0</v>
      </c>
      <c r="G103" s="130">
        <f t="shared" si="21"/>
        <v>0</v>
      </c>
      <c r="H103" s="130">
        <f t="shared" si="21"/>
        <v>0</v>
      </c>
      <c r="I103" s="130">
        <f t="shared" si="21"/>
        <v>0</v>
      </c>
      <c r="J103" s="130">
        <f t="shared" si="21"/>
        <v>0</v>
      </c>
      <c r="K103" s="130">
        <f t="shared" si="21"/>
        <v>0</v>
      </c>
      <c r="L103" s="130">
        <f t="shared" si="21"/>
        <v>0</v>
      </c>
      <c r="M103" s="130">
        <f t="shared" si="21"/>
        <v>0</v>
      </c>
      <c r="N103" s="130">
        <f t="shared" si="21"/>
        <v>0</v>
      </c>
      <c r="O103" s="130">
        <f t="shared" si="21"/>
        <v>0</v>
      </c>
      <c r="P103" s="130">
        <f t="shared" si="21"/>
        <v>0</v>
      </c>
      <c r="Q103" s="130">
        <f t="shared" si="21"/>
        <v>0</v>
      </c>
      <c r="R103" s="130">
        <f t="shared" si="21"/>
        <v>0</v>
      </c>
      <c r="S103" s="130">
        <f t="shared" si="21"/>
        <v>0</v>
      </c>
      <c r="T103" s="130">
        <f t="shared" si="21"/>
        <v>0</v>
      </c>
      <c r="U103" s="130">
        <f t="shared" si="21"/>
        <v>0</v>
      </c>
      <c r="V103" s="130">
        <f t="shared" si="21"/>
        <v>0</v>
      </c>
      <c r="W103" s="130">
        <f t="shared" si="21"/>
        <v>0</v>
      </c>
      <c r="X103" s="130">
        <f t="shared" si="21"/>
        <v>0</v>
      </c>
      <c r="Y103" s="130">
        <f t="shared" si="21"/>
        <v>0</v>
      </c>
      <c r="Z103" s="130">
        <f t="shared" si="21"/>
        <v>0</v>
      </c>
      <c r="AA103" s="130">
        <f t="shared" si="21"/>
        <v>0</v>
      </c>
      <c r="AB103" s="130">
        <f t="shared" si="21"/>
        <v>0</v>
      </c>
      <c r="AC103" s="130">
        <f t="shared" si="21"/>
        <v>0</v>
      </c>
      <c r="AD103" s="130">
        <f t="shared" si="21"/>
        <v>0</v>
      </c>
      <c r="AE103" s="130">
        <f t="shared" si="21"/>
        <v>0</v>
      </c>
      <c r="AF103" s="130">
        <f t="shared" si="21"/>
        <v>0</v>
      </c>
      <c r="AG103" s="130">
        <f t="shared" si="21"/>
        <v>0</v>
      </c>
      <c r="AH103" s="130">
        <f t="shared" si="21"/>
        <v>0</v>
      </c>
      <c r="AI103" s="130">
        <f t="shared" si="21"/>
        <v>0</v>
      </c>
      <c r="AJ103" s="47" t="str">
        <f t="shared" si="7"/>
        <v/>
      </c>
      <c r="AK103" s="60"/>
      <c r="AL103" s="60" t="str">
        <f t="shared" si="10"/>
        <v>00</v>
      </c>
      <c r="AM103" s="62" t="str">
        <f t="shared" si="11"/>
        <v>00</v>
      </c>
      <c r="AN103" s="62" t="str">
        <f t="shared" si="12"/>
        <v>00</v>
      </c>
      <c r="AO103" s="62" t="str">
        <f t="shared" si="13"/>
        <v>00</v>
      </c>
      <c r="AQ103" t="str">
        <f t="shared" si="8"/>
        <v/>
      </c>
    </row>
    <row r="104" spans="2:43">
      <c r="B104" s="138"/>
      <c r="C104" s="47">
        <f t="shared" si="9"/>
        <v>33</v>
      </c>
      <c r="D104" s="130">
        <f t="shared" si="21"/>
        <v>0</v>
      </c>
      <c r="E104" s="130">
        <f t="shared" si="21"/>
        <v>0</v>
      </c>
      <c r="F104" s="130">
        <f t="shared" si="21"/>
        <v>0</v>
      </c>
      <c r="G104" s="130">
        <f t="shared" si="21"/>
        <v>0</v>
      </c>
      <c r="H104" s="130">
        <f t="shared" si="21"/>
        <v>0</v>
      </c>
      <c r="I104" s="130">
        <f t="shared" si="21"/>
        <v>0</v>
      </c>
      <c r="J104" s="130">
        <f t="shared" si="21"/>
        <v>0</v>
      </c>
      <c r="K104" s="130">
        <f t="shared" si="21"/>
        <v>0</v>
      </c>
      <c r="L104" s="130">
        <f t="shared" si="21"/>
        <v>0</v>
      </c>
      <c r="M104" s="130">
        <f t="shared" si="21"/>
        <v>0</v>
      </c>
      <c r="N104" s="130">
        <f t="shared" si="21"/>
        <v>0</v>
      </c>
      <c r="O104" s="130">
        <f t="shared" si="21"/>
        <v>0</v>
      </c>
      <c r="P104" s="130">
        <f t="shared" si="21"/>
        <v>0</v>
      </c>
      <c r="Q104" s="130">
        <f t="shared" si="21"/>
        <v>0</v>
      </c>
      <c r="R104" s="130">
        <f t="shared" si="21"/>
        <v>0</v>
      </c>
      <c r="S104" s="130">
        <f t="shared" si="21"/>
        <v>0</v>
      </c>
      <c r="T104" s="130">
        <f t="shared" si="21"/>
        <v>0</v>
      </c>
      <c r="U104" s="130">
        <f t="shared" si="21"/>
        <v>0</v>
      </c>
      <c r="V104" s="130">
        <f t="shared" si="21"/>
        <v>0</v>
      </c>
      <c r="W104" s="130">
        <f t="shared" si="21"/>
        <v>0</v>
      </c>
      <c r="X104" s="130">
        <f t="shared" si="21"/>
        <v>0</v>
      </c>
      <c r="Y104" s="130">
        <f t="shared" si="21"/>
        <v>0</v>
      </c>
      <c r="Z104" s="130">
        <f t="shared" si="21"/>
        <v>0</v>
      </c>
      <c r="AA104" s="130">
        <f t="shared" si="21"/>
        <v>0</v>
      </c>
      <c r="AB104" s="130">
        <f t="shared" si="21"/>
        <v>0</v>
      </c>
      <c r="AC104" s="130">
        <f t="shared" si="21"/>
        <v>0</v>
      </c>
      <c r="AD104" s="130">
        <f t="shared" si="21"/>
        <v>0</v>
      </c>
      <c r="AE104" s="130">
        <f t="shared" si="21"/>
        <v>0</v>
      </c>
      <c r="AF104" s="130">
        <f t="shared" si="21"/>
        <v>0</v>
      </c>
      <c r="AG104" s="130">
        <f t="shared" si="21"/>
        <v>0</v>
      </c>
      <c r="AH104" s="130">
        <f t="shared" si="21"/>
        <v>0</v>
      </c>
      <c r="AI104" s="130">
        <f t="shared" si="21"/>
        <v>0</v>
      </c>
      <c r="AJ104" s="47" t="str">
        <f t="shared" si="7"/>
        <v/>
      </c>
      <c r="AK104" s="60"/>
      <c r="AL104" s="60" t="str">
        <f t="shared" si="10"/>
        <v>00</v>
      </c>
      <c r="AM104" s="62" t="str">
        <f t="shared" si="11"/>
        <v>00</v>
      </c>
      <c r="AN104" s="62" t="str">
        <f t="shared" si="12"/>
        <v>00</v>
      </c>
      <c r="AO104" s="62" t="str">
        <f t="shared" si="13"/>
        <v>00</v>
      </c>
      <c r="AQ104" t="str">
        <f t="shared" si="8"/>
        <v/>
      </c>
    </row>
    <row r="105" spans="2:43">
      <c r="B105" s="138"/>
      <c r="C105" s="47">
        <f t="shared" si="9"/>
        <v>34</v>
      </c>
      <c r="D105" s="130">
        <f t="shared" si="21"/>
        <v>0</v>
      </c>
      <c r="E105" s="130">
        <f t="shared" si="21"/>
        <v>0</v>
      </c>
      <c r="F105" s="130">
        <f t="shared" si="21"/>
        <v>0</v>
      </c>
      <c r="G105" s="130">
        <f t="shared" si="21"/>
        <v>0</v>
      </c>
      <c r="H105" s="130">
        <f t="shared" si="21"/>
        <v>0</v>
      </c>
      <c r="I105" s="130">
        <f t="shared" si="21"/>
        <v>0</v>
      </c>
      <c r="J105" s="130">
        <f t="shared" si="21"/>
        <v>0</v>
      </c>
      <c r="K105" s="130">
        <f t="shared" si="21"/>
        <v>0</v>
      </c>
      <c r="L105" s="130">
        <f t="shared" si="21"/>
        <v>0</v>
      </c>
      <c r="M105" s="130">
        <f t="shared" si="21"/>
        <v>0</v>
      </c>
      <c r="N105" s="130">
        <f t="shared" si="21"/>
        <v>0</v>
      </c>
      <c r="O105" s="130">
        <f t="shared" si="21"/>
        <v>0</v>
      </c>
      <c r="P105" s="130">
        <f t="shared" si="21"/>
        <v>0</v>
      </c>
      <c r="Q105" s="130">
        <f t="shared" si="21"/>
        <v>0</v>
      </c>
      <c r="R105" s="130">
        <f t="shared" si="21"/>
        <v>0</v>
      </c>
      <c r="S105" s="130">
        <f t="shared" si="21"/>
        <v>0</v>
      </c>
      <c r="T105" s="130">
        <f t="shared" si="21"/>
        <v>0</v>
      </c>
      <c r="U105" s="130">
        <f t="shared" si="21"/>
        <v>0</v>
      </c>
      <c r="V105" s="130">
        <f t="shared" si="21"/>
        <v>0</v>
      </c>
      <c r="W105" s="130">
        <f t="shared" si="21"/>
        <v>0</v>
      </c>
      <c r="X105" s="130">
        <f t="shared" si="21"/>
        <v>0</v>
      </c>
      <c r="Y105" s="130">
        <f t="shared" si="21"/>
        <v>0</v>
      </c>
      <c r="Z105" s="130">
        <f t="shared" si="21"/>
        <v>0</v>
      </c>
      <c r="AA105" s="130">
        <f t="shared" si="21"/>
        <v>0</v>
      </c>
      <c r="AB105" s="130">
        <f t="shared" si="21"/>
        <v>0</v>
      </c>
      <c r="AC105" s="130">
        <f t="shared" si="21"/>
        <v>0</v>
      </c>
      <c r="AD105" s="130">
        <f t="shared" si="21"/>
        <v>0</v>
      </c>
      <c r="AE105" s="130">
        <f t="shared" si="21"/>
        <v>0</v>
      </c>
      <c r="AF105" s="130">
        <f t="shared" si="21"/>
        <v>0</v>
      </c>
      <c r="AG105" s="130">
        <f t="shared" si="21"/>
        <v>0</v>
      </c>
      <c r="AH105" s="130">
        <f t="shared" si="21"/>
        <v>0</v>
      </c>
      <c r="AI105" s="130">
        <f t="shared" si="21"/>
        <v>0</v>
      </c>
      <c r="AJ105" s="47" t="str">
        <f t="shared" si="7"/>
        <v/>
      </c>
      <c r="AK105" s="60"/>
      <c r="AL105" s="60" t="str">
        <f t="shared" si="10"/>
        <v>00</v>
      </c>
      <c r="AM105" s="62" t="str">
        <f t="shared" si="11"/>
        <v>00</v>
      </c>
      <c r="AN105" s="62" t="str">
        <f t="shared" si="12"/>
        <v>00</v>
      </c>
      <c r="AO105" s="62" t="str">
        <f t="shared" si="13"/>
        <v>00</v>
      </c>
      <c r="AQ105" t="str">
        <f t="shared" si="8"/>
        <v/>
      </c>
    </row>
    <row r="106" spans="2:43">
      <c r="B106" s="138"/>
      <c r="C106" s="47">
        <f t="shared" si="9"/>
        <v>35</v>
      </c>
      <c r="D106" s="130">
        <f t="shared" si="21"/>
        <v>0</v>
      </c>
      <c r="E106" s="130">
        <f t="shared" si="21"/>
        <v>0</v>
      </c>
      <c r="F106" s="130">
        <f t="shared" si="21"/>
        <v>0</v>
      </c>
      <c r="G106" s="130">
        <f t="shared" si="21"/>
        <v>0</v>
      </c>
      <c r="H106" s="130">
        <f t="shared" si="21"/>
        <v>0</v>
      </c>
      <c r="I106" s="130">
        <f t="shared" si="21"/>
        <v>0</v>
      </c>
      <c r="J106" s="130">
        <f t="shared" si="21"/>
        <v>0</v>
      </c>
      <c r="K106" s="130">
        <f t="shared" si="21"/>
        <v>0</v>
      </c>
      <c r="L106" s="130">
        <f t="shared" si="21"/>
        <v>0</v>
      </c>
      <c r="M106" s="130">
        <f t="shared" si="21"/>
        <v>0</v>
      </c>
      <c r="N106" s="130">
        <f t="shared" si="21"/>
        <v>0</v>
      </c>
      <c r="O106" s="130">
        <f t="shared" si="21"/>
        <v>0</v>
      </c>
      <c r="P106" s="130">
        <f t="shared" si="21"/>
        <v>0</v>
      </c>
      <c r="Q106" s="130">
        <f t="shared" si="21"/>
        <v>0</v>
      </c>
      <c r="R106" s="130">
        <f t="shared" si="21"/>
        <v>0</v>
      </c>
      <c r="S106" s="130">
        <f t="shared" si="21"/>
        <v>0</v>
      </c>
      <c r="T106" s="130">
        <f t="shared" si="21"/>
        <v>0</v>
      </c>
      <c r="U106" s="130">
        <f t="shared" si="21"/>
        <v>0</v>
      </c>
      <c r="V106" s="130">
        <f t="shared" si="21"/>
        <v>0</v>
      </c>
      <c r="W106" s="130">
        <f t="shared" si="21"/>
        <v>0</v>
      </c>
      <c r="X106" s="130">
        <f t="shared" si="21"/>
        <v>0</v>
      </c>
      <c r="Y106" s="130">
        <f t="shared" si="21"/>
        <v>0</v>
      </c>
      <c r="Z106" s="130">
        <f t="shared" si="21"/>
        <v>0</v>
      </c>
      <c r="AA106" s="130">
        <f t="shared" si="21"/>
        <v>0</v>
      </c>
      <c r="AB106" s="130">
        <f t="shared" si="21"/>
        <v>0</v>
      </c>
      <c r="AC106" s="130">
        <f t="shared" si="21"/>
        <v>0</v>
      </c>
      <c r="AD106" s="130">
        <f t="shared" si="21"/>
        <v>0</v>
      </c>
      <c r="AE106" s="130">
        <f t="shared" si="21"/>
        <v>0</v>
      </c>
      <c r="AF106" s="130">
        <f t="shared" si="21"/>
        <v>0</v>
      </c>
      <c r="AG106" s="130">
        <f t="shared" si="21"/>
        <v>0</v>
      </c>
      <c r="AH106" s="130">
        <f t="shared" si="21"/>
        <v>0</v>
      </c>
      <c r="AI106" s="130">
        <f t="shared" si="21"/>
        <v>0</v>
      </c>
      <c r="AJ106" s="47" t="str">
        <f t="shared" si="7"/>
        <v/>
      </c>
      <c r="AK106" s="60"/>
      <c r="AL106" s="60" t="str">
        <f t="shared" si="10"/>
        <v>00</v>
      </c>
      <c r="AM106" s="62" t="str">
        <f t="shared" si="11"/>
        <v>00</v>
      </c>
      <c r="AN106" s="62" t="str">
        <f t="shared" si="12"/>
        <v>00</v>
      </c>
      <c r="AO106" s="62" t="str">
        <f t="shared" si="13"/>
        <v>00</v>
      </c>
      <c r="AQ106" t="str">
        <f t="shared" si="8"/>
        <v/>
      </c>
    </row>
    <row r="107" spans="2:43">
      <c r="B107" s="138"/>
      <c r="C107" s="47">
        <f t="shared" si="9"/>
        <v>36</v>
      </c>
      <c r="D107" s="130">
        <f t="shared" si="21"/>
        <v>0</v>
      </c>
      <c r="E107" s="130">
        <f t="shared" si="21"/>
        <v>0</v>
      </c>
      <c r="F107" s="130">
        <f t="shared" si="21"/>
        <v>0</v>
      </c>
      <c r="G107" s="130">
        <f t="shared" si="21"/>
        <v>0</v>
      </c>
      <c r="H107" s="130">
        <f t="shared" si="21"/>
        <v>0</v>
      </c>
      <c r="I107" s="130">
        <f t="shared" si="21"/>
        <v>0</v>
      </c>
      <c r="J107" s="130">
        <f t="shared" si="21"/>
        <v>0</v>
      </c>
      <c r="K107" s="130">
        <f t="shared" si="21"/>
        <v>0</v>
      </c>
      <c r="L107" s="130">
        <f t="shared" si="21"/>
        <v>0</v>
      </c>
      <c r="M107" s="130">
        <f t="shared" si="21"/>
        <v>0</v>
      </c>
      <c r="N107" s="130">
        <f t="shared" si="21"/>
        <v>0</v>
      </c>
      <c r="O107" s="130">
        <f t="shared" si="21"/>
        <v>0</v>
      </c>
      <c r="P107" s="130">
        <f t="shared" si="21"/>
        <v>0</v>
      </c>
      <c r="Q107" s="130">
        <f t="shared" si="21"/>
        <v>0</v>
      </c>
      <c r="R107" s="130">
        <f t="shared" si="21"/>
        <v>0</v>
      </c>
      <c r="S107" s="130">
        <f t="shared" si="21"/>
        <v>0</v>
      </c>
      <c r="T107" s="130">
        <f t="shared" si="21"/>
        <v>0</v>
      </c>
      <c r="U107" s="130">
        <f t="shared" si="21"/>
        <v>0</v>
      </c>
      <c r="V107" s="130">
        <f t="shared" si="21"/>
        <v>0</v>
      </c>
      <c r="W107" s="130">
        <f t="shared" si="21"/>
        <v>0</v>
      </c>
      <c r="X107" s="130">
        <f t="shared" si="21"/>
        <v>0</v>
      </c>
      <c r="Y107" s="130">
        <f t="shared" si="21"/>
        <v>0</v>
      </c>
      <c r="Z107" s="130">
        <f t="shared" si="21"/>
        <v>0</v>
      </c>
      <c r="AA107" s="130">
        <f t="shared" si="21"/>
        <v>0</v>
      </c>
      <c r="AB107" s="130">
        <f t="shared" si="21"/>
        <v>0</v>
      </c>
      <c r="AC107" s="130">
        <f t="shared" si="21"/>
        <v>0</v>
      </c>
      <c r="AD107" s="130">
        <f t="shared" si="21"/>
        <v>0</v>
      </c>
      <c r="AE107" s="130">
        <f t="shared" si="21"/>
        <v>0</v>
      </c>
      <c r="AF107" s="130">
        <f t="shared" si="21"/>
        <v>0</v>
      </c>
      <c r="AG107" s="130">
        <f t="shared" si="21"/>
        <v>0</v>
      </c>
      <c r="AH107" s="130">
        <f t="shared" si="21"/>
        <v>0</v>
      </c>
      <c r="AI107" s="130">
        <f t="shared" si="21"/>
        <v>0</v>
      </c>
      <c r="AJ107" s="47" t="str">
        <f t="shared" si="7"/>
        <v/>
      </c>
      <c r="AK107" s="60"/>
      <c r="AL107" s="60" t="str">
        <f t="shared" si="10"/>
        <v>00</v>
      </c>
      <c r="AM107" s="62" t="str">
        <f t="shared" si="11"/>
        <v>00</v>
      </c>
      <c r="AN107" s="62" t="str">
        <f t="shared" si="12"/>
        <v>00</v>
      </c>
      <c r="AO107" s="62" t="str">
        <f t="shared" si="13"/>
        <v>00</v>
      </c>
      <c r="AQ107" t="str">
        <f t="shared" si="8"/>
        <v/>
      </c>
    </row>
    <row r="108" spans="2:43">
      <c r="B108" s="138"/>
      <c r="C108" s="47">
        <f t="shared" si="9"/>
        <v>37</v>
      </c>
      <c r="D108" s="130">
        <f t="shared" si="21"/>
        <v>0</v>
      </c>
      <c r="E108" s="130">
        <f t="shared" si="21"/>
        <v>0</v>
      </c>
      <c r="F108" s="130">
        <f t="shared" si="21"/>
        <v>0</v>
      </c>
      <c r="G108" s="130">
        <f t="shared" si="21"/>
        <v>0</v>
      </c>
      <c r="H108" s="130">
        <f t="shared" si="21"/>
        <v>0</v>
      </c>
      <c r="I108" s="130">
        <f t="shared" si="21"/>
        <v>0</v>
      </c>
      <c r="J108" s="130">
        <f t="shared" si="21"/>
        <v>0</v>
      </c>
      <c r="K108" s="130">
        <f t="shared" si="21"/>
        <v>0</v>
      </c>
      <c r="L108" s="130">
        <f t="shared" si="21"/>
        <v>0</v>
      </c>
      <c r="M108" s="130">
        <f t="shared" si="21"/>
        <v>0</v>
      </c>
      <c r="N108" s="130">
        <f t="shared" si="21"/>
        <v>0</v>
      </c>
      <c r="O108" s="130">
        <f t="shared" si="21"/>
        <v>0</v>
      </c>
      <c r="P108" s="130">
        <f t="shared" si="21"/>
        <v>0</v>
      </c>
      <c r="Q108" s="130">
        <f t="shared" si="21"/>
        <v>0</v>
      </c>
      <c r="R108" s="130">
        <f t="shared" si="21"/>
        <v>0</v>
      </c>
      <c r="S108" s="130">
        <f t="shared" si="21"/>
        <v>0</v>
      </c>
      <c r="T108" s="130">
        <f t="shared" si="21"/>
        <v>0</v>
      </c>
      <c r="U108" s="130">
        <f t="shared" si="21"/>
        <v>0</v>
      </c>
      <c r="V108" s="130">
        <f t="shared" si="21"/>
        <v>0</v>
      </c>
      <c r="W108" s="130">
        <f t="shared" si="21"/>
        <v>0</v>
      </c>
      <c r="X108" s="130">
        <f t="shared" si="21"/>
        <v>0</v>
      </c>
      <c r="Y108" s="130">
        <f t="shared" si="21"/>
        <v>0</v>
      </c>
      <c r="Z108" s="130">
        <f t="shared" si="21"/>
        <v>0</v>
      </c>
      <c r="AA108" s="130">
        <f t="shared" si="21"/>
        <v>0</v>
      </c>
      <c r="AB108" s="130">
        <f t="shared" si="21"/>
        <v>0</v>
      </c>
      <c r="AC108" s="130">
        <f t="shared" si="21"/>
        <v>0</v>
      </c>
      <c r="AD108" s="130">
        <f t="shared" si="21"/>
        <v>0</v>
      </c>
      <c r="AE108" s="130">
        <f t="shared" si="21"/>
        <v>0</v>
      </c>
      <c r="AF108" s="130">
        <f t="shared" si="21"/>
        <v>0</v>
      </c>
      <c r="AG108" s="130">
        <f t="shared" si="21"/>
        <v>0</v>
      </c>
      <c r="AH108" s="130">
        <f t="shared" si="21"/>
        <v>0</v>
      </c>
      <c r="AI108" s="130">
        <f t="shared" si="21"/>
        <v>0</v>
      </c>
      <c r="AJ108" s="47" t="str">
        <f t="shared" si="7"/>
        <v/>
      </c>
      <c r="AK108" s="60"/>
      <c r="AL108" s="60" t="str">
        <f t="shared" si="10"/>
        <v>00</v>
      </c>
      <c r="AM108" s="62" t="str">
        <f t="shared" si="11"/>
        <v>00</v>
      </c>
      <c r="AN108" s="62" t="str">
        <f t="shared" si="12"/>
        <v>00</v>
      </c>
      <c r="AO108" s="62" t="str">
        <f t="shared" si="13"/>
        <v>00</v>
      </c>
      <c r="AQ108" t="str">
        <f t="shared" si="8"/>
        <v/>
      </c>
    </row>
    <row r="109" spans="2:43">
      <c r="B109" s="138"/>
      <c r="C109" s="47">
        <f t="shared" si="9"/>
        <v>38</v>
      </c>
      <c r="D109" s="130">
        <f t="shared" si="21"/>
        <v>0</v>
      </c>
      <c r="E109" s="130">
        <f t="shared" si="21"/>
        <v>0</v>
      </c>
      <c r="F109" s="130">
        <f t="shared" si="21"/>
        <v>0</v>
      </c>
      <c r="G109" s="130">
        <f t="shared" si="21"/>
        <v>0</v>
      </c>
      <c r="H109" s="130">
        <f t="shared" si="21"/>
        <v>0</v>
      </c>
      <c r="I109" s="130">
        <f t="shared" si="21"/>
        <v>0</v>
      </c>
      <c r="J109" s="130">
        <f t="shared" si="21"/>
        <v>0</v>
      </c>
      <c r="K109" s="130">
        <f t="shared" si="21"/>
        <v>0</v>
      </c>
      <c r="L109" s="130">
        <f t="shared" si="21"/>
        <v>0</v>
      </c>
      <c r="M109" s="130">
        <f t="shared" si="21"/>
        <v>0</v>
      </c>
      <c r="N109" s="130">
        <f t="shared" si="21"/>
        <v>0</v>
      </c>
      <c r="O109" s="130">
        <f t="shared" si="21"/>
        <v>0</v>
      </c>
      <c r="P109" s="130">
        <f t="shared" si="21"/>
        <v>0</v>
      </c>
      <c r="Q109" s="130">
        <f t="shared" si="21"/>
        <v>0</v>
      </c>
      <c r="R109" s="130">
        <f t="shared" si="21"/>
        <v>0</v>
      </c>
      <c r="S109" s="130">
        <f t="shared" si="21"/>
        <v>0</v>
      </c>
      <c r="T109" s="130">
        <f t="shared" si="21"/>
        <v>0</v>
      </c>
      <c r="U109" s="130">
        <f t="shared" si="21"/>
        <v>0</v>
      </c>
      <c r="V109" s="130">
        <f t="shared" si="21"/>
        <v>0</v>
      </c>
      <c r="W109" s="130">
        <f t="shared" si="21"/>
        <v>0</v>
      </c>
      <c r="X109" s="130">
        <f t="shared" si="21"/>
        <v>0</v>
      </c>
      <c r="Y109" s="130">
        <f t="shared" si="21"/>
        <v>0</v>
      </c>
      <c r="Z109" s="130">
        <f t="shared" si="21"/>
        <v>0</v>
      </c>
      <c r="AA109" s="130">
        <f t="shared" si="21"/>
        <v>0</v>
      </c>
      <c r="AB109" s="130">
        <f t="shared" si="21"/>
        <v>0</v>
      </c>
      <c r="AC109" s="130">
        <f t="shared" si="21"/>
        <v>0</v>
      </c>
      <c r="AD109" s="130">
        <f t="shared" si="21"/>
        <v>0</v>
      </c>
      <c r="AE109" s="130">
        <f t="shared" si="21"/>
        <v>0</v>
      </c>
      <c r="AF109" s="130">
        <f t="shared" si="21"/>
        <v>0</v>
      </c>
      <c r="AG109" s="130">
        <f t="shared" si="21"/>
        <v>0</v>
      </c>
      <c r="AH109" s="130">
        <f t="shared" si="21"/>
        <v>0</v>
      </c>
      <c r="AI109" s="130">
        <f t="shared" si="21"/>
        <v>0</v>
      </c>
      <c r="AJ109" s="47" t="str">
        <f t="shared" si="7"/>
        <v/>
      </c>
      <c r="AK109" s="60"/>
      <c r="AL109" s="60" t="str">
        <f t="shared" si="10"/>
        <v>00</v>
      </c>
      <c r="AM109" s="62" t="str">
        <f t="shared" si="11"/>
        <v>00</v>
      </c>
      <c r="AN109" s="62" t="str">
        <f t="shared" si="12"/>
        <v>00</v>
      </c>
      <c r="AO109" s="62" t="str">
        <f t="shared" si="13"/>
        <v>00</v>
      </c>
      <c r="AQ109" t="str">
        <f t="shared" si="8"/>
        <v/>
      </c>
    </row>
    <row r="110" spans="2:43">
      <c r="B110" s="138"/>
      <c r="C110" s="47">
        <f t="shared" si="9"/>
        <v>39</v>
      </c>
      <c r="D110" s="130">
        <f t="shared" si="21"/>
        <v>0</v>
      </c>
      <c r="E110" s="130">
        <f t="shared" si="21"/>
        <v>0</v>
      </c>
      <c r="F110" s="130">
        <f t="shared" si="21"/>
        <v>0</v>
      </c>
      <c r="G110" s="130">
        <f t="shared" si="21"/>
        <v>0</v>
      </c>
      <c r="H110" s="130">
        <f t="shared" si="21"/>
        <v>0</v>
      </c>
      <c r="I110" s="130">
        <f t="shared" si="21"/>
        <v>0</v>
      </c>
      <c r="J110" s="130">
        <f t="shared" si="21"/>
        <v>0</v>
      </c>
      <c r="K110" s="130">
        <f t="shared" si="21"/>
        <v>0</v>
      </c>
      <c r="L110" s="130">
        <f t="shared" si="21"/>
        <v>0</v>
      </c>
      <c r="M110" s="130">
        <f t="shared" si="21"/>
        <v>0</v>
      </c>
      <c r="N110" s="130">
        <f t="shared" si="21"/>
        <v>0</v>
      </c>
      <c r="O110" s="130">
        <f t="shared" si="21"/>
        <v>0</v>
      </c>
      <c r="P110" s="130">
        <f t="shared" si="21"/>
        <v>0</v>
      </c>
      <c r="Q110" s="130">
        <f t="shared" si="21"/>
        <v>0</v>
      </c>
      <c r="R110" s="130">
        <f t="shared" si="21"/>
        <v>0</v>
      </c>
      <c r="S110" s="130">
        <f t="shared" si="21"/>
        <v>0</v>
      </c>
      <c r="T110" s="130">
        <f t="shared" si="21"/>
        <v>0</v>
      </c>
      <c r="U110" s="130">
        <f t="shared" si="21"/>
        <v>0</v>
      </c>
      <c r="V110" s="130">
        <f t="shared" si="21"/>
        <v>0</v>
      </c>
      <c r="W110" s="130">
        <f t="shared" si="21"/>
        <v>0</v>
      </c>
      <c r="X110" s="130">
        <f t="shared" si="21"/>
        <v>0</v>
      </c>
      <c r="Y110" s="130">
        <f t="shared" si="21"/>
        <v>0</v>
      </c>
      <c r="Z110" s="130">
        <f t="shared" si="21"/>
        <v>0</v>
      </c>
      <c r="AA110" s="130">
        <f t="shared" si="21"/>
        <v>0</v>
      </c>
      <c r="AB110" s="130">
        <f t="shared" si="21"/>
        <v>0</v>
      </c>
      <c r="AC110" s="130">
        <f t="shared" si="21"/>
        <v>0</v>
      </c>
      <c r="AD110" s="130">
        <f t="shared" si="21"/>
        <v>0</v>
      </c>
      <c r="AE110" s="130">
        <f t="shared" si="21"/>
        <v>0</v>
      </c>
      <c r="AF110" s="130">
        <f t="shared" si="21"/>
        <v>0</v>
      </c>
      <c r="AG110" s="130">
        <f t="shared" si="21"/>
        <v>0</v>
      </c>
      <c r="AH110" s="130">
        <f t="shared" si="21"/>
        <v>0</v>
      </c>
      <c r="AI110" s="130">
        <f t="shared" ref="AI110" si="22">IF(AI45=1,1,0)</f>
        <v>0</v>
      </c>
      <c r="AJ110" s="47" t="str">
        <f t="shared" si="7"/>
        <v/>
      </c>
      <c r="AK110" s="60"/>
      <c r="AL110" s="60" t="str">
        <f t="shared" si="10"/>
        <v>00</v>
      </c>
      <c r="AM110" s="62" t="str">
        <f t="shared" si="11"/>
        <v>00</v>
      </c>
      <c r="AN110" s="62" t="str">
        <f t="shared" si="12"/>
        <v>00</v>
      </c>
      <c r="AO110" s="62" t="str">
        <f t="shared" si="13"/>
        <v>00</v>
      </c>
      <c r="AQ110" t="str">
        <f t="shared" si="8"/>
        <v/>
      </c>
    </row>
    <row r="111" spans="2:43">
      <c r="B111" s="138"/>
      <c r="C111" s="47">
        <f t="shared" si="9"/>
        <v>40</v>
      </c>
      <c r="D111" s="130">
        <f t="shared" ref="D111:AI118" si="23">IF(D46=1,1,0)</f>
        <v>0</v>
      </c>
      <c r="E111" s="130">
        <f t="shared" si="23"/>
        <v>0</v>
      </c>
      <c r="F111" s="130">
        <f t="shared" si="23"/>
        <v>0</v>
      </c>
      <c r="G111" s="130">
        <f t="shared" si="23"/>
        <v>0</v>
      </c>
      <c r="H111" s="130">
        <f t="shared" si="23"/>
        <v>0</v>
      </c>
      <c r="I111" s="130">
        <f t="shared" si="23"/>
        <v>0</v>
      </c>
      <c r="J111" s="130">
        <f t="shared" si="23"/>
        <v>0</v>
      </c>
      <c r="K111" s="130">
        <f t="shared" si="23"/>
        <v>0</v>
      </c>
      <c r="L111" s="130">
        <f t="shared" si="23"/>
        <v>0</v>
      </c>
      <c r="M111" s="130">
        <f t="shared" si="23"/>
        <v>0</v>
      </c>
      <c r="N111" s="130">
        <f t="shared" si="23"/>
        <v>0</v>
      </c>
      <c r="O111" s="130">
        <f t="shared" si="23"/>
        <v>0</v>
      </c>
      <c r="P111" s="130">
        <f t="shared" si="23"/>
        <v>0</v>
      </c>
      <c r="Q111" s="130">
        <f t="shared" si="23"/>
        <v>0</v>
      </c>
      <c r="R111" s="130">
        <f t="shared" si="23"/>
        <v>0</v>
      </c>
      <c r="S111" s="130">
        <f t="shared" si="23"/>
        <v>0</v>
      </c>
      <c r="T111" s="130">
        <f t="shared" si="23"/>
        <v>0</v>
      </c>
      <c r="U111" s="130">
        <f t="shared" si="23"/>
        <v>0</v>
      </c>
      <c r="V111" s="130">
        <f t="shared" si="23"/>
        <v>0</v>
      </c>
      <c r="W111" s="130">
        <f t="shared" si="23"/>
        <v>0</v>
      </c>
      <c r="X111" s="130">
        <f t="shared" si="23"/>
        <v>0</v>
      </c>
      <c r="Y111" s="130">
        <f t="shared" si="23"/>
        <v>0</v>
      </c>
      <c r="Z111" s="130">
        <f t="shared" si="23"/>
        <v>0</v>
      </c>
      <c r="AA111" s="130">
        <f t="shared" si="23"/>
        <v>0</v>
      </c>
      <c r="AB111" s="130">
        <f t="shared" si="23"/>
        <v>0</v>
      </c>
      <c r="AC111" s="130">
        <f t="shared" si="23"/>
        <v>0</v>
      </c>
      <c r="AD111" s="130">
        <f t="shared" si="23"/>
        <v>0</v>
      </c>
      <c r="AE111" s="130">
        <f t="shared" si="23"/>
        <v>0</v>
      </c>
      <c r="AF111" s="130">
        <f t="shared" si="23"/>
        <v>0</v>
      </c>
      <c r="AG111" s="130">
        <f t="shared" si="23"/>
        <v>0</v>
      </c>
      <c r="AH111" s="130">
        <f t="shared" si="23"/>
        <v>0</v>
      </c>
      <c r="AI111" s="130">
        <f t="shared" si="23"/>
        <v>0</v>
      </c>
      <c r="AJ111" s="47" t="str">
        <f t="shared" si="7"/>
        <v/>
      </c>
      <c r="AK111" s="60"/>
      <c r="AL111" s="60" t="str">
        <f t="shared" si="10"/>
        <v>00</v>
      </c>
      <c r="AM111" s="62" t="str">
        <f t="shared" si="11"/>
        <v>00</v>
      </c>
      <c r="AN111" s="62" t="str">
        <f t="shared" si="12"/>
        <v>00</v>
      </c>
      <c r="AO111" s="62" t="str">
        <f t="shared" si="13"/>
        <v>00</v>
      </c>
      <c r="AQ111" t="str">
        <f t="shared" si="8"/>
        <v/>
      </c>
    </row>
    <row r="112" spans="2:43">
      <c r="B112" s="138"/>
      <c r="C112" s="47">
        <f t="shared" si="9"/>
        <v>41</v>
      </c>
      <c r="D112" s="130">
        <f t="shared" si="23"/>
        <v>0</v>
      </c>
      <c r="E112" s="130">
        <f t="shared" si="23"/>
        <v>0</v>
      </c>
      <c r="F112" s="130">
        <f t="shared" si="23"/>
        <v>0</v>
      </c>
      <c r="G112" s="130">
        <f t="shared" si="23"/>
        <v>0</v>
      </c>
      <c r="H112" s="130">
        <f t="shared" si="23"/>
        <v>0</v>
      </c>
      <c r="I112" s="130">
        <f t="shared" si="23"/>
        <v>0</v>
      </c>
      <c r="J112" s="130">
        <f t="shared" si="23"/>
        <v>0</v>
      </c>
      <c r="K112" s="130">
        <f t="shared" si="23"/>
        <v>0</v>
      </c>
      <c r="L112" s="130">
        <f t="shared" si="23"/>
        <v>0</v>
      </c>
      <c r="M112" s="130">
        <f t="shared" si="23"/>
        <v>0</v>
      </c>
      <c r="N112" s="130">
        <f t="shared" si="23"/>
        <v>0</v>
      </c>
      <c r="O112" s="130">
        <f t="shared" si="23"/>
        <v>0</v>
      </c>
      <c r="P112" s="130">
        <f t="shared" si="23"/>
        <v>0</v>
      </c>
      <c r="Q112" s="130">
        <f t="shared" si="23"/>
        <v>0</v>
      </c>
      <c r="R112" s="130">
        <f t="shared" si="23"/>
        <v>0</v>
      </c>
      <c r="S112" s="130">
        <f t="shared" si="23"/>
        <v>0</v>
      </c>
      <c r="T112" s="130">
        <f t="shared" si="23"/>
        <v>0</v>
      </c>
      <c r="U112" s="130">
        <f t="shared" si="23"/>
        <v>0</v>
      </c>
      <c r="V112" s="130">
        <f t="shared" si="23"/>
        <v>0</v>
      </c>
      <c r="W112" s="130">
        <f t="shared" si="23"/>
        <v>0</v>
      </c>
      <c r="X112" s="130">
        <f t="shared" si="23"/>
        <v>0</v>
      </c>
      <c r="Y112" s="130">
        <f t="shared" si="23"/>
        <v>0</v>
      </c>
      <c r="Z112" s="130">
        <f t="shared" si="23"/>
        <v>0</v>
      </c>
      <c r="AA112" s="130">
        <f t="shared" si="23"/>
        <v>0</v>
      </c>
      <c r="AB112" s="130">
        <f t="shared" si="23"/>
        <v>0</v>
      </c>
      <c r="AC112" s="130">
        <f t="shared" si="23"/>
        <v>0</v>
      </c>
      <c r="AD112" s="130">
        <f t="shared" si="23"/>
        <v>0</v>
      </c>
      <c r="AE112" s="130">
        <f t="shared" si="23"/>
        <v>0</v>
      </c>
      <c r="AF112" s="130">
        <f t="shared" si="23"/>
        <v>0</v>
      </c>
      <c r="AG112" s="130">
        <f t="shared" si="23"/>
        <v>0</v>
      </c>
      <c r="AH112" s="130">
        <f t="shared" si="23"/>
        <v>0</v>
      </c>
      <c r="AI112" s="130">
        <f t="shared" si="23"/>
        <v>0</v>
      </c>
      <c r="AJ112" s="47" t="str">
        <f t="shared" si="7"/>
        <v/>
      </c>
      <c r="AK112" s="60"/>
      <c r="AL112" s="60" t="str">
        <f t="shared" si="10"/>
        <v>00</v>
      </c>
      <c r="AM112" s="62" t="str">
        <f t="shared" si="11"/>
        <v>00</v>
      </c>
      <c r="AN112" s="62" t="str">
        <f t="shared" si="12"/>
        <v>00</v>
      </c>
      <c r="AO112" s="62" t="str">
        <f t="shared" si="13"/>
        <v>00</v>
      </c>
      <c r="AQ112" t="str">
        <f t="shared" si="8"/>
        <v/>
      </c>
    </row>
    <row r="113" spans="2:43">
      <c r="B113" s="138"/>
      <c r="C113" s="47">
        <f t="shared" si="9"/>
        <v>42</v>
      </c>
      <c r="D113" s="130">
        <f t="shared" si="23"/>
        <v>0</v>
      </c>
      <c r="E113" s="130">
        <f t="shared" si="23"/>
        <v>0</v>
      </c>
      <c r="F113" s="130">
        <f t="shared" si="23"/>
        <v>0</v>
      </c>
      <c r="G113" s="130">
        <f t="shared" si="23"/>
        <v>0</v>
      </c>
      <c r="H113" s="130">
        <f t="shared" si="23"/>
        <v>0</v>
      </c>
      <c r="I113" s="130">
        <f t="shared" si="23"/>
        <v>0</v>
      </c>
      <c r="J113" s="130">
        <f t="shared" si="23"/>
        <v>0</v>
      </c>
      <c r="K113" s="130">
        <f t="shared" si="23"/>
        <v>0</v>
      </c>
      <c r="L113" s="130">
        <f t="shared" si="23"/>
        <v>0</v>
      </c>
      <c r="M113" s="130">
        <f t="shared" si="23"/>
        <v>0</v>
      </c>
      <c r="N113" s="130">
        <f t="shared" si="23"/>
        <v>0</v>
      </c>
      <c r="O113" s="130">
        <f t="shared" si="23"/>
        <v>0</v>
      </c>
      <c r="P113" s="130">
        <f t="shared" si="23"/>
        <v>0</v>
      </c>
      <c r="Q113" s="130">
        <f t="shared" si="23"/>
        <v>0</v>
      </c>
      <c r="R113" s="130">
        <f t="shared" si="23"/>
        <v>0</v>
      </c>
      <c r="S113" s="130">
        <f t="shared" si="23"/>
        <v>0</v>
      </c>
      <c r="T113" s="130">
        <f t="shared" si="23"/>
        <v>0</v>
      </c>
      <c r="U113" s="130">
        <f t="shared" si="23"/>
        <v>0</v>
      </c>
      <c r="V113" s="130">
        <f t="shared" si="23"/>
        <v>0</v>
      </c>
      <c r="W113" s="130">
        <f t="shared" si="23"/>
        <v>0</v>
      </c>
      <c r="X113" s="130">
        <f t="shared" si="23"/>
        <v>0</v>
      </c>
      <c r="Y113" s="130">
        <f t="shared" si="23"/>
        <v>0</v>
      </c>
      <c r="Z113" s="130">
        <f t="shared" si="23"/>
        <v>0</v>
      </c>
      <c r="AA113" s="130">
        <f t="shared" si="23"/>
        <v>0</v>
      </c>
      <c r="AB113" s="130">
        <f t="shared" si="23"/>
        <v>0</v>
      </c>
      <c r="AC113" s="130">
        <f t="shared" si="23"/>
        <v>0</v>
      </c>
      <c r="AD113" s="130">
        <f t="shared" si="23"/>
        <v>0</v>
      </c>
      <c r="AE113" s="130">
        <f t="shared" si="23"/>
        <v>0</v>
      </c>
      <c r="AF113" s="130">
        <f t="shared" si="23"/>
        <v>0</v>
      </c>
      <c r="AG113" s="130">
        <f t="shared" si="23"/>
        <v>0</v>
      </c>
      <c r="AH113" s="130">
        <f t="shared" si="23"/>
        <v>0</v>
      </c>
      <c r="AI113" s="130">
        <f t="shared" si="23"/>
        <v>0</v>
      </c>
      <c r="AJ113" s="47" t="str">
        <f t="shared" si="7"/>
        <v/>
      </c>
      <c r="AK113" s="60"/>
      <c r="AL113" s="60" t="str">
        <f t="shared" si="10"/>
        <v>00</v>
      </c>
      <c r="AM113" s="62" t="str">
        <f t="shared" si="11"/>
        <v>00</v>
      </c>
      <c r="AN113" s="62" t="str">
        <f t="shared" si="12"/>
        <v>00</v>
      </c>
      <c r="AO113" s="62" t="str">
        <f t="shared" si="13"/>
        <v>00</v>
      </c>
      <c r="AQ113" t="str">
        <f t="shared" si="8"/>
        <v/>
      </c>
    </row>
    <row r="114" spans="2:43">
      <c r="B114" s="138"/>
      <c r="C114" s="47">
        <f t="shared" si="9"/>
        <v>43</v>
      </c>
      <c r="D114" s="130">
        <f t="shared" si="23"/>
        <v>0</v>
      </c>
      <c r="E114" s="130">
        <f t="shared" si="23"/>
        <v>0</v>
      </c>
      <c r="F114" s="130">
        <f t="shared" si="23"/>
        <v>0</v>
      </c>
      <c r="G114" s="130">
        <f t="shared" si="23"/>
        <v>0</v>
      </c>
      <c r="H114" s="130">
        <f t="shared" si="23"/>
        <v>0</v>
      </c>
      <c r="I114" s="130">
        <f t="shared" si="23"/>
        <v>0</v>
      </c>
      <c r="J114" s="130">
        <f t="shared" si="23"/>
        <v>0</v>
      </c>
      <c r="K114" s="130">
        <f t="shared" si="23"/>
        <v>0</v>
      </c>
      <c r="L114" s="130">
        <f t="shared" si="23"/>
        <v>0</v>
      </c>
      <c r="M114" s="130">
        <f t="shared" si="23"/>
        <v>0</v>
      </c>
      <c r="N114" s="130">
        <f t="shared" si="23"/>
        <v>0</v>
      </c>
      <c r="O114" s="130">
        <f t="shared" si="23"/>
        <v>0</v>
      </c>
      <c r="P114" s="130">
        <f t="shared" si="23"/>
        <v>0</v>
      </c>
      <c r="Q114" s="130">
        <f t="shared" si="23"/>
        <v>0</v>
      </c>
      <c r="R114" s="130">
        <f t="shared" si="23"/>
        <v>0</v>
      </c>
      <c r="S114" s="130">
        <f t="shared" si="23"/>
        <v>0</v>
      </c>
      <c r="T114" s="130">
        <f t="shared" si="23"/>
        <v>0</v>
      </c>
      <c r="U114" s="130">
        <f t="shared" si="23"/>
        <v>0</v>
      </c>
      <c r="V114" s="130">
        <f t="shared" si="23"/>
        <v>0</v>
      </c>
      <c r="W114" s="130">
        <f t="shared" si="23"/>
        <v>0</v>
      </c>
      <c r="X114" s="130">
        <f t="shared" si="23"/>
        <v>0</v>
      </c>
      <c r="Y114" s="130">
        <f t="shared" si="23"/>
        <v>0</v>
      </c>
      <c r="Z114" s="130">
        <f t="shared" si="23"/>
        <v>0</v>
      </c>
      <c r="AA114" s="130">
        <f t="shared" si="23"/>
        <v>0</v>
      </c>
      <c r="AB114" s="130">
        <f t="shared" si="23"/>
        <v>0</v>
      </c>
      <c r="AC114" s="130">
        <f t="shared" si="23"/>
        <v>0</v>
      </c>
      <c r="AD114" s="130">
        <f t="shared" si="23"/>
        <v>0</v>
      </c>
      <c r="AE114" s="130">
        <f t="shared" si="23"/>
        <v>0</v>
      </c>
      <c r="AF114" s="130">
        <f t="shared" si="23"/>
        <v>0</v>
      </c>
      <c r="AG114" s="130">
        <f t="shared" si="23"/>
        <v>0</v>
      </c>
      <c r="AH114" s="130">
        <f t="shared" si="23"/>
        <v>0</v>
      </c>
      <c r="AI114" s="130">
        <f t="shared" si="23"/>
        <v>0</v>
      </c>
      <c r="AJ114" s="47" t="str">
        <f t="shared" si="7"/>
        <v/>
      </c>
      <c r="AK114" s="60"/>
      <c r="AL114" s="60" t="str">
        <f t="shared" si="10"/>
        <v>00</v>
      </c>
      <c r="AM114" s="62" t="str">
        <f t="shared" si="11"/>
        <v>00</v>
      </c>
      <c r="AN114" s="62" t="str">
        <f t="shared" si="12"/>
        <v>00</v>
      </c>
      <c r="AO114" s="62" t="str">
        <f t="shared" si="13"/>
        <v>00</v>
      </c>
      <c r="AQ114" t="str">
        <f t="shared" si="8"/>
        <v/>
      </c>
    </row>
    <row r="115" spans="2:43">
      <c r="B115" s="138"/>
      <c r="C115" s="47">
        <f t="shared" si="9"/>
        <v>44</v>
      </c>
      <c r="D115" s="130">
        <f t="shared" si="23"/>
        <v>0</v>
      </c>
      <c r="E115" s="130">
        <f t="shared" si="23"/>
        <v>0</v>
      </c>
      <c r="F115" s="130">
        <f t="shared" si="23"/>
        <v>0</v>
      </c>
      <c r="G115" s="130">
        <f t="shared" si="23"/>
        <v>0</v>
      </c>
      <c r="H115" s="130">
        <f t="shared" si="23"/>
        <v>0</v>
      </c>
      <c r="I115" s="130">
        <f t="shared" si="23"/>
        <v>0</v>
      </c>
      <c r="J115" s="130">
        <f t="shared" si="23"/>
        <v>0</v>
      </c>
      <c r="K115" s="130">
        <f t="shared" si="23"/>
        <v>0</v>
      </c>
      <c r="L115" s="130">
        <f t="shared" si="23"/>
        <v>0</v>
      </c>
      <c r="M115" s="130">
        <f t="shared" si="23"/>
        <v>0</v>
      </c>
      <c r="N115" s="130">
        <f t="shared" si="23"/>
        <v>0</v>
      </c>
      <c r="O115" s="130">
        <f t="shared" si="23"/>
        <v>0</v>
      </c>
      <c r="P115" s="130">
        <f t="shared" si="23"/>
        <v>0</v>
      </c>
      <c r="Q115" s="130">
        <f t="shared" si="23"/>
        <v>0</v>
      </c>
      <c r="R115" s="130">
        <f t="shared" si="23"/>
        <v>0</v>
      </c>
      <c r="S115" s="130">
        <f t="shared" si="23"/>
        <v>0</v>
      </c>
      <c r="T115" s="130">
        <f t="shared" si="23"/>
        <v>0</v>
      </c>
      <c r="U115" s="130">
        <f t="shared" si="23"/>
        <v>0</v>
      </c>
      <c r="V115" s="130">
        <f t="shared" si="23"/>
        <v>0</v>
      </c>
      <c r="W115" s="130">
        <f t="shared" si="23"/>
        <v>0</v>
      </c>
      <c r="X115" s="130">
        <f t="shared" si="23"/>
        <v>0</v>
      </c>
      <c r="Y115" s="130">
        <f t="shared" si="23"/>
        <v>0</v>
      </c>
      <c r="Z115" s="130">
        <f t="shared" si="23"/>
        <v>0</v>
      </c>
      <c r="AA115" s="130">
        <f t="shared" si="23"/>
        <v>0</v>
      </c>
      <c r="AB115" s="130">
        <f t="shared" si="23"/>
        <v>0</v>
      </c>
      <c r="AC115" s="130">
        <f t="shared" si="23"/>
        <v>0</v>
      </c>
      <c r="AD115" s="130">
        <f t="shared" si="23"/>
        <v>0</v>
      </c>
      <c r="AE115" s="130">
        <f t="shared" si="23"/>
        <v>0</v>
      </c>
      <c r="AF115" s="130">
        <f t="shared" si="23"/>
        <v>0</v>
      </c>
      <c r="AG115" s="130">
        <f t="shared" si="23"/>
        <v>0</v>
      </c>
      <c r="AH115" s="130">
        <f t="shared" si="23"/>
        <v>0</v>
      </c>
      <c r="AI115" s="130">
        <f t="shared" si="23"/>
        <v>0</v>
      </c>
      <c r="AJ115" s="47" t="str">
        <f t="shared" si="7"/>
        <v/>
      </c>
      <c r="AK115" s="60"/>
      <c r="AL115" s="60" t="str">
        <f t="shared" si="10"/>
        <v>00</v>
      </c>
      <c r="AM115" s="62" t="str">
        <f t="shared" si="11"/>
        <v>00</v>
      </c>
      <c r="AN115" s="62" t="str">
        <f t="shared" si="12"/>
        <v>00</v>
      </c>
      <c r="AO115" s="62" t="str">
        <f t="shared" si="13"/>
        <v>00</v>
      </c>
      <c r="AQ115" t="str">
        <f t="shared" si="8"/>
        <v/>
      </c>
    </row>
    <row r="116" spans="2:43">
      <c r="B116" s="138"/>
      <c r="C116" s="47">
        <f t="shared" si="9"/>
        <v>45</v>
      </c>
      <c r="D116" s="130">
        <f t="shared" si="23"/>
        <v>0</v>
      </c>
      <c r="E116" s="130">
        <f t="shared" si="23"/>
        <v>0</v>
      </c>
      <c r="F116" s="130">
        <f t="shared" si="23"/>
        <v>0</v>
      </c>
      <c r="G116" s="130">
        <f t="shared" si="23"/>
        <v>0</v>
      </c>
      <c r="H116" s="130">
        <f t="shared" si="23"/>
        <v>0</v>
      </c>
      <c r="I116" s="130">
        <f t="shared" si="23"/>
        <v>0</v>
      </c>
      <c r="J116" s="130">
        <f t="shared" si="23"/>
        <v>0</v>
      </c>
      <c r="K116" s="130">
        <f t="shared" si="23"/>
        <v>0</v>
      </c>
      <c r="L116" s="130">
        <f t="shared" si="23"/>
        <v>0</v>
      </c>
      <c r="M116" s="130">
        <f t="shared" si="23"/>
        <v>0</v>
      </c>
      <c r="N116" s="130">
        <f t="shared" si="23"/>
        <v>0</v>
      </c>
      <c r="O116" s="130">
        <f t="shared" si="23"/>
        <v>0</v>
      </c>
      <c r="P116" s="130">
        <f t="shared" si="23"/>
        <v>0</v>
      </c>
      <c r="Q116" s="130">
        <f t="shared" si="23"/>
        <v>0</v>
      </c>
      <c r="R116" s="130">
        <f t="shared" si="23"/>
        <v>0</v>
      </c>
      <c r="S116" s="130">
        <f t="shared" si="23"/>
        <v>0</v>
      </c>
      <c r="T116" s="130">
        <f t="shared" si="23"/>
        <v>0</v>
      </c>
      <c r="U116" s="130">
        <f t="shared" si="23"/>
        <v>0</v>
      </c>
      <c r="V116" s="130">
        <f t="shared" si="23"/>
        <v>0</v>
      </c>
      <c r="W116" s="130">
        <f t="shared" si="23"/>
        <v>0</v>
      </c>
      <c r="X116" s="130">
        <f t="shared" si="23"/>
        <v>0</v>
      </c>
      <c r="Y116" s="130">
        <f t="shared" si="23"/>
        <v>0</v>
      </c>
      <c r="Z116" s="130">
        <f t="shared" si="23"/>
        <v>0</v>
      </c>
      <c r="AA116" s="130">
        <f t="shared" si="23"/>
        <v>0</v>
      </c>
      <c r="AB116" s="130">
        <f t="shared" si="23"/>
        <v>0</v>
      </c>
      <c r="AC116" s="130">
        <f t="shared" si="23"/>
        <v>0</v>
      </c>
      <c r="AD116" s="130">
        <f t="shared" si="23"/>
        <v>0</v>
      </c>
      <c r="AE116" s="130">
        <f t="shared" si="23"/>
        <v>0</v>
      </c>
      <c r="AF116" s="130">
        <f t="shared" si="23"/>
        <v>0</v>
      </c>
      <c r="AG116" s="130">
        <f t="shared" si="23"/>
        <v>0</v>
      </c>
      <c r="AH116" s="130">
        <f t="shared" si="23"/>
        <v>0</v>
      </c>
      <c r="AI116" s="130">
        <f t="shared" si="23"/>
        <v>0</v>
      </c>
      <c r="AJ116" s="47" t="str">
        <f t="shared" si="7"/>
        <v/>
      </c>
      <c r="AK116" s="60"/>
      <c r="AL116" s="60" t="str">
        <f t="shared" si="10"/>
        <v>00</v>
      </c>
      <c r="AM116" s="62" t="str">
        <f t="shared" si="11"/>
        <v>00</v>
      </c>
      <c r="AN116" s="62" t="str">
        <f t="shared" si="12"/>
        <v>00</v>
      </c>
      <c r="AO116" s="62" t="str">
        <f t="shared" si="13"/>
        <v>00</v>
      </c>
      <c r="AQ116" t="str">
        <f t="shared" si="8"/>
        <v/>
      </c>
    </row>
    <row r="117" spans="2:43">
      <c r="B117" s="138"/>
      <c r="C117" s="47">
        <f t="shared" si="9"/>
        <v>46</v>
      </c>
      <c r="D117" s="130">
        <f t="shared" si="23"/>
        <v>0</v>
      </c>
      <c r="E117" s="130">
        <f t="shared" si="23"/>
        <v>0</v>
      </c>
      <c r="F117" s="130">
        <f t="shared" si="23"/>
        <v>0</v>
      </c>
      <c r="G117" s="130">
        <f t="shared" si="23"/>
        <v>0</v>
      </c>
      <c r="H117" s="130">
        <f t="shared" si="23"/>
        <v>0</v>
      </c>
      <c r="I117" s="130">
        <f t="shared" si="23"/>
        <v>0</v>
      </c>
      <c r="J117" s="130">
        <f t="shared" si="23"/>
        <v>0</v>
      </c>
      <c r="K117" s="130">
        <f t="shared" si="23"/>
        <v>0</v>
      </c>
      <c r="L117" s="130">
        <f t="shared" si="23"/>
        <v>0</v>
      </c>
      <c r="M117" s="130">
        <f t="shared" si="23"/>
        <v>0</v>
      </c>
      <c r="N117" s="130">
        <f t="shared" si="23"/>
        <v>0</v>
      </c>
      <c r="O117" s="130">
        <f t="shared" si="23"/>
        <v>0</v>
      </c>
      <c r="P117" s="130">
        <f t="shared" si="23"/>
        <v>0</v>
      </c>
      <c r="Q117" s="130">
        <f t="shared" si="23"/>
        <v>0</v>
      </c>
      <c r="R117" s="130">
        <f t="shared" si="23"/>
        <v>0</v>
      </c>
      <c r="S117" s="130">
        <f t="shared" si="23"/>
        <v>0</v>
      </c>
      <c r="T117" s="130">
        <f t="shared" si="23"/>
        <v>0</v>
      </c>
      <c r="U117" s="130">
        <f t="shared" si="23"/>
        <v>0</v>
      </c>
      <c r="V117" s="130">
        <f t="shared" si="23"/>
        <v>0</v>
      </c>
      <c r="W117" s="130">
        <f t="shared" si="23"/>
        <v>0</v>
      </c>
      <c r="X117" s="130">
        <f t="shared" si="23"/>
        <v>0</v>
      </c>
      <c r="Y117" s="130">
        <f t="shared" si="23"/>
        <v>0</v>
      </c>
      <c r="Z117" s="130">
        <f t="shared" si="23"/>
        <v>0</v>
      </c>
      <c r="AA117" s="130">
        <f t="shared" si="23"/>
        <v>0</v>
      </c>
      <c r="AB117" s="130">
        <f t="shared" si="23"/>
        <v>0</v>
      </c>
      <c r="AC117" s="130">
        <f t="shared" si="23"/>
        <v>0</v>
      </c>
      <c r="AD117" s="130">
        <f t="shared" si="23"/>
        <v>0</v>
      </c>
      <c r="AE117" s="130">
        <f t="shared" si="23"/>
        <v>0</v>
      </c>
      <c r="AF117" s="130">
        <f t="shared" si="23"/>
        <v>0</v>
      </c>
      <c r="AG117" s="130">
        <f t="shared" si="23"/>
        <v>0</v>
      </c>
      <c r="AH117" s="130">
        <f t="shared" si="23"/>
        <v>0</v>
      </c>
      <c r="AI117" s="130">
        <f t="shared" si="23"/>
        <v>0</v>
      </c>
      <c r="AJ117" s="47" t="str">
        <f t="shared" si="7"/>
        <v/>
      </c>
      <c r="AK117" s="60"/>
      <c r="AL117" s="60" t="str">
        <f t="shared" si="10"/>
        <v>00</v>
      </c>
      <c r="AM117" s="62" t="str">
        <f t="shared" si="11"/>
        <v>00</v>
      </c>
      <c r="AN117" s="62" t="str">
        <f t="shared" si="12"/>
        <v>00</v>
      </c>
      <c r="AO117" s="62" t="str">
        <f t="shared" si="13"/>
        <v>00</v>
      </c>
      <c r="AQ117" t="str">
        <f t="shared" si="8"/>
        <v/>
      </c>
    </row>
    <row r="118" spans="2:43">
      <c r="B118" s="138"/>
      <c r="C118" s="47">
        <f t="shared" si="9"/>
        <v>47</v>
      </c>
      <c r="D118" s="130">
        <f t="shared" si="23"/>
        <v>0</v>
      </c>
      <c r="E118" s="130">
        <f t="shared" si="23"/>
        <v>0</v>
      </c>
      <c r="F118" s="130">
        <f t="shared" si="23"/>
        <v>0</v>
      </c>
      <c r="G118" s="130">
        <f t="shared" si="23"/>
        <v>0</v>
      </c>
      <c r="H118" s="130">
        <f t="shared" si="23"/>
        <v>0</v>
      </c>
      <c r="I118" s="130">
        <f t="shared" si="23"/>
        <v>0</v>
      </c>
      <c r="J118" s="130">
        <f t="shared" si="23"/>
        <v>0</v>
      </c>
      <c r="K118" s="130">
        <f t="shared" si="23"/>
        <v>0</v>
      </c>
      <c r="L118" s="130">
        <f t="shared" si="23"/>
        <v>0</v>
      </c>
      <c r="M118" s="130">
        <f t="shared" si="23"/>
        <v>0</v>
      </c>
      <c r="N118" s="130">
        <f t="shared" si="23"/>
        <v>0</v>
      </c>
      <c r="O118" s="130">
        <f t="shared" si="23"/>
        <v>0</v>
      </c>
      <c r="P118" s="130">
        <f t="shared" si="23"/>
        <v>0</v>
      </c>
      <c r="Q118" s="130">
        <f t="shared" si="23"/>
        <v>0</v>
      </c>
      <c r="R118" s="130">
        <f t="shared" si="23"/>
        <v>0</v>
      </c>
      <c r="S118" s="130">
        <f t="shared" si="23"/>
        <v>0</v>
      </c>
      <c r="T118" s="130">
        <f t="shared" si="23"/>
        <v>0</v>
      </c>
      <c r="U118" s="130">
        <f t="shared" si="23"/>
        <v>0</v>
      </c>
      <c r="V118" s="130">
        <f t="shared" si="23"/>
        <v>0</v>
      </c>
      <c r="W118" s="130">
        <f t="shared" si="23"/>
        <v>0</v>
      </c>
      <c r="X118" s="130">
        <f t="shared" si="23"/>
        <v>0</v>
      </c>
      <c r="Y118" s="130">
        <f t="shared" si="23"/>
        <v>0</v>
      </c>
      <c r="Z118" s="130">
        <f t="shared" si="23"/>
        <v>0</v>
      </c>
      <c r="AA118" s="130">
        <f t="shared" si="23"/>
        <v>0</v>
      </c>
      <c r="AB118" s="130">
        <f t="shared" si="23"/>
        <v>0</v>
      </c>
      <c r="AC118" s="130">
        <f t="shared" si="23"/>
        <v>0</v>
      </c>
      <c r="AD118" s="130">
        <f t="shared" si="23"/>
        <v>0</v>
      </c>
      <c r="AE118" s="130">
        <f t="shared" si="23"/>
        <v>0</v>
      </c>
      <c r="AF118" s="130">
        <f t="shared" si="23"/>
        <v>0</v>
      </c>
      <c r="AG118" s="130">
        <f t="shared" si="23"/>
        <v>0</v>
      </c>
      <c r="AH118" s="130">
        <f t="shared" si="23"/>
        <v>0</v>
      </c>
      <c r="AI118" s="130">
        <f t="shared" ref="AI118" si="24">IF(AI53=1,1,0)</f>
        <v>0</v>
      </c>
      <c r="AJ118" s="47" t="str">
        <f t="shared" si="7"/>
        <v/>
      </c>
      <c r="AK118" s="60"/>
      <c r="AL118" s="60" t="str">
        <f t="shared" si="10"/>
        <v>00</v>
      </c>
      <c r="AM118" s="62" t="str">
        <f t="shared" si="11"/>
        <v>00</v>
      </c>
      <c r="AN118" s="62" t="str">
        <f t="shared" si="12"/>
        <v>00</v>
      </c>
      <c r="AO118" s="62" t="str">
        <f t="shared" si="13"/>
        <v>00</v>
      </c>
      <c r="AQ118" t="str">
        <f t="shared" si="8"/>
        <v/>
      </c>
    </row>
    <row r="119" spans="2:43">
      <c r="B119" s="138"/>
      <c r="C119" s="47">
        <f t="shared" si="9"/>
        <v>48</v>
      </c>
      <c r="D119" s="130">
        <f t="shared" ref="D119:AI126" si="25">IF(D54=1,1,0)</f>
        <v>0</v>
      </c>
      <c r="E119" s="130">
        <f t="shared" si="25"/>
        <v>0</v>
      </c>
      <c r="F119" s="130">
        <f t="shared" si="25"/>
        <v>0</v>
      </c>
      <c r="G119" s="130">
        <f t="shared" si="25"/>
        <v>0</v>
      </c>
      <c r="H119" s="130">
        <f t="shared" si="25"/>
        <v>0</v>
      </c>
      <c r="I119" s="130">
        <f t="shared" si="25"/>
        <v>0</v>
      </c>
      <c r="J119" s="130">
        <f t="shared" si="25"/>
        <v>0</v>
      </c>
      <c r="K119" s="130">
        <f t="shared" si="25"/>
        <v>0</v>
      </c>
      <c r="L119" s="130">
        <f t="shared" si="25"/>
        <v>0</v>
      </c>
      <c r="M119" s="130">
        <f t="shared" si="25"/>
        <v>0</v>
      </c>
      <c r="N119" s="130">
        <f t="shared" si="25"/>
        <v>0</v>
      </c>
      <c r="O119" s="130">
        <f t="shared" si="25"/>
        <v>0</v>
      </c>
      <c r="P119" s="130">
        <f t="shared" si="25"/>
        <v>0</v>
      </c>
      <c r="Q119" s="130">
        <f t="shared" si="25"/>
        <v>0</v>
      </c>
      <c r="R119" s="130">
        <f t="shared" si="25"/>
        <v>0</v>
      </c>
      <c r="S119" s="130">
        <f t="shared" si="25"/>
        <v>0</v>
      </c>
      <c r="T119" s="130">
        <f t="shared" si="25"/>
        <v>0</v>
      </c>
      <c r="U119" s="130">
        <f t="shared" si="25"/>
        <v>0</v>
      </c>
      <c r="V119" s="130">
        <f t="shared" si="25"/>
        <v>0</v>
      </c>
      <c r="W119" s="130">
        <f t="shared" si="25"/>
        <v>0</v>
      </c>
      <c r="X119" s="130">
        <f t="shared" si="25"/>
        <v>0</v>
      </c>
      <c r="Y119" s="130">
        <f t="shared" si="25"/>
        <v>0</v>
      </c>
      <c r="Z119" s="130">
        <f t="shared" si="25"/>
        <v>0</v>
      </c>
      <c r="AA119" s="130">
        <f t="shared" si="25"/>
        <v>0</v>
      </c>
      <c r="AB119" s="130">
        <f t="shared" si="25"/>
        <v>0</v>
      </c>
      <c r="AC119" s="130">
        <f t="shared" si="25"/>
        <v>0</v>
      </c>
      <c r="AD119" s="130">
        <f t="shared" si="25"/>
        <v>0</v>
      </c>
      <c r="AE119" s="130">
        <f t="shared" si="25"/>
        <v>0</v>
      </c>
      <c r="AF119" s="130">
        <f t="shared" si="25"/>
        <v>0</v>
      </c>
      <c r="AG119" s="130">
        <f t="shared" si="25"/>
        <v>0</v>
      </c>
      <c r="AH119" s="130">
        <f t="shared" si="25"/>
        <v>0</v>
      </c>
      <c r="AI119" s="130">
        <f t="shared" si="25"/>
        <v>0</v>
      </c>
      <c r="AJ119" s="47" t="str">
        <f t="shared" si="7"/>
        <v/>
      </c>
      <c r="AK119" s="60"/>
      <c r="AL119" s="60" t="str">
        <f t="shared" si="10"/>
        <v>00</v>
      </c>
      <c r="AM119" s="62" t="str">
        <f t="shared" si="11"/>
        <v>00</v>
      </c>
      <c r="AN119" s="62" t="str">
        <f t="shared" si="12"/>
        <v>00</v>
      </c>
      <c r="AO119" s="62" t="str">
        <f t="shared" si="13"/>
        <v>00</v>
      </c>
      <c r="AQ119" t="str">
        <f t="shared" si="8"/>
        <v/>
      </c>
    </row>
    <row r="120" spans="2:43">
      <c r="B120" s="138"/>
      <c r="C120" s="47">
        <f t="shared" si="9"/>
        <v>49</v>
      </c>
      <c r="D120" s="130">
        <f t="shared" si="25"/>
        <v>0</v>
      </c>
      <c r="E120" s="130">
        <f t="shared" si="25"/>
        <v>0</v>
      </c>
      <c r="F120" s="130">
        <f t="shared" si="25"/>
        <v>0</v>
      </c>
      <c r="G120" s="130">
        <f t="shared" si="25"/>
        <v>0</v>
      </c>
      <c r="H120" s="130">
        <f t="shared" si="25"/>
        <v>0</v>
      </c>
      <c r="I120" s="130">
        <f t="shared" si="25"/>
        <v>0</v>
      </c>
      <c r="J120" s="130">
        <f t="shared" si="25"/>
        <v>0</v>
      </c>
      <c r="K120" s="130">
        <f t="shared" si="25"/>
        <v>0</v>
      </c>
      <c r="L120" s="130">
        <f t="shared" si="25"/>
        <v>0</v>
      </c>
      <c r="M120" s="130">
        <f t="shared" si="25"/>
        <v>0</v>
      </c>
      <c r="N120" s="130">
        <f t="shared" si="25"/>
        <v>0</v>
      </c>
      <c r="O120" s="130">
        <f t="shared" si="25"/>
        <v>0</v>
      </c>
      <c r="P120" s="130">
        <f t="shared" si="25"/>
        <v>0</v>
      </c>
      <c r="Q120" s="130">
        <f t="shared" si="25"/>
        <v>0</v>
      </c>
      <c r="R120" s="130">
        <f t="shared" si="25"/>
        <v>0</v>
      </c>
      <c r="S120" s="130">
        <f t="shared" si="25"/>
        <v>0</v>
      </c>
      <c r="T120" s="130">
        <f t="shared" si="25"/>
        <v>0</v>
      </c>
      <c r="U120" s="130">
        <f t="shared" si="25"/>
        <v>0</v>
      </c>
      <c r="V120" s="130">
        <f t="shared" si="25"/>
        <v>0</v>
      </c>
      <c r="W120" s="130">
        <f t="shared" si="25"/>
        <v>0</v>
      </c>
      <c r="X120" s="130">
        <f t="shared" si="25"/>
        <v>0</v>
      </c>
      <c r="Y120" s="130">
        <f t="shared" si="25"/>
        <v>0</v>
      </c>
      <c r="Z120" s="130">
        <f t="shared" si="25"/>
        <v>0</v>
      </c>
      <c r="AA120" s="130">
        <f t="shared" si="25"/>
        <v>0</v>
      </c>
      <c r="AB120" s="130">
        <f t="shared" si="25"/>
        <v>0</v>
      </c>
      <c r="AC120" s="130">
        <f t="shared" si="25"/>
        <v>0</v>
      </c>
      <c r="AD120" s="130">
        <f t="shared" si="25"/>
        <v>0</v>
      </c>
      <c r="AE120" s="130">
        <f t="shared" si="25"/>
        <v>0</v>
      </c>
      <c r="AF120" s="130">
        <f t="shared" si="25"/>
        <v>0</v>
      </c>
      <c r="AG120" s="130">
        <f t="shared" si="25"/>
        <v>0</v>
      </c>
      <c r="AH120" s="130">
        <f t="shared" si="25"/>
        <v>0</v>
      </c>
      <c r="AI120" s="130">
        <f t="shared" si="25"/>
        <v>0</v>
      </c>
      <c r="AJ120" s="47" t="str">
        <f t="shared" si="7"/>
        <v/>
      </c>
      <c r="AK120" s="60"/>
      <c r="AL120" s="60" t="str">
        <f t="shared" si="10"/>
        <v>00</v>
      </c>
      <c r="AM120" s="62" t="str">
        <f t="shared" si="11"/>
        <v>00</v>
      </c>
      <c r="AN120" s="62" t="str">
        <f t="shared" si="12"/>
        <v>00</v>
      </c>
      <c r="AO120" s="62" t="str">
        <f t="shared" si="13"/>
        <v>00</v>
      </c>
      <c r="AQ120" t="str">
        <f t="shared" si="8"/>
        <v/>
      </c>
    </row>
    <row r="121" spans="2:43">
      <c r="B121" s="138"/>
      <c r="C121" s="47">
        <f t="shared" si="9"/>
        <v>50</v>
      </c>
      <c r="D121" s="130">
        <f t="shared" si="25"/>
        <v>0</v>
      </c>
      <c r="E121" s="130">
        <f t="shared" si="25"/>
        <v>0</v>
      </c>
      <c r="F121" s="130">
        <f t="shared" si="25"/>
        <v>0</v>
      </c>
      <c r="G121" s="130">
        <f t="shared" si="25"/>
        <v>0</v>
      </c>
      <c r="H121" s="130">
        <f t="shared" si="25"/>
        <v>0</v>
      </c>
      <c r="I121" s="130">
        <f t="shared" si="25"/>
        <v>0</v>
      </c>
      <c r="J121" s="130">
        <f t="shared" si="25"/>
        <v>0</v>
      </c>
      <c r="K121" s="130">
        <f t="shared" si="25"/>
        <v>0</v>
      </c>
      <c r="L121" s="130">
        <f t="shared" si="25"/>
        <v>0</v>
      </c>
      <c r="M121" s="130">
        <f t="shared" si="25"/>
        <v>0</v>
      </c>
      <c r="N121" s="130">
        <f t="shared" si="25"/>
        <v>0</v>
      </c>
      <c r="O121" s="130">
        <f t="shared" si="25"/>
        <v>0</v>
      </c>
      <c r="P121" s="130">
        <f t="shared" si="25"/>
        <v>0</v>
      </c>
      <c r="Q121" s="130">
        <f t="shared" si="25"/>
        <v>0</v>
      </c>
      <c r="R121" s="130">
        <f t="shared" si="25"/>
        <v>0</v>
      </c>
      <c r="S121" s="130">
        <f t="shared" si="25"/>
        <v>0</v>
      </c>
      <c r="T121" s="130">
        <f t="shared" si="25"/>
        <v>0</v>
      </c>
      <c r="U121" s="130">
        <f t="shared" si="25"/>
        <v>0</v>
      </c>
      <c r="V121" s="130">
        <f t="shared" si="25"/>
        <v>0</v>
      </c>
      <c r="W121" s="130">
        <f t="shared" si="25"/>
        <v>0</v>
      </c>
      <c r="X121" s="130">
        <f t="shared" si="25"/>
        <v>0</v>
      </c>
      <c r="Y121" s="130">
        <f t="shared" si="25"/>
        <v>0</v>
      </c>
      <c r="Z121" s="130">
        <f t="shared" si="25"/>
        <v>0</v>
      </c>
      <c r="AA121" s="130">
        <f t="shared" si="25"/>
        <v>0</v>
      </c>
      <c r="AB121" s="130">
        <f t="shared" si="25"/>
        <v>0</v>
      </c>
      <c r="AC121" s="130">
        <f t="shared" si="25"/>
        <v>0</v>
      </c>
      <c r="AD121" s="130">
        <f t="shared" si="25"/>
        <v>0</v>
      </c>
      <c r="AE121" s="130">
        <f t="shared" si="25"/>
        <v>0</v>
      </c>
      <c r="AF121" s="130">
        <f t="shared" si="25"/>
        <v>0</v>
      </c>
      <c r="AG121" s="130">
        <f t="shared" si="25"/>
        <v>0</v>
      </c>
      <c r="AH121" s="130">
        <f t="shared" si="25"/>
        <v>0</v>
      </c>
      <c r="AI121" s="130">
        <f t="shared" si="25"/>
        <v>0</v>
      </c>
      <c r="AJ121" s="47" t="str">
        <f t="shared" si="7"/>
        <v/>
      </c>
      <c r="AK121" s="60"/>
      <c r="AL121" s="60" t="str">
        <f t="shared" si="10"/>
        <v>00</v>
      </c>
      <c r="AM121" s="62" t="str">
        <f t="shared" si="11"/>
        <v>00</v>
      </c>
      <c r="AN121" s="62" t="str">
        <f t="shared" si="12"/>
        <v>00</v>
      </c>
      <c r="AO121" s="62" t="str">
        <f t="shared" si="13"/>
        <v>00</v>
      </c>
      <c r="AQ121" t="str">
        <f t="shared" si="8"/>
        <v/>
      </c>
    </row>
    <row r="122" spans="2:43">
      <c r="B122" s="138"/>
      <c r="C122" s="47">
        <f t="shared" si="9"/>
        <v>51</v>
      </c>
      <c r="D122" s="130">
        <f t="shared" si="25"/>
        <v>0</v>
      </c>
      <c r="E122" s="130">
        <f t="shared" si="25"/>
        <v>0</v>
      </c>
      <c r="F122" s="130">
        <f t="shared" si="25"/>
        <v>0</v>
      </c>
      <c r="G122" s="130">
        <f t="shared" si="25"/>
        <v>0</v>
      </c>
      <c r="H122" s="130">
        <f t="shared" si="25"/>
        <v>0</v>
      </c>
      <c r="I122" s="130">
        <f t="shared" si="25"/>
        <v>0</v>
      </c>
      <c r="J122" s="130">
        <f t="shared" si="25"/>
        <v>0</v>
      </c>
      <c r="K122" s="130">
        <f t="shared" si="25"/>
        <v>0</v>
      </c>
      <c r="L122" s="130">
        <f t="shared" si="25"/>
        <v>0</v>
      </c>
      <c r="M122" s="130">
        <f t="shared" si="25"/>
        <v>0</v>
      </c>
      <c r="N122" s="130">
        <f t="shared" si="25"/>
        <v>0</v>
      </c>
      <c r="O122" s="130">
        <f t="shared" si="25"/>
        <v>0</v>
      </c>
      <c r="P122" s="130">
        <f t="shared" si="25"/>
        <v>0</v>
      </c>
      <c r="Q122" s="130">
        <f t="shared" si="25"/>
        <v>0</v>
      </c>
      <c r="R122" s="130">
        <f t="shared" si="25"/>
        <v>0</v>
      </c>
      <c r="S122" s="130">
        <f t="shared" si="25"/>
        <v>0</v>
      </c>
      <c r="T122" s="130">
        <f t="shared" si="25"/>
        <v>0</v>
      </c>
      <c r="U122" s="130">
        <f t="shared" si="25"/>
        <v>0</v>
      </c>
      <c r="V122" s="130">
        <f t="shared" si="25"/>
        <v>0</v>
      </c>
      <c r="W122" s="130">
        <f t="shared" si="25"/>
        <v>0</v>
      </c>
      <c r="X122" s="130">
        <f t="shared" si="25"/>
        <v>0</v>
      </c>
      <c r="Y122" s="130">
        <f t="shared" si="25"/>
        <v>0</v>
      </c>
      <c r="Z122" s="130">
        <f t="shared" si="25"/>
        <v>0</v>
      </c>
      <c r="AA122" s="130">
        <f t="shared" si="25"/>
        <v>0</v>
      </c>
      <c r="AB122" s="130">
        <f t="shared" si="25"/>
        <v>0</v>
      </c>
      <c r="AC122" s="130">
        <f t="shared" si="25"/>
        <v>0</v>
      </c>
      <c r="AD122" s="130">
        <f t="shared" si="25"/>
        <v>0</v>
      </c>
      <c r="AE122" s="130">
        <f t="shared" si="25"/>
        <v>0</v>
      </c>
      <c r="AF122" s="130">
        <f t="shared" si="25"/>
        <v>0</v>
      </c>
      <c r="AG122" s="130">
        <f t="shared" si="25"/>
        <v>0</v>
      </c>
      <c r="AH122" s="130">
        <f t="shared" si="25"/>
        <v>0</v>
      </c>
      <c r="AI122" s="130">
        <f t="shared" si="25"/>
        <v>0</v>
      </c>
      <c r="AJ122" s="47" t="str">
        <f t="shared" si="7"/>
        <v/>
      </c>
      <c r="AK122" s="60"/>
      <c r="AL122" s="60" t="str">
        <f t="shared" si="10"/>
        <v>00</v>
      </c>
      <c r="AM122" s="62" t="str">
        <f t="shared" si="11"/>
        <v>00</v>
      </c>
      <c r="AN122" s="62" t="str">
        <f t="shared" si="12"/>
        <v>00</v>
      </c>
      <c r="AO122" s="62" t="str">
        <f t="shared" si="13"/>
        <v>00</v>
      </c>
      <c r="AQ122" t="str">
        <f t="shared" si="8"/>
        <v/>
      </c>
    </row>
    <row r="123" spans="2:43">
      <c r="B123" s="138"/>
      <c r="C123" s="47">
        <f t="shared" si="9"/>
        <v>52</v>
      </c>
      <c r="D123" s="130">
        <f t="shared" si="25"/>
        <v>0</v>
      </c>
      <c r="E123" s="130">
        <f t="shared" si="25"/>
        <v>0</v>
      </c>
      <c r="F123" s="130">
        <f t="shared" si="25"/>
        <v>0</v>
      </c>
      <c r="G123" s="130">
        <f t="shared" si="25"/>
        <v>0</v>
      </c>
      <c r="H123" s="130">
        <f t="shared" si="25"/>
        <v>0</v>
      </c>
      <c r="I123" s="130">
        <f t="shared" si="25"/>
        <v>0</v>
      </c>
      <c r="J123" s="130">
        <f t="shared" si="25"/>
        <v>0</v>
      </c>
      <c r="K123" s="130">
        <f t="shared" si="25"/>
        <v>0</v>
      </c>
      <c r="L123" s="130">
        <f t="shared" si="25"/>
        <v>0</v>
      </c>
      <c r="M123" s="130">
        <f t="shared" si="25"/>
        <v>0</v>
      </c>
      <c r="N123" s="130">
        <f t="shared" si="25"/>
        <v>0</v>
      </c>
      <c r="O123" s="130">
        <f t="shared" si="25"/>
        <v>0</v>
      </c>
      <c r="P123" s="130">
        <f t="shared" si="25"/>
        <v>0</v>
      </c>
      <c r="Q123" s="130">
        <f t="shared" si="25"/>
        <v>0</v>
      </c>
      <c r="R123" s="130">
        <f t="shared" si="25"/>
        <v>0</v>
      </c>
      <c r="S123" s="130">
        <f t="shared" si="25"/>
        <v>0</v>
      </c>
      <c r="T123" s="130">
        <f t="shared" si="25"/>
        <v>0</v>
      </c>
      <c r="U123" s="130">
        <f t="shared" si="25"/>
        <v>0</v>
      </c>
      <c r="V123" s="130">
        <f t="shared" si="25"/>
        <v>0</v>
      </c>
      <c r="W123" s="130">
        <f t="shared" si="25"/>
        <v>0</v>
      </c>
      <c r="X123" s="130">
        <f t="shared" si="25"/>
        <v>0</v>
      </c>
      <c r="Y123" s="130">
        <f t="shared" si="25"/>
        <v>0</v>
      </c>
      <c r="Z123" s="130">
        <f t="shared" si="25"/>
        <v>0</v>
      </c>
      <c r="AA123" s="130">
        <f t="shared" si="25"/>
        <v>0</v>
      </c>
      <c r="AB123" s="130">
        <f t="shared" si="25"/>
        <v>0</v>
      </c>
      <c r="AC123" s="130">
        <f t="shared" si="25"/>
        <v>0</v>
      </c>
      <c r="AD123" s="130">
        <f t="shared" si="25"/>
        <v>0</v>
      </c>
      <c r="AE123" s="130">
        <f t="shared" si="25"/>
        <v>0</v>
      </c>
      <c r="AF123" s="130">
        <f t="shared" si="25"/>
        <v>0</v>
      </c>
      <c r="AG123" s="130">
        <f t="shared" si="25"/>
        <v>0</v>
      </c>
      <c r="AH123" s="130">
        <f t="shared" si="25"/>
        <v>0</v>
      </c>
      <c r="AI123" s="130">
        <f t="shared" si="25"/>
        <v>0</v>
      </c>
      <c r="AJ123" s="47" t="str">
        <f t="shared" si="7"/>
        <v/>
      </c>
      <c r="AK123" s="60"/>
      <c r="AL123" s="60" t="str">
        <f t="shared" si="10"/>
        <v>00</v>
      </c>
      <c r="AM123" s="62" t="str">
        <f t="shared" si="11"/>
        <v>00</v>
      </c>
      <c r="AN123" s="62" t="str">
        <f t="shared" si="12"/>
        <v>00</v>
      </c>
      <c r="AO123" s="62" t="str">
        <f t="shared" si="13"/>
        <v>00</v>
      </c>
      <c r="AQ123" t="str">
        <f t="shared" si="8"/>
        <v/>
      </c>
    </row>
    <row r="124" spans="2:43">
      <c r="B124" s="138"/>
      <c r="C124" s="47">
        <f t="shared" si="9"/>
        <v>53</v>
      </c>
      <c r="D124" s="130">
        <f t="shared" si="25"/>
        <v>0</v>
      </c>
      <c r="E124" s="130">
        <f t="shared" si="25"/>
        <v>0</v>
      </c>
      <c r="F124" s="130">
        <f t="shared" si="25"/>
        <v>0</v>
      </c>
      <c r="G124" s="130">
        <f t="shared" si="25"/>
        <v>0</v>
      </c>
      <c r="H124" s="130">
        <f t="shared" si="25"/>
        <v>0</v>
      </c>
      <c r="I124" s="130">
        <f t="shared" si="25"/>
        <v>0</v>
      </c>
      <c r="J124" s="130">
        <f t="shared" si="25"/>
        <v>0</v>
      </c>
      <c r="K124" s="130">
        <f t="shared" si="25"/>
        <v>0</v>
      </c>
      <c r="L124" s="130">
        <f t="shared" si="25"/>
        <v>0</v>
      </c>
      <c r="M124" s="130">
        <f t="shared" si="25"/>
        <v>0</v>
      </c>
      <c r="N124" s="130">
        <f t="shared" si="25"/>
        <v>0</v>
      </c>
      <c r="O124" s="130">
        <f t="shared" si="25"/>
        <v>0</v>
      </c>
      <c r="P124" s="130">
        <f t="shared" si="25"/>
        <v>0</v>
      </c>
      <c r="Q124" s="130">
        <f t="shared" si="25"/>
        <v>0</v>
      </c>
      <c r="R124" s="130">
        <f t="shared" si="25"/>
        <v>0</v>
      </c>
      <c r="S124" s="130">
        <f t="shared" si="25"/>
        <v>0</v>
      </c>
      <c r="T124" s="130">
        <f t="shared" si="25"/>
        <v>0</v>
      </c>
      <c r="U124" s="130">
        <f t="shared" si="25"/>
        <v>0</v>
      </c>
      <c r="V124" s="130">
        <f t="shared" si="25"/>
        <v>0</v>
      </c>
      <c r="W124" s="130">
        <f t="shared" si="25"/>
        <v>0</v>
      </c>
      <c r="X124" s="130">
        <f t="shared" si="25"/>
        <v>0</v>
      </c>
      <c r="Y124" s="130">
        <f t="shared" si="25"/>
        <v>0</v>
      </c>
      <c r="Z124" s="130">
        <f t="shared" si="25"/>
        <v>0</v>
      </c>
      <c r="AA124" s="130">
        <f t="shared" si="25"/>
        <v>0</v>
      </c>
      <c r="AB124" s="130">
        <f t="shared" si="25"/>
        <v>0</v>
      </c>
      <c r="AC124" s="130">
        <f t="shared" si="25"/>
        <v>0</v>
      </c>
      <c r="AD124" s="130">
        <f t="shared" si="25"/>
        <v>0</v>
      </c>
      <c r="AE124" s="130">
        <f t="shared" si="25"/>
        <v>0</v>
      </c>
      <c r="AF124" s="130">
        <f t="shared" si="25"/>
        <v>0</v>
      </c>
      <c r="AG124" s="130">
        <f t="shared" si="25"/>
        <v>0</v>
      </c>
      <c r="AH124" s="130">
        <f t="shared" si="25"/>
        <v>0</v>
      </c>
      <c r="AI124" s="130">
        <f t="shared" si="25"/>
        <v>0</v>
      </c>
      <c r="AJ124" s="47" t="str">
        <f t="shared" si="7"/>
        <v/>
      </c>
      <c r="AK124" s="60"/>
      <c r="AL124" s="60" t="str">
        <f t="shared" si="10"/>
        <v>00</v>
      </c>
      <c r="AM124" s="62" t="str">
        <f t="shared" si="11"/>
        <v>00</v>
      </c>
      <c r="AN124" s="62" t="str">
        <f t="shared" si="12"/>
        <v>00</v>
      </c>
      <c r="AO124" s="62" t="str">
        <f t="shared" si="13"/>
        <v>00</v>
      </c>
      <c r="AQ124" t="str">
        <f t="shared" si="8"/>
        <v/>
      </c>
    </row>
    <row r="125" spans="2:43">
      <c r="B125" s="138"/>
      <c r="C125" s="47">
        <f t="shared" si="9"/>
        <v>54</v>
      </c>
      <c r="D125" s="130">
        <f t="shared" si="25"/>
        <v>0</v>
      </c>
      <c r="E125" s="130">
        <f t="shared" si="25"/>
        <v>0</v>
      </c>
      <c r="F125" s="130">
        <f t="shared" si="25"/>
        <v>0</v>
      </c>
      <c r="G125" s="130">
        <f t="shared" si="25"/>
        <v>0</v>
      </c>
      <c r="H125" s="130">
        <f t="shared" si="25"/>
        <v>0</v>
      </c>
      <c r="I125" s="130">
        <f t="shared" si="25"/>
        <v>0</v>
      </c>
      <c r="J125" s="130">
        <f t="shared" si="25"/>
        <v>0</v>
      </c>
      <c r="K125" s="130">
        <f t="shared" si="25"/>
        <v>0</v>
      </c>
      <c r="L125" s="130">
        <f t="shared" si="25"/>
        <v>0</v>
      </c>
      <c r="M125" s="130">
        <f t="shared" si="25"/>
        <v>0</v>
      </c>
      <c r="N125" s="130">
        <f t="shared" si="25"/>
        <v>0</v>
      </c>
      <c r="O125" s="130">
        <f t="shared" si="25"/>
        <v>0</v>
      </c>
      <c r="P125" s="130">
        <f t="shared" si="25"/>
        <v>0</v>
      </c>
      <c r="Q125" s="130">
        <f t="shared" si="25"/>
        <v>0</v>
      </c>
      <c r="R125" s="130">
        <f t="shared" si="25"/>
        <v>0</v>
      </c>
      <c r="S125" s="130">
        <f t="shared" si="25"/>
        <v>0</v>
      </c>
      <c r="T125" s="130">
        <f t="shared" si="25"/>
        <v>0</v>
      </c>
      <c r="U125" s="130">
        <f t="shared" si="25"/>
        <v>0</v>
      </c>
      <c r="V125" s="130">
        <f t="shared" si="25"/>
        <v>0</v>
      </c>
      <c r="W125" s="130">
        <f t="shared" si="25"/>
        <v>0</v>
      </c>
      <c r="X125" s="130">
        <f t="shared" si="25"/>
        <v>0</v>
      </c>
      <c r="Y125" s="130">
        <f t="shared" si="25"/>
        <v>0</v>
      </c>
      <c r="Z125" s="130">
        <f t="shared" si="25"/>
        <v>0</v>
      </c>
      <c r="AA125" s="130">
        <f t="shared" si="25"/>
        <v>0</v>
      </c>
      <c r="AB125" s="130">
        <f t="shared" si="25"/>
        <v>0</v>
      </c>
      <c r="AC125" s="130">
        <f t="shared" si="25"/>
        <v>0</v>
      </c>
      <c r="AD125" s="130">
        <f t="shared" si="25"/>
        <v>0</v>
      </c>
      <c r="AE125" s="130">
        <f t="shared" si="25"/>
        <v>0</v>
      </c>
      <c r="AF125" s="130">
        <f t="shared" si="25"/>
        <v>0</v>
      </c>
      <c r="AG125" s="130">
        <f t="shared" si="25"/>
        <v>0</v>
      </c>
      <c r="AH125" s="130">
        <f t="shared" si="25"/>
        <v>0</v>
      </c>
      <c r="AI125" s="130">
        <f t="shared" si="25"/>
        <v>0</v>
      </c>
      <c r="AJ125" s="47" t="str">
        <f t="shared" si="7"/>
        <v/>
      </c>
      <c r="AK125" s="60"/>
      <c r="AL125" s="60" t="str">
        <f t="shared" si="10"/>
        <v>00</v>
      </c>
      <c r="AM125" s="62" t="str">
        <f t="shared" si="11"/>
        <v>00</v>
      </c>
      <c r="AN125" s="62" t="str">
        <f t="shared" si="12"/>
        <v>00</v>
      </c>
      <c r="AO125" s="62" t="str">
        <f t="shared" si="13"/>
        <v>00</v>
      </c>
      <c r="AQ125" t="str">
        <f t="shared" si="8"/>
        <v/>
      </c>
    </row>
    <row r="126" spans="2:43">
      <c r="B126" s="138"/>
      <c r="C126" s="47">
        <f t="shared" si="9"/>
        <v>55</v>
      </c>
      <c r="D126" s="130">
        <f t="shared" si="25"/>
        <v>0</v>
      </c>
      <c r="E126" s="130">
        <f t="shared" si="25"/>
        <v>0</v>
      </c>
      <c r="F126" s="130">
        <f t="shared" si="25"/>
        <v>0</v>
      </c>
      <c r="G126" s="130">
        <f t="shared" si="25"/>
        <v>0</v>
      </c>
      <c r="H126" s="130">
        <f t="shared" si="25"/>
        <v>0</v>
      </c>
      <c r="I126" s="130">
        <f t="shared" si="25"/>
        <v>0</v>
      </c>
      <c r="J126" s="130">
        <f t="shared" si="25"/>
        <v>0</v>
      </c>
      <c r="K126" s="130">
        <f t="shared" si="25"/>
        <v>0</v>
      </c>
      <c r="L126" s="130">
        <f t="shared" si="25"/>
        <v>0</v>
      </c>
      <c r="M126" s="130">
        <f t="shared" si="25"/>
        <v>0</v>
      </c>
      <c r="N126" s="130">
        <f t="shared" si="25"/>
        <v>0</v>
      </c>
      <c r="O126" s="130">
        <f t="shared" si="25"/>
        <v>0</v>
      </c>
      <c r="P126" s="130">
        <f t="shared" si="25"/>
        <v>0</v>
      </c>
      <c r="Q126" s="130">
        <f t="shared" si="25"/>
        <v>0</v>
      </c>
      <c r="R126" s="130">
        <f t="shared" si="25"/>
        <v>0</v>
      </c>
      <c r="S126" s="130">
        <f t="shared" si="25"/>
        <v>0</v>
      </c>
      <c r="T126" s="130">
        <f t="shared" si="25"/>
        <v>0</v>
      </c>
      <c r="U126" s="130">
        <f t="shared" si="25"/>
        <v>0</v>
      </c>
      <c r="V126" s="130">
        <f t="shared" si="25"/>
        <v>0</v>
      </c>
      <c r="W126" s="130">
        <f t="shared" si="25"/>
        <v>0</v>
      </c>
      <c r="X126" s="130">
        <f t="shared" si="25"/>
        <v>0</v>
      </c>
      <c r="Y126" s="130">
        <f t="shared" si="25"/>
        <v>0</v>
      </c>
      <c r="Z126" s="130">
        <f t="shared" si="25"/>
        <v>0</v>
      </c>
      <c r="AA126" s="130">
        <f t="shared" si="25"/>
        <v>0</v>
      </c>
      <c r="AB126" s="130">
        <f t="shared" si="25"/>
        <v>0</v>
      </c>
      <c r="AC126" s="130">
        <f t="shared" si="25"/>
        <v>0</v>
      </c>
      <c r="AD126" s="130">
        <f t="shared" si="25"/>
        <v>0</v>
      </c>
      <c r="AE126" s="130">
        <f t="shared" si="25"/>
        <v>0</v>
      </c>
      <c r="AF126" s="130">
        <f t="shared" si="25"/>
        <v>0</v>
      </c>
      <c r="AG126" s="130">
        <f t="shared" si="25"/>
        <v>0</v>
      </c>
      <c r="AH126" s="130">
        <f t="shared" si="25"/>
        <v>0</v>
      </c>
      <c r="AI126" s="130">
        <f t="shared" ref="AI126" si="26">IF(AI61=1,1,0)</f>
        <v>0</v>
      </c>
      <c r="AJ126" s="47" t="str">
        <f t="shared" si="7"/>
        <v/>
      </c>
      <c r="AK126" s="60"/>
      <c r="AL126" s="60" t="str">
        <f t="shared" si="10"/>
        <v>00</v>
      </c>
      <c r="AM126" s="62" t="str">
        <f t="shared" si="11"/>
        <v>00</v>
      </c>
      <c r="AN126" s="62" t="str">
        <f t="shared" si="12"/>
        <v>00</v>
      </c>
      <c r="AO126" s="62" t="str">
        <f t="shared" si="13"/>
        <v>00</v>
      </c>
      <c r="AQ126" t="str">
        <f t="shared" si="8"/>
        <v/>
      </c>
    </row>
    <row r="127" spans="2:43">
      <c r="B127" s="138"/>
      <c r="C127" s="47">
        <f t="shared" si="9"/>
        <v>56</v>
      </c>
      <c r="D127" s="130">
        <f t="shared" ref="D127:AI134" si="27">IF(D62=1,1,0)</f>
        <v>0</v>
      </c>
      <c r="E127" s="130">
        <f t="shared" si="27"/>
        <v>0</v>
      </c>
      <c r="F127" s="130">
        <f t="shared" si="27"/>
        <v>0</v>
      </c>
      <c r="G127" s="130">
        <f t="shared" si="27"/>
        <v>0</v>
      </c>
      <c r="H127" s="130">
        <f t="shared" si="27"/>
        <v>0</v>
      </c>
      <c r="I127" s="130">
        <f t="shared" si="27"/>
        <v>0</v>
      </c>
      <c r="J127" s="130">
        <f t="shared" si="27"/>
        <v>0</v>
      </c>
      <c r="K127" s="130">
        <f t="shared" si="27"/>
        <v>0</v>
      </c>
      <c r="L127" s="130">
        <f t="shared" si="27"/>
        <v>0</v>
      </c>
      <c r="M127" s="130">
        <f t="shared" si="27"/>
        <v>0</v>
      </c>
      <c r="N127" s="130">
        <f t="shared" si="27"/>
        <v>0</v>
      </c>
      <c r="O127" s="130">
        <f t="shared" si="27"/>
        <v>0</v>
      </c>
      <c r="P127" s="130">
        <f t="shared" si="27"/>
        <v>0</v>
      </c>
      <c r="Q127" s="130">
        <f t="shared" si="27"/>
        <v>0</v>
      </c>
      <c r="R127" s="130">
        <f t="shared" si="27"/>
        <v>0</v>
      </c>
      <c r="S127" s="130">
        <f t="shared" si="27"/>
        <v>0</v>
      </c>
      <c r="T127" s="130">
        <f t="shared" si="27"/>
        <v>0</v>
      </c>
      <c r="U127" s="130">
        <f t="shared" si="27"/>
        <v>0</v>
      </c>
      <c r="V127" s="130">
        <f t="shared" si="27"/>
        <v>0</v>
      </c>
      <c r="W127" s="130">
        <f t="shared" si="27"/>
        <v>0</v>
      </c>
      <c r="X127" s="130">
        <f t="shared" si="27"/>
        <v>0</v>
      </c>
      <c r="Y127" s="130">
        <f t="shared" si="27"/>
        <v>0</v>
      </c>
      <c r="Z127" s="130">
        <f t="shared" si="27"/>
        <v>0</v>
      </c>
      <c r="AA127" s="130">
        <f t="shared" si="27"/>
        <v>0</v>
      </c>
      <c r="AB127" s="130">
        <f t="shared" si="27"/>
        <v>0</v>
      </c>
      <c r="AC127" s="130">
        <f t="shared" si="27"/>
        <v>0</v>
      </c>
      <c r="AD127" s="130">
        <f t="shared" si="27"/>
        <v>0</v>
      </c>
      <c r="AE127" s="130">
        <f t="shared" si="27"/>
        <v>0</v>
      </c>
      <c r="AF127" s="130">
        <f t="shared" si="27"/>
        <v>0</v>
      </c>
      <c r="AG127" s="130">
        <f t="shared" si="27"/>
        <v>0</v>
      </c>
      <c r="AH127" s="130">
        <f t="shared" si="27"/>
        <v>0</v>
      </c>
      <c r="AI127" s="130">
        <f t="shared" si="27"/>
        <v>0</v>
      </c>
      <c r="AJ127" s="47" t="str">
        <f t="shared" si="7"/>
        <v/>
      </c>
      <c r="AK127" s="60"/>
      <c r="AL127" s="60" t="str">
        <f t="shared" si="10"/>
        <v>00</v>
      </c>
      <c r="AM127" s="62" t="str">
        <f t="shared" si="11"/>
        <v>00</v>
      </c>
      <c r="AN127" s="62" t="str">
        <f t="shared" si="12"/>
        <v>00</v>
      </c>
      <c r="AO127" s="62" t="str">
        <f t="shared" si="13"/>
        <v>00</v>
      </c>
      <c r="AQ127" t="str">
        <f t="shared" si="8"/>
        <v/>
      </c>
    </row>
    <row r="128" spans="2:43">
      <c r="B128" s="138"/>
      <c r="C128" s="47">
        <f t="shared" si="9"/>
        <v>57</v>
      </c>
      <c r="D128" s="130">
        <f t="shared" si="27"/>
        <v>0</v>
      </c>
      <c r="E128" s="130">
        <f t="shared" si="27"/>
        <v>0</v>
      </c>
      <c r="F128" s="130">
        <f t="shared" si="27"/>
        <v>0</v>
      </c>
      <c r="G128" s="130">
        <f t="shared" si="27"/>
        <v>0</v>
      </c>
      <c r="H128" s="130">
        <f t="shared" si="27"/>
        <v>0</v>
      </c>
      <c r="I128" s="130">
        <f t="shared" si="27"/>
        <v>0</v>
      </c>
      <c r="J128" s="130">
        <f t="shared" si="27"/>
        <v>0</v>
      </c>
      <c r="K128" s="130">
        <f t="shared" si="27"/>
        <v>0</v>
      </c>
      <c r="L128" s="130">
        <f t="shared" si="27"/>
        <v>0</v>
      </c>
      <c r="M128" s="130">
        <f t="shared" si="27"/>
        <v>0</v>
      </c>
      <c r="N128" s="130">
        <f t="shared" si="27"/>
        <v>0</v>
      </c>
      <c r="O128" s="130">
        <f t="shared" si="27"/>
        <v>0</v>
      </c>
      <c r="P128" s="130">
        <f t="shared" si="27"/>
        <v>0</v>
      </c>
      <c r="Q128" s="130">
        <f t="shared" si="27"/>
        <v>0</v>
      </c>
      <c r="R128" s="130">
        <f t="shared" si="27"/>
        <v>0</v>
      </c>
      <c r="S128" s="130">
        <f t="shared" si="27"/>
        <v>0</v>
      </c>
      <c r="T128" s="130">
        <f t="shared" si="27"/>
        <v>0</v>
      </c>
      <c r="U128" s="130">
        <f t="shared" si="27"/>
        <v>0</v>
      </c>
      <c r="V128" s="130">
        <f t="shared" si="27"/>
        <v>0</v>
      </c>
      <c r="W128" s="130">
        <f t="shared" si="27"/>
        <v>0</v>
      </c>
      <c r="X128" s="130">
        <f t="shared" si="27"/>
        <v>0</v>
      </c>
      <c r="Y128" s="130">
        <f t="shared" si="27"/>
        <v>0</v>
      </c>
      <c r="Z128" s="130">
        <f t="shared" si="27"/>
        <v>0</v>
      </c>
      <c r="AA128" s="130">
        <f t="shared" si="27"/>
        <v>0</v>
      </c>
      <c r="AB128" s="130">
        <f t="shared" si="27"/>
        <v>0</v>
      </c>
      <c r="AC128" s="130">
        <f t="shared" si="27"/>
        <v>0</v>
      </c>
      <c r="AD128" s="130">
        <f t="shared" si="27"/>
        <v>0</v>
      </c>
      <c r="AE128" s="130">
        <f t="shared" si="27"/>
        <v>0</v>
      </c>
      <c r="AF128" s="130">
        <f t="shared" si="27"/>
        <v>0</v>
      </c>
      <c r="AG128" s="130">
        <f t="shared" si="27"/>
        <v>0</v>
      </c>
      <c r="AH128" s="130">
        <f t="shared" si="27"/>
        <v>0</v>
      </c>
      <c r="AI128" s="130">
        <f t="shared" si="27"/>
        <v>0</v>
      </c>
      <c r="AJ128" s="47" t="str">
        <f t="shared" si="7"/>
        <v/>
      </c>
      <c r="AK128" s="60"/>
      <c r="AL128" s="60" t="str">
        <f t="shared" si="10"/>
        <v>00</v>
      </c>
      <c r="AM128" s="62" t="str">
        <f t="shared" si="11"/>
        <v>00</v>
      </c>
      <c r="AN128" s="62" t="str">
        <f t="shared" si="12"/>
        <v>00</v>
      </c>
      <c r="AO128" s="62" t="str">
        <f t="shared" si="13"/>
        <v>00</v>
      </c>
      <c r="AQ128" t="str">
        <f t="shared" si="8"/>
        <v/>
      </c>
    </row>
    <row r="129" spans="1:43">
      <c r="B129" s="138"/>
      <c r="C129" s="47">
        <f t="shared" si="9"/>
        <v>58</v>
      </c>
      <c r="D129" s="130">
        <f t="shared" si="27"/>
        <v>0</v>
      </c>
      <c r="E129" s="130">
        <f t="shared" si="27"/>
        <v>0</v>
      </c>
      <c r="F129" s="130">
        <f t="shared" si="27"/>
        <v>0</v>
      </c>
      <c r="G129" s="130">
        <f t="shared" si="27"/>
        <v>0</v>
      </c>
      <c r="H129" s="130">
        <f t="shared" si="27"/>
        <v>0</v>
      </c>
      <c r="I129" s="130">
        <f t="shared" si="27"/>
        <v>0</v>
      </c>
      <c r="J129" s="130">
        <f t="shared" si="27"/>
        <v>0</v>
      </c>
      <c r="K129" s="130">
        <f t="shared" si="27"/>
        <v>0</v>
      </c>
      <c r="L129" s="130">
        <f t="shared" si="27"/>
        <v>0</v>
      </c>
      <c r="M129" s="130">
        <f t="shared" si="27"/>
        <v>0</v>
      </c>
      <c r="N129" s="130">
        <f t="shared" si="27"/>
        <v>0</v>
      </c>
      <c r="O129" s="130">
        <f t="shared" si="27"/>
        <v>0</v>
      </c>
      <c r="P129" s="130">
        <f t="shared" si="27"/>
        <v>0</v>
      </c>
      <c r="Q129" s="130">
        <f t="shared" si="27"/>
        <v>0</v>
      </c>
      <c r="R129" s="130">
        <f t="shared" si="27"/>
        <v>0</v>
      </c>
      <c r="S129" s="130">
        <f t="shared" si="27"/>
        <v>0</v>
      </c>
      <c r="T129" s="130">
        <f t="shared" si="27"/>
        <v>0</v>
      </c>
      <c r="U129" s="130">
        <f t="shared" si="27"/>
        <v>0</v>
      </c>
      <c r="V129" s="130">
        <f t="shared" si="27"/>
        <v>0</v>
      </c>
      <c r="W129" s="130">
        <f t="shared" si="27"/>
        <v>0</v>
      </c>
      <c r="X129" s="130">
        <f t="shared" si="27"/>
        <v>0</v>
      </c>
      <c r="Y129" s="130">
        <f t="shared" si="27"/>
        <v>0</v>
      </c>
      <c r="Z129" s="130">
        <f t="shared" si="27"/>
        <v>0</v>
      </c>
      <c r="AA129" s="130">
        <f t="shared" si="27"/>
        <v>0</v>
      </c>
      <c r="AB129" s="130">
        <f t="shared" si="27"/>
        <v>0</v>
      </c>
      <c r="AC129" s="130">
        <f t="shared" si="27"/>
        <v>0</v>
      </c>
      <c r="AD129" s="130">
        <f t="shared" si="27"/>
        <v>0</v>
      </c>
      <c r="AE129" s="130">
        <f t="shared" si="27"/>
        <v>0</v>
      </c>
      <c r="AF129" s="130">
        <f t="shared" si="27"/>
        <v>0</v>
      </c>
      <c r="AG129" s="130">
        <f t="shared" si="27"/>
        <v>0</v>
      </c>
      <c r="AH129" s="130">
        <f t="shared" si="27"/>
        <v>0</v>
      </c>
      <c r="AI129" s="130">
        <f t="shared" si="27"/>
        <v>0</v>
      </c>
      <c r="AJ129" s="47" t="str">
        <f t="shared" si="7"/>
        <v/>
      </c>
      <c r="AK129" s="60"/>
      <c r="AL129" s="60" t="str">
        <f t="shared" si="10"/>
        <v>00</v>
      </c>
      <c r="AM129" s="62" t="str">
        <f t="shared" si="11"/>
        <v>00</v>
      </c>
      <c r="AN129" s="62" t="str">
        <f t="shared" si="12"/>
        <v>00</v>
      </c>
      <c r="AO129" s="62" t="str">
        <f t="shared" si="13"/>
        <v>00</v>
      </c>
      <c r="AQ129" t="str">
        <f t="shared" si="8"/>
        <v/>
      </c>
    </row>
    <row r="130" spans="1:43">
      <c r="B130" s="138"/>
      <c r="C130" s="47">
        <f t="shared" si="9"/>
        <v>59</v>
      </c>
      <c r="D130" s="130">
        <f t="shared" si="27"/>
        <v>0</v>
      </c>
      <c r="E130" s="130">
        <f t="shared" si="27"/>
        <v>0</v>
      </c>
      <c r="F130" s="130">
        <f t="shared" si="27"/>
        <v>0</v>
      </c>
      <c r="G130" s="130">
        <f t="shared" si="27"/>
        <v>0</v>
      </c>
      <c r="H130" s="130">
        <f t="shared" si="27"/>
        <v>0</v>
      </c>
      <c r="I130" s="130">
        <f t="shared" si="27"/>
        <v>0</v>
      </c>
      <c r="J130" s="130">
        <f t="shared" si="27"/>
        <v>0</v>
      </c>
      <c r="K130" s="130">
        <f t="shared" si="27"/>
        <v>0</v>
      </c>
      <c r="L130" s="130">
        <f t="shared" si="27"/>
        <v>0</v>
      </c>
      <c r="M130" s="130">
        <f t="shared" si="27"/>
        <v>0</v>
      </c>
      <c r="N130" s="130">
        <f t="shared" si="27"/>
        <v>0</v>
      </c>
      <c r="O130" s="130">
        <f t="shared" si="27"/>
        <v>0</v>
      </c>
      <c r="P130" s="130">
        <f t="shared" si="27"/>
        <v>0</v>
      </c>
      <c r="Q130" s="130">
        <f t="shared" si="27"/>
        <v>0</v>
      </c>
      <c r="R130" s="130">
        <f t="shared" si="27"/>
        <v>0</v>
      </c>
      <c r="S130" s="130">
        <f t="shared" si="27"/>
        <v>0</v>
      </c>
      <c r="T130" s="130">
        <f t="shared" si="27"/>
        <v>0</v>
      </c>
      <c r="U130" s="130">
        <f t="shared" si="27"/>
        <v>0</v>
      </c>
      <c r="V130" s="130">
        <f t="shared" si="27"/>
        <v>0</v>
      </c>
      <c r="W130" s="130">
        <f t="shared" si="27"/>
        <v>0</v>
      </c>
      <c r="X130" s="130">
        <f t="shared" si="27"/>
        <v>0</v>
      </c>
      <c r="Y130" s="130">
        <f t="shared" si="27"/>
        <v>0</v>
      </c>
      <c r="Z130" s="130">
        <f t="shared" si="27"/>
        <v>0</v>
      </c>
      <c r="AA130" s="130">
        <f t="shared" si="27"/>
        <v>0</v>
      </c>
      <c r="AB130" s="130">
        <f t="shared" si="27"/>
        <v>0</v>
      </c>
      <c r="AC130" s="130">
        <f t="shared" si="27"/>
        <v>0</v>
      </c>
      <c r="AD130" s="130">
        <f t="shared" si="27"/>
        <v>0</v>
      </c>
      <c r="AE130" s="130">
        <f t="shared" si="27"/>
        <v>0</v>
      </c>
      <c r="AF130" s="130">
        <f t="shared" si="27"/>
        <v>0</v>
      </c>
      <c r="AG130" s="130">
        <f t="shared" si="27"/>
        <v>0</v>
      </c>
      <c r="AH130" s="130">
        <f t="shared" si="27"/>
        <v>0</v>
      </c>
      <c r="AI130" s="130">
        <f t="shared" si="27"/>
        <v>0</v>
      </c>
      <c r="AJ130" s="47" t="str">
        <f t="shared" si="7"/>
        <v/>
      </c>
      <c r="AK130" s="60"/>
      <c r="AL130" s="60" t="str">
        <f t="shared" si="10"/>
        <v>00</v>
      </c>
      <c r="AM130" s="62" t="str">
        <f t="shared" si="11"/>
        <v>00</v>
      </c>
      <c r="AN130" s="62" t="str">
        <f t="shared" si="12"/>
        <v>00</v>
      </c>
      <c r="AO130" s="62" t="str">
        <f t="shared" si="13"/>
        <v>00</v>
      </c>
      <c r="AQ130" t="str">
        <f t="shared" si="8"/>
        <v/>
      </c>
    </row>
    <row r="131" spans="1:43">
      <c r="B131" s="138"/>
      <c r="C131" s="47">
        <f t="shared" si="9"/>
        <v>60</v>
      </c>
      <c r="D131" s="130">
        <f t="shared" si="27"/>
        <v>0</v>
      </c>
      <c r="E131" s="130">
        <f t="shared" si="27"/>
        <v>0</v>
      </c>
      <c r="F131" s="130">
        <f t="shared" si="27"/>
        <v>0</v>
      </c>
      <c r="G131" s="130">
        <f t="shared" si="27"/>
        <v>0</v>
      </c>
      <c r="H131" s="130">
        <f t="shared" si="27"/>
        <v>0</v>
      </c>
      <c r="I131" s="130">
        <f t="shared" si="27"/>
        <v>0</v>
      </c>
      <c r="J131" s="130">
        <f t="shared" si="27"/>
        <v>0</v>
      </c>
      <c r="K131" s="130">
        <f t="shared" si="27"/>
        <v>0</v>
      </c>
      <c r="L131" s="130">
        <f t="shared" si="27"/>
        <v>0</v>
      </c>
      <c r="M131" s="130">
        <f t="shared" si="27"/>
        <v>0</v>
      </c>
      <c r="N131" s="130">
        <f t="shared" si="27"/>
        <v>0</v>
      </c>
      <c r="O131" s="130">
        <f t="shared" si="27"/>
        <v>0</v>
      </c>
      <c r="P131" s="130">
        <f t="shared" si="27"/>
        <v>0</v>
      </c>
      <c r="Q131" s="130">
        <f t="shared" si="27"/>
        <v>0</v>
      </c>
      <c r="R131" s="130">
        <f t="shared" si="27"/>
        <v>0</v>
      </c>
      <c r="S131" s="130">
        <f t="shared" si="27"/>
        <v>0</v>
      </c>
      <c r="T131" s="130">
        <f t="shared" si="27"/>
        <v>0</v>
      </c>
      <c r="U131" s="130">
        <f t="shared" si="27"/>
        <v>0</v>
      </c>
      <c r="V131" s="130">
        <f t="shared" si="27"/>
        <v>0</v>
      </c>
      <c r="W131" s="130">
        <f t="shared" si="27"/>
        <v>0</v>
      </c>
      <c r="X131" s="130">
        <f t="shared" si="27"/>
        <v>0</v>
      </c>
      <c r="Y131" s="130">
        <f t="shared" si="27"/>
        <v>0</v>
      </c>
      <c r="Z131" s="130">
        <f t="shared" si="27"/>
        <v>0</v>
      </c>
      <c r="AA131" s="130">
        <f t="shared" si="27"/>
        <v>0</v>
      </c>
      <c r="AB131" s="130">
        <f t="shared" si="27"/>
        <v>0</v>
      </c>
      <c r="AC131" s="130">
        <f t="shared" si="27"/>
        <v>0</v>
      </c>
      <c r="AD131" s="130">
        <f t="shared" si="27"/>
        <v>0</v>
      </c>
      <c r="AE131" s="130">
        <f t="shared" si="27"/>
        <v>0</v>
      </c>
      <c r="AF131" s="130">
        <f t="shared" si="27"/>
        <v>0</v>
      </c>
      <c r="AG131" s="130">
        <f t="shared" si="27"/>
        <v>0</v>
      </c>
      <c r="AH131" s="130">
        <f t="shared" si="27"/>
        <v>0</v>
      </c>
      <c r="AI131" s="130">
        <f t="shared" si="27"/>
        <v>0</v>
      </c>
      <c r="AJ131" s="47" t="str">
        <f t="shared" si="7"/>
        <v/>
      </c>
      <c r="AK131" s="60"/>
      <c r="AL131" s="60" t="str">
        <f t="shared" si="10"/>
        <v>00</v>
      </c>
      <c r="AM131" s="62" t="str">
        <f t="shared" si="11"/>
        <v>00</v>
      </c>
      <c r="AN131" s="62" t="str">
        <f t="shared" si="12"/>
        <v>00</v>
      </c>
      <c r="AO131" s="62" t="str">
        <f t="shared" si="13"/>
        <v>00</v>
      </c>
      <c r="AQ131" t="str">
        <f t="shared" si="8"/>
        <v/>
      </c>
    </row>
    <row r="132" spans="1:43">
      <c r="B132" s="138"/>
      <c r="C132" s="47">
        <f t="shared" si="9"/>
        <v>61</v>
      </c>
      <c r="D132" s="130">
        <f t="shared" si="27"/>
        <v>0</v>
      </c>
      <c r="E132" s="130">
        <f t="shared" si="27"/>
        <v>0</v>
      </c>
      <c r="F132" s="130">
        <f t="shared" si="27"/>
        <v>0</v>
      </c>
      <c r="G132" s="130">
        <f t="shared" si="27"/>
        <v>0</v>
      </c>
      <c r="H132" s="130">
        <f t="shared" si="27"/>
        <v>0</v>
      </c>
      <c r="I132" s="130">
        <f t="shared" si="27"/>
        <v>0</v>
      </c>
      <c r="J132" s="130">
        <f t="shared" si="27"/>
        <v>0</v>
      </c>
      <c r="K132" s="130">
        <f t="shared" si="27"/>
        <v>0</v>
      </c>
      <c r="L132" s="130">
        <f t="shared" si="27"/>
        <v>0</v>
      </c>
      <c r="M132" s="130">
        <f t="shared" si="27"/>
        <v>0</v>
      </c>
      <c r="N132" s="130">
        <f t="shared" si="27"/>
        <v>0</v>
      </c>
      <c r="O132" s="130">
        <f t="shared" si="27"/>
        <v>0</v>
      </c>
      <c r="P132" s="130">
        <f t="shared" si="27"/>
        <v>0</v>
      </c>
      <c r="Q132" s="130">
        <f t="shared" si="27"/>
        <v>0</v>
      </c>
      <c r="R132" s="130">
        <f t="shared" si="27"/>
        <v>0</v>
      </c>
      <c r="S132" s="130">
        <f t="shared" si="27"/>
        <v>0</v>
      </c>
      <c r="T132" s="130">
        <f t="shared" si="27"/>
        <v>0</v>
      </c>
      <c r="U132" s="130">
        <f t="shared" si="27"/>
        <v>0</v>
      </c>
      <c r="V132" s="130">
        <f t="shared" si="27"/>
        <v>0</v>
      </c>
      <c r="W132" s="130">
        <f t="shared" si="27"/>
        <v>0</v>
      </c>
      <c r="X132" s="130">
        <f t="shared" si="27"/>
        <v>0</v>
      </c>
      <c r="Y132" s="130">
        <f t="shared" si="27"/>
        <v>0</v>
      </c>
      <c r="Z132" s="130">
        <f t="shared" si="27"/>
        <v>0</v>
      </c>
      <c r="AA132" s="130">
        <f t="shared" si="27"/>
        <v>0</v>
      </c>
      <c r="AB132" s="130">
        <f t="shared" si="27"/>
        <v>0</v>
      </c>
      <c r="AC132" s="130">
        <f t="shared" si="27"/>
        <v>0</v>
      </c>
      <c r="AD132" s="130">
        <f t="shared" si="27"/>
        <v>0</v>
      </c>
      <c r="AE132" s="130">
        <f t="shared" si="27"/>
        <v>0</v>
      </c>
      <c r="AF132" s="130">
        <f t="shared" si="27"/>
        <v>0</v>
      </c>
      <c r="AG132" s="130">
        <f t="shared" si="27"/>
        <v>0</v>
      </c>
      <c r="AH132" s="130">
        <f t="shared" si="27"/>
        <v>0</v>
      </c>
      <c r="AI132" s="130">
        <f t="shared" si="27"/>
        <v>0</v>
      </c>
      <c r="AJ132" s="47" t="str">
        <f t="shared" si="7"/>
        <v/>
      </c>
      <c r="AK132" s="60"/>
      <c r="AL132" s="60" t="str">
        <f t="shared" si="10"/>
        <v>00</v>
      </c>
      <c r="AM132" s="62" t="str">
        <f t="shared" si="11"/>
        <v>00</v>
      </c>
      <c r="AN132" s="62" t="str">
        <f t="shared" si="12"/>
        <v>00</v>
      </c>
      <c r="AO132" s="62" t="str">
        <f t="shared" si="13"/>
        <v>00</v>
      </c>
      <c r="AQ132" t="str">
        <f t="shared" si="8"/>
        <v/>
      </c>
    </row>
    <row r="133" spans="1:43">
      <c r="B133" s="138"/>
      <c r="C133" s="47">
        <f t="shared" si="9"/>
        <v>62</v>
      </c>
      <c r="D133" s="130">
        <f t="shared" si="27"/>
        <v>0</v>
      </c>
      <c r="E133" s="130">
        <f t="shared" si="27"/>
        <v>0</v>
      </c>
      <c r="F133" s="130">
        <f t="shared" si="27"/>
        <v>0</v>
      </c>
      <c r="G133" s="130">
        <f t="shared" si="27"/>
        <v>0</v>
      </c>
      <c r="H133" s="130">
        <f t="shared" si="27"/>
        <v>0</v>
      </c>
      <c r="I133" s="130">
        <f t="shared" si="27"/>
        <v>0</v>
      </c>
      <c r="J133" s="130">
        <f t="shared" si="27"/>
        <v>0</v>
      </c>
      <c r="K133" s="130">
        <f t="shared" si="27"/>
        <v>0</v>
      </c>
      <c r="L133" s="130">
        <f t="shared" si="27"/>
        <v>0</v>
      </c>
      <c r="M133" s="130">
        <f t="shared" si="27"/>
        <v>0</v>
      </c>
      <c r="N133" s="130">
        <f t="shared" si="27"/>
        <v>0</v>
      </c>
      <c r="O133" s="130">
        <f t="shared" si="27"/>
        <v>0</v>
      </c>
      <c r="P133" s="130">
        <f t="shared" si="27"/>
        <v>0</v>
      </c>
      <c r="Q133" s="130">
        <f t="shared" si="27"/>
        <v>0</v>
      </c>
      <c r="R133" s="130">
        <f t="shared" si="27"/>
        <v>0</v>
      </c>
      <c r="S133" s="130">
        <f t="shared" si="27"/>
        <v>0</v>
      </c>
      <c r="T133" s="130">
        <f t="shared" si="27"/>
        <v>0</v>
      </c>
      <c r="U133" s="130">
        <f t="shared" si="27"/>
        <v>0</v>
      </c>
      <c r="V133" s="130">
        <f t="shared" si="27"/>
        <v>0</v>
      </c>
      <c r="W133" s="130">
        <f t="shared" si="27"/>
        <v>0</v>
      </c>
      <c r="X133" s="130">
        <f t="shared" si="27"/>
        <v>0</v>
      </c>
      <c r="Y133" s="130">
        <f t="shared" si="27"/>
        <v>0</v>
      </c>
      <c r="Z133" s="130">
        <f t="shared" si="27"/>
        <v>0</v>
      </c>
      <c r="AA133" s="130">
        <f t="shared" si="27"/>
        <v>0</v>
      </c>
      <c r="AB133" s="130">
        <f t="shared" si="27"/>
        <v>0</v>
      </c>
      <c r="AC133" s="130">
        <f t="shared" si="27"/>
        <v>0</v>
      </c>
      <c r="AD133" s="130">
        <f t="shared" si="27"/>
        <v>0</v>
      </c>
      <c r="AE133" s="130">
        <f t="shared" si="27"/>
        <v>0</v>
      </c>
      <c r="AF133" s="130">
        <f t="shared" si="27"/>
        <v>0</v>
      </c>
      <c r="AG133" s="130">
        <f t="shared" si="27"/>
        <v>0</v>
      </c>
      <c r="AH133" s="130">
        <f t="shared" si="27"/>
        <v>0</v>
      </c>
      <c r="AI133" s="130">
        <f t="shared" si="27"/>
        <v>0</v>
      </c>
      <c r="AJ133" s="47" t="str">
        <f t="shared" si="7"/>
        <v/>
      </c>
      <c r="AK133" s="60"/>
      <c r="AL133" s="60" t="str">
        <f t="shared" si="10"/>
        <v>00</v>
      </c>
      <c r="AM133" s="62" t="str">
        <f t="shared" si="11"/>
        <v>00</v>
      </c>
      <c r="AN133" s="62" t="str">
        <f t="shared" si="12"/>
        <v>00</v>
      </c>
      <c r="AO133" s="62" t="str">
        <f t="shared" si="13"/>
        <v>00</v>
      </c>
      <c r="AQ133" t="str">
        <f t="shared" si="8"/>
        <v/>
      </c>
    </row>
    <row r="134" spans="1:43">
      <c r="B134" s="139"/>
      <c r="C134" s="47">
        <f t="shared" si="9"/>
        <v>63</v>
      </c>
      <c r="D134" s="130">
        <f t="shared" si="27"/>
        <v>0</v>
      </c>
      <c r="E134" s="130">
        <f t="shared" si="27"/>
        <v>0</v>
      </c>
      <c r="F134" s="130">
        <f t="shared" si="27"/>
        <v>0</v>
      </c>
      <c r="G134" s="130">
        <f t="shared" si="27"/>
        <v>0</v>
      </c>
      <c r="H134" s="130">
        <f t="shared" si="27"/>
        <v>0</v>
      </c>
      <c r="I134" s="130">
        <f t="shared" si="27"/>
        <v>0</v>
      </c>
      <c r="J134" s="130">
        <f t="shared" si="27"/>
        <v>0</v>
      </c>
      <c r="K134" s="130">
        <f t="shared" si="27"/>
        <v>0</v>
      </c>
      <c r="L134" s="130">
        <f t="shared" si="27"/>
        <v>0</v>
      </c>
      <c r="M134" s="130">
        <f t="shared" si="27"/>
        <v>0</v>
      </c>
      <c r="N134" s="130">
        <f t="shared" si="27"/>
        <v>0</v>
      </c>
      <c r="O134" s="130">
        <f t="shared" si="27"/>
        <v>0</v>
      </c>
      <c r="P134" s="130">
        <f t="shared" si="27"/>
        <v>0</v>
      </c>
      <c r="Q134" s="130">
        <f t="shared" si="27"/>
        <v>0</v>
      </c>
      <c r="R134" s="130">
        <f t="shared" si="27"/>
        <v>0</v>
      </c>
      <c r="S134" s="130">
        <f t="shared" si="27"/>
        <v>0</v>
      </c>
      <c r="T134" s="130">
        <f t="shared" si="27"/>
        <v>0</v>
      </c>
      <c r="U134" s="130">
        <f t="shared" si="27"/>
        <v>0</v>
      </c>
      <c r="V134" s="130">
        <f t="shared" si="27"/>
        <v>0</v>
      </c>
      <c r="W134" s="130">
        <f t="shared" si="27"/>
        <v>0</v>
      </c>
      <c r="X134" s="130">
        <f t="shared" si="27"/>
        <v>0</v>
      </c>
      <c r="Y134" s="130">
        <f t="shared" si="27"/>
        <v>0</v>
      </c>
      <c r="Z134" s="130">
        <f t="shared" si="27"/>
        <v>0</v>
      </c>
      <c r="AA134" s="130">
        <f t="shared" si="27"/>
        <v>0</v>
      </c>
      <c r="AB134" s="130">
        <f t="shared" si="27"/>
        <v>0</v>
      </c>
      <c r="AC134" s="130">
        <f t="shared" si="27"/>
        <v>0</v>
      </c>
      <c r="AD134" s="130">
        <f t="shared" si="27"/>
        <v>0</v>
      </c>
      <c r="AE134" s="130">
        <f t="shared" si="27"/>
        <v>0</v>
      </c>
      <c r="AF134" s="130">
        <f t="shared" si="27"/>
        <v>0</v>
      </c>
      <c r="AG134" s="130">
        <f t="shared" si="27"/>
        <v>0</v>
      </c>
      <c r="AH134" s="130">
        <f t="shared" si="27"/>
        <v>0</v>
      </c>
      <c r="AI134" s="130">
        <f t="shared" ref="AI134" si="28">IF(AI69=1,1,0)</f>
        <v>0</v>
      </c>
      <c r="AJ134" s="47" t="str">
        <f t="shared" si="7"/>
        <v/>
      </c>
      <c r="AK134" s="60"/>
      <c r="AL134" s="60" t="str">
        <f t="shared" si="10"/>
        <v>00</v>
      </c>
      <c r="AM134" s="62" t="str">
        <f t="shared" si="11"/>
        <v>00</v>
      </c>
      <c r="AN134" s="62" t="str">
        <f t="shared" si="12"/>
        <v>00</v>
      </c>
      <c r="AO134" s="62" t="str">
        <f t="shared" si="13"/>
        <v>00</v>
      </c>
      <c r="AQ134" t="str">
        <f t="shared" si="8"/>
        <v/>
      </c>
    </row>
    <row r="135" spans="1:43">
      <c r="A135" s="56" t="s">
        <v>64</v>
      </c>
      <c r="B135" s="57"/>
      <c r="C135" s="57"/>
      <c r="D135" s="59"/>
      <c r="E135" s="59"/>
      <c r="F135" s="59"/>
      <c r="G135" s="59"/>
      <c r="H135" s="59"/>
      <c r="I135" s="59"/>
      <c r="J135" s="59"/>
      <c r="K135" s="59"/>
      <c r="L135" s="59"/>
      <c r="M135" s="59"/>
      <c r="N135" s="59"/>
      <c r="O135" s="59"/>
      <c r="P135" s="59"/>
      <c r="Q135" s="59"/>
      <c r="R135" s="59"/>
      <c r="S135" s="59"/>
      <c r="T135" s="59"/>
      <c r="U135" s="59"/>
      <c r="V135" s="59"/>
      <c r="W135" s="59"/>
      <c r="X135" s="59"/>
      <c r="Y135" s="59"/>
      <c r="Z135" s="59"/>
      <c r="AA135" s="59"/>
      <c r="AB135" s="59"/>
      <c r="AC135" s="59"/>
      <c r="AD135" s="59"/>
      <c r="AE135" s="59"/>
      <c r="AF135" s="59"/>
      <c r="AG135" s="59"/>
      <c r="AH135" s="59"/>
      <c r="AI135" s="59"/>
      <c r="AJ135" s="57"/>
    </row>
    <row r="136" spans="1:43">
      <c r="B136" s="140" t="str">
        <f ca="1">IF(B6&lt;&gt;"",B6,"")</f>
        <v>Table PD</v>
      </c>
      <c r="C136" s="47">
        <f>IF(C6&lt;&gt;"",C6,"")</f>
        <v>0</v>
      </c>
      <c r="D136" s="130">
        <f t="shared" ref="D136:AI143" si="29">IF(OR(D6=0,D6=1),1,0)</f>
        <v>0</v>
      </c>
      <c r="E136" s="130">
        <f t="shared" si="29"/>
        <v>0</v>
      </c>
      <c r="F136" s="130">
        <f t="shared" si="29"/>
        <v>0</v>
      </c>
      <c r="G136" s="130">
        <f t="shared" si="29"/>
        <v>0</v>
      </c>
      <c r="H136" s="130">
        <f t="shared" si="29"/>
        <v>0</v>
      </c>
      <c r="I136" s="130">
        <f t="shared" si="29"/>
        <v>0</v>
      </c>
      <c r="J136" s="130">
        <f t="shared" si="29"/>
        <v>0</v>
      </c>
      <c r="K136" s="130">
        <f t="shared" si="29"/>
        <v>0</v>
      </c>
      <c r="L136" s="130">
        <f t="shared" si="29"/>
        <v>0</v>
      </c>
      <c r="M136" s="130">
        <f t="shared" si="29"/>
        <v>0</v>
      </c>
      <c r="N136" s="130">
        <f t="shared" si="29"/>
        <v>0</v>
      </c>
      <c r="O136" s="130">
        <f t="shared" si="29"/>
        <v>0</v>
      </c>
      <c r="P136" s="130">
        <f t="shared" si="29"/>
        <v>0</v>
      </c>
      <c r="Q136" s="130">
        <f t="shared" si="29"/>
        <v>0</v>
      </c>
      <c r="R136" s="130">
        <f t="shared" si="29"/>
        <v>0</v>
      </c>
      <c r="S136" s="130">
        <f t="shared" si="29"/>
        <v>0</v>
      </c>
      <c r="T136" s="130">
        <f t="shared" si="29"/>
        <v>0</v>
      </c>
      <c r="U136" s="130">
        <f t="shared" si="29"/>
        <v>0</v>
      </c>
      <c r="V136" s="130">
        <f t="shared" si="29"/>
        <v>0</v>
      </c>
      <c r="W136" s="130">
        <f t="shared" si="29"/>
        <v>0</v>
      </c>
      <c r="X136" s="130">
        <f t="shared" si="29"/>
        <v>0</v>
      </c>
      <c r="Y136" s="130">
        <f t="shared" si="29"/>
        <v>0</v>
      </c>
      <c r="Z136" s="130">
        <f t="shared" si="29"/>
        <v>0</v>
      </c>
      <c r="AA136" s="130">
        <f t="shared" si="29"/>
        <v>0</v>
      </c>
      <c r="AB136" s="130">
        <f t="shared" si="29"/>
        <v>0</v>
      </c>
      <c r="AC136" s="130">
        <f t="shared" si="29"/>
        <v>0</v>
      </c>
      <c r="AD136" s="130">
        <f t="shared" si="29"/>
        <v>0</v>
      </c>
      <c r="AE136" s="130">
        <f t="shared" si="29"/>
        <v>0</v>
      </c>
      <c r="AF136" s="130">
        <f t="shared" si="29"/>
        <v>0</v>
      </c>
      <c r="AG136" s="130">
        <f t="shared" si="29"/>
        <v>0</v>
      </c>
      <c r="AH136" s="130">
        <f t="shared" si="29"/>
        <v>1</v>
      </c>
      <c r="AI136" s="130">
        <f t="shared" si="29"/>
        <v>1</v>
      </c>
      <c r="AJ136" s="47" t="str">
        <f t="shared" ref="AJ136:AJ199" si="30">IF(AJ6&lt;&gt;"",AJ6,"")</f>
        <v>UNKNOWN</v>
      </c>
      <c r="AK136" s="60"/>
      <c r="AL136" s="60" t="str">
        <f>BIN2HEX(AB136&amp;AC136&amp;AD136&amp;AE136&amp;AF136&amp;AG136&amp;AH136&amp;AI136,2)</f>
        <v>03</v>
      </c>
      <c r="AM136" s="62" t="str">
        <f>BIN2HEX(T136&amp;U136&amp;V136&amp;W136&amp;X136&amp;Y136&amp;Z136&amp;AA136,2)</f>
        <v>00</v>
      </c>
      <c r="AN136" s="62" t="str">
        <f>BIN2HEX(L136&amp;M136&amp;N136&amp;O136&amp;P136&amp;Q136&amp;R136&amp;S136,2)</f>
        <v>00</v>
      </c>
      <c r="AO136" s="62" t="str">
        <f>BIN2HEX(D136&amp;E136&amp;F136&amp;G136&amp;H136&amp;I136&amp;J136&amp;K136,2)</f>
        <v>00</v>
      </c>
      <c r="AQ136" t="str">
        <f t="shared" ref="AQ136:AQ199" si="31">IF(AJ136="","","    (U4)0x"&amp;AO136&amp;AN136&amp;AM136&amp;AL136&amp;"U"&amp;IF(AJ137=""," ",",")&amp;REPT(" ",59)&amp;"/* "&amp;IF(C136&lt;10,"0"&amp;C136,C136)&amp;" "&amp;AJ136&amp;REPT(" ",47-LEN(AJ136))&amp;" */")</f>
        <v xml:space="preserve">    (U4)0x00000003U,                                                           /* 00 UNKNOWN                                         */</v>
      </c>
    </row>
    <row r="137" spans="1:43">
      <c r="B137" s="138"/>
      <c r="C137" s="47">
        <f t="shared" ref="C137:C199" si="32">IF(C7&lt;&gt;"",C7,"")</f>
        <v>1</v>
      </c>
      <c r="D137" s="130">
        <f t="shared" si="29"/>
        <v>0</v>
      </c>
      <c r="E137" s="130">
        <f t="shared" si="29"/>
        <v>0</v>
      </c>
      <c r="F137" s="130">
        <f t="shared" si="29"/>
        <v>0</v>
      </c>
      <c r="G137" s="130">
        <f t="shared" si="29"/>
        <v>0</v>
      </c>
      <c r="H137" s="130">
        <f t="shared" si="29"/>
        <v>0</v>
      </c>
      <c r="I137" s="130">
        <f t="shared" si="29"/>
        <v>0</v>
      </c>
      <c r="J137" s="130">
        <f t="shared" si="29"/>
        <v>0</v>
      </c>
      <c r="K137" s="130">
        <f t="shared" si="29"/>
        <v>0</v>
      </c>
      <c r="L137" s="130">
        <f t="shared" si="29"/>
        <v>0</v>
      </c>
      <c r="M137" s="130">
        <f t="shared" si="29"/>
        <v>0</v>
      </c>
      <c r="N137" s="130">
        <f t="shared" si="29"/>
        <v>0</v>
      </c>
      <c r="O137" s="130">
        <f t="shared" si="29"/>
        <v>0</v>
      </c>
      <c r="P137" s="130">
        <f t="shared" si="29"/>
        <v>0</v>
      </c>
      <c r="Q137" s="130">
        <f t="shared" si="29"/>
        <v>0</v>
      </c>
      <c r="R137" s="130">
        <f t="shared" si="29"/>
        <v>0</v>
      </c>
      <c r="S137" s="130">
        <f t="shared" si="29"/>
        <v>0</v>
      </c>
      <c r="T137" s="130">
        <f t="shared" si="29"/>
        <v>0</v>
      </c>
      <c r="U137" s="130">
        <f t="shared" si="29"/>
        <v>0</v>
      </c>
      <c r="V137" s="130">
        <f t="shared" si="29"/>
        <v>0</v>
      </c>
      <c r="W137" s="130">
        <f t="shared" si="29"/>
        <v>0</v>
      </c>
      <c r="X137" s="130">
        <f t="shared" si="29"/>
        <v>0</v>
      </c>
      <c r="Y137" s="130">
        <f t="shared" si="29"/>
        <v>0</v>
      </c>
      <c r="Z137" s="130">
        <f t="shared" si="29"/>
        <v>0</v>
      </c>
      <c r="AA137" s="130">
        <f t="shared" si="29"/>
        <v>0</v>
      </c>
      <c r="AB137" s="130">
        <f t="shared" si="29"/>
        <v>0</v>
      </c>
      <c r="AC137" s="130">
        <f t="shared" si="29"/>
        <v>0</v>
      </c>
      <c r="AD137" s="130">
        <f t="shared" si="29"/>
        <v>0</v>
      </c>
      <c r="AE137" s="130">
        <f t="shared" si="29"/>
        <v>0</v>
      </c>
      <c r="AF137" s="130">
        <f t="shared" si="29"/>
        <v>0</v>
      </c>
      <c r="AG137" s="130">
        <f t="shared" si="29"/>
        <v>0</v>
      </c>
      <c r="AH137" s="130">
        <f t="shared" si="29"/>
        <v>1</v>
      </c>
      <c r="AI137" s="130">
        <f t="shared" si="29"/>
        <v>1</v>
      </c>
      <c r="AJ137" s="47" t="str">
        <f t="shared" si="30"/>
        <v>ATFREPL</v>
      </c>
      <c r="AK137" s="60"/>
      <c r="AL137" s="60" t="str">
        <f t="shared" ref="AL137:AL199" si="33">BIN2HEX(AB137&amp;AC137&amp;AD137&amp;AE137&amp;AF137&amp;AG137&amp;AH137&amp;AI137,2)</f>
        <v>03</v>
      </c>
      <c r="AM137" s="62" t="str">
        <f t="shared" ref="AM137:AM199" si="34">BIN2HEX(T137&amp;U137&amp;V137&amp;W137&amp;X137&amp;Y137&amp;Z137&amp;AA137,2)</f>
        <v>00</v>
      </c>
      <c r="AN137" s="62" t="str">
        <f t="shared" ref="AN137:AN199" si="35">BIN2HEX(L137&amp;M137&amp;N137&amp;O137&amp;P137&amp;Q137&amp;R137&amp;S137,2)</f>
        <v>00</v>
      </c>
      <c r="AO137" s="62" t="str">
        <f t="shared" ref="AO137:AO199" si="36">BIN2HEX(D137&amp;E137&amp;F137&amp;G137&amp;H137&amp;I137&amp;J137&amp;K137,2)</f>
        <v>00</v>
      </c>
      <c r="AQ137" t="str">
        <f t="shared" si="31"/>
        <v xml:space="preserve">    (U4)0x00000003U,                                                           /* 01 ATFREPL                                         */</v>
      </c>
    </row>
    <row r="138" spans="1:43">
      <c r="B138" s="138"/>
      <c r="C138" s="47">
        <f t="shared" si="32"/>
        <v>2</v>
      </c>
      <c r="D138" s="130">
        <f t="shared" si="29"/>
        <v>0</v>
      </c>
      <c r="E138" s="130">
        <f t="shared" si="29"/>
        <v>0</v>
      </c>
      <c r="F138" s="130">
        <f t="shared" si="29"/>
        <v>0</v>
      </c>
      <c r="G138" s="130">
        <f t="shared" si="29"/>
        <v>0</v>
      </c>
      <c r="H138" s="130">
        <f t="shared" si="29"/>
        <v>0</v>
      </c>
      <c r="I138" s="130">
        <f t="shared" si="29"/>
        <v>0</v>
      </c>
      <c r="J138" s="130">
        <f t="shared" si="29"/>
        <v>0</v>
      </c>
      <c r="K138" s="130">
        <f t="shared" si="29"/>
        <v>0</v>
      </c>
      <c r="L138" s="130">
        <f t="shared" si="29"/>
        <v>0</v>
      </c>
      <c r="M138" s="130">
        <f t="shared" si="29"/>
        <v>0</v>
      </c>
      <c r="N138" s="130">
        <f t="shared" si="29"/>
        <v>0</v>
      </c>
      <c r="O138" s="130">
        <f t="shared" si="29"/>
        <v>0</v>
      </c>
      <c r="P138" s="130">
        <f t="shared" si="29"/>
        <v>0</v>
      </c>
      <c r="Q138" s="130">
        <f t="shared" si="29"/>
        <v>0</v>
      </c>
      <c r="R138" s="130">
        <f t="shared" si="29"/>
        <v>0</v>
      </c>
      <c r="S138" s="130">
        <f t="shared" si="29"/>
        <v>0</v>
      </c>
      <c r="T138" s="130">
        <f t="shared" si="29"/>
        <v>0</v>
      </c>
      <c r="U138" s="130">
        <f t="shared" si="29"/>
        <v>0</v>
      </c>
      <c r="V138" s="130">
        <f t="shared" si="29"/>
        <v>0</v>
      </c>
      <c r="W138" s="130">
        <f t="shared" si="29"/>
        <v>0</v>
      </c>
      <c r="X138" s="130">
        <f t="shared" si="29"/>
        <v>0</v>
      </c>
      <c r="Y138" s="130">
        <f t="shared" si="29"/>
        <v>0</v>
      </c>
      <c r="Z138" s="130">
        <f t="shared" si="29"/>
        <v>0</v>
      </c>
      <c r="AA138" s="130">
        <f t="shared" si="29"/>
        <v>0</v>
      </c>
      <c r="AB138" s="130">
        <f t="shared" si="29"/>
        <v>0</v>
      </c>
      <c r="AC138" s="130">
        <f t="shared" si="29"/>
        <v>0</v>
      </c>
      <c r="AD138" s="130">
        <f t="shared" si="29"/>
        <v>0</v>
      </c>
      <c r="AE138" s="130">
        <f t="shared" si="29"/>
        <v>0</v>
      </c>
      <c r="AF138" s="130">
        <f t="shared" si="29"/>
        <v>0</v>
      </c>
      <c r="AG138" s="130">
        <f t="shared" si="29"/>
        <v>0</v>
      </c>
      <c r="AH138" s="130">
        <f t="shared" si="29"/>
        <v>1</v>
      </c>
      <c r="AI138" s="130">
        <f t="shared" si="29"/>
        <v>1</v>
      </c>
      <c r="AJ138" s="47" t="str">
        <f t="shared" si="30"/>
        <v>UNKNOWN</v>
      </c>
      <c r="AK138" s="60"/>
      <c r="AL138" s="60" t="str">
        <f t="shared" si="33"/>
        <v>03</v>
      </c>
      <c r="AM138" s="62" t="str">
        <f t="shared" si="34"/>
        <v>00</v>
      </c>
      <c r="AN138" s="62" t="str">
        <f t="shared" si="35"/>
        <v>00</v>
      </c>
      <c r="AO138" s="62" t="str">
        <f t="shared" si="36"/>
        <v>00</v>
      </c>
      <c r="AQ138" t="str">
        <f t="shared" si="31"/>
        <v xml:space="preserve">    (U4)0x00000003U,                                                           /* 02 UNKNOWN                                         */</v>
      </c>
    </row>
    <row r="139" spans="1:43">
      <c r="B139" s="138"/>
      <c r="C139" s="47">
        <f t="shared" si="32"/>
        <v>3</v>
      </c>
      <c r="D139" s="130">
        <f t="shared" si="29"/>
        <v>0</v>
      </c>
      <c r="E139" s="130">
        <f t="shared" si="29"/>
        <v>0</v>
      </c>
      <c r="F139" s="130">
        <f t="shared" si="29"/>
        <v>0</v>
      </c>
      <c r="G139" s="130">
        <f t="shared" si="29"/>
        <v>0</v>
      </c>
      <c r="H139" s="130">
        <f t="shared" si="29"/>
        <v>0</v>
      </c>
      <c r="I139" s="130">
        <f t="shared" si="29"/>
        <v>0</v>
      </c>
      <c r="J139" s="130">
        <f t="shared" si="29"/>
        <v>0</v>
      </c>
      <c r="K139" s="130">
        <f t="shared" si="29"/>
        <v>0</v>
      </c>
      <c r="L139" s="130">
        <f t="shared" si="29"/>
        <v>0</v>
      </c>
      <c r="M139" s="130">
        <f t="shared" si="29"/>
        <v>0</v>
      </c>
      <c r="N139" s="130">
        <f t="shared" si="29"/>
        <v>0</v>
      </c>
      <c r="O139" s="130">
        <f t="shared" si="29"/>
        <v>0</v>
      </c>
      <c r="P139" s="130">
        <f t="shared" si="29"/>
        <v>0</v>
      </c>
      <c r="Q139" s="130">
        <f t="shared" si="29"/>
        <v>0</v>
      </c>
      <c r="R139" s="130">
        <f t="shared" si="29"/>
        <v>0</v>
      </c>
      <c r="S139" s="130">
        <f t="shared" si="29"/>
        <v>0</v>
      </c>
      <c r="T139" s="130">
        <f t="shared" si="29"/>
        <v>0</v>
      </c>
      <c r="U139" s="130">
        <f t="shared" si="29"/>
        <v>0</v>
      </c>
      <c r="V139" s="130">
        <f t="shared" si="29"/>
        <v>0</v>
      </c>
      <c r="W139" s="130">
        <f t="shared" si="29"/>
        <v>0</v>
      </c>
      <c r="X139" s="130">
        <f t="shared" si="29"/>
        <v>0</v>
      </c>
      <c r="Y139" s="130">
        <f t="shared" si="29"/>
        <v>0</v>
      </c>
      <c r="Z139" s="130">
        <f t="shared" si="29"/>
        <v>0</v>
      </c>
      <c r="AA139" s="130">
        <f t="shared" si="29"/>
        <v>0</v>
      </c>
      <c r="AB139" s="130">
        <f t="shared" si="29"/>
        <v>0</v>
      </c>
      <c r="AC139" s="130">
        <f t="shared" si="29"/>
        <v>0</v>
      </c>
      <c r="AD139" s="130">
        <f t="shared" si="29"/>
        <v>0</v>
      </c>
      <c r="AE139" s="130">
        <f t="shared" si="29"/>
        <v>0</v>
      </c>
      <c r="AF139" s="130">
        <f t="shared" si="29"/>
        <v>0</v>
      </c>
      <c r="AG139" s="130">
        <f t="shared" si="29"/>
        <v>0</v>
      </c>
      <c r="AH139" s="130">
        <f t="shared" si="29"/>
        <v>1</v>
      </c>
      <c r="AI139" s="130">
        <f t="shared" si="29"/>
        <v>1</v>
      </c>
      <c r="AJ139" s="47" t="str">
        <f t="shared" si="30"/>
        <v>UNKNOWN</v>
      </c>
      <c r="AK139" s="60"/>
      <c r="AL139" s="60" t="str">
        <f t="shared" si="33"/>
        <v>03</v>
      </c>
      <c r="AM139" s="62" t="str">
        <f t="shared" si="34"/>
        <v>00</v>
      </c>
      <c r="AN139" s="62" t="str">
        <f t="shared" si="35"/>
        <v>00</v>
      </c>
      <c r="AO139" s="62" t="str">
        <f t="shared" si="36"/>
        <v>00</v>
      </c>
      <c r="AQ139" t="str">
        <f t="shared" si="31"/>
        <v xml:space="preserve">    (U4)0x00000003U                                                            /* 03 UNKNOWN                                         */</v>
      </c>
    </row>
    <row r="140" spans="1:43">
      <c r="B140" s="138"/>
      <c r="C140" s="47">
        <f t="shared" si="32"/>
        <v>4</v>
      </c>
      <c r="D140" s="130">
        <f t="shared" si="29"/>
        <v>0</v>
      </c>
      <c r="E140" s="130">
        <f t="shared" si="29"/>
        <v>0</v>
      </c>
      <c r="F140" s="130">
        <f t="shared" si="29"/>
        <v>0</v>
      </c>
      <c r="G140" s="130">
        <f t="shared" si="29"/>
        <v>0</v>
      </c>
      <c r="H140" s="130">
        <f t="shared" si="29"/>
        <v>0</v>
      </c>
      <c r="I140" s="130">
        <f t="shared" si="29"/>
        <v>0</v>
      </c>
      <c r="J140" s="130">
        <f t="shared" si="29"/>
        <v>0</v>
      </c>
      <c r="K140" s="130">
        <f t="shared" si="29"/>
        <v>0</v>
      </c>
      <c r="L140" s="130">
        <f t="shared" si="29"/>
        <v>0</v>
      </c>
      <c r="M140" s="130">
        <f t="shared" si="29"/>
        <v>0</v>
      </c>
      <c r="N140" s="130">
        <f t="shared" si="29"/>
        <v>0</v>
      </c>
      <c r="O140" s="130">
        <f t="shared" si="29"/>
        <v>0</v>
      </c>
      <c r="P140" s="130">
        <f t="shared" si="29"/>
        <v>0</v>
      </c>
      <c r="Q140" s="130">
        <f t="shared" si="29"/>
        <v>0</v>
      </c>
      <c r="R140" s="130">
        <f t="shared" si="29"/>
        <v>0</v>
      </c>
      <c r="S140" s="130">
        <f t="shared" si="29"/>
        <v>0</v>
      </c>
      <c r="T140" s="130">
        <f t="shared" si="29"/>
        <v>0</v>
      </c>
      <c r="U140" s="130">
        <f t="shared" si="29"/>
        <v>0</v>
      </c>
      <c r="V140" s="130">
        <f t="shared" si="29"/>
        <v>0</v>
      </c>
      <c r="W140" s="130">
        <f t="shared" si="29"/>
        <v>0</v>
      </c>
      <c r="X140" s="130">
        <f t="shared" si="29"/>
        <v>0</v>
      </c>
      <c r="Y140" s="130">
        <f t="shared" si="29"/>
        <v>0</v>
      </c>
      <c r="Z140" s="130">
        <f t="shared" si="29"/>
        <v>0</v>
      </c>
      <c r="AA140" s="130">
        <f t="shared" si="29"/>
        <v>0</v>
      </c>
      <c r="AB140" s="130">
        <f t="shared" si="29"/>
        <v>0</v>
      </c>
      <c r="AC140" s="130">
        <f t="shared" si="29"/>
        <v>0</v>
      </c>
      <c r="AD140" s="130">
        <f t="shared" si="29"/>
        <v>0</v>
      </c>
      <c r="AE140" s="130">
        <f t="shared" si="29"/>
        <v>0</v>
      </c>
      <c r="AF140" s="130">
        <f t="shared" si="29"/>
        <v>0</v>
      </c>
      <c r="AG140" s="130">
        <f t="shared" si="29"/>
        <v>0</v>
      </c>
      <c r="AH140" s="130">
        <f t="shared" si="29"/>
        <v>0</v>
      </c>
      <c r="AI140" s="130">
        <f t="shared" si="29"/>
        <v>0</v>
      </c>
      <c r="AJ140" s="47" t="str">
        <f t="shared" si="30"/>
        <v/>
      </c>
      <c r="AK140" s="60"/>
      <c r="AL140" s="60" t="str">
        <f t="shared" si="33"/>
        <v>00</v>
      </c>
      <c r="AM140" s="62" t="str">
        <f t="shared" si="34"/>
        <v>00</v>
      </c>
      <c r="AN140" s="62" t="str">
        <f t="shared" si="35"/>
        <v>00</v>
      </c>
      <c r="AO140" s="62" t="str">
        <f t="shared" si="36"/>
        <v>00</v>
      </c>
      <c r="AQ140" t="str">
        <f t="shared" si="31"/>
        <v/>
      </c>
    </row>
    <row r="141" spans="1:43">
      <c r="B141" s="138"/>
      <c r="C141" s="47">
        <f t="shared" si="32"/>
        <v>5</v>
      </c>
      <c r="D141" s="130">
        <f t="shared" si="29"/>
        <v>0</v>
      </c>
      <c r="E141" s="130">
        <f t="shared" si="29"/>
        <v>0</v>
      </c>
      <c r="F141" s="130">
        <f t="shared" si="29"/>
        <v>0</v>
      </c>
      <c r="G141" s="130">
        <f t="shared" si="29"/>
        <v>0</v>
      </c>
      <c r="H141" s="130">
        <f t="shared" si="29"/>
        <v>0</v>
      </c>
      <c r="I141" s="130">
        <f t="shared" si="29"/>
        <v>0</v>
      </c>
      <c r="J141" s="130">
        <f t="shared" si="29"/>
        <v>0</v>
      </c>
      <c r="K141" s="130">
        <f t="shared" si="29"/>
        <v>0</v>
      </c>
      <c r="L141" s="130">
        <f t="shared" si="29"/>
        <v>0</v>
      </c>
      <c r="M141" s="130">
        <f t="shared" si="29"/>
        <v>0</v>
      </c>
      <c r="N141" s="130">
        <f t="shared" si="29"/>
        <v>0</v>
      </c>
      <c r="O141" s="130">
        <f t="shared" si="29"/>
        <v>0</v>
      </c>
      <c r="P141" s="130">
        <f t="shared" si="29"/>
        <v>0</v>
      </c>
      <c r="Q141" s="130">
        <f t="shared" si="29"/>
        <v>0</v>
      </c>
      <c r="R141" s="130">
        <f t="shared" si="29"/>
        <v>0</v>
      </c>
      <c r="S141" s="130">
        <f t="shared" si="29"/>
        <v>0</v>
      </c>
      <c r="T141" s="130">
        <f t="shared" si="29"/>
        <v>0</v>
      </c>
      <c r="U141" s="130">
        <f t="shared" si="29"/>
        <v>0</v>
      </c>
      <c r="V141" s="130">
        <f t="shared" si="29"/>
        <v>0</v>
      </c>
      <c r="W141" s="130">
        <f t="shared" si="29"/>
        <v>0</v>
      </c>
      <c r="X141" s="130">
        <f t="shared" si="29"/>
        <v>0</v>
      </c>
      <c r="Y141" s="130">
        <f t="shared" si="29"/>
        <v>0</v>
      </c>
      <c r="Z141" s="130">
        <f t="shared" si="29"/>
        <v>0</v>
      </c>
      <c r="AA141" s="130">
        <f t="shared" si="29"/>
        <v>0</v>
      </c>
      <c r="AB141" s="130">
        <f t="shared" si="29"/>
        <v>0</v>
      </c>
      <c r="AC141" s="130">
        <f t="shared" si="29"/>
        <v>0</v>
      </c>
      <c r="AD141" s="130">
        <f t="shared" si="29"/>
        <v>0</v>
      </c>
      <c r="AE141" s="130">
        <f t="shared" si="29"/>
        <v>0</v>
      </c>
      <c r="AF141" s="130">
        <f t="shared" si="29"/>
        <v>0</v>
      </c>
      <c r="AG141" s="130">
        <f t="shared" si="29"/>
        <v>0</v>
      </c>
      <c r="AH141" s="130">
        <f t="shared" si="29"/>
        <v>0</v>
      </c>
      <c r="AI141" s="130">
        <f t="shared" si="29"/>
        <v>0</v>
      </c>
      <c r="AJ141" s="47" t="str">
        <f t="shared" si="30"/>
        <v/>
      </c>
      <c r="AK141" s="60"/>
      <c r="AL141" s="60" t="str">
        <f t="shared" si="33"/>
        <v>00</v>
      </c>
      <c r="AM141" s="62" t="str">
        <f t="shared" si="34"/>
        <v>00</v>
      </c>
      <c r="AN141" s="62" t="str">
        <f t="shared" si="35"/>
        <v>00</v>
      </c>
      <c r="AO141" s="62" t="str">
        <f t="shared" si="36"/>
        <v>00</v>
      </c>
      <c r="AQ141" t="str">
        <f t="shared" si="31"/>
        <v/>
      </c>
    </row>
    <row r="142" spans="1:43">
      <c r="B142" s="138"/>
      <c r="C142" s="47">
        <f t="shared" si="32"/>
        <v>6</v>
      </c>
      <c r="D142" s="130">
        <f t="shared" si="29"/>
        <v>0</v>
      </c>
      <c r="E142" s="130">
        <f t="shared" si="29"/>
        <v>0</v>
      </c>
      <c r="F142" s="130">
        <f t="shared" si="29"/>
        <v>0</v>
      </c>
      <c r="G142" s="130">
        <f t="shared" si="29"/>
        <v>0</v>
      </c>
      <c r="H142" s="130">
        <f t="shared" si="29"/>
        <v>0</v>
      </c>
      <c r="I142" s="130">
        <f t="shared" si="29"/>
        <v>0</v>
      </c>
      <c r="J142" s="130">
        <f t="shared" si="29"/>
        <v>0</v>
      </c>
      <c r="K142" s="130">
        <f t="shared" si="29"/>
        <v>0</v>
      </c>
      <c r="L142" s="130">
        <f t="shared" si="29"/>
        <v>0</v>
      </c>
      <c r="M142" s="130">
        <f t="shared" si="29"/>
        <v>0</v>
      </c>
      <c r="N142" s="130">
        <f t="shared" si="29"/>
        <v>0</v>
      </c>
      <c r="O142" s="130">
        <f t="shared" si="29"/>
        <v>0</v>
      </c>
      <c r="P142" s="130">
        <f t="shared" si="29"/>
        <v>0</v>
      </c>
      <c r="Q142" s="130">
        <f t="shared" si="29"/>
        <v>0</v>
      </c>
      <c r="R142" s="130">
        <f t="shared" si="29"/>
        <v>0</v>
      </c>
      <c r="S142" s="130">
        <f t="shared" si="29"/>
        <v>0</v>
      </c>
      <c r="T142" s="130">
        <f t="shared" si="29"/>
        <v>0</v>
      </c>
      <c r="U142" s="130">
        <f t="shared" si="29"/>
        <v>0</v>
      </c>
      <c r="V142" s="130">
        <f t="shared" si="29"/>
        <v>0</v>
      </c>
      <c r="W142" s="130">
        <f t="shared" si="29"/>
        <v>0</v>
      </c>
      <c r="X142" s="130">
        <f t="shared" si="29"/>
        <v>0</v>
      </c>
      <c r="Y142" s="130">
        <f t="shared" si="29"/>
        <v>0</v>
      </c>
      <c r="Z142" s="130">
        <f t="shared" si="29"/>
        <v>0</v>
      </c>
      <c r="AA142" s="130">
        <f t="shared" si="29"/>
        <v>0</v>
      </c>
      <c r="AB142" s="130">
        <f t="shared" si="29"/>
        <v>0</v>
      </c>
      <c r="AC142" s="130">
        <f t="shared" si="29"/>
        <v>0</v>
      </c>
      <c r="AD142" s="130">
        <f t="shared" si="29"/>
        <v>0</v>
      </c>
      <c r="AE142" s="130">
        <f t="shared" si="29"/>
        <v>0</v>
      </c>
      <c r="AF142" s="130">
        <f t="shared" si="29"/>
        <v>0</v>
      </c>
      <c r="AG142" s="130">
        <f t="shared" si="29"/>
        <v>0</v>
      </c>
      <c r="AH142" s="130">
        <f t="shared" si="29"/>
        <v>0</v>
      </c>
      <c r="AI142" s="130">
        <f t="shared" si="29"/>
        <v>0</v>
      </c>
      <c r="AJ142" s="47" t="str">
        <f t="shared" si="30"/>
        <v/>
      </c>
      <c r="AK142" s="60"/>
      <c r="AL142" s="60" t="str">
        <f t="shared" si="33"/>
        <v>00</v>
      </c>
      <c r="AM142" s="62" t="str">
        <f t="shared" si="34"/>
        <v>00</v>
      </c>
      <c r="AN142" s="62" t="str">
        <f t="shared" si="35"/>
        <v>00</v>
      </c>
      <c r="AO142" s="62" t="str">
        <f t="shared" si="36"/>
        <v>00</v>
      </c>
      <c r="AQ142" t="str">
        <f t="shared" si="31"/>
        <v/>
      </c>
    </row>
    <row r="143" spans="1:43">
      <c r="B143" s="138"/>
      <c r="C143" s="47">
        <f t="shared" si="32"/>
        <v>7</v>
      </c>
      <c r="D143" s="130">
        <f t="shared" si="29"/>
        <v>0</v>
      </c>
      <c r="E143" s="130">
        <f t="shared" si="29"/>
        <v>0</v>
      </c>
      <c r="F143" s="130">
        <f t="shared" si="29"/>
        <v>0</v>
      </c>
      <c r="G143" s="130">
        <f t="shared" si="29"/>
        <v>0</v>
      </c>
      <c r="H143" s="130">
        <f t="shared" si="29"/>
        <v>0</v>
      </c>
      <c r="I143" s="130">
        <f t="shared" si="29"/>
        <v>0</v>
      </c>
      <c r="J143" s="130">
        <f t="shared" si="29"/>
        <v>0</v>
      </c>
      <c r="K143" s="130">
        <f t="shared" si="29"/>
        <v>0</v>
      </c>
      <c r="L143" s="130">
        <f t="shared" si="29"/>
        <v>0</v>
      </c>
      <c r="M143" s="130">
        <f t="shared" si="29"/>
        <v>0</v>
      </c>
      <c r="N143" s="130">
        <f t="shared" si="29"/>
        <v>0</v>
      </c>
      <c r="O143" s="130">
        <f t="shared" si="29"/>
        <v>0</v>
      </c>
      <c r="P143" s="130">
        <f t="shared" si="29"/>
        <v>0</v>
      </c>
      <c r="Q143" s="130">
        <f t="shared" si="29"/>
        <v>0</v>
      </c>
      <c r="R143" s="130">
        <f t="shared" si="29"/>
        <v>0</v>
      </c>
      <c r="S143" s="130">
        <f t="shared" si="29"/>
        <v>0</v>
      </c>
      <c r="T143" s="130">
        <f t="shared" si="29"/>
        <v>0</v>
      </c>
      <c r="U143" s="130">
        <f t="shared" si="29"/>
        <v>0</v>
      </c>
      <c r="V143" s="130">
        <f t="shared" si="29"/>
        <v>0</v>
      </c>
      <c r="W143" s="130">
        <f t="shared" si="29"/>
        <v>0</v>
      </c>
      <c r="X143" s="130">
        <f t="shared" si="29"/>
        <v>0</v>
      </c>
      <c r="Y143" s="130">
        <f t="shared" si="29"/>
        <v>0</v>
      </c>
      <c r="Z143" s="130">
        <f t="shared" si="29"/>
        <v>0</v>
      </c>
      <c r="AA143" s="130">
        <f t="shared" si="29"/>
        <v>0</v>
      </c>
      <c r="AB143" s="130">
        <f t="shared" si="29"/>
        <v>0</v>
      </c>
      <c r="AC143" s="130">
        <f t="shared" si="29"/>
        <v>0</v>
      </c>
      <c r="AD143" s="130">
        <f t="shared" si="29"/>
        <v>0</v>
      </c>
      <c r="AE143" s="130">
        <f t="shared" si="29"/>
        <v>0</v>
      </c>
      <c r="AF143" s="130">
        <f t="shared" si="29"/>
        <v>0</v>
      </c>
      <c r="AG143" s="130">
        <f t="shared" si="29"/>
        <v>0</v>
      </c>
      <c r="AH143" s="130">
        <f t="shared" si="29"/>
        <v>0</v>
      </c>
      <c r="AI143" s="130">
        <f t="shared" ref="AI143" si="37">IF(OR(AI13=0,AI13=1),1,0)</f>
        <v>0</v>
      </c>
      <c r="AJ143" s="47" t="str">
        <f t="shared" si="30"/>
        <v/>
      </c>
      <c r="AK143" s="60"/>
      <c r="AL143" s="60" t="str">
        <f t="shared" si="33"/>
        <v>00</v>
      </c>
      <c r="AM143" s="62" t="str">
        <f t="shared" si="34"/>
        <v>00</v>
      </c>
      <c r="AN143" s="62" t="str">
        <f t="shared" si="35"/>
        <v>00</v>
      </c>
      <c r="AO143" s="62" t="str">
        <f t="shared" si="36"/>
        <v>00</v>
      </c>
      <c r="AQ143" t="str">
        <f t="shared" si="31"/>
        <v/>
      </c>
    </row>
    <row r="144" spans="1:43">
      <c r="B144" s="138"/>
      <c r="C144" s="47">
        <f t="shared" si="32"/>
        <v>8</v>
      </c>
      <c r="D144" s="130">
        <f t="shared" ref="D144:AI151" si="38">IF(OR(D14=0,D14=1),1,0)</f>
        <v>0</v>
      </c>
      <c r="E144" s="130">
        <f t="shared" si="38"/>
        <v>0</v>
      </c>
      <c r="F144" s="130">
        <f t="shared" si="38"/>
        <v>0</v>
      </c>
      <c r="G144" s="130">
        <f t="shared" si="38"/>
        <v>0</v>
      </c>
      <c r="H144" s="130">
        <f t="shared" si="38"/>
        <v>0</v>
      </c>
      <c r="I144" s="130">
        <f t="shared" si="38"/>
        <v>0</v>
      </c>
      <c r="J144" s="130">
        <f t="shared" si="38"/>
        <v>0</v>
      </c>
      <c r="K144" s="130">
        <f t="shared" si="38"/>
        <v>0</v>
      </c>
      <c r="L144" s="130">
        <f t="shared" si="38"/>
        <v>0</v>
      </c>
      <c r="M144" s="130">
        <f t="shared" si="38"/>
        <v>0</v>
      </c>
      <c r="N144" s="130">
        <f t="shared" si="38"/>
        <v>0</v>
      </c>
      <c r="O144" s="130">
        <f t="shared" si="38"/>
        <v>0</v>
      </c>
      <c r="P144" s="130">
        <f t="shared" si="38"/>
        <v>0</v>
      </c>
      <c r="Q144" s="130">
        <f t="shared" si="38"/>
        <v>0</v>
      </c>
      <c r="R144" s="130">
        <f t="shared" si="38"/>
        <v>0</v>
      </c>
      <c r="S144" s="130">
        <f t="shared" si="38"/>
        <v>0</v>
      </c>
      <c r="T144" s="130">
        <f t="shared" si="38"/>
        <v>0</v>
      </c>
      <c r="U144" s="130">
        <f t="shared" si="38"/>
        <v>0</v>
      </c>
      <c r="V144" s="130">
        <f t="shared" si="38"/>
        <v>0</v>
      </c>
      <c r="W144" s="130">
        <f t="shared" si="38"/>
        <v>0</v>
      </c>
      <c r="X144" s="130">
        <f t="shared" si="38"/>
        <v>0</v>
      </c>
      <c r="Y144" s="130">
        <f t="shared" si="38"/>
        <v>0</v>
      </c>
      <c r="Z144" s="130">
        <f t="shared" si="38"/>
        <v>0</v>
      </c>
      <c r="AA144" s="130">
        <f t="shared" si="38"/>
        <v>0</v>
      </c>
      <c r="AB144" s="130">
        <f t="shared" si="38"/>
        <v>0</v>
      </c>
      <c r="AC144" s="130">
        <f t="shared" si="38"/>
        <v>0</v>
      </c>
      <c r="AD144" s="130">
        <f t="shared" si="38"/>
        <v>0</v>
      </c>
      <c r="AE144" s="130">
        <f t="shared" si="38"/>
        <v>0</v>
      </c>
      <c r="AF144" s="130">
        <f t="shared" si="38"/>
        <v>0</v>
      </c>
      <c r="AG144" s="130">
        <f t="shared" si="38"/>
        <v>0</v>
      </c>
      <c r="AH144" s="130">
        <f t="shared" si="38"/>
        <v>0</v>
      </c>
      <c r="AI144" s="130">
        <f t="shared" si="38"/>
        <v>0</v>
      </c>
      <c r="AJ144" s="47" t="str">
        <f t="shared" si="30"/>
        <v/>
      </c>
      <c r="AK144" s="60"/>
      <c r="AL144" s="60" t="str">
        <f t="shared" si="33"/>
        <v>00</v>
      </c>
      <c r="AM144" s="62" t="str">
        <f t="shared" si="34"/>
        <v>00</v>
      </c>
      <c r="AN144" s="62" t="str">
        <f t="shared" si="35"/>
        <v>00</v>
      </c>
      <c r="AO144" s="62" t="str">
        <f t="shared" si="36"/>
        <v>00</v>
      </c>
      <c r="AQ144" t="str">
        <f t="shared" si="31"/>
        <v/>
      </c>
    </row>
    <row r="145" spans="2:43">
      <c r="B145" s="138"/>
      <c r="C145" s="47">
        <f t="shared" si="32"/>
        <v>9</v>
      </c>
      <c r="D145" s="130">
        <f t="shared" si="38"/>
        <v>0</v>
      </c>
      <c r="E145" s="130">
        <f t="shared" si="38"/>
        <v>0</v>
      </c>
      <c r="F145" s="130">
        <f t="shared" si="38"/>
        <v>0</v>
      </c>
      <c r="G145" s="130">
        <f t="shared" si="38"/>
        <v>0</v>
      </c>
      <c r="H145" s="130">
        <f t="shared" si="38"/>
        <v>0</v>
      </c>
      <c r="I145" s="130">
        <f t="shared" si="38"/>
        <v>0</v>
      </c>
      <c r="J145" s="130">
        <f t="shared" si="38"/>
        <v>0</v>
      </c>
      <c r="K145" s="130">
        <f t="shared" si="38"/>
        <v>0</v>
      </c>
      <c r="L145" s="130">
        <f t="shared" si="38"/>
        <v>0</v>
      </c>
      <c r="M145" s="130">
        <f t="shared" si="38"/>
        <v>0</v>
      </c>
      <c r="N145" s="130">
        <f t="shared" si="38"/>
        <v>0</v>
      </c>
      <c r="O145" s="130">
        <f t="shared" si="38"/>
        <v>0</v>
      </c>
      <c r="P145" s="130">
        <f t="shared" si="38"/>
        <v>0</v>
      </c>
      <c r="Q145" s="130">
        <f t="shared" si="38"/>
        <v>0</v>
      </c>
      <c r="R145" s="130">
        <f t="shared" si="38"/>
        <v>0</v>
      </c>
      <c r="S145" s="130">
        <f t="shared" si="38"/>
        <v>0</v>
      </c>
      <c r="T145" s="130">
        <f t="shared" si="38"/>
        <v>0</v>
      </c>
      <c r="U145" s="130">
        <f t="shared" si="38"/>
        <v>0</v>
      </c>
      <c r="V145" s="130">
        <f t="shared" si="38"/>
        <v>0</v>
      </c>
      <c r="W145" s="130">
        <f t="shared" si="38"/>
        <v>0</v>
      </c>
      <c r="X145" s="130">
        <f t="shared" si="38"/>
        <v>0</v>
      </c>
      <c r="Y145" s="130">
        <f t="shared" si="38"/>
        <v>0</v>
      </c>
      <c r="Z145" s="130">
        <f t="shared" si="38"/>
        <v>0</v>
      </c>
      <c r="AA145" s="130">
        <f t="shared" si="38"/>
        <v>0</v>
      </c>
      <c r="AB145" s="130">
        <f t="shared" si="38"/>
        <v>0</v>
      </c>
      <c r="AC145" s="130">
        <f t="shared" si="38"/>
        <v>0</v>
      </c>
      <c r="AD145" s="130">
        <f t="shared" si="38"/>
        <v>0</v>
      </c>
      <c r="AE145" s="130">
        <f t="shared" si="38"/>
        <v>0</v>
      </c>
      <c r="AF145" s="130">
        <f t="shared" si="38"/>
        <v>0</v>
      </c>
      <c r="AG145" s="130">
        <f t="shared" si="38"/>
        <v>0</v>
      </c>
      <c r="AH145" s="130">
        <f t="shared" si="38"/>
        <v>0</v>
      </c>
      <c r="AI145" s="130">
        <f t="shared" si="38"/>
        <v>0</v>
      </c>
      <c r="AJ145" s="47" t="str">
        <f t="shared" si="30"/>
        <v/>
      </c>
      <c r="AK145" s="60"/>
      <c r="AL145" s="60" t="str">
        <f t="shared" si="33"/>
        <v>00</v>
      </c>
      <c r="AM145" s="62" t="str">
        <f t="shared" si="34"/>
        <v>00</v>
      </c>
      <c r="AN145" s="62" t="str">
        <f t="shared" si="35"/>
        <v>00</v>
      </c>
      <c r="AO145" s="62" t="str">
        <f t="shared" si="36"/>
        <v>00</v>
      </c>
      <c r="AQ145" t="str">
        <f t="shared" si="31"/>
        <v/>
      </c>
    </row>
    <row r="146" spans="2:43">
      <c r="B146" s="138"/>
      <c r="C146" s="47">
        <f t="shared" si="32"/>
        <v>10</v>
      </c>
      <c r="D146" s="130">
        <f t="shared" si="38"/>
        <v>0</v>
      </c>
      <c r="E146" s="130">
        <f t="shared" si="38"/>
        <v>0</v>
      </c>
      <c r="F146" s="130">
        <f t="shared" si="38"/>
        <v>0</v>
      </c>
      <c r="G146" s="130">
        <f t="shared" si="38"/>
        <v>0</v>
      </c>
      <c r="H146" s="130">
        <f t="shared" si="38"/>
        <v>0</v>
      </c>
      <c r="I146" s="130">
        <f t="shared" si="38"/>
        <v>0</v>
      </c>
      <c r="J146" s="130">
        <f t="shared" si="38"/>
        <v>0</v>
      </c>
      <c r="K146" s="130">
        <f t="shared" si="38"/>
        <v>0</v>
      </c>
      <c r="L146" s="130">
        <f t="shared" si="38"/>
        <v>0</v>
      </c>
      <c r="M146" s="130">
        <f t="shared" si="38"/>
        <v>0</v>
      </c>
      <c r="N146" s="130">
        <f t="shared" si="38"/>
        <v>0</v>
      </c>
      <c r="O146" s="130">
        <f t="shared" si="38"/>
        <v>0</v>
      </c>
      <c r="P146" s="130">
        <f t="shared" si="38"/>
        <v>0</v>
      </c>
      <c r="Q146" s="130">
        <f t="shared" si="38"/>
        <v>0</v>
      </c>
      <c r="R146" s="130">
        <f t="shared" si="38"/>
        <v>0</v>
      </c>
      <c r="S146" s="130">
        <f t="shared" si="38"/>
        <v>0</v>
      </c>
      <c r="T146" s="130">
        <f t="shared" si="38"/>
        <v>0</v>
      </c>
      <c r="U146" s="130">
        <f t="shared" si="38"/>
        <v>0</v>
      </c>
      <c r="V146" s="130">
        <f t="shared" si="38"/>
        <v>0</v>
      </c>
      <c r="W146" s="130">
        <f t="shared" si="38"/>
        <v>0</v>
      </c>
      <c r="X146" s="130">
        <f t="shared" si="38"/>
        <v>0</v>
      </c>
      <c r="Y146" s="130">
        <f t="shared" si="38"/>
        <v>0</v>
      </c>
      <c r="Z146" s="130">
        <f t="shared" si="38"/>
        <v>0</v>
      </c>
      <c r="AA146" s="130">
        <f t="shared" si="38"/>
        <v>0</v>
      </c>
      <c r="AB146" s="130">
        <f t="shared" si="38"/>
        <v>0</v>
      </c>
      <c r="AC146" s="130">
        <f t="shared" si="38"/>
        <v>0</v>
      </c>
      <c r="AD146" s="130">
        <f t="shared" si="38"/>
        <v>0</v>
      </c>
      <c r="AE146" s="130">
        <f t="shared" si="38"/>
        <v>0</v>
      </c>
      <c r="AF146" s="130">
        <f t="shared" si="38"/>
        <v>0</v>
      </c>
      <c r="AG146" s="130">
        <f t="shared" si="38"/>
        <v>0</v>
      </c>
      <c r="AH146" s="130">
        <f t="shared" si="38"/>
        <v>0</v>
      </c>
      <c r="AI146" s="130">
        <f t="shared" si="38"/>
        <v>0</v>
      </c>
      <c r="AJ146" s="47" t="str">
        <f t="shared" si="30"/>
        <v/>
      </c>
      <c r="AK146" s="60"/>
      <c r="AL146" s="60" t="str">
        <f t="shared" si="33"/>
        <v>00</v>
      </c>
      <c r="AM146" s="62" t="str">
        <f t="shared" si="34"/>
        <v>00</v>
      </c>
      <c r="AN146" s="62" t="str">
        <f t="shared" si="35"/>
        <v>00</v>
      </c>
      <c r="AO146" s="62" t="str">
        <f t="shared" si="36"/>
        <v>00</v>
      </c>
      <c r="AQ146" t="str">
        <f t="shared" si="31"/>
        <v/>
      </c>
    </row>
    <row r="147" spans="2:43">
      <c r="B147" s="138"/>
      <c r="C147" s="47">
        <f t="shared" si="32"/>
        <v>11</v>
      </c>
      <c r="D147" s="130">
        <f t="shared" si="38"/>
        <v>0</v>
      </c>
      <c r="E147" s="130">
        <f t="shared" si="38"/>
        <v>0</v>
      </c>
      <c r="F147" s="130">
        <f t="shared" si="38"/>
        <v>0</v>
      </c>
      <c r="G147" s="130">
        <f t="shared" si="38"/>
        <v>0</v>
      </c>
      <c r="H147" s="130">
        <f t="shared" si="38"/>
        <v>0</v>
      </c>
      <c r="I147" s="130">
        <f t="shared" si="38"/>
        <v>0</v>
      </c>
      <c r="J147" s="130">
        <f t="shared" si="38"/>
        <v>0</v>
      </c>
      <c r="K147" s="130">
        <f t="shared" si="38"/>
        <v>0</v>
      </c>
      <c r="L147" s="130">
        <f t="shared" si="38"/>
        <v>0</v>
      </c>
      <c r="M147" s="130">
        <f t="shared" si="38"/>
        <v>0</v>
      </c>
      <c r="N147" s="130">
        <f t="shared" si="38"/>
        <v>0</v>
      </c>
      <c r="O147" s="130">
        <f t="shared" si="38"/>
        <v>0</v>
      </c>
      <c r="P147" s="130">
        <f t="shared" si="38"/>
        <v>0</v>
      </c>
      <c r="Q147" s="130">
        <f t="shared" si="38"/>
        <v>0</v>
      </c>
      <c r="R147" s="130">
        <f t="shared" si="38"/>
        <v>0</v>
      </c>
      <c r="S147" s="130">
        <f t="shared" si="38"/>
        <v>0</v>
      </c>
      <c r="T147" s="130">
        <f t="shared" si="38"/>
        <v>0</v>
      </c>
      <c r="U147" s="130">
        <f t="shared" si="38"/>
        <v>0</v>
      </c>
      <c r="V147" s="130">
        <f t="shared" si="38"/>
        <v>0</v>
      </c>
      <c r="W147" s="130">
        <f t="shared" si="38"/>
        <v>0</v>
      </c>
      <c r="X147" s="130">
        <f t="shared" si="38"/>
        <v>0</v>
      </c>
      <c r="Y147" s="130">
        <f t="shared" si="38"/>
        <v>0</v>
      </c>
      <c r="Z147" s="130">
        <f t="shared" si="38"/>
        <v>0</v>
      </c>
      <c r="AA147" s="130">
        <f t="shared" si="38"/>
        <v>0</v>
      </c>
      <c r="AB147" s="130">
        <f t="shared" si="38"/>
        <v>0</v>
      </c>
      <c r="AC147" s="130">
        <f t="shared" si="38"/>
        <v>0</v>
      </c>
      <c r="AD147" s="130">
        <f t="shared" si="38"/>
        <v>0</v>
      </c>
      <c r="AE147" s="130">
        <f t="shared" si="38"/>
        <v>0</v>
      </c>
      <c r="AF147" s="130">
        <f t="shared" si="38"/>
        <v>0</v>
      </c>
      <c r="AG147" s="130">
        <f t="shared" si="38"/>
        <v>0</v>
      </c>
      <c r="AH147" s="130">
        <f t="shared" si="38"/>
        <v>0</v>
      </c>
      <c r="AI147" s="130">
        <f t="shared" si="38"/>
        <v>0</v>
      </c>
      <c r="AJ147" s="47" t="str">
        <f t="shared" si="30"/>
        <v/>
      </c>
      <c r="AK147" s="60"/>
      <c r="AL147" s="60" t="str">
        <f t="shared" si="33"/>
        <v>00</v>
      </c>
      <c r="AM147" s="62" t="str">
        <f t="shared" si="34"/>
        <v>00</v>
      </c>
      <c r="AN147" s="62" t="str">
        <f t="shared" si="35"/>
        <v>00</v>
      </c>
      <c r="AO147" s="62" t="str">
        <f t="shared" si="36"/>
        <v>00</v>
      </c>
      <c r="AQ147" t="str">
        <f t="shared" si="31"/>
        <v/>
      </c>
    </row>
    <row r="148" spans="2:43">
      <c r="B148" s="138"/>
      <c r="C148" s="47">
        <f t="shared" si="32"/>
        <v>12</v>
      </c>
      <c r="D148" s="130">
        <f t="shared" si="38"/>
        <v>0</v>
      </c>
      <c r="E148" s="130">
        <f t="shared" si="38"/>
        <v>0</v>
      </c>
      <c r="F148" s="130">
        <f t="shared" si="38"/>
        <v>0</v>
      </c>
      <c r="G148" s="130">
        <f t="shared" si="38"/>
        <v>0</v>
      </c>
      <c r="H148" s="130">
        <f t="shared" si="38"/>
        <v>0</v>
      </c>
      <c r="I148" s="130">
        <f t="shared" si="38"/>
        <v>0</v>
      </c>
      <c r="J148" s="130">
        <f t="shared" si="38"/>
        <v>0</v>
      </c>
      <c r="K148" s="130">
        <f t="shared" si="38"/>
        <v>0</v>
      </c>
      <c r="L148" s="130">
        <f t="shared" si="38"/>
        <v>0</v>
      </c>
      <c r="M148" s="130">
        <f t="shared" si="38"/>
        <v>0</v>
      </c>
      <c r="N148" s="130">
        <f t="shared" si="38"/>
        <v>0</v>
      </c>
      <c r="O148" s="130">
        <f t="shared" si="38"/>
        <v>0</v>
      </c>
      <c r="P148" s="130">
        <f t="shared" si="38"/>
        <v>0</v>
      </c>
      <c r="Q148" s="130">
        <f t="shared" si="38"/>
        <v>0</v>
      </c>
      <c r="R148" s="130">
        <f t="shared" si="38"/>
        <v>0</v>
      </c>
      <c r="S148" s="130">
        <f t="shared" si="38"/>
        <v>0</v>
      </c>
      <c r="T148" s="130">
        <f t="shared" si="38"/>
        <v>0</v>
      </c>
      <c r="U148" s="130">
        <f t="shared" si="38"/>
        <v>0</v>
      </c>
      <c r="V148" s="130">
        <f t="shared" si="38"/>
        <v>0</v>
      </c>
      <c r="W148" s="130">
        <f t="shared" si="38"/>
        <v>0</v>
      </c>
      <c r="X148" s="130">
        <f t="shared" si="38"/>
        <v>0</v>
      </c>
      <c r="Y148" s="130">
        <f t="shared" si="38"/>
        <v>0</v>
      </c>
      <c r="Z148" s="130">
        <f t="shared" si="38"/>
        <v>0</v>
      </c>
      <c r="AA148" s="130">
        <f t="shared" si="38"/>
        <v>0</v>
      </c>
      <c r="AB148" s="130">
        <f t="shared" si="38"/>
        <v>0</v>
      </c>
      <c r="AC148" s="130">
        <f t="shared" si="38"/>
        <v>0</v>
      </c>
      <c r="AD148" s="130">
        <f t="shared" si="38"/>
        <v>0</v>
      </c>
      <c r="AE148" s="130">
        <f t="shared" si="38"/>
        <v>0</v>
      </c>
      <c r="AF148" s="130">
        <f t="shared" si="38"/>
        <v>0</v>
      </c>
      <c r="AG148" s="130">
        <f t="shared" si="38"/>
        <v>0</v>
      </c>
      <c r="AH148" s="130">
        <f t="shared" si="38"/>
        <v>0</v>
      </c>
      <c r="AI148" s="130">
        <f t="shared" si="38"/>
        <v>0</v>
      </c>
      <c r="AJ148" s="47" t="str">
        <f t="shared" si="30"/>
        <v/>
      </c>
      <c r="AK148" s="60"/>
      <c r="AL148" s="60" t="str">
        <f t="shared" si="33"/>
        <v>00</v>
      </c>
      <c r="AM148" s="62" t="str">
        <f t="shared" si="34"/>
        <v>00</v>
      </c>
      <c r="AN148" s="62" t="str">
        <f t="shared" si="35"/>
        <v>00</v>
      </c>
      <c r="AO148" s="62" t="str">
        <f t="shared" si="36"/>
        <v>00</v>
      </c>
      <c r="AQ148" t="str">
        <f t="shared" si="31"/>
        <v/>
      </c>
    </row>
    <row r="149" spans="2:43">
      <c r="B149" s="138"/>
      <c r="C149" s="47">
        <f t="shared" si="32"/>
        <v>13</v>
      </c>
      <c r="D149" s="130">
        <f t="shared" si="38"/>
        <v>0</v>
      </c>
      <c r="E149" s="130">
        <f t="shared" si="38"/>
        <v>0</v>
      </c>
      <c r="F149" s="130">
        <f t="shared" si="38"/>
        <v>0</v>
      </c>
      <c r="G149" s="130">
        <f t="shared" si="38"/>
        <v>0</v>
      </c>
      <c r="H149" s="130">
        <f t="shared" si="38"/>
        <v>0</v>
      </c>
      <c r="I149" s="130">
        <f t="shared" si="38"/>
        <v>0</v>
      </c>
      <c r="J149" s="130">
        <f t="shared" si="38"/>
        <v>0</v>
      </c>
      <c r="K149" s="130">
        <f t="shared" si="38"/>
        <v>0</v>
      </c>
      <c r="L149" s="130">
        <f t="shared" si="38"/>
        <v>0</v>
      </c>
      <c r="M149" s="130">
        <f t="shared" si="38"/>
        <v>0</v>
      </c>
      <c r="N149" s="130">
        <f t="shared" si="38"/>
        <v>0</v>
      </c>
      <c r="O149" s="130">
        <f t="shared" si="38"/>
        <v>0</v>
      </c>
      <c r="P149" s="130">
        <f t="shared" si="38"/>
        <v>0</v>
      </c>
      <c r="Q149" s="130">
        <f t="shared" si="38"/>
        <v>0</v>
      </c>
      <c r="R149" s="130">
        <f t="shared" si="38"/>
        <v>0</v>
      </c>
      <c r="S149" s="130">
        <f t="shared" si="38"/>
        <v>0</v>
      </c>
      <c r="T149" s="130">
        <f t="shared" si="38"/>
        <v>0</v>
      </c>
      <c r="U149" s="130">
        <f t="shared" si="38"/>
        <v>0</v>
      </c>
      <c r="V149" s="130">
        <f t="shared" si="38"/>
        <v>0</v>
      </c>
      <c r="W149" s="130">
        <f t="shared" si="38"/>
        <v>0</v>
      </c>
      <c r="X149" s="130">
        <f t="shared" si="38"/>
        <v>0</v>
      </c>
      <c r="Y149" s="130">
        <f t="shared" si="38"/>
        <v>0</v>
      </c>
      <c r="Z149" s="130">
        <f t="shared" si="38"/>
        <v>0</v>
      </c>
      <c r="AA149" s="130">
        <f t="shared" si="38"/>
        <v>0</v>
      </c>
      <c r="AB149" s="130">
        <f t="shared" si="38"/>
        <v>0</v>
      </c>
      <c r="AC149" s="130">
        <f t="shared" si="38"/>
        <v>0</v>
      </c>
      <c r="AD149" s="130">
        <f t="shared" si="38"/>
        <v>0</v>
      </c>
      <c r="AE149" s="130">
        <f t="shared" si="38"/>
        <v>0</v>
      </c>
      <c r="AF149" s="130">
        <f t="shared" si="38"/>
        <v>0</v>
      </c>
      <c r="AG149" s="130">
        <f t="shared" si="38"/>
        <v>0</v>
      </c>
      <c r="AH149" s="130">
        <f t="shared" si="38"/>
        <v>0</v>
      </c>
      <c r="AI149" s="130">
        <f t="shared" si="38"/>
        <v>0</v>
      </c>
      <c r="AJ149" s="47" t="str">
        <f t="shared" si="30"/>
        <v/>
      </c>
      <c r="AK149" s="60"/>
      <c r="AL149" s="60" t="str">
        <f t="shared" si="33"/>
        <v>00</v>
      </c>
      <c r="AM149" s="62" t="str">
        <f t="shared" si="34"/>
        <v>00</v>
      </c>
      <c r="AN149" s="62" t="str">
        <f t="shared" si="35"/>
        <v>00</v>
      </c>
      <c r="AO149" s="62" t="str">
        <f t="shared" si="36"/>
        <v>00</v>
      </c>
      <c r="AQ149" t="str">
        <f t="shared" si="31"/>
        <v/>
      </c>
    </row>
    <row r="150" spans="2:43">
      <c r="B150" s="138"/>
      <c r="C150" s="47">
        <f t="shared" si="32"/>
        <v>14</v>
      </c>
      <c r="D150" s="130">
        <f t="shared" si="38"/>
        <v>0</v>
      </c>
      <c r="E150" s="130">
        <f t="shared" si="38"/>
        <v>0</v>
      </c>
      <c r="F150" s="130">
        <f t="shared" si="38"/>
        <v>0</v>
      </c>
      <c r="G150" s="130">
        <f t="shared" si="38"/>
        <v>0</v>
      </c>
      <c r="H150" s="130">
        <f t="shared" si="38"/>
        <v>0</v>
      </c>
      <c r="I150" s="130">
        <f t="shared" si="38"/>
        <v>0</v>
      </c>
      <c r="J150" s="130">
        <f t="shared" si="38"/>
        <v>0</v>
      </c>
      <c r="K150" s="130">
        <f t="shared" si="38"/>
        <v>0</v>
      </c>
      <c r="L150" s="130">
        <f t="shared" si="38"/>
        <v>0</v>
      </c>
      <c r="M150" s="130">
        <f t="shared" si="38"/>
        <v>0</v>
      </c>
      <c r="N150" s="130">
        <f t="shared" si="38"/>
        <v>0</v>
      </c>
      <c r="O150" s="130">
        <f t="shared" si="38"/>
        <v>0</v>
      </c>
      <c r="P150" s="130">
        <f t="shared" si="38"/>
        <v>0</v>
      </c>
      <c r="Q150" s="130">
        <f t="shared" si="38"/>
        <v>0</v>
      </c>
      <c r="R150" s="130">
        <f t="shared" si="38"/>
        <v>0</v>
      </c>
      <c r="S150" s="130">
        <f t="shared" si="38"/>
        <v>0</v>
      </c>
      <c r="T150" s="130">
        <f t="shared" si="38"/>
        <v>0</v>
      </c>
      <c r="U150" s="130">
        <f t="shared" si="38"/>
        <v>0</v>
      </c>
      <c r="V150" s="130">
        <f t="shared" si="38"/>
        <v>0</v>
      </c>
      <c r="W150" s="130">
        <f t="shared" si="38"/>
        <v>0</v>
      </c>
      <c r="X150" s="130">
        <f t="shared" si="38"/>
        <v>0</v>
      </c>
      <c r="Y150" s="130">
        <f t="shared" si="38"/>
        <v>0</v>
      </c>
      <c r="Z150" s="130">
        <f t="shared" si="38"/>
        <v>0</v>
      </c>
      <c r="AA150" s="130">
        <f t="shared" si="38"/>
        <v>0</v>
      </c>
      <c r="AB150" s="130">
        <f t="shared" si="38"/>
        <v>0</v>
      </c>
      <c r="AC150" s="130">
        <f t="shared" si="38"/>
        <v>0</v>
      </c>
      <c r="AD150" s="130">
        <f t="shared" si="38"/>
        <v>0</v>
      </c>
      <c r="AE150" s="130">
        <f t="shared" si="38"/>
        <v>0</v>
      </c>
      <c r="AF150" s="130">
        <f t="shared" si="38"/>
        <v>0</v>
      </c>
      <c r="AG150" s="130">
        <f t="shared" si="38"/>
        <v>0</v>
      </c>
      <c r="AH150" s="130">
        <f t="shared" si="38"/>
        <v>0</v>
      </c>
      <c r="AI150" s="130">
        <f t="shared" si="38"/>
        <v>0</v>
      </c>
      <c r="AJ150" s="47" t="str">
        <f t="shared" si="30"/>
        <v/>
      </c>
      <c r="AK150" s="60"/>
      <c r="AL150" s="60" t="str">
        <f t="shared" si="33"/>
        <v>00</v>
      </c>
      <c r="AM150" s="62" t="str">
        <f t="shared" si="34"/>
        <v>00</v>
      </c>
      <c r="AN150" s="62" t="str">
        <f t="shared" si="35"/>
        <v>00</v>
      </c>
      <c r="AO150" s="62" t="str">
        <f t="shared" si="36"/>
        <v>00</v>
      </c>
      <c r="AQ150" t="str">
        <f t="shared" si="31"/>
        <v/>
      </c>
    </row>
    <row r="151" spans="2:43">
      <c r="B151" s="138"/>
      <c r="C151" s="47">
        <f t="shared" si="32"/>
        <v>15</v>
      </c>
      <c r="D151" s="130">
        <f t="shared" si="38"/>
        <v>0</v>
      </c>
      <c r="E151" s="130">
        <f t="shared" si="38"/>
        <v>0</v>
      </c>
      <c r="F151" s="130">
        <f t="shared" si="38"/>
        <v>0</v>
      </c>
      <c r="G151" s="130">
        <f t="shared" si="38"/>
        <v>0</v>
      </c>
      <c r="H151" s="130">
        <f t="shared" si="38"/>
        <v>0</v>
      </c>
      <c r="I151" s="130">
        <f t="shared" si="38"/>
        <v>0</v>
      </c>
      <c r="J151" s="130">
        <f t="shared" si="38"/>
        <v>0</v>
      </c>
      <c r="K151" s="130">
        <f t="shared" si="38"/>
        <v>0</v>
      </c>
      <c r="L151" s="130">
        <f t="shared" si="38"/>
        <v>0</v>
      </c>
      <c r="M151" s="130">
        <f t="shared" si="38"/>
        <v>0</v>
      </c>
      <c r="N151" s="130">
        <f t="shared" si="38"/>
        <v>0</v>
      </c>
      <c r="O151" s="130">
        <f t="shared" si="38"/>
        <v>0</v>
      </c>
      <c r="P151" s="130">
        <f t="shared" si="38"/>
        <v>0</v>
      </c>
      <c r="Q151" s="130">
        <f t="shared" si="38"/>
        <v>0</v>
      </c>
      <c r="R151" s="130">
        <f t="shared" si="38"/>
        <v>0</v>
      </c>
      <c r="S151" s="130">
        <f t="shared" si="38"/>
        <v>0</v>
      </c>
      <c r="T151" s="130">
        <f t="shared" si="38"/>
        <v>0</v>
      </c>
      <c r="U151" s="130">
        <f t="shared" si="38"/>
        <v>0</v>
      </c>
      <c r="V151" s="130">
        <f t="shared" si="38"/>
        <v>0</v>
      </c>
      <c r="W151" s="130">
        <f t="shared" si="38"/>
        <v>0</v>
      </c>
      <c r="X151" s="130">
        <f t="shared" si="38"/>
        <v>0</v>
      </c>
      <c r="Y151" s="130">
        <f t="shared" si="38"/>
        <v>0</v>
      </c>
      <c r="Z151" s="130">
        <f t="shared" si="38"/>
        <v>0</v>
      </c>
      <c r="AA151" s="130">
        <f t="shared" si="38"/>
        <v>0</v>
      </c>
      <c r="AB151" s="130">
        <f t="shared" si="38"/>
        <v>0</v>
      </c>
      <c r="AC151" s="130">
        <f t="shared" si="38"/>
        <v>0</v>
      </c>
      <c r="AD151" s="130">
        <f t="shared" si="38"/>
        <v>0</v>
      </c>
      <c r="AE151" s="130">
        <f t="shared" si="38"/>
        <v>0</v>
      </c>
      <c r="AF151" s="130">
        <f t="shared" si="38"/>
        <v>0</v>
      </c>
      <c r="AG151" s="130">
        <f t="shared" si="38"/>
        <v>0</v>
      </c>
      <c r="AH151" s="130">
        <f t="shared" si="38"/>
        <v>0</v>
      </c>
      <c r="AI151" s="130">
        <f t="shared" ref="AI151" si="39">IF(OR(AI21=0,AI21=1),1,0)</f>
        <v>0</v>
      </c>
      <c r="AJ151" s="47" t="str">
        <f t="shared" si="30"/>
        <v/>
      </c>
      <c r="AK151" s="60"/>
      <c r="AL151" s="60" t="str">
        <f t="shared" si="33"/>
        <v>00</v>
      </c>
      <c r="AM151" s="62" t="str">
        <f t="shared" si="34"/>
        <v>00</v>
      </c>
      <c r="AN151" s="62" t="str">
        <f t="shared" si="35"/>
        <v>00</v>
      </c>
      <c r="AO151" s="62" t="str">
        <f t="shared" si="36"/>
        <v>00</v>
      </c>
      <c r="AQ151" t="str">
        <f t="shared" si="31"/>
        <v/>
      </c>
    </row>
    <row r="152" spans="2:43">
      <c r="B152" s="138"/>
      <c r="C152" s="47">
        <f t="shared" si="32"/>
        <v>16</v>
      </c>
      <c r="D152" s="130">
        <f t="shared" ref="D152:AI159" si="40">IF(OR(D22=0,D22=1),1,0)</f>
        <v>0</v>
      </c>
      <c r="E152" s="130">
        <f t="shared" si="40"/>
        <v>0</v>
      </c>
      <c r="F152" s="130">
        <f t="shared" si="40"/>
        <v>0</v>
      </c>
      <c r="G152" s="130">
        <f t="shared" si="40"/>
        <v>0</v>
      </c>
      <c r="H152" s="130">
        <f t="shared" si="40"/>
        <v>0</v>
      </c>
      <c r="I152" s="130">
        <f t="shared" si="40"/>
        <v>0</v>
      </c>
      <c r="J152" s="130">
        <f t="shared" si="40"/>
        <v>0</v>
      </c>
      <c r="K152" s="130">
        <f t="shared" si="40"/>
        <v>0</v>
      </c>
      <c r="L152" s="130">
        <f t="shared" si="40"/>
        <v>0</v>
      </c>
      <c r="M152" s="130">
        <f t="shared" si="40"/>
        <v>0</v>
      </c>
      <c r="N152" s="130">
        <f t="shared" si="40"/>
        <v>0</v>
      </c>
      <c r="O152" s="130">
        <f t="shared" si="40"/>
        <v>0</v>
      </c>
      <c r="P152" s="130">
        <f t="shared" si="40"/>
        <v>0</v>
      </c>
      <c r="Q152" s="130">
        <f t="shared" si="40"/>
        <v>0</v>
      </c>
      <c r="R152" s="130">
        <f t="shared" si="40"/>
        <v>0</v>
      </c>
      <c r="S152" s="130">
        <f t="shared" si="40"/>
        <v>0</v>
      </c>
      <c r="T152" s="130">
        <f t="shared" si="40"/>
        <v>0</v>
      </c>
      <c r="U152" s="130">
        <f t="shared" si="40"/>
        <v>0</v>
      </c>
      <c r="V152" s="130">
        <f t="shared" si="40"/>
        <v>0</v>
      </c>
      <c r="W152" s="130">
        <f t="shared" si="40"/>
        <v>0</v>
      </c>
      <c r="X152" s="130">
        <f t="shared" si="40"/>
        <v>0</v>
      </c>
      <c r="Y152" s="130">
        <f t="shared" si="40"/>
        <v>0</v>
      </c>
      <c r="Z152" s="130">
        <f t="shared" si="40"/>
        <v>0</v>
      </c>
      <c r="AA152" s="130">
        <f t="shared" si="40"/>
        <v>0</v>
      </c>
      <c r="AB152" s="130">
        <f t="shared" si="40"/>
        <v>0</v>
      </c>
      <c r="AC152" s="130">
        <f t="shared" si="40"/>
        <v>0</v>
      </c>
      <c r="AD152" s="130">
        <f t="shared" si="40"/>
        <v>0</v>
      </c>
      <c r="AE152" s="130">
        <f t="shared" si="40"/>
        <v>0</v>
      </c>
      <c r="AF152" s="130">
        <f t="shared" si="40"/>
        <v>0</v>
      </c>
      <c r="AG152" s="130">
        <f t="shared" si="40"/>
        <v>0</v>
      </c>
      <c r="AH152" s="130">
        <f t="shared" si="40"/>
        <v>0</v>
      </c>
      <c r="AI152" s="130">
        <f t="shared" si="40"/>
        <v>0</v>
      </c>
      <c r="AJ152" s="47" t="str">
        <f t="shared" si="30"/>
        <v/>
      </c>
      <c r="AK152" s="60"/>
      <c r="AL152" s="60" t="str">
        <f t="shared" si="33"/>
        <v>00</v>
      </c>
      <c r="AM152" s="62" t="str">
        <f t="shared" si="34"/>
        <v>00</v>
      </c>
      <c r="AN152" s="62" t="str">
        <f t="shared" si="35"/>
        <v>00</v>
      </c>
      <c r="AO152" s="62" t="str">
        <f t="shared" si="36"/>
        <v>00</v>
      </c>
      <c r="AQ152" t="str">
        <f t="shared" si="31"/>
        <v/>
      </c>
    </row>
    <row r="153" spans="2:43">
      <c r="B153" s="138"/>
      <c r="C153" s="47">
        <f t="shared" si="32"/>
        <v>17</v>
      </c>
      <c r="D153" s="130">
        <f t="shared" si="40"/>
        <v>0</v>
      </c>
      <c r="E153" s="130">
        <f t="shared" si="40"/>
        <v>0</v>
      </c>
      <c r="F153" s="130">
        <f t="shared" si="40"/>
        <v>0</v>
      </c>
      <c r="G153" s="130">
        <f t="shared" si="40"/>
        <v>0</v>
      </c>
      <c r="H153" s="130">
        <f t="shared" si="40"/>
        <v>0</v>
      </c>
      <c r="I153" s="130">
        <f t="shared" si="40"/>
        <v>0</v>
      </c>
      <c r="J153" s="130">
        <f t="shared" si="40"/>
        <v>0</v>
      </c>
      <c r="K153" s="130">
        <f t="shared" si="40"/>
        <v>0</v>
      </c>
      <c r="L153" s="130">
        <f t="shared" si="40"/>
        <v>0</v>
      </c>
      <c r="M153" s="130">
        <f t="shared" si="40"/>
        <v>0</v>
      </c>
      <c r="N153" s="130">
        <f t="shared" si="40"/>
        <v>0</v>
      </c>
      <c r="O153" s="130">
        <f t="shared" si="40"/>
        <v>0</v>
      </c>
      <c r="P153" s="130">
        <f t="shared" si="40"/>
        <v>0</v>
      </c>
      <c r="Q153" s="130">
        <f t="shared" si="40"/>
        <v>0</v>
      </c>
      <c r="R153" s="130">
        <f t="shared" si="40"/>
        <v>0</v>
      </c>
      <c r="S153" s="130">
        <f t="shared" si="40"/>
        <v>0</v>
      </c>
      <c r="T153" s="130">
        <f t="shared" si="40"/>
        <v>0</v>
      </c>
      <c r="U153" s="130">
        <f t="shared" si="40"/>
        <v>0</v>
      </c>
      <c r="V153" s="130">
        <f t="shared" si="40"/>
        <v>0</v>
      </c>
      <c r="W153" s="130">
        <f t="shared" si="40"/>
        <v>0</v>
      </c>
      <c r="X153" s="130">
        <f t="shared" si="40"/>
        <v>0</v>
      </c>
      <c r="Y153" s="130">
        <f t="shared" si="40"/>
        <v>0</v>
      </c>
      <c r="Z153" s="130">
        <f t="shared" si="40"/>
        <v>0</v>
      </c>
      <c r="AA153" s="130">
        <f t="shared" si="40"/>
        <v>0</v>
      </c>
      <c r="AB153" s="130">
        <f t="shared" si="40"/>
        <v>0</v>
      </c>
      <c r="AC153" s="130">
        <f t="shared" si="40"/>
        <v>0</v>
      </c>
      <c r="AD153" s="130">
        <f t="shared" si="40"/>
        <v>0</v>
      </c>
      <c r="AE153" s="130">
        <f t="shared" si="40"/>
        <v>0</v>
      </c>
      <c r="AF153" s="130">
        <f t="shared" si="40"/>
        <v>0</v>
      </c>
      <c r="AG153" s="130">
        <f t="shared" si="40"/>
        <v>0</v>
      </c>
      <c r="AH153" s="130">
        <f t="shared" si="40"/>
        <v>0</v>
      </c>
      <c r="AI153" s="130">
        <f t="shared" si="40"/>
        <v>0</v>
      </c>
      <c r="AJ153" s="47" t="str">
        <f t="shared" si="30"/>
        <v/>
      </c>
      <c r="AK153" s="60"/>
      <c r="AL153" s="60" t="str">
        <f t="shared" si="33"/>
        <v>00</v>
      </c>
      <c r="AM153" s="62" t="str">
        <f t="shared" si="34"/>
        <v>00</v>
      </c>
      <c r="AN153" s="62" t="str">
        <f t="shared" si="35"/>
        <v>00</v>
      </c>
      <c r="AO153" s="62" t="str">
        <f t="shared" si="36"/>
        <v>00</v>
      </c>
      <c r="AQ153" t="str">
        <f t="shared" si="31"/>
        <v/>
      </c>
    </row>
    <row r="154" spans="2:43">
      <c r="B154" s="138"/>
      <c r="C154" s="47">
        <f t="shared" si="32"/>
        <v>18</v>
      </c>
      <c r="D154" s="130">
        <f t="shared" si="40"/>
        <v>0</v>
      </c>
      <c r="E154" s="130">
        <f t="shared" si="40"/>
        <v>0</v>
      </c>
      <c r="F154" s="130">
        <f t="shared" si="40"/>
        <v>0</v>
      </c>
      <c r="G154" s="130">
        <f t="shared" si="40"/>
        <v>0</v>
      </c>
      <c r="H154" s="130">
        <f t="shared" si="40"/>
        <v>0</v>
      </c>
      <c r="I154" s="130">
        <f t="shared" si="40"/>
        <v>0</v>
      </c>
      <c r="J154" s="130">
        <f t="shared" si="40"/>
        <v>0</v>
      </c>
      <c r="K154" s="130">
        <f t="shared" si="40"/>
        <v>0</v>
      </c>
      <c r="L154" s="130">
        <f t="shared" si="40"/>
        <v>0</v>
      </c>
      <c r="M154" s="130">
        <f t="shared" si="40"/>
        <v>0</v>
      </c>
      <c r="N154" s="130">
        <f t="shared" si="40"/>
        <v>0</v>
      </c>
      <c r="O154" s="130">
        <f t="shared" si="40"/>
        <v>0</v>
      </c>
      <c r="P154" s="130">
        <f t="shared" si="40"/>
        <v>0</v>
      </c>
      <c r="Q154" s="130">
        <f t="shared" si="40"/>
        <v>0</v>
      </c>
      <c r="R154" s="130">
        <f t="shared" si="40"/>
        <v>0</v>
      </c>
      <c r="S154" s="130">
        <f t="shared" si="40"/>
        <v>0</v>
      </c>
      <c r="T154" s="130">
        <f t="shared" si="40"/>
        <v>0</v>
      </c>
      <c r="U154" s="130">
        <f t="shared" si="40"/>
        <v>0</v>
      </c>
      <c r="V154" s="130">
        <f t="shared" si="40"/>
        <v>0</v>
      </c>
      <c r="W154" s="130">
        <f t="shared" si="40"/>
        <v>0</v>
      </c>
      <c r="X154" s="130">
        <f t="shared" si="40"/>
        <v>0</v>
      </c>
      <c r="Y154" s="130">
        <f t="shared" si="40"/>
        <v>0</v>
      </c>
      <c r="Z154" s="130">
        <f t="shared" si="40"/>
        <v>0</v>
      </c>
      <c r="AA154" s="130">
        <f t="shared" si="40"/>
        <v>0</v>
      </c>
      <c r="AB154" s="130">
        <f t="shared" si="40"/>
        <v>0</v>
      </c>
      <c r="AC154" s="130">
        <f t="shared" si="40"/>
        <v>0</v>
      </c>
      <c r="AD154" s="130">
        <f t="shared" si="40"/>
        <v>0</v>
      </c>
      <c r="AE154" s="130">
        <f t="shared" si="40"/>
        <v>0</v>
      </c>
      <c r="AF154" s="130">
        <f t="shared" si="40"/>
        <v>0</v>
      </c>
      <c r="AG154" s="130">
        <f t="shared" si="40"/>
        <v>0</v>
      </c>
      <c r="AH154" s="130">
        <f t="shared" si="40"/>
        <v>0</v>
      </c>
      <c r="AI154" s="130">
        <f t="shared" si="40"/>
        <v>0</v>
      </c>
      <c r="AJ154" s="47" t="str">
        <f t="shared" si="30"/>
        <v/>
      </c>
      <c r="AK154" s="60"/>
      <c r="AL154" s="60" t="str">
        <f t="shared" si="33"/>
        <v>00</v>
      </c>
      <c r="AM154" s="62" t="str">
        <f t="shared" si="34"/>
        <v>00</v>
      </c>
      <c r="AN154" s="62" t="str">
        <f t="shared" si="35"/>
        <v>00</v>
      </c>
      <c r="AO154" s="62" t="str">
        <f t="shared" si="36"/>
        <v>00</v>
      </c>
      <c r="AQ154" t="str">
        <f t="shared" si="31"/>
        <v/>
      </c>
    </row>
    <row r="155" spans="2:43">
      <c r="B155" s="138"/>
      <c r="C155" s="47">
        <f t="shared" si="32"/>
        <v>19</v>
      </c>
      <c r="D155" s="130">
        <f t="shared" si="40"/>
        <v>0</v>
      </c>
      <c r="E155" s="130">
        <f t="shared" si="40"/>
        <v>0</v>
      </c>
      <c r="F155" s="130">
        <f t="shared" si="40"/>
        <v>0</v>
      </c>
      <c r="G155" s="130">
        <f t="shared" si="40"/>
        <v>0</v>
      </c>
      <c r="H155" s="130">
        <f t="shared" si="40"/>
        <v>0</v>
      </c>
      <c r="I155" s="130">
        <f t="shared" si="40"/>
        <v>0</v>
      </c>
      <c r="J155" s="130">
        <f t="shared" si="40"/>
        <v>0</v>
      </c>
      <c r="K155" s="130">
        <f t="shared" si="40"/>
        <v>0</v>
      </c>
      <c r="L155" s="130">
        <f t="shared" si="40"/>
        <v>0</v>
      </c>
      <c r="M155" s="130">
        <f t="shared" si="40"/>
        <v>0</v>
      </c>
      <c r="N155" s="130">
        <f t="shared" si="40"/>
        <v>0</v>
      </c>
      <c r="O155" s="130">
        <f t="shared" si="40"/>
        <v>0</v>
      </c>
      <c r="P155" s="130">
        <f t="shared" si="40"/>
        <v>0</v>
      </c>
      <c r="Q155" s="130">
        <f t="shared" si="40"/>
        <v>0</v>
      </c>
      <c r="R155" s="130">
        <f t="shared" si="40"/>
        <v>0</v>
      </c>
      <c r="S155" s="130">
        <f t="shared" si="40"/>
        <v>0</v>
      </c>
      <c r="T155" s="130">
        <f t="shared" si="40"/>
        <v>0</v>
      </c>
      <c r="U155" s="130">
        <f t="shared" si="40"/>
        <v>0</v>
      </c>
      <c r="V155" s="130">
        <f t="shared" si="40"/>
        <v>0</v>
      </c>
      <c r="W155" s="130">
        <f t="shared" si="40"/>
        <v>0</v>
      </c>
      <c r="X155" s="130">
        <f t="shared" si="40"/>
        <v>0</v>
      </c>
      <c r="Y155" s="130">
        <f t="shared" si="40"/>
        <v>0</v>
      </c>
      <c r="Z155" s="130">
        <f t="shared" si="40"/>
        <v>0</v>
      </c>
      <c r="AA155" s="130">
        <f t="shared" si="40"/>
        <v>0</v>
      </c>
      <c r="AB155" s="130">
        <f t="shared" si="40"/>
        <v>0</v>
      </c>
      <c r="AC155" s="130">
        <f t="shared" si="40"/>
        <v>0</v>
      </c>
      <c r="AD155" s="130">
        <f t="shared" si="40"/>
        <v>0</v>
      </c>
      <c r="AE155" s="130">
        <f t="shared" si="40"/>
        <v>0</v>
      </c>
      <c r="AF155" s="130">
        <f t="shared" si="40"/>
        <v>0</v>
      </c>
      <c r="AG155" s="130">
        <f t="shared" si="40"/>
        <v>0</v>
      </c>
      <c r="AH155" s="130">
        <f t="shared" si="40"/>
        <v>0</v>
      </c>
      <c r="AI155" s="130">
        <f t="shared" si="40"/>
        <v>0</v>
      </c>
      <c r="AJ155" s="47" t="str">
        <f t="shared" si="30"/>
        <v/>
      </c>
      <c r="AK155" s="60"/>
      <c r="AL155" s="60" t="str">
        <f t="shared" si="33"/>
        <v>00</v>
      </c>
      <c r="AM155" s="62" t="str">
        <f t="shared" si="34"/>
        <v>00</v>
      </c>
      <c r="AN155" s="62" t="str">
        <f t="shared" si="35"/>
        <v>00</v>
      </c>
      <c r="AO155" s="62" t="str">
        <f t="shared" si="36"/>
        <v>00</v>
      </c>
      <c r="AQ155" t="str">
        <f t="shared" si="31"/>
        <v/>
      </c>
    </row>
    <row r="156" spans="2:43">
      <c r="B156" s="138"/>
      <c r="C156" s="47">
        <f t="shared" si="32"/>
        <v>20</v>
      </c>
      <c r="D156" s="130">
        <f t="shared" si="40"/>
        <v>0</v>
      </c>
      <c r="E156" s="130">
        <f t="shared" si="40"/>
        <v>0</v>
      </c>
      <c r="F156" s="130">
        <f t="shared" si="40"/>
        <v>0</v>
      </c>
      <c r="G156" s="130">
        <f t="shared" si="40"/>
        <v>0</v>
      </c>
      <c r="H156" s="130">
        <f t="shared" si="40"/>
        <v>0</v>
      </c>
      <c r="I156" s="130">
        <f t="shared" si="40"/>
        <v>0</v>
      </c>
      <c r="J156" s="130">
        <f t="shared" si="40"/>
        <v>0</v>
      </c>
      <c r="K156" s="130">
        <f t="shared" si="40"/>
        <v>0</v>
      </c>
      <c r="L156" s="130">
        <f t="shared" si="40"/>
        <v>0</v>
      </c>
      <c r="M156" s="130">
        <f t="shared" si="40"/>
        <v>0</v>
      </c>
      <c r="N156" s="130">
        <f t="shared" si="40"/>
        <v>0</v>
      </c>
      <c r="O156" s="130">
        <f t="shared" si="40"/>
        <v>0</v>
      </c>
      <c r="P156" s="130">
        <f t="shared" si="40"/>
        <v>0</v>
      </c>
      <c r="Q156" s="130">
        <f t="shared" si="40"/>
        <v>0</v>
      </c>
      <c r="R156" s="130">
        <f t="shared" si="40"/>
        <v>0</v>
      </c>
      <c r="S156" s="130">
        <f t="shared" si="40"/>
        <v>0</v>
      </c>
      <c r="T156" s="130">
        <f t="shared" si="40"/>
        <v>0</v>
      </c>
      <c r="U156" s="130">
        <f t="shared" si="40"/>
        <v>0</v>
      </c>
      <c r="V156" s="130">
        <f t="shared" si="40"/>
        <v>0</v>
      </c>
      <c r="W156" s="130">
        <f t="shared" si="40"/>
        <v>0</v>
      </c>
      <c r="X156" s="130">
        <f t="shared" si="40"/>
        <v>0</v>
      </c>
      <c r="Y156" s="130">
        <f t="shared" si="40"/>
        <v>0</v>
      </c>
      <c r="Z156" s="130">
        <f t="shared" si="40"/>
        <v>0</v>
      </c>
      <c r="AA156" s="130">
        <f t="shared" si="40"/>
        <v>0</v>
      </c>
      <c r="AB156" s="130">
        <f t="shared" si="40"/>
        <v>0</v>
      </c>
      <c r="AC156" s="130">
        <f t="shared" si="40"/>
        <v>0</v>
      </c>
      <c r="AD156" s="130">
        <f t="shared" si="40"/>
        <v>0</v>
      </c>
      <c r="AE156" s="130">
        <f t="shared" si="40"/>
        <v>0</v>
      </c>
      <c r="AF156" s="130">
        <f t="shared" si="40"/>
        <v>0</v>
      </c>
      <c r="AG156" s="130">
        <f t="shared" si="40"/>
        <v>0</v>
      </c>
      <c r="AH156" s="130">
        <f t="shared" si="40"/>
        <v>0</v>
      </c>
      <c r="AI156" s="130">
        <f t="shared" si="40"/>
        <v>0</v>
      </c>
      <c r="AJ156" s="47" t="str">
        <f t="shared" si="30"/>
        <v/>
      </c>
      <c r="AK156" s="60"/>
      <c r="AL156" s="60" t="str">
        <f t="shared" si="33"/>
        <v>00</v>
      </c>
      <c r="AM156" s="62" t="str">
        <f t="shared" si="34"/>
        <v>00</v>
      </c>
      <c r="AN156" s="62" t="str">
        <f t="shared" si="35"/>
        <v>00</v>
      </c>
      <c r="AO156" s="62" t="str">
        <f t="shared" si="36"/>
        <v>00</v>
      </c>
      <c r="AQ156" t="str">
        <f t="shared" si="31"/>
        <v/>
      </c>
    </row>
    <row r="157" spans="2:43">
      <c r="B157" s="138"/>
      <c r="C157" s="47">
        <f t="shared" si="32"/>
        <v>21</v>
      </c>
      <c r="D157" s="130">
        <f t="shared" si="40"/>
        <v>0</v>
      </c>
      <c r="E157" s="130">
        <f t="shared" si="40"/>
        <v>0</v>
      </c>
      <c r="F157" s="130">
        <f t="shared" si="40"/>
        <v>0</v>
      </c>
      <c r="G157" s="130">
        <f t="shared" si="40"/>
        <v>0</v>
      </c>
      <c r="H157" s="130">
        <f t="shared" si="40"/>
        <v>0</v>
      </c>
      <c r="I157" s="130">
        <f t="shared" si="40"/>
        <v>0</v>
      </c>
      <c r="J157" s="130">
        <f t="shared" si="40"/>
        <v>0</v>
      </c>
      <c r="K157" s="130">
        <f t="shared" si="40"/>
        <v>0</v>
      </c>
      <c r="L157" s="130">
        <f t="shared" si="40"/>
        <v>0</v>
      </c>
      <c r="M157" s="130">
        <f t="shared" si="40"/>
        <v>0</v>
      </c>
      <c r="N157" s="130">
        <f t="shared" si="40"/>
        <v>0</v>
      </c>
      <c r="O157" s="130">
        <f t="shared" si="40"/>
        <v>0</v>
      </c>
      <c r="P157" s="130">
        <f t="shared" si="40"/>
        <v>0</v>
      </c>
      <c r="Q157" s="130">
        <f t="shared" si="40"/>
        <v>0</v>
      </c>
      <c r="R157" s="130">
        <f t="shared" si="40"/>
        <v>0</v>
      </c>
      <c r="S157" s="130">
        <f t="shared" si="40"/>
        <v>0</v>
      </c>
      <c r="T157" s="130">
        <f t="shared" si="40"/>
        <v>0</v>
      </c>
      <c r="U157" s="130">
        <f t="shared" si="40"/>
        <v>0</v>
      </c>
      <c r="V157" s="130">
        <f t="shared" si="40"/>
        <v>0</v>
      </c>
      <c r="W157" s="130">
        <f t="shared" si="40"/>
        <v>0</v>
      </c>
      <c r="X157" s="130">
        <f t="shared" si="40"/>
        <v>0</v>
      </c>
      <c r="Y157" s="130">
        <f t="shared" si="40"/>
        <v>0</v>
      </c>
      <c r="Z157" s="130">
        <f t="shared" si="40"/>
        <v>0</v>
      </c>
      <c r="AA157" s="130">
        <f t="shared" si="40"/>
        <v>0</v>
      </c>
      <c r="AB157" s="130">
        <f t="shared" si="40"/>
        <v>0</v>
      </c>
      <c r="AC157" s="130">
        <f t="shared" si="40"/>
        <v>0</v>
      </c>
      <c r="AD157" s="130">
        <f t="shared" si="40"/>
        <v>0</v>
      </c>
      <c r="AE157" s="130">
        <f t="shared" si="40"/>
        <v>0</v>
      </c>
      <c r="AF157" s="130">
        <f t="shared" si="40"/>
        <v>0</v>
      </c>
      <c r="AG157" s="130">
        <f t="shared" si="40"/>
        <v>0</v>
      </c>
      <c r="AH157" s="130">
        <f t="shared" si="40"/>
        <v>0</v>
      </c>
      <c r="AI157" s="130">
        <f t="shared" si="40"/>
        <v>0</v>
      </c>
      <c r="AJ157" s="47" t="str">
        <f t="shared" si="30"/>
        <v/>
      </c>
      <c r="AK157" s="60"/>
      <c r="AL157" s="60" t="str">
        <f t="shared" si="33"/>
        <v>00</v>
      </c>
      <c r="AM157" s="62" t="str">
        <f t="shared" si="34"/>
        <v>00</v>
      </c>
      <c r="AN157" s="62" t="str">
        <f t="shared" si="35"/>
        <v>00</v>
      </c>
      <c r="AO157" s="62" t="str">
        <f t="shared" si="36"/>
        <v>00</v>
      </c>
      <c r="AQ157" t="str">
        <f t="shared" si="31"/>
        <v/>
      </c>
    </row>
    <row r="158" spans="2:43">
      <c r="B158" s="138"/>
      <c r="C158" s="47">
        <f t="shared" si="32"/>
        <v>22</v>
      </c>
      <c r="D158" s="130">
        <f t="shared" si="40"/>
        <v>0</v>
      </c>
      <c r="E158" s="130">
        <f t="shared" si="40"/>
        <v>0</v>
      </c>
      <c r="F158" s="130">
        <f t="shared" si="40"/>
        <v>0</v>
      </c>
      <c r="G158" s="130">
        <f t="shared" si="40"/>
        <v>0</v>
      </c>
      <c r="H158" s="130">
        <f t="shared" si="40"/>
        <v>0</v>
      </c>
      <c r="I158" s="130">
        <f t="shared" si="40"/>
        <v>0</v>
      </c>
      <c r="J158" s="130">
        <f t="shared" si="40"/>
        <v>0</v>
      </c>
      <c r="K158" s="130">
        <f t="shared" si="40"/>
        <v>0</v>
      </c>
      <c r="L158" s="130">
        <f t="shared" si="40"/>
        <v>0</v>
      </c>
      <c r="M158" s="130">
        <f t="shared" si="40"/>
        <v>0</v>
      </c>
      <c r="N158" s="130">
        <f t="shared" si="40"/>
        <v>0</v>
      </c>
      <c r="O158" s="130">
        <f t="shared" si="40"/>
        <v>0</v>
      </c>
      <c r="P158" s="130">
        <f t="shared" si="40"/>
        <v>0</v>
      </c>
      <c r="Q158" s="130">
        <f t="shared" si="40"/>
        <v>0</v>
      </c>
      <c r="R158" s="130">
        <f t="shared" si="40"/>
        <v>0</v>
      </c>
      <c r="S158" s="130">
        <f t="shared" si="40"/>
        <v>0</v>
      </c>
      <c r="T158" s="130">
        <f t="shared" si="40"/>
        <v>0</v>
      </c>
      <c r="U158" s="130">
        <f t="shared" si="40"/>
        <v>0</v>
      </c>
      <c r="V158" s="130">
        <f t="shared" si="40"/>
        <v>0</v>
      </c>
      <c r="W158" s="130">
        <f t="shared" si="40"/>
        <v>0</v>
      </c>
      <c r="X158" s="130">
        <f t="shared" si="40"/>
        <v>0</v>
      </c>
      <c r="Y158" s="130">
        <f t="shared" si="40"/>
        <v>0</v>
      </c>
      <c r="Z158" s="130">
        <f t="shared" si="40"/>
        <v>0</v>
      </c>
      <c r="AA158" s="130">
        <f t="shared" si="40"/>
        <v>0</v>
      </c>
      <c r="AB158" s="130">
        <f t="shared" si="40"/>
        <v>0</v>
      </c>
      <c r="AC158" s="130">
        <f t="shared" si="40"/>
        <v>0</v>
      </c>
      <c r="AD158" s="130">
        <f t="shared" si="40"/>
        <v>0</v>
      </c>
      <c r="AE158" s="130">
        <f t="shared" si="40"/>
        <v>0</v>
      </c>
      <c r="AF158" s="130">
        <f t="shared" si="40"/>
        <v>0</v>
      </c>
      <c r="AG158" s="130">
        <f t="shared" si="40"/>
        <v>0</v>
      </c>
      <c r="AH158" s="130">
        <f t="shared" si="40"/>
        <v>0</v>
      </c>
      <c r="AI158" s="130">
        <f t="shared" si="40"/>
        <v>0</v>
      </c>
      <c r="AJ158" s="47" t="str">
        <f t="shared" si="30"/>
        <v/>
      </c>
      <c r="AK158" s="60"/>
      <c r="AL158" s="60" t="str">
        <f t="shared" si="33"/>
        <v>00</v>
      </c>
      <c r="AM158" s="62" t="str">
        <f t="shared" si="34"/>
        <v>00</v>
      </c>
      <c r="AN158" s="62" t="str">
        <f t="shared" si="35"/>
        <v>00</v>
      </c>
      <c r="AO158" s="62" t="str">
        <f t="shared" si="36"/>
        <v>00</v>
      </c>
      <c r="AQ158" t="str">
        <f t="shared" si="31"/>
        <v/>
      </c>
    </row>
    <row r="159" spans="2:43">
      <c r="B159" s="138"/>
      <c r="C159" s="47">
        <f t="shared" si="32"/>
        <v>23</v>
      </c>
      <c r="D159" s="130">
        <f t="shared" si="40"/>
        <v>0</v>
      </c>
      <c r="E159" s="130">
        <f t="shared" si="40"/>
        <v>0</v>
      </c>
      <c r="F159" s="130">
        <f t="shared" si="40"/>
        <v>0</v>
      </c>
      <c r="G159" s="130">
        <f t="shared" si="40"/>
        <v>0</v>
      </c>
      <c r="H159" s="130">
        <f t="shared" si="40"/>
        <v>0</v>
      </c>
      <c r="I159" s="130">
        <f t="shared" si="40"/>
        <v>0</v>
      </c>
      <c r="J159" s="130">
        <f t="shared" si="40"/>
        <v>0</v>
      </c>
      <c r="K159" s="130">
        <f t="shared" si="40"/>
        <v>0</v>
      </c>
      <c r="L159" s="130">
        <f t="shared" si="40"/>
        <v>0</v>
      </c>
      <c r="M159" s="130">
        <f t="shared" si="40"/>
        <v>0</v>
      </c>
      <c r="N159" s="130">
        <f t="shared" si="40"/>
        <v>0</v>
      </c>
      <c r="O159" s="130">
        <f t="shared" si="40"/>
        <v>0</v>
      </c>
      <c r="P159" s="130">
        <f t="shared" si="40"/>
        <v>0</v>
      </c>
      <c r="Q159" s="130">
        <f t="shared" si="40"/>
        <v>0</v>
      </c>
      <c r="R159" s="130">
        <f t="shared" si="40"/>
        <v>0</v>
      </c>
      <c r="S159" s="130">
        <f t="shared" si="40"/>
        <v>0</v>
      </c>
      <c r="T159" s="130">
        <f t="shared" si="40"/>
        <v>0</v>
      </c>
      <c r="U159" s="130">
        <f t="shared" si="40"/>
        <v>0</v>
      </c>
      <c r="V159" s="130">
        <f t="shared" si="40"/>
        <v>0</v>
      </c>
      <c r="W159" s="130">
        <f t="shared" si="40"/>
        <v>0</v>
      </c>
      <c r="X159" s="130">
        <f t="shared" si="40"/>
        <v>0</v>
      </c>
      <c r="Y159" s="130">
        <f t="shared" si="40"/>
        <v>0</v>
      </c>
      <c r="Z159" s="130">
        <f t="shared" si="40"/>
        <v>0</v>
      </c>
      <c r="AA159" s="130">
        <f t="shared" si="40"/>
        <v>0</v>
      </c>
      <c r="AB159" s="130">
        <f t="shared" si="40"/>
        <v>0</v>
      </c>
      <c r="AC159" s="130">
        <f t="shared" si="40"/>
        <v>0</v>
      </c>
      <c r="AD159" s="130">
        <f t="shared" si="40"/>
        <v>0</v>
      </c>
      <c r="AE159" s="130">
        <f t="shared" si="40"/>
        <v>0</v>
      </c>
      <c r="AF159" s="130">
        <f t="shared" si="40"/>
        <v>0</v>
      </c>
      <c r="AG159" s="130">
        <f t="shared" si="40"/>
        <v>0</v>
      </c>
      <c r="AH159" s="130">
        <f t="shared" si="40"/>
        <v>0</v>
      </c>
      <c r="AI159" s="130">
        <f t="shared" ref="AI159" si="41">IF(OR(AI29=0,AI29=1),1,0)</f>
        <v>0</v>
      </c>
      <c r="AJ159" s="47" t="str">
        <f t="shared" si="30"/>
        <v/>
      </c>
      <c r="AK159" s="60"/>
      <c r="AL159" s="60" t="str">
        <f t="shared" si="33"/>
        <v>00</v>
      </c>
      <c r="AM159" s="62" t="str">
        <f t="shared" si="34"/>
        <v>00</v>
      </c>
      <c r="AN159" s="62" t="str">
        <f t="shared" si="35"/>
        <v>00</v>
      </c>
      <c r="AO159" s="62" t="str">
        <f t="shared" si="36"/>
        <v>00</v>
      </c>
      <c r="AQ159" t="str">
        <f t="shared" si="31"/>
        <v/>
      </c>
    </row>
    <row r="160" spans="2:43">
      <c r="B160" s="138"/>
      <c r="C160" s="47">
        <f t="shared" si="32"/>
        <v>24</v>
      </c>
      <c r="D160" s="130">
        <f t="shared" ref="D160:AI167" si="42">IF(OR(D30=0,D30=1),1,0)</f>
        <v>0</v>
      </c>
      <c r="E160" s="130">
        <f t="shared" si="42"/>
        <v>0</v>
      </c>
      <c r="F160" s="130">
        <f t="shared" si="42"/>
        <v>0</v>
      </c>
      <c r="G160" s="130">
        <f t="shared" si="42"/>
        <v>0</v>
      </c>
      <c r="H160" s="130">
        <f t="shared" si="42"/>
        <v>0</v>
      </c>
      <c r="I160" s="130">
        <f t="shared" si="42"/>
        <v>0</v>
      </c>
      <c r="J160" s="130">
        <f t="shared" si="42"/>
        <v>0</v>
      </c>
      <c r="K160" s="130">
        <f t="shared" si="42"/>
        <v>0</v>
      </c>
      <c r="L160" s="130">
        <f t="shared" si="42"/>
        <v>0</v>
      </c>
      <c r="M160" s="130">
        <f t="shared" si="42"/>
        <v>0</v>
      </c>
      <c r="N160" s="130">
        <f t="shared" si="42"/>
        <v>0</v>
      </c>
      <c r="O160" s="130">
        <f t="shared" si="42"/>
        <v>0</v>
      </c>
      <c r="P160" s="130">
        <f t="shared" si="42"/>
        <v>0</v>
      </c>
      <c r="Q160" s="130">
        <f t="shared" si="42"/>
        <v>0</v>
      </c>
      <c r="R160" s="130">
        <f t="shared" si="42"/>
        <v>0</v>
      </c>
      <c r="S160" s="130">
        <f t="shared" si="42"/>
        <v>0</v>
      </c>
      <c r="T160" s="130">
        <f t="shared" si="42"/>
        <v>0</v>
      </c>
      <c r="U160" s="130">
        <f t="shared" si="42"/>
        <v>0</v>
      </c>
      <c r="V160" s="130">
        <f t="shared" si="42"/>
        <v>0</v>
      </c>
      <c r="W160" s="130">
        <f t="shared" si="42"/>
        <v>0</v>
      </c>
      <c r="X160" s="130">
        <f t="shared" si="42"/>
        <v>0</v>
      </c>
      <c r="Y160" s="130">
        <f t="shared" si="42"/>
        <v>0</v>
      </c>
      <c r="Z160" s="130">
        <f t="shared" si="42"/>
        <v>0</v>
      </c>
      <c r="AA160" s="130">
        <f t="shared" si="42"/>
        <v>0</v>
      </c>
      <c r="AB160" s="130">
        <f t="shared" si="42"/>
        <v>0</v>
      </c>
      <c r="AC160" s="130">
        <f t="shared" si="42"/>
        <v>0</v>
      </c>
      <c r="AD160" s="130">
        <f t="shared" si="42"/>
        <v>0</v>
      </c>
      <c r="AE160" s="130">
        <f t="shared" si="42"/>
        <v>0</v>
      </c>
      <c r="AF160" s="130">
        <f t="shared" si="42"/>
        <v>0</v>
      </c>
      <c r="AG160" s="130">
        <f t="shared" si="42"/>
        <v>0</v>
      </c>
      <c r="AH160" s="130">
        <f t="shared" si="42"/>
        <v>0</v>
      </c>
      <c r="AI160" s="130">
        <f t="shared" si="42"/>
        <v>0</v>
      </c>
      <c r="AJ160" s="47" t="str">
        <f t="shared" si="30"/>
        <v/>
      </c>
      <c r="AK160" s="60"/>
      <c r="AL160" s="60" t="str">
        <f t="shared" si="33"/>
        <v>00</v>
      </c>
      <c r="AM160" s="62" t="str">
        <f t="shared" si="34"/>
        <v>00</v>
      </c>
      <c r="AN160" s="62" t="str">
        <f t="shared" si="35"/>
        <v>00</v>
      </c>
      <c r="AO160" s="62" t="str">
        <f t="shared" si="36"/>
        <v>00</v>
      </c>
      <c r="AQ160" t="str">
        <f t="shared" si="31"/>
        <v/>
      </c>
    </row>
    <row r="161" spans="2:43">
      <c r="B161" s="138"/>
      <c r="C161" s="47">
        <f t="shared" si="32"/>
        <v>25</v>
      </c>
      <c r="D161" s="130">
        <f t="shared" si="42"/>
        <v>0</v>
      </c>
      <c r="E161" s="130">
        <f t="shared" si="42"/>
        <v>0</v>
      </c>
      <c r="F161" s="130">
        <f t="shared" si="42"/>
        <v>0</v>
      </c>
      <c r="G161" s="130">
        <f t="shared" si="42"/>
        <v>0</v>
      </c>
      <c r="H161" s="130">
        <f t="shared" si="42"/>
        <v>0</v>
      </c>
      <c r="I161" s="130">
        <f t="shared" si="42"/>
        <v>0</v>
      </c>
      <c r="J161" s="130">
        <f t="shared" si="42"/>
        <v>0</v>
      </c>
      <c r="K161" s="130">
        <f t="shared" si="42"/>
        <v>0</v>
      </c>
      <c r="L161" s="130">
        <f t="shared" si="42"/>
        <v>0</v>
      </c>
      <c r="M161" s="130">
        <f t="shared" si="42"/>
        <v>0</v>
      </c>
      <c r="N161" s="130">
        <f t="shared" si="42"/>
        <v>0</v>
      </c>
      <c r="O161" s="130">
        <f t="shared" si="42"/>
        <v>0</v>
      </c>
      <c r="P161" s="130">
        <f t="shared" si="42"/>
        <v>0</v>
      </c>
      <c r="Q161" s="130">
        <f t="shared" si="42"/>
        <v>0</v>
      </c>
      <c r="R161" s="130">
        <f t="shared" si="42"/>
        <v>0</v>
      </c>
      <c r="S161" s="130">
        <f t="shared" si="42"/>
        <v>0</v>
      </c>
      <c r="T161" s="130">
        <f t="shared" si="42"/>
        <v>0</v>
      </c>
      <c r="U161" s="130">
        <f t="shared" si="42"/>
        <v>0</v>
      </c>
      <c r="V161" s="130">
        <f t="shared" si="42"/>
        <v>0</v>
      </c>
      <c r="W161" s="130">
        <f t="shared" si="42"/>
        <v>0</v>
      </c>
      <c r="X161" s="130">
        <f t="shared" si="42"/>
        <v>0</v>
      </c>
      <c r="Y161" s="130">
        <f t="shared" si="42"/>
        <v>0</v>
      </c>
      <c r="Z161" s="130">
        <f t="shared" si="42"/>
        <v>0</v>
      </c>
      <c r="AA161" s="130">
        <f t="shared" si="42"/>
        <v>0</v>
      </c>
      <c r="AB161" s="130">
        <f t="shared" si="42"/>
        <v>0</v>
      </c>
      <c r="AC161" s="130">
        <f t="shared" si="42"/>
        <v>0</v>
      </c>
      <c r="AD161" s="130">
        <f t="shared" si="42"/>
        <v>0</v>
      </c>
      <c r="AE161" s="130">
        <f t="shared" si="42"/>
        <v>0</v>
      </c>
      <c r="AF161" s="130">
        <f t="shared" si="42"/>
        <v>0</v>
      </c>
      <c r="AG161" s="130">
        <f t="shared" si="42"/>
        <v>0</v>
      </c>
      <c r="AH161" s="130">
        <f t="shared" si="42"/>
        <v>0</v>
      </c>
      <c r="AI161" s="130">
        <f t="shared" si="42"/>
        <v>0</v>
      </c>
      <c r="AJ161" s="47" t="str">
        <f t="shared" si="30"/>
        <v/>
      </c>
      <c r="AK161" s="60"/>
      <c r="AL161" s="60" t="str">
        <f t="shared" si="33"/>
        <v>00</v>
      </c>
      <c r="AM161" s="62" t="str">
        <f t="shared" si="34"/>
        <v>00</v>
      </c>
      <c r="AN161" s="62" t="str">
        <f t="shared" si="35"/>
        <v>00</v>
      </c>
      <c r="AO161" s="62" t="str">
        <f t="shared" si="36"/>
        <v>00</v>
      </c>
      <c r="AQ161" t="str">
        <f t="shared" si="31"/>
        <v/>
      </c>
    </row>
    <row r="162" spans="2:43">
      <c r="B162" s="138"/>
      <c r="C162" s="47">
        <f t="shared" si="32"/>
        <v>26</v>
      </c>
      <c r="D162" s="130">
        <f t="shared" si="42"/>
        <v>0</v>
      </c>
      <c r="E162" s="130">
        <f t="shared" si="42"/>
        <v>0</v>
      </c>
      <c r="F162" s="130">
        <f t="shared" si="42"/>
        <v>0</v>
      </c>
      <c r="G162" s="130">
        <f t="shared" si="42"/>
        <v>0</v>
      </c>
      <c r="H162" s="130">
        <f t="shared" si="42"/>
        <v>0</v>
      </c>
      <c r="I162" s="130">
        <f t="shared" si="42"/>
        <v>0</v>
      </c>
      <c r="J162" s="130">
        <f t="shared" si="42"/>
        <v>0</v>
      </c>
      <c r="K162" s="130">
        <f t="shared" si="42"/>
        <v>0</v>
      </c>
      <c r="L162" s="130">
        <f t="shared" si="42"/>
        <v>0</v>
      </c>
      <c r="M162" s="130">
        <f t="shared" si="42"/>
        <v>0</v>
      </c>
      <c r="N162" s="130">
        <f t="shared" si="42"/>
        <v>0</v>
      </c>
      <c r="O162" s="130">
        <f t="shared" si="42"/>
        <v>0</v>
      </c>
      <c r="P162" s="130">
        <f t="shared" si="42"/>
        <v>0</v>
      </c>
      <c r="Q162" s="130">
        <f t="shared" si="42"/>
        <v>0</v>
      </c>
      <c r="R162" s="130">
        <f t="shared" si="42"/>
        <v>0</v>
      </c>
      <c r="S162" s="130">
        <f t="shared" si="42"/>
        <v>0</v>
      </c>
      <c r="T162" s="130">
        <f t="shared" si="42"/>
        <v>0</v>
      </c>
      <c r="U162" s="130">
        <f t="shared" si="42"/>
        <v>0</v>
      </c>
      <c r="V162" s="130">
        <f t="shared" si="42"/>
        <v>0</v>
      </c>
      <c r="W162" s="130">
        <f t="shared" si="42"/>
        <v>0</v>
      </c>
      <c r="X162" s="130">
        <f t="shared" si="42"/>
        <v>0</v>
      </c>
      <c r="Y162" s="130">
        <f t="shared" si="42"/>
        <v>0</v>
      </c>
      <c r="Z162" s="130">
        <f t="shared" si="42"/>
        <v>0</v>
      </c>
      <c r="AA162" s="130">
        <f t="shared" si="42"/>
        <v>0</v>
      </c>
      <c r="AB162" s="130">
        <f t="shared" si="42"/>
        <v>0</v>
      </c>
      <c r="AC162" s="130">
        <f t="shared" si="42"/>
        <v>0</v>
      </c>
      <c r="AD162" s="130">
        <f t="shared" si="42"/>
        <v>0</v>
      </c>
      <c r="AE162" s="130">
        <f t="shared" si="42"/>
        <v>0</v>
      </c>
      <c r="AF162" s="130">
        <f t="shared" si="42"/>
        <v>0</v>
      </c>
      <c r="AG162" s="130">
        <f t="shared" si="42"/>
        <v>0</v>
      </c>
      <c r="AH162" s="130">
        <f t="shared" si="42"/>
        <v>0</v>
      </c>
      <c r="AI162" s="130">
        <f t="shared" si="42"/>
        <v>0</v>
      </c>
      <c r="AJ162" s="47" t="str">
        <f t="shared" si="30"/>
        <v/>
      </c>
      <c r="AK162" s="60"/>
      <c r="AL162" s="60" t="str">
        <f t="shared" si="33"/>
        <v>00</v>
      </c>
      <c r="AM162" s="62" t="str">
        <f t="shared" si="34"/>
        <v>00</v>
      </c>
      <c r="AN162" s="62" t="str">
        <f t="shared" si="35"/>
        <v>00</v>
      </c>
      <c r="AO162" s="62" t="str">
        <f t="shared" si="36"/>
        <v>00</v>
      </c>
      <c r="AQ162" t="str">
        <f t="shared" si="31"/>
        <v/>
      </c>
    </row>
    <row r="163" spans="2:43">
      <c r="B163" s="138"/>
      <c r="C163" s="47">
        <f t="shared" si="32"/>
        <v>27</v>
      </c>
      <c r="D163" s="130">
        <f t="shared" si="42"/>
        <v>0</v>
      </c>
      <c r="E163" s="130">
        <f t="shared" si="42"/>
        <v>0</v>
      </c>
      <c r="F163" s="130">
        <f t="shared" si="42"/>
        <v>0</v>
      </c>
      <c r="G163" s="130">
        <f t="shared" si="42"/>
        <v>0</v>
      </c>
      <c r="H163" s="130">
        <f t="shared" si="42"/>
        <v>0</v>
      </c>
      <c r="I163" s="130">
        <f t="shared" si="42"/>
        <v>0</v>
      </c>
      <c r="J163" s="130">
        <f t="shared" si="42"/>
        <v>0</v>
      </c>
      <c r="K163" s="130">
        <f t="shared" si="42"/>
        <v>0</v>
      </c>
      <c r="L163" s="130">
        <f t="shared" si="42"/>
        <v>0</v>
      </c>
      <c r="M163" s="130">
        <f t="shared" si="42"/>
        <v>0</v>
      </c>
      <c r="N163" s="130">
        <f t="shared" si="42"/>
        <v>0</v>
      </c>
      <c r="O163" s="130">
        <f t="shared" si="42"/>
        <v>0</v>
      </c>
      <c r="P163" s="130">
        <f t="shared" si="42"/>
        <v>0</v>
      </c>
      <c r="Q163" s="130">
        <f t="shared" si="42"/>
        <v>0</v>
      </c>
      <c r="R163" s="130">
        <f t="shared" si="42"/>
        <v>0</v>
      </c>
      <c r="S163" s="130">
        <f t="shared" si="42"/>
        <v>0</v>
      </c>
      <c r="T163" s="130">
        <f t="shared" si="42"/>
        <v>0</v>
      </c>
      <c r="U163" s="130">
        <f t="shared" si="42"/>
        <v>0</v>
      </c>
      <c r="V163" s="130">
        <f t="shared" si="42"/>
        <v>0</v>
      </c>
      <c r="W163" s="130">
        <f t="shared" si="42"/>
        <v>0</v>
      </c>
      <c r="X163" s="130">
        <f t="shared" si="42"/>
        <v>0</v>
      </c>
      <c r="Y163" s="130">
        <f t="shared" si="42"/>
        <v>0</v>
      </c>
      <c r="Z163" s="130">
        <f t="shared" si="42"/>
        <v>0</v>
      </c>
      <c r="AA163" s="130">
        <f t="shared" si="42"/>
        <v>0</v>
      </c>
      <c r="AB163" s="130">
        <f t="shared" si="42"/>
        <v>0</v>
      </c>
      <c r="AC163" s="130">
        <f t="shared" si="42"/>
        <v>0</v>
      </c>
      <c r="AD163" s="130">
        <f t="shared" si="42"/>
        <v>0</v>
      </c>
      <c r="AE163" s="130">
        <f t="shared" si="42"/>
        <v>0</v>
      </c>
      <c r="AF163" s="130">
        <f t="shared" si="42"/>
        <v>0</v>
      </c>
      <c r="AG163" s="130">
        <f t="shared" si="42"/>
        <v>0</v>
      </c>
      <c r="AH163" s="130">
        <f t="shared" si="42"/>
        <v>0</v>
      </c>
      <c r="AI163" s="130">
        <f t="shared" si="42"/>
        <v>0</v>
      </c>
      <c r="AJ163" s="47" t="str">
        <f t="shared" si="30"/>
        <v/>
      </c>
      <c r="AK163" s="60"/>
      <c r="AL163" s="60" t="str">
        <f t="shared" si="33"/>
        <v>00</v>
      </c>
      <c r="AM163" s="62" t="str">
        <f t="shared" si="34"/>
        <v>00</v>
      </c>
      <c r="AN163" s="62" t="str">
        <f t="shared" si="35"/>
        <v>00</v>
      </c>
      <c r="AO163" s="62" t="str">
        <f t="shared" si="36"/>
        <v>00</v>
      </c>
      <c r="AQ163" t="str">
        <f t="shared" si="31"/>
        <v/>
      </c>
    </row>
    <row r="164" spans="2:43">
      <c r="B164" s="138"/>
      <c r="C164" s="47">
        <f t="shared" si="32"/>
        <v>28</v>
      </c>
      <c r="D164" s="130">
        <f t="shared" si="42"/>
        <v>0</v>
      </c>
      <c r="E164" s="130">
        <f t="shared" si="42"/>
        <v>0</v>
      </c>
      <c r="F164" s="130">
        <f t="shared" si="42"/>
        <v>0</v>
      </c>
      <c r="G164" s="130">
        <f t="shared" si="42"/>
        <v>0</v>
      </c>
      <c r="H164" s="130">
        <f t="shared" si="42"/>
        <v>0</v>
      </c>
      <c r="I164" s="130">
        <f t="shared" si="42"/>
        <v>0</v>
      </c>
      <c r="J164" s="130">
        <f t="shared" si="42"/>
        <v>0</v>
      </c>
      <c r="K164" s="130">
        <f t="shared" si="42"/>
        <v>0</v>
      </c>
      <c r="L164" s="130">
        <f t="shared" si="42"/>
        <v>0</v>
      </c>
      <c r="M164" s="130">
        <f t="shared" si="42"/>
        <v>0</v>
      </c>
      <c r="N164" s="130">
        <f t="shared" si="42"/>
        <v>0</v>
      </c>
      <c r="O164" s="130">
        <f t="shared" si="42"/>
        <v>0</v>
      </c>
      <c r="P164" s="130">
        <f t="shared" si="42"/>
        <v>0</v>
      </c>
      <c r="Q164" s="130">
        <f t="shared" si="42"/>
        <v>0</v>
      </c>
      <c r="R164" s="130">
        <f t="shared" si="42"/>
        <v>0</v>
      </c>
      <c r="S164" s="130">
        <f t="shared" si="42"/>
        <v>0</v>
      </c>
      <c r="T164" s="130">
        <f t="shared" si="42"/>
        <v>0</v>
      </c>
      <c r="U164" s="130">
        <f t="shared" si="42"/>
        <v>0</v>
      </c>
      <c r="V164" s="130">
        <f t="shared" si="42"/>
        <v>0</v>
      </c>
      <c r="W164" s="130">
        <f t="shared" si="42"/>
        <v>0</v>
      </c>
      <c r="X164" s="130">
        <f t="shared" si="42"/>
        <v>0</v>
      </c>
      <c r="Y164" s="130">
        <f t="shared" si="42"/>
        <v>0</v>
      </c>
      <c r="Z164" s="130">
        <f t="shared" si="42"/>
        <v>0</v>
      </c>
      <c r="AA164" s="130">
        <f t="shared" si="42"/>
        <v>0</v>
      </c>
      <c r="AB164" s="130">
        <f t="shared" si="42"/>
        <v>0</v>
      </c>
      <c r="AC164" s="130">
        <f t="shared" si="42"/>
        <v>0</v>
      </c>
      <c r="AD164" s="130">
        <f t="shared" si="42"/>
        <v>0</v>
      </c>
      <c r="AE164" s="130">
        <f t="shared" si="42"/>
        <v>0</v>
      </c>
      <c r="AF164" s="130">
        <f t="shared" si="42"/>
        <v>0</v>
      </c>
      <c r="AG164" s="130">
        <f t="shared" si="42"/>
        <v>0</v>
      </c>
      <c r="AH164" s="130">
        <f t="shared" si="42"/>
        <v>0</v>
      </c>
      <c r="AI164" s="130">
        <f t="shared" si="42"/>
        <v>0</v>
      </c>
      <c r="AJ164" s="47" t="str">
        <f t="shared" si="30"/>
        <v/>
      </c>
      <c r="AK164" s="60"/>
      <c r="AL164" s="60" t="str">
        <f t="shared" si="33"/>
        <v>00</v>
      </c>
      <c r="AM164" s="62" t="str">
        <f t="shared" si="34"/>
        <v>00</v>
      </c>
      <c r="AN164" s="62" t="str">
        <f t="shared" si="35"/>
        <v>00</v>
      </c>
      <c r="AO164" s="62" t="str">
        <f t="shared" si="36"/>
        <v>00</v>
      </c>
      <c r="AQ164" t="str">
        <f t="shared" si="31"/>
        <v/>
      </c>
    </row>
    <row r="165" spans="2:43">
      <c r="B165" s="138"/>
      <c r="C165" s="47">
        <f t="shared" si="32"/>
        <v>29</v>
      </c>
      <c r="D165" s="130">
        <f t="shared" si="42"/>
        <v>0</v>
      </c>
      <c r="E165" s="130">
        <f t="shared" si="42"/>
        <v>0</v>
      </c>
      <c r="F165" s="130">
        <f t="shared" si="42"/>
        <v>0</v>
      </c>
      <c r="G165" s="130">
        <f t="shared" si="42"/>
        <v>0</v>
      </c>
      <c r="H165" s="130">
        <f t="shared" si="42"/>
        <v>0</v>
      </c>
      <c r="I165" s="130">
        <f t="shared" si="42"/>
        <v>0</v>
      </c>
      <c r="J165" s="130">
        <f t="shared" si="42"/>
        <v>0</v>
      </c>
      <c r="K165" s="130">
        <f t="shared" si="42"/>
        <v>0</v>
      </c>
      <c r="L165" s="130">
        <f t="shared" si="42"/>
        <v>0</v>
      </c>
      <c r="M165" s="130">
        <f t="shared" si="42"/>
        <v>0</v>
      </c>
      <c r="N165" s="130">
        <f t="shared" si="42"/>
        <v>0</v>
      </c>
      <c r="O165" s="130">
        <f t="shared" si="42"/>
        <v>0</v>
      </c>
      <c r="P165" s="130">
        <f t="shared" si="42"/>
        <v>0</v>
      </c>
      <c r="Q165" s="130">
        <f t="shared" si="42"/>
        <v>0</v>
      </c>
      <c r="R165" s="130">
        <f t="shared" si="42"/>
        <v>0</v>
      </c>
      <c r="S165" s="130">
        <f t="shared" si="42"/>
        <v>0</v>
      </c>
      <c r="T165" s="130">
        <f t="shared" si="42"/>
        <v>0</v>
      </c>
      <c r="U165" s="130">
        <f t="shared" si="42"/>
        <v>0</v>
      </c>
      <c r="V165" s="130">
        <f t="shared" si="42"/>
        <v>0</v>
      </c>
      <c r="W165" s="130">
        <f t="shared" si="42"/>
        <v>0</v>
      </c>
      <c r="X165" s="130">
        <f t="shared" si="42"/>
        <v>0</v>
      </c>
      <c r="Y165" s="130">
        <f t="shared" si="42"/>
        <v>0</v>
      </c>
      <c r="Z165" s="130">
        <f t="shared" si="42"/>
        <v>0</v>
      </c>
      <c r="AA165" s="130">
        <f t="shared" si="42"/>
        <v>0</v>
      </c>
      <c r="AB165" s="130">
        <f t="shared" si="42"/>
        <v>0</v>
      </c>
      <c r="AC165" s="130">
        <f t="shared" si="42"/>
        <v>0</v>
      </c>
      <c r="AD165" s="130">
        <f t="shared" si="42"/>
        <v>0</v>
      </c>
      <c r="AE165" s="130">
        <f t="shared" si="42"/>
        <v>0</v>
      </c>
      <c r="AF165" s="130">
        <f t="shared" si="42"/>
        <v>0</v>
      </c>
      <c r="AG165" s="130">
        <f t="shared" si="42"/>
        <v>0</v>
      </c>
      <c r="AH165" s="130">
        <f t="shared" si="42"/>
        <v>0</v>
      </c>
      <c r="AI165" s="130">
        <f t="shared" si="42"/>
        <v>0</v>
      </c>
      <c r="AJ165" s="47" t="str">
        <f t="shared" si="30"/>
        <v/>
      </c>
      <c r="AK165" s="60"/>
      <c r="AL165" s="60" t="str">
        <f t="shared" si="33"/>
        <v>00</v>
      </c>
      <c r="AM165" s="62" t="str">
        <f t="shared" si="34"/>
        <v>00</v>
      </c>
      <c r="AN165" s="62" t="str">
        <f t="shared" si="35"/>
        <v>00</v>
      </c>
      <c r="AO165" s="62" t="str">
        <f t="shared" si="36"/>
        <v>00</v>
      </c>
      <c r="AQ165" t="str">
        <f t="shared" si="31"/>
        <v/>
      </c>
    </row>
    <row r="166" spans="2:43">
      <c r="B166" s="138"/>
      <c r="C166" s="47">
        <f t="shared" si="32"/>
        <v>30</v>
      </c>
      <c r="D166" s="130">
        <f t="shared" si="42"/>
        <v>0</v>
      </c>
      <c r="E166" s="130">
        <f t="shared" si="42"/>
        <v>0</v>
      </c>
      <c r="F166" s="130">
        <f t="shared" si="42"/>
        <v>0</v>
      </c>
      <c r="G166" s="130">
        <f t="shared" si="42"/>
        <v>0</v>
      </c>
      <c r="H166" s="130">
        <f t="shared" si="42"/>
        <v>0</v>
      </c>
      <c r="I166" s="130">
        <f t="shared" si="42"/>
        <v>0</v>
      </c>
      <c r="J166" s="130">
        <f t="shared" si="42"/>
        <v>0</v>
      </c>
      <c r="K166" s="130">
        <f t="shared" si="42"/>
        <v>0</v>
      </c>
      <c r="L166" s="130">
        <f t="shared" si="42"/>
        <v>0</v>
      </c>
      <c r="M166" s="130">
        <f t="shared" si="42"/>
        <v>0</v>
      </c>
      <c r="N166" s="130">
        <f t="shared" si="42"/>
        <v>0</v>
      </c>
      <c r="O166" s="130">
        <f t="shared" si="42"/>
        <v>0</v>
      </c>
      <c r="P166" s="130">
        <f t="shared" si="42"/>
        <v>0</v>
      </c>
      <c r="Q166" s="130">
        <f t="shared" si="42"/>
        <v>0</v>
      </c>
      <c r="R166" s="130">
        <f t="shared" si="42"/>
        <v>0</v>
      </c>
      <c r="S166" s="130">
        <f t="shared" si="42"/>
        <v>0</v>
      </c>
      <c r="T166" s="130">
        <f t="shared" si="42"/>
        <v>0</v>
      </c>
      <c r="U166" s="130">
        <f t="shared" si="42"/>
        <v>0</v>
      </c>
      <c r="V166" s="130">
        <f t="shared" si="42"/>
        <v>0</v>
      </c>
      <c r="W166" s="130">
        <f t="shared" si="42"/>
        <v>0</v>
      </c>
      <c r="X166" s="130">
        <f t="shared" si="42"/>
        <v>0</v>
      </c>
      <c r="Y166" s="130">
        <f t="shared" si="42"/>
        <v>0</v>
      </c>
      <c r="Z166" s="130">
        <f t="shared" si="42"/>
        <v>0</v>
      </c>
      <c r="AA166" s="130">
        <f t="shared" si="42"/>
        <v>0</v>
      </c>
      <c r="AB166" s="130">
        <f t="shared" si="42"/>
        <v>0</v>
      </c>
      <c r="AC166" s="130">
        <f t="shared" si="42"/>
        <v>0</v>
      </c>
      <c r="AD166" s="130">
        <f t="shared" si="42"/>
        <v>0</v>
      </c>
      <c r="AE166" s="130">
        <f t="shared" si="42"/>
        <v>0</v>
      </c>
      <c r="AF166" s="130">
        <f t="shared" si="42"/>
        <v>0</v>
      </c>
      <c r="AG166" s="130">
        <f t="shared" si="42"/>
        <v>0</v>
      </c>
      <c r="AH166" s="130">
        <f t="shared" si="42"/>
        <v>0</v>
      </c>
      <c r="AI166" s="130">
        <f t="shared" si="42"/>
        <v>0</v>
      </c>
      <c r="AJ166" s="47" t="str">
        <f t="shared" si="30"/>
        <v/>
      </c>
      <c r="AK166" s="60"/>
      <c r="AL166" s="60" t="str">
        <f t="shared" si="33"/>
        <v>00</v>
      </c>
      <c r="AM166" s="62" t="str">
        <f t="shared" si="34"/>
        <v>00</v>
      </c>
      <c r="AN166" s="62" t="str">
        <f t="shared" si="35"/>
        <v>00</v>
      </c>
      <c r="AO166" s="62" t="str">
        <f t="shared" si="36"/>
        <v>00</v>
      </c>
      <c r="AQ166" t="str">
        <f t="shared" si="31"/>
        <v/>
      </c>
    </row>
    <row r="167" spans="2:43">
      <c r="B167" s="138"/>
      <c r="C167" s="47">
        <f t="shared" si="32"/>
        <v>31</v>
      </c>
      <c r="D167" s="130">
        <f t="shared" si="42"/>
        <v>0</v>
      </c>
      <c r="E167" s="130">
        <f t="shared" si="42"/>
        <v>0</v>
      </c>
      <c r="F167" s="130">
        <f t="shared" si="42"/>
        <v>0</v>
      </c>
      <c r="G167" s="130">
        <f t="shared" si="42"/>
        <v>0</v>
      </c>
      <c r="H167" s="130">
        <f t="shared" si="42"/>
        <v>0</v>
      </c>
      <c r="I167" s="130">
        <f t="shared" si="42"/>
        <v>0</v>
      </c>
      <c r="J167" s="130">
        <f t="shared" si="42"/>
        <v>0</v>
      </c>
      <c r="K167" s="130">
        <f t="shared" si="42"/>
        <v>0</v>
      </c>
      <c r="L167" s="130">
        <f t="shared" si="42"/>
        <v>0</v>
      </c>
      <c r="M167" s="130">
        <f t="shared" si="42"/>
        <v>0</v>
      </c>
      <c r="N167" s="130">
        <f t="shared" si="42"/>
        <v>0</v>
      </c>
      <c r="O167" s="130">
        <f t="shared" si="42"/>
        <v>0</v>
      </c>
      <c r="P167" s="130">
        <f t="shared" si="42"/>
        <v>0</v>
      </c>
      <c r="Q167" s="130">
        <f t="shared" si="42"/>
        <v>0</v>
      </c>
      <c r="R167" s="130">
        <f t="shared" si="42"/>
        <v>0</v>
      </c>
      <c r="S167" s="130">
        <f t="shared" si="42"/>
        <v>0</v>
      </c>
      <c r="T167" s="130">
        <f t="shared" si="42"/>
        <v>0</v>
      </c>
      <c r="U167" s="130">
        <f t="shared" si="42"/>
        <v>0</v>
      </c>
      <c r="V167" s="130">
        <f t="shared" si="42"/>
        <v>0</v>
      </c>
      <c r="W167" s="130">
        <f t="shared" si="42"/>
        <v>0</v>
      </c>
      <c r="X167" s="130">
        <f t="shared" si="42"/>
        <v>0</v>
      </c>
      <c r="Y167" s="130">
        <f t="shared" si="42"/>
        <v>0</v>
      </c>
      <c r="Z167" s="130">
        <f t="shared" si="42"/>
        <v>0</v>
      </c>
      <c r="AA167" s="130">
        <f t="shared" si="42"/>
        <v>0</v>
      </c>
      <c r="AB167" s="130">
        <f t="shared" si="42"/>
        <v>0</v>
      </c>
      <c r="AC167" s="130">
        <f t="shared" si="42"/>
        <v>0</v>
      </c>
      <c r="AD167" s="130">
        <f t="shared" si="42"/>
        <v>0</v>
      </c>
      <c r="AE167" s="130">
        <f t="shared" si="42"/>
        <v>0</v>
      </c>
      <c r="AF167" s="130">
        <f t="shared" si="42"/>
        <v>0</v>
      </c>
      <c r="AG167" s="130">
        <f t="shared" si="42"/>
        <v>0</v>
      </c>
      <c r="AH167" s="130">
        <f t="shared" si="42"/>
        <v>0</v>
      </c>
      <c r="AI167" s="130">
        <f t="shared" ref="AI167" si="43">IF(OR(AI37=0,AI37=1),1,0)</f>
        <v>0</v>
      </c>
      <c r="AJ167" s="47" t="str">
        <f t="shared" si="30"/>
        <v/>
      </c>
      <c r="AK167" s="60"/>
      <c r="AL167" s="60" t="str">
        <f t="shared" si="33"/>
        <v>00</v>
      </c>
      <c r="AM167" s="62" t="str">
        <f t="shared" si="34"/>
        <v>00</v>
      </c>
      <c r="AN167" s="62" t="str">
        <f t="shared" si="35"/>
        <v>00</v>
      </c>
      <c r="AO167" s="62" t="str">
        <f t="shared" si="36"/>
        <v>00</v>
      </c>
      <c r="AQ167" t="str">
        <f t="shared" si="31"/>
        <v/>
      </c>
    </row>
    <row r="168" spans="2:43">
      <c r="B168" s="138"/>
      <c r="C168" s="47">
        <f t="shared" si="32"/>
        <v>32</v>
      </c>
      <c r="D168" s="130">
        <f t="shared" ref="D168:AI175" si="44">IF(OR(D38=0,D38=1),1,0)</f>
        <v>0</v>
      </c>
      <c r="E168" s="130">
        <f t="shared" si="44"/>
        <v>0</v>
      </c>
      <c r="F168" s="130">
        <f t="shared" si="44"/>
        <v>0</v>
      </c>
      <c r="G168" s="130">
        <f t="shared" si="44"/>
        <v>0</v>
      </c>
      <c r="H168" s="130">
        <f t="shared" si="44"/>
        <v>0</v>
      </c>
      <c r="I168" s="130">
        <f t="shared" si="44"/>
        <v>0</v>
      </c>
      <c r="J168" s="130">
        <f t="shared" si="44"/>
        <v>0</v>
      </c>
      <c r="K168" s="130">
        <f t="shared" si="44"/>
        <v>0</v>
      </c>
      <c r="L168" s="130">
        <f t="shared" si="44"/>
        <v>0</v>
      </c>
      <c r="M168" s="130">
        <f t="shared" si="44"/>
        <v>0</v>
      </c>
      <c r="N168" s="130">
        <f t="shared" si="44"/>
        <v>0</v>
      </c>
      <c r="O168" s="130">
        <f t="shared" si="44"/>
        <v>0</v>
      </c>
      <c r="P168" s="130">
        <f t="shared" si="44"/>
        <v>0</v>
      </c>
      <c r="Q168" s="130">
        <f t="shared" si="44"/>
        <v>0</v>
      </c>
      <c r="R168" s="130">
        <f t="shared" si="44"/>
        <v>0</v>
      </c>
      <c r="S168" s="130">
        <f t="shared" si="44"/>
        <v>0</v>
      </c>
      <c r="T168" s="130">
        <f t="shared" si="44"/>
        <v>0</v>
      </c>
      <c r="U168" s="130">
        <f t="shared" si="44"/>
        <v>0</v>
      </c>
      <c r="V168" s="130">
        <f t="shared" si="44"/>
        <v>0</v>
      </c>
      <c r="W168" s="130">
        <f t="shared" si="44"/>
        <v>0</v>
      </c>
      <c r="X168" s="130">
        <f t="shared" si="44"/>
        <v>0</v>
      </c>
      <c r="Y168" s="130">
        <f t="shared" si="44"/>
        <v>0</v>
      </c>
      <c r="Z168" s="130">
        <f t="shared" si="44"/>
        <v>0</v>
      </c>
      <c r="AA168" s="130">
        <f t="shared" si="44"/>
        <v>0</v>
      </c>
      <c r="AB168" s="130">
        <f t="shared" si="44"/>
        <v>0</v>
      </c>
      <c r="AC168" s="130">
        <f t="shared" si="44"/>
        <v>0</v>
      </c>
      <c r="AD168" s="130">
        <f t="shared" si="44"/>
        <v>0</v>
      </c>
      <c r="AE168" s="130">
        <f t="shared" si="44"/>
        <v>0</v>
      </c>
      <c r="AF168" s="130">
        <f t="shared" si="44"/>
        <v>0</v>
      </c>
      <c r="AG168" s="130">
        <f t="shared" si="44"/>
        <v>0</v>
      </c>
      <c r="AH168" s="130">
        <f t="shared" si="44"/>
        <v>0</v>
      </c>
      <c r="AI168" s="130">
        <f t="shared" si="44"/>
        <v>0</v>
      </c>
      <c r="AJ168" s="47" t="str">
        <f t="shared" si="30"/>
        <v/>
      </c>
      <c r="AK168" s="60"/>
      <c r="AL168" s="60" t="str">
        <f t="shared" si="33"/>
        <v>00</v>
      </c>
      <c r="AM168" s="62" t="str">
        <f t="shared" si="34"/>
        <v>00</v>
      </c>
      <c r="AN168" s="62" t="str">
        <f t="shared" si="35"/>
        <v>00</v>
      </c>
      <c r="AO168" s="62" t="str">
        <f t="shared" si="36"/>
        <v>00</v>
      </c>
      <c r="AQ168" t="str">
        <f t="shared" si="31"/>
        <v/>
      </c>
    </row>
    <row r="169" spans="2:43">
      <c r="B169" s="138"/>
      <c r="C169" s="47">
        <f t="shared" si="32"/>
        <v>33</v>
      </c>
      <c r="D169" s="130">
        <f t="shared" si="44"/>
        <v>0</v>
      </c>
      <c r="E169" s="130">
        <f t="shared" si="44"/>
        <v>0</v>
      </c>
      <c r="F169" s="130">
        <f t="shared" si="44"/>
        <v>0</v>
      </c>
      <c r="G169" s="130">
        <f t="shared" si="44"/>
        <v>0</v>
      </c>
      <c r="H169" s="130">
        <f t="shared" si="44"/>
        <v>0</v>
      </c>
      <c r="I169" s="130">
        <f t="shared" si="44"/>
        <v>0</v>
      </c>
      <c r="J169" s="130">
        <f t="shared" si="44"/>
        <v>0</v>
      </c>
      <c r="K169" s="130">
        <f t="shared" si="44"/>
        <v>0</v>
      </c>
      <c r="L169" s="130">
        <f t="shared" si="44"/>
        <v>0</v>
      </c>
      <c r="M169" s="130">
        <f t="shared" si="44"/>
        <v>0</v>
      </c>
      <c r="N169" s="130">
        <f t="shared" si="44"/>
        <v>0</v>
      </c>
      <c r="O169" s="130">
        <f t="shared" si="44"/>
        <v>0</v>
      </c>
      <c r="P169" s="130">
        <f t="shared" si="44"/>
        <v>0</v>
      </c>
      <c r="Q169" s="130">
        <f t="shared" si="44"/>
        <v>0</v>
      </c>
      <c r="R169" s="130">
        <f t="shared" si="44"/>
        <v>0</v>
      </c>
      <c r="S169" s="130">
        <f t="shared" si="44"/>
        <v>0</v>
      </c>
      <c r="T169" s="130">
        <f t="shared" si="44"/>
        <v>0</v>
      </c>
      <c r="U169" s="130">
        <f t="shared" si="44"/>
        <v>0</v>
      </c>
      <c r="V169" s="130">
        <f t="shared" si="44"/>
        <v>0</v>
      </c>
      <c r="W169" s="130">
        <f t="shared" si="44"/>
        <v>0</v>
      </c>
      <c r="X169" s="130">
        <f t="shared" si="44"/>
        <v>0</v>
      </c>
      <c r="Y169" s="130">
        <f t="shared" si="44"/>
        <v>0</v>
      </c>
      <c r="Z169" s="130">
        <f t="shared" si="44"/>
        <v>0</v>
      </c>
      <c r="AA169" s="130">
        <f t="shared" si="44"/>
        <v>0</v>
      </c>
      <c r="AB169" s="130">
        <f t="shared" si="44"/>
        <v>0</v>
      </c>
      <c r="AC169" s="130">
        <f t="shared" si="44"/>
        <v>0</v>
      </c>
      <c r="AD169" s="130">
        <f t="shared" si="44"/>
        <v>0</v>
      </c>
      <c r="AE169" s="130">
        <f t="shared" si="44"/>
        <v>0</v>
      </c>
      <c r="AF169" s="130">
        <f t="shared" si="44"/>
        <v>0</v>
      </c>
      <c r="AG169" s="130">
        <f t="shared" si="44"/>
        <v>0</v>
      </c>
      <c r="AH169" s="130">
        <f t="shared" si="44"/>
        <v>0</v>
      </c>
      <c r="AI169" s="130">
        <f t="shared" si="44"/>
        <v>0</v>
      </c>
      <c r="AJ169" s="47" t="str">
        <f t="shared" si="30"/>
        <v/>
      </c>
      <c r="AK169" s="60"/>
      <c r="AL169" s="60" t="str">
        <f t="shared" si="33"/>
        <v>00</v>
      </c>
      <c r="AM169" s="62" t="str">
        <f t="shared" si="34"/>
        <v>00</v>
      </c>
      <c r="AN169" s="62" t="str">
        <f t="shared" si="35"/>
        <v>00</v>
      </c>
      <c r="AO169" s="62" t="str">
        <f t="shared" si="36"/>
        <v>00</v>
      </c>
      <c r="AQ169" t="str">
        <f t="shared" si="31"/>
        <v/>
      </c>
    </row>
    <row r="170" spans="2:43">
      <c r="B170" s="138"/>
      <c r="C170" s="47">
        <f t="shared" si="32"/>
        <v>34</v>
      </c>
      <c r="D170" s="130">
        <f t="shared" si="44"/>
        <v>0</v>
      </c>
      <c r="E170" s="130">
        <f t="shared" si="44"/>
        <v>0</v>
      </c>
      <c r="F170" s="130">
        <f t="shared" si="44"/>
        <v>0</v>
      </c>
      <c r="G170" s="130">
        <f t="shared" si="44"/>
        <v>0</v>
      </c>
      <c r="H170" s="130">
        <f t="shared" si="44"/>
        <v>0</v>
      </c>
      <c r="I170" s="130">
        <f t="shared" si="44"/>
        <v>0</v>
      </c>
      <c r="J170" s="130">
        <f t="shared" si="44"/>
        <v>0</v>
      </c>
      <c r="K170" s="130">
        <f t="shared" si="44"/>
        <v>0</v>
      </c>
      <c r="L170" s="130">
        <f t="shared" si="44"/>
        <v>0</v>
      </c>
      <c r="M170" s="130">
        <f t="shared" si="44"/>
        <v>0</v>
      </c>
      <c r="N170" s="130">
        <f t="shared" si="44"/>
        <v>0</v>
      </c>
      <c r="O170" s="130">
        <f t="shared" si="44"/>
        <v>0</v>
      </c>
      <c r="P170" s="130">
        <f t="shared" si="44"/>
        <v>0</v>
      </c>
      <c r="Q170" s="130">
        <f t="shared" si="44"/>
        <v>0</v>
      </c>
      <c r="R170" s="130">
        <f t="shared" si="44"/>
        <v>0</v>
      </c>
      <c r="S170" s="130">
        <f t="shared" si="44"/>
        <v>0</v>
      </c>
      <c r="T170" s="130">
        <f t="shared" si="44"/>
        <v>0</v>
      </c>
      <c r="U170" s="130">
        <f t="shared" si="44"/>
        <v>0</v>
      </c>
      <c r="V170" s="130">
        <f t="shared" si="44"/>
        <v>0</v>
      </c>
      <c r="W170" s="130">
        <f t="shared" si="44"/>
        <v>0</v>
      </c>
      <c r="X170" s="130">
        <f t="shared" si="44"/>
        <v>0</v>
      </c>
      <c r="Y170" s="130">
        <f t="shared" si="44"/>
        <v>0</v>
      </c>
      <c r="Z170" s="130">
        <f t="shared" si="44"/>
        <v>0</v>
      </c>
      <c r="AA170" s="130">
        <f t="shared" si="44"/>
        <v>0</v>
      </c>
      <c r="AB170" s="130">
        <f t="shared" si="44"/>
        <v>0</v>
      </c>
      <c r="AC170" s="130">
        <f t="shared" si="44"/>
        <v>0</v>
      </c>
      <c r="AD170" s="130">
        <f t="shared" si="44"/>
        <v>0</v>
      </c>
      <c r="AE170" s="130">
        <f t="shared" si="44"/>
        <v>0</v>
      </c>
      <c r="AF170" s="130">
        <f t="shared" si="44"/>
        <v>0</v>
      </c>
      <c r="AG170" s="130">
        <f t="shared" si="44"/>
        <v>0</v>
      </c>
      <c r="AH170" s="130">
        <f t="shared" si="44"/>
        <v>0</v>
      </c>
      <c r="AI170" s="130">
        <f t="shared" si="44"/>
        <v>0</v>
      </c>
      <c r="AJ170" s="47" t="str">
        <f t="shared" si="30"/>
        <v/>
      </c>
      <c r="AK170" s="60"/>
      <c r="AL170" s="60" t="str">
        <f t="shared" si="33"/>
        <v>00</v>
      </c>
      <c r="AM170" s="62" t="str">
        <f t="shared" si="34"/>
        <v>00</v>
      </c>
      <c r="AN170" s="62" t="str">
        <f t="shared" si="35"/>
        <v>00</v>
      </c>
      <c r="AO170" s="62" t="str">
        <f t="shared" si="36"/>
        <v>00</v>
      </c>
      <c r="AQ170" t="str">
        <f t="shared" si="31"/>
        <v/>
      </c>
    </row>
    <row r="171" spans="2:43">
      <c r="B171" s="138"/>
      <c r="C171" s="47">
        <f t="shared" si="32"/>
        <v>35</v>
      </c>
      <c r="D171" s="130">
        <f t="shared" si="44"/>
        <v>0</v>
      </c>
      <c r="E171" s="130">
        <f t="shared" si="44"/>
        <v>0</v>
      </c>
      <c r="F171" s="130">
        <f t="shared" si="44"/>
        <v>0</v>
      </c>
      <c r="G171" s="130">
        <f t="shared" si="44"/>
        <v>0</v>
      </c>
      <c r="H171" s="130">
        <f t="shared" si="44"/>
        <v>0</v>
      </c>
      <c r="I171" s="130">
        <f t="shared" si="44"/>
        <v>0</v>
      </c>
      <c r="J171" s="130">
        <f t="shared" si="44"/>
        <v>0</v>
      </c>
      <c r="K171" s="130">
        <f t="shared" si="44"/>
        <v>0</v>
      </c>
      <c r="L171" s="130">
        <f t="shared" si="44"/>
        <v>0</v>
      </c>
      <c r="M171" s="130">
        <f t="shared" si="44"/>
        <v>0</v>
      </c>
      <c r="N171" s="130">
        <f t="shared" si="44"/>
        <v>0</v>
      </c>
      <c r="O171" s="130">
        <f t="shared" si="44"/>
        <v>0</v>
      </c>
      <c r="P171" s="130">
        <f t="shared" si="44"/>
        <v>0</v>
      </c>
      <c r="Q171" s="130">
        <f t="shared" si="44"/>
        <v>0</v>
      </c>
      <c r="R171" s="130">
        <f t="shared" si="44"/>
        <v>0</v>
      </c>
      <c r="S171" s="130">
        <f t="shared" si="44"/>
        <v>0</v>
      </c>
      <c r="T171" s="130">
        <f t="shared" si="44"/>
        <v>0</v>
      </c>
      <c r="U171" s="130">
        <f t="shared" si="44"/>
        <v>0</v>
      </c>
      <c r="V171" s="130">
        <f t="shared" si="44"/>
        <v>0</v>
      </c>
      <c r="W171" s="130">
        <f t="shared" si="44"/>
        <v>0</v>
      </c>
      <c r="X171" s="130">
        <f t="shared" si="44"/>
        <v>0</v>
      </c>
      <c r="Y171" s="130">
        <f t="shared" si="44"/>
        <v>0</v>
      </c>
      <c r="Z171" s="130">
        <f t="shared" si="44"/>
        <v>0</v>
      </c>
      <c r="AA171" s="130">
        <f t="shared" si="44"/>
        <v>0</v>
      </c>
      <c r="AB171" s="130">
        <f t="shared" si="44"/>
        <v>0</v>
      </c>
      <c r="AC171" s="130">
        <f t="shared" si="44"/>
        <v>0</v>
      </c>
      <c r="AD171" s="130">
        <f t="shared" si="44"/>
        <v>0</v>
      </c>
      <c r="AE171" s="130">
        <f t="shared" si="44"/>
        <v>0</v>
      </c>
      <c r="AF171" s="130">
        <f t="shared" si="44"/>
        <v>0</v>
      </c>
      <c r="AG171" s="130">
        <f t="shared" si="44"/>
        <v>0</v>
      </c>
      <c r="AH171" s="130">
        <f t="shared" si="44"/>
        <v>0</v>
      </c>
      <c r="AI171" s="130">
        <f t="shared" si="44"/>
        <v>0</v>
      </c>
      <c r="AJ171" s="47" t="str">
        <f t="shared" si="30"/>
        <v/>
      </c>
      <c r="AK171" s="60"/>
      <c r="AL171" s="60" t="str">
        <f t="shared" si="33"/>
        <v>00</v>
      </c>
      <c r="AM171" s="62" t="str">
        <f t="shared" si="34"/>
        <v>00</v>
      </c>
      <c r="AN171" s="62" t="str">
        <f t="shared" si="35"/>
        <v>00</v>
      </c>
      <c r="AO171" s="62" t="str">
        <f t="shared" si="36"/>
        <v>00</v>
      </c>
      <c r="AQ171" t="str">
        <f t="shared" si="31"/>
        <v/>
      </c>
    </row>
    <row r="172" spans="2:43">
      <c r="B172" s="138"/>
      <c r="C172" s="47">
        <f t="shared" si="32"/>
        <v>36</v>
      </c>
      <c r="D172" s="130">
        <f t="shared" si="44"/>
        <v>0</v>
      </c>
      <c r="E172" s="130">
        <f t="shared" si="44"/>
        <v>0</v>
      </c>
      <c r="F172" s="130">
        <f t="shared" si="44"/>
        <v>0</v>
      </c>
      <c r="G172" s="130">
        <f t="shared" si="44"/>
        <v>0</v>
      </c>
      <c r="H172" s="130">
        <f t="shared" si="44"/>
        <v>0</v>
      </c>
      <c r="I172" s="130">
        <f t="shared" si="44"/>
        <v>0</v>
      </c>
      <c r="J172" s="130">
        <f t="shared" si="44"/>
        <v>0</v>
      </c>
      <c r="K172" s="130">
        <f t="shared" si="44"/>
        <v>0</v>
      </c>
      <c r="L172" s="130">
        <f t="shared" si="44"/>
        <v>0</v>
      </c>
      <c r="M172" s="130">
        <f t="shared" si="44"/>
        <v>0</v>
      </c>
      <c r="N172" s="130">
        <f t="shared" si="44"/>
        <v>0</v>
      </c>
      <c r="O172" s="130">
        <f t="shared" si="44"/>
        <v>0</v>
      </c>
      <c r="P172" s="130">
        <f t="shared" si="44"/>
        <v>0</v>
      </c>
      <c r="Q172" s="130">
        <f t="shared" si="44"/>
        <v>0</v>
      </c>
      <c r="R172" s="130">
        <f t="shared" si="44"/>
        <v>0</v>
      </c>
      <c r="S172" s="130">
        <f t="shared" si="44"/>
        <v>0</v>
      </c>
      <c r="T172" s="130">
        <f t="shared" si="44"/>
        <v>0</v>
      </c>
      <c r="U172" s="130">
        <f t="shared" si="44"/>
        <v>0</v>
      </c>
      <c r="V172" s="130">
        <f t="shared" si="44"/>
        <v>0</v>
      </c>
      <c r="W172" s="130">
        <f t="shared" si="44"/>
        <v>0</v>
      </c>
      <c r="X172" s="130">
        <f t="shared" si="44"/>
        <v>0</v>
      </c>
      <c r="Y172" s="130">
        <f t="shared" si="44"/>
        <v>0</v>
      </c>
      <c r="Z172" s="130">
        <f t="shared" si="44"/>
        <v>0</v>
      </c>
      <c r="AA172" s="130">
        <f t="shared" si="44"/>
        <v>0</v>
      </c>
      <c r="AB172" s="130">
        <f t="shared" si="44"/>
        <v>0</v>
      </c>
      <c r="AC172" s="130">
        <f t="shared" si="44"/>
        <v>0</v>
      </c>
      <c r="AD172" s="130">
        <f t="shared" si="44"/>
        <v>0</v>
      </c>
      <c r="AE172" s="130">
        <f t="shared" si="44"/>
        <v>0</v>
      </c>
      <c r="AF172" s="130">
        <f t="shared" si="44"/>
        <v>0</v>
      </c>
      <c r="AG172" s="130">
        <f t="shared" si="44"/>
        <v>0</v>
      </c>
      <c r="AH172" s="130">
        <f t="shared" si="44"/>
        <v>0</v>
      </c>
      <c r="AI172" s="130">
        <f t="shared" si="44"/>
        <v>0</v>
      </c>
      <c r="AJ172" s="47" t="str">
        <f t="shared" si="30"/>
        <v/>
      </c>
      <c r="AK172" s="60"/>
      <c r="AL172" s="60" t="str">
        <f t="shared" si="33"/>
        <v>00</v>
      </c>
      <c r="AM172" s="62" t="str">
        <f t="shared" si="34"/>
        <v>00</v>
      </c>
      <c r="AN172" s="62" t="str">
        <f t="shared" si="35"/>
        <v>00</v>
      </c>
      <c r="AO172" s="62" t="str">
        <f t="shared" si="36"/>
        <v>00</v>
      </c>
      <c r="AQ172" t="str">
        <f t="shared" si="31"/>
        <v/>
      </c>
    </row>
    <row r="173" spans="2:43">
      <c r="B173" s="138"/>
      <c r="C173" s="47">
        <f t="shared" si="32"/>
        <v>37</v>
      </c>
      <c r="D173" s="130">
        <f t="shared" si="44"/>
        <v>0</v>
      </c>
      <c r="E173" s="130">
        <f t="shared" si="44"/>
        <v>0</v>
      </c>
      <c r="F173" s="130">
        <f t="shared" si="44"/>
        <v>0</v>
      </c>
      <c r="G173" s="130">
        <f t="shared" si="44"/>
        <v>0</v>
      </c>
      <c r="H173" s="130">
        <f t="shared" si="44"/>
        <v>0</v>
      </c>
      <c r="I173" s="130">
        <f t="shared" si="44"/>
        <v>0</v>
      </c>
      <c r="J173" s="130">
        <f t="shared" si="44"/>
        <v>0</v>
      </c>
      <c r="K173" s="130">
        <f t="shared" si="44"/>
        <v>0</v>
      </c>
      <c r="L173" s="130">
        <f t="shared" si="44"/>
        <v>0</v>
      </c>
      <c r="M173" s="130">
        <f t="shared" si="44"/>
        <v>0</v>
      </c>
      <c r="N173" s="130">
        <f t="shared" si="44"/>
        <v>0</v>
      </c>
      <c r="O173" s="130">
        <f t="shared" si="44"/>
        <v>0</v>
      </c>
      <c r="P173" s="130">
        <f t="shared" si="44"/>
        <v>0</v>
      </c>
      <c r="Q173" s="130">
        <f t="shared" si="44"/>
        <v>0</v>
      </c>
      <c r="R173" s="130">
        <f t="shared" si="44"/>
        <v>0</v>
      </c>
      <c r="S173" s="130">
        <f t="shared" si="44"/>
        <v>0</v>
      </c>
      <c r="T173" s="130">
        <f t="shared" si="44"/>
        <v>0</v>
      </c>
      <c r="U173" s="130">
        <f t="shared" si="44"/>
        <v>0</v>
      </c>
      <c r="V173" s="130">
        <f t="shared" si="44"/>
        <v>0</v>
      </c>
      <c r="W173" s="130">
        <f t="shared" si="44"/>
        <v>0</v>
      </c>
      <c r="X173" s="130">
        <f t="shared" si="44"/>
        <v>0</v>
      </c>
      <c r="Y173" s="130">
        <f t="shared" si="44"/>
        <v>0</v>
      </c>
      <c r="Z173" s="130">
        <f t="shared" si="44"/>
        <v>0</v>
      </c>
      <c r="AA173" s="130">
        <f t="shared" si="44"/>
        <v>0</v>
      </c>
      <c r="AB173" s="130">
        <f t="shared" si="44"/>
        <v>0</v>
      </c>
      <c r="AC173" s="130">
        <f t="shared" si="44"/>
        <v>0</v>
      </c>
      <c r="AD173" s="130">
        <f t="shared" si="44"/>
        <v>0</v>
      </c>
      <c r="AE173" s="130">
        <f t="shared" si="44"/>
        <v>0</v>
      </c>
      <c r="AF173" s="130">
        <f t="shared" si="44"/>
        <v>0</v>
      </c>
      <c r="AG173" s="130">
        <f t="shared" si="44"/>
        <v>0</v>
      </c>
      <c r="AH173" s="130">
        <f t="shared" si="44"/>
        <v>0</v>
      </c>
      <c r="AI173" s="130">
        <f t="shared" si="44"/>
        <v>0</v>
      </c>
      <c r="AJ173" s="47" t="str">
        <f t="shared" si="30"/>
        <v/>
      </c>
      <c r="AK173" s="60"/>
      <c r="AL173" s="60" t="str">
        <f t="shared" si="33"/>
        <v>00</v>
      </c>
      <c r="AM173" s="62" t="str">
        <f t="shared" si="34"/>
        <v>00</v>
      </c>
      <c r="AN173" s="62" t="str">
        <f t="shared" si="35"/>
        <v>00</v>
      </c>
      <c r="AO173" s="62" t="str">
        <f t="shared" si="36"/>
        <v>00</v>
      </c>
      <c r="AQ173" t="str">
        <f t="shared" si="31"/>
        <v/>
      </c>
    </row>
    <row r="174" spans="2:43">
      <c r="B174" s="138"/>
      <c r="C174" s="47">
        <f t="shared" si="32"/>
        <v>38</v>
      </c>
      <c r="D174" s="130">
        <f t="shared" si="44"/>
        <v>0</v>
      </c>
      <c r="E174" s="130">
        <f t="shared" si="44"/>
        <v>0</v>
      </c>
      <c r="F174" s="130">
        <f t="shared" si="44"/>
        <v>0</v>
      </c>
      <c r="G174" s="130">
        <f t="shared" si="44"/>
        <v>0</v>
      </c>
      <c r="H174" s="130">
        <f t="shared" si="44"/>
        <v>0</v>
      </c>
      <c r="I174" s="130">
        <f t="shared" si="44"/>
        <v>0</v>
      </c>
      <c r="J174" s="130">
        <f t="shared" si="44"/>
        <v>0</v>
      </c>
      <c r="K174" s="130">
        <f t="shared" si="44"/>
        <v>0</v>
      </c>
      <c r="L174" s="130">
        <f t="shared" si="44"/>
        <v>0</v>
      </c>
      <c r="M174" s="130">
        <f t="shared" si="44"/>
        <v>0</v>
      </c>
      <c r="N174" s="130">
        <f t="shared" si="44"/>
        <v>0</v>
      </c>
      <c r="O174" s="130">
        <f t="shared" si="44"/>
        <v>0</v>
      </c>
      <c r="P174" s="130">
        <f t="shared" si="44"/>
        <v>0</v>
      </c>
      <c r="Q174" s="130">
        <f t="shared" si="44"/>
        <v>0</v>
      </c>
      <c r="R174" s="130">
        <f t="shared" si="44"/>
        <v>0</v>
      </c>
      <c r="S174" s="130">
        <f t="shared" si="44"/>
        <v>0</v>
      </c>
      <c r="T174" s="130">
        <f t="shared" si="44"/>
        <v>0</v>
      </c>
      <c r="U174" s="130">
        <f t="shared" si="44"/>
        <v>0</v>
      </c>
      <c r="V174" s="130">
        <f t="shared" si="44"/>
        <v>0</v>
      </c>
      <c r="W174" s="130">
        <f t="shared" si="44"/>
        <v>0</v>
      </c>
      <c r="X174" s="130">
        <f t="shared" si="44"/>
        <v>0</v>
      </c>
      <c r="Y174" s="130">
        <f t="shared" si="44"/>
        <v>0</v>
      </c>
      <c r="Z174" s="130">
        <f t="shared" si="44"/>
        <v>0</v>
      </c>
      <c r="AA174" s="130">
        <f t="shared" si="44"/>
        <v>0</v>
      </c>
      <c r="AB174" s="130">
        <f t="shared" si="44"/>
        <v>0</v>
      </c>
      <c r="AC174" s="130">
        <f t="shared" si="44"/>
        <v>0</v>
      </c>
      <c r="AD174" s="130">
        <f t="shared" si="44"/>
        <v>0</v>
      </c>
      <c r="AE174" s="130">
        <f t="shared" si="44"/>
        <v>0</v>
      </c>
      <c r="AF174" s="130">
        <f t="shared" si="44"/>
        <v>0</v>
      </c>
      <c r="AG174" s="130">
        <f t="shared" si="44"/>
        <v>0</v>
      </c>
      <c r="AH174" s="130">
        <f t="shared" si="44"/>
        <v>0</v>
      </c>
      <c r="AI174" s="130">
        <f t="shared" si="44"/>
        <v>0</v>
      </c>
      <c r="AJ174" s="47" t="str">
        <f t="shared" si="30"/>
        <v/>
      </c>
      <c r="AK174" s="60"/>
      <c r="AL174" s="60" t="str">
        <f t="shared" si="33"/>
        <v>00</v>
      </c>
      <c r="AM174" s="62" t="str">
        <f t="shared" si="34"/>
        <v>00</v>
      </c>
      <c r="AN174" s="62" t="str">
        <f t="shared" si="35"/>
        <v>00</v>
      </c>
      <c r="AO174" s="62" t="str">
        <f t="shared" si="36"/>
        <v>00</v>
      </c>
      <c r="AQ174" t="str">
        <f t="shared" si="31"/>
        <v/>
      </c>
    </row>
    <row r="175" spans="2:43">
      <c r="B175" s="138"/>
      <c r="C175" s="47">
        <f t="shared" si="32"/>
        <v>39</v>
      </c>
      <c r="D175" s="130">
        <f t="shared" si="44"/>
        <v>0</v>
      </c>
      <c r="E175" s="130">
        <f t="shared" si="44"/>
        <v>0</v>
      </c>
      <c r="F175" s="130">
        <f t="shared" si="44"/>
        <v>0</v>
      </c>
      <c r="G175" s="130">
        <f t="shared" si="44"/>
        <v>0</v>
      </c>
      <c r="H175" s="130">
        <f t="shared" si="44"/>
        <v>0</v>
      </c>
      <c r="I175" s="130">
        <f t="shared" si="44"/>
        <v>0</v>
      </c>
      <c r="J175" s="130">
        <f t="shared" si="44"/>
        <v>0</v>
      </c>
      <c r="K175" s="130">
        <f t="shared" si="44"/>
        <v>0</v>
      </c>
      <c r="L175" s="130">
        <f t="shared" si="44"/>
        <v>0</v>
      </c>
      <c r="M175" s="130">
        <f t="shared" si="44"/>
        <v>0</v>
      </c>
      <c r="N175" s="130">
        <f t="shared" si="44"/>
        <v>0</v>
      </c>
      <c r="O175" s="130">
        <f t="shared" si="44"/>
        <v>0</v>
      </c>
      <c r="P175" s="130">
        <f t="shared" si="44"/>
        <v>0</v>
      </c>
      <c r="Q175" s="130">
        <f t="shared" si="44"/>
        <v>0</v>
      </c>
      <c r="R175" s="130">
        <f t="shared" si="44"/>
        <v>0</v>
      </c>
      <c r="S175" s="130">
        <f t="shared" si="44"/>
        <v>0</v>
      </c>
      <c r="T175" s="130">
        <f t="shared" si="44"/>
        <v>0</v>
      </c>
      <c r="U175" s="130">
        <f t="shared" si="44"/>
        <v>0</v>
      </c>
      <c r="V175" s="130">
        <f t="shared" si="44"/>
        <v>0</v>
      </c>
      <c r="W175" s="130">
        <f t="shared" si="44"/>
        <v>0</v>
      </c>
      <c r="X175" s="130">
        <f t="shared" si="44"/>
        <v>0</v>
      </c>
      <c r="Y175" s="130">
        <f t="shared" si="44"/>
        <v>0</v>
      </c>
      <c r="Z175" s="130">
        <f t="shared" si="44"/>
        <v>0</v>
      </c>
      <c r="AA175" s="130">
        <f t="shared" si="44"/>
        <v>0</v>
      </c>
      <c r="AB175" s="130">
        <f t="shared" si="44"/>
        <v>0</v>
      </c>
      <c r="AC175" s="130">
        <f t="shared" si="44"/>
        <v>0</v>
      </c>
      <c r="AD175" s="130">
        <f t="shared" si="44"/>
        <v>0</v>
      </c>
      <c r="AE175" s="130">
        <f t="shared" si="44"/>
        <v>0</v>
      </c>
      <c r="AF175" s="130">
        <f t="shared" si="44"/>
        <v>0</v>
      </c>
      <c r="AG175" s="130">
        <f t="shared" si="44"/>
        <v>0</v>
      </c>
      <c r="AH175" s="130">
        <f t="shared" si="44"/>
        <v>0</v>
      </c>
      <c r="AI175" s="130">
        <f t="shared" ref="AI175" si="45">IF(OR(AI45=0,AI45=1),1,0)</f>
        <v>0</v>
      </c>
      <c r="AJ175" s="47" t="str">
        <f t="shared" si="30"/>
        <v/>
      </c>
      <c r="AK175" s="60"/>
      <c r="AL175" s="60" t="str">
        <f t="shared" si="33"/>
        <v>00</v>
      </c>
      <c r="AM175" s="62" t="str">
        <f t="shared" si="34"/>
        <v>00</v>
      </c>
      <c r="AN175" s="62" t="str">
        <f t="shared" si="35"/>
        <v>00</v>
      </c>
      <c r="AO175" s="62" t="str">
        <f t="shared" si="36"/>
        <v>00</v>
      </c>
      <c r="AQ175" t="str">
        <f t="shared" si="31"/>
        <v/>
      </c>
    </row>
    <row r="176" spans="2:43">
      <c r="B176" s="138"/>
      <c r="C176" s="47">
        <f t="shared" si="32"/>
        <v>40</v>
      </c>
      <c r="D176" s="130">
        <f t="shared" ref="D176:AI183" si="46">IF(OR(D46=0,D46=1),1,0)</f>
        <v>0</v>
      </c>
      <c r="E176" s="130">
        <f t="shared" si="46"/>
        <v>0</v>
      </c>
      <c r="F176" s="130">
        <f t="shared" si="46"/>
        <v>0</v>
      </c>
      <c r="G176" s="130">
        <f t="shared" si="46"/>
        <v>0</v>
      </c>
      <c r="H176" s="130">
        <f t="shared" si="46"/>
        <v>0</v>
      </c>
      <c r="I176" s="130">
        <f t="shared" si="46"/>
        <v>0</v>
      </c>
      <c r="J176" s="130">
        <f t="shared" si="46"/>
        <v>0</v>
      </c>
      <c r="K176" s="130">
        <f t="shared" si="46"/>
        <v>0</v>
      </c>
      <c r="L176" s="130">
        <f t="shared" si="46"/>
        <v>0</v>
      </c>
      <c r="M176" s="130">
        <f t="shared" si="46"/>
        <v>0</v>
      </c>
      <c r="N176" s="130">
        <f t="shared" si="46"/>
        <v>0</v>
      </c>
      <c r="O176" s="130">
        <f t="shared" si="46"/>
        <v>0</v>
      </c>
      <c r="P176" s="130">
        <f t="shared" si="46"/>
        <v>0</v>
      </c>
      <c r="Q176" s="130">
        <f t="shared" si="46"/>
        <v>0</v>
      </c>
      <c r="R176" s="130">
        <f t="shared" si="46"/>
        <v>0</v>
      </c>
      <c r="S176" s="130">
        <f t="shared" si="46"/>
        <v>0</v>
      </c>
      <c r="T176" s="130">
        <f t="shared" si="46"/>
        <v>0</v>
      </c>
      <c r="U176" s="130">
        <f t="shared" si="46"/>
        <v>0</v>
      </c>
      <c r="V176" s="130">
        <f t="shared" si="46"/>
        <v>0</v>
      </c>
      <c r="W176" s="130">
        <f t="shared" si="46"/>
        <v>0</v>
      </c>
      <c r="X176" s="130">
        <f t="shared" si="46"/>
        <v>0</v>
      </c>
      <c r="Y176" s="130">
        <f t="shared" si="46"/>
        <v>0</v>
      </c>
      <c r="Z176" s="130">
        <f t="shared" si="46"/>
        <v>0</v>
      </c>
      <c r="AA176" s="130">
        <f t="shared" si="46"/>
        <v>0</v>
      </c>
      <c r="AB176" s="130">
        <f t="shared" si="46"/>
        <v>0</v>
      </c>
      <c r="AC176" s="130">
        <f t="shared" si="46"/>
        <v>0</v>
      </c>
      <c r="AD176" s="130">
        <f t="shared" si="46"/>
        <v>0</v>
      </c>
      <c r="AE176" s="130">
        <f t="shared" si="46"/>
        <v>0</v>
      </c>
      <c r="AF176" s="130">
        <f t="shared" si="46"/>
        <v>0</v>
      </c>
      <c r="AG176" s="130">
        <f t="shared" si="46"/>
        <v>0</v>
      </c>
      <c r="AH176" s="130">
        <f t="shared" si="46"/>
        <v>0</v>
      </c>
      <c r="AI176" s="130">
        <f t="shared" si="46"/>
        <v>0</v>
      </c>
      <c r="AJ176" s="47" t="str">
        <f t="shared" si="30"/>
        <v/>
      </c>
      <c r="AK176" s="60"/>
      <c r="AL176" s="60" t="str">
        <f t="shared" si="33"/>
        <v>00</v>
      </c>
      <c r="AM176" s="62" t="str">
        <f t="shared" si="34"/>
        <v>00</v>
      </c>
      <c r="AN176" s="62" t="str">
        <f t="shared" si="35"/>
        <v>00</v>
      </c>
      <c r="AO176" s="62" t="str">
        <f t="shared" si="36"/>
        <v>00</v>
      </c>
      <c r="AQ176" t="str">
        <f t="shared" si="31"/>
        <v/>
      </c>
    </row>
    <row r="177" spans="2:43">
      <c r="B177" s="138"/>
      <c r="C177" s="47">
        <f t="shared" si="32"/>
        <v>41</v>
      </c>
      <c r="D177" s="130">
        <f t="shared" si="46"/>
        <v>0</v>
      </c>
      <c r="E177" s="130">
        <f t="shared" si="46"/>
        <v>0</v>
      </c>
      <c r="F177" s="130">
        <f t="shared" si="46"/>
        <v>0</v>
      </c>
      <c r="G177" s="130">
        <f t="shared" si="46"/>
        <v>0</v>
      </c>
      <c r="H177" s="130">
        <f t="shared" si="46"/>
        <v>0</v>
      </c>
      <c r="I177" s="130">
        <f t="shared" si="46"/>
        <v>0</v>
      </c>
      <c r="J177" s="130">
        <f t="shared" si="46"/>
        <v>0</v>
      </c>
      <c r="K177" s="130">
        <f t="shared" si="46"/>
        <v>0</v>
      </c>
      <c r="L177" s="130">
        <f t="shared" si="46"/>
        <v>0</v>
      </c>
      <c r="M177" s="130">
        <f t="shared" si="46"/>
        <v>0</v>
      </c>
      <c r="N177" s="130">
        <f t="shared" si="46"/>
        <v>0</v>
      </c>
      <c r="O177" s="130">
        <f t="shared" si="46"/>
        <v>0</v>
      </c>
      <c r="P177" s="130">
        <f t="shared" si="46"/>
        <v>0</v>
      </c>
      <c r="Q177" s="130">
        <f t="shared" si="46"/>
        <v>0</v>
      </c>
      <c r="R177" s="130">
        <f t="shared" si="46"/>
        <v>0</v>
      </c>
      <c r="S177" s="130">
        <f t="shared" si="46"/>
        <v>0</v>
      </c>
      <c r="T177" s="130">
        <f t="shared" si="46"/>
        <v>0</v>
      </c>
      <c r="U177" s="130">
        <f t="shared" si="46"/>
        <v>0</v>
      </c>
      <c r="V177" s="130">
        <f t="shared" si="46"/>
        <v>0</v>
      </c>
      <c r="W177" s="130">
        <f t="shared" si="46"/>
        <v>0</v>
      </c>
      <c r="X177" s="130">
        <f t="shared" si="46"/>
        <v>0</v>
      </c>
      <c r="Y177" s="130">
        <f t="shared" si="46"/>
        <v>0</v>
      </c>
      <c r="Z177" s="130">
        <f t="shared" si="46"/>
        <v>0</v>
      </c>
      <c r="AA177" s="130">
        <f t="shared" si="46"/>
        <v>0</v>
      </c>
      <c r="AB177" s="130">
        <f t="shared" si="46"/>
        <v>0</v>
      </c>
      <c r="AC177" s="130">
        <f t="shared" si="46"/>
        <v>0</v>
      </c>
      <c r="AD177" s="130">
        <f t="shared" si="46"/>
        <v>0</v>
      </c>
      <c r="AE177" s="130">
        <f t="shared" si="46"/>
        <v>0</v>
      </c>
      <c r="AF177" s="130">
        <f t="shared" si="46"/>
        <v>0</v>
      </c>
      <c r="AG177" s="130">
        <f t="shared" si="46"/>
        <v>0</v>
      </c>
      <c r="AH177" s="130">
        <f t="shared" si="46"/>
        <v>0</v>
      </c>
      <c r="AI177" s="130">
        <f t="shared" si="46"/>
        <v>0</v>
      </c>
      <c r="AJ177" s="47" t="str">
        <f t="shared" si="30"/>
        <v/>
      </c>
      <c r="AK177" s="60"/>
      <c r="AL177" s="60" t="str">
        <f t="shared" si="33"/>
        <v>00</v>
      </c>
      <c r="AM177" s="62" t="str">
        <f t="shared" si="34"/>
        <v>00</v>
      </c>
      <c r="AN177" s="62" t="str">
        <f t="shared" si="35"/>
        <v>00</v>
      </c>
      <c r="AO177" s="62" t="str">
        <f t="shared" si="36"/>
        <v>00</v>
      </c>
      <c r="AQ177" t="str">
        <f t="shared" si="31"/>
        <v/>
      </c>
    </row>
    <row r="178" spans="2:43">
      <c r="B178" s="138"/>
      <c r="C178" s="47">
        <f t="shared" si="32"/>
        <v>42</v>
      </c>
      <c r="D178" s="130">
        <f t="shared" si="46"/>
        <v>0</v>
      </c>
      <c r="E178" s="130">
        <f t="shared" si="46"/>
        <v>0</v>
      </c>
      <c r="F178" s="130">
        <f t="shared" si="46"/>
        <v>0</v>
      </c>
      <c r="G178" s="130">
        <f t="shared" si="46"/>
        <v>0</v>
      </c>
      <c r="H178" s="130">
        <f t="shared" si="46"/>
        <v>0</v>
      </c>
      <c r="I178" s="130">
        <f t="shared" si="46"/>
        <v>0</v>
      </c>
      <c r="J178" s="130">
        <f t="shared" si="46"/>
        <v>0</v>
      </c>
      <c r="K178" s="130">
        <f t="shared" si="46"/>
        <v>0</v>
      </c>
      <c r="L178" s="130">
        <f t="shared" si="46"/>
        <v>0</v>
      </c>
      <c r="M178" s="130">
        <f t="shared" si="46"/>
        <v>0</v>
      </c>
      <c r="N178" s="130">
        <f t="shared" si="46"/>
        <v>0</v>
      </c>
      <c r="O178" s="130">
        <f t="shared" si="46"/>
        <v>0</v>
      </c>
      <c r="P178" s="130">
        <f t="shared" si="46"/>
        <v>0</v>
      </c>
      <c r="Q178" s="130">
        <f t="shared" si="46"/>
        <v>0</v>
      </c>
      <c r="R178" s="130">
        <f t="shared" si="46"/>
        <v>0</v>
      </c>
      <c r="S178" s="130">
        <f t="shared" si="46"/>
        <v>0</v>
      </c>
      <c r="T178" s="130">
        <f t="shared" si="46"/>
        <v>0</v>
      </c>
      <c r="U178" s="130">
        <f t="shared" si="46"/>
        <v>0</v>
      </c>
      <c r="V178" s="130">
        <f t="shared" si="46"/>
        <v>0</v>
      </c>
      <c r="W178" s="130">
        <f t="shared" si="46"/>
        <v>0</v>
      </c>
      <c r="X178" s="130">
        <f t="shared" si="46"/>
        <v>0</v>
      </c>
      <c r="Y178" s="130">
        <f t="shared" si="46"/>
        <v>0</v>
      </c>
      <c r="Z178" s="130">
        <f t="shared" si="46"/>
        <v>0</v>
      </c>
      <c r="AA178" s="130">
        <f t="shared" si="46"/>
        <v>0</v>
      </c>
      <c r="AB178" s="130">
        <f t="shared" si="46"/>
        <v>0</v>
      </c>
      <c r="AC178" s="130">
        <f t="shared" si="46"/>
        <v>0</v>
      </c>
      <c r="AD178" s="130">
        <f t="shared" si="46"/>
        <v>0</v>
      </c>
      <c r="AE178" s="130">
        <f t="shared" si="46"/>
        <v>0</v>
      </c>
      <c r="AF178" s="130">
        <f t="shared" si="46"/>
        <v>0</v>
      </c>
      <c r="AG178" s="130">
        <f t="shared" si="46"/>
        <v>0</v>
      </c>
      <c r="AH178" s="130">
        <f t="shared" si="46"/>
        <v>0</v>
      </c>
      <c r="AI178" s="130">
        <f t="shared" si="46"/>
        <v>0</v>
      </c>
      <c r="AJ178" s="47" t="str">
        <f t="shared" si="30"/>
        <v/>
      </c>
      <c r="AK178" s="60"/>
      <c r="AL178" s="60" t="str">
        <f t="shared" si="33"/>
        <v>00</v>
      </c>
      <c r="AM178" s="62" t="str">
        <f t="shared" si="34"/>
        <v>00</v>
      </c>
      <c r="AN178" s="62" t="str">
        <f t="shared" si="35"/>
        <v>00</v>
      </c>
      <c r="AO178" s="62" t="str">
        <f t="shared" si="36"/>
        <v>00</v>
      </c>
      <c r="AQ178" t="str">
        <f t="shared" si="31"/>
        <v/>
      </c>
    </row>
    <row r="179" spans="2:43">
      <c r="B179" s="138"/>
      <c r="C179" s="47">
        <f t="shared" si="32"/>
        <v>43</v>
      </c>
      <c r="D179" s="130">
        <f t="shared" si="46"/>
        <v>0</v>
      </c>
      <c r="E179" s="130">
        <f t="shared" si="46"/>
        <v>0</v>
      </c>
      <c r="F179" s="130">
        <f t="shared" si="46"/>
        <v>0</v>
      </c>
      <c r="G179" s="130">
        <f t="shared" si="46"/>
        <v>0</v>
      </c>
      <c r="H179" s="130">
        <f t="shared" si="46"/>
        <v>0</v>
      </c>
      <c r="I179" s="130">
        <f t="shared" si="46"/>
        <v>0</v>
      </c>
      <c r="J179" s="130">
        <f t="shared" si="46"/>
        <v>0</v>
      </c>
      <c r="K179" s="130">
        <f t="shared" si="46"/>
        <v>0</v>
      </c>
      <c r="L179" s="130">
        <f t="shared" si="46"/>
        <v>0</v>
      </c>
      <c r="M179" s="130">
        <f t="shared" si="46"/>
        <v>0</v>
      </c>
      <c r="N179" s="130">
        <f t="shared" si="46"/>
        <v>0</v>
      </c>
      <c r="O179" s="130">
        <f t="shared" si="46"/>
        <v>0</v>
      </c>
      <c r="P179" s="130">
        <f t="shared" si="46"/>
        <v>0</v>
      </c>
      <c r="Q179" s="130">
        <f t="shared" si="46"/>
        <v>0</v>
      </c>
      <c r="R179" s="130">
        <f t="shared" si="46"/>
        <v>0</v>
      </c>
      <c r="S179" s="130">
        <f t="shared" si="46"/>
        <v>0</v>
      </c>
      <c r="T179" s="130">
        <f t="shared" si="46"/>
        <v>0</v>
      </c>
      <c r="U179" s="130">
        <f t="shared" si="46"/>
        <v>0</v>
      </c>
      <c r="V179" s="130">
        <f t="shared" si="46"/>
        <v>0</v>
      </c>
      <c r="W179" s="130">
        <f t="shared" si="46"/>
        <v>0</v>
      </c>
      <c r="X179" s="130">
        <f t="shared" si="46"/>
        <v>0</v>
      </c>
      <c r="Y179" s="130">
        <f t="shared" si="46"/>
        <v>0</v>
      </c>
      <c r="Z179" s="130">
        <f t="shared" si="46"/>
        <v>0</v>
      </c>
      <c r="AA179" s="130">
        <f t="shared" si="46"/>
        <v>0</v>
      </c>
      <c r="AB179" s="130">
        <f t="shared" si="46"/>
        <v>0</v>
      </c>
      <c r="AC179" s="130">
        <f t="shared" si="46"/>
        <v>0</v>
      </c>
      <c r="AD179" s="130">
        <f t="shared" si="46"/>
        <v>0</v>
      </c>
      <c r="AE179" s="130">
        <f t="shared" si="46"/>
        <v>0</v>
      </c>
      <c r="AF179" s="130">
        <f t="shared" si="46"/>
        <v>0</v>
      </c>
      <c r="AG179" s="130">
        <f t="shared" si="46"/>
        <v>0</v>
      </c>
      <c r="AH179" s="130">
        <f t="shared" si="46"/>
        <v>0</v>
      </c>
      <c r="AI179" s="130">
        <f t="shared" si="46"/>
        <v>0</v>
      </c>
      <c r="AJ179" s="47" t="str">
        <f t="shared" si="30"/>
        <v/>
      </c>
      <c r="AK179" s="60"/>
      <c r="AL179" s="60" t="str">
        <f t="shared" si="33"/>
        <v>00</v>
      </c>
      <c r="AM179" s="62" t="str">
        <f t="shared" si="34"/>
        <v>00</v>
      </c>
      <c r="AN179" s="62" t="str">
        <f t="shared" si="35"/>
        <v>00</v>
      </c>
      <c r="AO179" s="62" t="str">
        <f t="shared" si="36"/>
        <v>00</v>
      </c>
      <c r="AQ179" t="str">
        <f t="shared" si="31"/>
        <v/>
      </c>
    </row>
    <row r="180" spans="2:43">
      <c r="B180" s="138"/>
      <c r="C180" s="47">
        <f t="shared" si="32"/>
        <v>44</v>
      </c>
      <c r="D180" s="130">
        <f t="shared" si="46"/>
        <v>0</v>
      </c>
      <c r="E180" s="130">
        <f t="shared" si="46"/>
        <v>0</v>
      </c>
      <c r="F180" s="130">
        <f t="shared" si="46"/>
        <v>0</v>
      </c>
      <c r="G180" s="130">
        <f t="shared" si="46"/>
        <v>0</v>
      </c>
      <c r="H180" s="130">
        <f t="shared" si="46"/>
        <v>0</v>
      </c>
      <c r="I180" s="130">
        <f t="shared" si="46"/>
        <v>0</v>
      </c>
      <c r="J180" s="130">
        <f t="shared" si="46"/>
        <v>0</v>
      </c>
      <c r="K180" s="130">
        <f t="shared" si="46"/>
        <v>0</v>
      </c>
      <c r="L180" s="130">
        <f t="shared" si="46"/>
        <v>0</v>
      </c>
      <c r="M180" s="130">
        <f t="shared" si="46"/>
        <v>0</v>
      </c>
      <c r="N180" s="130">
        <f t="shared" si="46"/>
        <v>0</v>
      </c>
      <c r="O180" s="130">
        <f t="shared" si="46"/>
        <v>0</v>
      </c>
      <c r="P180" s="130">
        <f t="shared" si="46"/>
        <v>0</v>
      </c>
      <c r="Q180" s="130">
        <f t="shared" si="46"/>
        <v>0</v>
      </c>
      <c r="R180" s="130">
        <f t="shared" si="46"/>
        <v>0</v>
      </c>
      <c r="S180" s="130">
        <f t="shared" si="46"/>
        <v>0</v>
      </c>
      <c r="T180" s="130">
        <f t="shared" si="46"/>
        <v>0</v>
      </c>
      <c r="U180" s="130">
        <f t="shared" si="46"/>
        <v>0</v>
      </c>
      <c r="V180" s="130">
        <f t="shared" si="46"/>
        <v>0</v>
      </c>
      <c r="W180" s="130">
        <f t="shared" si="46"/>
        <v>0</v>
      </c>
      <c r="X180" s="130">
        <f t="shared" si="46"/>
        <v>0</v>
      </c>
      <c r="Y180" s="130">
        <f t="shared" si="46"/>
        <v>0</v>
      </c>
      <c r="Z180" s="130">
        <f t="shared" si="46"/>
        <v>0</v>
      </c>
      <c r="AA180" s="130">
        <f t="shared" si="46"/>
        <v>0</v>
      </c>
      <c r="AB180" s="130">
        <f t="shared" si="46"/>
        <v>0</v>
      </c>
      <c r="AC180" s="130">
        <f t="shared" si="46"/>
        <v>0</v>
      </c>
      <c r="AD180" s="130">
        <f t="shared" si="46"/>
        <v>0</v>
      </c>
      <c r="AE180" s="130">
        <f t="shared" si="46"/>
        <v>0</v>
      </c>
      <c r="AF180" s="130">
        <f t="shared" si="46"/>
        <v>0</v>
      </c>
      <c r="AG180" s="130">
        <f t="shared" si="46"/>
        <v>0</v>
      </c>
      <c r="AH180" s="130">
        <f t="shared" si="46"/>
        <v>0</v>
      </c>
      <c r="AI180" s="130">
        <f t="shared" si="46"/>
        <v>0</v>
      </c>
      <c r="AJ180" s="47" t="str">
        <f t="shared" si="30"/>
        <v/>
      </c>
      <c r="AK180" s="60"/>
      <c r="AL180" s="60" t="str">
        <f t="shared" si="33"/>
        <v>00</v>
      </c>
      <c r="AM180" s="62" t="str">
        <f t="shared" si="34"/>
        <v>00</v>
      </c>
      <c r="AN180" s="62" t="str">
        <f t="shared" si="35"/>
        <v>00</v>
      </c>
      <c r="AO180" s="62" t="str">
        <f t="shared" si="36"/>
        <v>00</v>
      </c>
      <c r="AQ180" t="str">
        <f t="shared" si="31"/>
        <v/>
      </c>
    </row>
    <row r="181" spans="2:43">
      <c r="B181" s="138"/>
      <c r="C181" s="47">
        <f t="shared" si="32"/>
        <v>45</v>
      </c>
      <c r="D181" s="130">
        <f t="shared" si="46"/>
        <v>0</v>
      </c>
      <c r="E181" s="130">
        <f t="shared" si="46"/>
        <v>0</v>
      </c>
      <c r="F181" s="130">
        <f t="shared" si="46"/>
        <v>0</v>
      </c>
      <c r="G181" s="130">
        <f t="shared" si="46"/>
        <v>0</v>
      </c>
      <c r="H181" s="130">
        <f t="shared" si="46"/>
        <v>0</v>
      </c>
      <c r="I181" s="130">
        <f t="shared" si="46"/>
        <v>0</v>
      </c>
      <c r="J181" s="130">
        <f t="shared" si="46"/>
        <v>0</v>
      </c>
      <c r="K181" s="130">
        <f t="shared" si="46"/>
        <v>0</v>
      </c>
      <c r="L181" s="130">
        <f t="shared" si="46"/>
        <v>0</v>
      </c>
      <c r="M181" s="130">
        <f t="shared" si="46"/>
        <v>0</v>
      </c>
      <c r="N181" s="130">
        <f t="shared" si="46"/>
        <v>0</v>
      </c>
      <c r="O181" s="130">
        <f t="shared" si="46"/>
        <v>0</v>
      </c>
      <c r="P181" s="130">
        <f t="shared" si="46"/>
        <v>0</v>
      </c>
      <c r="Q181" s="130">
        <f t="shared" si="46"/>
        <v>0</v>
      </c>
      <c r="R181" s="130">
        <f t="shared" si="46"/>
        <v>0</v>
      </c>
      <c r="S181" s="130">
        <f t="shared" si="46"/>
        <v>0</v>
      </c>
      <c r="T181" s="130">
        <f t="shared" si="46"/>
        <v>0</v>
      </c>
      <c r="U181" s="130">
        <f t="shared" si="46"/>
        <v>0</v>
      </c>
      <c r="V181" s="130">
        <f t="shared" si="46"/>
        <v>0</v>
      </c>
      <c r="W181" s="130">
        <f t="shared" si="46"/>
        <v>0</v>
      </c>
      <c r="X181" s="130">
        <f t="shared" si="46"/>
        <v>0</v>
      </c>
      <c r="Y181" s="130">
        <f t="shared" si="46"/>
        <v>0</v>
      </c>
      <c r="Z181" s="130">
        <f t="shared" si="46"/>
        <v>0</v>
      </c>
      <c r="AA181" s="130">
        <f t="shared" si="46"/>
        <v>0</v>
      </c>
      <c r="AB181" s="130">
        <f t="shared" si="46"/>
        <v>0</v>
      </c>
      <c r="AC181" s="130">
        <f t="shared" si="46"/>
        <v>0</v>
      </c>
      <c r="AD181" s="130">
        <f t="shared" si="46"/>
        <v>0</v>
      </c>
      <c r="AE181" s="130">
        <f t="shared" si="46"/>
        <v>0</v>
      </c>
      <c r="AF181" s="130">
        <f t="shared" si="46"/>
        <v>0</v>
      </c>
      <c r="AG181" s="130">
        <f t="shared" si="46"/>
        <v>0</v>
      </c>
      <c r="AH181" s="130">
        <f t="shared" si="46"/>
        <v>0</v>
      </c>
      <c r="AI181" s="130">
        <f t="shared" si="46"/>
        <v>0</v>
      </c>
      <c r="AJ181" s="47" t="str">
        <f t="shared" si="30"/>
        <v/>
      </c>
      <c r="AK181" s="60"/>
      <c r="AL181" s="60" t="str">
        <f t="shared" si="33"/>
        <v>00</v>
      </c>
      <c r="AM181" s="62" t="str">
        <f t="shared" si="34"/>
        <v>00</v>
      </c>
      <c r="AN181" s="62" t="str">
        <f t="shared" si="35"/>
        <v>00</v>
      </c>
      <c r="AO181" s="62" t="str">
        <f t="shared" si="36"/>
        <v>00</v>
      </c>
      <c r="AQ181" t="str">
        <f t="shared" si="31"/>
        <v/>
      </c>
    </row>
    <row r="182" spans="2:43">
      <c r="B182" s="138"/>
      <c r="C182" s="47">
        <f t="shared" si="32"/>
        <v>46</v>
      </c>
      <c r="D182" s="130">
        <f t="shared" si="46"/>
        <v>0</v>
      </c>
      <c r="E182" s="130">
        <f t="shared" si="46"/>
        <v>0</v>
      </c>
      <c r="F182" s="130">
        <f t="shared" si="46"/>
        <v>0</v>
      </c>
      <c r="G182" s="130">
        <f t="shared" si="46"/>
        <v>0</v>
      </c>
      <c r="H182" s="130">
        <f t="shared" si="46"/>
        <v>0</v>
      </c>
      <c r="I182" s="130">
        <f t="shared" si="46"/>
        <v>0</v>
      </c>
      <c r="J182" s="130">
        <f t="shared" si="46"/>
        <v>0</v>
      </c>
      <c r="K182" s="130">
        <f t="shared" si="46"/>
        <v>0</v>
      </c>
      <c r="L182" s="130">
        <f t="shared" si="46"/>
        <v>0</v>
      </c>
      <c r="M182" s="130">
        <f t="shared" si="46"/>
        <v>0</v>
      </c>
      <c r="N182" s="130">
        <f t="shared" si="46"/>
        <v>0</v>
      </c>
      <c r="O182" s="130">
        <f t="shared" si="46"/>
        <v>0</v>
      </c>
      <c r="P182" s="130">
        <f t="shared" si="46"/>
        <v>0</v>
      </c>
      <c r="Q182" s="130">
        <f t="shared" si="46"/>
        <v>0</v>
      </c>
      <c r="R182" s="130">
        <f t="shared" si="46"/>
        <v>0</v>
      </c>
      <c r="S182" s="130">
        <f t="shared" si="46"/>
        <v>0</v>
      </c>
      <c r="T182" s="130">
        <f t="shared" si="46"/>
        <v>0</v>
      </c>
      <c r="U182" s="130">
        <f t="shared" si="46"/>
        <v>0</v>
      </c>
      <c r="V182" s="130">
        <f t="shared" si="46"/>
        <v>0</v>
      </c>
      <c r="W182" s="130">
        <f t="shared" si="46"/>
        <v>0</v>
      </c>
      <c r="X182" s="130">
        <f t="shared" si="46"/>
        <v>0</v>
      </c>
      <c r="Y182" s="130">
        <f t="shared" si="46"/>
        <v>0</v>
      </c>
      <c r="Z182" s="130">
        <f t="shared" si="46"/>
        <v>0</v>
      </c>
      <c r="AA182" s="130">
        <f t="shared" si="46"/>
        <v>0</v>
      </c>
      <c r="AB182" s="130">
        <f t="shared" si="46"/>
        <v>0</v>
      </c>
      <c r="AC182" s="130">
        <f t="shared" si="46"/>
        <v>0</v>
      </c>
      <c r="AD182" s="130">
        <f t="shared" si="46"/>
        <v>0</v>
      </c>
      <c r="AE182" s="130">
        <f t="shared" si="46"/>
        <v>0</v>
      </c>
      <c r="AF182" s="130">
        <f t="shared" si="46"/>
        <v>0</v>
      </c>
      <c r="AG182" s="130">
        <f t="shared" si="46"/>
        <v>0</v>
      </c>
      <c r="AH182" s="130">
        <f t="shared" si="46"/>
        <v>0</v>
      </c>
      <c r="AI182" s="130">
        <f t="shared" si="46"/>
        <v>0</v>
      </c>
      <c r="AJ182" s="47" t="str">
        <f t="shared" si="30"/>
        <v/>
      </c>
      <c r="AK182" s="60"/>
      <c r="AL182" s="60" t="str">
        <f t="shared" si="33"/>
        <v>00</v>
      </c>
      <c r="AM182" s="62" t="str">
        <f t="shared" si="34"/>
        <v>00</v>
      </c>
      <c r="AN182" s="62" t="str">
        <f t="shared" si="35"/>
        <v>00</v>
      </c>
      <c r="AO182" s="62" t="str">
        <f t="shared" si="36"/>
        <v>00</v>
      </c>
      <c r="AQ182" t="str">
        <f t="shared" si="31"/>
        <v/>
      </c>
    </row>
    <row r="183" spans="2:43">
      <c r="B183" s="138"/>
      <c r="C183" s="47">
        <f t="shared" si="32"/>
        <v>47</v>
      </c>
      <c r="D183" s="130">
        <f t="shared" si="46"/>
        <v>0</v>
      </c>
      <c r="E183" s="130">
        <f t="shared" si="46"/>
        <v>0</v>
      </c>
      <c r="F183" s="130">
        <f t="shared" si="46"/>
        <v>0</v>
      </c>
      <c r="G183" s="130">
        <f t="shared" si="46"/>
        <v>0</v>
      </c>
      <c r="H183" s="130">
        <f t="shared" si="46"/>
        <v>0</v>
      </c>
      <c r="I183" s="130">
        <f t="shared" si="46"/>
        <v>0</v>
      </c>
      <c r="J183" s="130">
        <f t="shared" si="46"/>
        <v>0</v>
      </c>
      <c r="K183" s="130">
        <f t="shared" si="46"/>
        <v>0</v>
      </c>
      <c r="L183" s="130">
        <f t="shared" si="46"/>
        <v>0</v>
      </c>
      <c r="M183" s="130">
        <f t="shared" si="46"/>
        <v>0</v>
      </c>
      <c r="N183" s="130">
        <f t="shared" si="46"/>
        <v>0</v>
      </c>
      <c r="O183" s="130">
        <f t="shared" si="46"/>
        <v>0</v>
      </c>
      <c r="P183" s="130">
        <f t="shared" si="46"/>
        <v>0</v>
      </c>
      <c r="Q183" s="130">
        <f t="shared" si="46"/>
        <v>0</v>
      </c>
      <c r="R183" s="130">
        <f t="shared" si="46"/>
        <v>0</v>
      </c>
      <c r="S183" s="130">
        <f t="shared" si="46"/>
        <v>0</v>
      </c>
      <c r="T183" s="130">
        <f t="shared" si="46"/>
        <v>0</v>
      </c>
      <c r="U183" s="130">
        <f t="shared" si="46"/>
        <v>0</v>
      </c>
      <c r="V183" s="130">
        <f t="shared" si="46"/>
        <v>0</v>
      </c>
      <c r="W183" s="130">
        <f t="shared" si="46"/>
        <v>0</v>
      </c>
      <c r="X183" s="130">
        <f t="shared" si="46"/>
        <v>0</v>
      </c>
      <c r="Y183" s="130">
        <f t="shared" si="46"/>
        <v>0</v>
      </c>
      <c r="Z183" s="130">
        <f t="shared" si="46"/>
        <v>0</v>
      </c>
      <c r="AA183" s="130">
        <f t="shared" si="46"/>
        <v>0</v>
      </c>
      <c r="AB183" s="130">
        <f t="shared" si="46"/>
        <v>0</v>
      </c>
      <c r="AC183" s="130">
        <f t="shared" si="46"/>
        <v>0</v>
      </c>
      <c r="AD183" s="130">
        <f t="shared" si="46"/>
        <v>0</v>
      </c>
      <c r="AE183" s="130">
        <f t="shared" si="46"/>
        <v>0</v>
      </c>
      <c r="AF183" s="130">
        <f t="shared" si="46"/>
        <v>0</v>
      </c>
      <c r="AG183" s="130">
        <f t="shared" si="46"/>
        <v>0</v>
      </c>
      <c r="AH183" s="130">
        <f t="shared" si="46"/>
        <v>0</v>
      </c>
      <c r="AI183" s="130">
        <f t="shared" ref="AI183" si="47">IF(OR(AI53=0,AI53=1),1,0)</f>
        <v>0</v>
      </c>
      <c r="AJ183" s="47" t="str">
        <f t="shared" si="30"/>
        <v/>
      </c>
      <c r="AK183" s="60"/>
      <c r="AL183" s="60" t="str">
        <f t="shared" si="33"/>
        <v>00</v>
      </c>
      <c r="AM183" s="62" t="str">
        <f t="shared" si="34"/>
        <v>00</v>
      </c>
      <c r="AN183" s="62" t="str">
        <f t="shared" si="35"/>
        <v>00</v>
      </c>
      <c r="AO183" s="62" t="str">
        <f t="shared" si="36"/>
        <v>00</v>
      </c>
      <c r="AQ183" t="str">
        <f t="shared" si="31"/>
        <v/>
      </c>
    </row>
    <row r="184" spans="2:43">
      <c r="B184" s="138"/>
      <c r="C184" s="47">
        <f t="shared" si="32"/>
        <v>48</v>
      </c>
      <c r="D184" s="130">
        <f t="shared" ref="D184:AI191" si="48">IF(OR(D54=0,D54=1),1,0)</f>
        <v>0</v>
      </c>
      <c r="E184" s="130">
        <f t="shared" si="48"/>
        <v>0</v>
      </c>
      <c r="F184" s="130">
        <f t="shared" si="48"/>
        <v>0</v>
      </c>
      <c r="G184" s="130">
        <f t="shared" si="48"/>
        <v>0</v>
      </c>
      <c r="H184" s="130">
        <f t="shared" si="48"/>
        <v>0</v>
      </c>
      <c r="I184" s="130">
        <f t="shared" si="48"/>
        <v>0</v>
      </c>
      <c r="J184" s="130">
        <f t="shared" si="48"/>
        <v>0</v>
      </c>
      <c r="K184" s="130">
        <f t="shared" si="48"/>
        <v>0</v>
      </c>
      <c r="L184" s="130">
        <f t="shared" si="48"/>
        <v>0</v>
      </c>
      <c r="M184" s="130">
        <f t="shared" si="48"/>
        <v>0</v>
      </c>
      <c r="N184" s="130">
        <f t="shared" si="48"/>
        <v>0</v>
      </c>
      <c r="O184" s="130">
        <f t="shared" si="48"/>
        <v>0</v>
      </c>
      <c r="P184" s="130">
        <f t="shared" si="48"/>
        <v>0</v>
      </c>
      <c r="Q184" s="130">
        <f t="shared" si="48"/>
        <v>0</v>
      </c>
      <c r="R184" s="130">
        <f t="shared" si="48"/>
        <v>0</v>
      </c>
      <c r="S184" s="130">
        <f t="shared" si="48"/>
        <v>0</v>
      </c>
      <c r="T184" s="130">
        <f t="shared" si="48"/>
        <v>0</v>
      </c>
      <c r="U184" s="130">
        <f t="shared" si="48"/>
        <v>0</v>
      </c>
      <c r="V184" s="130">
        <f t="shared" si="48"/>
        <v>0</v>
      </c>
      <c r="W184" s="130">
        <f t="shared" si="48"/>
        <v>0</v>
      </c>
      <c r="X184" s="130">
        <f t="shared" si="48"/>
        <v>0</v>
      </c>
      <c r="Y184" s="130">
        <f t="shared" si="48"/>
        <v>0</v>
      </c>
      <c r="Z184" s="130">
        <f t="shared" si="48"/>
        <v>0</v>
      </c>
      <c r="AA184" s="130">
        <f t="shared" si="48"/>
        <v>0</v>
      </c>
      <c r="AB184" s="130">
        <f t="shared" si="48"/>
        <v>0</v>
      </c>
      <c r="AC184" s="130">
        <f t="shared" si="48"/>
        <v>0</v>
      </c>
      <c r="AD184" s="130">
        <f t="shared" si="48"/>
        <v>0</v>
      </c>
      <c r="AE184" s="130">
        <f t="shared" si="48"/>
        <v>0</v>
      </c>
      <c r="AF184" s="130">
        <f t="shared" si="48"/>
        <v>0</v>
      </c>
      <c r="AG184" s="130">
        <f t="shared" si="48"/>
        <v>0</v>
      </c>
      <c r="AH184" s="130">
        <f t="shared" si="48"/>
        <v>0</v>
      </c>
      <c r="AI184" s="130">
        <f t="shared" si="48"/>
        <v>0</v>
      </c>
      <c r="AJ184" s="47" t="str">
        <f t="shared" si="30"/>
        <v/>
      </c>
      <c r="AK184" s="60"/>
      <c r="AL184" s="60" t="str">
        <f t="shared" si="33"/>
        <v>00</v>
      </c>
      <c r="AM184" s="62" t="str">
        <f t="shared" si="34"/>
        <v>00</v>
      </c>
      <c r="AN184" s="62" t="str">
        <f t="shared" si="35"/>
        <v>00</v>
      </c>
      <c r="AO184" s="62" t="str">
        <f t="shared" si="36"/>
        <v>00</v>
      </c>
      <c r="AQ184" t="str">
        <f t="shared" si="31"/>
        <v/>
      </c>
    </row>
    <row r="185" spans="2:43">
      <c r="B185" s="138"/>
      <c r="C185" s="47">
        <f t="shared" si="32"/>
        <v>49</v>
      </c>
      <c r="D185" s="130">
        <f t="shared" si="48"/>
        <v>0</v>
      </c>
      <c r="E185" s="130">
        <f t="shared" si="48"/>
        <v>0</v>
      </c>
      <c r="F185" s="130">
        <f t="shared" si="48"/>
        <v>0</v>
      </c>
      <c r="G185" s="130">
        <f t="shared" si="48"/>
        <v>0</v>
      </c>
      <c r="H185" s="130">
        <f t="shared" si="48"/>
        <v>0</v>
      </c>
      <c r="I185" s="130">
        <f t="shared" si="48"/>
        <v>0</v>
      </c>
      <c r="J185" s="130">
        <f t="shared" si="48"/>
        <v>0</v>
      </c>
      <c r="K185" s="130">
        <f t="shared" si="48"/>
        <v>0</v>
      </c>
      <c r="L185" s="130">
        <f t="shared" si="48"/>
        <v>0</v>
      </c>
      <c r="M185" s="130">
        <f t="shared" si="48"/>
        <v>0</v>
      </c>
      <c r="N185" s="130">
        <f t="shared" si="48"/>
        <v>0</v>
      </c>
      <c r="O185" s="130">
        <f t="shared" si="48"/>
        <v>0</v>
      </c>
      <c r="P185" s="130">
        <f t="shared" si="48"/>
        <v>0</v>
      </c>
      <c r="Q185" s="130">
        <f t="shared" si="48"/>
        <v>0</v>
      </c>
      <c r="R185" s="130">
        <f t="shared" si="48"/>
        <v>0</v>
      </c>
      <c r="S185" s="130">
        <f t="shared" si="48"/>
        <v>0</v>
      </c>
      <c r="T185" s="130">
        <f t="shared" si="48"/>
        <v>0</v>
      </c>
      <c r="U185" s="130">
        <f t="shared" si="48"/>
        <v>0</v>
      </c>
      <c r="V185" s="130">
        <f t="shared" si="48"/>
        <v>0</v>
      </c>
      <c r="W185" s="130">
        <f t="shared" si="48"/>
        <v>0</v>
      </c>
      <c r="X185" s="130">
        <f t="shared" si="48"/>
        <v>0</v>
      </c>
      <c r="Y185" s="130">
        <f t="shared" si="48"/>
        <v>0</v>
      </c>
      <c r="Z185" s="130">
        <f t="shared" si="48"/>
        <v>0</v>
      </c>
      <c r="AA185" s="130">
        <f t="shared" si="48"/>
        <v>0</v>
      </c>
      <c r="AB185" s="130">
        <f t="shared" si="48"/>
        <v>0</v>
      </c>
      <c r="AC185" s="130">
        <f t="shared" si="48"/>
        <v>0</v>
      </c>
      <c r="AD185" s="130">
        <f t="shared" si="48"/>
        <v>0</v>
      </c>
      <c r="AE185" s="130">
        <f t="shared" si="48"/>
        <v>0</v>
      </c>
      <c r="AF185" s="130">
        <f t="shared" si="48"/>
        <v>0</v>
      </c>
      <c r="AG185" s="130">
        <f t="shared" si="48"/>
        <v>0</v>
      </c>
      <c r="AH185" s="130">
        <f t="shared" si="48"/>
        <v>0</v>
      </c>
      <c r="AI185" s="130">
        <f t="shared" si="48"/>
        <v>0</v>
      </c>
      <c r="AJ185" s="47" t="str">
        <f t="shared" si="30"/>
        <v/>
      </c>
      <c r="AK185" s="60"/>
      <c r="AL185" s="60" t="str">
        <f t="shared" si="33"/>
        <v>00</v>
      </c>
      <c r="AM185" s="62" t="str">
        <f t="shared" si="34"/>
        <v>00</v>
      </c>
      <c r="AN185" s="62" t="str">
        <f t="shared" si="35"/>
        <v>00</v>
      </c>
      <c r="AO185" s="62" t="str">
        <f t="shared" si="36"/>
        <v>00</v>
      </c>
      <c r="AQ185" t="str">
        <f t="shared" si="31"/>
        <v/>
      </c>
    </row>
    <row r="186" spans="2:43">
      <c r="B186" s="138"/>
      <c r="C186" s="47">
        <f t="shared" si="32"/>
        <v>50</v>
      </c>
      <c r="D186" s="130">
        <f t="shared" si="48"/>
        <v>0</v>
      </c>
      <c r="E186" s="130">
        <f t="shared" si="48"/>
        <v>0</v>
      </c>
      <c r="F186" s="130">
        <f t="shared" si="48"/>
        <v>0</v>
      </c>
      <c r="G186" s="130">
        <f t="shared" si="48"/>
        <v>0</v>
      </c>
      <c r="H186" s="130">
        <f t="shared" si="48"/>
        <v>0</v>
      </c>
      <c r="I186" s="130">
        <f t="shared" si="48"/>
        <v>0</v>
      </c>
      <c r="J186" s="130">
        <f t="shared" si="48"/>
        <v>0</v>
      </c>
      <c r="K186" s="130">
        <f t="shared" si="48"/>
        <v>0</v>
      </c>
      <c r="L186" s="130">
        <f t="shared" si="48"/>
        <v>0</v>
      </c>
      <c r="M186" s="130">
        <f t="shared" si="48"/>
        <v>0</v>
      </c>
      <c r="N186" s="130">
        <f t="shared" si="48"/>
        <v>0</v>
      </c>
      <c r="O186" s="130">
        <f t="shared" si="48"/>
        <v>0</v>
      </c>
      <c r="P186" s="130">
        <f t="shared" si="48"/>
        <v>0</v>
      </c>
      <c r="Q186" s="130">
        <f t="shared" si="48"/>
        <v>0</v>
      </c>
      <c r="R186" s="130">
        <f t="shared" si="48"/>
        <v>0</v>
      </c>
      <c r="S186" s="130">
        <f t="shared" si="48"/>
        <v>0</v>
      </c>
      <c r="T186" s="130">
        <f t="shared" si="48"/>
        <v>0</v>
      </c>
      <c r="U186" s="130">
        <f t="shared" si="48"/>
        <v>0</v>
      </c>
      <c r="V186" s="130">
        <f t="shared" si="48"/>
        <v>0</v>
      </c>
      <c r="W186" s="130">
        <f t="shared" si="48"/>
        <v>0</v>
      </c>
      <c r="X186" s="130">
        <f t="shared" si="48"/>
        <v>0</v>
      </c>
      <c r="Y186" s="130">
        <f t="shared" si="48"/>
        <v>0</v>
      </c>
      <c r="Z186" s="130">
        <f t="shared" si="48"/>
        <v>0</v>
      </c>
      <c r="AA186" s="130">
        <f t="shared" si="48"/>
        <v>0</v>
      </c>
      <c r="AB186" s="130">
        <f t="shared" si="48"/>
        <v>0</v>
      </c>
      <c r="AC186" s="130">
        <f t="shared" si="48"/>
        <v>0</v>
      </c>
      <c r="AD186" s="130">
        <f t="shared" si="48"/>
        <v>0</v>
      </c>
      <c r="AE186" s="130">
        <f t="shared" si="48"/>
        <v>0</v>
      </c>
      <c r="AF186" s="130">
        <f t="shared" si="48"/>
        <v>0</v>
      </c>
      <c r="AG186" s="130">
        <f t="shared" si="48"/>
        <v>0</v>
      </c>
      <c r="AH186" s="130">
        <f t="shared" si="48"/>
        <v>0</v>
      </c>
      <c r="AI186" s="130">
        <f t="shared" si="48"/>
        <v>0</v>
      </c>
      <c r="AJ186" s="47" t="str">
        <f t="shared" si="30"/>
        <v/>
      </c>
      <c r="AK186" s="60"/>
      <c r="AL186" s="60" t="str">
        <f t="shared" si="33"/>
        <v>00</v>
      </c>
      <c r="AM186" s="62" t="str">
        <f t="shared" si="34"/>
        <v>00</v>
      </c>
      <c r="AN186" s="62" t="str">
        <f t="shared" si="35"/>
        <v>00</v>
      </c>
      <c r="AO186" s="62" t="str">
        <f t="shared" si="36"/>
        <v>00</v>
      </c>
      <c r="AQ186" t="str">
        <f t="shared" si="31"/>
        <v/>
      </c>
    </row>
    <row r="187" spans="2:43">
      <c r="B187" s="138"/>
      <c r="C187" s="47">
        <f t="shared" si="32"/>
        <v>51</v>
      </c>
      <c r="D187" s="130">
        <f t="shared" si="48"/>
        <v>0</v>
      </c>
      <c r="E187" s="130">
        <f t="shared" si="48"/>
        <v>0</v>
      </c>
      <c r="F187" s="130">
        <f t="shared" si="48"/>
        <v>0</v>
      </c>
      <c r="G187" s="130">
        <f t="shared" si="48"/>
        <v>0</v>
      </c>
      <c r="H187" s="130">
        <f t="shared" si="48"/>
        <v>0</v>
      </c>
      <c r="I187" s="130">
        <f t="shared" si="48"/>
        <v>0</v>
      </c>
      <c r="J187" s="130">
        <f t="shared" si="48"/>
        <v>0</v>
      </c>
      <c r="K187" s="130">
        <f t="shared" si="48"/>
        <v>0</v>
      </c>
      <c r="L187" s="130">
        <f t="shared" si="48"/>
        <v>0</v>
      </c>
      <c r="M187" s="130">
        <f t="shared" si="48"/>
        <v>0</v>
      </c>
      <c r="N187" s="130">
        <f t="shared" si="48"/>
        <v>0</v>
      </c>
      <c r="O187" s="130">
        <f t="shared" si="48"/>
        <v>0</v>
      </c>
      <c r="P187" s="130">
        <f t="shared" si="48"/>
        <v>0</v>
      </c>
      <c r="Q187" s="130">
        <f t="shared" si="48"/>
        <v>0</v>
      </c>
      <c r="R187" s="130">
        <f t="shared" si="48"/>
        <v>0</v>
      </c>
      <c r="S187" s="130">
        <f t="shared" si="48"/>
        <v>0</v>
      </c>
      <c r="T187" s="130">
        <f t="shared" si="48"/>
        <v>0</v>
      </c>
      <c r="U187" s="130">
        <f t="shared" si="48"/>
        <v>0</v>
      </c>
      <c r="V187" s="130">
        <f t="shared" si="48"/>
        <v>0</v>
      </c>
      <c r="W187" s="130">
        <f t="shared" si="48"/>
        <v>0</v>
      </c>
      <c r="X187" s="130">
        <f t="shared" si="48"/>
        <v>0</v>
      </c>
      <c r="Y187" s="130">
        <f t="shared" si="48"/>
        <v>0</v>
      </c>
      <c r="Z187" s="130">
        <f t="shared" si="48"/>
        <v>0</v>
      </c>
      <c r="AA187" s="130">
        <f t="shared" si="48"/>
        <v>0</v>
      </c>
      <c r="AB187" s="130">
        <f t="shared" si="48"/>
        <v>0</v>
      </c>
      <c r="AC187" s="130">
        <f t="shared" si="48"/>
        <v>0</v>
      </c>
      <c r="AD187" s="130">
        <f t="shared" si="48"/>
        <v>0</v>
      </c>
      <c r="AE187" s="130">
        <f t="shared" si="48"/>
        <v>0</v>
      </c>
      <c r="AF187" s="130">
        <f t="shared" si="48"/>
        <v>0</v>
      </c>
      <c r="AG187" s="130">
        <f t="shared" si="48"/>
        <v>0</v>
      </c>
      <c r="AH187" s="130">
        <f t="shared" si="48"/>
        <v>0</v>
      </c>
      <c r="AI187" s="130">
        <f t="shared" si="48"/>
        <v>0</v>
      </c>
      <c r="AJ187" s="47" t="str">
        <f t="shared" si="30"/>
        <v/>
      </c>
      <c r="AK187" s="60"/>
      <c r="AL187" s="60" t="str">
        <f t="shared" si="33"/>
        <v>00</v>
      </c>
      <c r="AM187" s="62" t="str">
        <f t="shared" si="34"/>
        <v>00</v>
      </c>
      <c r="AN187" s="62" t="str">
        <f t="shared" si="35"/>
        <v>00</v>
      </c>
      <c r="AO187" s="62" t="str">
        <f t="shared" si="36"/>
        <v>00</v>
      </c>
      <c r="AQ187" t="str">
        <f t="shared" si="31"/>
        <v/>
      </c>
    </row>
    <row r="188" spans="2:43">
      <c r="B188" s="138"/>
      <c r="C188" s="47">
        <f t="shared" si="32"/>
        <v>52</v>
      </c>
      <c r="D188" s="130">
        <f t="shared" si="48"/>
        <v>0</v>
      </c>
      <c r="E188" s="130">
        <f t="shared" si="48"/>
        <v>0</v>
      </c>
      <c r="F188" s="130">
        <f t="shared" si="48"/>
        <v>0</v>
      </c>
      <c r="G188" s="130">
        <f t="shared" si="48"/>
        <v>0</v>
      </c>
      <c r="H188" s="130">
        <f t="shared" si="48"/>
        <v>0</v>
      </c>
      <c r="I188" s="130">
        <f t="shared" si="48"/>
        <v>0</v>
      </c>
      <c r="J188" s="130">
        <f t="shared" si="48"/>
        <v>0</v>
      </c>
      <c r="K188" s="130">
        <f t="shared" si="48"/>
        <v>0</v>
      </c>
      <c r="L188" s="130">
        <f t="shared" si="48"/>
        <v>0</v>
      </c>
      <c r="M188" s="130">
        <f t="shared" si="48"/>
        <v>0</v>
      </c>
      <c r="N188" s="130">
        <f t="shared" si="48"/>
        <v>0</v>
      </c>
      <c r="O188" s="130">
        <f t="shared" si="48"/>
        <v>0</v>
      </c>
      <c r="P188" s="130">
        <f t="shared" si="48"/>
        <v>0</v>
      </c>
      <c r="Q188" s="130">
        <f t="shared" si="48"/>
        <v>0</v>
      </c>
      <c r="R188" s="130">
        <f t="shared" si="48"/>
        <v>0</v>
      </c>
      <c r="S188" s="130">
        <f t="shared" si="48"/>
        <v>0</v>
      </c>
      <c r="T188" s="130">
        <f t="shared" si="48"/>
        <v>0</v>
      </c>
      <c r="U188" s="130">
        <f t="shared" si="48"/>
        <v>0</v>
      </c>
      <c r="V188" s="130">
        <f t="shared" si="48"/>
        <v>0</v>
      </c>
      <c r="W188" s="130">
        <f t="shared" si="48"/>
        <v>0</v>
      </c>
      <c r="X188" s="130">
        <f t="shared" si="48"/>
        <v>0</v>
      </c>
      <c r="Y188" s="130">
        <f t="shared" si="48"/>
        <v>0</v>
      </c>
      <c r="Z188" s="130">
        <f t="shared" si="48"/>
        <v>0</v>
      </c>
      <c r="AA188" s="130">
        <f t="shared" si="48"/>
        <v>0</v>
      </c>
      <c r="AB188" s="130">
        <f t="shared" si="48"/>
        <v>0</v>
      </c>
      <c r="AC188" s="130">
        <f t="shared" si="48"/>
        <v>0</v>
      </c>
      <c r="AD188" s="130">
        <f t="shared" si="48"/>
        <v>0</v>
      </c>
      <c r="AE188" s="130">
        <f t="shared" si="48"/>
        <v>0</v>
      </c>
      <c r="AF188" s="130">
        <f t="shared" si="48"/>
        <v>0</v>
      </c>
      <c r="AG188" s="130">
        <f t="shared" si="48"/>
        <v>0</v>
      </c>
      <c r="AH188" s="130">
        <f t="shared" si="48"/>
        <v>0</v>
      </c>
      <c r="AI188" s="130">
        <f t="shared" si="48"/>
        <v>0</v>
      </c>
      <c r="AJ188" s="47" t="str">
        <f t="shared" si="30"/>
        <v/>
      </c>
      <c r="AK188" s="60"/>
      <c r="AL188" s="60" t="str">
        <f t="shared" si="33"/>
        <v>00</v>
      </c>
      <c r="AM188" s="62" t="str">
        <f t="shared" si="34"/>
        <v>00</v>
      </c>
      <c r="AN188" s="62" t="str">
        <f t="shared" si="35"/>
        <v>00</v>
      </c>
      <c r="AO188" s="62" t="str">
        <f t="shared" si="36"/>
        <v>00</v>
      </c>
      <c r="AQ188" t="str">
        <f t="shared" si="31"/>
        <v/>
      </c>
    </row>
    <row r="189" spans="2:43">
      <c r="B189" s="138"/>
      <c r="C189" s="47">
        <f t="shared" si="32"/>
        <v>53</v>
      </c>
      <c r="D189" s="130">
        <f t="shared" si="48"/>
        <v>0</v>
      </c>
      <c r="E189" s="130">
        <f t="shared" si="48"/>
        <v>0</v>
      </c>
      <c r="F189" s="130">
        <f t="shared" si="48"/>
        <v>0</v>
      </c>
      <c r="G189" s="130">
        <f t="shared" si="48"/>
        <v>0</v>
      </c>
      <c r="H189" s="130">
        <f t="shared" si="48"/>
        <v>0</v>
      </c>
      <c r="I189" s="130">
        <f t="shared" si="48"/>
        <v>0</v>
      </c>
      <c r="J189" s="130">
        <f t="shared" si="48"/>
        <v>0</v>
      </c>
      <c r="K189" s="130">
        <f t="shared" si="48"/>
        <v>0</v>
      </c>
      <c r="L189" s="130">
        <f t="shared" si="48"/>
        <v>0</v>
      </c>
      <c r="M189" s="130">
        <f t="shared" si="48"/>
        <v>0</v>
      </c>
      <c r="N189" s="130">
        <f t="shared" si="48"/>
        <v>0</v>
      </c>
      <c r="O189" s="130">
        <f t="shared" si="48"/>
        <v>0</v>
      </c>
      <c r="P189" s="130">
        <f t="shared" si="48"/>
        <v>0</v>
      </c>
      <c r="Q189" s="130">
        <f t="shared" si="48"/>
        <v>0</v>
      </c>
      <c r="R189" s="130">
        <f t="shared" si="48"/>
        <v>0</v>
      </c>
      <c r="S189" s="130">
        <f t="shared" si="48"/>
        <v>0</v>
      </c>
      <c r="T189" s="130">
        <f t="shared" si="48"/>
        <v>0</v>
      </c>
      <c r="U189" s="130">
        <f t="shared" si="48"/>
        <v>0</v>
      </c>
      <c r="V189" s="130">
        <f t="shared" si="48"/>
        <v>0</v>
      </c>
      <c r="W189" s="130">
        <f t="shared" si="48"/>
        <v>0</v>
      </c>
      <c r="X189" s="130">
        <f t="shared" si="48"/>
        <v>0</v>
      </c>
      <c r="Y189" s="130">
        <f t="shared" si="48"/>
        <v>0</v>
      </c>
      <c r="Z189" s="130">
        <f t="shared" si="48"/>
        <v>0</v>
      </c>
      <c r="AA189" s="130">
        <f t="shared" si="48"/>
        <v>0</v>
      </c>
      <c r="AB189" s="130">
        <f t="shared" si="48"/>
        <v>0</v>
      </c>
      <c r="AC189" s="130">
        <f t="shared" si="48"/>
        <v>0</v>
      </c>
      <c r="AD189" s="130">
        <f t="shared" si="48"/>
        <v>0</v>
      </c>
      <c r="AE189" s="130">
        <f t="shared" si="48"/>
        <v>0</v>
      </c>
      <c r="AF189" s="130">
        <f t="shared" si="48"/>
        <v>0</v>
      </c>
      <c r="AG189" s="130">
        <f t="shared" si="48"/>
        <v>0</v>
      </c>
      <c r="AH189" s="130">
        <f t="shared" si="48"/>
        <v>0</v>
      </c>
      <c r="AI189" s="130">
        <f t="shared" si="48"/>
        <v>0</v>
      </c>
      <c r="AJ189" s="47" t="str">
        <f t="shared" si="30"/>
        <v/>
      </c>
      <c r="AK189" s="60"/>
      <c r="AL189" s="60" t="str">
        <f t="shared" si="33"/>
        <v>00</v>
      </c>
      <c r="AM189" s="62" t="str">
        <f t="shared" si="34"/>
        <v>00</v>
      </c>
      <c r="AN189" s="62" t="str">
        <f t="shared" si="35"/>
        <v>00</v>
      </c>
      <c r="AO189" s="62" t="str">
        <f t="shared" si="36"/>
        <v>00</v>
      </c>
      <c r="AQ189" t="str">
        <f t="shared" si="31"/>
        <v/>
      </c>
    </row>
    <row r="190" spans="2:43">
      <c r="B190" s="138"/>
      <c r="C190" s="47">
        <f t="shared" si="32"/>
        <v>54</v>
      </c>
      <c r="D190" s="130">
        <f t="shared" si="48"/>
        <v>0</v>
      </c>
      <c r="E190" s="130">
        <f t="shared" si="48"/>
        <v>0</v>
      </c>
      <c r="F190" s="130">
        <f t="shared" si="48"/>
        <v>0</v>
      </c>
      <c r="G190" s="130">
        <f t="shared" si="48"/>
        <v>0</v>
      </c>
      <c r="H190" s="130">
        <f t="shared" si="48"/>
        <v>0</v>
      </c>
      <c r="I190" s="130">
        <f t="shared" si="48"/>
        <v>0</v>
      </c>
      <c r="J190" s="130">
        <f t="shared" si="48"/>
        <v>0</v>
      </c>
      <c r="K190" s="130">
        <f t="shared" si="48"/>
        <v>0</v>
      </c>
      <c r="L190" s="130">
        <f t="shared" si="48"/>
        <v>0</v>
      </c>
      <c r="M190" s="130">
        <f t="shared" si="48"/>
        <v>0</v>
      </c>
      <c r="N190" s="130">
        <f t="shared" si="48"/>
        <v>0</v>
      </c>
      <c r="O190" s="130">
        <f t="shared" si="48"/>
        <v>0</v>
      </c>
      <c r="P190" s="130">
        <f t="shared" si="48"/>
        <v>0</v>
      </c>
      <c r="Q190" s="130">
        <f t="shared" si="48"/>
        <v>0</v>
      </c>
      <c r="R190" s="130">
        <f t="shared" si="48"/>
        <v>0</v>
      </c>
      <c r="S190" s="130">
        <f t="shared" si="48"/>
        <v>0</v>
      </c>
      <c r="T190" s="130">
        <f t="shared" si="48"/>
        <v>0</v>
      </c>
      <c r="U190" s="130">
        <f t="shared" si="48"/>
        <v>0</v>
      </c>
      <c r="V190" s="130">
        <f t="shared" si="48"/>
        <v>0</v>
      </c>
      <c r="W190" s="130">
        <f t="shared" si="48"/>
        <v>0</v>
      </c>
      <c r="X190" s="130">
        <f t="shared" si="48"/>
        <v>0</v>
      </c>
      <c r="Y190" s="130">
        <f t="shared" si="48"/>
        <v>0</v>
      </c>
      <c r="Z190" s="130">
        <f t="shared" si="48"/>
        <v>0</v>
      </c>
      <c r="AA190" s="130">
        <f t="shared" si="48"/>
        <v>0</v>
      </c>
      <c r="AB190" s="130">
        <f t="shared" si="48"/>
        <v>0</v>
      </c>
      <c r="AC190" s="130">
        <f t="shared" si="48"/>
        <v>0</v>
      </c>
      <c r="AD190" s="130">
        <f t="shared" si="48"/>
        <v>0</v>
      </c>
      <c r="AE190" s="130">
        <f t="shared" si="48"/>
        <v>0</v>
      </c>
      <c r="AF190" s="130">
        <f t="shared" si="48"/>
        <v>0</v>
      </c>
      <c r="AG190" s="130">
        <f t="shared" si="48"/>
        <v>0</v>
      </c>
      <c r="AH190" s="130">
        <f t="shared" si="48"/>
        <v>0</v>
      </c>
      <c r="AI190" s="130">
        <f t="shared" si="48"/>
        <v>0</v>
      </c>
      <c r="AJ190" s="47" t="str">
        <f t="shared" si="30"/>
        <v/>
      </c>
      <c r="AK190" s="60"/>
      <c r="AL190" s="60" t="str">
        <f t="shared" si="33"/>
        <v>00</v>
      </c>
      <c r="AM190" s="62" t="str">
        <f t="shared" si="34"/>
        <v>00</v>
      </c>
      <c r="AN190" s="62" t="str">
        <f t="shared" si="35"/>
        <v>00</v>
      </c>
      <c r="AO190" s="62" t="str">
        <f t="shared" si="36"/>
        <v>00</v>
      </c>
      <c r="AQ190" t="str">
        <f t="shared" si="31"/>
        <v/>
      </c>
    </row>
    <row r="191" spans="2:43">
      <c r="B191" s="138"/>
      <c r="C191" s="47">
        <f t="shared" si="32"/>
        <v>55</v>
      </c>
      <c r="D191" s="130">
        <f t="shared" si="48"/>
        <v>0</v>
      </c>
      <c r="E191" s="130">
        <f t="shared" si="48"/>
        <v>0</v>
      </c>
      <c r="F191" s="130">
        <f t="shared" si="48"/>
        <v>0</v>
      </c>
      <c r="G191" s="130">
        <f t="shared" si="48"/>
        <v>0</v>
      </c>
      <c r="H191" s="130">
        <f t="shared" si="48"/>
        <v>0</v>
      </c>
      <c r="I191" s="130">
        <f t="shared" si="48"/>
        <v>0</v>
      </c>
      <c r="J191" s="130">
        <f t="shared" si="48"/>
        <v>0</v>
      </c>
      <c r="K191" s="130">
        <f t="shared" si="48"/>
        <v>0</v>
      </c>
      <c r="L191" s="130">
        <f t="shared" si="48"/>
        <v>0</v>
      </c>
      <c r="M191" s="130">
        <f t="shared" si="48"/>
        <v>0</v>
      </c>
      <c r="N191" s="130">
        <f t="shared" si="48"/>
        <v>0</v>
      </c>
      <c r="O191" s="130">
        <f t="shared" si="48"/>
        <v>0</v>
      </c>
      <c r="P191" s="130">
        <f t="shared" si="48"/>
        <v>0</v>
      </c>
      <c r="Q191" s="130">
        <f t="shared" si="48"/>
        <v>0</v>
      </c>
      <c r="R191" s="130">
        <f t="shared" si="48"/>
        <v>0</v>
      </c>
      <c r="S191" s="130">
        <f t="shared" si="48"/>
        <v>0</v>
      </c>
      <c r="T191" s="130">
        <f t="shared" si="48"/>
        <v>0</v>
      </c>
      <c r="U191" s="130">
        <f t="shared" si="48"/>
        <v>0</v>
      </c>
      <c r="V191" s="130">
        <f t="shared" si="48"/>
        <v>0</v>
      </c>
      <c r="W191" s="130">
        <f t="shared" si="48"/>
        <v>0</v>
      </c>
      <c r="X191" s="130">
        <f t="shared" si="48"/>
        <v>0</v>
      </c>
      <c r="Y191" s="130">
        <f t="shared" si="48"/>
        <v>0</v>
      </c>
      <c r="Z191" s="130">
        <f t="shared" si="48"/>
        <v>0</v>
      </c>
      <c r="AA191" s="130">
        <f t="shared" si="48"/>
        <v>0</v>
      </c>
      <c r="AB191" s="130">
        <f t="shared" si="48"/>
        <v>0</v>
      </c>
      <c r="AC191" s="130">
        <f t="shared" si="48"/>
        <v>0</v>
      </c>
      <c r="AD191" s="130">
        <f t="shared" si="48"/>
        <v>0</v>
      </c>
      <c r="AE191" s="130">
        <f t="shared" si="48"/>
        <v>0</v>
      </c>
      <c r="AF191" s="130">
        <f t="shared" si="48"/>
        <v>0</v>
      </c>
      <c r="AG191" s="130">
        <f t="shared" si="48"/>
        <v>0</v>
      </c>
      <c r="AH191" s="130">
        <f t="shared" si="48"/>
        <v>0</v>
      </c>
      <c r="AI191" s="130">
        <f t="shared" ref="AI191" si="49">IF(OR(AI61=0,AI61=1),1,0)</f>
        <v>0</v>
      </c>
      <c r="AJ191" s="47" t="str">
        <f t="shared" si="30"/>
        <v/>
      </c>
      <c r="AK191" s="60"/>
      <c r="AL191" s="60" t="str">
        <f t="shared" si="33"/>
        <v>00</v>
      </c>
      <c r="AM191" s="62" t="str">
        <f t="shared" si="34"/>
        <v>00</v>
      </c>
      <c r="AN191" s="62" t="str">
        <f t="shared" si="35"/>
        <v>00</v>
      </c>
      <c r="AO191" s="62" t="str">
        <f t="shared" si="36"/>
        <v>00</v>
      </c>
      <c r="AQ191" t="str">
        <f t="shared" si="31"/>
        <v/>
      </c>
    </row>
    <row r="192" spans="2:43">
      <c r="B192" s="138"/>
      <c r="C192" s="47">
        <f t="shared" si="32"/>
        <v>56</v>
      </c>
      <c r="D192" s="130">
        <f t="shared" ref="D192:AI199" si="50">IF(OR(D62=0,D62=1),1,0)</f>
        <v>0</v>
      </c>
      <c r="E192" s="130">
        <f t="shared" si="50"/>
        <v>0</v>
      </c>
      <c r="F192" s="130">
        <f t="shared" si="50"/>
        <v>0</v>
      </c>
      <c r="G192" s="130">
        <f t="shared" si="50"/>
        <v>0</v>
      </c>
      <c r="H192" s="130">
        <f t="shared" si="50"/>
        <v>0</v>
      </c>
      <c r="I192" s="130">
        <f t="shared" si="50"/>
        <v>0</v>
      </c>
      <c r="J192" s="130">
        <f t="shared" si="50"/>
        <v>0</v>
      </c>
      <c r="K192" s="130">
        <f t="shared" si="50"/>
        <v>0</v>
      </c>
      <c r="L192" s="130">
        <f t="shared" si="50"/>
        <v>0</v>
      </c>
      <c r="M192" s="130">
        <f t="shared" si="50"/>
        <v>0</v>
      </c>
      <c r="N192" s="130">
        <f t="shared" si="50"/>
        <v>0</v>
      </c>
      <c r="O192" s="130">
        <f t="shared" si="50"/>
        <v>0</v>
      </c>
      <c r="P192" s="130">
        <f t="shared" si="50"/>
        <v>0</v>
      </c>
      <c r="Q192" s="130">
        <f t="shared" si="50"/>
        <v>0</v>
      </c>
      <c r="R192" s="130">
        <f t="shared" si="50"/>
        <v>0</v>
      </c>
      <c r="S192" s="130">
        <f t="shared" si="50"/>
        <v>0</v>
      </c>
      <c r="T192" s="130">
        <f t="shared" si="50"/>
        <v>0</v>
      </c>
      <c r="U192" s="130">
        <f t="shared" si="50"/>
        <v>0</v>
      </c>
      <c r="V192" s="130">
        <f t="shared" si="50"/>
        <v>0</v>
      </c>
      <c r="W192" s="130">
        <f t="shared" si="50"/>
        <v>0</v>
      </c>
      <c r="X192" s="130">
        <f t="shared" si="50"/>
        <v>0</v>
      </c>
      <c r="Y192" s="130">
        <f t="shared" si="50"/>
        <v>0</v>
      </c>
      <c r="Z192" s="130">
        <f t="shared" si="50"/>
        <v>0</v>
      </c>
      <c r="AA192" s="130">
        <f t="shared" si="50"/>
        <v>0</v>
      </c>
      <c r="AB192" s="130">
        <f t="shared" si="50"/>
        <v>0</v>
      </c>
      <c r="AC192" s="130">
        <f t="shared" si="50"/>
        <v>0</v>
      </c>
      <c r="AD192" s="130">
        <f t="shared" si="50"/>
        <v>0</v>
      </c>
      <c r="AE192" s="130">
        <f t="shared" si="50"/>
        <v>0</v>
      </c>
      <c r="AF192" s="130">
        <f t="shared" si="50"/>
        <v>0</v>
      </c>
      <c r="AG192" s="130">
        <f t="shared" si="50"/>
        <v>0</v>
      </c>
      <c r="AH192" s="130">
        <f t="shared" si="50"/>
        <v>0</v>
      </c>
      <c r="AI192" s="130">
        <f t="shared" si="50"/>
        <v>0</v>
      </c>
      <c r="AJ192" s="47" t="str">
        <f t="shared" si="30"/>
        <v/>
      </c>
      <c r="AK192" s="60"/>
      <c r="AL192" s="60" t="str">
        <f t="shared" si="33"/>
        <v>00</v>
      </c>
      <c r="AM192" s="62" t="str">
        <f t="shared" si="34"/>
        <v>00</v>
      </c>
      <c r="AN192" s="62" t="str">
        <f t="shared" si="35"/>
        <v>00</v>
      </c>
      <c r="AO192" s="62" t="str">
        <f t="shared" si="36"/>
        <v>00</v>
      </c>
      <c r="AQ192" t="str">
        <f t="shared" si="31"/>
        <v/>
      </c>
    </row>
    <row r="193" spans="2:43">
      <c r="B193" s="138"/>
      <c r="C193" s="47">
        <f t="shared" si="32"/>
        <v>57</v>
      </c>
      <c r="D193" s="130">
        <f t="shared" si="50"/>
        <v>0</v>
      </c>
      <c r="E193" s="130">
        <f t="shared" si="50"/>
        <v>0</v>
      </c>
      <c r="F193" s="130">
        <f t="shared" si="50"/>
        <v>0</v>
      </c>
      <c r="G193" s="130">
        <f t="shared" si="50"/>
        <v>0</v>
      </c>
      <c r="H193" s="130">
        <f t="shared" si="50"/>
        <v>0</v>
      </c>
      <c r="I193" s="130">
        <f t="shared" si="50"/>
        <v>0</v>
      </c>
      <c r="J193" s="130">
        <f t="shared" si="50"/>
        <v>0</v>
      </c>
      <c r="K193" s="130">
        <f t="shared" si="50"/>
        <v>0</v>
      </c>
      <c r="L193" s="130">
        <f t="shared" si="50"/>
        <v>0</v>
      </c>
      <c r="M193" s="130">
        <f t="shared" si="50"/>
        <v>0</v>
      </c>
      <c r="N193" s="130">
        <f t="shared" si="50"/>
        <v>0</v>
      </c>
      <c r="O193" s="130">
        <f t="shared" si="50"/>
        <v>0</v>
      </c>
      <c r="P193" s="130">
        <f t="shared" si="50"/>
        <v>0</v>
      </c>
      <c r="Q193" s="130">
        <f t="shared" si="50"/>
        <v>0</v>
      </c>
      <c r="R193" s="130">
        <f t="shared" si="50"/>
        <v>0</v>
      </c>
      <c r="S193" s="130">
        <f t="shared" si="50"/>
        <v>0</v>
      </c>
      <c r="T193" s="130">
        <f t="shared" si="50"/>
        <v>0</v>
      </c>
      <c r="U193" s="130">
        <f t="shared" si="50"/>
        <v>0</v>
      </c>
      <c r="V193" s="130">
        <f t="shared" si="50"/>
        <v>0</v>
      </c>
      <c r="W193" s="130">
        <f t="shared" si="50"/>
        <v>0</v>
      </c>
      <c r="X193" s="130">
        <f t="shared" si="50"/>
        <v>0</v>
      </c>
      <c r="Y193" s="130">
        <f t="shared" si="50"/>
        <v>0</v>
      </c>
      <c r="Z193" s="130">
        <f t="shared" si="50"/>
        <v>0</v>
      </c>
      <c r="AA193" s="130">
        <f t="shared" si="50"/>
        <v>0</v>
      </c>
      <c r="AB193" s="130">
        <f t="shared" si="50"/>
        <v>0</v>
      </c>
      <c r="AC193" s="130">
        <f t="shared" si="50"/>
        <v>0</v>
      </c>
      <c r="AD193" s="130">
        <f t="shared" si="50"/>
        <v>0</v>
      </c>
      <c r="AE193" s="130">
        <f t="shared" si="50"/>
        <v>0</v>
      </c>
      <c r="AF193" s="130">
        <f t="shared" si="50"/>
        <v>0</v>
      </c>
      <c r="AG193" s="130">
        <f t="shared" si="50"/>
        <v>0</v>
      </c>
      <c r="AH193" s="130">
        <f t="shared" si="50"/>
        <v>0</v>
      </c>
      <c r="AI193" s="130">
        <f t="shared" si="50"/>
        <v>0</v>
      </c>
      <c r="AJ193" s="47" t="str">
        <f t="shared" si="30"/>
        <v/>
      </c>
      <c r="AK193" s="60"/>
      <c r="AL193" s="60" t="str">
        <f t="shared" si="33"/>
        <v>00</v>
      </c>
      <c r="AM193" s="62" t="str">
        <f t="shared" si="34"/>
        <v>00</v>
      </c>
      <c r="AN193" s="62" t="str">
        <f t="shared" si="35"/>
        <v>00</v>
      </c>
      <c r="AO193" s="62" t="str">
        <f t="shared" si="36"/>
        <v>00</v>
      </c>
      <c r="AQ193" t="str">
        <f t="shared" si="31"/>
        <v/>
      </c>
    </row>
    <row r="194" spans="2:43">
      <c r="B194" s="138"/>
      <c r="C194" s="47">
        <f t="shared" si="32"/>
        <v>58</v>
      </c>
      <c r="D194" s="130">
        <f t="shared" si="50"/>
        <v>0</v>
      </c>
      <c r="E194" s="130">
        <f t="shared" si="50"/>
        <v>0</v>
      </c>
      <c r="F194" s="130">
        <f t="shared" si="50"/>
        <v>0</v>
      </c>
      <c r="G194" s="130">
        <f t="shared" si="50"/>
        <v>0</v>
      </c>
      <c r="H194" s="130">
        <f t="shared" si="50"/>
        <v>0</v>
      </c>
      <c r="I194" s="130">
        <f t="shared" si="50"/>
        <v>0</v>
      </c>
      <c r="J194" s="130">
        <f t="shared" si="50"/>
        <v>0</v>
      </c>
      <c r="K194" s="130">
        <f t="shared" si="50"/>
        <v>0</v>
      </c>
      <c r="L194" s="130">
        <f t="shared" si="50"/>
        <v>0</v>
      </c>
      <c r="M194" s="130">
        <f t="shared" si="50"/>
        <v>0</v>
      </c>
      <c r="N194" s="130">
        <f t="shared" si="50"/>
        <v>0</v>
      </c>
      <c r="O194" s="130">
        <f t="shared" si="50"/>
        <v>0</v>
      </c>
      <c r="P194" s="130">
        <f t="shared" si="50"/>
        <v>0</v>
      </c>
      <c r="Q194" s="130">
        <f t="shared" si="50"/>
        <v>0</v>
      </c>
      <c r="R194" s="130">
        <f t="shared" si="50"/>
        <v>0</v>
      </c>
      <c r="S194" s="130">
        <f t="shared" si="50"/>
        <v>0</v>
      </c>
      <c r="T194" s="130">
        <f t="shared" si="50"/>
        <v>0</v>
      </c>
      <c r="U194" s="130">
        <f t="shared" si="50"/>
        <v>0</v>
      </c>
      <c r="V194" s="130">
        <f t="shared" si="50"/>
        <v>0</v>
      </c>
      <c r="W194" s="130">
        <f t="shared" si="50"/>
        <v>0</v>
      </c>
      <c r="X194" s="130">
        <f t="shared" si="50"/>
        <v>0</v>
      </c>
      <c r="Y194" s="130">
        <f t="shared" si="50"/>
        <v>0</v>
      </c>
      <c r="Z194" s="130">
        <f t="shared" si="50"/>
        <v>0</v>
      </c>
      <c r="AA194" s="130">
        <f t="shared" si="50"/>
        <v>0</v>
      </c>
      <c r="AB194" s="130">
        <f t="shared" si="50"/>
        <v>0</v>
      </c>
      <c r="AC194" s="130">
        <f t="shared" si="50"/>
        <v>0</v>
      </c>
      <c r="AD194" s="130">
        <f t="shared" si="50"/>
        <v>0</v>
      </c>
      <c r="AE194" s="130">
        <f t="shared" si="50"/>
        <v>0</v>
      </c>
      <c r="AF194" s="130">
        <f t="shared" si="50"/>
        <v>0</v>
      </c>
      <c r="AG194" s="130">
        <f t="shared" si="50"/>
        <v>0</v>
      </c>
      <c r="AH194" s="130">
        <f t="shared" si="50"/>
        <v>0</v>
      </c>
      <c r="AI194" s="130">
        <f t="shared" si="50"/>
        <v>0</v>
      </c>
      <c r="AJ194" s="47" t="str">
        <f t="shared" si="30"/>
        <v/>
      </c>
      <c r="AK194" s="60"/>
      <c r="AL194" s="60" t="str">
        <f t="shared" si="33"/>
        <v>00</v>
      </c>
      <c r="AM194" s="62" t="str">
        <f t="shared" si="34"/>
        <v>00</v>
      </c>
      <c r="AN194" s="62" t="str">
        <f t="shared" si="35"/>
        <v>00</v>
      </c>
      <c r="AO194" s="62" t="str">
        <f t="shared" si="36"/>
        <v>00</v>
      </c>
      <c r="AQ194" t="str">
        <f t="shared" si="31"/>
        <v/>
      </c>
    </row>
    <row r="195" spans="2:43">
      <c r="B195" s="138"/>
      <c r="C195" s="47">
        <f t="shared" si="32"/>
        <v>59</v>
      </c>
      <c r="D195" s="130">
        <f t="shared" si="50"/>
        <v>0</v>
      </c>
      <c r="E195" s="130">
        <f t="shared" si="50"/>
        <v>0</v>
      </c>
      <c r="F195" s="130">
        <f t="shared" si="50"/>
        <v>0</v>
      </c>
      <c r="G195" s="130">
        <f t="shared" si="50"/>
        <v>0</v>
      </c>
      <c r="H195" s="130">
        <f t="shared" si="50"/>
        <v>0</v>
      </c>
      <c r="I195" s="130">
        <f t="shared" si="50"/>
        <v>0</v>
      </c>
      <c r="J195" s="130">
        <f t="shared" si="50"/>
        <v>0</v>
      </c>
      <c r="K195" s="130">
        <f t="shared" si="50"/>
        <v>0</v>
      </c>
      <c r="L195" s="130">
        <f t="shared" si="50"/>
        <v>0</v>
      </c>
      <c r="M195" s="130">
        <f t="shared" si="50"/>
        <v>0</v>
      </c>
      <c r="N195" s="130">
        <f t="shared" si="50"/>
        <v>0</v>
      </c>
      <c r="O195" s="130">
        <f t="shared" si="50"/>
        <v>0</v>
      </c>
      <c r="P195" s="130">
        <f t="shared" si="50"/>
        <v>0</v>
      </c>
      <c r="Q195" s="130">
        <f t="shared" si="50"/>
        <v>0</v>
      </c>
      <c r="R195" s="130">
        <f t="shared" si="50"/>
        <v>0</v>
      </c>
      <c r="S195" s="130">
        <f t="shared" si="50"/>
        <v>0</v>
      </c>
      <c r="T195" s="130">
        <f t="shared" si="50"/>
        <v>0</v>
      </c>
      <c r="U195" s="130">
        <f t="shared" si="50"/>
        <v>0</v>
      </c>
      <c r="V195" s="130">
        <f t="shared" si="50"/>
        <v>0</v>
      </c>
      <c r="W195" s="130">
        <f t="shared" si="50"/>
        <v>0</v>
      </c>
      <c r="X195" s="130">
        <f t="shared" si="50"/>
        <v>0</v>
      </c>
      <c r="Y195" s="130">
        <f t="shared" si="50"/>
        <v>0</v>
      </c>
      <c r="Z195" s="130">
        <f t="shared" si="50"/>
        <v>0</v>
      </c>
      <c r="AA195" s="130">
        <f t="shared" si="50"/>
        <v>0</v>
      </c>
      <c r="AB195" s="130">
        <f t="shared" si="50"/>
        <v>0</v>
      </c>
      <c r="AC195" s="130">
        <f t="shared" si="50"/>
        <v>0</v>
      </c>
      <c r="AD195" s="130">
        <f t="shared" si="50"/>
        <v>0</v>
      </c>
      <c r="AE195" s="130">
        <f t="shared" si="50"/>
        <v>0</v>
      </c>
      <c r="AF195" s="130">
        <f t="shared" si="50"/>
        <v>0</v>
      </c>
      <c r="AG195" s="130">
        <f t="shared" si="50"/>
        <v>0</v>
      </c>
      <c r="AH195" s="130">
        <f t="shared" si="50"/>
        <v>0</v>
      </c>
      <c r="AI195" s="130">
        <f t="shared" si="50"/>
        <v>0</v>
      </c>
      <c r="AJ195" s="47" t="str">
        <f t="shared" si="30"/>
        <v/>
      </c>
      <c r="AK195" s="60"/>
      <c r="AL195" s="60" t="str">
        <f t="shared" si="33"/>
        <v>00</v>
      </c>
      <c r="AM195" s="62" t="str">
        <f t="shared" si="34"/>
        <v>00</v>
      </c>
      <c r="AN195" s="62" t="str">
        <f t="shared" si="35"/>
        <v>00</v>
      </c>
      <c r="AO195" s="62" t="str">
        <f t="shared" si="36"/>
        <v>00</v>
      </c>
      <c r="AQ195" t="str">
        <f t="shared" si="31"/>
        <v/>
      </c>
    </row>
    <row r="196" spans="2:43">
      <c r="B196" s="138"/>
      <c r="C196" s="47">
        <f t="shared" si="32"/>
        <v>60</v>
      </c>
      <c r="D196" s="130">
        <f t="shared" si="50"/>
        <v>0</v>
      </c>
      <c r="E196" s="130">
        <f t="shared" si="50"/>
        <v>0</v>
      </c>
      <c r="F196" s="130">
        <f t="shared" si="50"/>
        <v>0</v>
      </c>
      <c r="G196" s="130">
        <f t="shared" si="50"/>
        <v>0</v>
      </c>
      <c r="H196" s="130">
        <f t="shared" si="50"/>
        <v>0</v>
      </c>
      <c r="I196" s="130">
        <f t="shared" si="50"/>
        <v>0</v>
      </c>
      <c r="J196" s="130">
        <f t="shared" si="50"/>
        <v>0</v>
      </c>
      <c r="K196" s="130">
        <f t="shared" si="50"/>
        <v>0</v>
      </c>
      <c r="L196" s="130">
        <f t="shared" si="50"/>
        <v>0</v>
      </c>
      <c r="M196" s="130">
        <f t="shared" si="50"/>
        <v>0</v>
      </c>
      <c r="N196" s="130">
        <f t="shared" si="50"/>
        <v>0</v>
      </c>
      <c r="O196" s="130">
        <f t="shared" si="50"/>
        <v>0</v>
      </c>
      <c r="P196" s="130">
        <f t="shared" si="50"/>
        <v>0</v>
      </c>
      <c r="Q196" s="130">
        <f t="shared" si="50"/>
        <v>0</v>
      </c>
      <c r="R196" s="130">
        <f t="shared" si="50"/>
        <v>0</v>
      </c>
      <c r="S196" s="130">
        <f t="shared" si="50"/>
        <v>0</v>
      </c>
      <c r="T196" s="130">
        <f t="shared" si="50"/>
        <v>0</v>
      </c>
      <c r="U196" s="130">
        <f t="shared" si="50"/>
        <v>0</v>
      </c>
      <c r="V196" s="130">
        <f t="shared" si="50"/>
        <v>0</v>
      </c>
      <c r="W196" s="130">
        <f t="shared" si="50"/>
        <v>0</v>
      </c>
      <c r="X196" s="130">
        <f t="shared" si="50"/>
        <v>0</v>
      </c>
      <c r="Y196" s="130">
        <f t="shared" si="50"/>
        <v>0</v>
      </c>
      <c r="Z196" s="130">
        <f t="shared" si="50"/>
        <v>0</v>
      </c>
      <c r="AA196" s="130">
        <f t="shared" si="50"/>
        <v>0</v>
      </c>
      <c r="AB196" s="130">
        <f t="shared" si="50"/>
        <v>0</v>
      </c>
      <c r="AC196" s="130">
        <f t="shared" si="50"/>
        <v>0</v>
      </c>
      <c r="AD196" s="130">
        <f t="shared" si="50"/>
        <v>0</v>
      </c>
      <c r="AE196" s="130">
        <f t="shared" si="50"/>
        <v>0</v>
      </c>
      <c r="AF196" s="130">
        <f t="shared" si="50"/>
        <v>0</v>
      </c>
      <c r="AG196" s="130">
        <f t="shared" si="50"/>
        <v>0</v>
      </c>
      <c r="AH196" s="130">
        <f t="shared" si="50"/>
        <v>0</v>
      </c>
      <c r="AI196" s="130">
        <f t="shared" si="50"/>
        <v>0</v>
      </c>
      <c r="AJ196" s="47" t="str">
        <f t="shared" si="30"/>
        <v/>
      </c>
      <c r="AK196" s="60"/>
      <c r="AL196" s="60" t="str">
        <f t="shared" si="33"/>
        <v>00</v>
      </c>
      <c r="AM196" s="62" t="str">
        <f t="shared" si="34"/>
        <v>00</v>
      </c>
      <c r="AN196" s="62" t="str">
        <f t="shared" si="35"/>
        <v>00</v>
      </c>
      <c r="AO196" s="62" t="str">
        <f t="shared" si="36"/>
        <v>00</v>
      </c>
      <c r="AQ196" t="str">
        <f t="shared" si="31"/>
        <v/>
      </c>
    </row>
    <row r="197" spans="2:43">
      <c r="B197" s="138"/>
      <c r="C197" s="47">
        <f t="shared" si="32"/>
        <v>61</v>
      </c>
      <c r="D197" s="130">
        <f t="shared" si="50"/>
        <v>0</v>
      </c>
      <c r="E197" s="130">
        <f t="shared" si="50"/>
        <v>0</v>
      </c>
      <c r="F197" s="130">
        <f t="shared" si="50"/>
        <v>0</v>
      </c>
      <c r="G197" s="130">
        <f t="shared" si="50"/>
        <v>0</v>
      </c>
      <c r="H197" s="130">
        <f t="shared" si="50"/>
        <v>0</v>
      </c>
      <c r="I197" s="130">
        <f t="shared" si="50"/>
        <v>0</v>
      </c>
      <c r="J197" s="130">
        <f t="shared" si="50"/>
        <v>0</v>
      </c>
      <c r="K197" s="130">
        <f t="shared" si="50"/>
        <v>0</v>
      </c>
      <c r="L197" s="130">
        <f t="shared" si="50"/>
        <v>0</v>
      </c>
      <c r="M197" s="130">
        <f t="shared" si="50"/>
        <v>0</v>
      </c>
      <c r="N197" s="130">
        <f t="shared" si="50"/>
        <v>0</v>
      </c>
      <c r="O197" s="130">
        <f t="shared" si="50"/>
        <v>0</v>
      </c>
      <c r="P197" s="130">
        <f t="shared" si="50"/>
        <v>0</v>
      </c>
      <c r="Q197" s="130">
        <f t="shared" si="50"/>
        <v>0</v>
      </c>
      <c r="R197" s="130">
        <f t="shared" si="50"/>
        <v>0</v>
      </c>
      <c r="S197" s="130">
        <f t="shared" si="50"/>
        <v>0</v>
      </c>
      <c r="T197" s="130">
        <f t="shared" si="50"/>
        <v>0</v>
      </c>
      <c r="U197" s="130">
        <f t="shared" si="50"/>
        <v>0</v>
      </c>
      <c r="V197" s="130">
        <f t="shared" si="50"/>
        <v>0</v>
      </c>
      <c r="W197" s="130">
        <f t="shared" si="50"/>
        <v>0</v>
      </c>
      <c r="X197" s="130">
        <f t="shared" si="50"/>
        <v>0</v>
      </c>
      <c r="Y197" s="130">
        <f t="shared" si="50"/>
        <v>0</v>
      </c>
      <c r="Z197" s="130">
        <f t="shared" si="50"/>
        <v>0</v>
      </c>
      <c r="AA197" s="130">
        <f t="shared" si="50"/>
        <v>0</v>
      </c>
      <c r="AB197" s="130">
        <f t="shared" si="50"/>
        <v>0</v>
      </c>
      <c r="AC197" s="130">
        <f t="shared" si="50"/>
        <v>0</v>
      </c>
      <c r="AD197" s="130">
        <f t="shared" si="50"/>
        <v>0</v>
      </c>
      <c r="AE197" s="130">
        <f t="shared" si="50"/>
        <v>0</v>
      </c>
      <c r="AF197" s="130">
        <f t="shared" si="50"/>
        <v>0</v>
      </c>
      <c r="AG197" s="130">
        <f t="shared" si="50"/>
        <v>0</v>
      </c>
      <c r="AH197" s="130">
        <f t="shared" si="50"/>
        <v>0</v>
      </c>
      <c r="AI197" s="130">
        <f t="shared" si="50"/>
        <v>0</v>
      </c>
      <c r="AJ197" s="47" t="str">
        <f t="shared" si="30"/>
        <v/>
      </c>
      <c r="AK197" s="60"/>
      <c r="AL197" s="60" t="str">
        <f t="shared" si="33"/>
        <v>00</v>
      </c>
      <c r="AM197" s="62" t="str">
        <f t="shared" si="34"/>
        <v>00</v>
      </c>
      <c r="AN197" s="62" t="str">
        <f t="shared" si="35"/>
        <v>00</v>
      </c>
      <c r="AO197" s="62" t="str">
        <f t="shared" si="36"/>
        <v>00</v>
      </c>
      <c r="AQ197" t="str">
        <f t="shared" si="31"/>
        <v/>
      </c>
    </row>
    <row r="198" spans="2:43">
      <c r="B198" s="138"/>
      <c r="C198" s="47">
        <f t="shared" si="32"/>
        <v>62</v>
      </c>
      <c r="D198" s="130">
        <f t="shared" si="50"/>
        <v>0</v>
      </c>
      <c r="E198" s="130">
        <f t="shared" si="50"/>
        <v>0</v>
      </c>
      <c r="F198" s="130">
        <f t="shared" si="50"/>
        <v>0</v>
      </c>
      <c r="G198" s="130">
        <f t="shared" si="50"/>
        <v>0</v>
      </c>
      <c r="H198" s="130">
        <f t="shared" si="50"/>
        <v>0</v>
      </c>
      <c r="I198" s="130">
        <f t="shared" si="50"/>
        <v>0</v>
      </c>
      <c r="J198" s="130">
        <f t="shared" si="50"/>
        <v>0</v>
      </c>
      <c r="K198" s="130">
        <f t="shared" si="50"/>
        <v>0</v>
      </c>
      <c r="L198" s="130">
        <f t="shared" si="50"/>
        <v>0</v>
      </c>
      <c r="M198" s="130">
        <f t="shared" si="50"/>
        <v>0</v>
      </c>
      <c r="N198" s="130">
        <f t="shared" si="50"/>
        <v>0</v>
      </c>
      <c r="O198" s="130">
        <f t="shared" si="50"/>
        <v>0</v>
      </c>
      <c r="P198" s="130">
        <f t="shared" si="50"/>
        <v>0</v>
      </c>
      <c r="Q198" s="130">
        <f t="shared" si="50"/>
        <v>0</v>
      </c>
      <c r="R198" s="130">
        <f t="shared" si="50"/>
        <v>0</v>
      </c>
      <c r="S198" s="130">
        <f t="shared" si="50"/>
        <v>0</v>
      </c>
      <c r="T198" s="130">
        <f t="shared" si="50"/>
        <v>0</v>
      </c>
      <c r="U198" s="130">
        <f t="shared" si="50"/>
        <v>0</v>
      </c>
      <c r="V198" s="130">
        <f t="shared" si="50"/>
        <v>0</v>
      </c>
      <c r="W198" s="130">
        <f t="shared" si="50"/>
        <v>0</v>
      </c>
      <c r="X198" s="130">
        <f t="shared" si="50"/>
        <v>0</v>
      </c>
      <c r="Y198" s="130">
        <f t="shared" si="50"/>
        <v>0</v>
      </c>
      <c r="Z198" s="130">
        <f t="shared" si="50"/>
        <v>0</v>
      </c>
      <c r="AA198" s="130">
        <f t="shared" si="50"/>
        <v>0</v>
      </c>
      <c r="AB198" s="130">
        <f t="shared" si="50"/>
        <v>0</v>
      </c>
      <c r="AC198" s="130">
        <f t="shared" si="50"/>
        <v>0</v>
      </c>
      <c r="AD198" s="130">
        <f t="shared" si="50"/>
        <v>0</v>
      </c>
      <c r="AE198" s="130">
        <f t="shared" si="50"/>
        <v>0</v>
      </c>
      <c r="AF198" s="130">
        <f t="shared" si="50"/>
        <v>0</v>
      </c>
      <c r="AG198" s="130">
        <f t="shared" si="50"/>
        <v>0</v>
      </c>
      <c r="AH198" s="130">
        <f t="shared" si="50"/>
        <v>0</v>
      </c>
      <c r="AI198" s="130">
        <f t="shared" si="50"/>
        <v>0</v>
      </c>
      <c r="AJ198" s="47" t="str">
        <f t="shared" si="30"/>
        <v/>
      </c>
      <c r="AK198" s="60"/>
      <c r="AL198" s="60" t="str">
        <f t="shared" si="33"/>
        <v>00</v>
      </c>
      <c r="AM198" s="62" t="str">
        <f t="shared" si="34"/>
        <v>00</v>
      </c>
      <c r="AN198" s="62" t="str">
        <f t="shared" si="35"/>
        <v>00</v>
      </c>
      <c r="AO198" s="62" t="str">
        <f t="shared" si="36"/>
        <v>00</v>
      </c>
      <c r="AQ198" t="str">
        <f t="shared" si="31"/>
        <v/>
      </c>
    </row>
    <row r="199" spans="2:43">
      <c r="B199" s="139"/>
      <c r="C199" s="47">
        <f t="shared" si="32"/>
        <v>63</v>
      </c>
      <c r="D199" s="130">
        <f t="shared" si="50"/>
        <v>0</v>
      </c>
      <c r="E199" s="130">
        <f t="shared" si="50"/>
        <v>0</v>
      </c>
      <c r="F199" s="130">
        <f t="shared" si="50"/>
        <v>0</v>
      </c>
      <c r="G199" s="130">
        <f t="shared" si="50"/>
        <v>0</v>
      </c>
      <c r="H199" s="130">
        <f t="shared" si="50"/>
        <v>0</v>
      </c>
      <c r="I199" s="130">
        <f t="shared" si="50"/>
        <v>0</v>
      </c>
      <c r="J199" s="130">
        <f t="shared" si="50"/>
        <v>0</v>
      </c>
      <c r="K199" s="130">
        <f t="shared" si="50"/>
        <v>0</v>
      </c>
      <c r="L199" s="130">
        <f t="shared" si="50"/>
        <v>0</v>
      </c>
      <c r="M199" s="130">
        <f t="shared" si="50"/>
        <v>0</v>
      </c>
      <c r="N199" s="130">
        <f t="shared" si="50"/>
        <v>0</v>
      </c>
      <c r="O199" s="130">
        <f t="shared" si="50"/>
        <v>0</v>
      </c>
      <c r="P199" s="130">
        <f t="shared" si="50"/>
        <v>0</v>
      </c>
      <c r="Q199" s="130">
        <f t="shared" si="50"/>
        <v>0</v>
      </c>
      <c r="R199" s="130">
        <f t="shared" si="50"/>
        <v>0</v>
      </c>
      <c r="S199" s="130">
        <f t="shared" si="50"/>
        <v>0</v>
      </c>
      <c r="T199" s="130">
        <f t="shared" si="50"/>
        <v>0</v>
      </c>
      <c r="U199" s="130">
        <f t="shared" si="50"/>
        <v>0</v>
      </c>
      <c r="V199" s="130">
        <f t="shared" si="50"/>
        <v>0</v>
      </c>
      <c r="W199" s="130">
        <f t="shared" si="50"/>
        <v>0</v>
      </c>
      <c r="X199" s="130">
        <f t="shared" si="50"/>
        <v>0</v>
      </c>
      <c r="Y199" s="130">
        <f t="shared" si="50"/>
        <v>0</v>
      </c>
      <c r="Z199" s="130">
        <f t="shared" si="50"/>
        <v>0</v>
      </c>
      <c r="AA199" s="130">
        <f t="shared" si="50"/>
        <v>0</v>
      </c>
      <c r="AB199" s="130">
        <f t="shared" si="50"/>
        <v>0</v>
      </c>
      <c r="AC199" s="130">
        <f t="shared" si="50"/>
        <v>0</v>
      </c>
      <c r="AD199" s="130">
        <f t="shared" si="50"/>
        <v>0</v>
      </c>
      <c r="AE199" s="130">
        <f t="shared" si="50"/>
        <v>0</v>
      </c>
      <c r="AF199" s="130">
        <f t="shared" si="50"/>
        <v>0</v>
      </c>
      <c r="AG199" s="130">
        <f t="shared" si="50"/>
        <v>0</v>
      </c>
      <c r="AH199" s="130">
        <f t="shared" si="50"/>
        <v>0</v>
      </c>
      <c r="AI199" s="130">
        <f t="shared" ref="AI199" si="51">IF(OR(AI69=0,AI69=1),1,0)</f>
        <v>0</v>
      </c>
      <c r="AJ199" s="47" t="str">
        <f t="shared" si="30"/>
        <v/>
      </c>
      <c r="AK199" s="60"/>
      <c r="AL199" s="60" t="str">
        <f t="shared" si="33"/>
        <v>00</v>
      </c>
      <c r="AM199" s="62" t="str">
        <f t="shared" si="34"/>
        <v>00</v>
      </c>
      <c r="AN199" s="62" t="str">
        <f t="shared" si="35"/>
        <v>00</v>
      </c>
      <c r="AO199" s="62" t="str">
        <f t="shared" si="36"/>
        <v>00</v>
      </c>
      <c r="AQ199" t="str">
        <f t="shared" si="31"/>
        <v/>
      </c>
    </row>
  </sheetData>
  <protectedRanges>
    <protectedRange sqref="L3:AG3 D6:AJ69" name="Table作成編集範囲"/>
    <protectedRange sqref="AH3:AI3" name="Table作成編集範囲_1_1"/>
    <protectedRange sqref="B3" name="Table作成編集範囲_1"/>
  </protectedRanges>
  <mergeCells count="3">
    <mergeCell ref="C2:C3"/>
    <mergeCell ref="AJ2:AJ3"/>
    <mergeCell ref="A4:B5"/>
  </mergeCells>
  <phoneticPr fontId="2"/>
  <conditionalFormatting sqref="D6:AI69">
    <cfRule type="cellIs" dxfId="5" priority="2" operator="equal">
      <formula>1</formula>
    </cfRule>
    <cfRule type="cellIs" dxfId="4" priority="3" operator="equal">
      <formula>"×"</formula>
    </cfRule>
  </conditionalFormatting>
  <conditionalFormatting sqref="AR5:AS70">
    <cfRule type="expression" dxfId="3" priority="1">
      <formula>$B$3="Index Table"</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CH_Design!$C$3:$C$103</xm:f>
          </x14:formula1>
          <xm:sqref>AJ6:AJ69</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0EC664-8B13-4D66-B3C1-014738F37B6C}">
  <sheetPr>
    <tabColor rgb="FFCCECFF"/>
  </sheetPr>
  <dimension ref="A1:AW199"/>
  <sheetViews>
    <sheetView zoomScale="85" zoomScaleNormal="85" workbookViewId="0">
      <pane ySplit="3" topLeftCell="A4" activePane="bottomLeft" state="frozen"/>
      <selection pane="bottomLeft" activeCell="A4" sqref="A4:B5"/>
    </sheetView>
  </sheetViews>
  <sheetFormatPr defaultRowHeight="13.5"/>
  <cols>
    <col min="1" max="1" width="6" customWidth="1"/>
    <col min="2" max="2" width="16.75" bestFit="1" customWidth="1"/>
    <col min="3" max="3" width="3" bestFit="1" customWidth="1"/>
    <col min="4" max="35" width="3" customWidth="1"/>
    <col min="36" max="36" width="36.375" bestFit="1" customWidth="1"/>
    <col min="37" max="37" width="4.125" customWidth="1"/>
    <col min="38" max="42" width="9" hidden="1" customWidth="1"/>
    <col min="43" max="43" width="20.625" hidden="1" customWidth="1"/>
    <col min="44" max="47" width="41.125" customWidth="1"/>
    <col min="48" max="48" width="23.625" customWidth="1"/>
    <col min="49" max="49" width="29" bestFit="1" customWidth="1"/>
  </cols>
  <sheetData>
    <row r="1" spans="1:49">
      <c r="AH1" t="s">
        <v>58</v>
      </c>
      <c r="AI1" t="s">
        <v>59</v>
      </c>
    </row>
    <row r="2" spans="1:49">
      <c r="B2" s="129" t="s">
        <v>122</v>
      </c>
      <c r="C2" s="326" t="s">
        <v>83</v>
      </c>
      <c r="D2" s="58">
        <v>31</v>
      </c>
      <c r="E2" s="58">
        <v>30</v>
      </c>
      <c r="F2" s="58">
        <v>29</v>
      </c>
      <c r="G2" s="58">
        <v>28</v>
      </c>
      <c r="H2" s="58">
        <v>27</v>
      </c>
      <c r="I2" s="58">
        <v>26</v>
      </c>
      <c r="J2" s="58">
        <v>25</v>
      </c>
      <c r="K2" s="58">
        <v>24</v>
      </c>
      <c r="L2" s="58">
        <v>23</v>
      </c>
      <c r="M2" s="58">
        <v>22</v>
      </c>
      <c r="N2" s="58">
        <v>21</v>
      </c>
      <c r="O2" s="58">
        <v>20</v>
      </c>
      <c r="P2" s="58">
        <v>19</v>
      </c>
      <c r="Q2" s="58">
        <v>18</v>
      </c>
      <c r="R2" s="58">
        <v>17</v>
      </c>
      <c r="S2" s="58">
        <v>16</v>
      </c>
      <c r="T2" s="58">
        <v>15</v>
      </c>
      <c r="U2" s="58">
        <v>14</v>
      </c>
      <c r="V2" s="58">
        <v>13</v>
      </c>
      <c r="W2" s="58">
        <v>12</v>
      </c>
      <c r="X2" s="58">
        <v>11</v>
      </c>
      <c r="Y2" s="58">
        <v>10</v>
      </c>
      <c r="Z2" s="58">
        <v>9</v>
      </c>
      <c r="AA2" s="58">
        <v>8</v>
      </c>
      <c r="AB2" s="58">
        <v>7</v>
      </c>
      <c r="AC2" s="58">
        <v>6</v>
      </c>
      <c r="AD2" s="58">
        <v>5</v>
      </c>
      <c r="AE2" s="58">
        <v>4</v>
      </c>
      <c r="AF2" s="58">
        <v>3</v>
      </c>
      <c r="AG2" s="58">
        <v>2</v>
      </c>
      <c r="AH2" s="58">
        <v>1</v>
      </c>
      <c r="AI2" s="58">
        <v>0</v>
      </c>
      <c r="AJ2" s="328" t="s">
        <v>50</v>
      </c>
    </row>
    <row r="3" spans="1:49" ht="213" customHeight="1" thickBot="1">
      <c r="B3" s="201" t="str">
        <f>IF(OR(IF(COUNTIF(D6:AC69,"0")&lt;&gt;0,TRUE,FALSE),IF(COUNTIF(D6:AC69,"1")&lt;&gt;0,TRUE,FALSE)),"Search Table","Index Table")</f>
        <v>Index Table</v>
      </c>
      <c r="C3" s="327"/>
      <c r="D3" s="131" t="s">
        <v>60</v>
      </c>
      <c r="E3" s="131" t="s">
        <v>65</v>
      </c>
      <c r="F3" s="131" t="s">
        <v>48</v>
      </c>
      <c r="G3" s="131" t="s">
        <v>47</v>
      </c>
      <c r="H3" s="131" t="s">
        <v>120</v>
      </c>
      <c r="I3" s="131" t="s">
        <v>119</v>
      </c>
      <c r="J3" s="131" t="s">
        <v>124</v>
      </c>
      <c r="K3" s="131" t="s">
        <v>123</v>
      </c>
      <c r="L3" s="132" t="s">
        <v>65</v>
      </c>
      <c r="M3" s="132" t="s">
        <v>61</v>
      </c>
      <c r="N3" s="132" t="s">
        <v>61</v>
      </c>
      <c r="O3" s="132" t="s">
        <v>61</v>
      </c>
      <c r="P3" s="132" t="s">
        <v>61</v>
      </c>
      <c r="Q3" s="132" t="s">
        <v>61</v>
      </c>
      <c r="R3" s="132" t="s">
        <v>61</v>
      </c>
      <c r="S3" s="132" t="s">
        <v>61</v>
      </c>
      <c r="T3" s="132" t="s">
        <v>61</v>
      </c>
      <c r="U3" s="132" t="s">
        <v>61</v>
      </c>
      <c r="V3" s="132" t="s">
        <v>61</v>
      </c>
      <c r="W3" s="132" t="s">
        <v>61</v>
      </c>
      <c r="X3" s="132" t="s">
        <v>61</v>
      </c>
      <c r="Y3" s="132" t="s">
        <v>61</v>
      </c>
      <c r="Z3" s="132" t="s">
        <v>61</v>
      </c>
      <c r="AA3" s="132" t="s">
        <v>61</v>
      </c>
      <c r="AB3" s="132" t="s">
        <v>65</v>
      </c>
      <c r="AC3" s="132" t="s">
        <v>61</v>
      </c>
      <c r="AD3" s="132" t="s">
        <v>61</v>
      </c>
      <c r="AE3" s="132" t="s">
        <v>61</v>
      </c>
      <c r="AF3" s="132" t="s">
        <v>61</v>
      </c>
      <c r="AG3" s="132" t="s">
        <v>61</v>
      </c>
      <c r="AH3" s="209" t="s">
        <v>258</v>
      </c>
      <c r="AI3" s="198" t="s">
        <v>259</v>
      </c>
      <c r="AJ3" s="329"/>
      <c r="AR3" s="93" t="s">
        <v>95</v>
      </c>
    </row>
    <row r="4" spans="1:49" ht="14.25" thickBot="1">
      <c r="A4" s="330" t="s">
        <v>62</v>
      </c>
      <c r="B4" s="331"/>
      <c r="C4" s="210"/>
      <c r="D4" s="210"/>
      <c r="E4" s="210"/>
      <c r="F4" s="210"/>
      <c r="G4" s="210"/>
      <c r="H4" s="210"/>
      <c r="I4" s="210"/>
      <c r="J4" s="210"/>
      <c r="K4" s="210"/>
      <c r="L4" s="210"/>
      <c r="M4" s="210"/>
      <c r="N4" s="210"/>
      <c r="O4" s="210"/>
      <c r="P4" s="210"/>
      <c r="Q4" s="210"/>
      <c r="R4" s="210"/>
      <c r="S4" s="210"/>
      <c r="T4" s="210"/>
      <c r="U4" s="210"/>
      <c r="V4" s="210"/>
      <c r="W4" s="210"/>
      <c r="X4" s="210"/>
      <c r="Y4" s="210"/>
      <c r="Z4" s="210"/>
      <c r="AA4" s="210"/>
      <c r="AB4" s="210"/>
      <c r="AC4" s="210"/>
      <c r="AD4" s="210"/>
      <c r="AE4" s="210"/>
      <c r="AF4" s="210"/>
      <c r="AG4" s="210"/>
      <c r="AH4" s="210"/>
      <c r="AI4" s="210"/>
      <c r="AJ4" s="134"/>
      <c r="AR4" s="81" t="s">
        <v>81</v>
      </c>
      <c r="AS4" s="82"/>
      <c r="AT4" s="82"/>
      <c r="AU4" s="82"/>
      <c r="AV4" s="82"/>
      <c r="AW4" s="83"/>
    </row>
    <row r="5" spans="1:49" ht="14.25" thickBot="1">
      <c r="A5" s="332"/>
      <c r="B5" s="333"/>
      <c r="C5" s="211"/>
      <c r="D5" s="211"/>
      <c r="E5" s="211"/>
      <c r="F5" s="211"/>
      <c r="G5" s="211"/>
      <c r="H5" s="211"/>
      <c r="I5" s="211"/>
      <c r="J5" s="211"/>
      <c r="K5" s="211"/>
      <c r="L5" s="211"/>
      <c r="M5" s="211"/>
      <c r="N5" s="211"/>
      <c r="O5" s="211"/>
      <c r="P5" s="211"/>
      <c r="Q5" s="211"/>
      <c r="R5" s="211"/>
      <c r="S5" s="211"/>
      <c r="T5" s="211"/>
      <c r="U5" s="211"/>
      <c r="V5" s="211"/>
      <c r="W5" s="211"/>
      <c r="X5" s="211"/>
      <c r="Y5" s="211"/>
      <c r="Z5" s="211"/>
      <c r="AA5" s="211"/>
      <c r="AB5" s="211"/>
      <c r="AC5" s="211"/>
      <c r="AD5" s="211"/>
      <c r="AE5" s="211"/>
      <c r="AF5" s="211"/>
      <c r="AG5" s="211"/>
      <c r="AH5" s="211"/>
      <c r="AI5" s="211"/>
      <c r="AJ5" s="135"/>
      <c r="AR5" s="84" t="str">
        <f ca="1">"static const U4  "&amp;AW8&amp;"["&amp;AW10&amp;"]"&amp;" = {"</f>
        <v>static const U4  u4_sp_ALERT_D_ATFWRN_RWRN_CRIT[ALERT_D_ATFWRN_RWRN_NUM_DST] = {</v>
      </c>
      <c r="AS5" s="84" t="str">
        <f ca="1">"static const U4  "&amp;$AW$9&amp;"["&amp;$AW$10&amp;"] = {"</f>
        <v>static const U4  u4_sp_ALERT_D_ATFWRN_RWRN_MASK[ALERT_D_ATFWRN_RWRN_NUM_DST] = {</v>
      </c>
      <c r="AT5" s="84" t="str">
        <f ca="1">"static const U1  "&amp;$AW$11&amp;"["&amp;$AW$10&amp;"] = {"</f>
        <v>static const U1  u1_sp_ALERT_D_ATFWRN_RWRN_DST[ALERT_D_ATFWRN_RWRN_NUM_DST] = {</v>
      </c>
      <c r="AU5" s="84" t="str">
        <f ca="1">"const ST_ALERT_MTRX "&amp;$AW$12&amp;" = {"</f>
        <v>const ST_ALERT_MTRX st_gp_ALERT_D_ATFWRN_MTRX[2] = {</v>
      </c>
      <c r="AV5" s="65" t="str">
        <f ca="1">"#define "&amp;AW10&amp;REPT(" ",41-LEN(AW10))&amp;"("&amp;AW13&amp;"U)"</f>
        <v>#define ALERT_D_ATFWRN_RWRN_NUM_DST              (4U)</v>
      </c>
      <c r="AW5" s="66"/>
    </row>
    <row r="6" spans="1:49">
      <c r="B6" s="138" t="str">
        <f ca="1">"Table "&amp;$AW$6</f>
        <v>Table RWRN</v>
      </c>
      <c r="C6" s="52">
        <f>ROW()-ROW($C$6)</f>
        <v>0</v>
      </c>
      <c r="D6" s="133" t="s">
        <v>197</v>
      </c>
      <c r="E6" s="133" t="s">
        <v>197</v>
      </c>
      <c r="F6" s="133" t="s">
        <v>197</v>
      </c>
      <c r="G6" s="133" t="s">
        <v>197</v>
      </c>
      <c r="H6" s="133" t="s">
        <v>197</v>
      </c>
      <c r="I6" s="133" t="s">
        <v>197</v>
      </c>
      <c r="J6" s="133" t="s">
        <v>197</v>
      </c>
      <c r="K6" s="133" t="s">
        <v>197</v>
      </c>
      <c r="L6" s="133" t="s">
        <v>197</v>
      </c>
      <c r="M6" s="133" t="s">
        <v>197</v>
      </c>
      <c r="N6" s="133" t="s">
        <v>197</v>
      </c>
      <c r="O6" s="133" t="s">
        <v>197</v>
      </c>
      <c r="P6" s="133" t="s">
        <v>197</v>
      </c>
      <c r="Q6" s="133" t="s">
        <v>197</v>
      </c>
      <c r="R6" s="133" t="s">
        <v>197</v>
      </c>
      <c r="S6" s="133" t="s">
        <v>197</v>
      </c>
      <c r="T6" s="133" t="s">
        <v>197</v>
      </c>
      <c r="U6" s="133" t="s">
        <v>197</v>
      </c>
      <c r="V6" s="133" t="s">
        <v>197</v>
      </c>
      <c r="W6" s="133" t="s">
        <v>197</v>
      </c>
      <c r="X6" s="133" t="s">
        <v>197</v>
      </c>
      <c r="Y6" s="133" t="s">
        <v>197</v>
      </c>
      <c r="Z6" s="133" t="s">
        <v>197</v>
      </c>
      <c r="AA6" s="133" t="s">
        <v>197</v>
      </c>
      <c r="AB6" s="133" t="s">
        <v>197</v>
      </c>
      <c r="AC6" s="133" t="s">
        <v>197</v>
      </c>
      <c r="AD6" s="133" t="s">
        <v>197</v>
      </c>
      <c r="AE6" s="133" t="s">
        <v>197</v>
      </c>
      <c r="AF6" s="136" t="s">
        <v>197</v>
      </c>
      <c r="AG6" s="136" t="s">
        <v>197</v>
      </c>
      <c r="AH6" s="136">
        <v>0</v>
      </c>
      <c r="AI6" s="136">
        <v>0</v>
      </c>
      <c r="AJ6" s="51" t="s">
        <v>218</v>
      </c>
      <c r="AL6" t="str">
        <f t="shared" ref="AL6:AL69" si="0">IF($AJ6="UNKNOWN","    (U1)ALERT_REQ_UNKNOWN","    (U1)"&amp;"ALERT_REQ_"&amp;$AW$17&amp;"_"&amp;IF($AW$6&lt;&gt;$AW$17,$AW$6&amp;"_","")&amp;AJ6)</f>
        <v xml:space="preserve">    (U1)ALERT_REQ_UNKNOWN</v>
      </c>
      <c r="AR6" s="63" t="str">
        <f>IF(AQ71&lt;&gt;"",AQ71,IF(AQ70&lt;&gt;"","};",""))</f>
        <v xml:space="preserve">    (U4)0x00000000U,                                                           /* 00 UNKNOWN                                         */</v>
      </c>
      <c r="AS6" s="63" t="str">
        <f>IF(AQ136&lt;&gt;"",AQ136,IF(AQ135&lt;&gt;"","};",""))</f>
        <v xml:space="preserve">    (U4)0x00000003U,                                                           /* 00 UNKNOWN                                         */</v>
      </c>
      <c r="AT6" s="63" t="str">
        <f t="shared" ref="AT6:AT69" si="1">IF(AJ6&lt;&gt;"",AL6&amp;IF(AJ7&lt;&gt;"",","," ")&amp;REPT(" ",78-LEN(AL6))&amp;"/* "&amp;IF(C6&lt;10,"0"&amp;C6,C6)&amp;" "&amp;AJ6&amp;REPT(" ",48-LEN(AJ6))&amp;"*/",IF(AJ5&lt;&gt;"","};",""))</f>
        <v xml:space="preserve">    (U1)ALERT_REQ_UNKNOWN,                                                     /* 00 UNKNOWN                                         */</v>
      </c>
      <c r="AU6" s="63" t="s">
        <v>67</v>
      </c>
      <c r="AV6" s="48" t="s">
        <v>69</v>
      </c>
      <c r="AW6" s="67" t="str">
        <f ca="1">UPPER(RIGHT(CELL("filename",A1),LEN(CELL("filename",A1))-FIND("]",CELL("filename",A1))))</f>
        <v>RWRN</v>
      </c>
    </row>
    <row r="7" spans="1:49">
      <c r="B7" s="138"/>
      <c r="C7" s="47">
        <f t="shared" ref="C7:C69" si="2">ROW()-ROW($C$6)</f>
        <v>1</v>
      </c>
      <c r="D7" s="61" t="s">
        <v>197</v>
      </c>
      <c r="E7" s="61" t="s">
        <v>197</v>
      </c>
      <c r="F7" s="61" t="s">
        <v>197</v>
      </c>
      <c r="G7" s="61" t="s">
        <v>197</v>
      </c>
      <c r="H7" s="61" t="s">
        <v>197</v>
      </c>
      <c r="I7" s="61" t="s">
        <v>197</v>
      </c>
      <c r="J7" s="61" t="s">
        <v>197</v>
      </c>
      <c r="K7" s="61" t="s">
        <v>197</v>
      </c>
      <c r="L7" s="61" t="s">
        <v>197</v>
      </c>
      <c r="M7" s="61" t="s">
        <v>197</v>
      </c>
      <c r="N7" s="61" t="s">
        <v>197</v>
      </c>
      <c r="O7" s="61" t="s">
        <v>197</v>
      </c>
      <c r="P7" s="61" t="s">
        <v>197</v>
      </c>
      <c r="Q7" s="61" t="s">
        <v>197</v>
      </c>
      <c r="R7" s="61" t="s">
        <v>197</v>
      </c>
      <c r="S7" s="61" t="s">
        <v>197</v>
      </c>
      <c r="T7" s="61" t="s">
        <v>197</v>
      </c>
      <c r="U7" s="61" t="s">
        <v>197</v>
      </c>
      <c r="V7" s="61" t="s">
        <v>197</v>
      </c>
      <c r="W7" s="61" t="s">
        <v>197</v>
      </c>
      <c r="X7" s="61" t="s">
        <v>197</v>
      </c>
      <c r="Y7" s="61" t="s">
        <v>197</v>
      </c>
      <c r="Z7" s="61" t="s">
        <v>197</v>
      </c>
      <c r="AA7" s="61" t="s">
        <v>197</v>
      </c>
      <c r="AB7" s="61" t="s">
        <v>197</v>
      </c>
      <c r="AC7" s="61" t="s">
        <v>197</v>
      </c>
      <c r="AD7" s="133" t="s">
        <v>197</v>
      </c>
      <c r="AE7" s="133" t="s">
        <v>197</v>
      </c>
      <c r="AF7" s="136" t="s">
        <v>197</v>
      </c>
      <c r="AG7" s="136" t="s">
        <v>197</v>
      </c>
      <c r="AH7" s="136">
        <v>0</v>
      </c>
      <c r="AI7" s="136">
        <v>1</v>
      </c>
      <c r="AJ7" s="26" t="s">
        <v>297</v>
      </c>
      <c r="AL7" t="str">
        <f t="shared" ca="1" si="0"/>
        <v xml:space="preserve">    (U1)ALERT_REQ_D_ATFWRN_RWRN_ATFWREQ</v>
      </c>
      <c r="AR7" s="63" t="str">
        <f t="shared" ref="AR7:AR70" si="3">IF(AQ72&lt;&gt;"",AQ72,IF(AQ71&lt;&gt;"","};",""))</f>
        <v xml:space="preserve">    (U4)0x00000001U,                                                           /* 01 ATFWREQ                                         */</v>
      </c>
      <c r="AS7" s="63" t="str">
        <f t="shared" ref="AS7:AS70" si="4">IF(AQ137&lt;&gt;"",AQ137,IF(AQ136&lt;&gt;"","};",""))</f>
        <v xml:space="preserve">    (U4)0x00000003U,                                                           /* 01 ATFWREQ                                         */</v>
      </c>
      <c r="AT7" s="63" t="str">
        <f t="shared" ca="1" si="1"/>
        <v xml:space="preserve">    (U1)ALERT_REQ_D_ATFWRN_RWRN_ATFWREQ,                                       /* 01 ATFWREQ                                         */</v>
      </c>
      <c r="AU7" s="63" t="str">
        <f ca="1">"        &amp;"&amp;$AW$14&amp;","&amp;REPT(" ",69-LEN($AW$14))&amp;"/* fp_u4_SRC_CHK                                      */"</f>
        <v xml:space="preserve">        &amp;u4_s_AlertD_atfwrnRwrnSrcchk,                                         /* fp_u4_SRC_CHK                                      */</v>
      </c>
      <c r="AV7" s="49" t="s">
        <v>70</v>
      </c>
      <c r="AW7" s="137">
        <f>IF(B3="Search Table",1,0)</f>
        <v>0</v>
      </c>
    </row>
    <row r="8" spans="1:49">
      <c r="B8" s="138"/>
      <c r="C8" s="47">
        <f t="shared" si="2"/>
        <v>2</v>
      </c>
      <c r="D8" s="61" t="s">
        <v>197</v>
      </c>
      <c r="E8" s="61" t="s">
        <v>197</v>
      </c>
      <c r="F8" s="61" t="s">
        <v>197</v>
      </c>
      <c r="G8" s="61" t="s">
        <v>197</v>
      </c>
      <c r="H8" s="61" t="s">
        <v>197</v>
      </c>
      <c r="I8" s="61" t="s">
        <v>197</v>
      </c>
      <c r="J8" s="61" t="s">
        <v>197</v>
      </c>
      <c r="K8" s="61" t="s">
        <v>197</v>
      </c>
      <c r="L8" s="61" t="s">
        <v>197</v>
      </c>
      <c r="M8" s="61" t="s">
        <v>197</v>
      </c>
      <c r="N8" s="61" t="s">
        <v>197</v>
      </c>
      <c r="O8" s="61" t="s">
        <v>197</v>
      </c>
      <c r="P8" s="61" t="s">
        <v>197</v>
      </c>
      <c r="Q8" s="61" t="s">
        <v>197</v>
      </c>
      <c r="R8" s="61" t="s">
        <v>197</v>
      </c>
      <c r="S8" s="61" t="s">
        <v>197</v>
      </c>
      <c r="T8" s="61" t="s">
        <v>197</v>
      </c>
      <c r="U8" s="61" t="s">
        <v>197</v>
      </c>
      <c r="V8" s="61" t="s">
        <v>197</v>
      </c>
      <c r="W8" s="61" t="s">
        <v>197</v>
      </c>
      <c r="X8" s="61" t="s">
        <v>197</v>
      </c>
      <c r="Y8" s="61" t="s">
        <v>197</v>
      </c>
      <c r="Z8" s="61" t="s">
        <v>197</v>
      </c>
      <c r="AA8" s="61" t="s">
        <v>197</v>
      </c>
      <c r="AB8" s="61" t="s">
        <v>197</v>
      </c>
      <c r="AC8" s="61" t="s">
        <v>197</v>
      </c>
      <c r="AD8" s="61" t="s">
        <v>197</v>
      </c>
      <c r="AE8" s="61" t="s">
        <v>197</v>
      </c>
      <c r="AF8" s="136" t="s">
        <v>197</v>
      </c>
      <c r="AG8" s="136" t="s">
        <v>197</v>
      </c>
      <c r="AH8" s="136">
        <v>1</v>
      </c>
      <c r="AI8" s="136">
        <v>0</v>
      </c>
      <c r="AJ8" s="26" t="s">
        <v>218</v>
      </c>
      <c r="AL8" t="str">
        <f t="shared" si="0"/>
        <v xml:space="preserve">    (U1)ALERT_REQ_UNKNOWN</v>
      </c>
      <c r="AR8" s="63" t="str">
        <f t="shared" si="3"/>
        <v xml:space="preserve">    (U4)0x00000002U,                                                           /* 02 UNKNOWN                                         */</v>
      </c>
      <c r="AS8" s="63" t="str">
        <f t="shared" si="4"/>
        <v xml:space="preserve">    (U4)0x00000003U,                                                           /* 02 UNKNOWN                                         */</v>
      </c>
      <c r="AT8" s="63" t="str">
        <f>IF(AJ8&lt;&gt;"",AL8&amp;IF(AJ9&lt;&gt;"",","," ")&amp;REPT(" ",78-LEN(AL8))&amp;"/* "&amp;IF(C8&lt;10,"0"&amp;C8,C8)&amp;" "&amp;AJ8&amp;REPT(" ",48-LEN(AJ8))&amp;"*/",IF(AJ7&lt;&gt;"","};",""))</f>
        <v xml:space="preserve">    (U1)ALERT_REQ_UNKNOWN,                                                     /* 02 UNKNOWN                                         */</v>
      </c>
      <c r="AU8" s="63" t="str">
        <f ca="1">IF($AW$15&lt;&gt;"NULL","        &amp;"&amp;$AW$15&amp;","&amp;REPT(" ",69-LEN($AW$15))&amp;"/* fp_vd_XDST                                         */","        vdp_PTR_NA,                                                            /* fp_vd_XDST                                         */")</f>
        <v xml:space="preserve">        &amp;vd_s_AlertD_atfwrnRwrnRwTx,                                           /* fp_vd_XDST                                         */</v>
      </c>
      <c r="AV8" s="49" t="s">
        <v>71</v>
      </c>
      <c r="AW8" s="68" t="str">
        <f ca="1">"u4_sp_ALERT_"&amp;IF(AW6&lt;&gt;AW17,$AW$17&amp;"_"&amp;$AW$6,AW17)&amp;"_CRIT"</f>
        <v>u4_sp_ALERT_D_ATFWRN_RWRN_CRIT</v>
      </c>
    </row>
    <row r="9" spans="1:49">
      <c r="B9" s="138"/>
      <c r="C9" s="47">
        <f t="shared" si="2"/>
        <v>3</v>
      </c>
      <c r="D9" s="61" t="s">
        <v>197</v>
      </c>
      <c r="E9" s="61" t="s">
        <v>197</v>
      </c>
      <c r="F9" s="61" t="s">
        <v>197</v>
      </c>
      <c r="G9" s="61" t="s">
        <v>197</v>
      </c>
      <c r="H9" s="61" t="s">
        <v>197</v>
      </c>
      <c r="I9" s="61" t="s">
        <v>197</v>
      </c>
      <c r="J9" s="61" t="s">
        <v>197</v>
      </c>
      <c r="K9" s="61" t="s">
        <v>197</v>
      </c>
      <c r="L9" s="61" t="s">
        <v>197</v>
      </c>
      <c r="M9" s="61" t="s">
        <v>197</v>
      </c>
      <c r="N9" s="61" t="s">
        <v>197</v>
      </c>
      <c r="O9" s="61" t="s">
        <v>197</v>
      </c>
      <c r="P9" s="61" t="s">
        <v>197</v>
      </c>
      <c r="Q9" s="61" t="s">
        <v>197</v>
      </c>
      <c r="R9" s="61" t="s">
        <v>197</v>
      </c>
      <c r="S9" s="61" t="s">
        <v>197</v>
      </c>
      <c r="T9" s="61" t="s">
        <v>197</v>
      </c>
      <c r="U9" s="61" t="s">
        <v>197</v>
      </c>
      <c r="V9" s="61" t="s">
        <v>197</v>
      </c>
      <c r="W9" s="61" t="s">
        <v>197</v>
      </c>
      <c r="X9" s="61" t="s">
        <v>197</v>
      </c>
      <c r="Y9" s="61" t="s">
        <v>197</v>
      </c>
      <c r="Z9" s="61" t="s">
        <v>197</v>
      </c>
      <c r="AA9" s="61" t="s">
        <v>197</v>
      </c>
      <c r="AB9" s="61" t="s">
        <v>197</v>
      </c>
      <c r="AC9" s="61" t="s">
        <v>197</v>
      </c>
      <c r="AD9" s="61" t="s">
        <v>197</v>
      </c>
      <c r="AE9" s="61" t="s">
        <v>197</v>
      </c>
      <c r="AF9" s="61" t="s">
        <v>197</v>
      </c>
      <c r="AG9" s="61" t="s">
        <v>197</v>
      </c>
      <c r="AH9" s="61">
        <v>1</v>
      </c>
      <c r="AI9" s="61">
        <v>1</v>
      </c>
      <c r="AJ9" s="26" t="s">
        <v>218</v>
      </c>
      <c r="AL9" t="str">
        <f t="shared" si="0"/>
        <v xml:space="preserve">    (U1)ALERT_REQ_UNKNOWN</v>
      </c>
      <c r="AR9" s="63" t="str">
        <f t="shared" si="3"/>
        <v xml:space="preserve">    (U4)0x00000003U                                                            /* 03 UNKNOWN                                         */</v>
      </c>
      <c r="AS9" s="63" t="str">
        <f t="shared" si="4"/>
        <v xml:space="preserve">    (U4)0x00000003U                                                            /* 03 UNKNOWN                                         */</v>
      </c>
      <c r="AT9" s="63" t="str">
        <f t="shared" si="1"/>
        <v xml:space="preserve">    (U1)ALERT_REQ_UNKNOWN                                                      /* 03 UNKNOWN                                         */</v>
      </c>
      <c r="AU9" s="63"/>
      <c r="AV9" s="49" t="s">
        <v>72</v>
      </c>
      <c r="AW9" s="68" t="str">
        <f ca="1">"u4_sp_ALERT_"&amp;IF(AW6&lt;&gt;AW17,$AW$17&amp;"_"&amp;$AW$6,AW17)&amp;"_MASK"</f>
        <v>u4_sp_ALERT_D_ATFWRN_RWRN_MASK</v>
      </c>
    </row>
    <row r="10" spans="1:49">
      <c r="B10" s="138"/>
      <c r="C10" s="47">
        <f t="shared" si="2"/>
        <v>4</v>
      </c>
      <c r="D10" s="61" t="s">
        <v>66</v>
      </c>
      <c r="E10" s="61" t="s">
        <v>66</v>
      </c>
      <c r="F10" s="61" t="s">
        <v>66</v>
      </c>
      <c r="G10" s="61" t="s">
        <v>197</v>
      </c>
      <c r="H10" s="61" t="s">
        <v>197</v>
      </c>
      <c r="I10" s="61" t="s">
        <v>197</v>
      </c>
      <c r="J10" s="61" t="s">
        <v>197</v>
      </c>
      <c r="K10" s="61" t="s">
        <v>197</v>
      </c>
      <c r="L10" s="61" t="s">
        <v>66</v>
      </c>
      <c r="M10" s="61" t="s">
        <v>66</v>
      </c>
      <c r="N10" s="61" t="s">
        <v>66</v>
      </c>
      <c r="O10" s="61" t="s">
        <v>66</v>
      </c>
      <c r="P10" s="61" t="s">
        <v>66</v>
      </c>
      <c r="Q10" s="61" t="s">
        <v>66</v>
      </c>
      <c r="R10" s="61" t="s">
        <v>66</v>
      </c>
      <c r="S10" s="61" t="s">
        <v>66</v>
      </c>
      <c r="T10" s="61" t="s">
        <v>66</v>
      </c>
      <c r="U10" s="61" t="s">
        <v>66</v>
      </c>
      <c r="V10" s="61" t="s">
        <v>66</v>
      </c>
      <c r="W10" s="61" t="s">
        <v>66</v>
      </c>
      <c r="X10" s="61" t="s">
        <v>66</v>
      </c>
      <c r="Y10" s="61" t="s">
        <v>66</v>
      </c>
      <c r="Z10" s="61" t="s">
        <v>66</v>
      </c>
      <c r="AA10" s="61" t="s">
        <v>66</v>
      </c>
      <c r="AB10" s="61" t="s">
        <v>66</v>
      </c>
      <c r="AC10" s="61" t="s">
        <v>66</v>
      </c>
      <c r="AD10" s="61" t="s">
        <v>66</v>
      </c>
      <c r="AE10" s="61" t="s">
        <v>197</v>
      </c>
      <c r="AF10" s="61" t="s">
        <v>197</v>
      </c>
      <c r="AG10" s="61" t="s">
        <v>197</v>
      </c>
      <c r="AH10" s="61" t="s">
        <v>197</v>
      </c>
      <c r="AI10" s="61" t="s">
        <v>197</v>
      </c>
      <c r="AJ10" s="26"/>
      <c r="AL10" t="str">
        <f t="shared" ca="1" si="0"/>
        <v xml:space="preserve">    (U1)ALERT_REQ_D_ATFWRN_RWRN_</v>
      </c>
      <c r="AR10" s="63" t="str">
        <f t="shared" si="3"/>
        <v>};</v>
      </c>
      <c r="AS10" s="63" t="str">
        <f t="shared" si="4"/>
        <v>};</v>
      </c>
      <c r="AT10" s="63" t="str">
        <f t="shared" si="1"/>
        <v>};</v>
      </c>
      <c r="AU10" s="63" t="str">
        <f>IF($AW$7=1,"        &amp;"&amp;$AW$9&amp;"[0],"&amp;REPT(" ",66-LEN($AW$9))&amp;"/* u4p_MASK                                           */","        (const U4 *)vdp_PTR_NA,                                                /* u4p_MASK                                           */")</f>
        <v xml:space="preserve">        (const U4 *)vdp_PTR_NA,                                                /* u4p_MASK                                           */</v>
      </c>
      <c r="AV10" s="49" t="s">
        <v>73</v>
      </c>
      <c r="AW10" s="68" t="str">
        <f ca="1">"ALERT_"&amp;IF(AW6&lt;&gt;AW17,$AW$17&amp;"_"&amp;$AW$6,AW17)&amp;"_NUM_DST"</f>
        <v>ALERT_D_ATFWRN_RWRN_NUM_DST</v>
      </c>
    </row>
    <row r="11" spans="1:49">
      <c r="B11" s="138"/>
      <c r="C11" s="47">
        <f t="shared" si="2"/>
        <v>5</v>
      </c>
      <c r="D11" s="61" t="s">
        <v>66</v>
      </c>
      <c r="E11" s="61" t="s">
        <v>66</v>
      </c>
      <c r="F11" s="61" t="s">
        <v>66</v>
      </c>
      <c r="G11" s="61" t="s">
        <v>197</v>
      </c>
      <c r="H11" s="61" t="s">
        <v>197</v>
      </c>
      <c r="I11" s="61" t="s">
        <v>197</v>
      </c>
      <c r="J11" s="61" t="s">
        <v>197</v>
      </c>
      <c r="K11" s="61" t="s">
        <v>197</v>
      </c>
      <c r="L11" s="61" t="s">
        <v>66</v>
      </c>
      <c r="M11" s="61" t="s">
        <v>66</v>
      </c>
      <c r="N11" s="61" t="s">
        <v>66</v>
      </c>
      <c r="O11" s="61" t="s">
        <v>66</v>
      </c>
      <c r="P11" s="61" t="s">
        <v>66</v>
      </c>
      <c r="Q11" s="61" t="s">
        <v>66</v>
      </c>
      <c r="R11" s="61" t="s">
        <v>66</v>
      </c>
      <c r="S11" s="61" t="s">
        <v>66</v>
      </c>
      <c r="T11" s="61" t="s">
        <v>66</v>
      </c>
      <c r="U11" s="61" t="s">
        <v>66</v>
      </c>
      <c r="V11" s="61" t="s">
        <v>66</v>
      </c>
      <c r="W11" s="61" t="s">
        <v>66</v>
      </c>
      <c r="X11" s="61" t="s">
        <v>66</v>
      </c>
      <c r="Y11" s="61" t="s">
        <v>66</v>
      </c>
      <c r="Z11" s="61" t="s">
        <v>66</v>
      </c>
      <c r="AA11" s="61" t="s">
        <v>66</v>
      </c>
      <c r="AB11" s="61" t="s">
        <v>66</v>
      </c>
      <c r="AC11" s="61" t="s">
        <v>66</v>
      </c>
      <c r="AD11" s="61" t="s">
        <v>66</v>
      </c>
      <c r="AE11" s="61" t="s">
        <v>197</v>
      </c>
      <c r="AF11" s="61" t="s">
        <v>197</v>
      </c>
      <c r="AG11" s="61" t="s">
        <v>197</v>
      </c>
      <c r="AH11" s="61" t="s">
        <v>197</v>
      </c>
      <c r="AI11" s="61" t="s">
        <v>197</v>
      </c>
      <c r="AJ11" s="26"/>
      <c r="AL11" t="str">
        <f t="shared" ca="1" si="0"/>
        <v xml:space="preserve">    (U1)ALERT_REQ_D_ATFWRN_RWRN_</v>
      </c>
      <c r="AR11" s="63" t="str">
        <f t="shared" si="3"/>
        <v/>
      </c>
      <c r="AS11" s="63" t="str">
        <f t="shared" si="4"/>
        <v/>
      </c>
      <c r="AT11" s="63" t="str">
        <f t="shared" si="1"/>
        <v/>
      </c>
      <c r="AU11" s="63" t="str">
        <f>IF($AW$7=1,"        &amp;"&amp;$AW$8&amp;"[0],"&amp;REPT(" ",66-LEN($AW$8))&amp;"/* u4p_CRIT                                           */","        (const U4 *)vdp_PTR_NA,                                                /* u4p_CRIT                                           */")</f>
        <v xml:space="preserve">        (const U4 *)vdp_PTR_NA,                                                /* u4p_CRIT                                           */</v>
      </c>
      <c r="AV11" s="49" t="s">
        <v>74</v>
      </c>
      <c r="AW11" s="68" t="str">
        <f ca="1">"u1_sp_ALERT_"&amp;IF(AW6&lt;&gt;AW17,$AW$17&amp;"_"&amp;$AW$6,AW17)&amp;"_DST"</f>
        <v>u1_sp_ALERT_D_ATFWRN_RWRN_DST</v>
      </c>
    </row>
    <row r="12" spans="1:49">
      <c r="B12" s="138"/>
      <c r="C12" s="47">
        <f t="shared" si="2"/>
        <v>6</v>
      </c>
      <c r="D12" s="61" t="s">
        <v>66</v>
      </c>
      <c r="E12" s="61" t="s">
        <v>66</v>
      </c>
      <c r="F12" s="61" t="s">
        <v>66</v>
      </c>
      <c r="G12" s="61" t="s">
        <v>197</v>
      </c>
      <c r="H12" s="61" t="s">
        <v>197</v>
      </c>
      <c r="I12" s="61" t="s">
        <v>197</v>
      </c>
      <c r="J12" s="61" t="s">
        <v>197</v>
      </c>
      <c r="K12" s="61" t="s">
        <v>197</v>
      </c>
      <c r="L12" s="61" t="s">
        <v>66</v>
      </c>
      <c r="M12" s="61" t="s">
        <v>66</v>
      </c>
      <c r="N12" s="61" t="s">
        <v>66</v>
      </c>
      <c r="O12" s="61" t="s">
        <v>66</v>
      </c>
      <c r="P12" s="61" t="s">
        <v>66</v>
      </c>
      <c r="Q12" s="61" t="s">
        <v>66</v>
      </c>
      <c r="R12" s="61" t="s">
        <v>66</v>
      </c>
      <c r="S12" s="61" t="s">
        <v>66</v>
      </c>
      <c r="T12" s="61" t="s">
        <v>66</v>
      </c>
      <c r="U12" s="61" t="s">
        <v>66</v>
      </c>
      <c r="V12" s="61" t="s">
        <v>66</v>
      </c>
      <c r="W12" s="61" t="s">
        <v>66</v>
      </c>
      <c r="X12" s="61" t="s">
        <v>66</v>
      </c>
      <c r="Y12" s="61" t="s">
        <v>66</v>
      </c>
      <c r="Z12" s="61" t="s">
        <v>66</v>
      </c>
      <c r="AA12" s="61" t="s">
        <v>66</v>
      </c>
      <c r="AB12" s="61" t="s">
        <v>66</v>
      </c>
      <c r="AC12" s="61" t="s">
        <v>66</v>
      </c>
      <c r="AD12" s="61" t="s">
        <v>66</v>
      </c>
      <c r="AE12" s="133" t="s">
        <v>197</v>
      </c>
      <c r="AF12" s="61" t="s">
        <v>197</v>
      </c>
      <c r="AG12" s="61" t="s">
        <v>197</v>
      </c>
      <c r="AH12" s="61" t="s">
        <v>197</v>
      </c>
      <c r="AI12" s="61" t="s">
        <v>197</v>
      </c>
      <c r="AJ12" s="26"/>
      <c r="AL12" t="str">
        <f t="shared" ca="1" si="0"/>
        <v xml:space="preserve">    (U1)ALERT_REQ_D_ATFWRN_RWRN_</v>
      </c>
      <c r="AR12" s="63" t="str">
        <f t="shared" si="3"/>
        <v/>
      </c>
      <c r="AS12" s="63" t="str">
        <f t="shared" si="4"/>
        <v/>
      </c>
      <c r="AT12" s="63" t="str">
        <f t="shared" si="1"/>
        <v/>
      </c>
      <c r="AU12" s="63"/>
      <c r="AV12" s="49" t="s">
        <v>87</v>
      </c>
      <c r="AW12" s="68" t="str">
        <f ca="1">Matrix!D8&amp;"["&amp;Matrix!D7&amp;"]"</f>
        <v>st_gp_ALERT_D_ATFWRN_MTRX[2]</v>
      </c>
    </row>
    <row r="13" spans="1:49">
      <c r="B13" s="138"/>
      <c r="C13" s="47">
        <f t="shared" si="2"/>
        <v>7</v>
      </c>
      <c r="D13" s="61" t="s">
        <v>66</v>
      </c>
      <c r="E13" s="61" t="s">
        <v>66</v>
      </c>
      <c r="F13" s="61" t="s">
        <v>66</v>
      </c>
      <c r="G13" s="61" t="s">
        <v>66</v>
      </c>
      <c r="H13" s="61" t="s">
        <v>66</v>
      </c>
      <c r="I13" s="61" t="s">
        <v>66</v>
      </c>
      <c r="J13" s="61" t="s">
        <v>66</v>
      </c>
      <c r="K13" s="61" t="s">
        <v>66</v>
      </c>
      <c r="L13" s="61" t="s">
        <v>66</v>
      </c>
      <c r="M13" s="61" t="s">
        <v>66</v>
      </c>
      <c r="N13" s="61" t="s">
        <v>66</v>
      </c>
      <c r="O13" s="61" t="s">
        <v>66</v>
      </c>
      <c r="P13" s="61" t="s">
        <v>66</v>
      </c>
      <c r="Q13" s="61" t="s">
        <v>66</v>
      </c>
      <c r="R13" s="61" t="s">
        <v>66</v>
      </c>
      <c r="S13" s="61" t="s">
        <v>66</v>
      </c>
      <c r="T13" s="61" t="s">
        <v>66</v>
      </c>
      <c r="U13" s="61" t="s">
        <v>66</v>
      </c>
      <c r="V13" s="61" t="s">
        <v>66</v>
      </c>
      <c r="W13" s="61" t="s">
        <v>66</v>
      </c>
      <c r="X13" s="61" t="s">
        <v>66</v>
      </c>
      <c r="Y13" s="61" t="s">
        <v>66</v>
      </c>
      <c r="Z13" s="61" t="s">
        <v>66</v>
      </c>
      <c r="AA13" s="61" t="s">
        <v>66</v>
      </c>
      <c r="AB13" s="61" t="s">
        <v>66</v>
      </c>
      <c r="AC13" s="61" t="s">
        <v>66</v>
      </c>
      <c r="AD13" s="61" t="s">
        <v>66</v>
      </c>
      <c r="AE13" s="61" t="s">
        <v>197</v>
      </c>
      <c r="AF13" s="61" t="s">
        <v>197</v>
      </c>
      <c r="AG13" s="61" t="s">
        <v>197</v>
      </c>
      <c r="AH13" s="61" t="s">
        <v>197</v>
      </c>
      <c r="AI13" s="61" t="s">
        <v>197</v>
      </c>
      <c r="AJ13" s="26"/>
      <c r="AL13" t="str">
        <f t="shared" ca="1" si="0"/>
        <v xml:space="preserve">    (U1)ALERT_REQ_D_ATFWRN_RWRN_</v>
      </c>
      <c r="AR13" s="63" t="str">
        <f t="shared" si="3"/>
        <v/>
      </c>
      <c r="AS13" s="63" t="str">
        <f t="shared" si="4"/>
        <v/>
      </c>
      <c r="AT13" s="63" t="str">
        <f t="shared" si="1"/>
        <v/>
      </c>
      <c r="AU13" s="63" t="str">
        <f ca="1">"        &amp;"&amp;$AW$11&amp;"[0],"&amp;REPT(" ",66-LEN($AW$11))&amp;"/* u1p_DST                                            */"</f>
        <v xml:space="preserve">        &amp;u1_sp_ALERT_D_ATFWRN_RWRN_DST[0],                                     /* u1p_DST                                            */</v>
      </c>
      <c r="AV13" s="49" t="s">
        <v>75</v>
      </c>
      <c r="AW13" s="137">
        <f>COUNTA($AJ$6:$AJ$69)</f>
        <v>4</v>
      </c>
    </row>
    <row r="14" spans="1:49">
      <c r="B14" s="138"/>
      <c r="C14" s="47">
        <f t="shared" si="2"/>
        <v>8</v>
      </c>
      <c r="D14" s="61" t="s">
        <v>66</v>
      </c>
      <c r="E14" s="61" t="s">
        <v>66</v>
      </c>
      <c r="F14" s="61" t="s">
        <v>66</v>
      </c>
      <c r="G14" s="61" t="s">
        <v>66</v>
      </c>
      <c r="H14" s="61" t="s">
        <v>66</v>
      </c>
      <c r="I14" s="61" t="s">
        <v>66</v>
      </c>
      <c r="J14" s="61" t="s">
        <v>66</v>
      </c>
      <c r="K14" s="61" t="s">
        <v>66</v>
      </c>
      <c r="L14" s="61" t="s">
        <v>66</v>
      </c>
      <c r="M14" s="61" t="s">
        <v>66</v>
      </c>
      <c r="N14" s="61" t="s">
        <v>66</v>
      </c>
      <c r="O14" s="61" t="s">
        <v>66</v>
      </c>
      <c r="P14" s="61" t="s">
        <v>66</v>
      </c>
      <c r="Q14" s="61" t="s">
        <v>66</v>
      </c>
      <c r="R14" s="61" t="s">
        <v>66</v>
      </c>
      <c r="S14" s="61" t="s">
        <v>66</v>
      </c>
      <c r="T14" s="61" t="s">
        <v>66</v>
      </c>
      <c r="U14" s="61" t="s">
        <v>66</v>
      </c>
      <c r="V14" s="61" t="s">
        <v>66</v>
      </c>
      <c r="W14" s="61" t="s">
        <v>66</v>
      </c>
      <c r="X14" s="61" t="s">
        <v>66</v>
      </c>
      <c r="Y14" s="61" t="s">
        <v>66</v>
      </c>
      <c r="Z14" s="61" t="s">
        <v>66</v>
      </c>
      <c r="AA14" s="61" t="s">
        <v>66</v>
      </c>
      <c r="AB14" s="61" t="s">
        <v>66</v>
      </c>
      <c r="AC14" s="61" t="s">
        <v>66</v>
      </c>
      <c r="AD14" s="61" t="s">
        <v>66</v>
      </c>
      <c r="AE14" s="61" t="s">
        <v>197</v>
      </c>
      <c r="AF14" s="61" t="s">
        <v>197</v>
      </c>
      <c r="AG14" s="61" t="s">
        <v>197</v>
      </c>
      <c r="AH14" s="61" t="s">
        <v>197</v>
      </c>
      <c r="AI14" s="61" t="s">
        <v>197</v>
      </c>
      <c r="AJ14" s="26"/>
      <c r="AL14" t="str">
        <f t="shared" ca="1" si="0"/>
        <v xml:space="preserve">    (U1)ALERT_REQ_D_ATFWRN_RWRN_</v>
      </c>
      <c r="AR14" s="63" t="str">
        <f t="shared" si="3"/>
        <v/>
      </c>
      <c r="AS14" s="63" t="str">
        <f t="shared" si="4"/>
        <v/>
      </c>
      <c r="AT14" s="63" t="str">
        <f t="shared" si="1"/>
        <v/>
      </c>
      <c r="AU14" s="63" t="str">
        <f ca="1">"        (U2)"&amp;$AW$10&amp;","&amp;REPT(" ",66-LEN($AW$10))&amp;"/* u2_num_srch                                        */"</f>
        <v xml:space="preserve">        (U2)ALERT_D_ATFWRN_RWRN_NUM_DST,                                       /* u2_num_srch                                        */</v>
      </c>
      <c r="AV14" s="49" t="s">
        <v>76</v>
      </c>
      <c r="AW14" s="68" t="str">
        <f ca="1">IF(AW6&lt;&gt;AW17,VLOOKUP(AW6,Matrix!$C$13:$G$37,4,FALSE),Matrix!F13)</f>
        <v>u4_s_AlertD_atfwrnRwrnSrcchk</v>
      </c>
    </row>
    <row r="15" spans="1:49">
      <c r="B15" s="138"/>
      <c r="C15" s="47">
        <f t="shared" si="2"/>
        <v>9</v>
      </c>
      <c r="D15" s="61" t="s">
        <v>66</v>
      </c>
      <c r="E15" s="61" t="s">
        <v>66</v>
      </c>
      <c r="F15" s="61" t="s">
        <v>66</v>
      </c>
      <c r="G15" s="61" t="s">
        <v>66</v>
      </c>
      <c r="H15" s="61" t="s">
        <v>66</v>
      </c>
      <c r="I15" s="61" t="s">
        <v>66</v>
      </c>
      <c r="J15" s="61" t="s">
        <v>66</v>
      </c>
      <c r="K15" s="61" t="s">
        <v>66</v>
      </c>
      <c r="L15" s="61" t="s">
        <v>66</v>
      </c>
      <c r="M15" s="61" t="s">
        <v>66</v>
      </c>
      <c r="N15" s="61" t="s">
        <v>66</v>
      </c>
      <c r="O15" s="61" t="s">
        <v>66</v>
      </c>
      <c r="P15" s="61" t="s">
        <v>66</v>
      </c>
      <c r="Q15" s="61" t="s">
        <v>66</v>
      </c>
      <c r="R15" s="61" t="s">
        <v>66</v>
      </c>
      <c r="S15" s="61" t="s">
        <v>66</v>
      </c>
      <c r="T15" s="61" t="s">
        <v>66</v>
      </c>
      <c r="U15" s="61" t="s">
        <v>66</v>
      </c>
      <c r="V15" s="61" t="s">
        <v>66</v>
      </c>
      <c r="W15" s="61" t="s">
        <v>66</v>
      </c>
      <c r="X15" s="61" t="s">
        <v>66</v>
      </c>
      <c r="Y15" s="61" t="s">
        <v>66</v>
      </c>
      <c r="Z15" s="61" t="s">
        <v>66</v>
      </c>
      <c r="AA15" s="61" t="s">
        <v>66</v>
      </c>
      <c r="AB15" s="61" t="s">
        <v>66</v>
      </c>
      <c r="AC15" s="61" t="s">
        <v>66</v>
      </c>
      <c r="AD15" s="61" t="s">
        <v>66</v>
      </c>
      <c r="AE15" s="61" t="s">
        <v>197</v>
      </c>
      <c r="AF15" s="61" t="s">
        <v>197</v>
      </c>
      <c r="AG15" s="61" t="s">
        <v>197</v>
      </c>
      <c r="AH15" s="61" t="s">
        <v>197</v>
      </c>
      <c r="AI15" s="61" t="s">
        <v>197</v>
      </c>
      <c r="AJ15" s="26"/>
      <c r="AL15" t="str">
        <f t="shared" ca="1" si="0"/>
        <v xml:space="preserve">    (U1)ALERT_REQ_D_ATFWRN_RWRN_</v>
      </c>
      <c r="AR15" s="63" t="str">
        <f t="shared" si="3"/>
        <v/>
      </c>
      <c r="AS15" s="63" t="str">
        <f t="shared" si="4"/>
        <v/>
      </c>
      <c r="AT15" s="63" t="str">
        <f t="shared" si="1"/>
        <v/>
      </c>
      <c r="AU15" s="63" t="str">
        <f ca="1">"        (U1)"&amp;$AW$16&amp;REPT(" ",67-LEN($AW$16))&amp;"/* u1_vom_act                                         */"</f>
        <v xml:space="preserve">        (U1)ALERT_VOM_IGN_ON                                                   /* u1_vom_act                                         */</v>
      </c>
      <c r="AV15" s="49" t="s">
        <v>79</v>
      </c>
      <c r="AW15" s="68" t="str">
        <f ca="1">IF(AW6&lt;&gt;AW17,VLOOKUP(AW6,Matrix!$C$13:$G$37,5,FALSE),Matrix!G13)</f>
        <v>vd_s_AlertD_atfwrnRwrnRwTx</v>
      </c>
    </row>
    <row r="16" spans="1:49">
      <c r="B16" s="138"/>
      <c r="C16" s="47">
        <f t="shared" si="2"/>
        <v>10</v>
      </c>
      <c r="D16" s="61" t="s">
        <v>66</v>
      </c>
      <c r="E16" s="61" t="s">
        <v>66</v>
      </c>
      <c r="F16" s="61" t="s">
        <v>66</v>
      </c>
      <c r="G16" s="61" t="s">
        <v>66</v>
      </c>
      <c r="H16" s="61" t="s">
        <v>66</v>
      </c>
      <c r="I16" s="61" t="s">
        <v>66</v>
      </c>
      <c r="J16" s="61" t="s">
        <v>66</v>
      </c>
      <c r="K16" s="61" t="s">
        <v>66</v>
      </c>
      <c r="L16" s="61" t="s">
        <v>66</v>
      </c>
      <c r="M16" s="61" t="s">
        <v>66</v>
      </c>
      <c r="N16" s="61" t="s">
        <v>66</v>
      </c>
      <c r="O16" s="61" t="s">
        <v>66</v>
      </c>
      <c r="P16" s="61" t="s">
        <v>66</v>
      </c>
      <c r="Q16" s="61" t="s">
        <v>66</v>
      </c>
      <c r="R16" s="61" t="s">
        <v>66</v>
      </c>
      <c r="S16" s="61" t="s">
        <v>66</v>
      </c>
      <c r="T16" s="61" t="s">
        <v>66</v>
      </c>
      <c r="U16" s="61" t="s">
        <v>66</v>
      </c>
      <c r="V16" s="61" t="s">
        <v>66</v>
      </c>
      <c r="W16" s="61" t="s">
        <v>66</v>
      </c>
      <c r="X16" s="61" t="s">
        <v>66</v>
      </c>
      <c r="Y16" s="61" t="s">
        <v>66</v>
      </c>
      <c r="Z16" s="61" t="s">
        <v>66</v>
      </c>
      <c r="AA16" s="61" t="s">
        <v>66</v>
      </c>
      <c r="AB16" s="61" t="s">
        <v>66</v>
      </c>
      <c r="AC16" s="61" t="s">
        <v>66</v>
      </c>
      <c r="AD16" s="61" t="s">
        <v>66</v>
      </c>
      <c r="AE16" s="61" t="s">
        <v>197</v>
      </c>
      <c r="AF16" s="61" t="s">
        <v>197</v>
      </c>
      <c r="AG16" s="61" t="s">
        <v>197</v>
      </c>
      <c r="AH16" s="61" t="s">
        <v>197</v>
      </c>
      <c r="AI16" s="61" t="s">
        <v>197</v>
      </c>
      <c r="AJ16" s="26"/>
      <c r="AL16" t="str">
        <f t="shared" ca="1" si="0"/>
        <v xml:space="preserve">    (U1)ALERT_REQ_D_ATFWRN_RWRN_</v>
      </c>
      <c r="AR16" s="63" t="str">
        <f t="shared" si="3"/>
        <v/>
      </c>
      <c r="AS16" s="63" t="str">
        <f t="shared" si="4"/>
        <v/>
      </c>
      <c r="AT16" s="63" t="str">
        <f t="shared" si="1"/>
        <v/>
      </c>
      <c r="AU16" s="63" t="s">
        <v>68</v>
      </c>
      <c r="AV16" s="49" t="s">
        <v>77</v>
      </c>
      <c r="AW16" s="68" t="str">
        <f ca="1">IF(AW6&lt;&gt;AW17,VLOOKUP(AW6,Matrix!$C$13:$G$37,2,FALSE),Matrix!D13)</f>
        <v>ALERT_VOM_IGN_ON</v>
      </c>
    </row>
    <row r="17" spans="2:49" ht="14.25" thickBot="1">
      <c r="B17" s="138"/>
      <c r="C17" s="47">
        <f t="shared" si="2"/>
        <v>11</v>
      </c>
      <c r="D17" s="61" t="s">
        <v>66</v>
      </c>
      <c r="E17" s="61" t="s">
        <v>66</v>
      </c>
      <c r="F17" s="61" t="s">
        <v>66</v>
      </c>
      <c r="G17" s="61" t="s">
        <v>66</v>
      </c>
      <c r="H17" s="61" t="s">
        <v>66</v>
      </c>
      <c r="I17" s="61" t="s">
        <v>66</v>
      </c>
      <c r="J17" s="61" t="s">
        <v>66</v>
      </c>
      <c r="K17" s="61" t="s">
        <v>66</v>
      </c>
      <c r="L17" s="61" t="s">
        <v>66</v>
      </c>
      <c r="M17" s="61" t="s">
        <v>66</v>
      </c>
      <c r="N17" s="61" t="s">
        <v>66</v>
      </c>
      <c r="O17" s="61" t="s">
        <v>66</v>
      </c>
      <c r="P17" s="61" t="s">
        <v>66</v>
      </c>
      <c r="Q17" s="61" t="s">
        <v>66</v>
      </c>
      <c r="R17" s="61" t="s">
        <v>66</v>
      </c>
      <c r="S17" s="61" t="s">
        <v>66</v>
      </c>
      <c r="T17" s="61" t="s">
        <v>66</v>
      </c>
      <c r="U17" s="61" t="s">
        <v>66</v>
      </c>
      <c r="V17" s="61" t="s">
        <v>66</v>
      </c>
      <c r="W17" s="61" t="s">
        <v>66</v>
      </c>
      <c r="X17" s="61" t="s">
        <v>66</v>
      </c>
      <c r="Y17" s="61" t="s">
        <v>66</v>
      </c>
      <c r="Z17" s="61" t="s">
        <v>66</v>
      </c>
      <c r="AA17" s="61" t="s">
        <v>66</v>
      </c>
      <c r="AB17" s="61" t="s">
        <v>66</v>
      </c>
      <c r="AC17" s="61" t="s">
        <v>66</v>
      </c>
      <c r="AD17" s="61" t="s">
        <v>66</v>
      </c>
      <c r="AE17" s="61" t="s">
        <v>197</v>
      </c>
      <c r="AF17" s="61" t="s">
        <v>197</v>
      </c>
      <c r="AG17" s="61" t="s">
        <v>197</v>
      </c>
      <c r="AH17" s="61" t="s">
        <v>197</v>
      </c>
      <c r="AI17" s="61" t="s">
        <v>197</v>
      </c>
      <c r="AJ17" s="26"/>
      <c r="AL17" t="str">
        <f t="shared" ca="1" si="0"/>
        <v xml:space="preserve">    (U1)ALERT_REQ_D_ATFWRN_RWRN_</v>
      </c>
      <c r="AR17" s="63" t="str">
        <f t="shared" si="3"/>
        <v/>
      </c>
      <c r="AS17" s="63" t="str">
        <f t="shared" si="4"/>
        <v/>
      </c>
      <c r="AT17" s="63" t="str">
        <f t="shared" si="1"/>
        <v/>
      </c>
      <c r="AU17" s="64" t="s">
        <v>80</v>
      </c>
      <c r="AV17" s="50" t="s">
        <v>78</v>
      </c>
      <c r="AW17" s="69" t="str">
        <f ca="1">UPPER(Matrix!$D$6)</f>
        <v>D_ATFWRN</v>
      </c>
    </row>
    <row r="18" spans="2:49">
      <c r="B18" s="138"/>
      <c r="C18" s="47">
        <f t="shared" si="2"/>
        <v>12</v>
      </c>
      <c r="D18" s="61" t="s">
        <v>66</v>
      </c>
      <c r="E18" s="61" t="s">
        <v>66</v>
      </c>
      <c r="F18" s="61" t="s">
        <v>66</v>
      </c>
      <c r="G18" s="61" t="s">
        <v>66</v>
      </c>
      <c r="H18" s="61" t="s">
        <v>66</v>
      </c>
      <c r="I18" s="61" t="s">
        <v>66</v>
      </c>
      <c r="J18" s="61" t="s">
        <v>66</v>
      </c>
      <c r="K18" s="61" t="s">
        <v>66</v>
      </c>
      <c r="L18" s="61" t="s">
        <v>66</v>
      </c>
      <c r="M18" s="61" t="s">
        <v>66</v>
      </c>
      <c r="N18" s="61" t="s">
        <v>66</v>
      </c>
      <c r="O18" s="61" t="s">
        <v>66</v>
      </c>
      <c r="P18" s="61" t="s">
        <v>66</v>
      </c>
      <c r="Q18" s="61" t="s">
        <v>66</v>
      </c>
      <c r="R18" s="61" t="s">
        <v>66</v>
      </c>
      <c r="S18" s="61" t="s">
        <v>66</v>
      </c>
      <c r="T18" s="61" t="s">
        <v>66</v>
      </c>
      <c r="U18" s="61" t="s">
        <v>66</v>
      </c>
      <c r="V18" s="61" t="s">
        <v>66</v>
      </c>
      <c r="W18" s="61" t="s">
        <v>66</v>
      </c>
      <c r="X18" s="61" t="s">
        <v>66</v>
      </c>
      <c r="Y18" s="61" t="s">
        <v>66</v>
      </c>
      <c r="Z18" s="61" t="s">
        <v>66</v>
      </c>
      <c r="AA18" s="61" t="s">
        <v>66</v>
      </c>
      <c r="AB18" s="61" t="s">
        <v>66</v>
      </c>
      <c r="AC18" s="61" t="s">
        <v>66</v>
      </c>
      <c r="AD18" s="61" t="s">
        <v>66</v>
      </c>
      <c r="AE18" s="61" t="s">
        <v>197</v>
      </c>
      <c r="AF18" s="61" t="s">
        <v>197</v>
      </c>
      <c r="AG18" s="61" t="s">
        <v>197</v>
      </c>
      <c r="AH18" s="61" t="s">
        <v>197</v>
      </c>
      <c r="AI18" s="61" t="s">
        <v>197</v>
      </c>
      <c r="AJ18" s="26"/>
      <c r="AL18" t="str">
        <f t="shared" ca="1" si="0"/>
        <v xml:space="preserve">    (U1)ALERT_REQ_D_ATFWRN_RWRN_</v>
      </c>
      <c r="AR18" s="63" t="str">
        <f t="shared" si="3"/>
        <v/>
      </c>
      <c r="AS18" s="63" t="str">
        <f t="shared" si="4"/>
        <v/>
      </c>
      <c r="AT18" s="63" t="str">
        <f t="shared" si="1"/>
        <v/>
      </c>
    </row>
    <row r="19" spans="2:49">
      <c r="B19" s="138"/>
      <c r="C19" s="47">
        <f t="shared" si="2"/>
        <v>13</v>
      </c>
      <c r="D19" s="61" t="s">
        <v>66</v>
      </c>
      <c r="E19" s="61" t="s">
        <v>66</v>
      </c>
      <c r="F19" s="61" t="s">
        <v>66</v>
      </c>
      <c r="G19" s="61" t="s">
        <v>66</v>
      </c>
      <c r="H19" s="61" t="s">
        <v>66</v>
      </c>
      <c r="I19" s="61" t="s">
        <v>66</v>
      </c>
      <c r="J19" s="61" t="s">
        <v>66</v>
      </c>
      <c r="K19" s="61" t="s">
        <v>66</v>
      </c>
      <c r="L19" s="61" t="s">
        <v>66</v>
      </c>
      <c r="M19" s="61" t="s">
        <v>66</v>
      </c>
      <c r="N19" s="61" t="s">
        <v>66</v>
      </c>
      <c r="O19" s="61" t="s">
        <v>66</v>
      </c>
      <c r="P19" s="61" t="s">
        <v>66</v>
      </c>
      <c r="Q19" s="61" t="s">
        <v>66</v>
      </c>
      <c r="R19" s="61" t="s">
        <v>66</v>
      </c>
      <c r="S19" s="61" t="s">
        <v>66</v>
      </c>
      <c r="T19" s="61" t="s">
        <v>66</v>
      </c>
      <c r="U19" s="61" t="s">
        <v>66</v>
      </c>
      <c r="V19" s="61" t="s">
        <v>66</v>
      </c>
      <c r="W19" s="61" t="s">
        <v>66</v>
      </c>
      <c r="X19" s="61" t="s">
        <v>66</v>
      </c>
      <c r="Y19" s="61" t="s">
        <v>66</v>
      </c>
      <c r="Z19" s="61" t="s">
        <v>66</v>
      </c>
      <c r="AA19" s="61" t="s">
        <v>66</v>
      </c>
      <c r="AB19" s="61" t="s">
        <v>66</v>
      </c>
      <c r="AC19" s="61" t="s">
        <v>66</v>
      </c>
      <c r="AD19" s="61" t="s">
        <v>66</v>
      </c>
      <c r="AE19" s="61" t="s">
        <v>197</v>
      </c>
      <c r="AF19" s="61" t="s">
        <v>197</v>
      </c>
      <c r="AG19" s="61" t="s">
        <v>197</v>
      </c>
      <c r="AH19" s="61" t="s">
        <v>197</v>
      </c>
      <c r="AI19" s="61" t="s">
        <v>197</v>
      </c>
      <c r="AJ19" s="26"/>
      <c r="AL19" t="str">
        <f t="shared" ca="1" si="0"/>
        <v xml:space="preserve">    (U1)ALERT_REQ_D_ATFWRN_RWRN_</v>
      </c>
      <c r="AR19" s="63" t="str">
        <f t="shared" si="3"/>
        <v/>
      </c>
      <c r="AS19" s="63" t="str">
        <f t="shared" si="4"/>
        <v/>
      </c>
      <c r="AT19" s="63" t="str">
        <f t="shared" si="1"/>
        <v/>
      </c>
    </row>
    <row r="20" spans="2:49">
      <c r="B20" s="138"/>
      <c r="C20" s="47">
        <f t="shared" si="2"/>
        <v>14</v>
      </c>
      <c r="D20" s="61" t="s">
        <v>66</v>
      </c>
      <c r="E20" s="61" t="s">
        <v>66</v>
      </c>
      <c r="F20" s="61" t="s">
        <v>66</v>
      </c>
      <c r="G20" s="61" t="s">
        <v>66</v>
      </c>
      <c r="H20" s="61" t="s">
        <v>66</v>
      </c>
      <c r="I20" s="61" t="s">
        <v>66</v>
      </c>
      <c r="J20" s="61" t="s">
        <v>66</v>
      </c>
      <c r="K20" s="61" t="s">
        <v>66</v>
      </c>
      <c r="L20" s="61" t="s">
        <v>66</v>
      </c>
      <c r="M20" s="61" t="s">
        <v>66</v>
      </c>
      <c r="N20" s="61" t="s">
        <v>66</v>
      </c>
      <c r="O20" s="61" t="s">
        <v>66</v>
      </c>
      <c r="P20" s="61" t="s">
        <v>66</v>
      </c>
      <c r="Q20" s="61" t="s">
        <v>66</v>
      </c>
      <c r="R20" s="61" t="s">
        <v>66</v>
      </c>
      <c r="S20" s="61" t="s">
        <v>66</v>
      </c>
      <c r="T20" s="61" t="s">
        <v>66</v>
      </c>
      <c r="U20" s="61" t="s">
        <v>66</v>
      </c>
      <c r="V20" s="61" t="s">
        <v>66</v>
      </c>
      <c r="W20" s="61" t="s">
        <v>66</v>
      </c>
      <c r="X20" s="61" t="s">
        <v>66</v>
      </c>
      <c r="Y20" s="61" t="s">
        <v>66</v>
      </c>
      <c r="Z20" s="61" t="s">
        <v>66</v>
      </c>
      <c r="AA20" s="61" t="s">
        <v>66</v>
      </c>
      <c r="AB20" s="61" t="s">
        <v>66</v>
      </c>
      <c r="AC20" s="61" t="s">
        <v>66</v>
      </c>
      <c r="AD20" s="61" t="s">
        <v>66</v>
      </c>
      <c r="AE20" s="61" t="s">
        <v>197</v>
      </c>
      <c r="AF20" s="61" t="s">
        <v>197</v>
      </c>
      <c r="AG20" s="61" t="s">
        <v>197</v>
      </c>
      <c r="AH20" s="61" t="s">
        <v>197</v>
      </c>
      <c r="AI20" s="61" t="s">
        <v>197</v>
      </c>
      <c r="AJ20" s="26"/>
      <c r="AL20" t="str">
        <f t="shared" ca="1" si="0"/>
        <v xml:space="preserve">    (U1)ALERT_REQ_D_ATFWRN_RWRN_</v>
      </c>
      <c r="AR20" s="63" t="str">
        <f t="shared" si="3"/>
        <v/>
      </c>
      <c r="AS20" s="63" t="str">
        <f t="shared" si="4"/>
        <v/>
      </c>
      <c r="AT20" s="63" t="str">
        <f t="shared" si="1"/>
        <v/>
      </c>
    </row>
    <row r="21" spans="2:49">
      <c r="B21" s="138"/>
      <c r="C21" s="47">
        <f t="shared" si="2"/>
        <v>15</v>
      </c>
      <c r="D21" s="61" t="s">
        <v>66</v>
      </c>
      <c r="E21" s="61" t="s">
        <v>66</v>
      </c>
      <c r="F21" s="61" t="s">
        <v>66</v>
      </c>
      <c r="G21" s="61" t="s">
        <v>66</v>
      </c>
      <c r="H21" s="61" t="s">
        <v>66</v>
      </c>
      <c r="I21" s="61" t="s">
        <v>66</v>
      </c>
      <c r="J21" s="61" t="s">
        <v>66</v>
      </c>
      <c r="K21" s="61" t="s">
        <v>66</v>
      </c>
      <c r="L21" s="61" t="s">
        <v>66</v>
      </c>
      <c r="M21" s="61" t="s">
        <v>66</v>
      </c>
      <c r="N21" s="61" t="s">
        <v>66</v>
      </c>
      <c r="O21" s="61" t="s">
        <v>66</v>
      </c>
      <c r="P21" s="61" t="s">
        <v>66</v>
      </c>
      <c r="Q21" s="61" t="s">
        <v>66</v>
      </c>
      <c r="R21" s="61" t="s">
        <v>66</v>
      </c>
      <c r="S21" s="61" t="s">
        <v>66</v>
      </c>
      <c r="T21" s="61" t="s">
        <v>66</v>
      </c>
      <c r="U21" s="61" t="s">
        <v>66</v>
      </c>
      <c r="V21" s="61" t="s">
        <v>66</v>
      </c>
      <c r="W21" s="61" t="s">
        <v>66</v>
      </c>
      <c r="X21" s="61" t="s">
        <v>66</v>
      </c>
      <c r="Y21" s="61" t="s">
        <v>66</v>
      </c>
      <c r="Z21" s="61" t="s">
        <v>66</v>
      </c>
      <c r="AA21" s="61" t="s">
        <v>66</v>
      </c>
      <c r="AB21" s="61" t="s">
        <v>66</v>
      </c>
      <c r="AC21" s="61" t="s">
        <v>66</v>
      </c>
      <c r="AD21" s="61" t="s">
        <v>66</v>
      </c>
      <c r="AE21" s="61" t="s">
        <v>197</v>
      </c>
      <c r="AF21" s="61" t="s">
        <v>197</v>
      </c>
      <c r="AG21" s="61" t="s">
        <v>197</v>
      </c>
      <c r="AH21" s="61" t="s">
        <v>197</v>
      </c>
      <c r="AI21" s="61" t="s">
        <v>197</v>
      </c>
      <c r="AJ21" s="26"/>
      <c r="AL21" t="str">
        <f t="shared" ca="1" si="0"/>
        <v xml:space="preserve">    (U1)ALERT_REQ_D_ATFWRN_RWRN_</v>
      </c>
      <c r="AR21" s="63" t="str">
        <f t="shared" si="3"/>
        <v/>
      </c>
      <c r="AS21" s="63" t="str">
        <f t="shared" si="4"/>
        <v/>
      </c>
      <c r="AT21" s="63" t="str">
        <f t="shared" si="1"/>
        <v/>
      </c>
    </row>
    <row r="22" spans="2:49">
      <c r="B22" s="138"/>
      <c r="C22" s="47">
        <f t="shared" si="2"/>
        <v>16</v>
      </c>
      <c r="D22" s="61" t="s">
        <v>66</v>
      </c>
      <c r="E22" s="61" t="s">
        <v>66</v>
      </c>
      <c r="F22" s="61" t="s">
        <v>66</v>
      </c>
      <c r="G22" s="61" t="s">
        <v>66</v>
      </c>
      <c r="H22" s="61" t="s">
        <v>66</v>
      </c>
      <c r="I22" s="61" t="s">
        <v>66</v>
      </c>
      <c r="J22" s="61" t="s">
        <v>66</v>
      </c>
      <c r="K22" s="61" t="s">
        <v>66</v>
      </c>
      <c r="L22" s="61" t="s">
        <v>66</v>
      </c>
      <c r="M22" s="61" t="s">
        <v>66</v>
      </c>
      <c r="N22" s="61" t="s">
        <v>66</v>
      </c>
      <c r="O22" s="61" t="s">
        <v>66</v>
      </c>
      <c r="P22" s="61" t="s">
        <v>66</v>
      </c>
      <c r="Q22" s="61" t="s">
        <v>66</v>
      </c>
      <c r="R22" s="61" t="s">
        <v>66</v>
      </c>
      <c r="S22" s="61" t="s">
        <v>66</v>
      </c>
      <c r="T22" s="61" t="s">
        <v>66</v>
      </c>
      <c r="U22" s="61" t="s">
        <v>66</v>
      </c>
      <c r="V22" s="61" t="s">
        <v>66</v>
      </c>
      <c r="W22" s="61" t="s">
        <v>66</v>
      </c>
      <c r="X22" s="61" t="s">
        <v>66</v>
      </c>
      <c r="Y22" s="61" t="s">
        <v>66</v>
      </c>
      <c r="Z22" s="61" t="s">
        <v>66</v>
      </c>
      <c r="AA22" s="61" t="s">
        <v>66</v>
      </c>
      <c r="AB22" s="61" t="s">
        <v>66</v>
      </c>
      <c r="AC22" s="61" t="s">
        <v>66</v>
      </c>
      <c r="AD22" s="61" t="s">
        <v>66</v>
      </c>
      <c r="AE22" s="61" t="s">
        <v>197</v>
      </c>
      <c r="AF22" s="61" t="s">
        <v>197</v>
      </c>
      <c r="AG22" s="61" t="s">
        <v>197</v>
      </c>
      <c r="AH22" s="61" t="s">
        <v>197</v>
      </c>
      <c r="AI22" s="61" t="s">
        <v>197</v>
      </c>
      <c r="AJ22" s="26"/>
      <c r="AL22" t="str">
        <f t="shared" ca="1" si="0"/>
        <v xml:space="preserve">    (U1)ALERT_REQ_D_ATFWRN_RWRN_</v>
      </c>
      <c r="AR22" s="63" t="str">
        <f t="shared" si="3"/>
        <v/>
      </c>
      <c r="AS22" s="63" t="str">
        <f t="shared" si="4"/>
        <v/>
      </c>
      <c r="AT22" s="63" t="str">
        <f t="shared" si="1"/>
        <v/>
      </c>
    </row>
    <row r="23" spans="2:49">
      <c r="B23" s="138"/>
      <c r="C23" s="47">
        <f t="shared" si="2"/>
        <v>17</v>
      </c>
      <c r="D23" s="61" t="s">
        <v>66</v>
      </c>
      <c r="E23" s="61" t="s">
        <v>66</v>
      </c>
      <c r="F23" s="61" t="s">
        <v>66</v>
      </c>
      <c r="G23" s="61" t="s">
        <v>66</v>
      </c>
      <c r="H23" s="61" t="s">
        <v>66</v>
      </c>
      <c r="I23" s="61" t="s">
        <v>66</v>
      </c>
      <c r="J23" s="61" t="s">
        <v>66</v>
      </c>
      <c r="K23" s="61" t="s">
        <v>66</v>
      </c>
      <c r="L23" s="61" t="s">
        <v>66</v>
      </c>
      <c r="M23" s="61" t="s">
        <v>66</v>
      </c>
      <c r="N23" s="61" t="s">
        <v>66</v>
      </c>
      <c r="O23" s="61" t="s">
        <v>66</v>
      </c>
      <c r="P23" s="61" t="s">
        <v>66</v>
      </c>
      <c r="Q23" s="61" t="s">
        <v>66</v>
      </c>
      <c r="R23" s="61" t="s">
        <v>66</v>
      </c>
      <c r="S23" s="61" t="s">
        <v>66</v>
      </c>
      <c r="T23" s="61" t="s">
        <v>66</v>
      </c>
      <c r="U23" s="61" t="s">
        <v>66</v>
      </c>
      <c r="V23" s="61" t="s">
        <v>66</v>
      </c>
      <c r="W23" s="61" t="s">
        <v>66</v>
      </c>
      <c r="X23" s="61" t="s">
        <v>66</v>
      </c>
      <c r="Y23" s="61" t="s">
        <v>66</v>
      </c>
      <c r="Z23" s="61" t="s">
        <v>66</v>
      </c>
      <c r="AA23" s="61" t="s">
        <v>66</v>
      </c>
      <c r="AB23" s="61" t="s">
        <v>66</v>
      </c>
      <c r="AC23" s="61" t="s">
        <v>66</v>
      </c>
      <c r="AD23" s="61" t="s">
        <v>66</v>
      </c>
      <c r="AE23" s="61" t="s">
        <v>197</v>
      </c>
      <c r="AF23" s="61" t="s">
        <v>197</v>
      </c>
      <c r="AG23" s="61" t="s">
        <v>197</v>
      </c>
      <c r="AH23" s="61" t="s">
        <v>197</v>
      </c>
      <c r="AI23" s="61" t="s">
        <v>197</v>
      </c>
      <c r="AJ23" s="26"/>
      <c r="AL23" t="str">
        <f t="shared" ca="1" si="0"/>
        <v xml:space="preserve">    (U1)ALERT_REQ_D_ATFWRN_RWRN_</v>
      </c>
      <c r="AR23" s="63" t="str">
        <f t="shared" si="3"/>
        <v/>
      </c>
      <c r="AS23" s="63" t="str">
        <f t="shared" si="4"/>
        <v/>
      </c>
      <c r="AT23" s="63" t="str">
        <f t="shared" si="1"/>
        <v/>
      </c>
    </row>
    <row r="24" spans="2:49">
      <c r="B24" s="138"/>
      <c r="C24" s="47">
        <f t="shared" si="2"/>
        <v>18</v>
      </c>
      <c r="D24" s="61" t="s">
        <v>66</v>
      </c>
      <c r="E24" s="61" t="s">
        <v>66</v>
      </c>
      <c r="F24" s="61" t="s">
        <v>66</v>
      </c>
      <c r="G24" s="61" t="s">
        <v>66</v>
      </c>
      <c r="H24" s="61" t="s">
        <v>66</v>
      </c>
      <c r="I24" s="61" t="s">
        <v>66</v>
      </c>
      <c r="J24" s="61" t="s">
        <v>66</v>
      </c>
      <c r="K24" s="61" t="s">
        <v>66</v>
      </c>
      <c r="L24" s="61" t="s">
        <v>66</v>
      </c>
      <c r="M24" s="61" t="s">
        <v>66</v>
      </c>
      <c r="N24" s="61" t="s">
        <v>66</v>
      </c>
      <c r="O24" s="61" t="s">
        <v>66</v>
      </c>
      <c r="P24" s="61" t="s">
        <v>66</v>
      </c>
      <c r="Q24" s="61" t="s">
        <v>66</v>
      </c>
      <c r="R24" s="61" t="s">
        <v>66</v>
      </c>
      <c r="S24" s="61" t="s">
        <v>66</v>
      </c>
      <c r="T24" s="61" t="s">
        <v>66</v>
      </c>
      <c r="U24" s="61" t="s">
        <v>66</v>
      </c>
      <c r="V24" s="61" t="s">
        <v>66</v>
      </c>
      <c r="W24" s="61" t="s">
        <v>66</v>
      </c>
      <c r="X24" s="61" t="s">
        <v>66</v>
      </c>
      <c r="Y24" s="61" t="s">
        <v>66</v>
      </c>
      <c r="Z24" s="61" t="s">
        <v>66</v>
      </c>
      <c r="AA24" s="61" t="s">
        <v>66</v>
      </c>
      <c r="AB24" s="61" t="s">
        <v>66</v>
      </c>
      <c r="AC24" s="61" t="s">
        <v>66</v>
      </c>
      <c r="AD24" s="61" t="s">
        <v>66</v>
      </c>
      <c r="AE24" s="61" t="s">
        <v>197</v>
      </c>
      <c r="AF24" s="61" t="s">
        <v>197</v>
      </c>
      <c r="AG24" s="61" t="s">
        <v>197</v>
      </c>
      <c r="AH24" s="61" t="s">
        <v>197</v>
      </c>
      <c r="AI24" s="61" t="s">
        <v>197</v>
      </c>
      <c r="AJ24" s="26"/>
      <c r="AL24" t="str">
        <f t="shared" ca="1" si="0"/>
        <v xml:space="preserve">    (U1)ALERT_REQ_D_ATFWRN_RWRN_</v>
      </c>
      <c r="AR24" s="63" t="str">
        <f t="shared" si="3"/>
        <v/>
      </c>
      <c r="AS24" s="63" t="str">
        <f t="shared" si="4"/>
        <v/>
      </c>
      <c r="AT24" s="63" t="str">
        <f t="shared" si="1"/>
        <v/>
      </c>
    </row>
    <row r="25" spans="2:49">
      <c r="B25" s="138"/>
      <c r="C25" s="47">
        <f t="shared" si="2"/>
        <v>19</v>
      </c>
      <c r="D25" s="61" t="s">
        <v>66</v>
      </c>
      <c r="E25" s="61" t="s">
        <v>66</v>
      </c>
      <c r="F25" s="61" t="s">
        <v>66</v>
      </c>
      <c r="G25" s="61" t="s">
        <v>66</v>
      </c>
      <c r="H25" s="61" t="s">
        <v>66</v>
      </c>
      <c r="I25" s="61" t="s">
        <v>66</v>
      </c>
      <c r="J25" s="61" t="s">
        <v>66</v>
      </c>
      <c r="K25" s="61" t="s">
        <v>66</v>
      </c>
      <c r="L25" s="61" t="s">
        <v>66</v>
      </c>
      <c r="M25" s="61" t="s">
        <v>66</v>
      </c>
      <c r="N25" s="61" t="s">
        <v>66</v>
      </c>
      <c r="O25" s="61" t="s">
        <v>66</v>
      </c>
      <c r="P25" s="61" t="s">
        <v>66</v>
      </c>
      <c r="Q25" s="61" t="s">
        <v>66</v>
      </c>
      <c r="R25" s="61" t="s">
        <v>66</v>
      </c>
      <c r="S25" s="61" t="s">
        <v>66</v>
      </c>
      <c r="T25" s="61" t="s">
        <v>66</v>
      </c>
      <c r="U25" s="61" t="s">
        <v>66</v>
      </c>
      <c r="V25" s="61" t="s">
        <v>66</v>
      </c>
      <c r="W25" s="61" t="s">
        <v>66</v>
      </c>
      <c r="X25" s="61" t="s">
        <v>66</v>
      </c>
      <c r="Y25" s="61" t="s">
        <v>66</v>
      </c>
      <c r="Z25" s="61" t="s">
        <v>66</v>
      </c>
      <c r="AA25" s="61" t="s">
        <v>66</v>
      </c>
      <c r="AB25" s="61" t="s">
        <v>66</v>
      </c>
      <c r="AC25" s="61" t="s">
        <v>66</v>
      </c>
      <c r="AD25" s="61" t="s">
        <v>66</v>
      </c>
      <c r="AE25" s="61" t="s">
        <v>197</v>
      </c>
      <c r="AF25" s="61" t="s">
        <v>197</v>
      </c>
      <c r="AG25" s="61" t="s">
        <v>197</v>
      </c>
      <c r="AH25" s="61" t="s">
        <v>197</v>
      </c>
      <c r="AI25" s="61" t="s">
        <v>197</v>
      </c>
      <c r="AJ25" s="26"/>
      <c r="AL25" t="str">
        <f t="shared" ca="1" si="0"/>
        <v xml:space="preserve">    (U1)ALERT_REQ_D_ATFWRN_RWRN_</v>
      </c>
      <c r="AR25" s="63" t="str">
        <f t="shared" si="3"/>
        <v/>
      </c>
      <c r="AS25" s="63" t="str">
        <f t="shared" si="4"/>
        <v/>
      </c>
      <c r="AT25" s="63" t="str">
        <f t="shared" si="1"/>
        <v/>
      </c>
    </row>
    <row r="26" spans="2:49">
      <c r="B26" s="138"/>
      <c r="C26" s="47">
        <f t="shared" si="2"/>
        <v>20</v>
      </c>
      <c r="D26" s="61" t="s">
        <v>66</v>
      </c>
      <c r="E26" s="61" t="s">
        <v>66</v>
      </c>
      <c r="F26" s="61" t="s">
        <v>66</v>
      </c>
      <c r="G26" s="61" t="s">
        <v>66</v>
      </c>
      <c r="H26" s="61" t="s">
        <v>66</v>
      </c>
      <c r="I26" s="61" t="s">
        <v>66</v>
      </c>
      <c r="J26" s="61" t="s">
        <v>66</v>
      </c>
      <c r="K26" s="61" t="s">
        <v>66</v>
      </c>
      <c r="L26" s="61" t="s">
        <v>66</v>
      </c>
      <c r="M26" s="61" t="s">
        <v>66</v>
      </c>
      <c r="N26" s="61" t="s">
        <v>66</v>
      </c>
      <c r="O26" s="61" t="s">
        <v>66</v>
      </c>
      <c r="P26" s="61" t="s">
        <v>66</v>
      </c>
      <c r="Q26" s="61" t="s">
        <v>66</v>
      </c>
      <c r="R26" s="61" t="s">
        <v>66</v>
      </c>
      <c r="S26" s="61" t="s">
        <v>66</v>
      </c>
      <c r="T26" s="61" t="s">
        <v>66</v>
      </c>
      <c r="U26" s="61" t="s">
        <v>66</v>
      </c>
      <c r="V26" s="61" t="s">
        <v>66</v>
      </c>
      <c r="W26" s="61" t="s">
        <v>66</v>
      </c>
      <c r="X26" s="61" t="s">
        <v>66</v>
      </c>
      <c r="Y26" s="61" t="s">
        <v>66</v>
      </c>
      <c r="Z26" s="61" t="s">
        <v>66</v>
      </c>
      <c r="AA26" s="61" t="s">
        <v>66</v>
      </c>
      <c r="AB26" s="61" t="s">
        <v>66</v>
      </c>
      <c r="AC26" s="61" t="s">
        <v>66</v>
      </c>
      <c r="AD26" s="61" t="s">
        <v>66</v>
      </c>
      <c r="AE26" s="61" t="s">
        <v>197</v>
      </c>
      <c r="AF26" s="61" t="s">
        <v>197</v>
      </c>
      <c r="AG26" s="61" t="s">
        <v>197</v>
      </c>
      <c r="AH26" s="61" t="s">
        <v>197</v>
      </c>
      <c r="AI26" s="61" t="s">
        <v>197</v>
      </c>
      <c r="AJ26" s="26"/>
      <c r="AL26" t="str">
        <f t="shared" ca="1" si="0"/>
        <v xml:space="preserve">    (U1)ALERT_REQ_D_ATFWRN_RWRN_</v>
      </c>
      <c r="AR26" s="63" t="str">
        <f t="shared" si="3"/>
        <v/>
      </c>
      <c r="AS26" s="63" t="str">
        <f t="shared" si="4"/>
        <v/>
      </c>
      <c r="AT26" s="63" t="str">
        <f t="shared" si="1"/>
        <v/>
      </c>
    </row>
    <row r="27" spans="2:49">
      <c r="B27" s="138"/>
      <c r="C27" s="47">
        <f t="shared" si="2"/>
        <v>21</v>
      </c>
      <c r="D27" s="61" t="s">
        <v>66</v>
      </c>
      <c r="E27" s="61" t="s">
        <v>66</v>
      </c>
      <c r="F27" s="61" t="s">
        <v>66</v>
      </c>
      <c r="G27" s="61" t="s">
        <v>66</v>
      </c>
      <c r="H27" s="61" t="s">
        <v>66</v>
      </c>
      <c r="I27" s="61" t="s">
        <v>66</v>
      </c>
      <c r="J27" s="61" t="s">
        <v>66</v>
      </c>
      <c r="K27" s="61" t="s">
        <v>66</v>
      </c>
      <c r="L27" s="61" t="s">
        <v>66</v>
      </c>
      <c r="M27" s="61" t="s">
        <v>66</v>
      </c>
      <c r="N27" s="61" t="s">
        <v>66</v>
      </c>
      <c r="O27" s="61" t="s">
        <v>66</v>
      </c>
      <c r="P27" s="61" t="s">
        <v>66</v>
      </c>
      <c r="Q27" s="61" t="s">
        <v>66</v>
      </c>
      <c r="R27" s="61" t="s">
        <v>66</v>
      </c>
      <c r="S27" s="61" t="s">
        <v>66</v>
      </c>
      <c r="T27" s="61" t="s">
        <v>66</v>
      </c>
      <c r="U27" s="61" t="s">
        <v>66</v>
      </c>
      <c r="V27" s="61" t="s">
        <v>66</v>
      </c>
      <c r="W27" s="61" t="s">
        <v>66</v>
      </c>
      <c r="X27" s="61" t="s">
        <v>66</v>
      </c>
      <c r="Y27" s="61" t="s">
        <v>66</v>
      </c>
      <c r="Z27" s="61" t="s">
        <v>66</v>
      </c>
      <c r="AA27" s="61" t="s">
        <v>66</v>
      </c>
      <c r="AB27" s="61" t="s">
        <v>66</v>
      </c>
      <c r="AC27" s="61" t="s">
        <v>66</v>
      </c>
      <c r="AD27" s="61" t="s">
        <v>66</v>
      </c>
      <c r="AE27" s="61" t="s">
        <v>197</v>
      </c>
      <c r="AF27" s="61" t="s">
        <v>197</v>
      </c>
      <c r="AG27" s="61" t="s">
        <v>197</v>
      </c>
      <c r="AH27" s="61" t="s">
        <v>197</v>
      </c>
      <c r="AI27" s="61" t="s">
        <v>197</v>
      </c>
      <c r="AJ27" s="26"/>
      <c r="AL27" t="str">
        <f t="shared" ca="1" si="0"/>
        <v xml:space="preserve">    (U1)ALERT_REQ_D_ATFWRN_RWRN_</v>
      </c>
      <c r="AR27" s="63" t="str">
        <f t="shared" si="3"/>
        <v/>
      </c>
      <c r="AS27" s="63" t="str">
        <f t="shared" si="4"/>
        <v/>
      </c>
      <c r="AT27" s="63" t="str">
        <f t="shared" si="1"/>
        <v/>
      </c>
    </row>
    <row r="28" spans="2:49">
      <c r="B28" s="138"/>
      <c r="C28" s="47">
        <f t="shared" si="2"/>
        <v>22</v>
      </c>
      <c r="D28" s="61" t="s">
        <v>66</v>
      </c>
      <c r="E28" s="61" t="s">
        <v>66</v>
      </c>
      <c r="F28" s="61" t="s">
        <v>66</v>
      </c>
      <c r="G28" s="61" t="s">
        <v>66</v>
      </c>
      <c r="H28" s="61" t="s">
        <v>66</v>
      </c>
      <c r="I28" s="61" t="s">
        <v>66</v>
      </c>
      <c r="J28" s="61" t="s">
        <v>66</v>
      </c>
      <c r="K28" s="61" t="s">
        <v>66</v>
      </c>
      <c r="L28" s="61" t="s">
        <v>66</v>
      </c>
      <c r="M28" s="61" t="s">
        <v>66</v>
      </c>
      <c r="N28" s="61" t="s">
        <v>66</v>
      </c>
      <c r="O28" s="61" t="s">
        <v>66</v>
      </c>
      <c r="P28" s="61" t="s">
        <v>66</v>
      </c>
      <c r="Q28" s="61" t="s">
        <v>66</v>
      </c>
      <c r="R28" s="61" t="s">
        <v>66</v>
      </c>
      <c r="S28" s="61" t="s">
        <v>66</v>
      </c>
      <c r="T28" s="61" t="s">
        <v>66</v>
      </c>
      <c r="U28" s="61" t="s">
        <v>66</v>
      </c>
      <c r="V28" s="61" t="s">
        <v>66</v>
      </c>
      <c r="W28" s="61" t="s">
        <v>66</v>
      </c>
      <c r="X28" s="61" t="s">
        <v>66</v>
      </c>
      <c r="Y28" s="61" t="s">
        <v>66</v>
      </c>
      <c r="Z28" s="61" t="s">
        <v>66</v>
      </c>
      <c r="AA28" s="61" t="s">
        <v>66</v>
      </c>
      <c r="AB28" s="61" t="s">
        <v>66</v>
      </c>
      <c r="AC28" s="61" t="s">
        <v>66</v>
      </c>
      <c r="AD28" s="61" t="s">
        <v>66</v>
      </c>
      <c r="AE28" s="61" t="s">
        <v>197</v>
      </c>
      <c r="AF28" s="61" t="s">
        <v>197</v>
      </c>
      <c r="AG28" s="61" t="s">
        <v>197</v>
      </c>
      <c r="AH28" s="61" t="s">
        <v>197</v>
      </c>
      <c r="AI28" s="61" t="s">
        <v>197</v>
      </c>
      <c r="AJ28" s="26"/>
      <c r="AL28" t="str">
        <f t="shared" ca="1" si="0"/>
        <v xml:space="preserve">    (U1)ALERT_REQ_D_ATFWRN_RWRN_</v>
      </c>
      <c r="AR28" s="63" t="str">
        <f t="shared" si="3"/>
        <v/>
      </c>
      <c r="AS28" s="63" t="str">
        <f t="shared" si="4"/>
        <v/>
      </c>
      <c r="AT28" s="63" t="str">
        <f t="shared" si="1"/>
        <v/>
      </c>
    </row>
    <row r="29" spans="2:49">
      <c r="B29" s="138"/>
      <c r="C29" s="47">
        <f t="shared" si="2"/>
        <v>23</v>
      </c>
      <c r="D29" s="61" t="s">
        <v>66</v>
      </c>
      <c r="E29" s="61" t="s">
        <v>66</v>
      </c>
      <c r="F29" s="61" t="s">
        <v>66</v>
      </c>
      <c r="G29" s="61" t="s">
        <v>66</v>
      </c>
      <c r="H29" s="61" t="s">
        <v>66</v>
      </c>
      <c r="I29" s="61" t="s">
        <v>66</v>
      </c>
      <c r="J29" s="61" t="s">
        <v>66</v>
      </c>
      <c r="K29" s="61" t="s">
        <v>66</v>
      </c>
      <c r="L29" s="61" t="s">
        <v>66</v>
      </c>
      <c r="M29" s="61" t="s">
        <v>66</v>
      </c>
      <c r="N29" s="61" t="s">
        <v>66</v>
      </c>
      <c r="O29" s="61" t="s">
        <v>66</v>
      </c>
      <c r="P29" s="61" t="s">
        <v>66</v>
      </c>
      <c r="Q29" s="61" t="s">
        <v>66</v>
      </c>
      <c r="R29" s="61" t="s">
        <v>66</v>
      </c>
      <c r="S29" s="61" t="s">
        <v>66</v>
      </c>
      <c r="T29" s="61" t="s">
        <v>66</v>
      </c>
      <c r="U29" s="61" t="s">
        <v>66</v>
      </c>
      <c r="V29" s="61" t="s">
        <v>66</v>
      </c>
      <c r="W29" s="61" t="s">
        <v>66</v>
      </c>
      <c r="X29" s="61" t="s">
        <v>66</v>
      </c>
      <c r="Y29" s="61" t="s">
        <v>66</v>
      </c>
      <c r="Z29" s="61" t="s">
        <v>66</v>
      </c>
      <c r="AA29" s="61" t="s">
        <v>66</v>
      </c>
      <c r="AB29" s="61" t="s">
        <v>66</v>
      </c>
      <c r="AC29" s="61" t="s">
        <v>66</v>
      </c>
      <c r="AD29" s="61" t="s">
        <v>66</v>
      </c>
      <c r="AE29" s="61" t="s">
        <v>197</v>
      </c>
      <c r="AF29" s="61" t="s">
        <v>197</v>
      </c>
      <c r="AG29" s="61" t="s">
        <v>197</v>
      </c>
      <c r="AH29" s="61" t="s">
        <v>197</v>
      </c>
      <c r="AI29" s="61" t="s">
        <v>197</v>
      </c>
      <c r="AJ29" s="26"/>
      <c r="AL29" t="str">
        <f t="shared" ca="1" si="0"/>
        <v xml:space="preserve">    (U1)ALERT_REQ_D_ATFWRN_RWRN_</v>
      </c>
      <c r="AR29" s="63" t="str">
        <f t="shared" si="3"/>
        <v/>
      </c>
      <c r="AS29" s="63" t="str">
        <f t="shared" si="4"/>
        <v/>
      </c>
      <c r="AT29" s="63" t="str">
        <f t="shared" si="1"/>
        <v/>
      </c>
    </row>
    <row r="30" spans="2:49">
      <c r="B30" s="138"/>
      <c r="C30" s="47">
        <f t="shared" si="2"/>
        <v>24</v>
      </c>
      <c r="D30" s="61" t="s">
        <v>66</v>
      </c>
      <c r="E30" s="61" t="s">
        <v>66</v>
      </c>
      <c r="F30" s="61" t="s">
        <v>66</v>
      </c>
      <c r="G30" s="61" t="s">
        <v>66</v>
      </c>
      <c r="H30" s="61" t="s">
        <v>66</v>
      </c>
      <c r="I30" s="61" t="s">
        <v>66</v>
      </c>
      <c r="J30" s="61" t="s">
        <v>66</v>
      </c>
      <c r="K30" s="61" t="s">
        <v>66</v>
      </c>
      <c r="L30" s="61" t="s">
        <v>66</v>
      </c>
      <c r="M30" s="61" t="s">
        <v>66</v>
      </c>
      <c r="N30" s="61" t="s">
        <v>66</v>
      </c>
      <c r="O30" s="61" t="s">
        <v>66</v>
      </c>
      <c r="P30" s="61" t="s">
        <v>66</v>
      </c>
      <c r="Q30" s="61" t="s">
        <v>66</v>
      </c>
      <c r="R30" s="61" t="s">
        <v>66</v>
      </c>
      <c r="S30" s="61" t="s">
        <v>66</v>
      </c>
      <c r="T30" s="61" t="s">
        <v>66</v>
      </c>
      <c r="U30" s="61" t="s">
        <v>66</v>
      </c>
      <c r="V30" s="61" t="s">
        <v>66</v>
      </c>
      <c r="W30" s="61" t="s">
        <v>66</v>
      </c>
      <c r="X30" s="61" t="s">
        <v>66</v>
      </c>
      <c r="Y30" s="61" t="s">
        <v>66</v>
      </c>
      <c r="Z30" s="61" t="s">
        <v>66</v>
      </c>
      <c r="AA30" s="61" t="s">
        <v>66</v>
      </c>
      <c r="AB30" s="61" t="s">
        <v>66</v>
      </c>
      <c r="AC30" s="61" t="s">
        <v>66</v>
      </c>
      <c r="AD30" s="61" t="s">
        <v>66</v>
      </c>
      <c r="AE30" s="61" t="s">
        <v>197</v>
      </c>
      <c r="AF30" s="61" t="s">
        <v>197</v>
      </c>
      <c r="AG30" s="61" t="s">
        <v>197</v>
      </c>
      <c r="AH30" s="61" t="s">
        <v>197</v>
      </c>
      <c r="AI30" s="61" t="s">
        <v>197</v>
      </c>
      <c r="AJ30" s="26"/>
      <c r="AL30" t="str">
        <f t="shared" ca="1" si="0"/>
        <v xml:space="preserve">    (U1)ALERT_REQ_D_ATFWRN_RWRN_</v>
      </c>
      <c r="AR30" s="63" t="str">
        <f t="shared" si="3"/>
        <v/>
      </c>
      <c r="AS30" s="63" t="str">
        <f t="shared" si="4"/>
        <v/>
      </c>
      <c r="AT30" s="63" t="str">
        <f t="shared" si="1"/>
        <v/>
      </c>
    </row>
    <row r="31" spans="2:49">
      <c r="B31" s="138"/>
      <c r="C31" s="47">
        <f t="shared" si="2"/>
        <v>25</v>
      </c>
      <c r="D31" s="61" t="s">
        <v>66</v>
      </c>
      <c r="E31" s="61" t="s">
        <v>66</v>
      </c>
      <c r="F31" s="61" t="s">
        <v>66</v>
      </c>
      <c r="G31" s="61" t="s">
        <v>66</v>
      </c>
      <c r="H31" s="61" t="s">
        <v>66</v>
      </c>
      <c r="I31" s="61" t="s">
        <v>66</v>
      </c>
      <c r="J31" s="61" t="s">
        <v>66</v>
      </c>
      <c r="K31" s="61" t="s">
        <v>66</v>
      </c>
      <c r="L31" s="61" t="s">
        <v>66</v>
      </c>
      <c r="M31" s="61" t="s">
        <v>66</v>
      </c>
      <c r="N31" s="61" t="s">
        <v>66</v>
      </c>
      <c r="O31" s="61" t="s">
        <v>66</v>
      </c>
      <c r="P31" s="61" t="s">
        <v>66</v>
      </c>
      <c r="Q31" s="61" t="s">
        <v>66</v>
      </c>
      <c r="R31" s="61" t="s">
        <v>66</v>
      </c>
      <c r="S31" s="61" t="s">
        <v>66</v>
      </c>
      <c r="T31" s="61" t="s">
        <v>66</v>
      </c>
      <c r="U31" s="61" t="s">
        <v>66</v>
      </c>
      <c r="V31" s="61" t="s">
        <v>66</v>
      </c>
      <c r="W31" s="61" t="s">
        <v>66</v>
      </c>
      <c r="X31" s="61" t="s">
        <v>66</v>
      </c>
      <c r="Y31" s="61" t="s">
        <v>66</v>
      </c>
      <c r="Z31" s="61" t="s">
        <v>66</v>
      </c>
      <c r="AA31" s="61" t="s">
        <v>66</v>
      </c>
      <c r="AB31" s="61" t="s">
        <v>66</v>
      </c>
      <c r="AC31" s="61" t="s">
        <v>66</v>
      </c>
      <c r="AD31" s="61" t="s">
        <v>66</v>
      </c>
      <c r="AE31" s="61" t="s">
        <v>197</v>
      </c>
      <c r="AF31" s="61" t="s">
        <v>197</v>
      </c>
      <c r="AG31" s="61" t="s">
        <v>197</v>
      </c>
      <c r="AH31" s="61" t="s">
        <v>197</v>
      </c>
      <c r="AI31" s="61" t="s">
        <v>197</v>
      </c>
      <c r="AJ31" s="26"/>
      <c r="AL31" t="str">
        <f t="shared" ca="1" si="0"/>
        <v xml:space="preserve">    (U1)ALERT_REQ_D_ATFWRN_RWRN_</v>
      </c>
      <c r="AR31" s="63" t="str">
        <f t="shared" si="3"/>
        <v/>
      </c>
      <c r="AS31" s="63" t="str">
        <f t="shared" si="4"/>
        <v/>
      </c>
      <c r="AT31" s="63" t="str">
        <f t="shared" si="1"/>
        <v/>
      </c>
    </row>
    <row r="32" spans="2:49">
      <c r="B32" s="138"/>
      <c r="C32" s="47">
        <f t="shared" si="2"/>
        <v>26</v>
      </c>
      <c r="D32" s="61" t="s">
        <v>66</v>
      </c>
      <c r="E32" s="61" t="s">
        <v>66</v>
      </c>
      <c r="F32" s="61" t="s">
        <v>66</v>
      </c>
      <c r="G32" s="61" t="s">
        <v>66</v>
      </c>
      <c r="H32" s="61" t="s">
        <v>66</v>
      </c>
      <c r="I32" s="61" t="s">
        <v>66</v>
      </c>
      <c r="J32" s="61" t="s">
        <v>66</v>
      </c>
      <c r="K32" s="61" t="s">
        <v>66</v>
      </c>
      <c r="L32" s="61" t="s">
        <v>66</v>
      </c>
      <c r="M32" s="61" t="s">
        <v>66</v>
      </c>
      <c r="N32" s="61" t="s">
        <v>66</v>
      </c>
      <c r="O32" s="61" t="s">
        <v>66</v>
      </c>
      <c r="P32" s="61" t="s">
        <v>66</v>
      </c>
      <c r="Q32" s="61" t="s">
        <v>66</v>
      </c>
      <c r="R32" s="61" t="s">
        <v>66</v>
      </c>
      <c r="S32" s="61" t="s">
        <v>66</v>
      </c>
      <c r="T32" s="61" t="s">
        <v>66</v>
      </c>
      <c r="U32" s="61" t="s">
        <v>66</v>
      </c>
      <c r="V32" s="61" t="s">
        <v>66</v>
      </c>
      <c r="W32" s="61" t="s">
        <v>66</v>
      </c>
      <c r="X32" s="61" t="s">
        <v>66</v>
      </c>
      <c r="Y32" s="61" t="s">
        <v>66</v>
      </c>
      <c r="Z32" s="61" t="s">
        <v>66</v>
      </c>
      <c r="AA32" s="61" t="s">
        <v>66</v>
      </c>
      <c r="AB32" s="61" t="s">
        <v>66</v>
      </c>
      <c r="AC32" s="61" t="s">
        <v>66</v>
      </c>
      <c r="AD32" s="61" t="s">
        <v>66</v>
      </c>
      <c r="AE32" s="61" t="s">
        <v>197</v>
      </c>
      <c r="AF32" s="61" t="s">
        <v>197</v>
      </c>
      <c r="AG32" s="61" t="s">
        <v>197</v>
      </c>
      <c r="AH32" s="61" t="s">
        <v>197</v>
      </c>
      <c r="AI32" s="61" t="s">
        <v>197</v>
      </c>
      <c r="AJ32" s="26"/>
      <c r="AL32" t="str">
        <f t="shared" ca="1" si="0"/>
        <v xml:space="preserve">    (U1)ALERT_REQ_D_ATFWRN_RWRN_</v>
      </c>
      <c r="AR32" s="63" t="str">
        <f t="shared" si="3"/>
        <v/>
      </c>
      <c r="AS32" s="63" t="str">
        <f t="shared" si="4"/>
        <v/>
      </c>
      <c r="AT32" s="63" t="str">
        <f t="shared" si="1"/>
        <v/>
      </c>
    </row>
    <row r="33" spans="2:46">
      <c r="B33" s="138"/>
      <c r="C33" s="47">
        <f t="shared" si="2"/>
        <v>27</v>
      </c>
      <c r="D33" s="61" t="s">
        <v>66</v>
      </c>
      <c r="E33" s="61" t="s">
        <v>66</v>
      </c>
      <c r="F33" s="61" t="s">
        <v>66</v>
      </c>
      <c r="G33" s="61" t="s">
        <v>66</v>
      </c>
      <c r="H33" s="61" t="s">
        <v>66</v>
      </c>
      <c r="I33" s="61" t="s">
        <v>66</v>
      </c>
      <c r="J33" s="61" t="s">
        <v>66</v>
      </c>
      <c r="K33" s="61" t="s">
        <v>66</v>
      </c>
      <c r="L33" s="61" t="s">
        <v>66</v>
      </c>
      <c r="M33" s="61" t="s">
        <v>66</v>
      </c>
      <c r="N33" s="61" t="s">
        <v>66</v>
      </c>
      <c r="O33" s="61" t="s">
        <v>66</v>
      </c>
      <c r="P33" s="61" t="s">
        <v>66</v>
      </c>
      <c r="Q33" s="61" t="s">
        <v>66</v>
      </c>
      <c r="R33" s="61" t="s">
        <v>66</v>
      </c>
      <c r="S33" s="61" t="s">
        <v>66</v>
      </c>
      <c r="T33" s="61" t="s">
        <v>66</v>
      </c>
      <c r="U33" s="61" t="s">
        <v>66</v>
      </c>
      <c r="V33" s="61" t="s">
        <v>66</v>
      </c>
      <c r="W33" s="61" t="s">
        <v>66</v>
      </c>
      <c r="X33" s="61" t="s">
        <v>66</v>
      </c>
      <c r="Y33" s="61" t="s">
        <v>66</v>
      </c>
      <c r="Z33" s="61" t="s">
        <v>66</v>
      </c>
      <c r="AA33" s="61" t="s">
        <v>66</v>
      </c>
      <c r="AB33" s="61" t="s">
        <v>66</v>
      </c>
      <c r="AC33" s="61" t="s">
        <v>66</v>
      </c>
      <c r="AD33" s="61" t="s">
        <v>66</v>
      </c>
      <c r="AE33" s="61" t="s">
        <v>197</v>
      </c>
      <c r="AF33" s="61" t="s">
        <v>197</v>
      </c>
      <c r="AG33" s="61" t="s">
        <v>197</v>
      </c>
      <c r="AH33" s="61" t="s">
        <v>197</v>
      </c>
      <c r="AI33" s="61" t="s">
        <v>197</v>
      </c>
      <c r="AJ33" s="26"/>
      <c r="AL33" t="str">
        <f t="shared" ca="1" si="0"/>
        <v xml:space="preserve">    (U1)ALERT_REQ_D_ATFWRN_RWRN_</v>
      </c>
      <c r="AR33" s="63" t="str">
        <f t="shared" si="3"/>
        <v/>
      </c>
      <c r="AS33" s="63" t="str">
        <f t="shared" si="4"/>
        <v/>
      </c>
      <c r="AT33" s="63" t="str">
        <f t="shared" si="1"/>
        <v/>
      </c>
    </row>
    <row r="34" spans="2:46">
      <c r="B34" s="138"/>
      <c r="C34" s="47">
        <f t="shared" si="2"/>
        <v>28</v>
      </c>
      <c r="D34" s="61" t="s">
        <v>66</v>
      </c>
      <c r="E34" s="61" t="s">
        <v>66</v>
      </c>
      <c r="F34" s="61" t="s">
        <v>66</v>
      </c>
      <c r="G34" s="61" t="s">
        <v>66</v>
      </c>
      <c r="H34" s="61" t="s">
        <v>66</v>
      </c>
      <c r="I34" s="61" t="s">
        <v>66</v>
      </c>
      <c r="J34" s="61" t="s">
        <v>66</v>
      </c>
      <c r="K34" s="61" t="s">
        <v>66</v>
      </c>
      <c r="L34" s="61" t="s">
        <v>66</v>
      </c>
      <c r="M34" s="61" t="s">
        <v>66</v>
      </c>
      <c r="N34" s="61" t="s">
        <v>66</v>
      </c>
      <c r="O34" s="61" t="s">
        <v>66</v>
      </c>
      <c r="P34" s="61" t="s">
        <v>66</v>
      </c>
      <c r="Q34" s="61" t="s">
        <v>66</v>
      </c>
      <c r="R34" s="61" t="s">
        <v>66</v>
      </c>
      <c r="S34" s="61" t="s">
        <v>66</v>
      </c>
      <c r="T34" s="61" t="s">
        <v>66</v>
      </c>
      <c r="U34" s="61" t="s">
        <v>66</v>
      </c>
      <c r="V34" s="61" t="s">
        <v>66</v>
      </c>
      <c r="W34" s="61" t="s">
        <v>66</v>
      </c>
      <c r="X34" s="61" t="s">
        <v>66</v>
      </c>
      <c r="Y34" s="61" t="s">
        <v>66</v>
      </c>
      <c r="Z34" s="61" t="s">
        <v>66</v>
      </c>
      <c r="AA34" s="61" t="s">
        <v>66</v>
      </c>
      <c r="AB34" s="61" t="s">
        <v>66</v>
      </c>
      <c r="AC34" s="61" t="s">
        <v>66</v>
      </c>
      <c r="AD34" s="61" t="s">
        <v>66</v>
      </c>
      <c r="AE34" s="61" t="s">
        <v>197</v>
      </c>
      <c r="AF34" s="61" t="s">
        <v>197</v>
      </c>
      <c r="AG34" s="61" t="s">
        <v>197</v>
      </c>
      <c r="AH34" s="61" t="s">
        <v>197</v>
      </c>
      <c r="AI34" s="61" t="s">
        <v>197</v>
      </c>
      <c r="AJ34" s="26"/>
      <c r="AL34" t="str">
        <f t="shared" ca="1" si="0"/>
        <v xml:space="preserve">    (U1)ALERT_REQ_D_ATFWRN_RWRN_</v>
      </c>
      <c r="AR34" s="63" t="str">
        <f t="shared" si="3"/>
        <v/>
      </c>
      <c r="AS34" s="63" t="str">
        <f t="shared" si="4"/>
        <v/>
      </c>
      <c r="AT34" s="63" t="str">
        <f t="shared" si="1"/>
        <v/>
      </c>
    </row>
    <row r="35" spans="2:46">
      <c r="B35" s="138"/>
      <c r="C35" s="47">
        <f t="shared" si="2"/>
        <v>29</v>
      </c>
      <c r="D35" s="61" t="s">
        <v>66</v>
      </c>
      <c r="E35" s="61" t="s">
        <v>66</v>
      </c>
      <c r="F35" s="61" t="s">
        <v>66</v>
      </c>
      <c r="G35" s="61" t="s">
        <v>66</v>
      </c>
      <c r="H35" s="61" t="s">
        <v>66</v>
      </c>
      <c r="I35" s="61" t="s">
        <v>66</v>
      </c>
      <c r="J35" s="61" t="s">
        <v>66</v>
      </c>
      <c r="K35" s="61" t="s">
        <v>66</v>
      </c>
      <c r="L35" s="61" t="s">
        <v>66</v>
      </c>
      <c r="M35" s="61" t="s">
        <v>66</v>
      </c>
      <c r="N35" s="61" t="s">
        <v>66</v>
      </c>
      <c r="O35" s="61" t="s">
        <v>66</v>
      </c>
      <c r="P35" s="61" t="s">
        <v>66</v>
      </c>
      <c r="Q35" s="61" t="s">
        <v>66</v>
      </c>
      <c r="R35" s="61" t="s">
        <v>66</v>
      </c>
      <c r="S35" s="61" t="s">
        <v>66</v>
      </c>
      <c r="T35" s="61" t="s">
        <v>66</v>
      </c>
      <c r="U35" s="61" t="s">
        <v>66</v>
      </c>
      <c r="V35" s="61" t="s">
        <v>66</v>
      </c>
      <c r="W35" s="61" t="s">
        <v>66</v>
      </c>
      <c r="X35" s="61" t="s">
        <v>66</v>
      </c>
      <c r="Y35" s="61" t="s">
        <v>66</v>
      </c>
      <c r="Z35" s="61" t="s">
        <v>66</v>
      </c>
      <c r="AA35" s="61" t="s">
        <v>66</v>
      </c>
      <c r="AB35" s="61" t="s">
        <v>66</v>
      </c>
      <c r="AC35" s="61" t="s">
        <v>66</v>
      </c>
      <c r="AD35" s="61" t="s">
        <v>66</v>
      </c>
      <c r="AE35" s="61" t="s">
        <v>197</v>
      </c>
      <c r="AF35" s="61" t="s">
        <v>197</v>
      </c>
      <c r="AG35" s="61" t="s">
        <v>197</v>
      </c>
      <c r="AH35" s="61" t="s">
        <v>197</v>
      </c>
      <c r="AI35" s="61" t="s">
        <v>197</v>
      </c>
      <c r="AJ35" s="26"/>
      <c r="AL35" t="str">
        <f t="shared" ca="1" si="0"/>
        <v xml:space="preserve">    (U1)ALERT_REQ_D_ATFWRN_RWRN_</v>
      </c>
      <c r="AR35" s="63" t="str">
        <f t="shared" si="3"/>
        <v/>
      </c>
      <c r="AS35" s="63" t="str">
        <f t="shared" si="4"/>
        <v/>
      </c>
      <c r="AT35" s="63" t="str">
        <f t="shared" si="1"/>
        <v/>
      </c>
    </row>
    <row r="36" spans="2:46">
      <c r="B36" s="138"/>
      <c r="C36" s="47">
        <f t="shared" si="2"/>
        <v>30</v>
      </c>
      <c r="D36" s="61" t="s">
        <v>66</v>
      </c>
      <c r="E36" s="61" t="s">
        <v>66</v>
      </c>
      <c r="F36" s="61" t="s">
        <v>66</v>
      </c>
      <c r="G36" s="61" t="s">
        <v>66</v>
      </c>
      <c r="H36" s="61" t="s">
        <v>66</v>
      </c>
      <c r="I36" s="61" t="s">
        <v>66</v>
      </c>
      <c r="J36" s="61" t="s">
        <v>66</v>
      </c>
      <c r="K36" s="61" t="s">
        <v>66</v>
      </c>
      <c r="L36" s="61" t="s">
        <v>66</v>
      </c>
      <c r="M36" s="61" t="s">
        <v>66</v>
      </c>
      <c r="N36" s="61" t="s">
        <v>66</v>
      </c>
      <c r="O36" s="61" t="s">
        <v>66</v>
      </c>
      <c r="P36" s="61" t="s">
        <v>66</v>
      </c>
      <c r="Q36" s="61" t="s">
        <v>66</v>
      </c>
      <c r="R36" s="61" t="s">
        <v>66</v>
      </c>
      <c r="S36" s="61" t="s">
        <v>66</v>
      </c>
      <c r="T36" s="61" t="s">
        <v>66</v>
      </c>
      <c r="U36" s="61" t="s">
        <v>66</v>
      </c>
      <c r="V36" s="61" t="s">
        <v>66</v>
      </c>
      <c r="W36" s="61" t="s">
        <v>66</v>
      </c>
      <c r="X36" s="61" t="s">
        <v>66</v>
      </c>
      <c r="Y36" s="61" t="s">
        <v>66</v>
      </c>
      <c r="Z36" s="61" t="s">
        <v>66</v>
      </c>
      <c r="AA36" s="61" t="s">
        <v>66</v>
      </c>
      <c r="AB36" s="61" t="s">
        <v>66</v>
      </c>
      <c r="AC36" s="61" t="s">
        <v>66</v>
      </c>
      <c r="AD36" s="61" t="s">
        <v>66</v>
      </c>
      <c r="AE36" s="61" t="s">
        <v>197</v>
      </c>
      <c r="AF36" s="61" t="s">
        <v>197</v>
      </c>
      <c r="AG36" s="61" t="s">
        <v>197</v>
      </c>
      <c r="AH36" s="61" t="s">
        <v>197</v>
      </c>
      <c r="AI36" s="61" t="s">
        <v>197</v>
      </c>
      <c r="AJ36" s="26"/>
      <c r="AL36" t="str">
        <f t="shared" ca="1" si="0"/>
        <v xml:space="preserve">    (U1)ALERT_REQ_D_ATFWRN_RWRN_</v>
      </c>
      <c r="AR36" s="63" t="str">
        <f t="shared" si="3"/>
        <v/>
      </c>
      <c r="AS36" s="63" t="str">
        <f t="shared" si="4"/>
        <v/>
      </c>
      <c r="AT36" s="63" t="str">
        <f t="shared" si="1"/>
        <v/>
      </c>
    </row>
    <row r="37" spans="2:46">
      <c r="B37" s="138"/>
      <c r="C37" s="47">
        <f t="shared" si="2"/>
        <v>31</v>
      </c>
      <c r="D37" s="61" t="s">
        <v>66</v>
      </c>
      <c r="E37" s="61" t="s">
        <v>66</v>
      </c>
      <c r="F37" s="61" t="s">
        <v>66</v>
      </c>
      <c r="G37" s="61" t="s">
        <v>66</v>
      </c>
      <c r="H37" s="61" t="s">
        <v>66</v>
      </c>
      <c r="I37" s="61" t="s">
        <v>66</v>
      </c>
      <c r="J37" s="61" t="s">
        <v>66</v>
      </c>
      <c r="K37" s="61" t="s">
        <v>66</v>
      </c>
      <c r="L37" s="61" t="s">
        <v>66</v>
      </c>
      <c r="M37" s="61" t="s">
        <v>66</v>
      </c>
      <c r="N37" s="61" t="s">
        <v>66</v>
      </c>
      <c r="O37" s="61" t="s">
        <v>66</v>
      </c>
      <c r="P37" s="61" t="s">
        <v>66</v>
      </c>
      <c r="Q37" s="61" t="s">
        <v>66</v>
      </c>
      <c r="R37" s="61" t="s">
        <v>66</v>
      </c>
      <c r="S37" s="61" t="s">
        <v>66</v>
      </c>
      <c r="T37" s="61" t="s">
        <v>66</v>
      </c>
      <c r="U37" s="61" t="s">
        <v>66</v>
      </c>
      <c r="V37" s="61" t="s">
        <v>66</v>
      </c>
      <c r="W37" s="61" t="s">
        <v>66</v>
      </c>
      <c r="X37" s="61" t="s">
        <v>66</v>
      </c>
      <c r="Y37" s="61" t="s">
        <v>66</v>
      </c>
      <c r="Z37" s="61" t="s">
        <v>66</v>
      </c>
      <c r="AA37" s="61" t="s">
        <v>66</v>
      </c>
      <c r="AB37" s="61" t="s">
        <v>66</v>
      </c>
      <c r="AC37" s="61" t="s">
        <v>66</v>
      </c>
      <c r="AD37" s="61" t="s">
        <v>66</v>
      </c>
      <c r="AE37" s="61" t="s">
        <v>197</v>
      </c>
      <c r="AF37" s="61" t="s">
        <v>197</v>
      </c>
      <c r="AG37" s="61" t="s">
        <v>197</v>
      </c>
      <c r="AH37" s="61" t="s">
        <v>197</v>
      </c>
      <c r="AI37" s="61" t="s">
        <v>197</v>
      </c>
      <c r="AJ37" s="26"/>
      <c r="AL37" t="str">
        <f t="shared" ca="1" si="0"/>
        <v xml:space="preserve">    (U1)ALERT_REQ_D_ATFWRN_RWRN_</v>
      </c>
      <c r="AR37" s="63" t="str">
        <f t="shared" si="3"/>
        <v/>
      </c>
      <c r="AS37" s="63" t="str">
        <f t="shared" si="4"/>
        <v/>
      </c>
      <c r="AT37" s="63" t="str">
        <f t="shared" si="1"/>
        <v/>
      </c>
    </row>
    <row r="38" spans="2:46">
      <c r="B38" s="138"/>
      <c r="C38" s="47">
        <f t="shared" si="2"/>
        <v>32</v>
      </c>
      <c r="D38" s="61" t="s">
        <v>66</v>
      </c>
      <c r="E38" s="61" t="s">
        <v>66</v>
      </c>
      <c r="F38" s="61" t="s">
        <v>66</v>
      </c>
      <c r="G38" s="61" t="s">
        <v>66</v>
      </c>
      <c r="H38" s="61" t="s">
        <v>66</v>
      </c>
      <c r="I38" s="61" t="s">
        <v>66</v>
      </c>
      <c r="J38" s="61" t="s">
        <v>66</v>
      </c>
      <c r="K38" s="61" t="s">
        <v>66</v>
      </c>
      <c r="L38" s="61" t="s">
        <v>66</v>
      </c>
      <c r="M38" s="61" t="s">
        <v>66</v>
      </c>
      <c r="N38" s="61" t="s">
        <v>66</v>
      </c>
      <c r="O38" s="61" t="s">
        <v>66</v>
      </c>
      <c r="P38" s="61" t="s">
        <v>66</v>
      </c>
      <c r="Q38" s="61" t="s">
        <v>66</v>
      </c>
      <c r="R38" s="61" t="s">
        <v>66</v>
      </c>
      <c r="S38" s="61" t="s">
        <v>66</v>
      </c>
      <c r="T38" s="61" t="s">
        <v>66</v>
      </c>
      <c r="U38" s="61" t="s">
        <v>66</v>
      </c>
      <c r="V38" s="61" t="s">
        <v>66</v>
      </c>
      <c r="W38" s="61" t="s">
        <v>66</v>
      </c>
      <c r="X38" s="61" t="s">
        <v>66</v>
      </c>
      <c r="Y38" s="61" t="s">
        <v>66</v>
      </c>
      <c r="Z38" s="61" t="s">
        <v>66</v>
      </c>
      <c r="AA38" s="61" t="s">
        <v>66</v>
      </c>
      <c r="AB38" s="61" t="s">
        <v>66</v>
      </c>
      <c r="AC38" s="61" t="s">
        <v>66</v>
      </c>
      <c r="AD38" s="61" t="s">
        <v>66</v>
      </c>
      <c r="AE38" s="61" t="s">
        <v>66</v>
      </c>
      <c r="AF38" s="61" t="s">
        <v>66</v>
      </c>
      <c r="AG38" s="61" t="s">
        <v>66</v>
      </c>
      <c r="AH38" s="61" t="s">
        <v>66</v>
      </c>
      <c r="AI38" s="61" t="s">
        <v>66</v>
      </c>
      <c r="AJ38" s="26"/>
      <c r="AL38" t="str">
        <f t="shared" ca="1" si="0"/>
        <v xml:space="preserve">    (U1)ALERT_REQ_D_ATFWRN_RWRN_</v>
      </c>
      <c r="AR38" s="63" t="str">
        <f t="shared" si="3"/>
        <v/>
      </c>
      <c r="AS38" s="63" t="str">
        <f t="shared" si="4"/>
        <v/>
      </c>
      <c r="AT38" s="63" t="str">
        <f t="shared" si="1"/>
        <v/>
      </c>
    </row>
    <row r="39" spans="2:46">
      <c r="B39" s="138"/>
      <c r="C39" s="47">
        <f t="shared" si="2"/>
        <v>33</v>
      </c>
      <c r="D39" s="61" t="s">
        <v>66</v>
      </c>
      <c r="E39" s="61" t="s">
        <v>66</v>
      </c>
      <c r="F39" s="61" t="s">
        <v>66</v>
      </c>
      <c r="G39" s="61" t="s">
        <v>66</v>
      </c>
      <c r="H39" s="61" t="s">
        <v>66</v>
      </c>
      <c r="I39" s="61" t="s">
        <v>66</v>
      </c>
      <c r="J39" s="61" t="s">
        <v>66</v>
      </c>
      <c r="K39" s="61" t="s">
        <v>66</v>
      </c>
      <c r="L39" s="61" t="s">
        <v>66</v>
      </c>
      <c r="M39" s="61" t="s">
        <v>66</v>
      </c>
      <c r="N39" s="61" t="s">
        <v>66</v>
      </c>
      <c r="O39" s="61" t="s">
        <v>66</v>
      </c>
      <c r="P39" s="61" t="s">
        <v>66</v>
      </c>
      <c r="Q39" s="61" t="s">
        <v>66</v>
      </c>
      <c r="R39" s="61" t="s">
        <v>66</v>
      </c>
      <c r="S39" s="61" t="s">
        <v>66</v>
      </c>
      <c r="T39" s="61" t="s">
        <v>66</v>
      </c>
      <c r="U39" s="61" t="s">
        <v>66</v>
      </c>
      <c r="V39" s="61" t="s">
        <v>66</v>
      </c>
      <c r="W39" s="61" t="s">
        <v>66</v>
      </c>
      <c r="X39" s="61" t="s">
        <v>66</v>
      </c>
      <c r="Y39" s="61" t="s">
        <v>66</v>
      </c>
      <c r="Z39" s="61" t="s">
        <v>66</v>
      </c>
      <c r="AA39" s="61" t="s">
        <v>66</v>
      </c>
      <c r="AB39" s="61" t="s">
        <v>66</v>
      </c>
      <c r="AC39" s="61" t="s">
        <v>66</v>
      </c>
      <c r="AD39" s="61" t="s">
        <v>66</v>
      </c>
      <c r="AE39" s="61" t="s">
        <v>66</v>
      </c>
      <c r="AF39" s="61" t="s">
        <v>66</v>
      </c>
      <c r="AG39" s="61" t="s">
        <v>66</v>
      </c>
      <c r="AH39" s="61" t="s">
        <v>66</v>
      </c>
      <c r="AI39" s="61" t="s">
        <v>66</v>
      </c>
      <c r="AJ39" s="26"/>
      <c r="AL39" t="str">
        <f t="shared" ca="1" si="0"/>
        <v xml:space="preserve">    (U1)ALERT_REQ_D_ATFWRN_RWRN_</v>
      </c>
      <c r="AR39" s="63" t="str">
        <f t="shared" si="3"/>
        <v/>
      </c>
      <c r="AS39" s="63" t="str">
        <f t="shared" si="4"/>
        <v/>
      </c>
      <c r="AT39" s="63" t="str">
        <f t="shared" si="1"/>
        <v/>
      </c>
    </row>
    <row r="40" spans="2:46">
      <c r="B40" s="138"/>
      <c r="C40" s="47">
        <f t="shared" si="2"/>
        <v>34</v>
      </c>
      <c r="D40" s="61" t="s">
        <v>66</v>
      </c>
      <c r="E40" s="61" t="s">
        <v>66</v>
      </c>
      <c r="F40" s="61" t="s">
        <v>66</v>
      </c>
      <c r="G40" s="61" t="s">
        <v>66</v>
      </c>
      <c r="H40" s="61" t="s">
        <v>66</v>
      </c>
      <c r="I40" s="61" t="s">
        <v>66</v>
      </c>
      <c r="J40" s="61" t="s">
        <v>66</v>
      </c>
      <c r="K40" s="61" t="s">
        <v>66</v>
      </c>
      <c r="L40" s="61" t="s">
        <v>66</v>
      </c>
      <c r="M40" s="61" t="s">
        <v>66</v>
      </c>
      <c r="N40" s="61" t="s">
        <v>66</v>
      </c>
      <c r="O40" s="61" t="s">
        <v>66</v>
      </c>
      <c r="P40" s="61" t="s">
        <v>66</v>
      </c>
      <c r="Q40" s="61" t="s">
        <v>66</v>
      </c>
      <c r="R40" s="61" t="s">
        <v>66</v>
      </c>
      <c r="S40" s="61" t="s">
        <v>66</v>
      </c>
      <c r="T40" s="61" t="s">
        <v>66</v>
      </c>
      <c r="U40" s="61" t="s">
        <v>66</v>
      </c>
      <c r="V40" s="61" t="s">
        <v>66</v>
      </c>
      <c r="W40" s="61" t="s">
        <v>66</v>
      </c>
      <c r="X40" s="61" t="s">
        <v>66</v>
      </c>
      <c r="Y40" s="61" t="s">
        <v>66</v>
      </c>
      <c r="Z40" s="61" t="s">
        <v>66</v>
      </c>
      <c r="AA40" s="61" t="s">
        <v>66</v>
      </c>
      <c r="AB40" s="61" t="s">
        <v>66</v>
      </c>
      <c r="AC40" s="61" t="s">
        <v>66</v>
      </c>
      <c r="AD40" s="61" t="s">
        <v>66</v>
      </c>
      <c r="AE40" s="61" t="s">
        <v>66</v>
      </c>
      <c r="AF40" s="61" t="s">
        <v>66</v>
      </c>
      <c r="AG40" s="61" t="s">
        <v>66</v>
      </c>
      <c r="AH40" s="61" t="s">
        <v>66</v>
      </c>
      <c r="AI40" s="61" t="s">
        <v>66</v>
      </c>
      <c r="AJ40" s="26"/>
      <c r="AL40" t="str">
        <f t="shared" ca="1" si="0"/>
        <v xml:space="preserve">    (U1)ALERT_REQ_D_ATFWRN_RWRN_</v>
      </c>
      <c r="AR40" s="63" t="str">
        <f t="shared" si="3"/>
        <v/>
      </c>
      <c r="AS40" s="63" t="str">
        <f t="shared" si="4"/>
        <v/>
      </c>
      <c r="AT40" s="63" t="str">
        <f t="shared" si="1"/>
        <v/>
      </c>
    </row>
    <row r="41" spans="2:46">
      <c r="B41" s="138"/>
      <c r="C41" s="47">
        <f t="shared" si="2"/>
        <v>35</v>
      </c>
      <c r="D41" s="61" t="s">
        <v>66</v>
      </c>
      <c r="E41" s="61" t="s">
        <v>66</v>
      </c>
      <c r="F41" s="61" t="s">
        <v>66</v>
      </c>
      <c r="G41" s="61" t="s">
        <v>66</v>
      </c>
      <c r="H41" s="61" t="s">
        <v>66</v>
      </c>
      <c r="I41" s="61" t="s">
        <v>66</v>
      </c>
      <c r="J41" s="61" t="s">
        <v>66</v>
      </c>
      <c r="K41" s="61" t="s">
        <v>66</v>
      </c>
      <c r="L41" s="61" t="s">
        <v>66</v>
      </c>
      <c r="M41" s="61" t="s">
        <v>66</v>
      </c>
      <c r="N41" s="61" t="s">
        <v>66</v>
      </c>
      <c r="O41" s="61" t="s">
        <v>66</v>
      </c>
      <c r="P41" s="61" t="s">
        <v>66</v>
      </c>
      <c r="Q41" s="61" t="s">
        <v>66</v>
      </c>
      <c r="R41" s="61" t="s">
        <v>66</v>
      </c>
      <c r="S41" s="61" t="s">
        <v>66</v>
      </c>
      <c r="T41" s="61" t="s">
        <v>66</v>
      </c>
      <c r="U41" s="61" t="s">
        <v>66</v>
      </c>
      <c r="V41" s="61" t="s">
        <v>66</v>
      </c>
      <c r="W41" s="61" t="s">
        <v>66</v>
      </c>
      <c r="X41" s="61" t="s">
        <v>66</v>
      </c>
      <c r="Y41" s="61" t="s">
        <v>66</v>
      </c>
      <c r="Z41" s="61" t="s">
        <v>66</v>
      </c>
      <c r="AA41" s="61" t="s">
        <v>66</v>
      </c>
      <c r="AB41" s="61" t="s">
        <v>66</v>
      </c>
      <c r="AC41" s="61" t="s">
        <v>66</v>
      </c>
      <c r="AD41" s="61" t="s">
        <v>66</v>
      </c>
      <c r="AE41" s="61" t="s">
        <v>66</v>
      </c>
      <c r="AF41" s="61" t="s">
        <v>66</v>
      </c>
      <c r="AG41" s="61" t="s">
        <v>66</v>
      </c>
      <c r="AH41" s="61" t="s">
        <v>66</v>
      </c>
      <c r="AI41" s="61" t="s">
        <v>66</v>
      </c>
      <c r="AJ41" s="26"/>
      <c r="AL41" t="str">
        <f t="shared" ca="1" si="0"/>
        <v xml:space="preserve">    (U1)ALERT_REQ_D_ATFWRN_RWRN_</v>
      </c>
      <c r="AR41" s="63" t="str">
        <f t="shared" si="3"/>
        <v/>
      </c>
      <c r="AS41" s="63" t="str">
        <f t="shared" si="4"/>
        <v/>
      </c>
      <c r="AT41" s="63" t="str">
        <f t="shared" si="1"/>
        <v/>
      </c>
    </row>
    <row r="42" spans="2:46">
      <c r="B42" s="138"/>
      <c r="C42" s="47">
        <f t="shared" si="2"/>
        <v>36</v>
      </c>
      <c r="D42" s="61" t="s">
        <v>66</v>
      </c>
      <c r="E42" s="61" t="s">
        <v>66</v>
      </c>
      <c r="F42" s="61" t="s">
        <v>66</v>
      </c>
      <c r="G42" s="61" t="s">
        <v>66</v>
      </c>
      <c r="H42" s="61" t="s">
        <v>66</v>
      </c>
      <c r="I42" s="61" t="s">
        <v>66</v>
      </c>
      <c r="J42" s="61" t="s">
        <v>66</v>
      </c>
      <c r="K42" s="61" t="s">
        <v>66</v>
      </c>
      <c r="L42" s="61" t="s">
        <v>66</v>
      </c>
      <c r="M42" s="61" t="s">
        <v>66</v>
      </c>
      <c r="N42" s="61" t="s">
        <v>66</v>
      </c>
      <c r="O42" s="61" t="s">
        <v>66</v>
      </c>
      <c r="P42" s="61" t="s">
        <v>66</v>
      </c>
      <c r="Q42" s="61" t="s">
        <v>66</v>
      </c>
      <c r="R42" s="61" t="s">
        <v>66</v>
      </c>
      <c r="S42" s="61" t="s">
        <v>66</v>
      </c>
      <c r="T42" s="61" t="s">
        <v>66</v>
      </c>
      <c r="U42" s="61" t="s">
        <v>66</v>
      </c>
      <c r="V42" s="61" t="s">
        <v>66</v>
      </c>
      <c r="W42" s="61" t="s">
        <v>66</v>
      </c>
      <c r="X42" s="61" t="s">
        <v>66</v>
      </c>
      <c r="Y42" s="61" t="s">
        <v>66</v>
      </c>
      <c r="Z42" s="61" t="s">
        <v>66</v>
      </c>
      <c r="AA42" s="61" t="s">
        <v>66</v>
      </c>
      <c r="AB42" s="61" t="s">
        <v>66</v>
      </c>
      <c r="AC42" s="61" t="s">
        <v>66</v>
      </c>
      <c r="AD42" s="61" t="s">
        <v>66</v>
      </c>
      <c r="AE42" s="61" t="s">
        <v>66</v>
      </c>
      <c r="AF42" s="61" t="s">
        <v>66</v>
      </c>
      <c r="AG42" s="61" t="s">
        <v>66</v>
      </c>
      <c r="AH42" s="61" t="s">
        <v>66</v>
      </c>
      <c r="AI42" s="61" t="s">
        <v>66</v>
      </c>
      <c r="AJ42" s="26"/>
      <c r="AL42" t="str">
        <f t="shared" ca="1" si="0"/>
        <v xml:space="preserve">    (U1)ALERT_REQ_D_ATFWRN_RWRN_</v>
      </c>
      <c r="AR42" s="63" t="str">
        <f t="shared" si="3"/>
        <v/>
      </c>
      <c r="AS42" s="63" t="str">
        <f t="shared" si="4"/>
        <v/>
      </c>
      <c r="AT42" s="63" t="str">
        <f t="shared" si="1"/>
        <v/>
      </c>
    </row>
    <row r="43" spans="2:46">
      <c r="B43" s="138"/>
      <c r="C43" s="47">
        <f t="shared" si="2"/>
        <v>37</v>
      </c>
      <c r="D43" s="61" t="s">
        <v>66</v>
      </c>
      <c r="E43" s="61" t="s">
        <v>66</v>
      </c>
      <c r="F43" s="61" t="s">
        <v>66</v>
      </c>
      <c r="G43" s="61" t="s">
        <v>66</v>
      </c>
      <c r="H43" s="61" t="s">
        <v>66</v>
      </c>
      <c r="I43" s="61" t="s">
        <v>66</v>
      </c>
      <c r="J43" s="61" t="s">
        <v>66</v>
      </c>
      <c r="K43" s="61" t="s">
        <v>66</v>
      </c>
      <c r="L43" s="61" t="s">
        <v>66</v>
      </c>
      <c r="M43" s="61" t="s">
        <v>66</v>
      </c>
      <c r="N43" s="61" t="s">
        <v>66</v>
      </c>
      <c r="O43" s="61" t="s">
        <v>66</v>
      </c>
      <c r="P43" s="61" t="s">
        <v>66</v>
      </c>
      <c r="Q43" s="61" t="s">
        <v>66</v>
      </c>
      <c r="R43" s="61" t="s">
        <v>66</v>
      </c>
      <c r="S43" s="61" t="s">
        <v>66</v>
      </c>
      <c r="T43" s="61" t="s">
        <v>66</v>
      </c>
      <c r="U43" s="61" t="s">
        <v>66</v>
      </c>
      <c r="V43" s="61" t="s">
        <v>66</v>
      </c>
      <c r="W43" s="61" t="s">
        <v>66</v>
      </c>
      <c r="X43" s="61" t="s">
        <v>66</v>
      </c>
      <c r="Y43" s="61" t="s">
        <v>66</v>
      </c>
      <c r="Z43" s="61" t="s">
        <v>66</v>
      </c>
      <c r="AA43" s="61" t="s">
        <v>66</v>
      </c>
      <c r="AB43" s="61" t="s">
        <v>66</v>
      </c>
      <c r="AC43" s="61" t="s">
        <v>66</v>
      </c>
      <c r="AD43" s="61" t="s">
        <v>66</v>
      </c>
      <c r="AE43" s="61" t="s">
        <v>66</v>
      </c>
      <c r="AF43" s="61" t="s">
        <v>66</v>
      </c>
      <c r="AG43" s="61" t="s">
        <v>66</v>
      </c>
      <c r="AH43" s="61" t="s">
        <v>66</v>
      </c>
      <c r="AI43" s="61" t="s">
        <v>66</v>
      </c>
      <c r="AJ43" s="26"/>
      <c r="AL43" t="str">
        <f t="shared" ca="1" si="0"/>
        <v xml:space="preserve">    (U1)ALERT_REQ_D_ATFWRN_RWRN_</v>
      </c>
      <c r="AR43" s="63" t="str">
        <f t="shared" si="3"/>
        <v/>
      </c>
      <c r="AS43" s="63" t="str">
        <f t="shared" si="4"/>
        <v/>
      </c>
      <c r="AT43" s="63" t="str">
        <f t="shared" si="1"/>
        <v/>
      </c>
    </row>
    <row r="44" spans="2:46">
      <c r="B44" s="138"/>
      <c r="C44" s="47">
        <f t="shared" si="2"/>
        <v>38</v>
      </c>
      <c r="D44" s="61" t="s">
        <v>66</v>
      </c>
      <c r="E44" s="61" t="s">
        <v>66</v>
      </c>
      <c r="F44" s="61" t="s">
        <v>66</v>
      </c>
      <c r="G44" s="61" t="s">
        <v>66</v>
      </c>
      <c r="H44" s="61" t="s">
        <v>66</v>
      </c>
      <c r="I44" s="61" t="s">
        <v>66</v>
      </c>
      <c r="J44" s="61" t="s">
        <v>66</v>
      </c>
      <c r="K44" s="61" t="s">
        <v>66</v>
      </c>
      <c r="L44" s="61" t="s">
        <v>66</v>
      </c>
      <c r="M44" s="61" t="s">
        <v>66</v>
      </c>
      <c r="N44" s="61" t="s">
        <v>66</v>
      </c>
      <c r="O44" s="61" t="s">
        <v>66</v>
      </c>
      <c r="P44" s="61" t="s">
        <v>66</v>
      </c>
      <c r="Q44" s="61" t="s">
        <v>66</v>
      </c>
      <c r="R44" s="61" t="s">
        <v>66</v>
      </c>
      <c r="S44" s="61" t="s">
        <v>66</v>
      </c>
      <c r="T44" s="61" t="s">
        <v>66</v>
      </c>
      <c r="U44" s="61" t="s">
        <v>66</v>
      </c>
      <c r="V44" s="61" t="s">
        <v>66</v>
      </c>
      <c r="W44" s="61" t="s">
        <v>66</v>
      </c>
      <c r="X44" s="61" t="s">
        <v>66</v>
      </c>
      <c r="Y44" s="61" t="s">
        <v>66</v>
      </c>
      <c r="Z44" s="61" t="s">
        <v>66</v>
      </c>
      <c r="AA44" s="61" t="s">
        <v>66</v>
      </c>
      <c r="AB44" s="61" t="s">
        <v>66</v>
      </c>
      <c r="AC44" s="61" t="s">
        <v>66</v>
      </c>
      <c r="AD44" s="61" t="s">
        <v>66</v>
      </c>
      <c r="AE44" s="61" t="s">
        <v>66</v>
      </c>
      <c r="AF44" s="61" t="s">
        <v>66</v>
      </c>
      <c r="AG44" s="61" t="s">
        <v>66</v>
      </c>
      <c r="AH44" s="61" t="s">
        <v>66</v>
      </c>
      <c r="AI44" s="61" t="s">
        <v>66</v>
      </c>
      <c r="AJ44" s="26"/>
      <c r="AL44" t="str">
        <f t="shared" ca="1" si="0"/>
        <v xml:space="preserve">    (U1)ALERT_REQ_D_ATFWRN_RWRN_</v>
      </c>
      <c r="AR44" s="63" t="str">
        <f t="shared" si="3"/>
        <v/>
      </c>
      <c r="AS44" s="63" t="str">
        <f t="shared" si="4"/>
        <v/>
      </c>
      <c r="AT44" s="63" t="str">
        <f t="shared" si="1"/>
        <v/>
      </c>
    </row>
    <row r="45" spans="2:46">
      <c r="B45" s="138"/>
      <c r="C45" s="47">
        <f t="shared" si="2"/>
        <v>39</v>
      </c>
      <c r="D45" s="61" t="s">
        <v>66</v>
      </c>
      <c r="E45" s="61" t="s">
        <v>66</v>
      </c>
      <c r="F45" s="61" t="s">
        <v>66</v>
      </c>
      <c r="G45" s="61" t="s">
        <v>66</v>
      </c>
      <c r="H45" s="61" t="s">
        <v>66</v>
      </c>
      <c r="I45" s="61" t="s">
        <v>66</v>
      </c>
      <c r="J45" s="61" t="s">
        <v>66</v>
      </c>
      <c r="K45" s="61" t="s">
        <v>66</v>
      </c>
      <c r="L45" s="61" t="s">
        <v>66</v>
      </c>
      <c r="M45" s="61" t="s">
        <v>66</v>
      </c>
      <c r="N45" s="61" t="s">
        <v>66</v>
      </c>
      <c r="O45" s="61" t="s">
        <v>66</v>
      </c>
      <c r="P45" s="61" t="s">
        <v>66</v>
      </c>
      <c r="Q45" s="61" t="s">
        <v>66</v>
      </c>
      <c r="R45" s="61" t="s">
        <v>66</v>
      </c>
      <c r="S45" s="61" t="s">
        <v>66</v>
      </c>
      <c r="T45" s="61" t="s">
        <v>66</v>
      </c>
      <c r="U45" s="61" t="s">
        <v>66</v>
      </c>
      <c r="V45" s="61" t="s">
        <v>66</v>
      </c>
      <c r="W45" s="61" t="s">
        <v>66</v>
      </c>
      <c r="X45" s="61" t="s">
        <v>66</v>
      </c>
      <c r="Y45" s="61" t="s">
        <v>66</v>
      </c>
      <c r="Z45" s="61" t="s">
        <v>66</v>
      </c>
      <c r="AA45" s="61" t="s">
        <v>66</v>
      </c>
      <c r="AB45" s="61" t="s">
        <v>66</v>
      </c>
      <c r="AC45" s="61" t="s">
        <v>66</v>
      </c>
      <c r="AD45" s="61" t="s">
        <v>66</v>
      </c>
      <c r="AE45" s="61" t="s">
        <v>66</v>
      </c>
      <c r="AF45" s="61" t="s">
        <v>66</v>
      </c>
      <c r="AG45" s="61" t="s">
        <v>66</v>
      </c>
      <c r="AH45" s="61" t="s">
        <v>66</v>
      </c>
      <c r="AI45" s="61" t="s">
        <v>66</v>
      </c>
      <c r="AJ45" s="26"/>
      <c r="AL45" t="str">
        <f t="shared" ca="1" si="0"/>
        <v xml:space="preserve">    (U1)ALERT_REQ_D_ATFWRN_RWRN_</v>
      </c>
      <c r="AR45" s="63" t="str">
        <f t="shared" si="3"/>
        <v/>
      </c>
      <c r="AS45" s="63" t="str">
        <f t="shared" si="4"/>
        <v/>
      </c>
      <c r="AT45" s="63" t="str">
        <f t="shared" si="1"/>
        <v/>
      </c>
    </row>
    <row r="46" spans="2:46">
      <c r="B46" s="138"/>
      <c r="C46" s="47">
        <f t="shared" si="2"/>
        <v>40</v>
      </c>
      <c r="D46" s="61" t="s">
        <v>66</v>
      </c>
      <c r="E46" s="61" t="s">
        <v>66</v>
      </c>
      <c r="F46" s="61" t="s">
        <v>66</v>
      </c>
      <c r="G46" s="61" t="s">
        <v>66</v>
      </c>
      <c r="H46" s="61" t="s">
        <v>66</v>
      </c>
      <c r="I46" s="61" t="s">
        <v>66</v>
      </c>
      <c r="J46" s="61" t="s">
        <v>66</v>
      </c>
      <c r="K46" s="61" t="s">
        <v>66</v>
      </c>
      <c r="L46" s="61" t="s">
        <v>66</v>
      </c>
      <c r="M46" s="61" t="s">
        <v>66</v>
      </c>
      <c r="N46" s="61" t="s">
        <v>66</v>
      </c>
      <c r="O46" s="61" t="s">
        <v>66</v>
      </c>
      <c r="P46" s="61" t="s">
        <v>66</v>
      </c>
      <c r="Q46" s="61" t="s">
        <v>66</v>
      </c>
      <c r="R46" s="61" t="s">
        <v>66</v>
      </c>
      <c r="S46" s="61" t="s">
        <v>66</v>
      </c>
      <c r="T46" s="61" t="s">
        <v>66</v>
      </c>
      <c r="U46" s="61" t="s">
        <v>66</v>
      </c>
      <c r="V46" s="61" t="s">
        <v>66</v>
      </c>
      <c r="W46" s="61" t="s">
        <v>66</v>
      </c>
      <c r="X46" s="61" t="s">
        <v>66</v>
      </c>
      <c r="Y46" s="61" t="s">
        <v>66</v>
      </c>
      <c r="Z46" s="61" t="s">
        <v>66</v>
      </c>
      <c r="AA46" s="61" t="s">
        <v>66</v>
      </c>
      <c r="AB46" s="61" t="s">
        <v>66</v>
      </c>
      <c r="AC46" s="61" t="s">
        <v>66</v>
      </c>
      <c r="AD46" s="61" t="s">
        <v>66</v>
      </c>
      <c r="AE46" s="61" t="s">
        <v>66</v>
      </c>
      <c r="AF46" s="61" t="s">
        <v>66</v>
      </c>
      <c r="AG46" s="61" t="s">
        <v>66</v>
      </c>
      <c r="AH46" s="61" t="s">
        <v>66</v>
      </c>
      <c r="AI46" s="61" t="s">
        <v>66</v>
      </c>
      <c r="AJ46" s="26"/>
      <c r="AL46" t="str">
        <f t="shared" ca="1" si="0"/>
        <v xml:space="preserve">    (U1)ALERT_REQ_D_ATFWRN_RWRN_</v>
      </c>
      <c r="AR46" s="63" t="str">
        <f t="shared" si="3"/>
        <v/>
      </c>
      <c r="AS46" s="63" t="str">
        <f t="shared" si="4"/>
        <v/>
      </c>
      <c r="AT46" s="63" t="str">
        <f t="shared" si="1"/>
        <v/>
      </c>
    </row>
    <row r="47" spans="2:46">
      <c r="B47" s="138"/>
      <c r="C47" s="47">
        <f t="shared" si="2"/>
        <v>41</v>
      </c>
      <c r="D47" s="61" t="s">
        <v>66</v>
      </c>
      <c r="E47" s="61" t="s">
        <v>66</v>
      </c>
      <c r="F47" s="61" t="s">
        <v>66</v>
      </c>
      <c r="G47" s="61" t="s">
        <v>66</v>
      </c>
      <c r="H47" s="61" t="s">
        <v>66</v>
      </c>
      <c r="I47" s="61" t="s">
        <v>66</v>
      </c>
      <c r="J47" s="61" t="s">
        <v>66</v>
      </c>
      <c r="K47" s="61" t="s">
        <v>66</v>
      </c>
      <c r="L47" s="61" t="s">
        <v>66</v>
      </c>
      <c r="M47" s="61" t="s">
        <v>66</v>
      </c>
      <c r="N47" s="61" t="s">
        <v>66</v>
      </c>
      <c r="O47" s="61" t="s">
        <v>66</v>
      </c>
      <c r="P47" s="61" t="s">
        <v>66</v>
      </c>
      <c r="Q47" s="61" t="s">
        <v>66</v>
      </c>
      <c r="R47" s="61" t="s">
        <v>66</v>
      </c>
      <c r="S47" s="61" t="s">
        <v>66</v>
      </c>
      <c r="T47" s="61" t="s">
        <v>66</v>
      </c>
      <c r="U47" s="61" t="s">
        <v>66</v>
      </c>
      <c r="V47" s="61" t="s">
        <v>66</v>
      </c>
      <c r="W47" s="61" t="s">
        <v>66</v>
      </c>
      <c r="X47" s="61" t="s">
        <v>66</v>
      </c>
      <c r="Y47" s="61" t="s">
        <v>66</v>
      </c>
      <c r="Z47" s="61" t="s">
        <v>66</v>
      </c>
      <c r="AA47" s="61" t="s">
        <v>66</v>
      </c>
      <c r="AB47" s="61" t="s">
        <v>66</v>
      </c>
      <c r="AC47" s="61" t="s">
        <v>66</v>
      </c>
      <c r="AD47" s="61" t="s">
        <v>66</v>
      </c>
      <c r="AE47" s="61" t="s">
        <v>66</v>
      </c>
      <c r="AF47" s="61" t="s">
        <v>66</v>
      </c>
      <c r="AG47" s="61" t="s">
        <v>66</v>
      </c>
      <c r="AH47" s="61" t="s">
        <v>66</v>
      </c>
      <c r="AI47" s="61" t="s">
        <v>66</v>
      </c>
      <c r="AJ47" s="26"/>
      <c r="AL47" t="str">
        <f t="shared" ca="1" si="0"/>
        <v xml:space="preserve">    (U1)ALERT_REQ_D_ATFWRN_RWRN_</v>
      </c>
      <c r="AR47" s="63" t="str">
        <f t="shared" si="3"/>
        <v/>
      </c>
      <c r="AS47" s="63" t="str">
        <f t="shared" si="4"/>
        <v/>
      </c>
      <c r="AT47" s="63" t="str">
        <f t="shared" si="1"/>
        <v/>
      </c>
    </row>
    <row r="48" spans="2:46">
      <c r="B48" s="138"/>
      <c r="C48" s="47">
        <f t="shared" si="2"/>
        <v>42</v>
      </c>
      <c r="D48" s="61" t="s">
        <v>66</v>
      </c>
      <c r="E48" s="61" t="s">
        <v>66</v>
      </c>
      <c r="F48" s="61" t="s">
        <v>66</v>
      </c>
      <c r="G48" s="61" t="s">
        <v>66</v>
      </c>
      <c r="H48" s="61" t="s">
        <v>66</v>
      </c>
      <c r="I48" s="61" t="s">
        <v>66</v>
      </c>
      <c r="J48" s="61" t="s">
        <v>66</v>
      </c>
      <c r="K48" s="61" t="s">
        <v>66</v>
      </c>
      <c r="L48" s="61" t="s">
        <v>66</v>
      </c>
      <c r="M48" s="61" t="s">
        <v>66</v>
      </c>
      <c r="N48" s="61" t="s">
        <v>66</v>
      </c>
      <c r="O48" s="61" t="s">
        <v>66</v>
      </c>
      <c r="P48" s="61" t="s">
        <v>66</v>
      </c>
      <c r="Q48" s="61" t="s">
        <v>66</v>
      </c>
      <c r="R48" s="61" t="s">
        <v>66</v>
      </c>
      <c r="S48" s="61" t="s">
        <v>66</v>
      </c>
      <c r="T48" s="61" t="s">
        <v>66</v>
      </c>
      <c r="U48" s="61" t="s">
        <v>66</v>
      </c>
      <c r="V48" s="61" t="s">
        <v>66</v>
      </c>
      <c r="W48" s="61" t="s">
        <v>66</v>
      </c>
      <c r="X48" s="61" t="s">
        <v>66</v>
      </c>
      <c r="Y48" s="61" t="s">
        <v>66</v>
      </c>
      <c r="Z48" s="61" t="s">
        <v>66</v>
      </c>
      <c r="AA48" s="61" t="s">
        <v>66</v>
      </c>
      <c r="AB48" s="61" t="s">
        <v>66</v>
      </c>
      <c r="AC48" s="61" t="s">
        <v>66</v>
      </c>
      <c r="AD48" s="61" t="s">
        <v>66</v>
      </c>
      <c r="AE48" s="61" t="s">
        <v>66</v>
      </c>
      <c r="AF48" s="61" t="s">
        <v>66</v>
      </c>
      <c r="AG48" s="61" t="s">
        <v>66</v>
      </c>
      <c r="AH48" s="61" t="s">
        <v>66</v>
      </c>
      <c r="AI48" s="61" t="s">
        <v>66</v>
      </c>
      <c r="AJ48" s="26"/>
      <c r="AL48" t="str">
        <f t="shared" ca="1" si="0"/>
        <v xml:space="preserve">    (U1)ALERT_REQ_D_ATFWRN_RWRN_</v>
      </c>
      <c r="AR48" s="63" t="str">
        <f t="shared" si="3"/>
        <v/>
      </c>
      <c r="AS48" s="63" t="str">
        <f t="shared" si="4"/>
        <v/>
      </c>
      <c r="AT48" s="63" t="str">
        <f t="shared" si="1"/>
        <v/>
      </c>
    </row>
    <row r="49" spans="2:46">
      <c r="B49" s="138"/>
      <c r="C49" s="47">
        <f t="shared" si="2"/>
        <v>43</v>
      </c>
      <c r="D49" s="61" t="s">
        <v>66</v>
      </c>
      <c r="E49" s="61" t="s">
        <v>66</v>
      </c>
      <c r="F49" s="61" t="s">
        <v>66</v>
      </c>
      <c r="G49" s="61" t="s">
        <v>66</v>
      </c>
      <c r="H49" s="61" t="s">
        <v>66</v>
      </c>
      <c r="I49" s="61" t="s">
        <v>66</v>
      </c>
      <c r="J49" s="61" t="s">
        <v>66</v>
      </c>
      <c r="K49" s="61" t="s">
        <v>66</v>
      </c>
      <c r="L49" s="61" t="s">
        <v>66</v>
      </c>
      <c r="M49" s="61" t="s">
        <v>66</v>
      </c>
      <c r="N49" s="61" t="s">
        <v>66</v>
      </c>
      <c r="O49" s="61" t="s">
        <v>66</v>
      </c>
      <c r="P49" s="61" t="s">
        <v>66</v>
      </c>
      <c r="Q49" s="61" t="s">
        <v>66</v>
      </c>
      <c r="R49" s="61" t="s">
        <v>66</v>
      </c>
      <c r="S49" s="61" t="s">
        <v>66</v>
      </c>
      <c r="T49" s="61" t="s">
        <v>66</v>
      </c>
      <c r="U49" s="61" t="s">
        <v>66</v>
      </c>
      <c r="V49" s="61" t="s">
        <v>66</v>
      </c>
      <c r="W49" s="61" t="s">
        <v>66</v>
      </c>
      <c r="X49" s="61" t="s">
        <v>66</v>
      </c>
      <c r="Y49" s="61" t="s">
        <v>66</v>
      </c>
      <c r="Z49" s="61" t="s">
        <v>66</v>
      </c>
      <c r="AA49" s="61" t="s">
        <v>66</v>
      </c>
      <c r="AB49" s="61" t="s">
        <v>66</v>
      </c>
      <c r="AC49" s="61" t="s">
        <v>66</v>
      </c>
      <c r="AD49" s="61" t="s">
        <v>66</v>
      </c>
      <c r="AE49" s="61" t="s">
        <v>66</v>
      </c>
      <c r="AF49" s="61" t="s">
        <v>66</v>
      </c>
      <c r="AG49" s="61" t="s">
        <v>66</v>
      </c>
      <c r="AH49" s="61" t="s">
        <v>66</v>
      </c>
      <c r="AI49" s="61" t="s">
        <v>66</v>
      </c>
      <c r="AJ49" s="26"/>
      <c r="AL49" t="str">
        <f t="shared" ca="1" si="0"/>
        <v xml:space="preserve">    (U1)ALERT_REQ_D_ATFWRN_RWRN_</v>
      </c>
      <c r="AR49" s="63" t="str">
        <f t="shared" si="3"/>
        <v/>
      </c>
      <c r="AS49" s="63" t="str">
        <f t="shared" si="4"/>
        <v/>
      </c>
      <c r="AT49" s="63" t="str">
        <f t="shared" si="1"/>
        <v/>
      </c>
    </row>
    <row r="50" spans="2:46">
      <c r="B50" s="138"/>
      <c r="C50" s="47">
        <f t="shared" si="2"/>
        <v>44</v>
      </c>
      <c r="D50" s="61" t="s">
        <v>66</v>
      </c>
      <c r="E50" s="61" t="s">
        <v>66</v>
      </c>
      <c r="F50" s="61" t="s">
        <v>66</v>
      </c>
      <c r="G50" s="61" t="s">
        <v>66</v>
      </c>
      <c r="H50" s="61" t="s">
        <v>66</v>
      </c>
      <c r="I50" s="61" t="s">
        <v>66</v>
      </c>
      <c r="J50" s="61" t="s">
        <v>66</v>
      </c>
      <c r="K50" s="61" t="s">
        <v>66</v>
      </c>
      <c r="L50" s="61" t="s">
        <v>66</v>
      </c>
      <c r="M50" s="61" t="s">
        <v>66</v>
      </c>
      <c r="N50" s="61" t="s">
        <v>66</v>
      </c>
      <c r="O50" s="61" t="s">
        <v>66</v>
      </c>
      <c r="P50" s="61" t="s">
        <v>66</v>
      </c>
      <c r="Q50" s="61" t="s">
        <v>66</v>
      </c>
      <c r="R50" s="61" t="s">
        <v>66</v>
      </c>
      <c r="S50" s="61" t="s">
        <v>66</v>
      </c>
      <c r="T50" s="61" t="s">
        <v>66</v>
      </c>
      <c r="U50" s="61" t="s">
        <v>66</v>
      </c>
      <c r="V50" s="61" t="s">
        <v>66</v>
      </c>
      <c r="W50" s="61" t="s">
        <v>66</v>
      </c>
      <c r="X50" s="61" t="s">
        <v>66</v>
      </c>
      <c r="Y50" s="61" t="s">
        <v>66</v>
      </c>
      <c r="Z50" s="61" t="s">
        <v>66</v>
      </c>
      <c r="AA50" s="61" t="s">
        <v>66</v>
      </c>
      <c r="AB50" s="61" t="s">
        <v>66</v>
      </c>
      <c r="AC50" s="61" t="s">
        <v>66</v>
      </c>
      <c r="AD50" s="61" t="s">
        <v>66</v>
      </c>
      <c r="AE50" s="61" t="s">
        <v>66</v>
      </c>
      <c r="AF50" s="61" t="s">
        <v>66</v>
      </c>
      <c r="AG50" s="61" t="s">
        <v>66</v>
      </c>
      <c r="AH50" s="61" t="s">
        <v>66</v>
      </c>
      <c r="AI50" s="61" t="s">
        <v>66</v>
      </c>
      <c r="AJ50" s="26"/>
      <c r="AL50" t="str">
        <f t="shared" ca="1" si="0"/>
        <v xml:space="preserve">    (U1)ALERT_REQ_D_ATFWRN_RWRN_</v>
      </c>
      <c r="AR50" s="63" t="str">
        <f t="shared" si="3"/>
        <v/>
      </c>
      <c r="AS50" s="63" t="str">
        <f t="shared" si="4"/>
        <v/>
      </c>
      <c r="AT50" s="63" t="str">
        <f t="shared" si="1"/>
        <v/>
      </c>
    </row>
    <row r="51" spans="2:46">
      <c r="B51" s="138"/>
      <c r="C51" s="47">
        <f t="shared" si="2"/>
        <v>45</v>
      </c>
      <c r="D51" s="61" t="s">
        <v>66</v>
      </c>
      <c r="E51" s="61" t="s">
        <v>66</v>
      </c>
      <c r="F51" s="61" t="s">
        <v>66</v>
      </c>
      <c r="G51" s="61" t="s">
        <v>66</v>
      </c>
      <c r="H51" s="61" t="s">
        <v>66</v>
      </c>
      <c r="I51" s="61" t="s">
        <v>66</v>
      </c>
      <c r="J51" s="61" t="s">
        <v>66</v>
      </c>
      <c r="K51" s="61" t="s">
        <v>66</v>
      </c>
      <c r="L51" s="61" t="s">
        <v>66</v>
      </c>
      <c r="M51" s="61" t="s">
        <v>66</v>
      </c>
      <c r="N51" s="61" t="s">
        <v>66</v>
      </c>
      <c r="O51" s="61" t="s">
        <v>66</v>
      </c>
      <c r="P51" s="61" t="s">
        <v>66</v>
      </c>
      <c r="Q51" s="61" t="s">
        <v>66</v>
      </c>
      <c r="R51" s="61" t="s">
        <v>66</v>
      </c>
      <c r="S51" s="61" t="s">
        <v>66</v>
      </c>
      <c r="T51" s="61" t="s">
        <v>66</v>
      </c>
      <c r="U51" s="61" t="s">
        <v>66</v>
      </c>
      <c r="V51" s="61" t="s">
        <v>66</v>
      </c>
      <c r="W51" s="61" t="s">
        <v>66</v>
      </c>
      <c r="X51" s="61" t="s">
        <v>66</v>
      </c>
      <c r="Y51" s="61" t="s">
        <v>66</v>
      </c>
      <c r="Z51" s="61" t="s">
        <v>66</v>
      </c>
      <c r="AA51" s="61" t="s">
        <v>66</v>
      </c>
      <c r="AB51" s="61" t="s">
        <v>66</v>
      </c>
      <c r="AC51" s="61" t="s">
        <v>66</v>
      </c>
      <c r="AD51" s="61" t="s">
        <v>66</v>
      </c>
      <c r="AE51" s="61" t="s">
        <v>66</v>
      </c>
      <c r="AF51" s="61" t="s">
        <v>66</v>
      </c>
      <c r="AG51" s="61" t="s">
        <v>66</v>
      </c>
      <c r="AH51" s="61" t="s">
        <v>66</v>
      </c>
      <c r="AI51" s="61" t="s">
        <v>66</v>
      </c>
      <c r="AJ51" s="26"/>
      <c r="AL51" t="str">
        <f t="shared" ca="1" si="0"/>
        <v xml:space="preserve">    (U1)ALERT_REQ_D_ATFWRN_RWRN_</v>
      </c>
      <c r="AR51" s="63" t="str">
        <f t="shared" si="3"/>
        <v/>
      </c>
      <c r="AS51" s="63" t="str">
        <f t="shared" si="4"/>
        <v/>
      </c>
      <c r="AT51" s="63" t="str">
        <f t="shared" si="1"/>
        <v/>
      </c>
    </row>
    <row r="52" spans="2:46">
      <c r="B52" s="138"/>
      <c r="C52" s="47">
        <f t="shared" si="2"/>
        <v>46</v>
      </c>
      <c r="D52" s="61" t="s">
        <v>66</v>
      </c>
      <c r="E52" s="61" t="s">
        <v>66</v>
      </c>
      <c r="F52" s="61" t="s">
        <v>66</v>
      </c>
      <c r="G52" s="61" t="s">
        <v>66</v>
      </c>
      <c r="H52" s="61" t="s">
        <v>66</v>
      </c>
      <c r="I52" s="61" t="s">
        <v>66</v>
      </c>
      <c r="J52" s="61" t="s">
        <v>66</v>
      </c>
      <c r="K52" s="61" t="s">
        <v>66</v>
      </c>
      <c r="L52" s="61" t="s">
        <v>66</v>
      </c>
      <c r="M52" s="61" t="s">
        <v>66</v>
      </c>
      <c r="N52" s="61" t="s">
        <v>66</v>
      </c>
      <c r="O52" s="61" t="s">
        <v>66</v>
      </c>
      <c r="P52" s="61" t="s">
        <v>66</v>
      </c>
      <c r="Q52" s="61" t="s">
        <v>66</v>
      </c>
      <c r="R52" s="61" t="s">
        <v>66</v>
      </c>
      <c r="S52" s="61" t="s">
        <v>66</v>
      </c>
      <c r="T52" s="61" t="s">
        <v>66</v>
      </c>
      <c r="U52" s="61" t="s">
        <v>66</v>
      </c>
      <c r="V52" s="61" t="s">
        <v>66</v>
      </c>
      <c r="W52" s="61" t="s">
        <v>66</v>
      </c>
      <c r="X52" s="61" t="s">
        <v>66</v>
      </c>
      <c r="Y52" s="61" t="s">
        <v>66</v>
      </c>
      <c r="Z52" s="61" t="s">
        <v>66</v>
      </c>
      <c r="AA52" s="61" t="s">
        <v>66</v>
      </c>
      <c r="AB52" s="61" t="s">
        <v>66</v>
      </c>
      <c r="AC52" s="61" t="s">
        <v>66</v>
      </c>
      <c r="AD52" s="61" t="s">
        <v>66</v>
      </c>
      <c r="AE52" s="61" t="s">
        <v>66</v>
      </c>
      <c r="AF52" s="61" t="s">
        <v>66</v>
      </c>
      <c r="AG52" s="61" t="s">
        <v>66</v>
      </c>
      <c r="AH52" s="61" t="s">
        <v>66</v>
      </c>
      <c r="AI52" s="61" t="s">
        <v>66</v>
      </c>
      <c r="AJ52" s="26"/>
      <c r="AL52" t="str">
        <f t="shared" ca="1" si="0"/>
        <v xml:space="preserve">    (U1)ALERT_REQ_D_ATFWRN_RWRN_</v>
      </c>
      <c r="AR52" s="63" t="str">
        <f t="shared" si="3"/>
        <v/>
      </c>
      <c r="AS52" s="63" t="str">
        <f t="shared" si="4"/>
        <v/>
      </c>
      <c r="AT52" s="63" t="str">
        <f t="shared" si="1"/>
        <v/>
      </c>
    </row>
    <row r="53" spans="2:46">
      <c r="B53" s="138"/>
      <c r="C53" s="47">
        <f t="shared" si="2"/>
        <v>47</v>
      </c>
      <c r="D53" s="61" t="s">
        <v>66</v>
      </c>
      <c r="E53" s="61" t="s">
        <v>66</v>
      </c>
      <c r="F53" s="61" t="s">
        <v>66</v>
      </c>
      <c r="G53" s="61" t="s">
        <v>66</v>
      </c>
      <c r="H53" s="61" t="s">
        <v>66</v>
      </c>
      <c r="I53" s="61" t="s">
        <v>66</v>
      </c>
      <c r="J53" s="61" t="s">
        <v>66</v>
      </c>
      <c r="K53" s="61" t="s">
        <v>66</v>
      </c>
      <c r="L53" s="61" t="s">
        <v>66</v>
      </c>
      <c r="M53" s="61" t="s">
        <v>66</v>
      </c>
      <c r="N53" s="61" t="s">
        <v>66</v>
      </c>
      <c r="O53" s="61" t="s">
        <v>66</v>
      </c>
      <c r="P53" s="61" t="s">
        <v>66</v>
      </c>
      <c r="Q53" s="61" t="s">
        <v>66</v>
      </c>
      <c r="R53" s="61" t="s">
        <v>66</v>
      </c>
      <c r="S53" s="61" t="s">
        <v>66</v>
      </c>
      <c r="T53" s="61" t="s">
        <v>66</v>
      </c>
      <c r="U53" s="61" t="s">
        <v>66</v>
      </c>
      <c r="V53" s="61" t="s">
        <v>66</v>
      </c>
      <c r="W53" s="61" t="s">
        <v>66</v>
      </c>
      <c r="X53" s="61" t="s">
        <v>66</v>
      </c>
      <c r="Y53" s="61" t="s">
        <v>66</v>
      </c>
      <c r="Z53" s="61" t="s">
        <v>66</v>
      </c>
      <c r="AA53" s="61" t="s">
        <v>66</v>
      </c>
      <c r="AB53" s="61" t="s">
        <v>66</v>
      </c>
      <c r="AC53" s="61" t="s">
        <v>66</v>
      </c>
      <c r="AD53" s="61" t="s">
        <v>66</v>
      </c>
      <c r="AE53" s="61" t="s">
        <v>66</v>
      </c>
      <c r="AF53" s="61" t="s">
        <v>66</v>
      </c>
      <c r="AG53" s="61" t="s">
        <v>66</v>
      </c>
      <c r="AH53" s="61" t="s">
        <v>66</v>
      </c>
      <c r="AI53" s="61" t="s">
        <v>66</v>
      </c>
      <c r="AJ53" s="26"/>
      <c r="AL53" t="str">
        <f t="shared" ca="1" si="0"/>
        <v xml:space="preserve">    (U1)ALERT_REQ_D_ATFWRN_RWRN_</v>
      </c>
      <c r="AR53" s="63" t="str">
        <f t="shared" si="3"/>
        <v/>
      </c>
      <c r="AS53" s="63" t="str">
        <f t="shared" si="4"/>
        <v/>
      </c>
      <c r="AT53" s="63" t="str">
        <f t="shared" si="1"/>
        <v/>
      </c>
    </row>
    <row r="54" spans="2:46">
      <c r="B54" s="138"/>
      <c r="C54" s="47">
        <f t="shared" si="2"/>
        <v>48</v>
      </c>
      <c r="D54" s="61" t="s">
        <v>66</v>
      </c>
      <c r="E54" s="61" t="s">
        <v>66</v>
      </c>
      <c r="F54" s="61" t="s">
        <v>66</v>
      </c>
      <c r="G54" s="61" t="s">
        <v>66</v>
      </c>
      <c r="H54" s="61" t="s">
        <v>66</v>
      </c>
      <c r="I54" s="61" t="s">
        <v>66</v>
      </c>
      <c r="J54" s="61" t="s">
        <v>66</v>
      </c>
      <c r="K54" s="61" t="s">
        <v>66</v>
      </c>
      <c r="L54" s="61" t="s">
        <v>66</v>
      </c>
      <c r="M54" s="61" t="s">
        <v>66</v>
      </c>
      <c r="N54" s="61" t="s">
        <v>66</v>
      </c>
      <c r="O54" s="61" t="s">
        <v>66</v>
      </c>
      <c r="P54" s="61" t="s">
        <v>66</v>
      </c>
      <c r="Q54" s="61" t="s">
        <v>66</v>
      </c>
      <c r="R54" s="61" t="s">
        <v>66</v>
      </c>
      <c r="S54" s="61" t="s">
        <v>66</v>
      </c>
      <c r="T54" s="61" t="s">
        <v>66</v>
      </c>
      <c r="U54" s="61" t="s">
        <v>66</v>
      </c>
      <c r="V54" s="61" t="s">
        <v>66</v>
      </c>
      <c r="W54" s="61" t="s">
        <v>66</v>
      </c>
      <c r="X54" s="61" t="s">
        <v>66</v>
      </c>
      <c r="Y54" s="61" t="s">
        <v>66</v>
      </c>
      <c r="Z54" s="61" t="s">
        <v>66</v>
      </c>
      <c r="AA54" s="61" t="s">
        <v>66</v>
      </c>
      <c r="AB54" s="61" t="s">
        <v>66</v>
      </c>
      <c r="AC54" s="61" t="s">
        <v>66</v>
      </c>
      <c r="AD54" s="61" t="s">
        <v>66</v>
      </c>
      <c r="AE54" s="61" t="s">
        <v>66</v>
      </c>
      <c r="AF54" s="61" t="s">
        <v>66</v>
      </c>
      <c r="AG54" s="61" t="s">
        <v>66</v>
      </c>
      <c r="AH54" s="61" t="s">
        <v>66</v>
      </c>
      <c r="AI54" s="61" t="s">
        <v>66</v>
      </c>
      <c r="AJ54" s="26"/>
      <c r="AL54" t="str">
        <f t="shared" ca="1" si="0"/>
        <v xml:space="preserve">    (U1)ALERT_REQ_D_ATFWRN_RWRN_</v>
      </c>
      <c r="AR54" s="63" t="str">
        <f t="shared" si="3"/>
        <v/>
      </c>
      <c r="AS54" s="63" t="str">
        <f t="shared" si="4"/>
        <v/>
      </c>
      <c r="AT54" s="63" t="str">
        <f t="shared" si="1"/>
        <v/>
      </c>
    </row>
    <row r="55" spans="2:46">
      <c r="B55" s="138"/>
      <c r="C55" s="47">
        <f t="shared" si="2"/>
        <v>49</v>
      </c>
      <c r="D55" s="61" t="s">
        <v>66</v>
      </c>
      <c r="E55" s="61" t="s">
        <v>66</v>
      </c>
      <c r="F55" s="61" t="s">
        <v>66</v>
      </c>
      <c r="G55" s="61" t="s">
        <v>66</v>
      </c>
      <c r="H55" s="61" t="s">
        <v>66</v>
      </c>
      <c r="I55" s="61" t="s">
        <v>66</v>
      </c>
      <c r="J55" s="61" t="s">
        <v>66</v>
      </c>
      <c r="K55" s="61" t="s">
        <v>66</v>
      </c>
      <c r="L55" s="61" t="s">
        <v>66</v>
      </c>
      <c r="M55" s="61" t="s">
        <v>66</v>
      </c>
      <c r="N55" s="61" t="s">
        <v>66</v>
      </c>
      <c r="O55" s="61" t="s">
        <v>66</v>
      </c>
      <c r="P55" s="61" t="s">
        <v>66</v>
      </c>
      <c r="Q55" s="61" t="s">
        <v>66</v>
      </c>
      <c r="R55" s="61" t="s">
        <v>66</v>
      </c>
      <c r="S55" s="61" t="s">
        <v>66</v>
      </c>
      <c r="T55" s="61" t="s">
        <v>66</v>
      </c>
      <c r="U55" s="61" t="s">
        <v>66</v>
      </c>
      <c r="V55" s="61" t="s">
        <v>66</v>
      </c>
      <c r="W55" s="61" t="s">
        <v>66</v>
      </c>
      <c r="X55" s="61" t="s">
        <v>66</v>
      </c>
      <c r="Y55" s="61" t="s">
        <v>66</v>
      </c>
      <c r="Z55" s="61" t="s">
        <v>66</v>
      </c>
      <c r="AA55" s="61" t="s">
        <v>66</v>
      </c>
      <c r="AB55" s="61" t="s">
        <v>66</v>
      </c>
      <c r="AC55" s="61" t="s">
        <v>66</v>
      </c>
      <c r="AD55" s="61" t="s">
        <v>66</v>
      </c>
      <c r="AE55" s="61" t="s">
        <v>66</v>
      </c>
      <c r="AF55" s="61" t="s">
        <v>66</v>
      </c>
      <c r="AG55" s="61" t="s">
        <v>66</v>
      </c>
      <c r="AH55" s="61" t="s">
        <v>66</v>
      </c>
      <c r="AI55" s="61" t="s">
        <v>66</v>
      </c>
      <c r="AJ55" s="26"/>
      <c r="AL55" t="str">
        <f t="shared" ca="1" si="0"/>
        <v xml:space="preserve">    (U1)ALERT_REQ_D_ATFWRN_RWRN_</v>
      </c>
      <c r="AR55" s="63" t="str">
        <f t="shared" si="3"/>
        <v/>
      </c>
      <c r="AS55" s="63" t="str">
        <f t="shared" si="4"/>
        <v/>
      </c>
      <c r="AT55" s="63" t="str">
        <f t="shared" si="1"/>
        <v/>
      </c>
    </row>
    <row r="56" spans="2:46">
      <c r="B56" s="138"/>
      <c r="C56" s="47">
        <f t="shared" si="2"/>
        <v>50</v>
      </c>
      <c r="D56" s="61" t="s">
        <v>66</v>
      </c>
      <c r="E56" s="61" t="s">
        <v>66</v>
      </c>
      <c r="F56" s="61" t="s">
        <v>66</v>
      </c>
      <c r="G56" s="61" t="s">
        <v>66</v>
      </c>
      <c r="H56" s="61" t="s">
        <v>66</v>
      </c>
      <c r="I56" s="61" t="s">
        <v>66</v>
      </c>
      <c r="J56" s="61" t="s">
        <v>66</v>
      </c>
      <c r="K56" s="61" t="s">
        <v>66</v>
      </c>
      <c r="L56" s="61" t="s">
        <v>66</v>
      </c>
      <c r="M56" s="61" t="s">
        <v>66</v>
      </c>
      <c r="N56" s="61" t="s">
        <v>66</v>
      </c>
      <c r="O56" s="61" t="s">
        <v>66</v>
      </c>
      <c r="P56" s="61" t="s">
        <v>66</v>
      </c>
      <c r="Q56" s="61" t="s">
        <v>66</v>
      </c>
      <c r="R56" s="61" t="s">
        <v>66</v>
      </c>
      <c r="S56" s="61" t="s">
        <v>66</v>
      </c>
      <c r="T56" s="61" t="s">
        <v>66</v>
      </c>
      <c r="U56" s="61" t="s">
        <v>66</v>
      </c>
      <c r="V56" s="61" t="s">
        <v>66</v>
      </c>
      <c r="W56" s="61" t="s">
        <v>66</v>
      </c>
      <c r="X56" s="61" t="s">
        <v>66</v>
      </c>
      <c r="Y56" s="61" t="s">
        <v>66</v>
      </c>
      <c r="Z56" s="61" t="s">
        <v>66</v>
      </c>
      <c r="AA56" s="61" t="s">
        <v>66</v>
      </c>
      <c r="AB56" s="61" t="s">
        <v>66</v>
      </c>
      <c r="AC56" s="61" t="s">
        <v>66</v>
      </c>
      <c r="AD56" s="61" t="s">
        <v>66</v>
      </c>
      <c r="AE56" s="61" t="s">
        <v>66</v>
      </c>
      <c r="AF56" s="61" t="s">
        <v>66</v>
      </c>
      <c r="AG56" s="61" t="s">
        <v>66</v>
      </c>
      <c r="AH56" s="61" t="s">
        <v>66</v>
      </c>
      <c r="AI56" s="61" t="s">
        <v>66</v>
      </c>
      <c r="AJ56" s="26"/>
      <c r="AL56" t="str">
        <f t="shared" ca="1" si="0"/>
        <v xml:space="preserve">    (U1)ALERT_REQ_D_ATFWRN_RWRN_</v>
      </c>
      <c r="AR56" s="63" t="str">
        <f t="shared" si="3"/>
        <v/>
      </c>
      <c r="AS56" s="63" t="str">
        <f t="shared" si="4"/>
        <v/>
      </c>
      <c r="AT56" s="63" t="str">
        <f t="shared" si="1"/>
        <v/>
      </c>
    </row>
    <row r="57" spans="2:46">
      <c r="B57" s="138"/>
      <c r="C57" s="47">
        <f t="shared" si="2"/>
        <v>51</v>
      </c>
      <c r="D57" s="61" t="s">
        <v>66</v>
      </c>
      <c r="E57" s="61" t="s">
        <v>66</v>
      </c>
      <c r="F57" s="61" t="s">
        <v>66</v>
      </c>
      <c r="G57" s="61" t="s">
        <v>66</v>
      </c>
      <c r="H57" s="61" t="s">
        <v>66</v>
      </c>
      <c r="I57" s="61" t="s">
        <v>66</v>
      </c>
      <c r="J57" s="61" t="s">
        <v>66</v>
      </c>
      <c r="K57" s="61" t="s">
        <v>66</v>
      </c>
      <c r="L57" s="61" t="s">
        <v>66</v>
      </c>
      <c r="M57" s="61" t="s">
        <v>66</v>
      </c>
      <c r="N57" s="61" t="s">
        <v>66</v>
      </c>
      <c r="O57" s="61" t="s">
        <v>66</v>
      </c>
      <c r="P57" s="61" t="s">
        <v>66</v>
      </c>
      <c r="Q57" s="61" t="s">
        <v>66</v>
      </c>
      <c r="R57" s="61" t="s">
        <v>66</v>
      </c>
      <c r="S57" s="61" t="s">
        <v>66</v>
      </c>
      <c r="T57" s="61" t="s">
        <v>66</v>
      </c>
      <c r="U57" s="61" t="s">
        <v>66</v>
      </c>
      <c r="V57" s="61" t="s">
        <v>66</v>
      </c>
      <c r="W57" s="61" t="s">
        <v>66</v>
      </c>
      <c r="X57" s="61" t="s">
        <v>66</v>
      </c>
      <c r="Y57" s="61" t="s">
        <v>66</v>
      </c>
      <c r="Z57" s="61" t="s">
        <v>66</v>
      </c>
      <c r="AA57" s="61" t="s">
        <v>66</v>
      </c>
      <c r="AB57" s="61" t="s">
        <v>66</v>
      </c>
      <c r="AC57" s="61" t="s">
        <v>66</v>
      </c>
      <c r="AD57" s="61" t="s">
        <v>66</v>
      </c>
      <c r="AE57" s="61" t="s">
        <v>66</v>
      </c>
      <c r="AF57" s="61" t="s">
        <v>66</v>
      </c>
      <c r="AG57" s="61" t="s">
        <v>66</v>
      </c>
      <c r="AH57" s="61" t="s">
        <v>66</v>
      </c>
      <c r="AI57" s="61" t="s">
        <v>66</v>
      </c>
      <c r="AJ57" s="26"/>
      <c r="AL57" t="str">
        <f t="shared" ca="1" si="0"/>
        <v xml:space="preserve">    (U1)ALERT_REQ_D_ATFWRN_RWRN_</v>
      </c>
      <c r="AR57" s="63" t="str">
        <f t="shared" si="3"/>
        <v/>
      </c>
      <c r="AS57" s="63" t="str">
        <f t="shared" si="4"/>
        <v/>
      </c>
      <c r="AT57" s="63" t="str">
        <f t="shared" si="1"/>
        <v/>
      </c>
    </row>
    <row r="58" spans="2:46">
      <c r="B58" s="138"/>
      <c r="C58" s="47">
        <f t="shared" si="2"/>
        <v>52</v>
      </c>
      <c r="D58" s="61" t="s">
        <v>66</v>
      </c>
      <c r="E58" s="61" t="s">
        <v>66</v>
      </c>
      <c r="F58" s="61" t="s">
        <v>66</v>
      </c>
      <c r="G58" s="61" t="s">
        <v>66</v>
      </c>
      <c r="H58" s="61" t="s">
        <v>66</v>
      </c>
      <c r="I58" s="61" t="s">
        <v>66</v>
      </c>
      <c r="J58" s="61" t="s">
        <v>66</v>
      </c>
      <c r="K58" s="61" t="s">
        <v>66</v>
      </c>
      <c r="L58" s="61" t="s">
        <v>66</v>
      </c>
      <c r="M58" s="61" t="s">
        <v>66</v>
      </c>
      <c r="N58" s="61" t="s">
        <v>66</v>
      </c>
      <c r="O58" s="61" t="s">
        <v>66</v>
      </c>
      <c r="P58" s="61" t="s">
        <v>66</v>
      </c>
      <c r="Q58" s="61" t="s">
        <v>66</v>
      </c>
      <c r="R58" s="61" t="s">
        <v>66</v>
      </c>
      <c r="S58" s="61" t="s">
        <v>66</v>
      </c>
      <c r="T58" s="61" t="s">
        <v>66</v>
      </c>
      <c r="U58" s="61" t="s">
        <v>66</v>
      </c>
      <c r="V58" s="61" t="s">
        <v>66</v>
      </c>
      <c r="W58" s="61" t="s">
        <v>66</v>
      </c>
      <c r="X58" s="61" t="s">
        <v>66</v>
      </c>
      <c r="Y58" s="61" t="s">
        <v>66</v>
      </c>
      <c r="Z58" s="61" t="s">
        <v>66</v>
      </c>
      <c r="AA58" s="61" t="s">
        <v>66</v>
      </c>
      <c r="AB58" s="61" t="s">
        <v>66</v>
      </c>
      <c r="AC58" s="61" t="s">
        <v>66</v>
      </c>
      <c r="AD58" s="61" t="s">
        <v>66</v>
      </c>
      <c r="AE58" s="61" t="s">
        <v>66</v>
      </c>
      <c r="AF58" s="61" t="s">
        <v>66</v>
      </c>
      <c r="AG58" s="61" t="s">
        <v>66</v>
      </c>
      <c r="AH58" s="61" t="s">
        <v>66</v>
      </c>
      <c r="AI58" s="61" t="s">
        <v>66</v>
      </c>
      <c r="AJ58" s="26"/>
      <c r="AL58" t="str">
        <f t="shared" ca="1" si="0"/>
        <v xml:space="preserve">    (U1)ALERT_REQ_D_ATFWRN_RWRN_</v>
      </c>
      <c r="AR58" s="63" t="str">
        <f t="shared" si="3"/>
        <v/>
      </c>
      <c r="AS58" s="63" t="str">
        <f t="shared" si="4"/>
        <v/>
      </c>
      <c r="AT58" s="63" t="str">
        <f t="shared" si="1"/>
        <v/>
      </c>
    </row>
    <row r="59" spans="2:46">
      <c r="B59" s="138"/>
      <c r="C59" s="47">
        <f t="shared" si="2"/>
        <v>53</v>
      </c>
      <c r="D59" s="61" t="s">
        <v>66</v>
      </c>
      <c r="E59" s="61" t="s">
        <v>66</v>
      </c>
      <c r="F59" s="61" t="s">
        <v>66</v>
      </c>
      <c r="G59" s="61" t="s">
        <v>66</v>
      </c>
      <c r="H59" s="61" t="s">
        <v>66</v>
      </c>
      <c r="I59" s="61" t="s">
        <v>66</v>
      </c>
      <c r="J59" s="61" t="s">
        <v>66</v>
      </c>
      <c r="K59" s="61" t="s">
        <v>66</v>
      </c>
      <c r="L59" s="61" t="s">
        <v>66</v>
      </c>
      <c r="M59" s="61" t="s">
        <v>66</v>
      </c>
      <c r="N59" s="61" t="s">
        <v>66</v>
      </c>
      <c r="O59" s="61" t="s">
        <v>66</v>
      </c>
      <c r="P59" s="61" t="s">
        <v>66</v>
      </c>
      <c r="Q59" s="61" t="s">
        <v>66</v>
      </c>
      <c r="R59" s="61" t="s">
        <v>66</v>
      </c>
      <c r="S59" s="61" t="s">
        <v>66</v>
      </c>
      <c r="T59" s="61" t="s">
        <v>66</v>
      </c>
      <c r="U59" s="61" t="s">
        <v>66</v>
      </c>
      <c r="V59" s="61" t="s">
        <v>66</v>
      </c>
      <c r="W59" s="61" t="s">
        <v>66</v>
      </c>
      <c r="X59" s="61" t="s">
        <v>66</v>
      </c>
      <c r="Y59" s="61" t="s">
        <v>66</v>
      </c>
      <c r="Z59" s="61" t="s">
        <v>66</v>
      </c>
      <c r="AA59" s="61" t="s">
        <v>66</v>
      </c>
      <c r="AB59" s="61" t="s">
        <v>66</v>
      </c>
      <c r="AC59" s="61" t="s">
        <v>66</v>
      </c>
      <c r="AD59" s="61" t="s">
        <v>66</v>
      </c>
      <c r="AE59" s="61" t="s">
        <v>66</v>
      </c>
      <c r="AF59" s="61" t="s">
        <v>66</v>
      </c>
      <c r="AG59" s="61" t="s">
        <v>66</v>
      </c>
      <c r="AH59" s="61" t="s">
        <v>66</v>
      </c>
      <c r="AI59" s="61" t="s">
        <v>66</v>
      </c>
      <c r="AJ59" s="26"/>
      <c r="AL59" t="str">
        <f t="shared" ca="1" si="0"/>
        <v xml:space="preserve">    (U1)ALERT_REQ_D_ATFWRN_RWRN_</v>
      </c>
      <c r="AR59" s="63" t="str">
        <f t="shared" si="3"/>
        <v/>
      </c>
      <c r="AS59" s="63" t="str">
        <f t="shared" si="4"/>
        <v/>
      </c>
      <c r="AT59" s="63" t="str">
        <f t="shared" si="1"/>
        <v/>
      </c>
    </row>
    <row r="60" spans="2:46">
      <c r="B60" s="138"/>
      <c r="C60" s="47">
        <f t="shared" si="2"/>
        <v>54</v>
      </c>
      <c r="D60" s="61" t="s">
        <v>66</v>
      </c>
      <c r="E60" s="61" t="s">
        <v>66</v>
      </c>
      <c r="F60" s="61" t="s">
        <v>66</v>
      </c>
      <c r="G60" s="61" t="s">
        <v>66</v>
      </c>
      <c r="H60" s="61" t="s">
        <v>66</v>
      </c>
      <c r="I60" s="61" t="s">
        <v>66</v>
      </c>
      <c r="J60" s="61" t="s">
        <v>66</v>
      </c>
      <c r="K60" s="61" t="s">
        <v>66</v>
      </c>
      <c r="L60" s="61" t="s">
        <v>66</v>
      </c>
      <c r="M60" s="61" t="s">
        <v>66</v>
      </c>
      <c r="N60" s="61" t="s">
        <v>66</v>
      </c>
      <c r="O60" s="61" t="s">
        <v>66</v>
      </c>
      <c r="P60" s="61" t="s">
        <v>66</v>
      </c>
      <c r="Q60" s="61" t="s">
        <v>66</v>
      </c>
      <c r="R60" s="61" t="s">
        <v>66</v>
      </c>
      <c r="S60" s="61" t="s">
        <v>66</v>
      </c>
      <c r="T60" s="61" t="s">
        <v>66</v>
      </c>
      <c r="U60" s="61" t="s">
        <v>66</v>
      </c>
      <c r="V60" s="61" t="s">
        <v>66</v>
      </c>
      <c r="W60" s="61" t="s">
        <v>66</v>
      </c>
      <c r="X60" s="61" t="s">
        <v>66</v>
      </c>
      <c r="Y60" s="61" t="s">
        <v>66</v>
      </c>
      <c r="Z60" s="61" t="s">
        <v>66</v>
      </c>
      <c r="AA60" s="61" t="s">
        <v>66</v>
      </c>
      <c r="AB60" s="61" t="s">
        <v>66</v>
      </c>
      <c r="AC60" s="61" t="s">
        <v>66</v>
      </c>
      <c r="AD60" s="61" t="s">
        <v>66</v>
      </c>
      <c r="AE60" s="61" t="s">
        <v>66</v>
      </c>
      <c r="AF60" s="61" t="s">
        <v>66</v>
      </c>
      <c r="AG60" s="61" t="s">
        <v>66</v>
      </c>
      <c r="AH60" s="61" t="s">
        <v>66</v>
      </c>
      <c r="AI60" s="61" t="s">
        <v>66</v>
      </c>
      <c r="AJ60" s="26"/>
      <c r="AL60" t="str">
        <f t="shared" ca="1" si="0"/>
        <v xml:space="preserve">    (U1)ALERT_REQ_D_ATFWRN_RWRN_</v>
      </c>
      <c r="AR60" s="63" t="str">
        <f t="shared" si="3"/>
        <v/>
      </c>
      <c r="AS60" s="63" t="str">
        <f t="shared" si="4"/>
        <v/>
      </c>
      <c r="AT60" s="63" t="str">
        <f t="shared" si="1"/>
        <v/>
      </c>
    </row>
    <row r="61" spans="2:46">
      <c r="B61" s="138"/>
      <c r="C61" s="47">
        <f t="shared" si="2"/>
        <v>55</v>
      </c>
      <c r="D61" s="61" t="s">
        <v>66</v>
      </c>
      <c r="E61" s="61" t="s">
        <v>66</v>
      </c>
      <c r="F61" s="61" t="s">
        <v>66</v>
      </c>
      <c r="G61" s="61" t="s">
        <v>66</v>
      </c>
      <c r="H61" s="61" t="s">
        <v>66</v>
      </c>
      <c r="I61" s="61" t="s">
        <v>66</v>
      </c>
      <c r="J61" s="61" t="s">
        <v>66</v>
      </c>
      <c r="K61" s="61" t="s">
        <v>66</v>
      </c>
      <c r="L61" s="61" t="s">
        <v>66</v>
      </c>
      <c r="M61" s="61" t="s">
        <v>66</v>
      </c>
      <c r="N61" s="61" t="s">
        <v>66</v>
      </c>
      <c r="O61" s="61" t="s">
        <v>66</v>
      </c>
      <c r="P61" s="61" t="s">
        <v>66</v>
      </c>
      <c r="Q61" s="61" t="s">
        <v>66</v>
      </c>
      <c r="R61" s="61" t="s">
        <v>66</v>
      </c>
      <c r="S61" s="61" t="s">
        <v>66</v>
      </c>
      <c r="T61" s="61" t="s">
        <v>66</v>
      </c>
      <c r="U61" s="61" t="s">
        <v>66</v>
      </c>
      <c r="V61" s="61" t="s">
        <v>66</v>
      </c>
      <c r="W61" s="61" t="s">
        <v>66</v>
      </c>
      <c r="X61" s="61" t="s">
        <v>66</v>
      </c>
      <c r="Y61" s="61" t="s">
        <v>66</v>
      </c>
      <c r="Z61" s="61" t="s">
        <v>66</v>
      </c>
      <c r="AA61" s="61" t="s">
        <v>66</v>
      </c>
      <c r="AB61" s="61" t="s">
        <v>66</v>
      </c>
      <c r="AC61" s="61" t="s">
        <v>66</v>
      </c>
      <c r="AD61" s="61" t="s">
        <v>66</v>
      </c>
      <c r="AE61" s="61" t="s">
        <v>66</v>
      </c>
      <c r="AF61" s="61" t="s">
        <v>66</v>
      </c>
      <c r="AG61" s="61" t="s">
        <v>66</v>
      </c>
      <c r="AH61" s="61" t="s">
        <v>66</v>
      </c>
      <c r="AI61" s="61" t="s">
        <v>66</v>
      </c>
      <c r="AJ61" s="26"/>
      <c r="AL61" t="str">
        <f t="shared" ca="1" si="0"/>
        <v xml:space="preserve">    (U1)ALERT_REQ_D_ATFWRN_RWRN_</v>
      </c>
      <c r="AR61" s="63" t="str">
        <f t="shared" si="3"/>
        <v/>
      </c>
      <c r="AS61" s="63" t="str">
        <f t="shared" si="4"/>
        <v/>
      </c>
      <c r="AT61" s="63" t="str">
        <f t="shared" si="1"/>
        <v/>
      </c>
    </row>
    <row r="62" spans="2:46">
      <c r="B62" s="138"/>
      <c r="C62" s="47">
        <f t="shared" si="2"/>
        <v>56</v>
      </c>
      <c r="D62" s="61" t="s">
        <v>66</v>
      </c>
      <c r="E62" s="61" t="s">
        <v>66</v>
      </c>
      <c r="F62" s="61" t="s">
        <v>66</v>
      </c>
      <c r="G62" s="61" t="s">
        <v>66</v>
      </c>
      <c r="H62" s="61" t="s">
        <v>66</v>
      </c>
      <c r="I62" s="61" t="s">
        <v>66</v>
      </c>
      <c r="J62" s="61" t="s">
        <v>66</v>
      </c>
      <c r="K62" s="61" t="s">
        <v>66</v>
      </c>
      <c r="L62" s="61" t="s">
        <v>66</v>
      </c>
      <c r="M62" s="61" t="s">
        <v>66</v>
      </c>
      <c r="N62" s="61" t="s">
        <v>66</v>
      </c>
      <c r="O62" s="61" t="s">
        <v>66</v>
      </c>
      <c r="P62" s="61" t="s">
        <v>66</v>
      </c>
      <c r="Q62" s="61" t="s">
        <v>66</v>
      </c>
      <c r="R62" s="61" t="s">
        <v>66</v>
      </c>
      <c r="S62" s="61" t="s">
        <v>66</v>
      </c>
      <c r="T62" s="61" t="s">
        <v>66</v>
      </c>
      <c r="U62" s="61" t="s">
        <v>66</v>
      </c>
      <c r="V62" s="61" t="s">
        <v>66</v>
      </c>
      <c r="W62" s="61" t="s">
        <v>66</v>
      </c>
      <c r="X62" s="61" t="s">
        <v>66</v>
      </c>
      <c r="Y62" s="61" t="s">
        <v>66</v>
      </c>
      <c r="Z62" s="61" t="s">
        <v>66</v>
      </c>
      <c r="AA62" s="61" t="s">
        <v>66</v>
      </c>
      <c r="AB62" s="61" t="s">
        <v>66</v>
      </c>
      <c r="AC62" s="61" t="s">
        <v>66</v>
      </c>
      <c r="AD62" s="61" t="s">
        <v>66</v>
      </c>
      <c r="AE62" s="61" t="s">
        <v>66</v>
      </c>
      <c r="AF62" s="61" t="s">
        <v>66</v>
      </c>
      <c r="AG62" s="61" t="s">
        <v>66</v>
      </c>
      <c r="AH62" s="61" t="s">
        <v>66</v>
      </c>
      <c r="AI62" s="61" t="s">
        <v>66</v>
      </c>
      <c r="AJ62" s="26"/>
      <c r="AL62" t="str">
        <f t="shared" ca="1" si="0"/>
        <v xml:space="preserve">    (U1)ALERT_REQ_D_ATFWRN_RWRN_</v>
      </c>
      <c r="AR62" s="63" t="str">
        <f t="shared" si="3"/>
        <v/>
      </c>
      <c r="AS62" s="63" t="str">
        <f t="shared" si="4"/>
        <v/>
      </c>
      <c r="AT62" s="63" t="str">
        <f t="shared" si="1"/>
        <v/>
      </c>
    </row>
    <row r="63" spans="2:46">
      <c r="B63" s="138"/>
      <c r="C63" s="47">
        <f t="shared" si="2"/>
        <v>57</v>
      </c>
      <c r="D63" s="61" t="s">
        <v>66</v>
      </c>
      <c r="E63" s="61" t="s">
        <v>66</v>
      </c>
      <c r="F63" s="61" t="s">
        <v>66</v>
      </c>
      <c r="G63" s="61" t="s">
        <v>66</v>
      </c>
      <c r="H63" s="61" t="s">
        <v>66</v>
      </c>
      <c r="I63" s="61" t="s">
        <v>66</v>
      </c>
      <c r="J63" s="61" t="s">
        <v>66</v>
      </c>
      <c r="K63" s="61" t="s">
        <v>66</v>
      </c>
      <c r="L63" s="61" t="s">
        <v>66</v>
      </c>
      <c r="M63" s="61" t="s">
        <v>66</v>
      </c>
      <c r="N63" s="61" t="s">
        <v>66</v>
      </c>
      <c r="O63" s="61" t="s">
        <v>66</v>
      </c>
      <c r="P63" s="61" t="s">
        <v>66</v>
      </c>
      <c r="Q63" s="61" t="s">
        <v>66</v>
      </c>
      <c r="R63" s="61" t="s">
        <v>66</v>
      </c>
      <c r="S63" s="61" t="s">
        <v>66</v>
      </c>
      <c r="T63" s="61" t="s">
        <v>66</v>
      </c>
      <c r="U63" s="61" t="s">
        <v>66</v>
      </c>
      <c r="V63" s="61" t="s">
        <v>66</v>
      </c>
      <c r="W63" s="61" t="s">
        <v>66</v>
      </c>
      <c r="X63" s="61" t="s">
        <v>66</v>
      </c>
      <c r="Y63" s="61" t="s">
        <v>66</v>
      </c>
      <c r="Z63" s="61" t="s">
        <v>66</v>
      </c>
      <c r="AA63" s="61" t="s">
        <v>66</v>
      </c>
      <c r="AB63" s="61" t="s">
        <v>66</v>
      </c>
      <c r="AC63" s="61" t="s">
        <v>66</v>
      </c>
      <c r="AD63" s="61" t="s">
        <v>66</v>
      </c>
      <c r="AE63" s="61" t="s">
        <v>66</v>
      </c>
      <c r="AF63" s="61" t="s">
        <v>66</v>
      </c>
      <c r="AG63" s="61" t="s">
        <v>66</v>
      </c>
      <c r="AH63" s="61" t="s">
        <v>66</v>
      </c>
      <c r="AI63" s="61" t="s">
        <v>66</v>
      </c>
      <c r="AJ63" s="26"/>
      <c r="AL63" t="str">
        <f t="shared" ca="1" si="0"/>
        <v xml:space="preserve">    (U1)ALERT_REQ_D_ATFWRN_RWRN_</v>
      </c>
      <c r="AR63" s="63" t="str">
        <f t="shared" si="3"/>
        <v/>
      </c>
      <c r="AS63" s="63" t="str">
        <f t="shared" si="4"/>
        <v/>
      </c>
      <c r="AT63" s="63" t="str">
        <f t="shared" si="1"/>
        <v/>
      </c>
    </row>
    <row r="64" spans="2:46">
      <c r="B64" s="138"/>
      <c r="C64" s="47">
        <f t="shared" si="2"/>
        <v>58</v>
      </c>
      <c r="D64" s="61" t="s">
        <v>66</v>
      </c>
      <c r="E64" s="61" t="s">
        <v>66</v>
      </c>
      <c r="F64" s="61" t="s">
        <v>66</v>
      </c>
      <c r="G64" s="61" t="s">
        <v>66</v>
      </c>
      <c r="H64" s="61" t="s">
        <v>66</v>
      </c>
      <c r="I64" s="61" t="s">
        <v>66</v>
      </c>
      <c r="J64" s="61" t="s">
        <v>66</v>
      </c>
      <c r="K64" s="61" t="s">
        <v>66</v>
      </c>
      <c r="L64" s="61" t="s">
        <v>66</v>
      </c>
      <c r="M64" s="61" t="s">
        <v>66</v>
      </c>
      <c r="N64" s="61" t="s">
        <v>66</v>
      </c>
      <c r="O64" s="61" t="s">
        <v>66</v>
      </c>
      <c r="P64" s="61" t="s">
        <v>66</v>
      </c>
      <c r="Q64" s="61" t="s">
        <v>66</v>
      </c>
      <c r="R64" s="61" t="s">
        <v>66</v>
      </c>
      <c r="S64" s="61" t="s">
        <v>66</v>
      </c>
      <c r="T64" s="61" t="s">
        <v>66</v>
      </c>
      <c r="U64" s="61" t="s">
        <v>66</v>
      </c>
      <c r="V64" s="61" t="s">
        <v>66</v>
      </c>
      <c r="W64" s="61" t="s">
        <v>66</v>
      </c>
      <c r="X64" s="61" t="s">
        <v>66</v>
      </c>
      <c r="Y64" s="61" t="s">
        <v>66</v>
      </c>
      <c r="Z64" s="61" t="s">
        <v>66</v>
      </c>
      <c r="AA64" s="61" t="s">
        <v>66</v>
      </c>
      <c r="AB64" s="61" t="s">
        <v>66</v>
      </c>
      <c r="AC64" s="61" t="s">
        <v>66</v>
      </c>
      <c r="AD64" s="61" t="s">
        <v>66</v>
      </c>
      <c r="AE64" s="61" t="s">
        <v>66</v>
      </c>
      <c r="AF64" s="61" t="s">
        <v>66</v>
      </c>
      <c r="AG64" s="61" t="s">
        <v>66</v>
      </c>
      <c r="AH64" s="61" t="s">
        <v>66</v>
      </c>
      <c r="AI64" s="61" t="s">
        <v>66</v>
      </c>
      <c r="AJ64" s="26"/>
      <c r="AL64" t="str">
        <f t="shared" ca="1" si="0"/>
        <v xml:space="preserve">    (U1)ALERT_REQ_D_ATFWRN_RWRN_</v>
      </c>
      <c r="AR64" s="63" t="str">
        <f t="shared" si="3"/>
        <v/>
      </c>
      <c r="AS64" s="63" t="str">
        <f t="shared" si="4"/>
        <v/>
      </c>
      <c r="AT64" s="63" t="str">
        <f t="shared" si="1"/>
        <v/>
      </c>
    </row>
    <row r="65" spans="1:46">
      <c r="B65" s="138"/>
      <c r="C65" s="47">
        <f t="shared" si="2"/>
        <v>59</v>
      </c>
      <c r="D65" s="61" t="s">
        <v>66</v>
      </c>
      <c r="E65" s="61" t="s">
        <v>66</v>
      </c>
      <c r="F65" s="61" t="s">
        <v>66</v>
      </c>
      <c r="G65" s="61" t="s">
        <v>66</v>
      </c>
      <c r="H65" s="61" t="s">
        <v>66</v>
      </c>
      <c r="I65" s="61" t="s">
        <v>66</v>
      </c>
      <c r="J65" s="61" t="s">
        <v>66</v>
      </c>
      <c r="K65" s="61" t="s">
        <v>66</v>
      </c>
      <c r="L65" s="61" t="s">
        <v>66</v>
      </c>
      <c r="M65" s="61" t="s">
        <v>66</v>
      </c>
      <c r="N65" s="61" t="s">
        <v>66</v>
      </c>
      <c r="O65" s="61" t="s">
        <v>66</v>
      </c>
      <c r="P65" s="61" t="s">
        <v>66</v>
      </c>
      <c r="Q65" s="61" t="s">
        <v>66</v>
      </c>
      <c r="R65" s="61" t="s">
        <v>66</v>
      </c>
      <c r="S65" s="61" t="s">
        <v>66</v>
      </c>
      <c r="T65" s="61" t="s">
        <v>66</v>
      </c>
      <c r="U65" s="61" t="s">
        <v>66</v>
      </c>
      <c r="V65" s="61" t="s">
        <v>66</v>
      </c>
      <c r="W65" s="61" t="s">
        <v>66</v>
      </c>
      <c r="X65" s="61" t="s">
        <v>66</v>
      </c>
      <c r="Y65" s="61" t="s">
        <v>66</v>
      </c>
      <c r="Z65" s="61" t="s">
        <v>66</v>
      </c>
      <c r="AA65" s="61" t="s">
        <v>66</v>
      </c>
      <c r="AB65" s="61" t="s">
        <v>66</v>
      </c>
      <c r="AC65" s="61" t="s">
        <v>66</v>
      </c>
      <c r="AD65" s="61" t="s">
        <v>66</v>
      </c>
      <c r="AE65" s="61" t="s">
        <v>66</v>
      </c>
      <c r="AF65" s="61" t="s">
        <v>66</v>
      </c>
      <c r="AG65" s="61" t="s">
        <v>66</v>
      </c>
      <c r="AH65" s="61" t="s">
        <v>66</v>
      </c>
      <c r="AI65" s="61" t="s">
        <v>66</v>
      </c>
      <c r="AJ65" s="26"/>
      <c r="AL65" t="str">
        <f t="shared" ca="1" si="0"/>
        <v xml:space="preserve">    (U1)ALERT_REQ_D_ATFWRN_RWRN_</v>
      </c>
      <c r="AR65" s="63" t="str">
        <f t="shared" si="3"/>
        <v/>
      </c>
      <c r="AS65" s="63" t="str">
        <f t="shared" si="4"/>
        <v/>
      </c>
      <c r="AT65" s="63" t="str">
        <f t="shared" si="1"/>
        <v/>
      </c>
    </row>
    <row r="66" spans="1:46">
      <c r="B66" s="138"/>
      <c r="C66" s="47">
        <f t="shared" si="2"/>
        <v>60</v>
      </c>
      <c r="D66" s="61" t="s">
        <v>66</v>
      </c>
      <c r="E66" s="61" t="s">
        <v>66</v>
      </c>
      <c r="F66" s="61" t="s">
        <v>66</v>
      </c>
      <c r="G66" s="61" t="s">
        <v>66</v>
      </c>
      <c r="H66" s="61" t="s">
        <v>66</v>
      </c>
      <c r="I66" s="61" t="s">
        <v>66</v>
      </c>
      <c r="J66" s="61" t="s">
        <v>66</v>
      </c>
      <c r="K66" s="61" t="s">
        <v>66</v>
      </c>
      <c r="L66" s="61" t="s">
        <v>66</v>
      </c>
      <c r="M66" s="61" t="s">
        <v>66</v>
      </c>
      <c r="N66" s="61" t="s">
        <v>66</v>
      </c>
      <c r="O66" s="61" t="s">
        <v>66</v>
      </c>
      <c r="P66" s="61" t="s">
        <v>66</v>
      </c>
      <c r="Q66" s="61" t="s">
        <v>66</v>
      </c>
      <c r="R66" s="61" t="s">
        <v>66</v>
      </c>
      <c r="S66" s="61" t="s">
        <v>66</v>
      </c>
      <c r="T66" s="61" t="s">
        <v>66</v>
      </c>
      <c r="U66" s="61" t="s">
        <v>66</v>
      </c>
      <c r="V66" s="61" t="s">
        <v>66</v>
      </c>
      <c r="W66" s="61" t="s">
        <v>66</v>
      </c>
      <c r="X66" s="61" t="s">
        <v>66</v>
      </c>
      <c r="Y66" s="61" t="s">
        <v>66</v>
      </c>
      <c r="Z66" s="61" t="s">
        <v>66</v>
      </c>
      <c r="AA66" s="61" t="s">
        <v>66</v>
      </c>
      <c r="AB66" s="61" t="s">
        <v>66</v>
      </c>
      <c r="AC66" s="61" t="s">
        <v>66</v>
      </c>
      <c r="AD66" s="61" t="s">
        <v>66</v>
      </c>
      <c r="AE66" s="61" t="s">
        <v>66</v>
      </c>
      <c r="AF66" s="61" t="s">
        <v>66</v>
      </c>
      <c r="AG66" s="61" t="s">
        <v>66</v>
      </c>
      <c r="AH66" s="61" t="s">
        <v>66</v>
      </c>
      <c r="AI66" s="61" t="s">
        <v>66</v>
      </c>
      <c r="AJ66" s="26"/>
      <c r="AL66" t="str">
        <f t="shared" ca="1" si="0"/>
        <v xml:space="preserve">    (U1)ALERT_REQ_D_ATFWRN_RWRN_</v>
      </c>
      <c r="AR66" s="63" t="str">
        <f t="shared" si="3"/>
        <v/>
      </c>
      <c r="AS66" s="63" t="str">
        <f t="shared" si="4"/>
        <v/>
      </c>
      <c r="AT66" s="63" t="str">
        <f t="shared" si="1"/>
        <v/>
      </c>
    </row>
    <row r="67" spans="1:46">
      <c r="B67" s="138"/>
      <c r="C67" s="47">
        <f t="shared" si="2"/>
        <v>61</v>
      </c>
      <c r="D67" s="61" t="s">
        <v>66</v>
      </c>
      <c r="E67" s="61" t="s">
        <v>66</v>
      </c>
      <c r="F67" s="61" t="s">
        <v>66</v>
      </c>
      <c r="G67" s="61" t="s">
        <v>66</v>
      </c>
      <c r="H67" s="61" t="s">
        <v>66</v>
      </c>
      <c r="I67" s="61" t="s">
        <v>66</v>
      </c>
      <c r="J67" s="61" t="s">
        <v>66</v>
      </c>
      <c r="K67" s="61" t="s">
        <v>66</v>
      </c>
      <c r="L67" s="61" t="s">
        <v>66</v>
      </c>
      <c r="M67" s="61" t="s">
        <v>66</v>
      </c>
      <c r="N67" s="61" t="s">
        <v>66</v>
      </c>
      <c r="O67" s="61" t="s">
        <v>66</v>
      </c>
      <c r="P67" s="61" t="s">
        <v>66</v>
      </c>
      <c r="Q67" s="61" t="s">
        <v>66</v>
      </c>
      <c r="R67" s="61" t="s">
        <v>66</v>
      </c>
      <c r="S67" s="61" t="s">
        <v>66</v>
      </c>
      <c r="T67" s="61" t="s">
        <v>66</v>
      </c>
      <c r="U67" s="61" t="s">
        <v>66</v>
      </c>
      <c r="V67" s="61" t="s">
        <v>66</v>
      </c>
      <c r="W67" s="61" t="s">
        <v>66</v>
      </c>
      <c r="X67" s="61" t="s">
        <v>66</v>
      </c>
      <c r="Y67" s="61" t="s">
        <v>66</v>
      </c>
      <c r="Z67" s="61" t="s">
        <v>66</v>
      </c>
      <c r="AA67" s="61" t="s">
        <v>66</v>
      </c>
      <c r="AB67" s="61" t="s">
        <v>66</v>
      </c>
      <c r="AC67" s="61" t="s">
        <v>66</v>
      </c>
      <c r="AD67" s="61" t="s">
        <v>66</v>
      </c>
      <c r="AE67" s="61" t="s">
        <v>66</v>
      </c>
      <c r="AF67" s="61" t="s">
        <v>66</v>
      </c>
      <c r="AG67" s="61" t="s">
        <v>66</v>
      </c>
      <c r="AH67" s="61" t="s">
        <v>66</v>
      </c>
      <c r="AI67" s="61" t="s">
        <v>66</v>
      </c>
      <c r="AJ67" s="26"/>
      <c r="AL67" t="str">
        <f t="shared" ca="1" si="0"/>
        <v xml:space="preserve">    (U1)ALERT_REQ_D_ATFWRN_RWRN_</v>
      </c>
      <c r="AR67" s="63" t="str">
        <f t="shared" si="3"/>
        <v/>
      </c>
      <c r="AS67" s="63" t="str">
        <f t="shared" si="4"/>
        <v/>
      </c>
      <c r="AT67" s="63" t="str">
        <f t="shared" si="1"/>
        <v/>
      </c>
    </row>
    <row r="68" spans="1:46">
      <c r="B68" s="138"/>
      <c r="C68" s="47">
        <f t="shared" si="2"/>
        <v>62</v>
      </c>
      <c r="D68" s="61" t="s">
        <v>66</v>
      </c>
      <c r="E68" s="61" t="s">
        <v>66</v>
      </c>
      <c r="F68" s="61" t="s">
        <v>66</v>
      </c>
      <c r="G68" s="61" t="s">
        <v>66</v>
      </c>
      <c r="H68" s="61" t="s">
        <v>66</v>
      </c>
      <c r="I68" s="61" t="s">
        <v>66</v>
      </c>
      <c r="J68" s="61" t="s">
        <v>66</v>
      </c>
      <c r="K68" s="61" t="s">
        <v>66</v>
      </c>
      <c r="L68" s="61" t="s">
        <v>66</v>
      </c>
      <c r="M68" s="61" t="s">
        <v>66</v>
      </c>
      <c r="N68" s="61" t="s">
        <v>66</v>
      </c>
      <c r="O68" s="61" t="s">
        <v>66</v>
      </c>
      <c r="P68" s="61" t="s">
        <v>66</v>
      </c>
      <c r="Q68" s="61" t="s">
        <v>66</v>
      </c>
      <c r="R68" s="61" t="s">
        <v>66</v>
      </c>
      <c r="S68" s="61" t="s">
        <v>66</v>
      </c>
      <c r="T68" s="61" t="s">
        <v>66</v>
      </c>
      <c r="U68" s="61" t="s">
        <v>66</v>
      </c>
      <c r="V68" s="61" t="s">
        <v>66</v>
      </c>
      <c r="W68" s="61" t="s">
        <v>66</v>
      </c>
      <c r="X68" s="61" t="s">
        <v>66</v>
      </c>
      <c r="Y68" s="61" t="s">
        <v>66</v>
      </c>
      <c r="Z68" s="61" t="s">
        <v>66</v>
      </c>
      <c r="AA68" s="61" t="s">
        <v>66</v>
      </c>
      <c r="AB68" s="61" t="s">
        <v>66</v>
      </c>
      <c r="AC68" s="61" t="s">
        <v>66</v>
      </c>
      <c r="AD68" s="61" t="s">
        <v>66</v>
      </c>
      <c r="AE68" s="61" t="s">
        <v>66</v>
      </c>
      <c r="AF68" s="61" t="s">
        <v>66</v>
      </c>
      <c r="AG68" s="61" t="s">
        <v>66</v>
      </c>
      <c r="AH68" s="61" t="s">
        <v>66</v>
      </c>
      <c r="AI68" s="61" t="s">
        <v>66</v>
      </c>
      <c r="AJ68" s="26"/>
      <c r="AL68" t="str">
        <f t="shared" ca="1" si="0"/>
        <v xml:space="preserve">    (U1)ALERT_REQ_D_ATFWRN_RWRN_</v>
      </c>
      <c r="AR68" s="63" t="str">
        <f t="shared" si="3"/>
        <v/>
      </c>
      <c r="AS68" s="63" t="str">
        <f t="shared" si="4"/>
        <v/>
      </c>
      <c r="AT68" s="63" t="str">
        <f t="shared" si="1"/>
        <v/>
      </c>
    </row>
    <row r="69" spans="1:46">
      <c r="B69" s="139"/>
      <c r="C69" s="47">
        <f t="shared" si="2"/>
        <v>63</v>
      </c>
      <c r="D69" s="61" t="s">
        <v>66</v>
      </c>
      <c r="E69" s="61" t="s">
        <v>66</v>
      </c>
      <c r="F69" s="61" t="s">
        <v>66</v>
      </c>
      <c r="G69" s="61" t="s">
        <v>66</v>
      </c>
      <c r="H69" s="61" t="s">
        <v>66</v>
      </c>
      <c r="I69" s="61" t="s">
        <v>66</v>
      </c>
      <c r="J69" s="61" t="s">
        <v>66</v>
      </c>
      <c r="K69" s="61" t="s">
        <v>66</v>
      </c>
      <c r="L69" s="61" t="s">
        <v>66</v>
      </c>
      <c r="M69" s="61" t="s">
        <v>66</v>
      </c>
      <c r="N69" s="61" t="s">
        <v>66</v>
      </c>
      <c r="O69" s="61" t="s">
        <v>66</v>
      </c>
      <c r="P69" s="61" t="s">
        <v>66</v>
      </c>
      <c r="Q69" s="61" t="s">
        <v>66</v>
      </c>
      <c r="R69" s="61" t="s">
        <v>66</v>
      </c>
      <c r="S69" s="61" t="s">
        <v>66</v>
      </c>
      <c r="T69" s="61" t="s">
        <v>66</v>
      </c>
      <c r="U69" s="61" t="s">
        <v>66</v>
      </c>
      <c r="V69" s="61" t="s">
        <v>66</v>
      </c>
      <c r="W69" s="61" t="s">
        <v>66</v>
      </c>
      <c r="X69" s="61" t="s">
        <v>66</v>
      </c>
      <c r="Y69" s="61" t="s">
        <v>66</v>
      </c>
      <c r="Z69" s="61" t="s">
        <v>66</v>
      </c>
      <c r="AA69" s="61" t="s">
        <v>66</v>
      </c>
      <c r="AB69" s="61" t="s">
        <v>66</v>
      </c>
      <c r="AC69" s="61" t="s">
        <v>66</v>
      </c>
      <c r="AD69" s="61" t="s">
        <v>66</v>
      </c>
      <c r="AE69" s="61" t="s">
        <v>66</v>
      </c>
      <c r="AF69" s="61" t="s">
        <v>66</v>
      </c>
      <c r="AG69" s="61" t="s">
        <v>66</v>
      </c>
      <c r="AH69" s="61" t="s">
        <v>66</v>
      </c>
      <c r="AI69" s="61" t="s">
        <v>66</v>
      </c>
      <c r="AJ69" s="26"/>
      <c r="AL69" t="str">
        <f t="shared" ca="1" si="0"/>
        <v xml:space="preserve">    (U1)ALERT_REQ_D_ATFWRN_RWRN_</v>
      </c>
      <c r="AR69" s="63" t="str">
        <f t="shared" si="3"/>
        <v/>
      </c>
      <c r="AS69" s="63" t="str">
        <f t="shared" si="4"/>
        <v/>
      </c>
      <c r="AT69" s="63" t="str">
        <f t="shared" si="1"/>
        <v/>
      </c>
    </row>
    <row r="70" spans="1:46" ht="14.25" thickBot="1">
      <c r="A70" s="56" t="s">
        <v>63</v>
      </c>
      <c r="B70" s="57"/>
      <c r="C70" s="57"/>
      <c r="D70" s="59"/>
      <c r="E70" s="59"/>
      <c r="F70" s="59"/>
      <c r="G70" s="59"/>
      <c r="H70" s="59"/>
      <c r="I70" s="59"/>
      <c r="J70" s="59"/>
      <c r="K70" s="59"/>
      <c r="L70" s="59"/>
      <c r="M70" s="59"/>
      <c r="N70" s="59"/>
      <c r="O70" s="59"/>
      <c r="P70" s="59"/>
      <c r="Q70" s="59"/>
      <c r="R70" s="59"/>
      <c r="S70" s="59"/>
      <c r="T70" s="59"/>
      <c r="U70" s="59"/>
      <c r="V70" s="59"/>
      <c r="W70" s="59"/>
      <c r="X70" s="59"/>
      <c r="Y70" s="59"/>
      <c r="Z70" s="59"/>
      <c r="AA70" s="59"/>
      <c r="AB70" s="59"/>
      <c r="AC70" s="59"/>
      <c r="AD70" s="59"/>
      <c r="AE70" s="59"/>
      <c r="AF70" s="59"/>
      <c r="AG70" s="59"/>
      <c r="AH70" s="59"/>
      <c r="AI70" s="59"/>
      <c r="AJ70" s="57"/>
      <c r="AR70" s="64" t="str">
        <f t="shared" si="3"/>
        <v/>
      </c>
      <c r="AS70" s="64" t="str">
        <f t="shared" si="4"/>
        <v/>
      </c>
      <c r="AT70" s="64" t="str">
        <f t="shared" ref="AT70" si="5">IF(AJ70&lt;&gt;"",AL70&amp;IF(AJ71&lt;&gt;"",","," ")&amp;REPT(" ",78-LEN(AL70))&amp;"/* "&amp;IF(C70&lt;10,"0"&amp;C70,C70)&amp;" "&amp;AJ70&amp;REPT(" ",48-LEN(AJ70))&amp;"*/",IF(AJ69&lt;&gt;"","};",""))</f>
        <v/>
      </c>
    </row>
    <row r="71" spans="1:46">
      <c r="B71" s="140" t="str">
        <f ca="1">IF(B6&lt;&gt;"",B6,"")</f>
        <v>Table RWRN</v>
      </c>
      <c r="C71" s="47">
        <f>IF(C6&lt;&gt;"",C6,"")</f>
        <v>0</v>
      </c>
      <c r="D71" s="130">
        <f t="shared" ref="D71:AI78" si="6">IF(D6=1,1,0)</f>
        <v>0</v>
      </c>
      <c r="E71" s="130">
        <f t="shared" si="6"/>
        <v>0</v>
      </c>
      <c r="F71" s="130">
        <f t="shared" si="6"/>
        <v>0</v>
      </c>
      <c r="G71" s="130">
        <f t="shared" si="6"/>
        <v>0</v>
      </c>
      <c r="H71" s="130">
        <f t="shared" si="6"/>
        <v>0</v>
      </c>
      <c r="I71" s="130">
        <f t="shared" si="6"/>
        <v>0</v>
      </c>
      <c r="J71" s="130">
        <f t="shared" si="6"/>
        <v>0</v>
      </c>
      <c r="K71" s="130">
        <f t="shared" si="6"/>
        <v>0</v>
      </c>
      <c r="L71" s="130">
        <f t="shared" si="6"/>
        <v>0</v>
      </c>
      <c r="M71" s="130">
        <f t="shared" si="6"/>
        <v>0</v>
      </c>
      <c r="N71" s="130">
        <f t="shared" si="6"/>
        <v>0</v>
      </c>
      <c r="O71" s="130">
        <f t="shared" si="6"/>
        <v>0</v>
      </c>
      <c r="P71" s="130">
        <f t="shared" si="6"/>
        <v>0</v>
      </c>
      <c r="Q71" s="130">
        <f t="shared" si="6"/>
        <v>0</v>
      </c>
      <c r="R71" s="130">
        <f t="shared" si="6"/>
        <v>0</v>
      </c>
      <c r="S71" s="130">
        <f t="shared" si="6"/>
        <v>0</v>
      </c>
      <c r="T71" s="130">
        <f t="shared" si="6"/>
        <v>0</v>
      </c>
      <c r="U71" s="130">
        <f t="shared" si="6"/>
        <v>0</v>
      </c>
      <c r="V71" s="130">
        <f t="shared" si="6"/>
        <v>0</v>
      </c>
      <c r="W71" s="130">
        <f t="shared" si="6"/>
        <v>0</v>
      </c>
      <c r="X71" s="130">
        <f t="shared" si="6"/>
        <v>0</v>
      </c>
      <c r="Y71" s="130">
        <f t="shared" si="6"/>
        <v>0</v>
      </c>
      <c r="Z71" s="130">
        <f t="shared" si="6"/>
        <v>0</v>
      </c>
      <c r="AA71" s="130">
        <f t="shared" si="6"/>
        <v>0</v>
      </c>
      <c r="AB71" s="130">
        <f t="shared" si="6"/>
        <v>0</v>
      </c>
      <c r="AC71" s="130">
        <f t="shared" si="6"/>
        <v>0</v>
      </c>
      <c r="AD71" s="130">
        <f t="shared" si="6"/>
        <v>0</v>
      </c>
      <c r="AE71" s="130">
        <f t="shared" si="6"/>
        <v>0</v>
      </c>
      <c r="AF71" s="130">
        <f t="shared" si="6"/>
        <v>0</v>
      </c>
      <c r="AG71" s="130">
        <f t="shared" si="6"/>
        <v>0</v>
      </c>
      <c r="AH71" s="130">
        <f t="shared" si="6"/>
        <v>0</v>
      </c>
      <c r="AI71" s="130">
        <f t="shared" si="6"/>
        <v>0</v>
      </c>
      <c r="AJ71" s="47" t="str">
        <f t="shared" ref="AJ71:AJ134" si="7">IF(AJ6&lt;&gt;"",AJ6,"")</f>
        <v>UNKNOWN</v>
      </c>
      <c r="AK71" s="60"/>
      <c r="AL71" s="60" t="str">
        <f>BIN2HEX(AB71&amp;AC71&amp;AD71&amp;AE71&amp;AF71&amp;AG71&amp;AH71&amp;AI71,2)</f>
        <v>00</v>
      </c>
      <c r="AM71" s="62" t="str">
        <f>BIN2HEX(T71&amp;U71&amp;V71&amp;W71&amp;X71&amp;Y71&amp;Z71&amp;AA71,2)</f>
        <v>00</v>
      </c>
      <c r="AN71" s="62" t="str">
        <f>BIN2HEX(L71&amp;M71&amp;N71&amp;O71&amp;P71&amp;Q71&amp;R71&amp;S71,2)</f>
        <v>00</v>
      </c>
      <c r="AO71" s="62" t="str">
        <f>BIN2HEX(D71&amp;E71&amp;F71&amp;G71&amp;H71&amp;I71&amp;J71&amp;K71,2)</f>
        <v>00</v>
      </c>
      <c r="AQ71" t="str">
        <f t="shared" ref="AQ71:AQ134" si="8">IF(AJ71="","","    (U4)0x"&amp;AO71&amp;AN71&amp;AM71&amp;AL71&amp;"U"&amp;IF(AJ72=""," ",",")&amp;REPT(" ",59)&amp;"/* "&amp;IF(C71&lt;10,"0"&amp;C71,C71)&amp;" "&amp;AJ71&amp;REPT(" ",47-LEN(AJ71))&amp;" */")</f>
        <v xml:space="preserve">    (U4)0x00000000U,                                                           /* 00 UNKNOWN                                         */</v>
      </c>
    </row>
    <row r="72" spans="1:46">
      <c r="B72" s="138"/>
      <c r="C72" s="47">
        <f t="shared" ref="C72:C134" si="9">IF(C7&lt;&gt;"",C7,"")</f>
        <v>1</v>
      </c>
      <c r="D72" s="130">
        <f t="shared" si="6"/>
        <v>0</v>
      </c>
      <c r="E72" s="130">
        <f t="shared" si="6"/>
        <v>0</v>
      </c>
      <c r="F72" s="130">
        <f t="shared" si="6"/>
        <v>0</v>
      </c>
      <c r="G72" s="130">
        <f t="shared" si="6"/>
        <v>0</v>
      </c>
      <c r="H72" s="130">
        <f t="shared" si="6"/>
        <v>0</v>
      </c>
      <c r="I72" s="130">
        <f t="shared" si="6"/>
        <v>0</v>
      </c>
      <c r="J72" s="130">
        <f t="shared" si="6"/>
        <v>0</v>
      </c>
      <c r="K72" s="130">
        <f t="shared" si="6"/>
        <v>0</v>
      </c>
      <c r="L72" s="130">
        <f t="shared" si="6"/>
        <v>0</v>
      </c>
      <c r="M72" s="130">
        <f t="shared" si="6"/>
        <v>0</v>
      </c>
      <c r="N72" s="130">
        <f t="shared" si="6"/>
        <v>0</v>
      </c>
      <c r="O72" s="130">
        <f t="shared" si="6"/>
        <v>0</v>
      </c>
      <c r="P72" s="130">
        <f t="shared" si="6"/>
        <v>0</v>
      </c>
      <c r="Q72" s="130">
        <f t="shared" si="6"/>
        <v>0</v>
      </c>
      <c r="R72" s="130">
        <f t="shared" si="6"/>
        <v>0</v>
      </c>
      <c r="S72" s="130">
        <f t="shared" si="6"/>
        <v>0</v>
      </c>
      <c r="T72" s="130">
        <f t="shared" si="6"/>
        <v>0</v>
      </c>
      <c r="U72" s="130">
        <f t="shared" si="6"/>
        <v>0</v>
      </c>
      <c r="V72" s="130">
        <f t="shared" si="6"/>
        <v>0</v>
      </c>
      <c r="W72" s="130">
        <f t="shared" si="6"/>
        <v>0</v>
      </c>
      <c r="X72" s="130">
        <f t="shared" si="6"/>
        <v>0</v>
      </c>
      <c r="Y72" s="130">
        <f t="shared" si="6"/>
        <v>0</v>
      </c>
      <c r="Z72" s="130">
        <f t="shared" si="6"/>
        <v>0</v>
      </c>
      <c r="AA72" s="130">
        <f t="shared" si="6"/>
        <v>0</v>
      </c>
      <c r="AB72" s="130">
        <f t="shared" si="6"/>
        <v>0</v>
      </c>
      <c r="AC72" s="130">
        <f t="shared" si="6"/>
        <v>0</v>
      </c>
      <c r="AD72" s="130">
        <f t="shared" si="6"/>
        <v>0</v>
      </c>
      <c r="AE72" s="130">
        <f t="shared" si="6"/>
        <v>0</v>
      </c>
      <c r="AF72" s="130">
        <f t="shared" si="6"/>
        <v>0</v>
      </c>
      <c r="AG72" s="130">
        <f t="shared" si="6"/>
        <v>0</v>
      </c>
      <c r="AH72" s="130">
        <f t="shared" si="6"/>
        <v>0</v>
      </c>
      <c r="AI72" s="130">
        <f t="shared" si="6"/>
        <v>1</v>
      </c>
      <c r="AJ72" s="47" t="str">
        <f t="shared" si="7"/>
        <v>ATFWREQ</v>
      </c>
      <c r="AK72" s="60"/>
      <c r="AL72" s="60" t="str">
        <f t="shared" ref="AL72:AL134" si="10">BIN2HEX(AB72&amp;AC72&amp;AD72&amp;AE72&amp;AF72&amp;AG72&amp;AH72&amp;AI72,2)</f>
        <v>01</v>
      </c>
      <c r="AM72" s="62" t="str">
        <f t="shared" ref="AM72:AM134" si="11">BIN2HEX(T72&amp;U72&amp;V72&amp;W72&amp;X72&amp;Y72&amp;Z72&amp;AA72,2)</f>
        <v>00</v>
      </c>
      <c r="AN72" s="62" t="str">
        <f t="shared" ref="AN72:AN134" si="12">BIN2HEX(L72&amp;M72&amp;N72&amp;O72&amp;P72&amp;Q72&amp;R72&amp;S72,2)</f>
        <v>00</v>
      </c>
      <c r="AO72" s="62" t="str">
        <f t="shared" ref="AO72:AO134" si="13">BIN2HEX(D72&amp;E72&amp;F72&amp;G72&amp;H72&amp;I72&amp;J72&amp;K72,2)</f>
        <v>00</v>
      </c>
      <c r="AQ72" t="str">
        <f t="shared" si="8"/>
        <v xml:space="preserve">    (U4)0x00000001U,                                                           /* 01 ATFWREQ                                         */</v>
      </c>
    </row>
    <row r="73" spans="1:46">
      <c r="B73" s="138"/>
      <c r="C73" s="47">
        <f t="shared" si="9"/>
        <v>2</v>
      </c>
      <c r="D73" s="130">
        <f t="shared" si="6"/>
        <v>0</v>
      </c>
      <c r="E73" s="130">
        <f t="shared" si="6"/>
        <v>0</v>
      </c>
      <c r="F73" s="130">
        <f t="shared" si="6"/>
        <v>0</v>
      </c>
      <c r="G73" s="130">
        <f t="shared" si="6"/>
        <v>0</v>
      </c>
      <c r="H73" s="130">
        <f t="shared" si="6"/>
        <v>0</v>
      </c>
      <c r="I73" s="130">
        <f t="shared" si="6"/>
        <v>0</v>
      </c>
      <c r="J73" s="130">
        <f t="shared" si="6"/>
        <v>0</v>
      </c>
      <c r="K73" s="130">
        <f t="shared" si="6"/>
        <v>0</v>
      </c>
      <c r="L73" s="130">
        <f t="shared" si="6"/>
        <v>0</v>
      </c>
      <c r="M73" s="130">
        <f t="shared" si="6"/>
        <v>0</v>
      </c>
      <c r="N73" s="130">
        <f t="shared" si="6"/>
        <v>0</v>
      </c>
      <c r="O73" s="130">
        <f t="shared" si="6"/>
        <v>0</v>
      </c>
      <c r="P73" s="130">
        <f t="shared" si="6"/>
        <v>0</v>
      </c>
      <c r="Q73" s="130">
        <f t="shared" si="6"/>
        <v>0</v>
      </c>
      <c r="R73" s="130">
        <f t="shared" si="6"/>
        <v>0</v>
      </c>
      <c r="S73" s="130">
        <f t="shared" si="6"/>
        <v>0</v>
      </c>
      <c r="T73" s="130">
        <f t="shared" si="6"/>
        <v>0</v>
      </c>
      <c r="U73" s="130">
        <f t="shared" si="6"/>
        <v>0</v>
      </c>
      <c r="V73" s="130">
        <f t="shared" si="6"/>
        <v>0</v>
      </c>
      <c r="W73" s="130">
        <f t="shared" si="6"/>
        <v>0</v>
      </c>
      <c r="X73" s="130">
        <f t="shared" si="6"/>
        <v>0</v>
      </c>
      <c r="Y73" s="130">
        <f t="shared" si="6"/>
        <v>0</v>
      </c>
      <c r="Z73" s="130">
        <f t="shared" si="6"/>
        <v>0</v>
      </c>
      <c r="AA73" s="130">
        <f t="shared" si="6"/>
        <v>0</v>
      </c>
      <c r="AB73" s="130">
        <f t="shared" si="6"/>
        <v>0</v>
      </c>
      <c r="AC73" s="130">
        <f t="shared" si="6"/>
        <v>0</v>
      </c>
      <c r="AD73" s="130">
        <f t="shared" si="6"/>
        <v>0</v>
      </c>
      <c r="AE73" s="130">
        <f t="shared" si="6"/>
        <v>0</v>
      </c>
      <c r="AF73" s="130">
        <f t="shared" si="6"/>
        <v>0</v>
      </c>
      <c r="AG73" s="130">
        <f t="shared" si="6"/>
        <v>0</v>
      </c>
      <c r="AH73" s="130">
        <f t="shared" si="6"/>
        <v>1</v>
      </c>
      <c r="AI73" s="130">
        <f t="shared" si="6"/>
        <v>0</v>
      </c>
      <c r="AJ73" s="47" t="str">
        <f t="shared" si="7"/>
        <v>UNKNOWN</v>
      </c>
      <c r="AK73" s="60"/>
      <c r="AL73" s="60" t="str">
        <f t="shared" si="10"/>
        <v>02</v>
      </c>
      <c r="AM73" s="62" t="str">
        <f t="shared" si="11"/>
        <v>00</v>
      </c>
      <c r="AN73" s="62" t="str">
        <f t="shared" si="12"/>
        <v>00</v>
      </c>
      <c r="AO73" s="62" t="str">
        <f t="shared" si="13"/>
        <v>00</v>
      </c>
      <c r="AQ73" t="str">
        <f t="shared" si="8"/>
        <v xml:space="preserve">    (U4)0x00000002U,                                                           /* 02 UNKNOWN                                         */</v>
      </c>
    </row>
    <row r="74" spans="1:46">
      <c r="B74" s="138"/>
      <c r="C74" s="47">
        <f t="shared" si="9"/>
        <v>3</v>
      </c>
      <c r="D74" s="130">
        <f t="shared" si="6"/>
        <v>0</v>
      </c>
      <c r="E74" s="130">
        <f t="shared" si="6"/>
        <v>0</v>
      </c>
      <c r="F74" s="130">
        <f t="shared" si="6"/>
        <v>0</v>
      </c>
      <c r="G74" s="130">
        <f t="shared" si="6"/>
        <v>0</v>
      </c>
      <c r="H74" s="130">
        <f t="shared" si="6"/>
        <v>0</v>
      </c>
      <c r="I74" s="130">
        <f t="shared" si="6"/>
        <v>0</v>
      </c>
      <c r="J74" s="130">
        <f t="shared" si="6"/>
        <v>0</v>
      </c>
      <c r="K74" s="130">
        <f t="shared" si="6"/>
        <v>0</v>
      </c>
      <c r="L74" s="130">
        <f t="shared" si="6"/>
        <v>0</v>
      </c>
      <c r="M74" s="130">
        <f t="shared" si="6"/>
        <v>0</v>
      </c>
      <c r="N74" s="130">
        <f t="shared" si="6"/>
        <v>0</v>
      </c>
      <c r="O74" s="130">
        <f t="shared" si="6"/>
        <v>0</v>
      </c>
      <c r="P74" s="130">
        <f t="shared" si="6"/>
        <v>0</v>
      </c>
      <c r="Q74" s="130">
        <f t="shared" si="6"/>
        <v>0</v>
      </c>
      <c r="R74" s="130">
        <f t="shared" si="6"/>
        <v>0</v>
      </c>
      <c r="S74" s="130">
        <f t="shared" si="6"/>
        <v>0</v>
      </c>
      <c r="T74" s="130">
        <f t="shared" si="6"/>
        <v>0</v>
      </c>
      <c r="U74" s="130">
        <f t="shared" si="6"/>
        <v>0</v>
      </c>
      <c r="V74" s="130">
        <f t="shared" si="6"/>
        <v>0</v>
      </c>
      <c r="W74" s="130">
        <f t="shared" si="6"/>
        <v>0</v>
      </c>
      <c r="X74" s="130">
        <f t="shared" si="6"/>
        <v>0</v>
      </c>
      <c r="Y74" s="130">
        <f t="shared" si="6"/>
        <v>0</v>
      </c>
      <c r="Z74" s="130">
        <f t="shared" si="6"/>
        <v>0</v>
      </c>
      <c r="AA74" s="130">
        <f t="shared" si="6"/>
        <v>0</v>
      </c>
      <c r="AB74" s="130">
        <f t="shared" si="6"/>
        <v>0</v>
      </c>
      <c r="AC74" s="130">
        <f t="shared" si="6"/>
        <v>0</v>
      </c>
      <c r="AD74" s="130">
        <f t="shared" si="6"/>
        <v>0</v>
      </c>
      <c r="AE74" s="130">
        <f t="shared" si="6"/>
        <v>0</v>
      </c>
      <c r="AF74" s="130">
        <f t="shared" si="6"/>
        <v>0</v>
      </c>
      <c r="AG74" s="130">
        <f t="shared" si="6"/>
        <v>0</v>
      </c>
      <c r="AH74" s="130">
        <f t="shared" si="6"/>
        <v>1</v>
      </c>
      <c r="AI74" s="130">
        <f t="shared" si="6"/>
        <v>1</v>
      </c>
      <c r="AJ74" s="47" t="str">
        <f t="shared" si="7"/>
        <v>UNKNOWN</v>
      </c>
      <c r="AK74" s="60"/>
      <c r="AL74" s="60" t="str">
        <f t="shared" si="10"/>
        <v>03</v>
      </c>
      <c r="AM74" s="62" t="str">
        <f t="shared" si="11"/>
        <v>00</v>
      </c>
      <c r="AN74" s="62" t="str">
        <f t="shared" si="12"/>
        <v>00</v>
      </c>
      <c r="AO74" s="62" t="str">
        <f t="shared" si="13"/>
        <v>00</v>
      </c>
      <c r="AQ74" t="str">
        <f t="shared" si="8"/>
        <v xml:space="preserve">    (U4)0x00000003U                                                            /* 03 UNKNOWN                                         */</v>
      </c>
    </row>
    <row r="75" spans="1:46">
      <c r="B75" s="138"/>
      <c r="C75" s="47">
        <f t="shared" si="9"/>
        <v>4</v>
      </c>
      <c r="D75" s="130">
        <f t="shared" si="6"/>
        <v>0</v>
      </c>
      <c r="E75" s="130">
        <f t="shared" si="6"/>
        <v>0</v>
      </c>
      <c r="F75" s="130">
        <f t="shared" si="6"/>
        <v>0</v>
      </c>
      <c r="G75" s="130">
        <f t="shared" si="6"/>
        <v>0</v>
      </c>
      <c r="H75" s="130">
        <f t="shared" si="6"/>
        <v>0</v>
      </c>
      <c r="I75" s="130">
        <f t="shared" si="6"/>
        <v>0</v>
      </c>
      <c r="J75" s="130">
        <f t="shared" si="6"/>
        <v>0</v>
      </c>
      <c r="K75" s="130">
        <f t="shared" si="6"/>
        <v>0</v>
      </c>
      <c r="L75" s="130">
        <f t="shared" si="6"/>
        <v>0</v>
      </c>
      <c r="M75" s="130">
        <f t="shared" si="6"/>
        <v>0</v>
      </c>
      <c r="N75" s="130">
        <f t="shared" si="6"/>
        <v>0</v>
      </c>
      <c r="O75" s="130">
        <f t="shared" si="6"/>
        <v>0</v>
      </c>
      <c r="P75" s="130">
        <f t="shared" si="6"/>
        <v>0</v>
      </c>
      <c r="Q75" s="130">
        <f t="shared" si="6"/>
        <v>0</v>
      </c>
      <c r="R75" s="130">
        <f t="shared" si="6"/>
        <v>0</v>
      </c>
      <c r="S75" s="130">
        <f t="shared" si="6"/>
        <v>0</v>
      </c>
      <c r="T75" s="130">
        <f t="shared" si="6"/>
        <v>0</v>
      </c>
      <c r="U75" s="130">
        <f t="shared" si="6"/>
        <v>0</v>
      </c>
      <c r="V75" s="130">
        <f t="shared" si="6"/>
        <v>0</v>
      </c>
      <c r="W75" s="130">
        <f t="shared" si="6"/>
        <v>0</v>
      </c>
      <c r="X75" s="130">
        <f t="shared" si="6"/>
        <v>0</v>
      </c>
      <c r="Y75" s="130">
        <f t="shared" si="6"/>
        <v>0</v>
      </c>
      <c r="Z75" s="130">
        <f t="shared" si="6"/>
        <v>0</v>
      </c>
      <c r="AA75" s="130">
        <f t="shared" si="6"/>
        <v>0</v>
      </c>
      <c r="AB75" s="130">
        <f t="shared" si="6"/>
        <v>0</v>
      </c>
      <c r="AC75" s="130">
        <f t="shared" si="6"/>
        <v>0</v>
      </c>
      <c r="AD75" s="130">
        <f t="shared" si="6"/>
        <v>0</v>
      </c>
      <c r="AE75" s="130">
        <f t="shared" si="6"/>
        <v>0</v>
      </c>
      <c r="AF75" s="130">
        <f t="shared" si="6"/>
        <v>0</v>
      </c>
      <c r="AG75" s="130">
        <f t="shared" si="6"/>
        <v>0</v>
      </c>
      <c r="AH75" s="130">
        <f t="shared" si="6"/>
        <v>0</v>
      </c>
      <c r="AI75" s="130">
        <f t="shared" si="6"/>
        <v>0</v>
      </c>
      <c r="AJ75" s="47" t="str">
        <f t="shared" si="7"/>
        <v/>
      </c>
      <c r="AK75" s="60"/>
      <c r="AL75" s="60" t="str">
        <f t="shared" si="10"/>
        <v>00</v>
      </c>
      <c r="AM75" s="62" t="str">
        <f t="shared" si="11"/>
        <v>00</v>
      </c>
      <c r="AN75" s="62" t="str">
        <f t="shared" si="12"/>
        <v>00</v>
      </c>
      <c r="AO75" s="62" t="str">
        <f t="shared" si="13"/>
        <v>00</v>
      </c>
      <c r="AQ75" t="str">
        <f t="shared" si="8"/>
        <v/>
      </c>
    </row>
    <row r="76" spans="1:46">
      <c r="B76" s="138"/>
      <c r="C76" s="47">
        <f t="shared" si="9"/>
        <v>5</v>
      </c>
      <c r="D76" s="130">
        <f t="shared" si="6"/>
        <v>0</v>
      </c>
      <c r="E76" s="130">
        <f t="shared" si="6"/>
        <v>0</v>
      </c>
      <c r="F76" s="130">
        <f t="shared" si="6"/>
        <v>0</v>
      </c>
      <c r="G76" s="130">
        <f t="shared" si="6"/>
        <v>0</v>
      </c>
      <c r="H76" s="130">
        <f t="shared" si="6"/>
        <v>0</v>
      </c>
      <c r="I76" s="130">
        <f t="shared" si="6"/>
        <v>0</v>
      </c>
      <c r="J76" s="130">
        <f t="shared" si="6"/>
        <v>0</v>
      </c>
      <c r="K76" s="130">
        <f t="shared" si="6"/>
        <v>0</v>
      </c>
      <c r="L76" s="130">
        <f t="shared" si="6"/>
        <v>0</v>
      </c>
      <c r="M76" s="130">
        <f t="shared" si="6"/>
        <v>0</v>
      </c>
      <c r="N76" s="130">
        <f t="shared" si="6"/>
        <v>0</v>
      </c>
      <c r="O76" s="130">
        <f t="shared" si="6"/>
        <v>0</v>
      </c>
      <c r="P76" s="130">
        <f t="shared" si="6"/>
        <v>0</v>
      </c>
      <c r="Q76" s="130">
        <f t="shared" si="6"/>
        <v>0</v>
      </c>
      <c r="R76" s="130">
        <f t="shared" si="6"/>
        <v>0</v>
      </c>
      <c r="S76" s="130">
        <f t="shared" si="6"/>
        <v>0</v>
      </c>
      <c r="T76" s="130">
        <f t="shared" si="6"/>
        <v>0</v>
      </c>
      <c r="U76" s="130">
        <f t="shared" si="6"/>
        <v>0</v>
      </c>
      <c r="V76" s="130">
        <f t="shared" si="6"/>
        <v>0</v>
      </c>
      <c r="W76" s="130">
        <f t="shared" si="6"/>
        <v>0</v>
      </c>
      <c r="X76" s="130">
        <f t="shared" si="6"/>
        <v>0</v>
      </c>
      <c r="Y76" s="130">
        <f t="shared" si="6"/>
        <v>0</v>
      </c>
      <c r="Z76" s="130">
        <f t="shared" si="6"/>
        <v>0</v>
      </c>
      <c r="AA76" s="130">
        <f t="shared" si="6"/>
        <v>0</v>
      </c>
      <c r="AB76" s="130">
        <f t="shared" si="6"/>
        <v>0</v>
      </c>
      <c r="AC76" s="130">
        <f t="shared" si="6"/>
        <v>0</v>
      </c>
      <c r="AD76" s="130">
        <f t="shared" si="6"/>
        <v>0</v>
      </c>
      <c r="AE76" s="130">
        <f t="shared" si="6"/>
        <v>0</v>
      </c>
      <c r="AF76" s="130">
        <f t="shared" si="6"/>
        <v>0</v>
      </c>
      <c r="AG76" s="130">
        <f t="shared" si="6"/>
        <v>0</v>
      </c>
      <c r="AH76" s="130">
        <f t="shared" si="6"/>
        <v>0</v>
      </c>
      <c r="AI76" s="130">
        <f t="shared" si="6"/>
        <v>0</v>
      </c>
      <c r="AJ76" s="47" t="str">
        <f t="shared" si="7"/>
        <v/>
      </c>
      <c r="AK76" s="60"/>
      <c r="AL76" s="60" t="str">
        <f t="shared" si="10"/>
        <v>00</v>
      </c>
      <c r="AM76" s="62" t="str">
        <f t="shared" si="11"/>
        <v>00</v>
      </c>
      <c r="AN76" s="62" t="str">
        <f t="shared" si="12"/>
        <v>00</v>
      </c>
      <c r="AO76" s="62" t="str">
        <f t="shared" si="13"/>
        <v>00</v>
      </c>
      <c r="AQ76" t="str">
        <f t="shared" si="8"/>
        <v/>
      </c>
    </row>
    <row r="77" spans="1:46">
      <c r="B77" s="138"/>
      <c r="C77" s="47">
        <f t="shared" si="9"/>
        <v>6</v>
      </c>
      <c r="D77" s="130">
        <f t="shared" si="6"/>
        <v>0</v>
      </c>
      <c r="E77" s="130">
        <f t="shared" si="6"/>
        <v>0</v>
      </c>
      <c r="F77" s="130">
        <f t="shared" si="6"/>
        <v>0</v>
      </c>
      <c r="G77" s="130">
        <f t="shared" si="6"/>
        <v>0</v>
      </c>
      <c r="H77" s="130">
        <f t="shared" si="6"/>
        <v>0</v>
      </c>
      <c r="I77" s="130">
        <f t="shared" si="6"/>
        <v>0</v>
      </c>
      <c r="J77" s="130">
        <f t="shared" si="6"/>
        <v>0</v>
      </c>
      <c r="K77" s="130">
        <f t="shared" si="6"/>
        <v>0</v>
      </c>
      <c r="L77" s="130">
        <f t="shared" si="6"/>
        <v>0</v>
      </c>
      <c r="M77" s="130">
        <f t="shared" si="6"/>
        <v>0</v>
      </c>
      <c r="N77" s="130">
        <f t="shared" si="6"/>
        <v>0</v>
      </c>
      <c r="O77" s="130">
        <f t="shared" si="6"/>
        <v>0</v>
      </c>
      <c r="P77" s="130">
        <f t="shared" si="6"/>
        <v>0</v>
      </c>
      <c r="Q77" s="130">
        <f t="shared" si="6"/>
        <v>0</v>
      </c>
      <c r="R77" s="130">
        <f t="shared" si="6"/>
        <v>0</v>
      </c>
      <c r="S77" s="130">
        <f t="shared" si="6"/>
        <v>0</v>
      </c>
      <c r="T77" s="130">
        <f t="shared" si="6"/>
        <v>0</v>
      </c>
      <c r="U77" s="130">
        <f t="shared" si="6"/>
        <v>0</v>
      </c>
      <c r="V77" s="130">
        <f t="shared" si="6"/>
        <v>0</v>
      </c>
      <c r="W77" s="130">
        <f t="shared" si="6"/>
        <v>0</v>
      </c>
      <c r="X77" s="130">
        <f t="shared" si="6"/>
        <v>0</v>
      </c>
      <c r="Y77" s="130">
        <f t="shared" si="6"/>
        <v>0</v>
      </c>
      <c r="Z77" s="130">
        <f t="shared" si="6"/>
        <v>0</v>
      </c>
      <c r="AA77" s="130">
        <f t="shared" si="6"/>
        <v>0</v>
      </c>
      <c r="AB77" s="130">
        <f t="shared" si="6"/>
        <v>0</v>
      </c>
      <c r="AC77" s="130">
        <f t="shared" si="6"/>
        <v>0</v>
      </c>
      <c r="AD77" s="130">
        <f t="shared" si="6"/>
        <v>0</v>
      </c>
      <c r="AE77" s="130">
        <f t="shared" si="6"/>
        <v>0</v>
      </c>
      <c r="AF77" s="130">
        <f t="shared" si="6"/>
        <v>0</v>
      </c>
      <c r="AG77" s="130">
        <f t="shared" si="6"/>
        <v>0</v>
      </c>
      <c r="AH77" s="130">
        <f t="shared" si="6"/>
        <v>0</v>
      </c>
      <c r="AI77" s="130">
        <f t="shared" si="6"/>
        <v>0</v>
      </c>
      <c r="AJ77" s="47" t="str">
        <f t="shared" si="7"/>
        <v/>
      </c>
      <c r="AK77" s="60"/>
      <c r="AL77" s="60" t="str">
        <f t="shared" si="10"/>
        <v>00</v>
      </c>
      <c r="AM77" s="62" t="str">
        <f t="shared" si="11"/>
        <v>00</v>
      </c>
      <c r="AN77" s="62" t="str">
        <f t="shared" si="12"/>
        <v>00</v>
      </c>
      <c r="AO77" s="62" t="str">
        <f t="shared" si="13"/>
        <v>00</v>
      </c>
      <c r="AQ77" t="str">
        <f t="shared" si="8"/>
        <v/>
      </c>
    </row>
    <row r="78" spans="1:46">
      <c r="B78" s="138"/>
      <c r="C78" s="47">
        <f t="shared" si="9"/>
        <v>7</v>
      </c>
      <c r="D78" s="130">
        <f t="shared" si="6"/>
        <v>0</v>
      </c>
      <c r="E78" s="130">
        <f t="shared" si="6"/>
        <v>0</v>
      </c>
      <c r="F78" s="130">
        <f t="shared" si="6"/>
        <v>0</v>
      </c>
      <c r="G78" s="130">
        <f t="shared" si="6"/>
        <v>0</v>
      </c>
      <c r="H78" s="130">
        <f t="shared" si="6"/>
        <v>0</v>
      </c>
      <c r="I78" s="130">
        <f t="shared" si="6"/>
        <v>0</v>
      </c>
      <c r="J78" s="130">
        <f t="shared" si="6"/>
        <v>0</v>
      </c>
      <c r="K78" s="130">
        <f t="shared" si="6"/>
        <v>0</v>
      </c>
      <c r="L78" s="130">
        <f t="shared" si="6"/>
        <v>0</v>
      </c>
      <c r="M78" s="130">
        <f t="shared" si="6"/>
        <v>0</v>
      </c>
      <c r="N78" s="130">
        <f t="shared" si="6"/>
        <v>0</v>
      </c>
      <c r="O78" s="130">
        <f t="shared" si="6"/>
        <v>0</v>
      </c>
      <c r="P78" s="130">
        <f t="shared" si="6"/>
        <v>0</v>
      </c>
      <c r="Q78" s="130">
        <f t="shared" si="6"/>
        <v>0</v>
      </c>
      <c r="R78" s="130">
        <f t="shared" si="6"/>
        <v>0</v>
      </c>
      <c r="S78" s="130">
        <f t="shared" si="6"/>
        <v>0</v>
      </c>
      <c r="T78" s="130">
        <f t="shared" si="6"/>
        <v>0</v>
      </c>
      <c r="U78" s="130">
        <f t="shared" si="6"/>
        <v>0</v>
      </c>
      <c r="V78" s="130">
        <f t="shared" si="6"/>
        <v>0</v>
      </c>
      <c r="W78" s="130">
        <f t="shared" si="6"/>
        <v>0</v>
      </c>
      <c r="X78" s="130">
        <f t="shared" si="6"/>
        <v>0</v>
      </c>
      <c r="Y78" s="130">
        <f t="shared" si="6"/>
        <v>0</v>
      </c>
      <c r="Z78" s="130">
        <f t="shared" si="6"/>
        <v>0</v>
      </c>
      <c r="AA78" s="130">
        <f t="shared" si="6"/>
        <v>0</v>
      </c>
      <c r="AB78" s="130">
        <f t="shared" si="6"/>
        <v>0</v>
      </c>
      <c r="AC78" s="130">
        <f t="shared" si="6"/>
        <v>0</v>
      </c>
      <c r="AD78" s="130">
        <f t="shared" si="6"/>
        <v>0</v>
      </c>
      <c r="AE78" s="130">
        <f t="shared" si="6"/>
        <v>0</v>
      </c>
      <c r="AF78" s="130">
        <f t="shared" si="6"/>
        <v>0</v>
      </c>
      <c r="AG78" s="130">
        <f t="shared" si="6"/>
        <v>0</v>
      </c>
      <c r="AH78" s="130">
        <f t="shared" si="6"/>
        <v>0</v>
      </c>
      <c r="AI78" s="130">
        <f t="shared" ref="AI78" si="14">IF(AI13=1,1,0)</f>
        <v>0</v>
      </c>
      <c r="AJ78" s="47" t="str">
        <f t="shared" si="7"/>
        <v/>
      </c>
      <c r="AK78" s="60"/>
      <c r="AL78" s="60" t="str">
        <f t="shared" si="10"/>
        <v>00</v>
      </c>
      <c r="AM78" s="62" t="str">
        <f t="shared" si="11"/>
        <v>00</v>
      </c>
      <c r="AN78" s="62" t="str">
        <f t="shared" si="12"/>
        <v>00</v>
      </c>
      <c r="AO78" s="62" t="str">
        <f t="shared" si="13"/>
        <v>00</v>
      </c>
      <c r="AQ78" t="str">
        <f t="shared" si="8"/>
        <v/>
      </c>
    </row>
    <row r="79" spans="1:46">
      <c r="B79" s="138"/>
      <c r="C79" s="47">
        <f t="shared" si="9"/>
        <v>8</v>
      </c>
      <c r="D79" s="130">
        <f t="shared" ref="D79:AI86" si="15">IF(D14=1,1,0)</f>
        <v>0</v>
      </c>
      <c r="E79" s="130">
        <f t="shared" si="15"/>
        <v>0</v>
      </c>
      <c r="F79" s="130">
        <f t="shared" si="15"/>
        <v>0</v>
      </c>
      <c r="G79" s="130">
        <f t="shared" si="15"/>
        <v>0</v>
      </c>
      <c r="H79" s="130">
        <f t="shared" si="15"/>
        <v>0</v>
      </c>
      <c r="I79" s="130">
        <f t="shared" si="15"/>
        <v>0</v>
      </c>
      <c r="J79" s="130">
        <f t="shared" si="15"/>
        <v>0</v>
      </c>
      <c r="K79" s="130">
        <f t="shared" si="15"/>
        <v>0</v>
      </c>
      <c r="L79" s="130">
        <f t="shared" si="15"/>
        <v>0</v>
      </c>
      <c r="M79" s="130">
        <f t="shared" si="15"/>
        <v>0</v>
      </c>
      <c r="N79" s="130">
        <f t="shared" si="15"/>
        <v>0</v>
      </c>
      <c r="O79" s="130">
        <f t="shared" si="15"/>
        <v>0</v>
      </c>
      <c r="P79" s="130">
        <f t="shared" si="15"/>
        <v>0</v>
      </c>
      <c r="Q79" s="130">
        <f t="shared" si="15"/>
        <v>0</v>
      </c>
      <c r="R79" s="130">
        <f t="shared" si="15"/>
        <v>0</v>
      </c>
      <c r="S79" s="130">
        <f t="shared" si="15"/>
        <v>0</v>
      </c>
      <c r="T79" s="130">
        <f t="shared" si="15"/>
        <v>0</v>
      </c>
      <c r="U79" s="130">
        <f t="shared" si="15"/>
        <v>0</v>
      </c>
      <c r="V79" s="130">
        <f t="shared" si="15"/>
        <v>0</v>
      </c>
      <c r="W79" s="130">
        <f t="shared" si="15"/>
        <v>0</v>
      </c>
      <c r="X79" s="130">
        <f t="shared" si="15"/>
        <v>0</v>
      </c>
      <c r="Y79" s="130">
        <f t="shared" si="15"/>
        <v>0</v>
      </c>
      <c r="Z79" s="130">
        <f t="shared" si="15"/>
        <v>0</v>
      </c>
      <c r="AA79" s="130">
        <f t="shared" si="15"/>
        <v>0</v>
      </c>
      <c r="AB79" s="130">
        <f t="shared" si="15"/>
        <v>0</v>
      </c>
      <c r="AC79" s="130">
        <f t="shared" si="15"/>
        <v>0</v>
      </c>
      <c r="AD79" s="130">
        <f t="shared" si="15"/>
        <v>0</v>
      </c>
      <c r="AE79" s="130">
        <f t="shared" si="15"/>
        <v>0</v>
      </c>
      <c r="AF79" s="130">
        <f t="shared" si="15"/>
        <v>0</v>
      </c>
      <c r="AG79" s="130">
        <f t="shared" si="15"/>
        <v>0</v>
      </c>
      <c r="AH79" s="130">
        <f t="shared" si="15"/>
        <v>0</v>
      </c>
      <c r="AI79" s="130">
        <f t="shared" si="15"/>
        <v>0</v>
      </c>
      <c r="AJ79" s="47" t="str">
        <f t="shared" si="7"/>
        <v/>
      </c>
      <c r="AK79" s="60"/>
      <c r="AL79" s="60" t="str">
        <f t="shared" si="10"/>
        <v>00</v>
      </c>
      <c r="AM79" s="62" t="str">
        <f t="shared" si="11"/>
        <v>00</v>
      </c>
      <c r="AN79" s="62" t="str">
        <f t="shared" si="12"/>
        <v>00</v>
      </c>
      <c r="AO79" s="62" t="str">
        <f t="shared" si="13"/>
        <v>00</v>
      </c>
      <c r="AQ79" t="str">
        <f t="shared" si="8"/>
        <v/>
      </c>
    </row>
    <row r="80" spans="1:46">
      <c r="B80" s="138"/>
      <c r="C80" s="47">
        <f t="shared" si="9"/>
        <v>9</v>
      </c>
      <c r="D80" s="130">
        <f t="shared" si="15"/>
        <v>0</v>
      </c>
      <c r="E80" s="130">
        <f t="shared" si="15"/>
        <v>0</v>
      </c>
      <c r="F80" s="130">
        <f t="shared" si="15"/>
        <v>0</v>
      </c>
      <c r="G80" s="130">
        <f t="shared" si="15"/>
        <v>0</v>
      </c>
      <c r="H80" s="130">
        <f t="shared" si="15"/>
        <v>0</v>
      </c>
      <c r="I80" s="130">
        <f t="shared" si="15"/>
        <v>0</v>
      </c>
      <c r="J80" s="130">
        <f t="shared" si="15"/>
        <v>0</v>
      </c>
      <c r="K80" s="130">
        <f t="shared" si="15"/>
        <v>0</v>
      </c>
      <c r="L80" s="130">
        <f t="shared" si="15"/>
        <v>0</v>
      </c>
      <c r="M80" s="130">
        <f t="shared" si="15"/>
        <v>0</v>
      </c>
      <c r="N80" s="130">
        <f t="shared" si="15"/>
        <v>0</v>
      </c>
      <c r="O80" s="130">
        <f t="shared" si="15"/>
        <v>0</v>
      </c>
      <c r="P80" s="130">
        <f t="shared" si="15"/>
        <v>0</v>
      </c>
      <c r="Q80" s="130">
        <f t="shared" si="15"/>
        <v>0</v>
      </c>
      <c r="R80" s="130">
        <f t="shared" si="15"/>
        <v>0</v>
      </c>
      <c r="S80" s="130">
        <f t="shared" si="15"/>
        <v>0</v>
      </c>
      <c r="T80" s="130">
        <f t="shared" si="15"/>
        <v>0</v>
      </c>
      <c r="U80" s="130">
        <f t="shared" si="15"/>
        <v>0</v>
      </c>
      <c r="V80" s="130">
        <f t="shared" si="15"/>
        <v>0</v>
      </c>
      <c r="W80" s="130">
        <f t="shared" si="15"/>
        <v>0</v>
      </c>
      <c r="X80" s="130">
        <f t="shared" si="15"/>
        <v>0</v>
      </c>
      <c r="Y80" s="130">
        <f t="shared" si="15"/>
        <v>0</v>
      </c>
      <c r="Z80" s="130">
        <f t="shared" si="15"/>
        <v>0</v>
      </c>
      <c r="AA80" s="130">
        <f t="shared" si="15"/>
        <v>0</v>
      </c>
      <c r="AB80" s="130">
        <f t="shared" si="15"/>
        <v>0</v>
      </c>
      <c r="AC80" s="130">
        <f t="shared" si="15"/>
        <v>0</v>
      </c>
      <c r="AD80" s="130">
        <f t="shared" si="15"/>
        <v>0</v>
      </c>
      <c r="AE80" s="130">
        <f t="shared" si="15"/>
        <v>0</v>
      </c>
      <c r="AF80" s="130">
        <f t="shared" si="15"/>
        <v>0</v>
      </c>
      <c r="AG80" s="130">
        <f t="shared" si="15"/>
        <v>0</v>
      </c>
      <c r="AH80" s="130">
        <f t="shared" si="15"/>
        <v>0</v>
      </c>
      <c r="AI80" s="130">
        <f t="shared" si="15"/>
        <v>0</v>
      </c>
      <c r="AJ80" s="47" t="str">
        <f t="shared" si="7"/>
        <v/>
      </c>
      <c r="AK80" s="60"/>
      <c r="AL80" s="60" t="str">
        <f t="shared" si="10"/>
        <v>00</v>
      </c>
      <c r="AM80" s="62" t="str">
        <f t="shared" si="11"/>
        <v>00</v>
      </c>
      <c r="AN80" s="62" t="str">
        <f t="shared" si="12"/>
        <v>00</v>
      </c>
      <c r="AO80" s="62" t="str">
        <f t="shared" si="13"/>
        <v>00</v>
      </c>
      <c r="AQ80" t="str">
        <f t="shared" si="8"/>
        <v/>
      </c>
    </row>
    <row r="81" spans="2:43">
      <c r="B81" s="138"/>
      <c r="C81" s="47">
        <f t="shared" si="9"/>
        <v>10</v>
      </c>
      <c r="D81" s="130">
        <f t="shared" si="15"/>
        <v>0</v>
      </c>
      <c r="E81" s="130">
        <f t="shared" si="15"/>
        <v>0</v>
      </c>
      <c r="F81" s="130">
        <f t="shared" si="15"/>
        <v>0</v>
      </c>
      <c r="G81" s="130">
        <f t="shared" si="15"/>
        <v>0</v>
      </c>
      <c r="H81" s="130">
        <f t="shared" si="15"/>
        <v>0</v>
      </c>
      <c r="I81" s="130">
        <f t="shared" si="15"/>
        <v>0</v>
      </c>
      <c r="J81" s="130">
        <f t="shared" si="15"/>
        <v>0</v>
      </c>
      <c r="K81" s="130">
        <f t="shared" si="15"/>
        <v>0</v>
      </c>
      <c r="L81" s="130">
        <f t="shared" si="15"/>
        <v>0</v>
      </c>
      <c r="M81" s="130">
        <f t="shared" si="15"/>
        <v>0</v>
      </c>
      <c r="N81" s="130">
        <f t="shared" si="15"/>
        <v>0</v>
      </c>
      <c r="O81" s="130">
        <f t="shared" si="15"/>
        <v>0</v>
      </c>
      <c r="P81" s="130">
        <f t="shared" si="15"/>
        <v>0</v>
      </c>
      <c r="Q81" s="130">
        <f t="shared" si="15"/>
        <v>0</v>
      </c>
      <c r="R81" s="130">
        <f t="shared" si="15"/>
        <v>0</v>
      </c>
      <c r="S81" s="130">
        <f t="shared" si="15"/>
        <v>0</v>
      </c>
      <c r="T81" s="130">
        <f t="shared" si="15"/>
        <v>0</v>
      </c>
      <c r="U81" s="130">
        <f t="shared" si="15"/>
        <v>0</v>
      </c>
      <c r="V81" s="130">
        <f t="shared" si="15"/>
        <v>0</v>
      </c>
      <c r="W81" s="130">
        <f t="shared" si="15"/>
        <v>0</v>
      </c>
      <c r="X81" s="130">
        <f t="shared" si="15"/>
        <v>0</v>
      </c>
      <c r="Y81" s="130">
        <f t="shared" si="15"/>
        <v>0</v>
      </c>
      <c r="Z81" s="130">
        <f t="shared" si="15"/>
        <v>0</v>
      </c>
      <c r="AA81" s="130">
        <f t="shared" si="15"/>
        <v>0</v>
      </c>
      <c r="AB81" s="130">
        <f t="shared" si="15"/>
        <v>0</v>
      </c>
      <c r="AC81" s="130">
        <f t="shared" si="15"/>
        <v>0</v>
      </c>
      <c r="AD81" s="130">
        <f t="shared" si="15"/>
        <v>0</v>
      </c>
      <c r="AE81" s="130">
        <f t="shared" si="15"/>
        <v>0</v>
      </c>
      <c r="AF81" s="130">
        <f t="shared" si="15"/>
        <v>0</v>
      </c>
      <c r="AG81" s="130">
        <f t="shared" si="15"/>
        <v>0</v>
      </c>
      <c r="AH81" s="130">
        <f t="shared" si="15"/>
        <v>0</v>
      </c>
      <c r="AI81" s="130">
        <f t="shared" si="15"/>
        <v>0</v>
      </c>
      <c r="AJ81" s="47" t="str">
        <f t="shared" si="7"/>
        <v/>
      </c>
      <c r="AK81" s="60"/>
      <c r="AL81" s="60" t="str">
        <f t="shared" si="10"/>
        <v>00</v>
      </c>
      <c r="AM81" s="62" t="str">
        <f t="shared" si="11"/>
        <v>00</v>
      </c>
      <c r="AN81" s="62" t="str">
        <f t="shared" si="12"/>
        <v>00</v>
      </c>
      <c r="AO81" s="62" t="str">
        <f t="shared" si="13"/>
        <v>00</v>
      </c>
      <c r="AQ81" t="str">
        <f t="shared" si="8"/>
        <v/>
      </c>
    </row>
    <row r="82" spans="2:43">
      <c r="B82" s="138"/>
      <c r="C82" s="47">
        <f t="shared" si="9"/>
        <v>11</v>
      </c>
      <c r="D82" s="130">
        <f t="shared" si="15"/>
        <v>0</v>
      </c>
      <c r="E82" s="130">
        <f t="shared" si="15"/>
        <v>0</v>
      </c>
      <c r="F82" s="130">
        <f t="shared" si="15"/>
        <v>0</v>
      </c>
      <c r="G82" s="130">
        <f t="shared" si="15"/>
        <v>0</v>
      </c>
      <c r="H82" s="130">
        <f t="shared" si="15"/>
        <v>0</v>
      </c>
      <c r="I82" s="130">
        <f t="shared" si="15"/>
        <v>0</v>
      </c>
      <c r="J82" s="130">
        <f t="shared" si="15"/>
        <v>0</v>
      </c>
      <c r="K82" s="130">
        <f t="shared" si="15"/>
        <v>0</v>
      </c>
      <c r="L82" s="130">
        <f t="shared" si="15"/>
        <v>0</v>
      </c>
      <c r="M82" s="130">
        <f t="shared" si="15"/>
        <v>0</v>
      </c>
      <c r="N82" s="130">
        <f t="shared" si="15"/>
        <v>0</v>
      </c>
      <c r="O82" s="130">
        <f t="shared" si="15"/>
        <v>0</v>
      </c>
      <c r="P82" s="130">
        <f t="shared" si="15"/>
        <v>0</v>
      </c>
      <c r="Q82" s="130">
        <f t="shared" si="15"/>
        <v>0</v>
      </c>
      <c r="R82" s="130">
        <f t="shared" si="15"/>
        <v>0</v>
      </c>
      <c r="S82" s="130">
        <f t="shared" si="15"/>
        <v>0</v>
      </c>
      <c r="T82" s="130">
        <f t="shared" si="15"/>
        <v>0</v>
      </c>
      <c r="U82" s="130">
        <f t="shared" si="15"/>
        <v>0</v>
      </c>
      <c r="V82" s="130">
        <f t="shared" si="15"/>
        <v>0</v>
      </c>
      <c r="W82" s="130">
        <f t="shared" si="15"/>
        <v>0</v>
      </c>
      <c r="X82" s="130">
        <f t="shared" si="15"/>
        <v>0</v>
      </c>
      <c r="Y82" s="130">
        <f t="shared" si="15"/>
        <v>0</v>
      </c>
      <c r="Z82" s="130">
        <f t="shared" si="15"/>
        <v>0</v>
      </c>
      <c r="AA82" s="130">
        <f t="shared" si="15"/>
        <v>0</v>
      </c>
      <c r="AB82" s="130">
        <f t="shared" si="15"/>
        <v>0</v>
      </c>
      <c r="AC82" s="130">
        <f t="shared" si="15"/>
        <v>0</v>
      </c>
      <c r="AD82" s="130">
        <f t="shared" si="15"/>
        <v>0</v>
      </c>
      <c r="AE82" s="130">
        <f t="shared" si="15"/>
        <v>0</v>
      </c>
      <c r="AF82" s="130">
        <f t="shared" si="15"/>
        <v>0</v>
      </c>
      <c r="AG82" s="130">
        <f t="shared" si="15"/>
        <v>0</v>
      </c>
      <c r="AH82" s="130">
        <f t="shared" si="15"/>
        <v>0</v>
      </c>
      <c r="AI82" s="130">
        <f t="shared" si="15"/>
        <v>0</v>
      </c>
      <c r="AJ82" s="47" t="str">
        <f t="shared" si="7"/>
        <v/>
      </c>
      <c r="AK82" s="60"/>
      <c r="AL82" s="60" t="str">
        <f t="shared" si="10"/>
        <v>00</v>
      </c>
      <c r="AM82" s="62" t="str">
        <f t="shared" si="11"/>
        <v>00</v>
      </c>
      <c r="AN82" s="62" t="str">
        <f t="shared" si="12"/>
        <v>00</v>
      </c>
      <c r="AO82" s="62" t="str">
        <f t="shared" si="13"/>
        <v>00</v>
      </c>
      <c r="AQ82" t="str">
        <f t="shared" si="8"/>
        <v/>
      </c>
    </row>
    <row r="83" spans="2:43">
      <c r="B83" s="138"/>
      <c r="C83" s="47">
        <f t="shared" si="9"/>
        <v>12</v>
      </c>
      <c r="D83" s="130">
        <f t="shared" si="15"/>
        <v>0</v>
      </c>
      <c r="E83" s="130">
        <f t="shared" si="15"/>
        <v>0</v>
      </c>
      <c r="F83" s="130">
        <f t="shared" si="15"/>
        <v>0</v>
      </c>
      <c r="G83" s="130">
        <f t="shared" si="15"/>
        <v>0</v>
      </c>
      <c r="H83" s="130">
        <f t="shared" si="15"/>
        <v>0</v>
      </c>
      <c r="I83" s="130">
        <f t="shared" si="15"/>
        <v>0</v>
      </c>
      <c r="J83" s="130">
        <f t="shared" si="15"/>
        <v>0</v>
      </c>
      <c r="K83" s="130">
        <f t="shared" si="15"/>
        <v>0</v>
      </c>
      <c r="L83" s="130">
        <f t="shared" si="15"/>
        <v>0</v>
      </c>
      <c r="M83" s="130">
        <f t="shared" si="15"/>
        <v>0</v>
      </c>
      <c r="N83" s="130">
        <f t="shared" si="15"/>
        <v>0</v>
      </c>
      <c r="O83" s="130">
        <f t="shared" si="15"/>
        <v>0</v>
      </c>
      <c r="P83" s="130">
        <f t="shared" si="15"/>
        <v>0</v>
      </c>
      <c r="Q83" s="130">
        <f t="shared" si="15"/>
        <v>0</v>
      </c>
      <c r="R83" s="130">
        <f t="shared" si="15"/>
        <v>0</v>
      </c>
      <c r="S83" s="130">
        <f t="shared" si="15"/>
        <v>0</v>
      </c>
      <c r="T83" s="130">
        <f t="shared" si="15"/>
        <v>0</v>
      </c>
      <c r="U83" s="130">
        <f t="shared" si="15"/>
        <v>0</v>
      </c>
      <c r="V83" s="130">
        <f t="shared" si="15"/>
        <v>0</v>
      </c>
      <c r="W83" s="130">
        <f t="shared" si="15"/>
        <v>0</v>
      </c>
      <c r="X83" s="130">
        <f t="shared" si="15"/>
        <v>0</v>
      </c>
      <c r="Y83" s="130">
        <f t="shared" si="15"/>
        <v>0</v>
      </c>
      <c r="Z83" s="130">
        <f t="shared" si="15"/>
        <v>0</v>
      </c>
      <c r="AA83" s="130">
        <f t="shared" si="15"/>
        <v>0</v>
      </c>
      <c r="AB83" s="130">
        <f t="shared" si="15"/>
        <v>0</v>
      </c>
      <c r="AC83" s="130">
        <f t="shared" si="15"/>
        <v>0</v>
      </c>
      <c r="AD83" s="130">
        <f t="shared" si="15"/>
        <v>0</v>
      </c>
      <c r="AE83" s="130">
        <f t="shared" si="15"/>
        <v>0</v>
      </c>
      <c r="AF83" s="130">
        <f t="shared" si="15"/>
        <v>0</v>
      </c>
      <c r="AG83" s="130">
        <f t="shared" si="15"/>
        <v>0</v>
      </c>
      <c r="AH83" s="130">
        <f t="shared" si="15"/>
        <v>0</v>
      </c>
      <c r="AI83" s="130">
        <f t="shared" si="15"/>
        <v>0</v>
      </c>
      <c r="AJ83" s="47" t="str">
        <f t="shared" si="7"/>
        <v/>
      </c>
      <c r="AK83" s="60"/>
      <c r="AL83" s="60" t="str">
        <f t="shared" si="10"/>
        <v>00</v>
      </c>
      <c r="AM83" s="62" t="str">
        <f t="shared" si="11"/>
        <v>00</v>
      </c>
      <c r="AN83" s="62" t="str">
        <f t="shared" si="12"/>
        <v>00</v>
      </c>
      <c r="AO83" s="62" t="str">
        <f t="shared" si="13"/>
        <v>00</v>
      </c>
      <c r="AQ83" t="str">
        <f t="shared" si="8"/>
        <v/>
      </c>
    </row>
    <row r="84" spans="2:43">
      <c r="B84" s="138"/>
      <c r="C84" s="47">
        <f t="shared" si="9"/>
        <v>13</v>
      </c>
      <c r="D84" s="130">
        <f t="shared" si="15"/>
        <v>0</v>
      </c>
      <c r="E84" s="130">
        <f t="shared" si="15"/>
        <v>0</v>
      </c>
      <c r="F84" s="130">
        <f t="shared" si="15"/>
        <v>0</v>
      </c>
      <c r="G84" s="130">
        <f t="shared" si="15"/>
        <v>0</v>
      </c>
      <c r="H84" s="130">
        <f t="shared" si="15"/>
        <v>0</v>
      </c>
      <c r="I84" s="130">
        <f t="shared" si="15"/>
        <v>0</v>
      </c>
      <c r="J84" s="130">
        <f t="shared" si="15"/>
        <v>0</v>
      </c>
      <c r="K84" s="130">
        <f t="shared" si="15"/>
        <v>0</v>
      </c>
      <c r="L84" s="130">
        <f t="shared" si="15"/>
        <v>0</v>
      </c>
      <c r="M84" s="130">
        <f t="shared" si="15"/>
        <v>0</v>
      </c>
      <c r="N84" s="130">
        <f t="shared" si="15"/>
        <v>0</v>
      </c>
      <c r="O84" s="130">
        <f t="shared" si="15"/>
        <v>0</v>
      </c>
      <c r="P84" s="130">
        <f t="shared" si="15"/>
        <v>0</v>
      </c>
      <c r="Q84" s="130">
        <f t="shared" si="15"/>
        <v>0</v>
      </c>
      <c r="R84" s="130">
        <f t="shared" si="15"/>
        <v>0</v>
      </c>
      <c r="S84" s="130">
        <f t="shared" si="15"/>
        <v>0</v>
      </c>
      <c r="T84" s="130">
        <f t="shared" si="15"/>
        <v>0</v>
      </c>
      <c r="U84" s="130">
        <f t="shared" si="15"/>
        <v>0</v>
      </c>
      <c r="V84" s="130">
        <f t="shared" si="15"/>
        <v>0</v>
      </c>
      <c r="W84" s="130">
        <f t="shared" si="15"/>
        <v>0</v>
      </c>
      <c r="X84" s="130">
        <f t="shared" si="15"/>
        <v>0</v>
      </c>
      <c r="Y84" s="130">
        <f t="shared" si="15"/>
        <v>0</v>
      </c>
      <c r="Z84" s="130">
        <f t="shared" si="15"/>
        <v>0</v>
      </c>
      <c r="AA84" s="130">
        <f t="shared" si="15"/>
        <v>0</v>
      </c>
      <c r="AB84" s="130">
        <f t="shared" si="15"/>
        <v>0</v>
      </c>
      <c r="AC84" s="130">
        <f t="shared" si="15"/>
        <v>0</v>
      </c>
      <c r="AD84" s="130">
        <f t="shared" si="15"/>
        <v>0</v>
      </c>
      <c r="AE84" s="130">
        <f t="shared" si="15"/>
        <v>0</v>
      </c>
      <c r="AF84" s="130">
        <f t="shared" si="15"/>
        <v>0</v>
      </c>
      <c r="AG84" s="130">
        <f t="shared" si="15"/>
        <v>0</v>
      </c>
      <c r="AH84" s="130">
        <f t="shared" si="15"/>
        <v>0</v>
      </c>
      <c r="AI84" s="130">
        <f t="shared" si="15"/>
        <v>0</v>
      </c>
      <c r="AJ84" s="47" t="str">
        <f t="shared" si="7"/>
        <v/>
      </c>
      <c r="AK84" s="60"/>
      <c r="AL84" s="60" t="str">
        <f t="shared" si="10"/>
        <v>00</v>
      </c>
      <c r="AM84" s="62" t="str">
        <f t="shared" si="11"/>
        <v>00</v>
      </c>
      <c r="AN84" s="62" t="str">
        <f t="shared" si="12"/>
        <v>00</v>
      </c>
      <c r="AO84" s="62" t="str">
        <f t="shared" si="13"/>
        <v>00</v>
      </c>
      <c r="AQ84" t="str">
        <f t="shared" si="8"/>
        <v/>
      </c>
    </row>
    <row r="85" spans="2:43">
      <c r="B85" s="138"/>
      <c r="C85" s="47">
        <f t="shared" si="9"/>
        <v>14</v>
      </c>
      <c r="D85" s="130">
        <f t="shared" si="15"/>
        <v>0</v>
      </c>
      <c r="E85" s="130">
        <f t="shared" si="15"/>
        <v>0</v>
      </c>
      <c r="F85" s="130">
        <f t="shared" si="15"/>
        <v>0</v>
      </c>
      <c r="G85" s="130">
        <f t="shared" si="15"/>
        <v>0</v>
      </c>
      <c r="H85" s="130">
        <f t="shared" si="15"/>
        <v>0</v>
      </c>
      <c r="I85" s="130">
        <f t="shared" si="15"/>
        <v>0</v>
      </c>
      <c r="J85" s="130">
        <f t="shared" si="15"/>
        <v>0</v>
      </c>
      <c r="K85" s="130">
        <f t="shared" si="15"/>
        <v>0</v>
      </c>
      <c r="L85" s="130">
        <f t="shared" si="15"/>
        <v>0</v>
      </c>
      <c r="M85" s="130">
        <f t="shared" si="15"/>
        <v>0</v>
      </c>
      <c r="N85" s="130">
        <f t="shared" si="15"/>
        <v>0</v>
      </c>
      <c r="O85" s="130">
        <f t="shared" si="15"/>
        <v>0</v>
      </c>
      <c r="P85" s="130">
        <f t="shared" si="15"/>
        <v>0</v>
      </c>
      <c r="Q85" s="130">
        <f t="shared" si="15"/>
        <v>0</v>
      </c>
      <c r="R85" s="130">
        <f t="shared" si="15"/>
        <v>0</v>
      </c>
      <c r="S85" s="130">
        <f t="shared" si="15"/>
        <v>0</v>
      </c>
      <c r="T85" s="130">
        <f t="shared" si="15"/>
        <v>0</v>
      </c>
      <c r="U85" s="130">
        <f t="shared" si="15"/>
        <v>0</v>
      </c>
      <c r="V85" s="130">
        <f t="shared" si="15"/>
        <v>0</v>
      </c>
      <c r="W85" s="130">
        <f t="shared" si="15"/>
        <v>0</v>
      </c>
      <c r="X85" s="130">
        <f t="shared" si="15"/>
        <v>0</v>
      </c>
      <c r="Y85" s="130">
        <f t="shared" si="15"/>
        <v>0</v>
      </c>
      <c r="Z85" s="130">
        <f t="shared" si="15"/>
        <v>0</v>
      </c>
      <c r="AA85" s="130">
        <f t="shared" si="15"/>
        <v>0</v>
      </c>
      <c r="AB85" s="130">
        <f t="shared" si="15"/>
        <v>0</v>
      </c>
      <c r="AC85" s="130">
        <f t="shared" si="15"/>
        <v>0</v>
      </c>
      <c r="AD85" s="130">
        <f t="shared" si="15"/>
        <v>0</v>
      </c>
      <c r="AE85" s="130">
        <f t="shared" si="15"/>
        <v>0</v>
      </c>
      <c r="AF85" s="130">
        <f t="shared" si="15"/>
        <v>0</v>
      </c>
      <c r="AG85" s="130">
        <f t="shared" si="15"/>
        <v>0</v>
      </c>
      <c r="AH85" s="130">
        <f t="shared" si="15"/>
        <v>0</v>
      </c>
      <c r="AI85" s="130">
        <f t="shared" si="15"/>
        <v>0</v>
      </c>
      <c r="AJ85" s="47" t="str">
        <f t="shared" si="7"/>
        <v/>
      </c>
      <c r="AK85" s="60"/>
      <c r="AL85" s="60" t="str">
        <f t="shared" si="10"/>
        <v>00</v>
      </c>
      <c r="AM85" s="62" t="str">
        <f t="shared" si="11"/>
        <v>00</v>
      </c>
      <c r="AN85" s="62" t="str">
        <f t="shared" si="12"/>
        <v>00</v>
      </c>
      <c r="AO85" s="62" t="str">
        <f t="shared" si="13"/>
        <v>00</v>
      </c>
      <c r="AQ85" t="str">
        <f t="shared" si="8"/>
        <v/>
      </c>
    </row>
    <row r="86" spans="2:43">
      <c r="B86" s="138"/>
      <c r="C86" s="47">
        <f t="shared" si="9"/>
        <v>15</v>
      </c>
      <c r="D86" s="130">
        <f t="shared" si="15"/>
        <v>0</v>
      </c>
      <c r="E86" s="130">
        <f t="shared" si="15"/>
        <v>0</v>
      </c>
      <c r="F86" s="130">
        <f t="shared" si="15"/>
        <v>0</v>
      </c>
      <c r="G86" s="130">
        <f t="shared" si="15"/>
        <v>0</v>
      </c>
      <c r="H86" s="130">
        <f t="shared" si="15"/>
        <v>0</v>
      </c>
      <c r="I86" s="130">
        <f t="shared" si="15"/>
        <v>0</v>
      </c>
      <c r="J86" s="130">
        <f t="shared" si="15"/>
        <v>0</v>
      </c>
      <c r="K86" s="130">
        <f t="shared" si="15"/>
        <v>0</v>
      </c>
      <c r="L86" s="130">
        <f t="shared" si="15"/>
        <v>0</v>
      </c>
      <c r="M86" s="130">
        <f t="shared" si="15"/>
        <v>0</v>
      </c>
      <c r="N86" s="130">
        <f t="shared" si="15"/>
        <v>0</v>
      </c>
      <c r="O86" s="130">
        <f t="shared" si="15"/>
        <v>0</v>
      </c>
      <c r="P86" s="130">
        <f t="shared" si="15"/>
        <v>0</v>
      </c>
      <c r="Q86" s="130">
        <f t="shared" si="15"/>
        <v>0</v>
      </c>
      <c r="R86" s="130">
        <f t="shared" si="15"/>
        <v>0</v>
      </c>
      <c r="S86" s="130">
        <f t="shared" si="15"/>
        <v>0</v>
      </c>
      <c r="T86" s="130">
        <f t="shared" si="15"/>
        <v>0</v>
      </c>
      <c r="U86" s="130">
        <f t="shared" si="15"/>
        <v>0</v>
      </c>
      <c r="V86" s="130">
        <f t="shared" si="15"/>
        <v>0</v>
      </c>
      <c r="W86" s="130">
        <f t="shared" si="15"/>
        <v>0</v>
      </c>
      <c r="X86" s="130">
        <f t="shared" si="15"/>
        <v>0</v>
      </c>
      <c r="Y86" s="130">
        <f t="shared" si="15"/>
        <v>0</v>
      </c>
      <c r="Z86" s="130">
        <f t="shared" si="15"/>
        <v>0</v>
      </c>
      <c r="AA86" s="130">
        <f t="shared" si="15"/>
        <v>0</v>
      </c>
      <c r="AB86" s="130">
        <f t="shared" si="15"/>
        <v>0</v>
      </c>
      <c r="AC86" s="130">
        <f t="shared" si="15"/>
        <v>0</v>
      </c>
      <c r="AD86" s="130">
        <f t="shared" si="15"/>
        <v>0</v>
      </c>
      <c r="AE86" s="130">
        <f t="shared" si="15"/>
        <v>0</v>
      </c>
      <c r="AF86" s="130">
        <f t="shared" si="15"/>
        <v>0</v>
      </c>
      <c r="AG86" s="130">
        <f t="shared" si="15"/>
        <v>0</v>
      </c>
      <c r="AH86" s="130">
        <f t="shared" si="15"/>
        <v>0</v>
      </c>
      <c r="AI86" s="130">
        <f t="shared" ref="AI86" si="16">IF(AI21=1,1,0)</f>
        <v>0</v>
      </c>
      <c r="AJ86" s="47" t="str">
        <f t="shared" si="7"/>
        <v/>
      </c>
      <c r="AK86" s="60"/>
      <c r="AL86" s="60" t="str">
        <f t="shared" si="10"/>
        <v>00</v>
      </c>
      <c r="AM86" s="62" t="str">
        <f t="shared" si="11"/>
        <v>00</v>
      </c>
      <c r="AN86" s="62" t="str">
        <f t="shared" si="12"/>
        <v>00</v>
      </c>
      <c r="AO86" s="62" t="str">
        <f t="shared" si="13"/>
        <v>00</v>
      </c>
      <c r="AQ86" t="str">
        <f t="shared" si="8"/>
        <v/>
      </c>
    </row>
    <row r="87" spans="2:43">
      <c r="B87" s="138"/>
      <c r="C87" s="47">
        <f t="shared" si="9"/>
        <v>16</v>
      </c>
      <c r="D87" s="130">
        <f t="shared" ref="D87:AI94" si="17">IF(D22=1,1,0)</f>
        <v>0</v>
      </c>
      <c r="E87" s="130">
        <f t="shared" si="17"/>
        <v>0</v>
      </c>
      <c r="F87" s="130">
        <f t="shared" si="17"/>
        <v>0</v>
      </c>
      <c r="G87" s="130">
        <f t="shared" si="17"/>
        <v>0</v>
      </c>
      <c r="H87" s="130">
        <f t="shared" si="17"/>
        <v>0</v>
      </c>
      <c r="I87" s="130">
        <f t="shared" si="17"/>
        <v>0</v>
      </c>
      <c r="J87" s="130">
        <f t="shared" si="17"/>
        <v>0</v>
      </c>
      <c r="K87" s="130">
        <f t="shared" si="17"/>
        <v>0</v>
      </c>
      <c r="L87" s="130">
        <f t="shared" si="17"/>
        <v>0</v>
      </c>
      <c r="M87" s="130">
        <f t="shared" si="17"/>
        <v>0</v>
      </c>
      <c r="N87" s="130">
        <f t="shared" si="17"/>
        <v>0</v>
      </c>
      <c r="O87" s="130">
        <f t="shared" si="17"/>
        <v>0</v>
      </c>
      <c r="P87" s="130">
        <f t="shared" si="17"/>
        <v>0</v>
      </c>
      <c r="Q87" s="130">
        <f t="shared" si="17"/>
        <v>0</v>
      </c>
      <c r="R87" s="130">
        <f t="shared" si="17"/>
        <v>0</v>
      </c>
      <c r="S87" s="130">
        <f t="shared" si="17"/>
        <v>0</v>
      </c>
      <c r="T87" s="130">
        <f t="shared" si="17"/>
        <v>0</v>
      </c>
      <c r="U87" s="130">
        <f t="shared" si="17"/>
        <v>0</v>
      </c>
      <c r="V87" s="130">
        <f t="shared" si="17"/>
        <v>0</v>
      </c>
      <c r="W87" s="130">
        <f t="shared" si="17"/>
        <v>0</v>
      </c>
      <c r="X87" s="130">
        <f t="shared" si="17"/>
        <v>0</v>
      </c>
      <c r="Y87" s="130">
        <f t="shared" si="17"/>
        <v>0</v>
      </c>
      <c r="Z87" s="130">
        <f t="shared" si="17"/>
        <v>0</v>
      </c>
      <c r="AA87" s="130">
        <f t="shared" si="17"/>
        <v>0</v>
      </c>
      <c r="AB87" s="130">
        <f t="shared" si="17"/>
        <v>0</v>
      </c>
      <c r="AC87" s="130">
        <f t="shared" si="17"/>
        <v>0</v>
      </c>
      <c r="AD87" s="130">
        <f t="shared" si="17"/>
        <v>0</v>
      </c>
      <c r="AE87" s="130">
        <f t="shared" si="17"/>
        <v>0</v>
      </c>
      <c r="AF87" s="130">
        <f t="shared" si="17"/>
        <v>0</v>
      </c>
      <c r="AG87" s="130">
        <f t="shared" si="17"/>
        <v>0</v>
      </c>
      <c r="AH87" s="130">
        <f t="shared" si="17"/>
        <v>0</v>
      </c>
      <c r="AI87" s="130">
        <f t="shared" si="17"/>
        <v>0</v>
      </c>
      <c r="AJ87" s="47" t="str">
        <f t="shared" si="7"/>
        <v/>
      </c>
      <c r="AK87" s="60"/>
      <c r="AL87" s="60" t="str">
        <f t="shared" si="10"/>
        <v>00</v>
      </c>
      <c r="AM87" s="62" t="str">
        <f t="shared" si="11"/>
        <v>00</v>
      </c>
      <c r="AN87" s="62" t="str">
        <f t="shared" si="12"/>
        <v>00</v>
      </c>
      <c r="AO87" s="62" t="str">
        <f t="shared" si="13"/>
        <v>00</v>
      </c>
      <c r="AQ87" t="str">
        <f t="shared" si="8"/>
        <v/>
      </c>
    </row>
    <row r="88" spans="2:43">
      <c r="B88" s="138"/>
      <c r="C88" s="47">
        <f t="shared" si="9"/>
        <v>17</v>
      </c>
      <c r="D88" s="130">
        <f t="shared" si="17"/>
        <v>0</v>
      </c>
      <c r="E88" s="130">
        <f t="shared" si="17"/>
        <v>0</v>
      </c>
      <c r="F88" s="130">
        <f t="shared" si="17"/>
        <v>0</v>
      </c>
      <c r="G88" s="130">
        <f t="shared" si="17"/>
        <v>0</v>
      </c>
      <c r="H88" s="130">
        <f t="shared" si="17"/>
        <v>0</v>
      </c>
      <c r="I88" s="130">
        <f t="shared" si="17"/>
        <v>0</v>
      </c>
      <c r="J88" s="130">
        <f t="shared" si="17"/>
        <v>0</v>
      </c>
      <c r="K88" s="130">
        <f t="shared" si="17"/>
        <v>0</v>
      </c>
      <c r="L88" s="130">
        <f t="shared" si="17"/>
        <v>0</v>
      </c>
      <c r="M88" s="130">
        <f t="shared" si="17"/>
        <v>0</v>
      </c>
      <c r="N88" s="130">
        <f t="shared" si="17"/>
        <v>0</v>
      </c>
      <c r="O88" s="130">
        <f t="shared" si="17"/>
        <v>0</v>
      </c>
      <c r="P88" s="130">
        <f t="shared" si="17"/>
        <v>0</v>
      </c>
      <c r="Q88" s="130">
        <f t="shared" si="17"/>
        <v>0</v>
      </c>
      <c r="R88" s="130">
        <f t="shared" si="17"/>
        <v>0</v>
      </c>
      <c r="S88" s="130">
        <f t="shared" si="17"/>
        <v>0</v>
      </c>
      <c r="T88" s="130">
        <f t="shared" si="17"/>
        <v>0</v>
      </c>
      <c r="U88" s="130">
        <f t="shared" si="17"/>
        <v>0</v>
      </c>
      <c r="V88" s="130">
        <f t="shared" si="17"/>
        <v>0</v>
      </c>
      <c r="W88" s="130">
        <f t="shared" si="17"/>
        <v>0</v>
      </c>
      <c r="X88" s="130">
        <f t="shared" si="17"/>
        <v>0</v>
      </c>
      <c r="Y88" s="130">
        <f t="shared" si="17"/>
        <v>0</v>
      </c>
      <c r="Z88" s="130">
        <f t="shared" si="17"/>
        <v>0</v>
      </c>
      <c r="AA88" s="130">
        <f t="shared" si="17"/>
        <v>0</v>
      </c>
      <c r="AB88" s="130">
        <f t="shared" si="17"/>
        <v>0</v>
      </c>
      <c r="AC88" s="130">
        <f t="shared" si="17"/>
        <v>0</v>
      </c>
      <c r="AD88" s="130">
        <f t="shared" si="17"/>
        <v>0</v>
      </c>
      <c r="AE88" s="130">
        <f t="shared" si="17"/>
        <v>0</v>
      </c>
      <c r="AF88" s="130">
        <f t="shared" si="17"/>
        <v>0</v>
      </c>
      <c r="AG88" s="130">
        <f t="shared" si="17"/>
        <v>0</v>
      </c>
      <c r="AH88" s="130">
        <f t="shared" si="17"/>
        <v>0</v>
      </c>
      <c r="AI88" s="130">
        <f t="shared" si="17"/>
        <v>0</v>
      </c>
      <c r="AJ88" s="47" t="str">
        <f t="shared" si="7"/>
        <v/>
      </c>
      <c r="AK88" s="60"/>
      <c r="AL88" s="60" t="str">
        <f t="shared" si="10"/>
        <v>00</v>
      </c>
      <c r="AM88" s="62" t="str">
        <f t="shared" si="11"/>
        <v>00</v>
      </c>
      <c r="AN88" s="62" t="str">
        <f t="shared" si="12"/>
        <v>00</v>
      </c>
      <c r="AO88" s="62" t="str">
        <f t="shared" si="13"/>
        <v>00</v>
      </c>
      <c r="AQ88" t="str">
        <f t="shared" si="8"/>
        <v/>
      </c>
    </row>
    <row r="89" spans="2:43">
      <c r="B89" s="138"/>
      <c r="C89" s="47">
        <f t="shared" si="9"/>
        <v>18</v>
      </c>
      <c r="D89" s="130">
        <f t="shared" si="17"/>
        <v>0</v>
      </c>
      <c r="E89" s="130">
        <f t="shared" si="17"/>
        <v>0</v>
      </c>
      <c r="F89" s="130">
        <f t="shared" si="17"/>
        <v>0</v>
      </c>
      <c r="G89" s="130">
        <f t="shared" si="17"/>
        <v>0</v>
      </c>
      <c r="H89" s="130">
        <f t="shared" si="17"/>
        <v>0</v>
      </c>
      <c r="I89" s="130">
        <f t="shared" si="17"/>
        <v>0</v>
      </c>
      <c r="J89" s="130">
        <f t="shared" si="17"/>
        <v>0</v>
      </c>
      <c r="K89" s="130">
        <f t="shared" si="17"/>
        <v>0</v>
      </c>
      <c r="L89" s="130">
        <f t="shared" si="17"/>
        <v>0</v>
      </c>
      <c r="M89" s="130">
        <f t="shared" si="17"/>
        <v>0</v>
      </c>
      <c r="N89" s="130">
        <f t="shared" si="17"/>
        <v>0</v>
      </c>
      <c r="O89" s="130">
        <f t="shared" si="17"/>
        <v>0</v>
      </c>
      <c r="P89" s="130">
        <f t="shared" si="17"/>
        <v>0</v>
      </c>
      <c r="Q89" s="130">
        <f t="shared" si="17"/>
        <v>0</v>
      </c>
      <c r="R89" s="130">
        <f t="shared" si="17"/>
        <v>0</v>
      </c>
      <c r="S89" s="130">
        <f t="shared" si="17"/>
        <v>0</v>
      </c>
      <c r="T89" s="130">
        <f t="shared" si="17"/>
        <v>0</v>
      </c>
      <c r="U89" s="130">
        <f t="shared" si="17"/>
        <v>0</v>
      </c>
      <c r="V89" s="130">
        <f t="shared" si="17"/>
        <v>0</v>
      </c>
      <c r="W89" s="130">
        <f t="shared" si="17"/>
        <v>0</v>
      </c>
      <c r="X89" s="130">
        <f t="shared" si="17"/>
        <v>0</v>
      </c>
      <c r="Y89" s="130">
        <f t="shared" si="17"/>
        <v>0</v>
      </c>
      <c r="Z89" s="130">
        <f t="shared" si="17"/>
        <v>0</v>
      </c>
      <c r="AA89" s="130">
        <f t="shared" si="17"/>
        <v>0</v>
      </c>
      <c r="AB89" s="130">
        <f t="shared" si="17"/>
        <v>0</v>
      </c>
      <c r="AC89" s="130">
        <f t="shared" si="17"/>
        <v>0</v>
      </c>
      <c r="AD89" s="130">
        <f t="shared" si="17"/>
        <v>0</v>
      </c>
      <c r="AE89" s="130">
        <f t="shared" si="17"/>
        <v>0</v>
      </c>
      <c r="AF89" s="130">
        <f t="shared" si="17"/>
        <v>0</v>
      </c>
      <c r="AG89" s="130">
        <f t="shared" si="17"/>
        <v>0</v>
      </c>
      <c r="AH89" s="130">
        <f t="shared" si="17"/>
        <v>0</v>
      </c>
      <c r="AI89" s="130">
        <f t="shared" si="17"/>
        <v>0</v>
      </c>
      <c r="AJ89" s="47" t="str">
        <f t="shared" si="7"/>
        <v/>
      </c>
      <c r="AK89" s="60"/>
      <c r="AL89" s="60" t="str">
        <f t="shared" si="10"/>
        <v>00</v>
      </c>
      <c r="AM89" s="62" t="str">
        <f t="shared" si="11"/>
        <v>00</v>
      </c>
      <c r="AN89" s="62" t="str">
        <f t="shared" si="12"/>
        <v>00</v>
      </c>
      <c r="AO89" s="62" t="str">
        <f t="shared" si="13"/>
        <v>00</v>
      </c>
      <c r="AQ89" t="str">
        <f t="shared" si="8"/>
        <v/>
      </c>
    </row>
    <row r="90" spans="2:43">
      <c r="B90" s="138"/>
      <c r="C90" s="47">
        <f t="shared" si="9"/>
        <v>19</v>
      </c>
      <c r="D90" s="130">
        <f t="shared" si="17"/>
        <v>0</v>
      </c>
      <c r="E90" s="130">
        <f t="shared" si="17"/>
        <v>0</v>
      </c>
      <c r="F90" s="130">
        <f t="shared" si="17"/>
        <v>0</v>
      </c>
      <c r="G90" s="130">
        <f t="shared" si="17"/>
        <v>0</v>
      </c>
      <c r="H90" s="130">
        <f t="shared" si="17"/>
        <v>0</v>
      </c>
      <c r="I90" s="130">
        <f t="shared" si="17"/>
        <v>0</v>
      </c>
      <c r="J90" s="130">
        <f t="shared" si="17"/>
        <v>0</v>
      </c>
      <c r="K90" s="130">
        <f t="shared" si="17"/>
        <v>0</v>
      </c>
      <c r="L90" s="130">
        <f t="shared" si="17"/>
        <v>0</v>
      </c>
      <c r="M90" s="130">
        <f t="shared" si="17"/>
        <v>0</v>
      </c>
      <c r="N90" s="130">
        <f t="shared" si="17"/>
        <v>0</v>
      </c>
      <c r="O90" s="130">
        <f t="shared" si="17"/>
        <v>0</v>
      </c>
      <c r="P90" s="130">
        <f t="shared" si="17"/>
        <v>0</v>
      </c>
      <c r="Q90" s="130">
        <f t="shared" si="17"/>
        <v>0</v>
      </c>
      <c r="R90" s="130">
        <f t="shared" si="17"/>
        <v>0</v>
      </c>
      <c r="S90" s="130">
        <f t="shared" si="17"/>
        <v>0</v>
      </c>
      <c r="T90" s="130">
        <f t="shared" si="17"/>
        <v>0</v>
      </c>
      <c r="U90" s="130">
        <f t="shared" si="17"/>
        <v>0</v>
      </c>
      <c r="V90" s="130">
        <f t="shared" si="17"/>
        <v>0</v>
      </c>
      <c r="W90" s="130">
        <f t="shared" si="17"/>
        <v>0</v>
      </c>
      <c r="X90" s="130">
        <f t="shared" si="17"/>
        <v>0</v>
      </c>
      <c r="Y90" s="130">
        <f t="shared" si="17"/>
        <v>0</v>
      </c>
      <c r="Z90" s="130">
        <f t="shared" si="17"/>
        <v>0</v>
      </c>
      <c r="AA90" s="130">
        <f t="shared" si="17"/>
        <v>0</v>
      </c>
      <c r="AB90" s="130">
        <f t="shared" si="17"/>
        <v>0</v>
      </c>
      <c r="AC90" s="130">
        <f t="shared" si="17"/>
        <v>0</v>
      </c>
      <c r="AD90" s="130">
        <f t="shared" si="17"/>
        <v>0</v>
      </c>
      <c r="AE90" s="130">
        <f t="shared" si="17"/>
        <v>0</v>
      </c>
      <c r="AF90" s="130">
        <f t="shared" si="17"/>
        <v>0</v>
      </c>
      <c r="AG90" s="130">
        <f t="shared" si="17"/>
        <v>0</v>
      </c>
      <c r="AH90" s="130">
        <f t="shared" si="17"/>
        <v>0</v>
      </c>
      <c r="AI90" s="130">
        <f t="shared" si="17"/>
        <v>0</v>
      </c>
      <c r="AJ90" s="47" t="str">
        <f t="shared" si="7"/>
        <v/>
      </c>
      <c r="AK90" s="60"/>
      <c r="AL90" s="60" t="str">
        <f t="shared" si="10"/>
        <v>00</v>
      </c>
      <c r="AM90" s="62" t="str">
        <f t="shared" si="11"/>
        <v>00</v>
      </c>
      <c r="AN90" s="62" t="str">
        <f t="shared" si="12"/>
        <v>00</v>
      </c>
      <c r="AO90" s="62" t="str">
        <f t="shared" si="13"/>
        <v>00</v>
      </c>
      <c r="AQ90" t="str">
        <f t="shared" si="8"/>
        <v/>
      </c>
    </row>
    <row r="91" spans="2:43">
      <c r="B91" s="138"/>
      <c r="C91" s="47">
        <f t="shared" si="9"/>
        <v>20</v>
      </c>
      <c r="D91" s="130">
        <f t="shared" si="17"/>
        <v>0</v>
      </c>
      <c r="E91" s="130">
        <f t="shared" si="17"/>
        <v>0</v>
      </c>
      <c r="F91" s="130">
        <f t="shared" si="17"/>
        <v>0</v>
      </c>
      <c r="G91" s="130">
        <f t="shared" si="17"/>
        <v>0</v>
      </c>
      <c r="H91" s="130">
        <f t="shared" si="17"/>
        <v>0</v>
      </c>
      <c r="I91" s="130">
        <f t="shared" si="17"/>
        <v>0</v>
      </c>
      <c r="J91" s="130">
        <f t="shared" si="17"/>
        <v>0</v>
      </c>
      <c r="K91" s="130">
        <f t="shared" si="17"/>
        <v>0</v>
      </c>
      <c r="L91" s="130">
        <f t="shared" si="17"/>
        <v>0</v>
      </c>
      <c r="M91" s="130">
        <f t="shared" si="17"/>
        <v>0</v>
      </c>
      <c r="N91" s="130">
        <f t="shared" si="17"/>
        <v>0</v>
      </c>
      <c r="O91" s="130">
        <f t="shared" si="17"/>
        <v>0</v>
      </c>
      <c r="P91" s="130">
        <f t="shared" si="17"/>
        <v>0</v>
      </c>
      <c r="Q91" s="130">
        <f t="shared" si="17"/>
        <v>0</v>
      </c>
      <c r="R91" s="130">
        <f t="shared" si="17"/>
        <v>0</v>
      </c>
      <c r="S91" s="130">
        <f t="shared" si="17"/>
        <v>0</v>
      </c>
      <c r="T91" s="130">
        <f t="shared" si="17"/>
        <v>0</v>
      </c>
      <c r="U91" s="130">
        <f t="shared" si="17"/>
        <v>0</v>
      </c>
      <c r="V91" s="130">
        <f t="shared" si="17"/>
        <v>0</v>
      </c>
      <c r="W91" s="130">
        <f t="shared" si="17"/>
        <v>0</v>
      </c>
      <c r="X91" s="130">
        <f t="shared" si="17"/>
        <v>0</v>
      </c>
      <c r="Y91" s="130">
        <f t="shared" si="17"/>
        <v>0</v>
      </c>
      <c r="Z91" s="130">
        <f t="shared" si="17"/>
        <v>0</v>
      </c>
      <c r="AA91" s="130">
        <f t="shared" si="17"/>
        <v>0</v>
      </c>
      <c r="AB91" s="130">
        <f t="shared" si="17"/>
        <v>0</v>
      </c>
      <c r="AC91" s="130">
        <f t="shared" si="17"/>
        <v>0</v>
      </c>
      <c r="AD91" s="130">
        <f t="shared" si="17"/>
        <v>0</v>
      </c>
      <c r="AE91" s="130">
        <f t="shared" si="17"/>
        <v>0</v>
      </c>
      <c r="AF91" s="130">
        <f t="shared" si="17"/>
        <v>0</v>
      </c>
      <c r="AG91" s="130">
        <f t="shared" si="17"/>
        <v>0</v>
      </c>
      <c r="AH91" s="130">
        <f t="shared" si="17"/>
        <v>0</v>
      </c>
      <c r="AI91" s="130">
        <f t="shared" si="17"/>
        <v>0</v>
      </c>
      <c r="AJ91" s="47" t="str">
        <f t="shared" si="7"/>
        <v/>
      </c>
      <c r="AK91" s="60"/>
      <c r="AL91" s="60" t="str">
        <f t="shared" si="10"/>
        <v>00</v>
      </c>
      <c r="AM91" s="62" t="str">
        <f t="shared" si="11"/>
        <v>00</v>
      </c>
      <c r="AN91" s="62" t="str">
        <f t="shared" si="12"/>
        <v>00</v>
      </c>
      <c r="AO91" s="62" t="str">
        <f t="shared" si="13"/>
        <v>00</v>
      </c>
      <c r="AQ91" t="str">
        <f t="shared" si="8"/>
        <v/>
      </c>
    </row>
    <row r="92" spans="2:43">
      <c r="B92" s="138"/>
      <c r="C92" s="47">
        <f t="shared" si="9"/>
        <v>21</v>
      </c>
      <c r="D92" s="130">
        <f t="shared" si="17"/>
        <v>0</v>
      </c>
      <c r="E92" s="130">
        <f t="shared" si="17"/>
        <v>0</v>
      </c>
      <c r="F92" s="130">
        <f t="shared" si="17"/>
        <v>0</v>
      </c>
      <c r="G92" s="130">
        <f t="shared" si="17"/>
        <v>0</v>
      </c>
      <c r="H92" s="130">
        <f t="shared" si="17"/>
        <v>0</v>
      </c>
      <c r="I92" s="130">
        <f t="shared" si="17"/>
        <v>0</v>
      </c>
      <c r="J92" s="130">
        <f t="shared" si="17"/>
        <v>0</v>
      </c>
      <c r="K92" s="130">
        <f t="shared" si="17"/>
        <v>0</v>
      </c>
      <c r="L92" s="130">
        <f t="shared" si="17"/>
        <v>0</v>
      </c>
      <c r="M92" s="130">
        <f t="shared" si="17"/>
        <v>0</v>
      </c>
      <c r="N92" s="130">
        <f t="shared" si="17"/>
        <v>0</v>
      </c>
      <c r="O92" s="130">
        <f t="shared" si="17"/>
        <v>0</v>
      </c>
      <c r="P92" s="130">
        <f t="shared" si="17"/>
        <v>0</v>
      </c>
      <c r="Q92" s="130">
        <f t="shared" si="17"/>
        <v>0</v>
      </c>
      <c r="R92" s="130">
        <f t="shared" si="17"/>
        <v>0</v>
      </c>
      <c r="S92" s="130">
        <f t="shared" si="17"/>
        <v>0</v>
      </c>
      <c r="T92" s="130">
        <f t="shared" si="17"/>
        <v>0</v>
      </c>
      <c r="U92" s="130">
        <f t="shared" si="17"/>
        <v>0</v>
      </c>
      <c r="V92" s="130">
        <f t="shared" si="17"/>
        <v>0</v>
      </c>
      <c r="W92" s="130">
        <f t="shared" si="17"/>
        <v>0</v>
      </c>
      <c r="X92" s="130">
        <f t="shared" si="17"/>
        <v>0</v>
      </c>
      <c r="Y92" s="130">
        <f t="shared" si="17"/>
        <v>0</v>
      </c>
      <c r="Z92" s="130">
        <f t="shared" si="17"/>
        <v>0</v>
      </c>
      <c r="AA92" s="130">
        <f t="shared" si="17"/>
        <v>0</v>
      </c>
      <c r="AB92" s="130">
        <f t="shared" si="17"/>
        <v>0</v>
      </c>
      <c r="AC92" s="130">
        <f t="shared" si="17"/>
        <v>0</v>
      </c>
      <c r="AD92" s="130">
        <f t="shared" si="17"/>
        <v>0</v>
      </c>
      <c r="AE92" s="130">
        <f t="shared" si="17"/>
        <v>0</v>
      </c>
      <c r="AF92" s="130">
        <f t="shared" si="17"/>
        <v>0</v>
      </c>
      <c r="AG92" s="130">
        <f t="shared" si="17"/>
        <v>0</v>
      </c>
      <c r="AH92" s="130">
        <f t="shared" si="17"/>
        <v>0</v>
      </c>
      <c r="AI92" s="130">
        <f t="shared" si="17"/>
        <v>0</v>
      </c>
      <c r="AJ92" s="47" t="str">
        <f t="shared" si="7"/>
        <v/>
      </c>
      <c r="AK92" s="60"/>
      <c r="AL92" s="60" t="str">
        <f t="shared" si="10"/>
        <v>00</v>
      </c>
      <c r="AM92" s="62" t="str">
        <f t="shared" si="11"/>
        <v>00</v>
      </c>
      <c r="AN92" s="62" t="str">
        <f t="shared" si="12"/>
        <v>00</v>
      </c>
      <c r="AO92" s="62" t="str">
        <f t="shared" si="13"/>
        <v>00</v>
      </c>
      <c r="AQ92" t="str">
        <f t="shared" si="8"/>
        <v/>
      </c>
    </row>
    <row r="93" spans="2:43">
      <c r="B93" s="138"/>
      <c r="C93" s="47">
        <f t="shared" si="9"/>
        <v>22</v>
      </c>
      <c r="D93" s="130">
        <f t="shared" si="17"/>
        <v>0</v>
      </c>
      <c r="E93" s="130">
        <f t="shared" si="17"/>
        <v>0</v>
      </c>
      <c r="F93" s="130">
        <f t="shared" si="17"/>
        <v>0</v>
      </c>
      <c r="G93" s="130">
        <f t="shared" si="17"/>
        <v>0</v>
      </c>
      <c r="H93" s="130">
        <f t="shared" si="17"/>
        <v>0</v>
      </c>
      <c r="I93" s="130">
        <f t="shared" si="17"/>
        <v>0</v>
      </c>
      <c r="J93" s="130">
        <f t="shared" si="17"/>
        <v>0</v>
      </c>
      <c r="K93" s="130">
        <f t="shared" si="17"/>
        <v>0</v>
      </c>
      <c r="L93" s="130">
        <f t="shared" si="17"/>
        <v>0</v>
      </c>
      <c r="M93" s="130">
        <f t="shared" si="17"/>
        <v>0</v>
      </c>
      <c r="N93" s="130">
        <f t="shared" si="17"/>
        <v>0</v>
      </c>
      <c r="O93" s="130">
        <f t="shared" si="17"/>
        <v>0</v>
      </c>
      <c r="P93" s="130">
        <f t="shared" si="17"/>
        <v>0</v>
      </c>
      <c r="Q93" s="130">
        <f t="shared" si="17"/>
        <v>0</v>
      </c>
      <c r="R93" s="130">
        <f t="shared" si="17"/>
        <v>0</v>
      </c>
      <c r="S93" s="130">
        <f t="shared" si="17"/>
        <v>0</v>
      </c>
      <c r="T93" s="130">
        <f t="shared" si="17"/>
        <v>0</v>
      </c>
      <c r="U93" s="130">
        <f t="shared" si="17"/>
        <v>0</v>
      </c>
      <c r="V93" s="130">
        <f t="shared" si="17"/>
        <v>0</v>
      </c>
      <c r="W93" s="130">
        <f t="shared" si="17"/>
        <v>0</v>
      </c>
      <c r="X93" s="130">
        <f t="shared" si="17"/>
        <v>0</v>
      </c>
      <c r="Y93" s="130">
        <f t="shared" si="17"/>
        <v>0</v>
      </c>
      <c r="Z93" s="130">
        <f t="shared" si="17"/>
        <v>0</v>
      </c>
      <c r="AA93" s="130">
        <f t="shared" si="17"/>
        <v>0</v>
      </c>
      <c r="AB93" s="130">
        <f t="shared" si="17"/>
        <v>0</v>
      </c>
      <c r="AC93" s="130">
        <f t="shared" si="17"/>
        <v>0</v>
      </c>
      <c r="AD93" s="130">
        <f t="shared" si="17"/>
        <v>0</v>
      </c>
      <c r="AE93" s="130">
        <f t="shared" si="17"/>
        <v>0</v>
      </c>
      <c r="AF93" s="130">
        <f t="shared" si="17"/>
        <v>0</v>
      </c>
      <c r="AG93" s="130">
        <f t="shared" si="17"/>
        <v>0</v>
      </c>
      <c r="AH93" s="130">
        <f t="shared" si="17"/>
        <v>0</v>
      </c>
      <c r="AI93" s="130">
        <f t="shared" si="17"/>
        <v>0</v>
      </c>
      <c r="AJ93" s="47" t="str">
        <f t="shared" si="7"/>
        <v/>
      </c>
      <c r="AK93" s="60"/>
      <c r="AL93" s="60" t="str">
        <f t="shared" si="10"/>
        <v>00</v>
      </c>
      <c r="AM93" s="62" t="str">
        <f t="shared" si="11"/>
        <v>00</v>
      </c>
      <c r="AN93" s="62" t="str">
        <f t="shared" si="12"/>
        <v>00</v>
      </c>
      <c r="AO93" s="62" t="str">
        <f t="shared" si="13"/>
        <v>00</v>
      </c>
      <c r="AQ93" t="str">
        <f t="shared" si="8"/>
        <v/>
      </c>
    </row>
    <row r="94" spans="2:43">
      <c r="B94" s="138"/>
      <c r="C94" s="47">
        <f t="shared" si="9"/>
        <v>23</v>
      </c>
      <c r="D94" s="130">
        <f t="shared" si="17"/>
        <v>0</v>
      </c>
      <c r="E94" s="130">
        <f t="shared" si="17"/>
        <v>0</v>
      </c>
      <c r="F94" s="130">
        <f t="shared" si="17"/>
        <v>0</v>
      </c>
      <c r="G94" s="130">
        <f t="shared" si="17"/>
        <v>0</v>
      </c>
      <c r="H94" s="130">
        <f t="shared" si="17"/>
        <v>0</v>
      </c>
      <c r="I94" s="130">
        <f t="shared" si="17"/>
        <v>0</v>
      </c>
      <c r="J94" s="130">
        <f t="shared" si="17"/>
        <v>0</v>
      </c>
      <c r="K94" s="130">
        <f t="shared" si="17"/>
        <v>0</v>
      </c>
      <c r="L94" s="130">
        <f t="shared" si="17"/>
        <v>0</v>
      </c>
      <c r="M94" s="130">
        <f t="shared" si="17"/>
        <v>0</v>
      </c>
      <c r="N94" s="130">
        <f t="shared" si="17"/>
        <v>0</v>
      </c>
      <c r="O94" s="130">
        <f t="shared" si="17"/>
        <v>0</v>
      </c>
      <c r="P94" s="130">
        <f t="shared" si="17"/>
        <v>0</v>
      </c>
      <c r="Q94" s="130">
        <f t="shared" si="17"/>
        <v>0</v>
      </c>
      <c r="R94" s="130">
        <f t="shared" si="17"/>
        <v>0</v>
      </c>
      <c r="S94" s="130">
        <f t="shared" si="17"/>
        <v>0</v>
      </c>
      <c r="T94" s="130">
        <f t="shared" si="17"/>
        <v>0</v>
      </c>
      <c r="U94" s="130">
        <f t="shared" si="17"/>
        <v>0</v>
      </c>
      <c r="V94" s="130">
        <f t="shared" si="17"/>
        <v>0</v>
      </c>
      <c r="W94" s="130">
        <f t="shared" si="17"/>
        <v>0</v>
      </c>
      <c r="X94" s="130">
        <f t="shared" si="17"/>
        <v>0</v>
      </c>
      <c r="Y94" s="130">
        <f t="shared" si="17"/>
        <v>0</v>
      </c>
      <c r="Z94" s="130">
        <f t="shared" si="17"/>
        <v>0</v>
      </c>
      <c r="AA94" s="130">
        <f t="shared" si="17"/>
        <v>0</v>
      </c>
      <c r="AB94" s="130">
        <f t="shared" si="17"/>
        <v>0</v>
      </c>
      <c r="AC94" s="130">
        <f t="shared" si="17"/>
        <v>0</v>
      </c>
      <c r="AD94" s="130">
        <f t="shared" si="17"/>
        <v>0</v>
      </c>
      <c r="AE94" s="130">
        <f t="shared" si="17"/>
        <v>0</v>
      </c>
      <c r="AF94" s="130">
        <f t="shared" si="17"/>
        <v>0</v>
      </c>
      <c r="AG94" s="130">
        <f t="shared" si="17"/>
        <v>0</v>
      </c>
      <c r="AH94" s="130">
        <f t="shared" si="17"/>
        <v>0</v>
      </c>
      <c r="AI94" s="130">
        <f t="shared" ref="AI94" si="18">IF(AI29=1,1,0)</f>
        <v>0</v>
      </c>
      <c r="AJ94" s="47" t="str">
        <f t="shared" si="7"/>
        <v/>
      </c>
      <c r="AK94" s="60"/>
      <c r="AL94" s="60" t="str">
        <f t="shared" si="10"/>
        <v>00</v>
      </c>
      <c r="AM94" s="62" t="str">
        <f t="shared" si="11"/>
        <v>00</v>
      </c>
      <c r="AN94" s="62" t="str">
        <f t="shared" si="12"/>
        <v>00</v>
      </c>
      <c r="AO94" s="62" t="str">
        <f t="shared" si="13"/>
        <v>00</v>
      </c>
      <c r="AQ94" t="str">
        <f t="shared" si="8"/>
        <v/>
      </c>
    </row>
    <row r="95" spans="2:43">
      <c r="B95" s="138"/>
      <c r="C95" s="47">
        <f t="shared" si="9"/>
        <v>24</v>
      </c>
      <c r="D95" s="130">
        <f t="shared" ref="D95:AI102" si="19">IF(D30=1,1,0)</f>
        <v>0</v>
      </c>
      <c r="E95" s="130">
        <f t="shared" si="19"/>
        <v>0</v>
      </c>
      <c r="F95" s="130">
        <f t="shared" si="19"/>
        <v>0</v>
      </c>
      <c r="G95" s="130">
        <f t="shared" si="19"/>
        <v>0</v>
      </c>
      <c r="H95" s="130">
        <f t="shared" si="19"/>
        <v>0</v>
      </c>
      <c r="I95" s="130">
        <f t="shared" si="19"/>
        <v>0</v>
      </c>
      <c r="J95" s="130">
        <f t="shared" si="19"/>
        <v>0</v>
      </c>
      <c r="K95" s="130">
        <f t="shared" si="19"/>
        <v>0</v>
      </c>
      <c r="L95" s="130">
        <f t="shared" si="19"/>
        <v>0</v>
      </c>
      <c r="M95" s="130">
        <f t="shared" si="19"/>
        <v>0</v>
      </c>
      <c r="N95" s="130">
        <f t="shared" si="19"/>
        <v>0</v>
      </c>
      <c r="O95" s="130">
        <f t="shared" si="19"/>
        <v>0</v>
      </c>
      <c r="P95" s="130">
        <f t="shared" si="19"/>
        <v>0</v>
      </c>
      <c r="Q95" s="130">
        <f t="shared" si="19"/>
        <v>0</v>
      </c>
      <c r="R95" s="130">
        <f t="shared" si="19"/>
        <v>0</v>
      </c>
      <c r="S95" s="130">
        <f t="shared" si="19"/>
        <v>0</v>
      </c>
      <c r="T95" s="130">
        <f t="shared" si="19"/>
        <v>0</v>
      </c>
      <c r="U95" s="130">
        <f t="shared" si="19"/>
        <v>0</v>
      </c>
      <c r="V95" s="130">
        <f t="shared" si="19"/>
        <v>0</v>
      </c>
      <c r="W95" s="130">
        <f t="shared" si="19"/>
        <v>0</v>
      </c>
      <c r="X95" s="130">
        <f t="shared" si="19"/>
        <v>0</v>
      </c>
      <c r="Y95" s="130">
        <f t="shared" si="19"/>
        <v>0</v>
      </c>
      <c r="Z95" s="130">
        <f t="shared" si="19"/>
        <v>0</v>
      </c>
      <c r="AA95" s="130">
        <f t="shared" si="19"/>
        <v>0</v>
      </c>
      <c r="AB95" s="130">
        <f t="shared" si="19"/>
        <v>0</v>
      </c>
      <c r="AC95" s="130">
        <f t="shared" si="19"/>
        <v>0</v>
      </c>
      <c r="AD95" s="130">
        <f t="shared" si="19"/>
        <v>0</v>
      </c>
      <c r="AE95" s="130">
        <f t="shared" si="19"/>
        <v>0</v>
      </c>
      <c r="AF95" s="130">
        <f t="shared" si="19"/>
        <v>0</v>
      </c>
      <c r="AG95" s="130">
        <f t="shared" si="19"/>
        <v>0</v>
      </c>
      <c r="AH95" s="130">
        <f t="shared" si="19"/>
        <v>0</v>
      </c>
      <c r="AI95" s="130">
        <f t="shared" si="19"/>
        <v>0</v>
      </c>
      <c r="AJ95" s="47" t="str">
        <f t="shared" si="7"/>
        <v/>
      </c>
      <c r="AK95" s="60"/>
      <c r="AL95" s="60" t="str">
        <f t="shared" si="10"/>
        <v>00</v>
      </c>
      <c r="AM95" s="62" t="str">
        <f t="shared" si="11"/>
        <v>00</v>
      </c>
      <c r="AN95" s="62" t="str">
        <f t="shared" si="12"/>
        <v>00</v>
      </c>
      <c r="AO95" s="62" t="str">
        <f t="shared" si="13"/>
        <v>00</v>
      </c>
      <c r="AQ95" t="str">
        <f t="shared" si="8"/>
        <v/>
      </c>
    </row>
    <row r="96" spans="2:43">
      <c r="B96" s="138"/>
      <c r="C96" s="47">
        <f t="shared" si="9"/>
        <v>25</v>
      </c>
      <c r="D96" s="130">
        <f t="shared" si="19"/>
        <v>0</v>
      </c>
      <c r="E96" s="130">
        <f t="shared" si="19"/>
        <v>0</v>
      </c>
      <c r="F96" s="130">
        <f t="shared" si="19"/>
        <v>0</v>
      </c>
      <c r="G96" s="130">
        <f t="shared" si="19"/>
        <v>0</v>
      </c>
      <c r="H96" s="130">
        <f t="shared" si="19"/>
        <v>0</v>
      </c>
      <c r="I96" s="130">
        <f t="shared" si="19"/>
        <v>0</v>
      </c>
      <c r="J96" s="130">
        <f t="shared" si="19"/>
        <v>0</v>
      </c>
      <c r="K96" s="130">
        <f t="shared" si="19"/>
        <v>0</v>
      </c>
      <c r="L96" s="130">
        <f t="shared" si="19"/>
        <v>0</v>
      </c>
      <c r="M96" s="130">
        <f t="shared" si="19"/>
        <v>0</v>
      </c>
      <c r="N96" s="130">
        <f t="shared" si="19"/>
        <v>0</v>
      </c>
      <c r="O96" s="130">
        <f t="shared" si="19"/>
        <v>0</v>
      </c>
      <c r="P96" s="130">
        <f t="shared" si="19"/>
        <v>0</v>
      </c>
      <c r="Q96" s="130">
        <f t="shared" si="19"/>
        <v>0</v>
      </c>
      <c r="R96" s="130">
        <f t="shared" si="19"/>
        <v>0</v>
      </c>
      <c r="S96" s="130">
        <f t="shared" si="19"/>
        <v>0</v>
      </c>
      <c r="T96" s="130">
        <f t="shared" si="19"/>
        <v>0</v>
      </c>
      <c r="U96" s="130">
        <f t="shared" si="19"/>
        <v>0</v>
      </c>
      <c r="V96" s="130">
        <f t="shared" si="19"/>
        <v>0</v>
      </c>
      <c r="W96" s="130">
        <f t="shared" si="19"/>
        <v>0</v>
      </c>
      <c r="X96" s="130">
        <f t="shared" si="19"/>
        <v>0</v>
      </c>
      <c r="Y96" s="130">
        <f t="shared" si="19"/>
        <v>0</v>
      </c>
      <c r="Z96" s="130">
        <f t="shared" si="19"/>
        <v>0</v>
      </c>
      <c r="AA96" s="130">
        <f t="shared" si="19"/>
        <v>0</v>
      </c>
      <c r="AB96" s="130">
        <f t="shared" si="19"/>
        <v>0</v>
      </c>
      <c r="AC96" s="130">
        <f t="shared" si="19"/>
        <v>0</v>
      </c>
      <c r="AD96" s="130">
        <f t="shared" si="19"/>
        <v>0</v>
      </c>
      <c r="AE96" s="130">
        <f t="shared" si="19"/>
        <v>0</v>
      </c>
      <c r="AF96" s="130">
        <f t="shared" si="19"/>
        <v>0</v>
      </c>
      <c r="AG96" s="130">
        <f t="shared" si="19"/>
        <v>0</v>
      </c>
      <c r="AH96" s="130">
        <f t="shared" si="19"/>
        <v>0</v>
      </c>
      <c r="AI96" s="130">
        <f t="shared" si="19"/>
        <v>0</v>
      </c>
      <c r="AJ96" s="47" t="str">
        <f t="shared" si="7"/>
        <v/>
      </c>
      <c r="AK96" s="60"/>
      <c r="AL96" s="60" t="str">
        <f t="shared" si="10"/>
        <v>00</v>
      </c>
      <c r="AM96" s="62" t="str">
        <f t="shared" si="11"/>
        <v>00</v>
      </c>
      <c r="AN96" s="62" t="str">
        <f t="shared" si="12"/>
        <v>00</v>
      </c>
      <c r="AO96" s="62" t="str">
        <f t="shared" si="13"/>
        <v>00</v>
      </c>
      <c r="AQ96" t="str">
        <f t="shared" si="8"/>
        <v/>
      </c>
    </row>
    <row r="97" spans="2:43">
      <c r="B97" s="138"/>
      <c r="C97" s="47">
        <f t="shared" si="9"/>
        <v>26</v>
      </c>
      <c r="D97" s="130">
        <f t="shared" si="19"/>
        <v>0</v>
      </c>
      <c r="E97" s="130">
        <f t="shared" si="19"/>
        <v>0</v>
      </c>
      <c r="F97" s="130">
        <f t="shared" si="19"/>
        <v>0</v>
      </c>
      <c r="G97" s="130">
        <f t="shared" si="19"/>
        <v>0</v>
      </c>
      <c r="H97" s="130">
        <f t="shared" si="19"/>
        <v>0</v>
      </c>
      <c r="I97" s="130">
        <f t="shared" si="19"/>
        <v>0</v>
      </c>
      <c r="J97" s="130">
        <f t="shared" si="19"/>
        <v>0</v>
      </c>
      <c r="K97" s="130">
        <f t="shared" si="19"/>
        <v>0</v>
      </c>
      <c r="L97" s="130">
        <f t="shared" si="19"/>
        <v>0</v>
      </c>
      <c r="M97" s="130">
        <f t="shared" si="19"/>
        <v>0</v>
      </c>
      <c r="N97" s="130">
        <f t="shared" si="19"/>
        <v>0</v>
      </c>
      <c r="O97" s="130">
        <f t="shared" si="19"/>
        <v>0</v>
      </c>
      <c r="P97" s="130">
        <f t="shared" si="19"/>
        <v>0</v>
      </c>
      <c r="Q97" s="130">
        <f t="shared" si="19"/>
        <v>0</v>
      </c>
      <c r="R97" s="130">
        <f t="shared" si="19"/>
        <v>0</v>
      </c>
      <c r="S97" s="130">
        <f t="shared" si="19"/>
        <v>0</v>
      </c>
      <c r="T97" s="130">
        <f t="shared" si="19"/>
        <v>0</v>
      </c>
      <c r="U97" s="130">
        <f t="shared" si="19"/>
        <v>0</v>
      </c>
      <c r="V97" s="130">
        <f t="shared" si="19"/>
        <v>0</v>
      </c>
      <c r="W97" s="130">
        <f t="shared" si="19"/>
        <v>0</v>
      </c>
      <c r="X97" s="130">
        <f t="shared" si="19"/>
        <v>0</v>
      </c>
      <c r="Y97" s="130">
        <f t="shared" si="19"/>
        <v>0</v>
      </c>
      <c r="Z97" s="130">
        <f t="shared" si="19"/>
        <v>0</v>
      </c>
      <c r="AA97" s="130">
        <f t="shared" si="19"/>
        <v>0</v>
      </c>
      <c r="AB97" s="130">
        <f t="shared" si="19"/>
        <v>0</v>
      </c>
      <c r="AC97" s="130">
        <f t="shared" si="19"/>
        <v>0</v>
      </c>
      <c r="AD97" s="130">
        <f t="shared" si="19"/>
        <v>0</v>
      </c>
      <c r="AE97" s="130">
        <f t="shared" si="19"/>
        <v>0</v>
      </c>
      <c r="AF97" s="130">
        <f t="shared" si="19"/>
        <v>0</v>
      </c>
      <c r="AG97" s="130">
        <f t="shared" si="19"/>
        <v>0</v>
      </c>
      <c r="AH97" s="130">
        <f t="shared" si="19"/>
        <v>0</v>
      </c>
      <c r="AI97" s="130">
        <f t="shared" si="19"/>
        <v>0</v>
      </c>
      <c r="AJ97" s="47" t="str">
        <f t="shared" si="7"/>
        <v/>
      </c>
      <c r="AK97" s="60"/>
      <c r="AL97" s="60" t="str">
        <f t="shared" si="10"/>
        <v>00</v>
      </c>
      <c r="AM97" s="62" t="str">
        <f t="shared" si="11"/>
        <v>00</v>
      </c>
      <c r="AN97" s="62" t="str">
        <f t="shared" si="12"/>
        <v>00</v>
      </c>
      <c r="AO97" s="62" t="str">
        <f t="shared" si="13"/>
        <v>00</v>
      </c>
      <c r="AQ97" t="str">
        <f t="shared" si="8"/>
        <v/>
      </c>
    </row>
    <row r="98" spans="2:43">
      <c r="B98" s="138"/>
      <c r="C98" s="47">
        <f t="shared" si="9"/>
        <v>27</v>
      </c>
      <c r="D98" s="130">
        <f t="shared" si="19"/>
        <v>0</v>
      </c>
      <c r="E98" s="130">
        <f t="shared" si="19"/>
        <v>0</v>
      </c>
      <c r="F98" s="130">
        <f t="shared" si="19"/>
        <v>0</v>
      </c>
      <c r="G98" s="130">
        <f t="shared" si="19"/>
        <v>0</v>
      </c>
      <c r="H98" s="130">
        <f t="shared" si="19"/>
        <v>0</v>
      </c>
      <c r="I98" s="130">
        <f t="shared" si="19"/>
        <v>0</v>
      </c>
      <c r="J98" s="130">
        <f t="shared" si="19"/>
        <v>0</v>
      </c>
      <c r="K98" s="130">
        <f t="shared" si="19"/>
        <v>0</v>
      </c>
      <c r="L98" s="130">
        <f t="shared" si="19"/>
        <v>0</v>
      </c>
      <c r="M98" s="130">
        <f t="shared" si="19"/>
        <v>0</v>
      </c>
      <c r="N98" s="130">
        <f t="shared" si="19"/>
        <v>0</v>
      </c>
      <c r="O98" s="130">
        <f t="shared" si="19"/>
        <v>0</v>
      </c>
      <c r="P98" s="130">
        <f t="shared" si="19"/>
        <v>0</v>
      </c>
      <c r="Q98" s="130">
        <f t="shared" si="19"/>
        <v>0</v>
      </c>
      <c r="R98" s="130">
        <f t="shared" si="19"/>
        <v>0</v>
      </c>
      <c r="S98" s="130">
        <f t="shared" si="19"/>
        <v>0</v>
      </c>
      <c r="T98" s="130">
        <f t="shared" si="19"/>
        <v>0</v>
      </c>
      <c r="U98" s="130">
        <f t="shared" si="19"/>
        <v>0</v>
      </c>
      <c r="V98" s="130">
        <f t="shared" si="19"/>
        <v>0</v>
      </c>
      <c r="W98" s="130">
        <f t="shared" si="19"/>
        <v>0</v>
      </c>
      <c r="X98" s="130">
        <f t="shared" si="19"/>
        <v>0</v>
      </c>
      <c r="Y98" s="130">
        <f t="shared" si="19"/>
        <v>0</v>
      </c>
      <c r="Z98" s="130">
        <f t="shared" si="19"/>
        <v>0</v>
      </c>
      <c r="AA98" s="130">
        <f t="shared" si="19"/>
        <v>0</v>
      </c>
      <c r="AB98" s="130">
        <f t="shared" si="19"/>
        <v>0</v>
      </c>
      <c r="AC98" s="130">
        <f t="shared" si="19"/>
        <v>0</v>
      </c>
      <c r="AD98" s="130">
        <f t="shared" si="19"/>
        <v>0</v>
      </c>
      <c r="AE98" s="130">
        <f t="shared" si="19"/>
        <v>0</v>
      </c>
      <c r="AF98" s="130">
        <f t="shared" si="19"/>
        <v>0</v>
      </c>
      <c r="AG98" s="130">
        <f t="shared" si="19"/>
        <v>0</v>
      </c>
      <c r="AH98" s="130">
        <f t="shared" si="19"/>
        <v>0</v>
      </c>
      <c r="AI98" s="130">
        <f t="shared" si="19"/>
        <v>0</v>
      </c>
      <c r="AJ98" s="47" t="str">
        <f t="shared" si="7"/>
        <v/>
      </c>
      <c r="AK98" s="60"/>
      <c r="AL98" s="60" t="str">
        <f t="shared" si="10"/>
        <v>00</v>
      </c>
      <c r="AM98" s="62" t="str">
        <f t="shared" si="11"/>
        <v>00</v>
      </c>
      <c r="AN98" s="62" t="str">
        <f t="shared" si="12"/>
        <v>00</v>
      </c>
      <c r="AO98" s="62" t="str">
        <f t="shared" si="13"/>
        <v>00</v>
      </c>
      <c r="AQ98" t="str">
        <f t="shared" si="8"/>
        <v/>
      </c>
    </row>
    <row r="99" spans="2:43">
      <c r="B99" s="138"/>
      <c r="C99" s="47">
        <f t="shared" si="9"/>
        <v>28</v>
      </c>
      <c r="D99" s="130">
        <f t="shared" si="19"/>
        <v>0</v>
      </c>
      <c r="E99" s="130">
        <f t="shared" si="19"/>
        <v>0</v>
      </c>
      <c r="F99" s="130">
        <f t="shared" si="19"/>
        <v>0</v>
      </c>
      <c r="G99" s="130">
        <f t="shared" si="19"/>
        <v>0</v>
      </c>
      <c r="H99" s="130">
        <f t="shared" si="19"/>
        <v>0</v>
      </c>
      <c r="I99" s="130">
        <f t="shared" si="19"/>
        <v>0</v>
      </c>
      <c r="J99" s="130">
        <f t="shared" si="19"/>
        <v>0</v>
      </c>
      <c r="K99" s="130">
        <f t="shared" si="19"/>
        <v>0</v>
      </c>
      <c r="L99" s="130">
        <f t="shared" si="19"/>
        <v>0</v>
      </c>
      <c r="M99" s="130">
        <f t="shared" si="19"/>
        <v>0</v>
      </c>
      <c r="N99" s="130">
        <f t="shared" si="19"/>
        <v>0</v>
      </c>
      <c r="O99" s="130">
        <f t="shared" si="19"/>
        <v>0</v>
      </c>
      <c r="P99" s="130">
        <f t="shared" si="19"/>
        <v>0</v>
      </c>
      <c r="Q99" s="130">
        <f t="shared" si="19"/>
        <v>0</v>
      </c>
      <c r="R99" s="130">
        <f t="shared" si="19"/>
        <v>0</v>
      </c>
      <c r="S99" s="130">
        <f t="shared" si="19"/>
        <v>0</v>
      </c>
      <c r="T99" s="130">
        <f t="shared" si="19"/>
        <v>0</v>
      </c>
      <c r="U99" s="130">
        <f t="shared" si="19"/>
        <v>0</v>
      </c>
      <c r="V99" s="130">
        <f t="shared" si="19"/>
        <v>0</v>
      </c>
      <c r="W99" s="130">
        <f t="shared" si="19"/>
        <v>0</v>
      </c>
      <c r="X99" s="130">
        <f t="shared" si="19"/>
        <v>0</v>
      </c>
      <c r="Y99" s="130">
        <f t="shared" si="19"/>
        <v>0</v>
      </c>
      <c r="Z99" s="130">
        <f t="shared" si="19"/>
        <v>0</v>
      </c>
      <c r="AA99" s="130">
        <f t="shared" si="19"/>
        <v>0</v>
      </c>
      <c r="AB99" s="130">
        <f t="shared" si="19"/>
        <v>0</v>
      </c>
      <c r="AC99" s="130">
        <f t="shared" si="19"/>
        <v>0</v>
      </c>
      <c r="AD99" s="130">
        <f t="shared" si="19"/>
        <v>0</v>
      </c>
      <c r="AE99" s="130">
        <f t="shared" si="19"/>
        <v>0</v>
      </c>
      <c r="AF99" s="130">
        <f t="shared" si="19"/>
        <v>0</v>
      </c>
      <c r="AG99" s="130">
        <f t="shared" si="19"/>
        <v>0</v>
      </c>
      <c r="AH99" s="130">
        <f t="shared" si="19"/>
        <v>0</v>
      </c>
      <c r="AI99" s="130">
        <f t="shared" si="19"/>
        <v>0</v>
      </c>
      <c r="AJ99" s="47" t="str">
        <f t="shared" si="7"/>
        <v/>
      </c>
      <c r="AK99" s="60"/>
      <c r="AL99" s="60" t="str">
        <f t="shared" si="10"/>
        <v>00</v>
      </c>
      <c r="AM99" s="62" t="str">
        <f t="shared" si="11"/>
        <v>00</v>
      </c>
      <c r="AN99" s="62" t="str">
        <f t="shared" si="12"/>
        <v>00</v>
      </c>
      <c r="AO99" s="62" t="str">
        <f t="shared" si="13"/>
        <v>00</v>
      </c>
      <c r="AQ99" t="str">
        <f t="shared" si="8"/>
        <v/>
      </c>
    </row>
    <row r="100" spans="2:43">
      <c r="B100" s="138"/>
      <c r="C100" s="47">
        <f t="shared" si="9"/>
        <v>29</v>
      </c>
      <c r="D100" s="130">
        <f t="shared" si="19"/>
        <v>0</v>
      </c>
      <c r="E100" s="130">
        <f t="shared" si="19"/>
        <v>0</v>
      </c>
      <c r="F100" s="130">
        <f t="shared" si="19"/>
        <v>0</v>
      </c>
      <c r="G100" s="130">
        <f t="shared" si="19"/>
        <v>0</v>
      </c>
      <c r="H100" s="130">
        <f t="shared" si="19"/>
        <v>0</v>
      </c>
      <c r="I100" s="130">
        <f t="shared" si="19"/>
        <v>0</v>
      </c>
      <c r="J100" s="130">
        <f t="shared" si="19"/>
        <v>0</v>
      </c>
      <c r="K100" s="130">
        <f t="shared" si="19"/>
        <v>0</v>
      </c>
      <c r="L100" s="130">
        <f t="shared" si="19"/>
        <v>0</v>
      </c>
      <c r="M100" s="130">
        <f t="shared" si="19"/>
        <v>0</v>
      </c>
      <c r="N100" s="130">
        <f t="shared" si="19"/>
        <v>0</v>
      </c>
      <c r="O100" s="130">
        <f t="shared" si="19"/>
        <v>0</v>
      </c>
      <c r="P100" s="130">
        <f t="shared" si="19"/>
        <v>0</v>
      </c>
      <c r="Q100" s="130">
        <f t="shared" si="19"/>
        <v>0</v>
      </c>
      <c r="R100" s="130">
        <f t="shared" si="19"/>
        <v>0</v>
      </c>
      <c r="S100" s="130">
        <f t="shared" si="19"/>
        <v>0</v>
      </c>
      <c r="T100" s="130">
        <f t="shared" si="19"/>
        <v>0</v>
      </c>
      <c r="U100" s="130">
        <f t="shared" si="19"/>
        <v>0</v>
      </c>
      <c r="V100" s="130">
        <f t="shared" si="19"/>
        <v>0</v>
      </c>
      <c r="W100" s="130">
        <f t="shared" si="19"/>
        <v>0</v>
      </c>
      <c r="X100" s="130">
        <f t="shared" si="19"/>
        <v>0</v>
      </c>
      <c r="Y100" s="130">
        <f t="shared" si="19"/>
        <v>0</v>
      </c>
      <c r="Z100" s="130">
        <f t="shared" si="19"/>
        <v>0</v>
      </c>
      <c r="AA100" s="130">
        <f t="shared" si="19"/>
        <v>0</v>
      </c>
      <c r="AB100" s="130">
        <f t="shared" si="19"/>
        <v>0</v>
      </c>
      <c r="AC100" s="130">
        <f t="shared" si="19"/>
        <v>0</v>
      </c>
      <c r="AD100" s="130">
        <f t="shared" si="19"/>
        <v>0</v>
      </c>
      <c r="AE100" s="130">
        <f t="shared" si="19"/>
        <v>0</v>
      </c>
      <c r="AF100" s="130">
        <f t="shared" si="19"/>
        <v>0</v>
      </c>
      <c r="AG100" s="130">
        <f t="shared" si="19"/>
        <v>0</v>
      </c>
      <c r="AH100" s="130">
        <f t="shared" si="19"/>
        <v>0</v>
      </c>
      <c r="AI100" s="130">
        <f t="shared" si="19"/>
        <v>0</v>
      </c>
      <c r="AJ100" s="47" t="str">
        <f t="shared" si="7"/>
        <v/>
      </c>
      <c r="AK100" s="60"/>
      <c r="AL100" s="60" t="str">
        <f t="shared" si="10"/>
        <v>00</v>
      </c>
      <c r="AM100" s="62" t="str">
        <f t="shared" si="11"/>
        <v>00</v>
      </c>
      <c r="AN100" s="62" t="str">
        <f t="shared" si="12"/>
        <v>00</v>
      </c>
      <c r="AO100" s="62" t="str">
        <f t="shared" si="13"/>
        <v>00</v>
      </c>
      <c r="AQ100" t="str">
        <f t="shared" si="8"/>
        <v/>
      </c>
    </row>
    <row r="101" spans="2:43">
      <c r="B101" s="138"/>
      <c r="C101" s="47">
        <f t="shared" si="9"/>
        <v>30</v>
      </c>
      <c r="D101" s="130">
        <f t="shared" si="19"/>
        <v>0</v>
      </c>
      <c r="E101" s="130">
        <f t="shared" si="19"/>
        <v>0</v>
      </c>
      <c r="F101" s="130">
        <f t="shared" si="19"/>
        <v>0</v>
      </c>
      <c r="G101" s="130">
        <f t="shared" si="19"/>
        <v>0</v>
      </c>
      <c r="H101" s="130">
        <f t="shared" si="19"/>
        <v>0</v>
      </c>
      <c r="I101" s="130">
        <f t="shared" si="19"/>
        <v>0</v>
      </c>
      <c r="J101" s="130">
        <f t="shared" si="19"/>
        <v>0</v>
      </c>
      <c r="K101" s="130">
        <f t="shared" si="19"/>
        <v>0</v>
      </c>
      <c r="L101" s="130">
        <f t="shared" si="19"/>
        <v>0</v>
      </c>
      <c r="M101" s="130">
        <f t="shared" si="19"/>
        <v>0</v>
      </c>
      <c r="N101" s="130">
        <f t="shared" si="19"/>
        <v>0</v>
      </c>
      <c r="O101" s="130">
        <f t="shared" si="19"/>
        <v>0</v>
      </c>
      <c r="P101" s="130">
        <f t="shared" si="19"/>
        <v>0</v>
      </c>
      <c r="Q101" s="130">
        <f t="shared" si="19"/>
        <v>0</v>
      </c>
      <c r="R101" s="130">
        <f t="shared" si="19"/>
        <v>0</v>
      </c>
      <c r="S101" s="130">
        <f t="shared" si="19"/>
        <v>0</v>
      </c>
      <c r="T101" s="130">
        <f t="shared" si="19"/>
        <v>0</v>
      </c>
      <c r="U101" s="130">
        <f t="shared" si="19"/>
        <v>0</v>
      </c>
      <c r="V101" s="130">
        <f t="shared" si="19"/>
        <v>0</v>
      </c>
      <c r="W101" s="130">
        <f t="shared" si="19"/>
        <v>0</v>
      </c>
      <c r="X101" s="130">
        <f t="shared" si="19"/>
        <v>0</v>
      </c>
      <c r="Y101" s="130">
        <f t="shared" si="19"/>
        <v>0</v>
      </c>
      <c r="Z101" s="130">
        <f t="shared" si="19"/>
        <v>0</v>
      </c>
      <c r="AA101" s="130">
        <f t="shared" si="19"/>
        <v>0</v>
      </c>
      <c r="AB101" s="130">
        <f t="shared" si="19"/>
        <v>0</v>
      </c>
      <c r="AC101" s="130">
        <f t="shared" si="19"/>
        <v>0</v>
      </c>
      <c r="AD101" s="130">
        <f t="shared" si="19"/>
        <v>0</v>
      </c>
      <c r="AE101" s="130">
        <f t="shared" si="19"/>
        <v>0</v>
      </c>
      <c r="AF101" s="130">
        <f t="shared" si="19"/>
        <v>0</v>
      </c>
      <c r="AG101" s="130">
        <f t="shared" si="19"/>
        <v>0</v>
      </c>
      <c r="AH101" s="130">
        <f t="shared" si="19"/>
        <v>0</v>
      </c>
      <c r="AI101" s="130">
        <f t="shared" si="19"/>
        <v>0</v>
      </c>
      <c r="AJ101" s="47" t="str">
        <f t="shared" si="7"/>
        <v/>
      </c>
      <c r="AK101" s="60"/>
      <c r="AL101" s="60" t="str">
        <f t="shared" si="10"/>
        <v>00</v>
      </c>
      <c r="AM101" s="62" t="str">
        <f t="shared" si="11"/>
        <v>00</v>
      </c>
      <c r="AN101" s="62" t="str">
        <f t="shared" si="12"/>
        <v>00</v>
      </c>
      <c r="AO101" s="62" t="str">
        <f t="shared" si="13"/>
        <v>00</v>
      </c>
      <c r="AQ101" t="str">
        <f t="shared" si="8"/>
        <v/>
      </c>
    </row>
    <row r="102" spans="2:43">
      <c r="B102" s="138"/>
      <c r="C102" s="47">
        <f t="shared" si="9"/>
        <v>31</v>
      </c>
      <c r="D102" s="130">
        <f t="shared" si="19"/>
        <v>0</v>
      </c>
      <c r="E102" s="130">
        <f t="shared" si="19"/>
        <v>0</v>
      </c>
      <c r="F102" s="130">
        <f t="shared" si="19"/>
        <v>0</v>
      </c>
      <c r="G102" s="130">
        <f t="shared" si="19"/>
        <v>0</v>
      </c>
      <c r="H102" s="130">
        <f t="shared" si="19"/>
        <v>0</v>
      </c>
      <c r="I102" s="130">
        <f t="shared" si="19"/>
        <v>0</v>
      </c>
      <c r="J102" s="130">
        <f t="shared" si="19"/>
        <v>0</v>
      </c>
      <c r="K102" s="130">
        <f t="shared" si="19"/>
        <v>0</v>
      </c>
      <c r="L102" s="130">
        <f t="shared" si="19"/>
        <v>0</v>
      </c>
      <c r="M102" s="130">
        <f t="shared" si="19"/>
        <v>0</v>
      </c>
      <c r="N102" s="130">
        <f t="shared" si="19"/>
        <v>0</v>
      </c>
      <c r="O102" s="130">
        <f t="shared" si="19"/>
        <v>0</v>
      </c>
      <c r="P102" s="130">
        <f t="shared" si="19"/>
        <v>0</v>
      </c>
      <c r="Q102" s="130">
        <f t="shared" si="19"/>
        <v>0</v>
      </c>
      <c r="R102" s="130">
        <f t="shared" si="19"/>
        <v>0</v>
      </c>
      <c r="S102" s="130">
        <f t="shared" si="19"/>
        <v>0</v>
      </c>
      <c r="T102" s="130">
        <f t="shared" si="19"/>
        <v>0</v>
      </c>
      <c r="U102" s="130">
        <f t="shared" si="19"/>
        <v>0</v>
      </c>
      <c r="V102" s="130">
        <f t="shared" si="19"/>
        <v>0</v>
      </c>
      <c r="W102" s="130">
        <f t="shared" si="19"/>
        <v>0</v>
      </c>
      <c r="X102" s="130">
        <f t="shared" si="19"/>
        <v>0</v>
      </c>
      <c r="Y102" s="130">
        <f t="shared" si="19"/>
        <v>0</v>
      </c>
      <c r="Z102" s="130">
        <f t="shared" si="19"/>
        <v>0</v>
      </c>
      <c r="AA102" s="130">
        <f t="shared" si="19"/>
        <v>0</v>
      </c>
      <c r="AB102" s="130">
        <f t="shared" si="19"/>
        <v>0</v>
      </c>
      <c r="AC102" s="130">
        <f t="shared" si="19"/>
        <v>0</v>
      </c>
      <c r="AD102" s="130">
        <f t="shared" si="19"/>
        <v>0</v>
      </c>
      <c r="AE102" s="130">
        <f t="shared" si="19"/>
        <v>0</v>
      </c>
      <c r="AF102" s="130">
        <f t="shared" si="19"/>
        <v>0</v>
      </c>
      <c r="AG102" s="130">
        <f t="shared" si="19"/>
        <v>0</v>
      </c>
      <c r="AH102" s="130">
        <f t="shared" si="19"/>
        <v>0</v>
      </c>
      <c r="AI102" s="130">
        <f t="shared" ref="AI102" si="20">IF(AI37=1,1,0)</f>
        <v>0</v>
      </c>
      <c r="AJ102" s="47" t="str">
        <f t="shared" si="7"/>
        <v/>
      </c>
      <c r="AK102" s="60"/>
      <c r="AL102" s="60" t="str">
        <f t="shared" si="10"/>
        <v>00</v>
      </c>
      <c r="AM102" s="62" t="str">
        <f t="shared" si="11"/>
        <v>00</v>
      </c>
      <c r="AN102" s="62" t="str">
        <f t="shared" si="12"/>
        <v>00</v>
      </c>
      <c r="AO102" s="62" t="str">
        <f t="shared" si="13"/>
        <v>00</v>
      </c>
      <c r="AQ102" t="str">
        <f t="shared" si="8"/>
        <v/>
      </c>
    </row>
    <row r="103" spans="2:43">
      <c r="B103" s="138"/>
      <c r="C103" s="47">
        <f t="shared" si="9"/>
        <v>32</v>
      </c>
      <c r="D103" s="130">
        <f t="shared" ref="D103:AI110" si="21">IF(D38=1,1,0)</f>
        <v>0</v>
      </c>
      <c r="E103" s="130">
        <f t="shared" si="21"/>
        <v>0</v>
      </c>
      <c r="F103" s="130">
        <f t="shared" si="21"/>
        <v>0</v>
      </c>
      <c r="G103" s="130">
        <f t="shared" si="21"/>
        <v>0</v>
      </c>
      <c r="H103" s="130">
        <f t="shared" si="21"/>
        <v>0</v>
      </c>
      <c r="I103" s="130">
        <f t="shared" si="21"/>
        <v>0</v>
      </c>
      <c r="J103" s="130">
        <f t="shared" si="21"/>
        <v>0</v>
      </c>
      <c r="K103" s="130">
        <f t="shared" si="21"/>
        <v>0</v>
      </c>
      <c r="L103" s="130">
        <f t="shared" si="21"/>
        <v>0</v>
      </c>
      <c r="M103" s="130">
        <f t="shared" si="21"/>
        <v>0</v>
      </c>
      <c r="N103" s="130">
        <f t="shared" si="21"/>
        <v>0</v>
      </c>
      <c r="O103" s="130">
        <f t="shared" si="21"/>
        <v>0</v>
      </c>
      <c r="P103" s="130">
        <f t="shared" si="21"/>
        <v>0</v>
      </c>
      <c r="Q103" s="130">
        <f t="shared" si="21"/>
        <v>0</v>
      </c>
      <c r="R103" s="130">
        <f t="shared" si="21"/>
        <v>0</v>
      </c>
      <c r="S103" s="130">
        <f t="shared" si="21"/>
        <v>0</v>
      </c>
      <c r="T103" s="130">
        <f t="shared" si="21"/>
        <v>0</v>
      </c>
      <c r="U103" s="130">
        <f t="shared" si="21"/>
        <v>0</v>
      </c>
      <c r="V103" s="130">
        <f t="shared" si="21"/>
        <v>0</v>
      </c>
      <c r="W103" s="130">
        <f t="shared" si="21"/>
        <v>0</v>
      </c>
      <c r="X103" s="130">
        <f t="shared" si="21"/>
        <v>0</v>
      </c>
      <c r="Y103" s="130">
        <f t="shared" si="21"/>
        <v>0</v>
      </c>
      <c r="Z103" s="130">
        <f t="shared" si="21"/>
        <v>0</v>
      </c>
      <c r="AA103" s="130">
        <f t="shared" si="21"/>
        <v>0</v>
      </c>
      <c r="AB103" s="130">
        <f t="shared" si="21"/>
        <v>0</v>
      </c>
      <c r="AC103" s="130">
        <f t="shared" si="21"/>
        <v>0</v>
      </c>
      <c r="AD103" s="130">
        <f t="shared" si="21"/>
        <v>0</v>
      </c>
      <c r="AE103" s="130">
        <f t="shared" si="21"/>
        <v>0</v>
      </c>
      <c r="AF103" s="130">
        <f t="shared" si="21"/>
        <v>0</v>
      </c>
      <c r="AG103" s="130">
        <f t="shared" si="21"/>
        <v>0</v>
      </c>
      <c r="AH103" s="130">
        <f t="shared" si="21"/>
        <v>0</v>
      </c>
      <c r="AI103" s="130">
        <f t="shared" si="21"/>
        <v>0</v>
      </c>
      <c r="AJ103" s="47" t="str">
        <f t="shared" si="7"/>
        <v/>
      </c>
      <c r="AK103" s="60"/>
      <c r="AL103" s="60" t="str">
        <f t="shared" si="10"/>
        <v>00</v>
      </c>
      <c r="AM103" s="62" t="str">
        <f t="shared" si="11"/>
        <v>00</v>
      </c>
      <c r="AN103" s="62" t="str">
        <f t="shared" si="12"/>
        <v>00</v>
      </c>
      <c r="AO103" s="62" t="str">
        <f t="shared" si="13"/>
        <v>00</v>
      </c>
      <c r="AQ103" t="str">
        <f t="shared" si="8"/>
        <v/>
      </c>
    </row>
    <row r="104" spans="2:43">
      <c r="B104" s="138"/>
      <c r="C104" s="47">
        <f t="shared" si="9"/>
        <v>33</v>
      </c>
      <c r="D104" s="130">
        <f t="shared" si="21"/>
        <v>0</v>
      </c>
      <c r="E104" s="130">
        <f t="shared" si="21"/>
        <v>0</v>
      </c>
      <c r="F104" s="130">
        <f t="shared" si="21"/>
        <v>0</v>
      </c>
      <c r="G104" s="130">
        <f t="shared" si="21"/>
        <v>0</v>
      </c>
      <c r="H104" s="130">
        <f t="shared" si="21"/>
        <v>0</v>
      </c>
      <c r="I104" s="130">
        <f t="shared" si="21"/>
        <v>0</v>
      </c>
      <c r="J104" s="130">
        <f t="shared" si="21"/>
        <v>0</v>
      </c>
      <c r="K104" s="130">
        <f t="shared" si="21"/>
        <v>0</v>
      </c>
      <c r="L104" s="130">
        <f t="shared" si="21"/>
        <v>0</v>
      </c>
      <c r="M104" s="130">
        <f t="shared" si="21"/>
        <v>0</v>
      </c>
      <c r="N104" s="130">
        <f t="shared" si="21"/>
        <v>0</v>
      </c>
      <c r="O104" s="130">
        <f t="shared" si="21"/>
        <v>0</v>
      </c>
      <c r="P104" s="130">
        <f t="shared" si="21"/>
        <v>0</v>
      </c>
      <c r="Q104" s="130">
        <f t="shared" si="21"/>
        <v>0</v>
      </c>
      <c r="R104" s="130">
        <f t="shared" si="21"/>
        <v>0</v>
      </c>
      <c r="S104" s="130">
        <f t="shared" si="21"/>
        <v>0</v>
      </c>
      <c r="T104" s="130">
        <f t="shared" si="21"/>
        <v>0</v>
      </c>
      <c r="U104" s="130">
        <f t="shared" si="21"/>
        <v>0</v>
      </c>
      <c r="V104" s="130">
        <f t="shared" si="21"/>
        <v>0</v>
      </c>
      <c r="W104" s="130">
        <f t="shared" si="21"/>
        <v>0</v>
      </c>
      <c r="X104" s="130">
        <f t="shared" si="21"/>
        <v>0</v>
      </c>
      <c r="Y104" s="130">
        <f t="shared" si="21"/>
        <v>0</v>
      </c>
      <c r="Z104" s="130">
        <f t="shared" si="21"/>
        <v>0</v>
      </c>
      <c r="AA104" s="130">
        <f t="shared" si="21"/>
        <v>0</v>
      </c>
      <c r="AB104" s="130">
        <f t="shared" si="21"/>
        <v>0</v>
      </c>
      <c r="AC104" s="130">
        <f t="shared" si="21"/>
        <v>0</v>
      </c>
      <c r="AD104" s="130">
        <f t="shared" si="21"/>
        <v>0</v>
      </c>
      <c r="AE104" s="130">
        <f t="shared" si="21"/>
        <v>0</v>
      </c>
      <c r="AF104" s="130">
        <f t="shared" si="21"/>
        <v>0</v>
      </c>
      <c r="AG104" s="130">
        <f t="shared" si="21"/>
        <v>0</v>
      </c>
      <c r="AH104" s="130">
        <f t="shared" si="21"/>
        <v>0</v>
      </c>
      <c r="AI104" s="130">
        <f t="shared" si="21"/>
        <v>0</v>
      </c>
      <c r="AJ104" s="47" t="str">
        <f t="shared" si="7"/>
        <v/>
      </c>
      <c r="AK104" s="60"/>
      <c r="AL104" s="60" t="str">
        <f t="shared" si="10"/>
        <v>00</v>
      </c>
      <c r="AM104" s="62" t="str">
        <f t="shared" si="11"/>
        <v>00</v>
      </c>
      <c r="AN104" s="62" t="str">
        <f t="shared" si="12"/>
        <v>00</v>
      </c>
      <c r="AO104" s="62" t="str">
        <f t="shared" si="13"/>
        <v>00</v>
      </c>
      <c r="AQ104" t="str">
        <f t="shared" si="8"/>
        <v/>
      </c>
    </row>
    <row r="105" spans="2:43">
      <c r="B105" s="138"/>
      <c r="C105" s="47">
        <f t="shared" si="9"/>
        <v>34</v>
      </c>
      <c r="D105" s="130">
        <f t="shared" si="21"/>
        <v>0</v>
      </c>
      <c r="E105" s="130">
        <f t="shared" si="21"/>
        <v>0</v>
      </c>
      <c r="F105" s="130">
        <f t="shared" si="21"/>
        <v>0</v>
      </c>
      <c r="G105" s="130">
        <f t="shared" si="21"/>
        <v>0</v>
      </c>
      <c r="H105" s="130">
        <f t="shared" si="21"/>
        <v>0</v>
      </c>
      <c r="I105" s="130">
        <f t="shared" si="21"/>
        <v>0</v>
      </c>
      <c r="J105" s="130">
        <f t="shared" si="21"/>
        <v>0</v>
      </c>
      <c r="K105" s="130">
        <f t="shared" si="21"/>
        <v>0</v>
      </c>
      <c r="L105" s="130">
        <f t="shared" si="21"/>
        <v>0</v>
      </c>
      <c r="M105" s="130">
        <f t="shared" si="21"/>
        <v>0</v>
      </c>
      <c r="N105" s="130">
        <f t="shared" si="21"/>
        <v>0</v>
      </c>
      <c r="O105" s="130">
        <f t="shared" si="21"/>
        <v>0</v>
      </c>
      <c r="P105" s="130">
        <f t="shared" si="21"/>
        <v>0</v>
      </c>
      <c r="Q105" s="130">
        <f t="shared" si="21"/>
        <v>0</v>
      </c>
      <c r="R105" s="130">
        <f t="shared" si="21"/>
        <v>0</v>
      </c>
      <c r="S105" s="130">
        <f t="shared" si="21"/>
        <v>0</v>
      </c>
      <c r="T105" s="130">
        <f t="shared" si="21"/>
        <v>0</v>
      </c>
      <c r="U105" s="130">
        <f t="shared" si="21"/>
        <v>0</v>
      </c>
      <c r="V105" s="130">
        <f t="shared" si="21"/>
        <v>0</v>
      </c>
      <c r="W105" s="130">
        <f t="shared" si="21"/>
        <v>0</v>
      </c>
      <c r="X105" s="130">
        <f t="shared" si="21"/>
        <v>0</v>
      </c>
      <c r="Y105" s="130">
        <f t="shared" si="21"/>
        <v>0</v>
      </c>
      <c r="Z105" s="130">
        <f t="shared" si="21"/>
        <v>0</v>
      </c>
      <c r="AA105" s="130">
        <f t="shared" si="21"/>
        <v>0</v>
      </c>
      <c r="AB105" s="130">
        <f t="shared" si="21"/>
        <v>0</v>
      </c>
      <c r="AC105" s="130">
        <f t="shared" si="21"/>
        <v>0</v>
      </c>
      <c r="AD105" s="130">
        <f t="shared" si="21"/>
        <v>0</v>
      </c>
      <c r="AE105" s="130">
        <f t="shared" si="21"/>
        <v>0</v>
      </c>
      <c r="AF105" s="130">
        <f t="shared" si="21"/>
        <v>0</v>
      </c>
      <c r="AG105" s="130">
        <f t="shared" si="21"/>
        <v>0</v>
      </c>
      <c r="AH105" s="130">
        <f t="shared" si="21"/>
        <v>0</v>
      </c>
      <c r="AI105" s="130">
        <f t="shared" si="21"/>
        <v>0</v>
      </c>
      <c r="AJ105" s="47" t="str">
        <f t="shared" si="7"/>
        <v/>
      </c>
      <c r="AK105" s="60"/>
      <c r="AL105" s="60" t="str">
        <f t="shared" si="10"/>
        <v>00</v>
      </c>
      <c r="AM105" s="62" t="str">
        <f t="shared" si="11"/>
        <v>00</v>
      </c>
      <c r="AN105" s="62" t="str">
        <f t="shared" si="12"/>
        <v>00</v>
      </c>
      <c r="AO105" s="62" t="str">
        <f t="shared" si="13"/>
        <v>00</v>
      </c>
      <c r="AQ105" t="str">
        <f t="shared" si="8"/>
        <v/>
      </c>
    </row>
    <row r="106" spans="2:43">
      <c r="B106" s="138"/>
      <c r="C106" s="47">
        <f t="shared" si="9"/>
        <v>35</v>
      </c>
      <c r="D106" s="130">
        <f t="shared" si="21"/>
        <v>0</v>
      </c>
      <c r="E106" s="130">
        <f t="shared" si="21"/>
        <v>0</v>
      </c>
      <c r="F106" s="130">
        <f t="shared" si="21"/>
        <v>0</v>
      </c>
      <c r="G106" s="130">
        <f t="shared" si="21"/>
        <v>0</v>
      </c>
      <c r="H106" s="130">
        <f t="shared" si="21"/>
        <v>0</v>
      </c>
      <c r="I106" s="130">
        <f t="shared" si="21"/>
        <v>0</v>
      </c>
      <c r="J106" s="130">
        <f t="shared" si="21"/>
        <v>0</v>
      </c>
      <c r="K106" s="130">
        <f t="shared" si="21"/>
        <v>0</v>
      </c>
      <c r="L106" s="130">
        <f t="shared" si="21"/>
        <v>0</v>
      </c>
      <c r="M106" s="130">
        <f t="shared" si="21"/>
        <v>0</v>
      </c>
      <c r="N106" s="130">
        <f t="shared" si="21"/>
        <v>0</v>
      </c>
      <c r="O106" s="130">
        <f t="shared" si="21"/>
        <v>0</v>
      </c>
      <c r="P106" s="130">
        <f t="shared" si="21"/>
        <v>0</v>
      </c>
      <c r="Q106" s="130">
        <f t="shared" si="21"/>
        <v>0</v>
      </c>
      <c r="R106" s="130">
        <f t="shared" si="21"/>
        <v>0</v>
      </c>
      <c r="S106" s="130">
        <f t="shared" si="21"/>
        <v>0</v>
      </c>
      <c r="T106" s="130">
        <f t="shared" si="21"/>
        <v>0</v>
      </c>
      <c r="U106" s="130">
        <f t="shared" si="21"/>
        <v>0</v>
      </c>
      <c r="V106" s="130">
        <f t="shared" si="21"/>
        <v>0</v>
      </c>
      <c r="W106" s="130">
        <f t="shared" si="21"/>
        <v>0</v>
      </c>
      <c r="X106" s="130">
        <f t="shared" si="21"/>
        <v>0</v>
      </c>
      <c r="Y106" s="130">
        <f t="shared" si="21"/>
        <v>0</v>
      </c>
      <c r="Z106" s="130">
        <f t="shared" si="21"/>
        <v>0</v>
      </c>
      <c r="AA106" s="130">
        <f t="shared" si="21"/>
        <v>0</v>
      </c>
      <c r="AB106" s="130">
        <f t="shared" si="21"/>
        <v>0</v>
      </c>
      <c r="AC106" s="130">
        <f t="shared" si="21"/>
        <v>0</v>
      </c>
      <c r="AD106" s="130">
        <f t="shared" si="21"/>
        <v>0</v>
      </c>
      <c r="AE106" s="130">
        <f t="shared" si="21"/>
        <v>0</v>
      </c>
      <c r="AF106" s="130">
        <f t="shared" si="21"/>
        <v>0</v>
      </c>
      <c r="AG106" s="130">
        <f t="shared" si="21"/>
        <v>0</v>
      </c>
      <c r="AH106" s="130">
        <f t="shared" si="21"/>
        <v>0</v>
      </c>
      <c r="AI106" s="130">
        <f t="shared" si="21"/>
        <v>0</v>
      </c>
      <c r="AJ106" s="47" t="str">
        <f t="shared" si="7"/>
        <v/>
      </c>
      <c r="AK106" s="60"/>
      <c r="AL106" s="60" t="str">
        <f t="shared" si="10"/>
        <v>00</v>
      </c>
      <c r="AM106" s="62" t="str">
        <f t="shared" si="11"/>
        <v>00</v>
      </c>
      <c r="AN106" s="62" t="str">
        <f t="shared" si="12"/>
        <v>00</v>
      </c>
      <c r="AO106" s="62" t="str">
        <f t="shared" si="13"/>
        <v>00</v>
      </c>
      <c r="AQ106" t="str">
        <f t="shared" si="8"/>
        <v/>
      </c>
    </row>
    <row r="107" spans="2:43">
      <c r="B107" s="138"/>
      <c r="C107" s="47">
        <f t="shared" si="9"/>
        <v>36</v>
      </c>
      <c r="D107" s="130">
        <f t="shared" si="21"/>
        <v>0</v>
      </c>
      <c r="E107" s="130">
        <f t="shared" si="21"/>
        <v>0</v>
      </c>
      <c r="F107" s="130">
        <f t="shared" si="21"/>
        <v>0</v>
      </c>
      <c r="G107" s="130">
        <f t="shared" si="21"/>
        <v>0</v>
      </c>
      <c r="H107" s="130">
        <f t="shared" si="21"/>
        <v>0</v>
      </c>
      <c r="I107" s="130">
        <f t="shared" si="21"/>
        <v>0</v>
      </c>
      <c r="J107" s="130">
        <f t="shared" si="21"/>
        <v>0</v>
      </c>
      <c r="K107" s="130">
        <f t="shared" si="21"/>
        <v>0</v>
      </c>
      <c r="L107" s="130">
        <f t="shared" si="21"/>
        <v>0</v>
      </c>
      <c r="M107" s="130">
        <f t="shared" si="21"/>
        <v>0</v>
      </c>
      <c r="N107" s="130">
        <f t="shared" si="21"/>
        <v>0</v>
      </c>
      <c r="O107" s="130">
        <f t="shared" si="21"/>
        <v>0</v>
      </c>
      <c r="P107" s="130">
        <f t="shared" si="21"/>
        <v>0</v>
      </c>
      <c r="Q107" s="130">
        <f t="shared" si="21"/>
        <v>0</v>
      </c>
      <c r="R107" s="130">
        <f t="shared" si="21"/>
        <v>0</v>
      </c>
      <c r="S107" s="130">
        <f t="shared" si="21"/>
        <v>0</v>
      </c>
      <c r="T107" s="130">
        <f t="shared" si="21"/>
        <v>0</v>
      </c>
      <c r="U107" s="130">
        <f t="shared" si="21"/>
        <v>0</v>
      </c>
      <c r="V107" s="130">
        <f t="shared" si="21"/>
        <v>0</v>
      </c>
      <c r="W107" s="130">
        <f t="shared" si="21"/>
        <v>0</v>
      </c>
      <c r="X107" s="130">
        <f t="shared" si="21"/>
        <v>0</v>
      </c>
      <c r="Y107" s="130">
        <f t="shared" si="21"/>
        <v>0</v>
      </c>
      <c r="Z107" s="130">
        <f t="shared" si="21"/>
        <v>0</v>
      </c>
      <c r="AA107" s="130">
        <f t="shared" si="21"/>
        <v>0</v>
      </c>
      <c r="AB107" s="130">
        <f t="shared" si="21"/>
        <v>0</v>
      </c>
      <c r="AC107" s="130">
        <f t="shared" si="21"/>
        <v>0</v>
      </c>
      <c r="AD107" s="130">
        <f t="shared" si="21"/>
        <v>0</v>
      </c>
      <c r="AE107" s="130">
        <f t="shared" si="21"/>
        <v>0</v>
      </c>
      <c r="AF107" s="130">
        <f t="shared" si="21"/>
        <v>0</v>
      </c>
      <c r="AG107" s="130">
        <f t="shared" si="21"/>
        <v>0</v>
      </c>
      <c r="AH107" s="130">
        <f t="shared" si="21"/>
        <v>0</v>
      </c>
      <c r="AI107" s="130">
        <f t="shared" si="21"/>
        <v>0</v>
      </c>
      <c r="AJ107" s="47" t="str">
        <f t="shared" si="7"/>
        <v/>
      </c>
      <c r="AK107" s="60"/>
      <c r="AL107" s="60" t="str">
        <f t="shared" si="10"/>
        <v>00</v>
      </c>
      <c r="AM107" s="62" t="str">
        <f t="shared" si="11"/>
        <v>00</v>
      </c>
      <c r="AN107" s="62" t="str">
        <f t="shared" si="12"/>
        <v>00</v>
      </c>
      <c r="AO107" s="62" t="str">
        <f t="shared" si="13"/>
        <v>00</v>
      </c>
      <c r="AQ107" t="str">
        <f t="shared" si="8"/>
        <v/>
      </c>
    </row>
    <row r="108" spans="2:43">
      <c r="B108" s="138"/>
      <c r="C108" s="47">
        <f t="shared" si="9"/>
        <v>37</v>
      </c>
      <c r="D108" s="130">
        <f t="shared" si="21"/>
        <v>0</v>
      </c>
      <c r="E108" s="130">
        <f t="shared" si="21"/>
        <v>0</v>
      </c>
      <c r="F108" s="130">
        <f t="shared" si="21"/>
        <v>0</v>
      </c>
      <c r="G108" s="130">
        <f t="shared" si="21"/>
        <v>0</v>
      </c>
      <c r="H108" s="130">
        <f t="shared" si="21"/>
        <v>0</v>
      </c>
      <c r="I108" s="130">
        <f t="shared" si="21"/>
        <v>0</v>
      </c>
      <c r="J108" s="130">
        <f t="shared" si="21"/>
        <v>0</v>
      </c>
      <c r="K108" s="130">
        <f t="shared" si="21"/>
        <v>0</v>
      </c>
      <c r="L108" s="130">
        <f t="shared" si="21"/>
        <v>0</v>
      </c>
      <c r="M108" s="130">
        <f t="shared" si="21"/>
        <v>0</v>
      </c>
      <c r="N108" s="130">
        <f t="shared" si="21"/>
        <v>0</v>
      </c>
      <c r="O108" s="130">
        <f t="shared" si="21"/>
        <v>0</v>
      </c>
      <c r="P108" s="130">
        <f t="shared" si="21"/>
        <v>0</v>
      </c>
      <c r="Q108" s="130">
        <f t="shared" si="21"/>
        <v>0</v>
      </c>
      <c r="R108" s="130">
        <f t="shared" si="21"/>
        <v>0</v>
      </c>
      <c r="S108" s="130">
        <f t="shared" si="21"/>
        <v>0</v>
      </c>
      <c r="T108" s="130">
        <f t="shared" si="21"/>
        <v>0</v>
      </c>
      <c r="U108" s="130">
        <f t="shared" si="21"/>
        <v>0</v>
      </c>
      <c r="V108" s="130">
        <f t="shared" si="21"/>
        <v>0</v>
      </c>
      <c r="W108" s="130">
        <f t="shared" si="21"/>
        <v>0</v>
      </c>
      <c r="X108" s="130">
        <f t="shared" si="21"/>
        <v>0</v>
      </c>
      <c r="Y108" s="130">
        <f t="shared" si="21"/>
        <v>0</v>
      </c>
      <c r="Z108" s="130">
        <f t="shared" si="21"/>
        <v>0</v>
      </c>
      <c r="AA108" s="130">
        <f t="shared" si="21"/>
        <v>0</v>
      </c>
      <c r="AB108" s="130">
        <f t="shared" si="21"/>
        <v>0</v>
      </c>
      <c r="AC108" s="130">
        <f t="shared" si="21"/>
        <v>0</v>
      </c>
      <c r="AD108" s="130">
        <f t="shared" si="21"/>
        <v>0</v>
      </c>
      <c r="AE108" s="130">
        <f t="shared" si="21"/>
        <v>0</v>
      </c>
      <c r="AF108" s="130">
        <f t="shared" si="21"/>
        <v>0</v>
      </c>
      <c r="AG108" s="130">
        <f t="shared" si="21"/>
        <v>0</v>
      </c>
      <c r="AH108" s="130">
        <f t="shared" si="21"/>
        <v>0</v>
      </c>
      <c r="AI108" s="130">
        <f t="shared" si="21"/>
        <v>0</v>
      </c>
      <c r="AJ108" s="47" t="str">
        <f t="shared" si="7"/>
        <v/>
      </c>
      <c r="AK108" s="60"/>
      <c r="AL108" s="60" t="str">
        <f t="shared" si="10"/>
        <v>00</v>
      </c>
      <c r="AM108" s="62" t="str">
        <f t="shared" si="11"/>
        <v>00</v>
      </c>
      <c r="AN108" s="62" t="str">
        <f t="shared" si="12"/>
        <v>00</v>
      </c>
      <c r="AO108" s="62" t="str">
        <f t="shared" si="13"/>
        <v>00</v>
      </c>
      <c r="AQ108" t="str">
        <f t="shared" si="8"/>
        <v/>
      </c>
    </row>
    <row r="109" spans="2:43">
      <c r="B109" s="138"/>
      <c r="C109" s="47">
        <f t="shared" si="9"/>
        <v>38</v>
      </c>
      <c r="D109" s="130">
        <f t="shared" si="21"/>
        <v>0</v>
      </c>
      <c r="E109" s="130">
        <f t="shared" si="21"/>
        <v>0</v>
      </c>
      <c r="F109" s="130">
        <f t="shared" si="21"/>
        <v>0</v>
      </c>
      <c r="G109" s="130">
        <f t="shared" si="21"/>
        <v>0</v>
      </c>
      <c r="H109" s="130">
        <f t="shared" si="21"/>
        <v>0</v>
      </c>
      <c r="I109" s="130">
        <f t="shared" si="21"/>
        <v>0</v>
      </c>
      <c r="J109" s="130">
        <f t="shared" si="21"/>
        <v>0</v>
      </c>
      <c r="K109" s="130">
        <f t="shared" si="21"/>
        <v>0</v>
      </c>
      <c r="L109" s="130">
        <f t="shared" si="21"/>
        <v>0</v>
      </c>
      <c r="M109" s="130">
        <f t="shared" si="21"/>
        <v>0</v>
      </c>
      <c r="N109" s="130">
        <f t="shared" si="21"/>
        <v>0</v>
      </c>
      <c r="O109" s="130">
        <f t="shared" si="21"/>
        <v>0</v>
      </c>
      <c r="P109" s="130">
        <f t="shared" si="21"/>
        <v>0</v>
      </c>
      <c r="Q109" s="130">
        <f t="shared" si="21"/>
        <v>0</v>
      </c>
      <c r="R109" s="130">
        <f t="shared" si="21"/>
        <v>0</v>
      </c>
      <c r="S109" s="130">
        <f t="shared" si="21"/>
        <v>0</v>
      </c>
      <c r="T109" s="130">
        <f t="shared" si="21"/>
        <v>0</v>
      </c>
      <c r="U109" s="130">
        <f t="shared" si="21"/>
        <v>0</v>
      </c>
      <c r="V109" s="130">
        <f t="shared" si="21"/>
        <v>0</v>
      </c>
      <c r="W109" s="130">
        <f t="shared" si="21"/>
        <v>0</v>
      </c>
      <c r="X109" s="130">
        <f t="shared" si="21"/>
        <v>0</v>
      </c>
      <c r="Y109" s="130">
        <f t="shared" si="21"/>
        <v>0</v>
      </c>
      <c r="Z109" s="130">
        <f t="shared" si="21"/>
        <v>0</v>
      </c>
      <c r="AA109" s="130">
        <f t="shared" si="21"/>
        <v>0</v>
      </c>
      <c r="AB109" s="130">
        <f t="shared" si="21"/>
        <v>0</v>
      </c>
      <c r="AC109" s="130">
        <f t="shared" si="21"/>
        <v>0</v>
      </c>
      <c r="AD109" s="130">
        <f t="shared" si="21"/>
        <v>0</v>
      </c>
      <c r="AE109" s="130">
        <f t="shared" si="21"/>
        <v>0</v>
      </c>
      <c r="AF109" s="130">
        <f t="shared" si="21"/>
        <v>0</v>
      </c>
      <c r="AG109" s="130">
        <f t="shared" si="21"/>
        <v>0</v>
      </c>
      <c r="AH109" s="130">
        <f t="shared" si="21"/>
        <v>0</v>
      </c>
      <c r="AI109" s="130">
        <f t="shared" si="21"/>
        <v>0</v>
      </c>
      <c r="AJ109" s="47" t="str">
        <f t="shared" si="7"/>
        <v/>
      </c>
      <c r="AK109" s="60"/>
      <c r="AL109" s="60" t="str">
        <f t="shared" si="10"/>
        <v>00</v>
      </c>
      <c r="AM109" s="62" t="str">
        <f t="shared" si="11"/>
        <v>00</v>
      </c>
      <c r="AN109" s="62" t="str">
        <f t="shared" si="12"/>
        <v>00</v>
      </c>
      <c r="AO109" s="62" t="str">
        <f t="shared" si="13"/>
        <v>00</v>
      </c>
      <c r="AQ109" t="str">
        <f t="shared" si="8"/>
        <v/>
      </c>
    </row>
    <row r="110" spans="2:43">
      <c r="B110" s="138"/>
      <c r="C110" s="47">
        <f t="shared" si="9"/>
        <v>39</v>
      </c>
      <c r="D110" s="130">
        <f t="shared" si="21"/>
        <v>0</v>
      </c>
      <c r="E110" s="130">
        <f t="shared" si="21"/>
        <v>0</v>
      </c>
      <c r="F110" s="130">
        <f t="shared" si="21"/>
        <v>0</v>
      </c>
      <c r="G110" s="130">
        <f t="shared" si="21"/>
        <v>0</v>
      </c>
      <c r="H110" s="130">
        <f t="shared" si="21"/>
        <v>0</v>
      </c>
      <c r="I110" s="130">
        <f t="shared" si="21"/>
        <v>0</v>
      </c>
      <c r="J110" s="130">
        <f t="shared" si="21"/>
        <v>0</v>
      </c>
      <c r="K110" s="130">
        <f t="shared" si="21"/>
        <v>0</v>
      </c>
      <c r="L110" s="130">
        <f t="shared" si="21"/>
        <v>0</v>
      </c>
      <c r="M110" s="130">
        <f t="shared" si="21"/>
        <v>0</v>
      </c>
      <c r="N110" s="130">
        <f t="shared" si="21"/>
        <v>0</v>
      </c>
      <c r="O110" s="130">
        <f t="shared" si="21"/>
        <v>0</v>
      </c>
      <c r="P110" s="130">
        <f t="shared" si="21"/>
        <v>0</v>
      </c>
      <c r="Q110" s="130">
        <f t="shared" si="21"/>
        <v>0</v>
      </c>
      <c r="R110" s="130">
        <f t="shared" si="21"/>
        <v>0</v>
      </c>
      <c r="S110" s="130">
        <f t="shared" si="21"/>
        <v>0</v>
      </c>
      <c r="T110" s="130">
        <f t="shared" si="21"/>
        <v>0</v>
      </c>
      <c r="U110" s="130">
        <f t="shared" si="21"/>
        <v>0</v>
      </c>
      <c r="V110" s="130">
        <f t="shared" si="21"/>
        <v>0</v>
      </c>
      <c r="W110" s="130">
        <f t="shared" si="21"/>
        <v>0</v>
      </c>
      <c r="X110" s="130">
        <f t="shared" si="21"/>
        <v>0</v>
      </c>
      <c r="Y110" s="130">
        <f t="shared" si="21"/>
        <v>0</v>
      </c>
      <c r="Z110" s="130">
        <f t="shared" si="21"/>
        <v>0</v>
      </c>
      <c r="AA110" s="130">
        <f t="shared" si="21"/>
        <v>0</v>
      </c>
      <c r="AB110" s="130">
        <f t="shared" si="21"/>
        <v>0</v>
      </c>
      <c r="AC110" s="130">
        <f t="shared" si="21"/>
        <v>0</v>
      </c>
      <c r="AD110" s="130">
        <f t="shared" si="21"/>
        <v>0</v>
      </c>
      <c r="AE110" s="130">
        <f t="shared" si="21"/>
        <v>0</v>
      </c>
      <c r="AF110" s="130">
        <f t="shared" si="21"/>
        <v>0</v>
      </c>
      <c r="AG110" s="130">
        <f t="shared" si="21"/>
        <v>0</v>
      </c>
      <c r="AH110" s="130">
        <f t="shared" si="21"/>
        <v>0</v>
      </c>
      <c r="AI110" s="130">
        <f t="shared" ref="AI110" si="22">IF(AI45=1,1,0)</f>
        <v>0</v>
      </c>
      <c r="AJ110" s="47" t="str">
        <f t="shared" si="7"/>
        <v/>
      </c>
      <c r="AK110" s="60"/>
      <c r="AL110" s="60" t="str">
        <f t="shared" si="10"/>
        <v>00</v>
      </c>
      <c r="AM110" s="62" t="str">
        <f t="shared" si="11"/>
        <v>00</v>
      </c>
      <c r="AN110" s="62" t="str">
        <f t="shared" si="12"/>
        <v>00</v>
      </c>
      <c r="AO110" s="62" t="str">
        <f t="shared" si="13"/>
        <v>00</v>
      </c>
      <c r="AQ110" t="str">
        <f t="shared" si="8"/>
        <v/>
      </c>
    </row>
    <row r="111" spans="2:43">
      <c r="B111" s="138"/>
      <c r="C111" s="47">
        <f t="shared" si="9"/>
        <v>40</v>
      </c>
      <c r="D111" s="130">
        <f t="shared" ref="D111:AI118" si="23">IF(D46=1,1,0)</f>
        <v>0</v>
      </c>
      <c r="E111" s="130">
        <f t="shared" si="23"/>
        <v>0</v>
      </c>
      <c r="F111" s="130">
        <f t="shared" si="23"/>
        <v>0</v>
      </c>
      <c r="G111" s="130">
        <f t="shared" si="23"/>
        <v>0</v>
      </c>
      <c r="H111" s="130">
        <f t="shared" si="23"/>
        <v>0</v>
      </c>
      <c r="I111" s="130">
        <f t="shared" si="23"/>
        <v>0</v>
      </c>
      <c r="J111" s="130">
        <f t="shared" si="23"/>
        <v>0</v>
      </c>
      <c r="K111" s="130">
        <f t="shared" si="23"/>
        <v>0</v>
      </c>
      <c r="L111" s="130">
        <f t="shared" si="23"/>
        <v>0</v>
      </c>
      <c r="M111" s="130">
        <f t="shared" si="23"/>
        <v>0</v>
      </c>
      <c r="N111" s="130">
        <f t="shared" si="23"/>
        <v>0</v>
      </c>
      <c r="O111" s="130">
        <f t="shared" si="23"/>
        <v>0</v>
      </c>
      <c r="P111" s="130">
        <f t="shared" si="23"/>
        <v>0</v>
      </c>
      <c r="Q111" s="130">
        <f t="shared" si="23"/>
        <v>0</v>
      </c>
      <c r="R111" s="130">
        <f t="shared" si="23"/>
        <v>0</v>
      </c>
      <c r="S111" s="130">
        <f t="shared" si="23"/>
        <v>0</v>
      </c>
      <c r="T111" s="130">
        <f t="shared" si="23"/>
        <v>0</v>
      </c>
      <c r="U111" s="130">
        <f t="shared" si="23"/>
        <v>0</v>
      </c>
      <c r="V111" s="130">
        <f t="shared" si="23"/>
        <v>0</v>
      </c>
      <c r="W111" s="130">
        <f t="shared" si="23"/>
        <v>0</v>
      </c>
      <c r="X111" s="130">
        <f t="shared" si="23"/>
        <v>0</v>
      </c>
      <c r="Y111" s="130">
        <f t="shared" si="23"/>
        <v>0</v>
      </c>
      <c r="Z111" s="130">
        <f t="shared" si="23"/>
        <v>0</v>
      </c>
      <c r="AA111" s="130">
        <f t="shared" si="23"/>
        <v>0</v>
      </c>
      <c r="AB111" s="130">
        <f t="shared" si="23"/>
        <v>0</v>
      </c>
      <c r="AC111" s="130">
        <f t="shared" si="23"/>
        <v>0</v>
      </c>
      <c r="AD111" s="130">
        <f t="shared" si="23"/>
        <v>0</v>
      </c>
      <c r="AE111" s="130">
        <f t="shared" si="23"/>
        <v>0</v>
      </c>
      <c r="AF111" s="130">
        <f t="shared" si="23"/>
        <v>0</v>
      </c>
      <c r="AG111" s="130">
        <f t="shared" si="23"/>
        <v>0</v>
      </c>
      <c r="AH111" s="130">
        <f t="shared" si="23"/>
        <v>0</v>
      </c>
      <c r="AI111" s="130">
        <f t="shared" si="23"/>
        <v>0</v>
      </c>
      <c r="AJ111" s="47" t="str">
        <f t="shared" si="7"/>
        <v/>
      </c>
      <c r="AK111" s="60"/>
      <c r="AL111" s="60" t="str">
        <f t="shared" si="10"/>
        <v>00</v>
      </c>
      <c r="AM111" s="62" t="str">
        <f t="shared" si="11"/>
        <v>00</v>
      </c>
      <c r="AN111" s="62" t="str">
        <f t="shared" si="12"/>
        <v>00</v>
      </c>
      <c r="AO111" s="62" t="str">
        <f t="shared" si="13"/>
        <v>00</v>
      </c>
      <c r="AQ111" t="str">
        <f t="shared" si="8"/>
        <v/>
      </c>
    </row>
    <row r="112" spans="2:43">
      <c r="B112" s="138"/>
      <c r="C112" s="47">
        <f t="shared" si="9"/>
        <v>41</v>
      </c>
      <c r="D112" s="130">
        <f t="shared" si="23"/>
        <v>0</v>
      </c>
      <c r="E112" s="130">
        <f t="shared" si="23"/>
        <v>0</v>
      </c>
      <c r="F112" s="130">
        <f t="shared" si="23"/>
        <v>0</v>
      </c>
      <c r="G112" s="130">
        <f t="shared" si="23"/>
        <v>0</v>
      </c>
      <c r="H112" s="130">
        <f t="shared" si="23"/>
        <v>0</v>
      </c>
      <c r="I112" s="130">
        <f t="shared" si="23"/>
        <v>0</v>
      </c>
      <c r="J112" s="130">
        <f t="shared" si="23"/>
        <v>0</v>
      </c>
      <c r="K112" s="130">
        <f t="shared" si="23"/>
        <v>0</v>
      </c>
      <c r="L112" s="130">
        <f t="shared" si="23"/>
        <v>0</v>
      </c>
      <c r="M112" s="130">
        <f t="shared" si="23"/>
        <v>0</v>
      </c>
      <c r="N112" s="130">
        <f t="shared" si="23"/>
        <v>0</v>
      </c>
      <c r="O112" s="130">
        <f t="shared" si="23"/>
        <v>0</v>
      </c>
      <c r="P112" s="130">
        <f t="shared" si="23"/>
        <v>0</v>
      </c>
      <c r="Q112" s="130">
        <f t="shared" si="23"/>
        <v>0</v>
      </c>
      <c r="R112" s="130">
        <f t="shared" si="23"/>
        <v>0</v>
      </c>
      <c r="S112" s="130">
        <f t="shared" si="23"/>
        <v>0</v>
      </c>
      <c r="T112" s="130">
        <f t="shared" si="23"/>
        <v>0</v>
      </c>
      <c r="U112" s="130">
        <f t="shared" si="23"/>
        <v>0</v>
      </c>
      <c r="V112" s="130">
        <f t="shared" si="23"/>
        <v>0</v>
      </c>
      <c r="W112" s="130">
        <f t="shared" si="23"/>
        <v>0</v>
      </c>
      <c r="X112" s="130">
        <f t="shared" si="23"/>
        <v>0</v>
      </c>
      <c r="Y112" s="130">
        <f t="shared" si="23"/>
        <v>0</v>
      </c>
      <c r="Z112" s="130">
        <f t="shared" si="23"/>
        <v>0</v>
      </c>
      <c r="AA112" s="130">
        <f t="shared" si="23"/>
        <v>0</v>
      </c>
      <c r="AB112" s="130">
        <f t="shared" si="23"/>
        <v>0</v>
      </c>
      <c r="AC112" s="130">
        <f t="shared" si="23"/>
        <v>0</v>
      </c>
      <c r="AD112" s="130">
        <f t="shared" si="23"/>
        <v>0</v>
      </c>
      <c r="AE112" s="130">
        <f t="shared" si="23"/>
        <v>0</v>
      </c>
      <c r="AF112" s="130">
        <f t="shared" si="23"/>
        <v>0</v>
      </c>
      <c r="AG112" s="130">
        <f t="shared" si="23"/>
        <v>0</v>
      </c>
      <c r="AH112" s="130">
        <f t="shared" si="23"/>
        <v>0</v>
      </c>
      <c r="AI112" s="130">
        <f t="shared" si="23"/>
        <v>0</v>
      </c>
      <c r="AJ112" s="47" t="str">
        <f t="shared" si="7"/>
        <v/>
      </c>
      <c r="AK112" s="60"/>
      <c r="AL112" s="60" t="str">
        <f t="shared" si="10"/>
        <v>00</v>
      </c>
      <c r="AM112" s="62" t="str">
        <f t="shared" si="11"/>
        <v>00</v>
      </c>
      <c r="AN112" s="62" t="str">
        <f t="shared" si="12"/>
        <v>00</v>
      </c>
      <c r="AO112" s="62" t="str">
        <f t="shared" si="13"/>
        <v>00</v>
      </c>
      <c r="AQ112" t="str">
        <f t="shared" si="8"/>
        <v/>
      </c>
    </row>
    <row r="113" spans="2:43">
      <c r="B113" s="138"/>
      <c r="C113" s="47">
        <f t="shared" si="9"/>
        <v>42</v>
      </c>
      <c r="D113" s="130">
        <f t="shared" si="23"/>
        <v>0</v>
      </c>
      <c r="E113" s="130">
        <f t="shared" si="23"/>
        <v>0</v>
      </c>
      <c r="F113" s="130">
        <f t="shared" si="23"/>
        <v>0</v>
      </c>
      <c r="G113" s="130">
        <f t="shared" si="23"/>
        <v>0</v>
      </c>
      <c r="H113" s="130">
        <f t="shared" si="23"/>
        <v>0</v>
      </c>
      <c r="I113" s="130">
        <f t="shared" si="23"/>
        <v>0</v>
      </c>
      <c r="J113" s="130">
        <f t="shared" si="23"/>
        <v>0</v>
      </c>
      <c r="K113" s="130">
        <f t="shared" si="23"/>
        <v>0</v>
      </c>
      <c r="L113" s="130">
        <f t="shared" si="23"/>
        <v>0</v>
      </c>
      <c r="M113" s="130">
        <f t="shared" si="23"/>
        <v>0</v>
      </c>
      <c r="N113" s="130">
        <f t="shared" si="23"/>
        <v>0</v>
      </c>
      <c r="O113" s="130">
        <f t="shared" si="23"/>
        <v>0</v>
      </c>
      <c r="P113" s="130">
        <f t="shared" si="23"/>
        <v>0</v>
      </c>
      <c r="Q113" s="130">
        <f t="shared" si="23"/>
        <v>0</v>
      </c>
      <c r="R113" s="130">
        <f t="shared" si="23"/>
        <v>0</v>
      </c>
      <c r="S113" s="130">
        <f t="shared" si="23"/>
        <v>0</v>
      </c>
      <c r="T113" s="130">
        <f t="shared" si="23"/>
        <v>0</v>
      </c>
      <c r="U113" s="130">
        <f t="shared" si="23"/>
        <v>0</v>
      </c>
      <c r="V113" s="130">
        <f t="shared" si="23"/>
        <v>0</v>
      </c>
      <c r="W113" s="130">
        <f t="shared" si="23"/>
        <v>0</v>
      </c>
      <c r="X113" s="130">
        <f t="shared" si="23"/>
        <v>0</v>
      </c>
      <c r="Y113" s="130">
        <f t="shared" si="23"/>
        <v>0</v>
      </c>
      <c r="Z113" s="130">
        <f t="shared" si="23"/>
        <v>0</v>
      </c>
      <c r="AA113" s="130">
        <f t="shared" si="23"/>
        <v>0</v>
      </c>
      <c r="AB113" s="130">
        <f t="shared" si="23"/>
        <v>0</v>
      </c>
      <c r="AC113" s="130">
        <f t="shared" si="23"/>
        <v>0</v>
      </c>
      <c r="AD113" s="130">
        <f t="shared" si="23"/>
        <v>0</v>
      </c>
      <c r="AE113" s="130">
        <f t="shared" si="23"/>
        <v>0</v>
      </c>
      <c r="AF113" s="130">
        <f t="shared" si="23"/>
        <v>0</v>
      </c>
      <c r="AG113" s="130">
        <f t="shared" si="23"/>
        <v>0</v>
      </c>
      <c r="AH113" s="130">
        <f t="shared" si="23"/>
        <v>0</v>
      </c>
      <c r="AI113" s="130">
        <f t="shared" si="23"/>
        <v>0</v>
      </c>
      <c r="AJ113" s="47" t="str">
        <f t="shared" si="7"/>
        <v/>
      </c>
      <c r="AK113" s="60"/>
      <c r="AL113" s="60" t="str">
        <f t="shared" si="10"/>
        <v>00</v>
      </c>
      <c r="AM113" s="62" t="str">
        <f t="shared" si="11"/>
        <v>00</v>
      </c>
      <c r="AN113" s="62" t="str">
        <f t="shared" si="12"/>
        <v>00</v>
      </c>
      <c r="AO113" s="62" t="str">
        <f t="shared" si="13"/>
        <v>00</v>
      </c>
      <c r="AQ113" t="str">
        <f t="shared" si="8"/>
        <v/>
      </c>
    </row>
    <row r="114" spans="2:43">
      <c r="B114" s="138"/>
      <c r="C114" s="47">
        <f t="shared" si="9"/>
        <v>43</v>
      </c>
      <c r="D114" s="130">
        <f t="shared" si="23"/>
        <v>0</v>
      </c>
      <c r="E114" s="130">
        <f t="shared" si="23"/>
        <v>0</v>
      </c>
      <c r="F114" s="130">
        <f t="shared" si="23"/>
        <v>0</v>
      </c>
      <c r="G114" s="130">
        <f t="shared" si="23"/>
        <v>0</v>
      </c>
      <c r="H114" s="130">
        <f t="shared" si="23"/>
        <v>0</v>
      </c>
      <c r="I114" s="130">
        <f t="shared" si="23"/>
        <v>0</v>
      </c>
      <c r="J114" s="130">
        <f t="shared" si="23"/>
        <v>0</v>
      </c>
      <c r="K114" s="130">
        <f t="shared" si="23"/>
        <v>0</v>
      </c>
      <c r="L114" s="130">
        <f t="shared" si="23"/>
        <v>0</v>
      </c>
      <c r="M114" s="130">
        <f t="shared" si="23"/>
        <v>0</v>
      </c>
      <c r="N114" s="130">
        <f t="shared" si="23"/>
        <v>0</v>
      </c>
      <c r="O114" s="130">
        <f t="shared" si="23"/>
        <v>0</v>
      </c>
      <c r="P114" s="130">
        <f t="shared" si="23"/>
        <v>0</v>
      </c>
      <c r="Q114" s="130">
        <f t="shared" si="23"/>
        <v>0</v>
      </c>
      <c r="R114" s="130">
        <f t="shared" si="23"/>
        <v>0</v>
      </c>
      <c r="S114" s="130">
        <f t="shared" si="23"/>
        <v>0</v>
      </c>
      <c r="T114" s="130">
        <f t="shared" si="23"/>
        <v>0</v>
      </c>
      <c r="U114" s="130">
        <f t="shared" si="23"/>
        <v>0</v>
      </c>
      <c r="V114" s="130">
        <f t="shared" si="23"/>
        <v>0</v>
      </c>
      <c r="W114" s="130">
        <f t="shared" si="23"/>
        <v>0</v>
      </c>
      <c r="X114" s="130">
        <f t="shared" si="23"/>
        <v>0</v>
      </c>
      <c r="Y114" s="130">
        <f t="shared" si="23"/>
        <v>0</v>
      </c>
      <c r="Z114" s="130">
        <f t="shared" si="23"/>
        <v>0</v>
      </c>
      <c r="AA114" s="130">
        <f t="shared" si="23"/>
        <v>0</v>
      </c>
      <c r="AB114" s="130">
        <f t="shared" si="23"/>
        <v>0</v>
      </c>
      <c r="AC114" s="130">
        <f t="shared" si="23"/>
        <v>0</v>
      </c>
      <c r="AD114" s="130">
        <f t="shared" si="23"/>
        <v>0</v>
      </c>
      <c r="AE114" s="130">
        <f t="shared" si="23"/>
        <v>0</v>
      </c>
      <c r="AF114" s="130">
        <f t="shared" si="23"/>
        <v>0</v>
      </c>
      <c r="AG114" s="130">
        <f t="shared" si="23"/>
        <v>0</v>
      </c>
      <c r="AH114" s="130">
        <f t="shared" si="23"/>
        <v>0</v>
      </c>
      <c r="AI114" s="130">
        <f t="shared" si="23"/>
        <v>0</v>
      </c>
      <c r="AJ114" s="47" t="str">
        <f t="shared" si="7"/>
        <v/>
      </c>
      <c r="AK114" s="60"/>
      <c r="AL114" s="60" t="str">
        <f t="shared" si="10"/>
        <v>00</v>
      </c>
      <c r="AM114" s="62" t="str">
        <f t="shared" si="11"/>
        <v>00</v>
      </c>
      <c r="AN114" s="62" t="str">
        <f t="shared" si="12"/>
        <v>00</v>
      </c>
      <c r="AO114" s="62" t="str">
        <f t="shared" si="13"/>
        <v>00</v>
      </c>
      <c r="AQ114" t="str">
        <f t="shared" si="8"/>
        <v/>
      </c>
    </row>
    <row r="115" spans="2:43">
      <c r="B115" s="138"/>
      <c r="C115" s="47">
        <f t="shared" si="9"/>
        <v>44</v>
      </c>
      <c r="D115" s="130">
        <f t="shared" si="23"/>
        <v>0</v>
      </c>
      <c r="E115" s="130">
        <f t="shared" si="23"/>
        <v>0</v>
      </c>
      <c r="F115" s="130">
        <f t="shared" si="23"/>
        <v>0</v>
      </c>
      <c r="G115" s="130">
        <f t="shared" si="23"/>
        <v>0</v>
      </c>
      <c r="H115" s="130">
        <f t="shared" si="23"/>
        <v>0</v>
      </c>
      <c r="I115" s="130">
        <f t="shared" si="23"/>
        <v>0</v>
      </c>
      <c r="J115" s="130">
        <f t="shared" si="23"/>
        <v>0</v>
      </c>
      <c r="K115" s="130">
        <f t="shared" si="23"/>
        <v>0</v>
      </c>
      <c r="L115" s="130">
        <f t="shared" si="23"/>
        <v>0</v>
      </c>
      <c r="M115" s="130">
        <f t="shared" si="23"/>
        <v>0</v>
      </c>
      <c r="N115" s="130">
        <f t="shared" si="23"/>
        <v>0</v>
      </c>
      <c r="O115" s="130">
        <f t="shared" si="23"/>
        <v>0</v>
      </c>
      <c r="P115" s="130">
        <f t="shared" si="23"/>
        <v>0</v>
      </c>
      <c r="Q115" s="130">
        <f t="shared" si="23"/>
        <v>0</v>
      </c>
      <c r="R115" s="130">
        <f t="shared" si="23"/>
        <v>0</v>
      </c>
      <c r="S115" s="130">
        <f t="shared" si="23"/>
        <v>0</v>
      </c>
      <c r="T115" s="130">
        <f t="shared" si="23"/>
        <v>0</v>
      </c>
      <c r="U115" s="130">
        <f t="shared" si="23"/>
        <v>0</v>
      </c>
      <c r="V115" s="130">
        <f t="shared" si="23"/>
        <v>0</v>
      </c>
      <c r="W115" s="130">
        <f t="shared" si="23"/>
        <v>0</v>
      </c>
      <c r="X115" s="130">
        <f t="shared" si="23"/>
        <v>0</v>
      </c>
      <c r="Y115" s="130">
        <f t="shared" si="23"/>
        <v>0</v>
      </c>
      <c r="Z115" s="130">
        <f t="shared" si="23"/>
        <v>0</v>
      </c>
      <c r="AA115" s="130">
        <f t="shared" si="23"/>
        <v>0</v>
      </c>
      <c r="AB115" s="130">
        <f t="shared" si="23"/>
        <v>0</v>
      </c>
      <c r="AC115" s="130">
        <f t="shared" si="23"/>
        <v>0</v>
      </c>
      <c r="AD115" s="130">
        <f t="shared" si="23"/>
        <v>0</v>
      </c>
      <c r="AE115" s="130">
        <f t="shared" si="23"/>
        <v>0</v>
      </c>
      <c r="AF115" s="130">
        <f t="shared" si="23"/>
        <v>0</v>
      </c>
      <c r="AG115" s="130">
        <f t="shared" si="23"/>
        <v>0</v>
      </c>
      <c r="AH115" s="130">
        <f t="shared" si="23"/>
        <v>0</v>
      </c>
      <c r="AI115" s="130">
        <f t="shared" si="23"/>
        <v>0</v>
      </c>
      <c r="AJ115" s="47" t="str">
        <f t="shared" si="7"/>
        <v/>
      </c>
      <c r="AK115" s="60"/>
      <c r="AL115" s="60" t="str">
        <f t="shared" si="10"/>
        <v>00</v>
      </c>
      <c r="AM115" s="62" t="str">
        <f t="shared" si="11"/>
        <v>00</v>
      </c>
      <c r="AN115" s="62" t="str">
        <f t="shared" si="12"/>
        <v>00</v>
      </c>
      <c r="AO115" s="62" t="str">
        <f t="shared" si="13"/>
        <v>00</v>
      </c>
      <c r="AQ115" t="str">
        <f t="shared" si="8"/>
        <v/>
      </c>
    </row>
    <row r="116" spans="2:43">
      <c r="B116" s="138"/>
      <c r="C116" s="47">
        <f t="shared" si="9"/>
        <v>45</v>
      </c>
      <c r="D116" s="130">
        <f t="shared" si="23"/>
        <v>0</v>
      </c>
      <c r="E116" s="130">
        <f t="shared" si="23"/>
        <v>0</v>
      </c>
      <c r="F116" s="130">
        <f t="shared" si="23"/>
        <v>0</v>
      </c>
      <c r="G116" s="130">
        <f t="shared" si="23"/>
        <v>0</v>
      </c>
      <c r="H116" s="130">
        <f t="shared" si="23"/>
        <v>0</v>
      </c>
      <c r="I116" s="130">
        <f t="shared" si="23"/>
        <v>0</v>
      </c>
      <c r="J116" s="130">
        <f t="shared" si="23"/>
        <v>0</v>
      </c>
      <c r="K116" s="130">
        <f t="shared" si="23"/>
        <v>0</v>
      </c>
      <c r="L116" s="130">
        <f t="shared" si="23"/>
        <v>0</v>
      </c>
      <c r="M116" s="130">
        <f t="shared" si="23"/>
        <v>0</v>
      </c>
      <c r="N116" s="130">
        <f t="shared" si="23"/>
        <v>0</v>
      </c>
      <c r="O116" s="130">
        <f t="shared" si="23"/>
        <v>0</v>
      </c>
      <c r="P116" s="130">
        <f t="shared" si="23"/>
        <v>0</v>
      </c>
      <c r="Q116" s="130">
        <f t="shared" si="23"/>
        <v>0</v>
      </c>
      <c r="R116" s="130">
        <f t="shared" si="23"/>
        <v>0</v>
      </c>
      <c r="S116" s="130">
        <f t="shared" si="23"/>
        <v>0</v>
      </c>
      <c r="T116" s="130">
        <f t="shared" si="23"/>
        <v>0</v>
      </c>
      <c r="U116" s="130">
        <f t="shared" si="23"/>
        <v>0</v>
      </c>
      <c r="V116" s="130">
        <f t="shared" si="23"/>
        <v>0</v>
      </c>
      <c r="W116" s="130">
        <f t="shared" si="23"/>
        <v>0</v>
      </c>
      <c r="X116" s="130">
        <f t="shared" si="23"/>
        <v>0</v>
      </c>
      <c r="Y116" s="130">
        <f t="shared" si="23"/>
        <v>0</v>
      </c>
      <c r="Z116" s="130">
        <f t="shared" si="23"/>
        <v>0</v>
      </c>
      <c r="AA116" s="130">
        <f t="shared" si="23"/>
        <v>0</v>
      </c>
      <c r="AB116" s="130">
        <f t="shared" si="23"/>
        <v>0</v>
      </c>
      <c r="AC116" s="130">
        <f t="shared" si="23"/>
        <v>0</v>
      </c>
      <c r="AD116" s="130">
        <f t="shared" si="23"/>
        <v>0</v>
      </c>
      <c r="AE116" s="130">
        <f t="shared" si="23"/>
        <v>0</v>
      </c>
      <c r="AF116" s="130">
        <f t="shared" si="23"/>
        <v>0</v>
      </c>
      <c r="AG116" s="130">
        <f t="shared" si="23"/>
        <v>0</v>
      </c>
      <c r="AH116" s="130">
        <f t="shared" si="23"/>
        <v>0</v>
      </c>
      <c r="AI116" s="130">
        <f t="shared" si="23"/>
        <v>0</v>
      </c>
      <c r="AJ116" s="47" t="str">
        <f t="shared" si="7"/>
        <v/>
      </c>
      <c r="AK116" s="60"/>
      <c r="AL116" s="60" t="str">
        <f t="shared" si="10"/>
        <v>00</v>
      </c>
      <c r="AM116" s="62" t="str">
        <f t="shared" si="11"/>
        <v>00</v>
      </c>
      <c r="AN116" s="62" t="str">
        <f t="shared" si="12"/>
        <v>00</v>
      </c>
      <c r="AO116" s="62" t="str">
        <f t="shared" si="13"/>
        <v>00</v>
      </c>
      <c r="AQ116" t="str">
        <f t="shared" si="8"/>
        <v/>
      </c>
    </row>
    <row r="117" spans="2:43">
      <c r="B117" s="138"/>
      <c r="C117" s="47">
        <f t="shared" si="9"/>
        <v>46</v>
      </c>
      <c r="D117" s="130">
        <f t="shared" si="23"/>
        <v>0</v>
      </c>
      <c r="E117" s="130">
        <f t="shared" si="23"/>
        <v>0</v>
      </c>
      <c r="F117" s="130">
        <f t="shared" si="23"/>
        <v>0</v>
      </c>
      <c r="G117" s="130">
        <f t="shared" si="23"/>
        <v>0</v>
      </c>
      <c r="H117" s="130">
        <f t="shared" si="23"/>
        <v>0</v>
      </c>
      <c r="I117" s="130">
        <f t="shared" si="23"/>
        <v>0</v>
      </c>
      <c r="J117" s="130">
        <f t="shared" si="23"/>
        <v>0</v>
      </c>
      <c r="K117" s="130">
        <f t="shared" si="23"/>
        <v>0</v>
      </c>
      <c r="L117" s="130">
        <f t="shared" si="23"/>
        <v>0</v>
      </c>
      <c r="M117" s="130">
        <f t="shared" si="23"/>
        <v>0</v>
      </c>
      <c r="N117" s="130">
        <f t="shared" si="23"/>
        <v>0</v>
      </c>
      <c r="O117" s="130">
        <f t="shared" si="23"/>
        <v>0</v>
      </c>
      <c r="P117" s="130">
        <f t="shared" si="23"/>
        <v>0</v>
      </c>
      <c r="Q117" s="130">
        <f t="shared" si="23"/>
        <v>0</v>
      </c>
      <c r="R117" s="130">
        <f t="shared" si="23"/>
        <v>0</v>
      </c>
      <c r="S117" s="130">
        <f t="shared" si="23"/>
        <v>0</v>
      </c>
      <c r="T117" s="130">
        <f t="shared" si="23"/>
        <v>0</v>
      </c>
      <c r="U117" s="130">
        <f t="shared" si="23"/>
        <v>0</v>
      </c>
      <c r="V117" s="130">
        <f t="shared" si="23"/>
        <v>0</v>
      </c>
      <c r="W117" s="130">
        <f t="shared" si="23"/>
        <v>0</v>
      </c>
      <c r="X117" s="130">
        <f t="shared" si="23"/>
        <v>0</v>
      </c>
      <c r="Y117" s="130">
        <f t="shared" si="23"/>
        <v>0</v>
      </c>
      <c r="Z117" s="130">
        <f t="shared" si="23"/>
        <v>0</v>
      </c>
      <c r="AA117" s="130">
        <f t="shared" si="23"/>
        <v>0</v>
      </c>
      <c r="AB117" s="130">
        <f t="shared" si="23"/>
        <v>0</v>
      </c>
      <c r="AC117" s="130">
        <f t="shared" si="23"/>
        <v>0</v>
      </c>
      <c r="AD117" s="130">
        <f t="shared" si="23"/>
        <v>0</v>
      </c>
      <c r="AE117" s="130">
        <f t="shared" si="23"/>
        <v>0</v>
      </c>
      <c r="AF117" s="130">
        <f t="shared" si="23"/>
        <v>0</v>
      </c>
      <c r="AG117" s="130">
        <f t="shared" si="23"/>
        <v>0</v>
      </c>
      <c r="AH117" s="130">
        <f t="shared" si="23"/>
        <v>0</v>
      </c>
      <c r="AI117" s="130">
        <f t="shared" si="23"/>
        <v>0</v>
      </c>
      <c r="AJ117" s="47" t="str">
        <f t="shared" si="7"/>
        <v/>
      </c>
      <c r="AK117" s="60"/>
      <c r="AL117" s="60" t="str">
        <f t="shared" si="10"/>
        <v>00</v>
      </c>
      <c r="AM117" s="62" t="str">
        <f t="shared" si="11"/>
        <v>00</v>
      </c>
      <c r="AN117" s="62" t="str">
        <f t="shared" si="12"/>
        <v>00</v>
      </c>
      <c r="AO117" s="62" t="str">
        <f t="shared" si="13"/>
        <v>00</v>
      </c>
      <c r="AQ117" t="str">
        <f t="shared" si="8"/>
        <v/>
      </c>
    </row>
    <row r="118" spans="2:43">
      <c r="B118" s="138"/>
      <c r="C118" s="47">
        <f t="shared" si="9"/>
        <v>47</v>
      </c>
      <c r="D118" s="130">
        <f t="shared" si="23"/>
        <v>0</v>
      </c>
      <c r="E118" s="130">
        <f t="shared" si="23"/>
        <v>0</v>
      </c>
      <c r="F118" s="130">
        <f t="shared" si="23"/>
        <v>0</v>
      </c>
      <c r="G118" s="130">
        <f t="shared" si="23"/>
        <v>0</v>
      </c>
      <c r="H118" s="130">
        <f t="shared" si="23"/>
        <v>0</v>
      </c>
      <c r="I118" s="130">
        <f t="shared" si="23"/>
        <v>0</v>
      </c>
      <c r="J118" s="130">
        <f t="shared" si="23"/>
        <v>0</v>
      </c>
      <c r="K118" s="130">
        <f t="shared" si="23"/>
        <v>0</v>
      </c>
      <c r="L118" s="130">
        <f t="shared" si="23"/>
        <v>0</v>
      </c>
      <c r="M118" s="130">
        <f t="shared" si="23"/>
        <v>0</v>
      </c>
      <c r="N118" s="130">
        <f t="shared" si="23"/>
        <v>0</v>
      </c>
      <c r="O118" s="130">
        <f t="shared" si="23"/>
        <v>0</v>
      </c>
      <c r="P118" s="130">
        <f t="shared" si="23"/>
        <v>0</v>
      </c>
      <c r="Q118" s="130">
        <f t="shared" si="23"/>
        <v>0</v>
      </c>
      <c r="R118" s="130">
        <f t="shared" si="23"/>
        <v>0</v>
      </c>
      <c r="S118" s="130">
        <f t="shared" si="23"/>
        <v>0</v>
      </c>
      <c r="T118" s="130">
        <f t="shared" si="23"/>
        <v>0</v>
      </c>
      <c r="U118" s="130">
        <f t="shared" si="23"/>
        <v>0</v>
      </c>
      <c r="V118" s="130">
        <f t="shared" si="23"/>
        <v>0</v>
      </c>
      <c r="W118" s="130">
        <f t="shared" si="23"/>
        <v>0</v>
      </c>
      <c r="X118" s="130">
        <f t="shared" si="23"/>
        <v>0</v>
      </c>
      <c r="Y118" s="130">
        <f t="shared" si="23"/>
        <v>0</v>
      </c>
      <c r="Z118" s="130">
        <f t="shared" si="23"/>
        <v>0</v>
      </c>
      <c r="AA118" s="130">
        <f t="shared" si="23"/>
        <v>0</v>
      </c>
      <c r="AB118" s="130">
        <f t="shared" si="23"/>
        <v>0</v>
      </c>
      <c r="AC118" s="130">
        <f t="shared" si="23"/>
        <v>0</v>
      </c>
      <c r="AD118" s="130">
        <f t="shared" si="23"/>
        <v>0</v>
      </c>
      <c r="AE118" s="130">
        <f t="shared" si="23"/>
        <v>0</v>
      </c>
      <c r="AF118" s="130">
        <f t="shared" si="23"/>
        <v>0</v>
      </c>
      <c r="AG118" s="130">
        <f t="shared" si="23"/>
        <v>0</v>
      </c>
      <c r="AH118" s="130">
        <f t="shared" si="23"/>
        <v>0</v>
      </c>
      <c r="AI118" s="130">
        <f t="shared" ref="AI118" si="24">IF(AI53=1,1,0)</f>
        <v>0</v>
      </c>
      <c r="AJ118" s="47" t="str">
        <f t="shared" si="7"/>
        <v/>
      </c>
      <c r="AK118" s="60"/>
      <c r="AL118" s="60" t="str">
        <f t="shared" si="10"/>
        <v>00</v>
      </c>
      <c r="AM118" s="62" t="str">
        <f t="shared" si="11"/>
        <v>00</v>
      </c>
      <c r="AN118" s="62" t="str">
        <f t="shared" si="12"/>
        <v>00</v>
      </c>
      <c r="AO118" s="62" t="str">
        <f t="shared" si="13"/>
        <v>00</v>
      </c>
      <c r="AQ118" t="str">
        <f t="shared" si="8"/>
        <v/>
      </c>
    </row>
    <row r="119" spans="2:43">
      <c r="B119" s="138"/>
      <c r="C119" s="47">
        <f t="shared" si="9"/>
        <v>48</v>
      </c>
      <c r="D119" s="130">
        <f t="shared" ref="D119:AI126" si="25">IF(D54=1,1,0)</f>
        <v>0</v>
      </c>
      <c r="E119" s="130">
        <f t="shared" si="25"/>
        <v>0</v>
      </c>
      <c r="F119" s="130">
        <f t="shared" si="25"/>
        <v>0</v>
      </c>
      <c r="G119" s="130">
        <f t="shared" si="25"/>
        <v>0</v>
      </c>
      <c r="H119" s="130">
        <f t="shared" si="25"/>
        <v>0</v>
      </c>
      <c r="I119" s="130">
        <f t="shared" si="25"/>
        <v>0</v>
      </c>
      <c r="J119" s="130">
        <f t="shared" si="25"/>
        <v>0</v>
      </c>
      <c r="K119" s="130">
        <f t="shared" si="25"/>
        <v>0</v>
      </c>
      <c r="L119" s="130">
        <f t="shared" si="25"/>
        <v>0</v>
      </c>
      <c r="M119" s="130">
        <f t="shared" si="25"/>
        <v>0</v>
      </c>
      <c r="N119" s="130">
        <f t="shared" si="25"/>
        <v>0</v>
      </c>
      <c r="O119" s="130">
        <f t="shared" si="25"/>
        <v>0</v>
      </c>
      <c r="P119" s="130">
        <f t="shared" si="25"/>
        <v>0</v>
      </c>
      <c r="Q119" s="130">
        <f t="shared" si="25"/>
        <v>0</v>
      </c>
      <c r="R119" s="130">
        <f t="shared" si="25"/>
        <v>0</v>
      </c>
      <c r="S119" s="130">
        <f t="shared" si="25"/>
        <v>0</v>
      </c>
      <c r="T119" s="130">
        <f t="shared" si="25"/>
        <v>0</v>
      </c>
      <c r="U119" s="130">
        <f t="shared" si="25"/>
        <v>0</v>
      </c>
      <c r="V119" s="130">
        <f t="shared" si="25"/>
        <v>0</v>
      </c>
      <c r="W119" s="130">
        <f t="shared" si="25"/>
        <v>0</v>
      </c>
      <c r="X119" s="130">
        <f t="shared" si="25"/>
        <v>0</v>
      </c>
      <c r="Y119" s="130">
        <f t="shared" si="25"/>
        <v>0</v>
      </c>
      <c r="Z119" s="130">
        <f t="shared" si="25"/>
        <v>0</v>
      </c>
      <c r="AA119" s="130">
        <f t="shared" si="25"/>
        <v>0</v>
      </c>
      <c r="AB119" s="130">
        <f t="shared" si="25"/>
        <v>0</v>
      </c>
      <c r="AC119" s="130">
        <f t="shared" si="25"/>
        <v>0</v>
      </c>
      <c r="AD119" s="130">
        <f t="shared" si="25"/>
        <v>0</v>
      </c>
      <c r="AE119" s="130">
        <f t="shared" si="25"/>
        <v>0</v>
      </c>
      <c r="AF119" s="130">
        <f t="shared" si="25"/>
        <v>0</v>
      </c>
      <c r="AG119" s="130">
        <f t="shared" si="25"/>
        <v>0</v>
      </c>
      <c r="AH119" s="130">
        <f t="shared" si="25"/>
        <v>0</v>
      </c>
      <c r="AI119" s="130">
        <f t="shared" si="25"/>
        <v>0</v>
      </c>
      <c r="AJ119" s="47" t="str">
        <f t="shared" si="7"/>
        <v/>
      </c>
      <c r="AK119" s="60"/>
      <c r="AL119" s="60" t="str">
        <f t="shared" si="10"/>
        <v>00</v>
      </c>
      <c r="AM119" s="62" t="str">
        <f t="shared" si="11"/>
        <v>00</v>
      </c>
      <c r="AN119" s="62" t="str">
        <f t="shared" si="12"/>
        <v>00</v>
      </c>
      <c r="AO119" s="62" t="str">
        <f t="shared" si="13"/>
        <v>00</v>
      </c>
      <c r="AQ119" t="str">
        <f t="shared" si="8"/>
        <v/>
      </c>
    </row>
    <row r="120" spans="2:43">
      <c r="B120" s="138"/>
      <c r="C120" s="47">
        <f t="shared" si="9"/>
        <v>49</v>
      </c>
      <c r="D120" s="130">
        <f t="shared" si="25"/>
        <v>0</v>
      </c>
      <c r="E120" s="130">
        <f t="shared" si="25"/>
        <v>0</v>
      </c>
      <c r="F120" s="130">
        <f t="shared" si="25"/>
        <v>0</v>
      </c>
      <c r="G120" s="130">
        <f t="shared" si="25"/>
        <v>0</v>
      </c>
      <c r="H120" s="130">
        <f t="shared" si="25"/>
        <v>0</v>
      </c>
      <c r="I120" s="130">
        <f t="shared" si="25"/>
        <v>0</v>
      </c>
      <c r="J120" s="130">
        <f t="shared" si="25"/>
        <v>0</v>
      </c>
      <c r="K120" s="130">
        <f t="shared" si="25"/>
        <v>0</v>
      </c>
      <c r="L120" s="130">
        <f t="shared" si="25"/>
        <v>0</v>
      </c>
      <c r="M120" s="130">
        <f t="shared" si="25"/>
        <v>0</v>
      </c>
      <c r="N120" s="130">
        <f t="shared" si="25"/>
        <v>0</v>
      </c>
      <c r="O120" s="130">
        <f t="shared" si="25"/>
        <v>0</v>
      </c>
      <c r="P120" s="130">
        <f t="shared" si="25"/>
        <v>0</v>
      </c>
      <c r="Q120" s="130">
        <f t="shared" si="25"/>
        <v>0</v>
      </c>
      <c r="R120" s="130">
        <f t="shared" si="25"/>
        <v>0</v>
      </c>
      <c r="S120" s="130">
        <f t="shared" si="25"/>
        <v>0</v>
      </c>
      <c r="T120" s="130">
        <f t="shared" si="25"/>
        <v>0</v>
      </c>
      <c r="U120" s="130">
        <f t="shared" si="25"/>
        <v>0</v>
      </c>
      <c r="V120" s="130">
        <f t="shared" si="25"/>
        <v>0</v>
      </c>
      <c r="W120" s="130">
        <f t="shared" si="25"/>
        <v>0</v>
      </c>
      <c r="X120" s="130">
        <f t="shared" si="25"/>
        <v>0</v>
      </c>
      <c r="Y120" s="130">
        <f t="shared" si="25"/>
        <v>0</v>
      </c>
      <c r="Z120" s="130">
        <f t="shared" si="25"/>
        <v>0</v>
      </c>
      <c r="AA120" s="130">
        <f t="shared" si="25"/>
        <v>0</v>
      </c>
      <c r="AB120" s="130">
        <f t="shared" si="25"/>
        <v>0</v>
      </c>
      <c r="AC120" s="130">
        <f t="shared" si="25"/>
        <v>0</v>
      </c>
      <c r="AD120" s="130">
        <f t="shared" si="25"/>
        <v>0</v>
      </c>
      <c r="AE120" s="130">
        <f t="shared" si="25"/>
        <v>0</v>
      </c>
      <c r="AF120" s="130">
        <f t="shared" si="25"/>
        <v>0</v>
      </c>
      <c r="AG120" s="130">
        <f t="shared" si="25"/>
        <v>0</v>
      </c>
      <c r="AH120" s="130">
        <f t="shared" si="25"/>
        <v>0</v>
      </c>
      <c r="AI120" s="130">
        <f t="shared" si="25"/>
        <v>0</v>
      </c>
      <c r="AJ120" s="47" t="str">
        <f t="shared" si="7"/>
        <v/>
      </c>
      <c r="AK120" s="60"/>
      <c r="AL120" s="60" t="str">
        <f t="shared" si="10"/>
        <v>00</v>
      </c>
      <c r="AM120" s="62" t="str">
        <f t="shared" si="11"/>
        <v>00</v>
      </c>
      <c r="AN120" s="62" t="str">
        <f t="shared" si="12"/>
        <v>00</v>
      </c>
      <c r="AO120" s="62" t="str">
        <f t="shared" si="13"/>
        <v>00</v>
      </c>
      <c r="AQ120" t="str">
        <f t="shared" si="8"/>
        <v/>
      </c>
    </row>
    <row r="121" spans="2:43">
      <c r="B121" s="138"/>
      <c r="C121" s="47">
        <f t="shared" si="9"/>
        <v>50</v>
      </c>
      <c r="D121" s="130">
        <f t="shared" si="25"/>
        <v>0</v>
      </c>
      <c r="E121" s="130">
        <f t="shared" si="25"/>
        <v>0</v>
      </c>
      <c r="F121" s="130">
        <f t="shared" si="25"/>
        <v>0</v>
      </c>
      <c r="G121" s="130">
        <f t="shared" si="25"/>
        <v>0</v>
      </c>
      <c r="H121" s="130">
        <f t="shared" si="25"/>
        <v>0</v>
      </c>
      <c r="I121" s="130">
        <f t="shared" si="25"/>
        <v>0</v>
      </c>
      <c r="J121" s="130">
        <f t="shared" si="25"/>
        <v>0</v>
      </c>
      <c r="K121" s="130">
        <f t="shared" si="25"/>
        <v>0</v>
      </c>
      <c r="L121" s="130">
        <f t="shared" si="25"/>
        <v>0</v>
      </c>
      <c r="M121" s="130">
        <f t="shared" si="25"/>
        <v>0</v>
      </c>
      <c r="N121" s="130">
        <f t="shared" si="25"/>
        <v>0</v>
      </c>
      <c r="O121" s="130">
        <f t="shared" si="25"/>
        <v>0</v>
      </c>
      <c r="P121" s="130">
        <f t="shared" si="25"/>
        <v>0</v>
      </c>
      <c r="Q121" s="130">
        <f t="shared" si="25"/>
        <v>0</v>
      </c>
      <c r="R121" s="130">
        <f t="shared" si="25"/>
        <v>0</v>
      </c>
      <c r="S121" s="130">
        <f t="shared" si="25"/>
        <v>0</v>
      </c>
      <c r="T121" s="130">
        <f t="shared" si="25"/>
        <v>0</v>
      </c>
      <c r="U121" s="130">
        <f t="shared" si="25"/>
        <v>0</v>
      </c>
      <c r="V121" s="130">
        <f t="shared" si="25"/>
        <v>0</v>
      </c>
      <c r="W121" s="130">
        <f t="shared" si="25"/>
        <v>0</v>
      </c>
      <c r="X121" s="130">
        <f t="shared" si="25"/>
        <v>0</v>
      </c>
      <c r="Y121" s="130">
        <f t="shared" si="25"/>
        <v>0</v>
      </c>
      <c r="Z121" s="130">
        <f t="shared" si="25"/>
        <v>0</v>
      </c>
      <c r="AA121" s="130">
        <f t="shared" si="25"/>
        <v>0</v>
      </c>
      <c r="AB121" s="130">
        <f t="shared" si="25"/>
        <v>0</v>
      </c>
      <c r="AC121" s="130">
        <f t="shared" si="25"/>
        <v>0</v>
      </c>
      <c r="AD121" s="130">
        <f t="shared" si="25"/>
        <v>0</v>
      </c>
      <c r="AE121" s="130">
        <f t="shared" si="25"/>
        <v>0</v>
      </c>
      <c r="AF121" s="130">
        <f t="shared" si="25"/>
        <v>0</v>
      </c>
      <c r="AG121" s="130">
        <f t="shared" si="25"/>
        <v>0</v>
      </c>
      <c r="AH121" s="130">
        <f t="shared" si="25"/>
        <v>0</v>
      </c>
      <c r="AI121" s="130">
        <f t="shared" si="25"/>
        <v>0</v>
      </c>
      <c r="AJ121" s="47" t="str">
        <f t="shared" si="7"/>
        <v/>
      </c>
      <c r="AK121" s="60"/>
      <c r="AL121" s="60" t="str">
        <f t="shared" si="10"/>
        <v>00</v>
      </c>
      <c r="AM121" s="62" t="str">
        <f t="shared" si="11"/>
        <v>00</v>
      </c>
      <c r="AN121" s="62" t="str">
        <f t="shared" si="12"/>
        <v>00</v>
      </c>
      <c r="AO121" s="62" t="str">
        <f t="shared" si="13"/>
        <v>00</v>
      </c>
      <c r="AQ121" t="str">
        <f t="shared" si="8"/>
        <v/>
      </c>
    </row>
    <row r="122" spans="2:43">
      <c r="B122" s="138"/>
      <c r="C122" s="47">
        <f t="shared" si="9"/>
        <v>51</v>
      </c>
      <c r="D122" s="130">
        <f t="shared" si="25"/>
        <v>0</v>
      </c>
      <c r="E122" s="130">
        <f t="shared" si="25"/>
        <v>0</v>
      </c>
      <c r="F122" s="130">
        <f t="shared" si="25"/>
        <v>0</v>
      </c>
      <c r="G122" s="130">
        <f t="shared" si="25"/>
        <v>0</v>
      </c>
      <c r="H122" s="130">
        <f t="shared" si="25"/>
        <v>0</v>
      </c>
      <c r="I122" s="130">
        <f t="shared" si="25"/>
        <v>0</v>
      </c>
      <c r="J122" s="130">
        <f t="shared" si="25"/>
        <v>0</v>
      </c>
      <c r="K122" s="130">
        <f t="shared" si="25"/>
        <v>0</v>
      </c>
      <c r="L122" s="130">
        <f t="shared" si="25"/>
        <v>0</v>
      </c>
      <c r="M122" s="130">
        <f t="shared" si="25"/>
        <v>0</v>
      </c>
      <c r="N122" s="130">
        <f t="shared" si="25"/>
        <v>0</v>
      </c>
      <c r="O122" s="130">
        <f t="shared" si="25"/>
        <v>0</v>
      </c>
      <c r="P122" s="130">
        <f t="shared" si="25"/>
        <v>0</v>
      </c>
      <c r="Q122" s="130">
        <f t="shared" si="25"/>
        <v>0</v>
      </c>
      <c r="R122" s="130">
        <f t="shared" si="25"/>
        <v>0</v>
      </c>
      <c r="S122" s="130">
        <f t="shared" si="25"/>
        <v>0</v>
      </c>
      <c r="T122" s="130">
        <f t="shared" si="25"/>
        <v>0</v>
      </c>
      <c r="U122" s="130">
        <f t="shared" si="25"/>
        <v>0</v>
      </c>
      <c r="V122" s="130">
        <f t="shared" si="25"/>
        <v>0</v>
      </c>
      <c r="W122" s="130">
        <f t="shared" si="25"/>
        <v>0</v>
      </c>
      <c r="X122" s="130">
        <f t="shared" si="25"/>
        <v>0</v>
      </c>
      <c r="Y122" s="130">
        <f t="shared" si="25"/>
        <v>0</v>
      </c>
      <c r="Z122" s="130">
        <f t="shared" si="25"/>
        <v>0</v>
      </c>
      <c r="AA122" s="130">
        <f t="shared" si="25"/>
        <v>0</v>
      </c>
      <c r="AB122" s="130">
        <f t="shared" si="25"/>
        <v>0</v>
      </c>
      <c r="AC122" s="130">
        <f t="shared" si="25"/>
        <v>0</v>
      </c>
      <c r="AD122" s="130">
        <f t="shared" si="25"/>
        <v>0</v>
      </c>
      <c r="AE122" s="130">
        <f t="shared" si="25"/>
        <v>0</v>
      </c>
      <c r="AF122" s="130">
        <f t="shared" si="25"/>
        <v>0</v>
      </c>
      <c r="AG122" s="130">
        <f t="shared" si="25"/>
        <v>0</v>
      </c>
      <c r="AH122" s="130">
        <f t="shared" si="25"/>
        <v>0</v>
      </c>
      <c r="AI122" s="130">
        <f t="shared" si="25"/>
        <v>0</v>
      </c>
      <c r="AJ122" s="47" t="str">
        <f t="shared" si="7"/>
        <v/>
      </c>
      <c r="AK122" s="60"/>
      <c r="AL122" s="60" t="str">
        <f t="shared" si="10"/>
        <v>00</v>
      </c>
      <c r="AM122" s="62" t="str">
        <f t="shared" si="11"/>
        <v>00</v>
      </c>
      <c r="AN122" s="62" t="str">
        <f t="shared" si="12"/>
        <v>00</v>
      </c>
      <c r="AO122" s="62" t="str">
        <f t="shared" si="13"/>
        <v>00</v>
      </c>
      <c r="AQ122" t="str">
        <f t="shared" si="8"/>
        <v/>
      </c>
    </row>
    <row r="123" spans="2:43">
      <c r="B123" s="138"/>
      <c r="C123" s="47">
        <f t="shared" si="9"/>
        <v>52</v>
      </c>
      <c r="D123" s="130">
        <f t="shared" si="25"/>
        <v>0</v>
      </c>
      <c r="E123" s="130">
        <f t="shared" si="25"/>
        <v>0</v>
      </c>
      <c r="F123" s="130">
        <f t="shared" si="25"/>
        <v>0</v>
      </c>
      <c r="G123" s="130">
        <f t="shared" si="25"/>
        <v>0</v>
      </c>
      <c r="H123" s="130">
        <f t="shared" si="25"/>
        <v>0</v>
      </c>
      <c r="I123" s="130">
        <f t="shared" si="25"/>
        <v>0</v>
      </c>
      <c r="J123" s="130">
        <f t="shared" si="25"/>
        <v>0</v>
      </c>
      <c r="K123" s="130">
        <f t="shared" si="25"/>
        <v>0</v>
      </c>
      <c r="L123" s="130">
        <f t="shared" si="25"/>
        <v>0</v>
      </c>
      <c r="M123" s="130">
        <f t="shared" si="25"/>
        <v>0</v>
      </c>
      <c r="N123" s="130">
        <f t="shared" si="25"/>
        <v>0</v>
      </c>
      <c r="O123" s="130">
        <f t="shared" si="25"/>
        <v>0</v>
      </c>
      <c r="P123" s="130">
        <f t="shared" si="25"/>
        <v>0</v>
      </c>
      <c r="Q123" s="130">
        <f t="shared" si="25"/>
        <v>0</v>
      </c>
      <c r="R123" s="130">
        <f t="shared" si="25"/>
        <v>0</v>
      </c>
      <c r="S123" s="130">
        <f t="shared" si="25"/>
        <v>0</v>
      </c>
      <c r="T123" s="130">
        <f t="shared" si="25"/>
        <v>0</v>
      </c>
      <c r="U123" s="130">
        <f t="shared" si="25"/>
        <v>0</v>
      </c>
      <c r="V123" s="130">
        <f t="shared" si="25"/>
        <v>0</v>
      </c>
      <c r="W123" s="130">
        <f t="shared" si="25"/>
        <v>0</v>
      </c>
      <c r="X123" s="130">
        <f t="shared" si="25"/>
        <v>0</v>
      </c>
      <c r="Y123" s="130">
        <f t="shared" si="25"/>
        <v>0</v>
      </c>
      <c r="Z123" s="130">
        <f t="shared" si="25"/>
        <v>0</v>
      </c>
      <c r="AA123" s="130">
        <f t="shared" si="25"/>
        <v>0</v>
      </c>
      <c r="AB123" s="130">
        <f t="shared" si="25"/>
        <v>0</v>
      </c>
      <c r="AC123" s="130">
        <f t="shared" si="25"/>
        <v>0</v>
      </c>
      <c r="AD123" s="130">
        <f t="shared" si="25"/>
        <v>0</v>
      </c>
      <c r="AE123" s="130">
        <f t="shared" si="25"/>
        <v>0</v>
      </c>
      <c r="AF123" s="130">
        <f t="shared" si="25"/>
        <v>0</v>
      </c>
      <c r="AG123" s="130">
        <f t="shared" si="25"/>
        <v>0</v>
      </c>
      <c r="AH123" s="130">
        <f t="shared" si="25"/>
        <v>0</v>
      </c>
      <c r="AI123" s="130">
        <f t="shared" si="25"/>
        <v>0</v>
      </c>
      <c r="AJ123" s="47" t="str">
        <f t="shared" si="7"/>
        <v/>
      </c>
      <c r="AK123" s="60"/>
      <c r="AL123" s="60" t="str">
        <f t="shared" si="10"/>
        <v>00</v>
      </c>
      <c r="AM123" s="62" t="str">
        <f t="shared" si="11"/>
        <v>00</v>
      </c>
      <c r="AN123" s="62" t="str">
        <f t="shared" si="12"/>
        <v>00</v>
      </c>
      <c r="AO123" s="62" t="str">
        <f t="shared" si="13"/>
        <v>00</v>
      </c>
      <c r="AQ123" t="str">
        <f t="shared" si="8"/>
        <v/>
      </c>
    </row>
    <row r="124" spans="2:43">
      <c r="B124" s="138"/>
      <c r="C124" s="47">
        <f t="shared" si="9"/>
        <v>53</v>
      </c>
      <c r="D124" s="130">
        <f t="shared" si="25"/>
        <v>0</v>
      </c>
      <c r="E124" s="130">
        <f t="shared" si="25"/>
        <v>0</v>
      </c>
      <c r="F124" s="130">
        <f t="shared" si="25"/>
        <v>0</v>
      </c>
      <c r="G124" s="130">
        <f t="shared" si="25"/>
        <v>0</v>
      </c>
      <c r="H124" s="130">
        <f t="shared" si="25"/>
        <v>0</v>
      </c>
      <c r="I124" s="130">
        <f t="shared" si="25"/>
        <v>0</v>
      </c>
      <c r="J124" s="130">
        <f t="shared" si="25"/>
        <v>0</v>
      </c>
      <c r="K124" s="130">
        <f t="shared" si="25"/>
        <v>0</v>
      </c>
      <c r="L124" s="130">
        <f t="shared" si="25"/>
        <v>0</v>
      </c>
      <c r="M124" s="130">
        <f t="shared" si="25"/>
        <v>0</v>
      </c>
      <c r="N124" s="130">
        <f t="shared" si="25"/>
        <v>0</v>
      </c>
      <c r="O124" s="130">
        <f t="shared" si="25"/>
        <v>0</v>
      </c>
      <c r="P124" s="130">
        <f t="shared" si="25"/>
        <v>0</v>
      </c>
      <c r="Q124" s="130">
        <f t="shared" si="25"/>
        <v>0</v>
      </c>
      <c r="R124" s="130">
        <f t="shared" si="25"/>
        <v>0</v>
      </c>
      <c r="S124" s="130">
        <f t="shared" si="25"/>
        <v>0</v>
      </c>
      <c r="T124" s="130">
        <f t="shared" si="25"/>
        <v>0</v>
      </c>
      <c r="U124" s="130">
        <f t="shared" si="25"/>
        <v>0</v>
      </c>
      <c r="V124" s="130">
        <f t="shared" si="25"/>
        <v>0</v>
      </c>
      <c r="W124" s="130">
        <f t="shared" si="25"/>
        <v>0</v>
      </c>
      <c r="X124" s="130">
        <f t="shared" si="25"/>
        <v>0</v>
      </c>
      <c r="Y124" s="130">
        <f t="shared" si="25"/>
        <v>0</v>
      </c>
      <c r="Z124" s="130">
        <f t="shared" si="25"/>
        <v>0</v>
      </c>
      <c r="AA124" s="130">
        <f t="shared" si="25"/>
        <v>0</v>
      </c>
      <c r="AB124" s="130">
        <f t="shared" si="25"/>
        <v>0</v>
      </c>
      <c r="AC124" s="130">
        <f t="shared" si="25"/>
        <v>0</v>
      </c>
      <c r="AD124" s="130">
        <f t="shared" si="25"/>
        <v>0</v>
      </c>
      <c r="AE124" s="130">
        <f t="shared" si="25"/>
        <v>0</v>
      </c>
      <c r="AF124" s="130">
        <f t="shared" si="25"/>
        <v>0</v>
      </c>
      <c r="AG124" s="130">
        <f t="shared" si="25"/>
        <v>0</v>
      </c>
      <c r="AH124" s="130">
        <f t="shared" si="25"/>
        <v>0</v>
      </c>
      <c r="AI124" s="130">
        <f t="shared" si="25"/>
        <v>0</v>
      </c>
      <c r="AJ124" s="47" t="str">
        <f t="shared" si="7"/>
        <v/>
      </c>
      <c r="AK124" s="60"/>
      <c r="AL124" s="60" t="str">
        <f t="shared" si="10"/>
        <v>00</v>
      </c>
      <c r="AM124" s="62" t="str">
        <f t="shared" si="11"/>
        <v>00</v>
      </c>
      <c r="AN124" s="62" t="str">
        <f t="shared" si="12"/>
        <v>00</v>
      </c>
      <c r="AO124" s="62" t="str">
        <f t="shared" si="13"/>
        <v>00</v>
      </c>
      <c r="AQ124" t="str">
        <f t="shared" si="8"/>
        <v/>
      </c>
    </row>
    <row r="125" spans="2:43">
      <c r="B125" s="138"/>
      <c r="C125" s="47">
        <f t="shared" si="9"/>
        <v>54</v>
      </c>
      <c r="D125" s="130">
        <f t="shared" si="25"/>
        <v>0</v>
      </c>
      <c r="E125" s="130">
        <f t="shared" si="25"/>
        <v>0</v>
      </c>
      <c r="F125" s="130">
        <f t="shared" si="25"/>
        <v>0</v>
      </c>
      <c r="G125" s="130">
        <f t="shared" si="25"/>
        <v>0</v>
      </c>
      <c r="H125" s="130">
        <f t="shared" si="25"/>
        <v>0</v>
      </c>
      <c r="I125" s="130">
        <f t="shared" si="25"/>
        <v>0</v>
      </c>
      <c r="J125" s="130">
        <f t="shared" si="25"/>
        <v>0</v>
      </c>
      <c r="K125" s="130">
        <f t="shared" si="25"/>
        <v>0</v>
      </c>
      <c r="L125" s="130">
        <f t="shared" si="25"/>
        <v>0</v>
      </c>
      <c r="M125" s="130">
        <f t="shared" si="25"/>
        <v>0</v>
      </c>
      <c r="N125" s="130">
        <f t="shared" si="25"/>
        <v>0</v>
      </c>
      <c r="O125" s="130">
        <f t="shared" si="25"/>
        <v>0</v>
      </c>
      <c r="P125" s="130">
        <f t="shared" si="25"/>
        <v>0</v>
      </c>
      <c r="Q125" s="130">
        <f t="shared" si="25"/>
        <v>0</v>
      </c>
      <c r="R125" s="130">
        <f t="shared" si="25"/>
        <v>0</v>
      </c>
      <c r="S125" s="130">
        <f t="shared" si="25"/>
        <v>0</v>
      </c>
      <c r="T125" s="130">
        <f t="shared" si="25"/>
        <v>0</v>
      </c>
      <c r="U125" s="130">
        <f t="shared" si="25"/>
        <v>0</v>
      </c>
      <c r="V125" s="130">
        <f t="shared" si="25"/>
        <v>0</v>
      </c>
      <c r="W125" s="130">
        <f t="shared" si="25"/>
        <v>0</v>
      </c>
      <c r="X125" s="130">
        <f t="shared" si="25"/>
        <v>0</v>
      </c>
      <c r="Y125" s="130">
        <f t="shared" si="25"/>
        <v>0</v>
      </c>
      <c r="Z125" s="130">
        <f t="shared" si="25"/>
        <v>0</v>
      </c>
      <c r="AA125" s="130">
        <f t="shared" si="25"/>
        <v>0</v>
      </c>
      <c r="AB125" s="130">
        <f t="shared" si="25"/>
        <v>0</v>
      </c>
      <c r="AC125" s="130">
        <f t="shared" si="25"/>
        <v>0</v>
      </c>
      <c r="AD125" s="130">
        <f t="shared" si="25"/>
        <v>0</v>
      </c>
      <c r="AE125" s="130">
        <f t="shared" si="25"/>
        <v>0</v>
      </c>
      <c r="AF125" s="130">
        <f t="shared" si="25"/>
        <v>0</v>
      </c>
      <c r="AG125" s="130">
        <f t="shared" si="25"/>
        <v>0</v>
      </c>
      <c r="AH125" s="130">
        <f t="shared" si="25"/>
        <v>0</v>
      </c>
      <c r="AI125" s="130">
        <f t="shared" si="25"/>
        <v>0</v>
      </c>
      <c r="AJ125" s="47" t="str">
        <f t="shared" si="7"/>
        <v/>
      </c>
      <c r="AK125" s="60"/>
      <c r="AL125" s="60" t="str">
        <f t="shared" si="10"/>
        <v>00</v>
      </c>
      <c r="AM125" s="62" t="str">
        <f t="shared" si="11"/>
        <v>00</v>
      </c>
      <c r="AN125" s="62" t="str">
        <f t="shared" si="12"/>
        <v>00</v>
      </c>
      <c r="AO125" s="62" t="str">
        <f t="shared" si="13"/>
        <v>00</v>
      </c>
      <c r="AQ125" t="str">
        <f t="shared" si="8"/>
        <v/>
      </c>
    </row>
    <row r="126" spans="2:43">
      <c r="B126" s="138"/>
      <c r="C126" s="47">
        <f t="shared" si="9"/>
        <v>55</v>
      </c>
      <c r="D126" s="130">
        <f t="shared" si="25"/>
        <v>0</v>
      </c>
      <c r="E126" s="130">
        <f t="shared" si="25"/>
        <v>0</v>
      </c>
      <c r="F126" s="130">
        <f t="shared" si="25"/>
        <v>0</v>
      </c>
      <c r="G126" s="130">
        <f t="shared" si="25"/>
        <v>0</v>
      </c>
      <c r="H126" s="130">
        <f t="shared" si="25"/>
        <v>0</v>
      </c>
      <c r="I126" s="130">
        <f t="shared" si="25"/>
        <v>0</v>
      </c>
      <c r="J126" s="130">
        <f t="shared" si="25"/>
        <v>0</v>
      </c>
      <c r="K126" s="130">
        <f t="shared" si="25"/>
        <v>0</v>
      </c>
      <c r="L126" s="130">
        <f t="shared" si="25"/>
        <v>0</v>
      </c>
      <c r="M126" s="130">
        <f t="shared" si="25"/>
        <v>0</v>
      </c>
      <c r="N126" s="130">
        <f t="shared" si="25"/>
        <v>0</v>
      </c>
      <c r="O126" s="130">
        <f t="shared" si="25"/>
        <v>0</v>
      </c>
      <c r="P126" s="130">
        <f t="shared" si="25"/>
        <v>0</v>
      </c>
      <c r="Q126" s="130">
        <f t="shared" si="25"/>
        <v>0</v>
      </c>
      <c r="R126" s="130">
        <f t="shared" si="25"/>
        <v>0</v>
      </c>
      <c r="S126" s="130">
        <f t="shared" si="25"/>
        <v>0</v>
      </c>
      <c r="T126" s="130">
        <f t="shared" si="25"/>
        <v>0</v>
      </c>
      <c r="U126" s="130">
        <f t="shared" si="25"/>
        <v>0</v>
      </c>
      <c r="V126" s="130">
        <f t="shared" si="25"/>
        <v>0</v>
      </c>
      <c r="W126" s="130">
        <f t="shared" si="25"/>
        <v>0</v>
      </c>
      <c r="X126" s="130">
        <f t="shared" si="25"/>
        <v>0</v>
      </c>
      <c r="Y126" s="130">
        <f t="shared" si="25"/>
        <v>0</v>
      </c>
      <c r="Z126" s="130">
        <f t="shared" si="25"/>
        <v>0</v>
      </c>
      <c r="AA126" s="130">
        <f t="shared" si="25"/>
        <v>0</v>
      </c>
      <c r="AB126" s="130">
        <f t="shared" si="25"/>
        <v>0</v>
      </c>
      <c r="AC126" s="130">
        <f t="shared" si="25"/>
        <v>0</v>
      </c>
      <c r="AD126" s="130">
        <f t="shared" si="25"/>
        <v>0</v>
      </c>
      <c r="AE126" s="130">
        <f t="shared" si="25"/>
        <v>0</v>
      </c>
      <c r="AF126" s="130">
        <f t="shared" si="25"/>
        <v>0</v>
      </c>
      <c r="AG126" s="130">
        <f t="shared" si="25"/>
        <v>0</v>
      </c>
      <c r="AH126" s="130">
        <f t="shared" si="25"/>
        <v>0</v>
      </c>
      <c r="AI126" s="130">
        <f t="shared" ref="AI126" si="26">IF(AI61=1,1,0)</f>
        <v>0</v>
      </c>
      <c r="AJ126" s="47" t="str">
        <f t="shared" si="7"/>
        <v/>
      </c>
      <c r="AK126" s="60"/>
      <c r="AL126" s="60" t="str">
        <f t="shared" si="10"/>
        <v>00</v>
      </c>
      <c r="AM126" s="62" t="str">
        <f t="shared" si="11"/>
        <v>00</v>
      </c>
      <c r="AN126" s="62" t="str">
        <f t="shared" si="12"/>
        <v>00</v>
      </c>
      <c r="AO126" s="62" t="str">
        <f t="shared" si="13"/>
        <v>00</v>
      </c>
      <c r="AQ126" t="str">
        <f t="shared" si="8"/>
        <v/>
      </c>
    </row>
    <row r="127" spans="2:43">
      <c r="B127" s="138"/>
      <c r="C127" s="47">
        <f t="shared" si="9"/>
        <v>56</v>
      </c>
      <c r="D127" s="130">
        <f t="shared" ref="D127:AI134" si="27">IF(D62=1,1,0)</f>
        <v>0</v>
      </c>
      <c r="E127" s="130">
        <f t="shared" si="27"/>
        <v>0</v>
      </c>
      <c r="F127" s="130">
        <f t="shared" si="27"/>
        <v>0</v>
      </c>
      <c r="G127" s="130">
        <f t="shared" si="27"/>
        <v>0</v>
      </c>
      <c r="H127" s="130">
        <f t="shared" si="27"/>
        <v>0</v>
      </c>
      <c r="I127" s="130">
        <f t="shared" si="27"/>
        <v>0</v>
      </c>
      <c r="J127" s="130">
        <f t="shared" si="27"/>
        <v>0</v>
      </c>
      <c r="K127" s="130">
        <f t="shared" si="27"/>
        <v>0</v>
      </c>
      <c r="L127" s="130">
        <f t="shared" si="27"/>
        <v>0</v>
      </c>
      <c r="M127" s="130">
        <f t="shared" si="27"/>
        <v>0</v>
      </c>
      <c r="N127" s="130">
        <f t="shared" si="27"/>
        <v>0</v>
      </c>
      <c r="O127" s="130">
        <f t="shared" si="27"/>
        <v>0</v>
      </c>
      <c r="P127" s="130">
        <f t="shared" si="27"/>
        <v>0</v>
      </c>
      <c r="Q127" s="130">
        <f t="shared" si="27"/>
        <v>0</v>
      </c>
      <c r="R127" s="130">
        <f t="shared" si="27"/>
        <v>0</v>
      </c>
      <c r="S127" s="130">
        <f t="shared" si="27"/>
        <v>0</v>
      </c>
      <c r="T127" s="130">
        <f t="shared" si="27"/>
        <v>0</v>
      </c>
      <c r="U127" s="130">
        <f t="shared" si="27"/>
        <v>0</v>
      </c>
      <c r="V127" s="130">
        <f t="shared" si="27"/>
        <v>0</v>
      </c>
      <c r="W127" s="130">
        <f t="shared" si="27"/>
        <v>0</v>
      </c>
      <c r="X127" s="130">
        <f t="shared" si="27"/>
        <v>0</v>
      </c>
      <c r="Y127" s="130">
        <f t="shared" si="27"/>
        <v>0</v>
      </c>
      <c r="Z127" s="130">
        <f t="shared" si="27"/>
        <v>0</v>
      </c>
      <c r="AA127" s="130">
        <f t="shared" si="27"/>
        <v>0</v>
      </c>
      <c r="AB127" s="130">
        <f t="shared" si="27"/>
        <v>0</v>
      </c>
      <c r="AC127" s="130">
        <f t="shared" si="27"/>
        <v>0</v>
      </c>
      <c r="AD127" s="130">
        <f t="shared" si="27"/>
        <v>0</v>
      </c>
      <c r="AE127" s="130">
        <f t="shared" si="27"/>
        <v>0</v>
      </c>
      <c r="AF127" s="130">
        <f t="shared" si="27"/>
        <v>0</v>
      </c>
      <c r="AG127" s="130">
        <f t="shared" si="27"/>
        <v>0</v>
      </c>
      <c r="AH127" s="130">
        <f t="shared" si="27"/>
        <v>0</v>
      </c>
      <c r="AI127" s="130">
        <f t="shared" si="27"/>
        <v>0</v>
      </c>
      <c r="AJ127" s="47" t="str">
        <f t="shared" si="7"/>
        <v/>
      </c>
      <c r="AK127" s="60"/>
      <c r="AL127" s="60" t="str">
        <f t="shared" si="10"/>
        <v>00</v>
      </c>
      <c r="AM127" s="62" t="str">
        <f t="shared" si="11"/>
        <v>00</v>
      </c>
      <c r="AN127" s="62" t="str">
        <f t="shared" si="12"/>
        <v>00</v>
      </c>
      <c r="AO127" s="62" t="str">
        <f t="shared" si="13"/>
        <v>00</v>
      </c>
      <c r="AQ127" t="str">
        <f t="shared" si="8"/>
        <v/>
      </c>
    </row>
    <row r="128" spans="2:43">
      <c r="B128" s="138"/>
      <c r="C128" s="47">
        <f t="shared" si="9"/>
        <v>57</v>
      </c>
      <c r="D128" s="130">
        <f t="shared" si="27"/>
        <v>0</v>
      </c>
      <c r="E128" s="130">
        <f t="shared" si="27"/>
        <v>0</v>
      </c>
      <c r="F128" s="130">
        <f t="shared" si="27"/>
        <v>0</v>
      </c>
      <c r="G128" s="130">
        <f t="shared" si="27"/>
        <v>0</v>
      </c>
      <c r="H128" s="130">
        <f t="shared" si="27"/>
        <v>0</v>
      </c>
      <c r="I128" s="130">
        <f t="shared" si="27"/>
        <v>0</v>
      </c>
      <c r="J128" s="130">
        <f t="shared" si="27"/>
        <v>0</v>
      </c>
      <c r="K128" s="130">
        <f t="shared" si="27"/>
        <v>0</v>
      </c>
      <c r="L128" s="130">
        <f t="shared" si="27"/>
        <v>0</v>
      </c>
      <c r="M128" s="130">
        <f t="shared" si="27"/>
        <v>0</v>
      </c>
      <c r="N128" s="130">
        <f t="shared" si="27"/>
        <v>0</v>
      </c>
      <c r="O128" s="130">
        <f t="shared" si="27"/>
        <v>0</v>
      </c>
      <c r="P128" s="130">
        <f t="shared" si="27"/>
        <v>0</v>
      </c>
      <c r="Q128" s="130">
        <f t="shared" si="27"/>
        <v>0</v>
      </c>
      <c r="R128" s="130">
        <f t="shared" si="27"/>
        <v>0</v>
      </c>
      <c r="S128" s="130">
        <f t="shared" si="27"/>
        <v>0</v>
      </c>
      <c r="T128" s="130">
        <f t="shared" si="27"/>
        <v>0</v>
      </c>
      <c r="U128" s="130">
        <f t="shared" si="27"/>
        <v>0</v>
      </c>
      <c r="V128" s="130">
        <f t="shared" si="27"/>
        <v>0</v>
      </c>
      <c r="W128" s="130">
        <f t="shared" si="27"/>
        <v>0</v>
      </c>
      <c r="X128" s="130">
        <f t="shared" si="27"/>
        <v>0</v>
      </c>
      <c r="Y128" s="130">
        <f t="shared" si="27"/>
        <v>0</v>
      </c>
      <c r="Z128" s="130">
        <f t="shared" si="27"/>
        <v>0</v>
      </c>
      <c r="AA128" s="130">
        <f t="shared" si="27"/>
        <v>0</v>
      </c>
      <c r="AB128" s="130">
        <f t="shared" si="27"/>
        <v>0</v>
      </c>
      <c r="AC128" s="130">
        <f t="shared" si="27"/>
        <v>0</v>
      </c>
      <c r="AD128" s="130">
        <f t="shared" si="27"/>
        <v>0</v>
      </c>
      <c r="AE128" s="130">
        <f t="shared" si="27"/>
        <v>0</v>
      </c>
      <c r="AF128" s="130">
        <f t="shared" si="27"/>
        <v>0</v>
      </c>
      <c r="AG128" s="130">
        <f t="shared" si="27"/>
        <v>0</v>
      </c>
      <c r="AH128" s="130">
        <f t="shared" si="27"/>
        <v>0</v>
      </c>
      <c r="AI128" s="130">
        <f t="shared" si="27"/>
        <v>0</v>
      </c>
      <c r="AJ128" s="47" t="str">
        <f t="shared" si="7"/>
        <v/>
      </c>
      <c r="AK128" s="60"/>
      <c r="AL128" s="60" t="str">
        <f t="shared" si="10"/>
        <v>00</v>
      </c>
      <c r="AM128" s="62" t="str">
        <f t="shared" si="11"/>
        <v>00</v>
      </c>
      <c r="AN128" s="62" t="str">
        <f t="shared" si="12"/>
        <v>00</v>
      </c>
      <c r="AO128" s="62" t="str">
        <f t="shared" si="13"/>
        <v>00</v>
      </c>
      <c r="AQ128" t="str">
        <f t="shared" si="8"/>
        <v/>
      </c>
    </row>
    <row r="129" spans="1:43">
      <c r="B129" s="138"/>
      <c r="C129" s="47">
        <f t="shared" si="9"/>
        <v>58</v>
      </c>
      <c r="D129" s="130">
        <f t="shared" si="27"/>
        <v>0</v>
      </c>
      <c r="E129" s="130">
        <f t="shared" si="27"/>
        <v>0</v>
      </c>
      <c r="F129" s="130">
        <f t="shared" si="27"/>
        <v>0</v>
      </c>
      <c r="G129" s="130">
        <f t="shared" si="27"/>
        <v>0</v>
      </c>
      <c r="H129" s="130">
        <f t="shared" si="27"/>
        <v>0</v>
      </c>
      <c r="I129" s="130">
        <f t="shared" si="27"/>
        <v>0</v>
      </c>
      <c r="J129" s="130">
        <f t="shared" si="27"/>
        <v>0</v>
      </c>
      <c r="K129" s="130">
        <f t="shared" si="27"/>
        <v>0</v>
      </c>
      <c r="L129" s="130">
        <f t="shared" si="27"/>
        <v>0</v>
      </c>
      <c r="M129" s="130">
        <f t="shared" si="27"/>
        <v>0</v>
      </c>
      <c r="N129" s="130">
        <f t="shared" si="27"/>
        <v>0</v>
      </c>
      <c r="O129" s="130">
        <f t="shared" si="27"/>
        <v>0</v>
      </c>
      <c r="P129" s="130">
        <f t="shared" si="27"/>
        <v>0</v>
      </c>
      <c r="Q129" s="130">
        <f t="shared" si="27"/>
        <v>0</v>
      </c>
      <c r="R129" s="130">
        <f t="shared" si="27"/>
        <v>0</v>
      </c>
      <c r="S129" s="130">
        <f t="shared" si="27"/>
        <v>0</v>
      </c>
      <c r="T129" s="130">
        <f t="shared" si="27"/>
        <v>0</v>
      </c>
      <c r="U129" s="130">
        <f t="shared" si="27"/>
        <v>0</v>
      </c>
      <c r="V129" s="130">
        <f t="shared" si="27"/>
        <v>0</v>
      </c>
      <c r="W129" s="130">
        <f t="shared" si="27"/>
        <v>0</v>
      </c>
      <c r="X129" s="130">
        <f t="shared" si="27"/>
        <v>0</v>
      </c>
      <c r="Y129" s="130">
        <f t="shared" si="27"/>
        <v>0</v>
      </c>
      <c r="Z129" s="130">
        <f t="shared" si="27"/>
        <v>0</v>
      </c>
      <c r="AA129" s="130">
        <f t="shared" si="27"/>
        <v>0</v>
      </c>
      <c r="AB129" s="130">
        <f t="shared" si="27"/>
        <v>0</v>
      </c>
      <c r="AC129" s="130">
        <f t="shared" si="27"/>
        <v>0</v>
      </c>
      <c r="AD129" s="130">
        <f t="shared" si="27"/>
        <v>0</v>
      </c>
      <c r="AE129" s="130">
        <f t="shared" si="27"/>
        <v>0</v>
      </c>
      <c r="AF129" s="130">
        <f t="shared" si="27"/>
        <v>0</v>
      </c>
      <c r="AG129" s="130">
        <f t="shared" si="27"/>
        <v>0</v>
      </c>
      <c r="AH129" s="130">
        <f t="shared" si="27"/>
        <v>0</v>
      </c>
      <c r="AI129" s="130">
        <f t="shared" si="27"/>
        <v>0</v>
      </c>
      <c r="AJ129" s="47" t="str">
        <f t="shared" si="7"/>
        <v/>
      </c>
      <c r="AK129" s="60"/>
      <c r="AL129" s="60" t="str">
        <f t="shared" si="10"/>
        <v>00</v>
      </c>
      <c r="AM129" s="62" t="str">
        <f t="shared" si="11"/>
        <v>00</v>
      </c>
      <c r="AN129" s="62" t="str">
        <f t="shared" si="12"/>
        <v>00</v>
      </c>
      <c r="AO129" s="62" t="str">
        <f t="shared" si="13"/>
        <v>00</v>
      </c>
      <c r="AQ129" t="str">
        <f t="shared" si="8"/>
        <v/>
      </c>
    </row>
    <row r="130" spans="1:43">
      <c r="B130" s="138"/>
      <c r="C130" s="47">
        <f t="shared" si="9"/>
        <v>59</v>
      </c>
      <c r="D130" s="130">
        <f t="shared" si="27"/>
        <v>0</v>
      </c>
      <c r="E130" s="130">
        <f t="shared" si="27"/>
        <v>0</v>
      </c>
      <c r="F130" s="130">
        <f t="shared" si="27"/>
        <v>0</v>
      </c>
      <c r="G130" s="130">
        <f t="shared" si="27"/>
        <v>0</v>
      </c>
      <c r="H130" s="130">
        <f t="shared" si="27"/>
        <v>0</v>
      </c>
      <c r="I130" s="130">
        <f t="shared" si="27"/>
        <v>0</v>
      </c>
      <c r="J130" s="130">
        <f t="shared" si="27"/>
        <v>0</v>
      </c>
      <c r="K130" s="130">
        <f t="shared" si="27"/>
        <v>0</v>
      </c>
      <c r="L130" s="130">
        <f t="shared" si="27"/>
        <v>0</v>
      </c>
      <c r="M130" s="130">
        <f t="shared" si="27"/>
        <v>0</v>
      </c>
      <c r="N130" s="130">
        <f t="shared" si="27"/>
        <v>0</v>
      </c>
      <c r="O130" s="130">
        <f t="shared" si="27"/>
        <v>0</v>
      </c>
      <c r="P130" s="130">
        <f t="shared" si="27"/>
        <v>0</v>
      </c>
      <c r="Q130" s="130">
        <f t="shared" si="27"/>
        <v>0</v>
      </c>
      <c r="R130" s="130">
        <f t="shared" si="27"/>
        <v>0</v>
      </c>
      <c r="S130" s="130">
        <f t="shared" si="27"/>
        <v>0</v>
      </c>
      <c r="T130" s="130">
        <f t="shared" si="27"/>
        <v>0</v>
      </c>
      <c r="U130" s="130">
        <f t="shared" si="27"/>
        <v>0</v>
      </c>
      <c r="V130" s="130">
        <f t="shared" si="27"/>
        <v>0</v>
      </c>
      <c r="W130" s="130">
        <f t="shared" si="27"/>
        <v>0</v>
      </c>
      <c r="X130" s="130">
        <f t="shared" si="27"/>
        <v>0</v>
      </c>
      <c r="Y130" s="130">
        <f t="shared" si="27"/>
        <v>0</v>
      </c>
      <c r="Z130" s="130">
        <f t="shared" si="27"/>
        <v>0</v>
      </c>
      <c r="AA130" s="130">
        <f t="shared" si="27"/>
        <v>0</v>
      </c>
      <c r="AB130" s="130">
        <f t="shared" si="27"/>
        <v>0</v>
      </c>
      <c r="AC130" s="130">
        <f t="shared" si="27"/>
        <v>0</v>
      </c>
      <c r="AD130" s="130">
        <f t="shared" si="27"/>
        <v>0</v>
      </c>
      <c r="AE130" s="130">
        <f t="shared" si="27"/>
        <v>0</v>
      </c>
      <c r="AF130" s="130">
        <f t="shared" si="27"/>
        <v>0</v>
      </c>
      <c r="AG130" s="130">
        <f t="shared" si="27"/>
        <v>0</v>
      </c>
      <c r="AH130" s="130">
        <f t="shared" si="27"/>
        <v>0</v>
      </c>
      <c r="AI130" s="130">
        <f t="shared" si="27"/>
        <v>0</v>
      </c>
      <c r="AJ130" s="47" t="str">
        <f t="shared" si="7"/>
        <v/>
      </c>
      <c r="AK130" s="60"/>
      <c r="AL130" s="60" t="str">
        <f t="shared" si="10"/>
        <v>00</v>
      </c>
      <c r="AM130" s="62" t="str">
        <f t="shared" si="11"/>
        <v>00</v>
      </c>
      <c r="AN130" s="62" t="str">
        <f t="shared" si="12"/>
        <v>00</v>
      </c>
      <c r="AO130" s="62" t="str">
        <f t="shared" si="13"/>
        <v>00</v>
      </c>
      <c r="AQ130" t="str">
        <f t="shared" si="8"/>
        <v/>
      </c>
    </row>
    <row r="131" spans="1:43">
      <c r="B131" s="138"/>
      <c r="C131" s="47">
        <f t="shared" si="9"/>
        <v>60</v>
      </c>
      <c r="D131" s="130">
        <f t="shared" si="27"/>
        <v>0</v>
      </c>
      <c r="E131" s="130">
        <f t="shared" si="27"/>
        <v>0</v>
      </c>
      <c r="F131" s="130">
        <f t="shared" si="27"/>
        <v>0</v>
      </c>
      <c r="G131" s="130">
        <f t="shared" si="27"/>
        <v>0</v>
      </c>
      <c r="H131" s="130">
        <f t="shared" si="27"/>
        <v>0</v>
      </c>
      <c r="I131" s="130">
        <f t="shared" si="27"/>
        <v>0</v>
      </c>
      <c r="J131" s="130">
        <f t="shared" si="27"/>
        <v>0</v>
      </c>
      <c r="K131" s="130">
        <f t="shared" si="27"/>
        <v>0</v>
      </c>
      <c r="L131" s="130">
        <f t="shared" si="27"/>
        <v>0</v>
      </c>
      <c r="M131" s="130">
        <f t="shared" si="27"/>
        <v>0</v>
      </c>
      <c r="N131" s="130">
        <f t="shared" si="27"/>
        <v>0</v>
      </c>
      <c r="O131" s="130">
        <f t="shared" si="27"/>
        <v>0</v>
      </c>
      <c r="P131" s="130">
        <f t="shared" si="27"/>
        <v>0</v>
      </c>
      <c r="Q131" s="130">
        <f t="shared" si="27"/>
        <v>0</v>
      </c>
      <c r="R131" s="130">
        <f t="shared" si="27"/>
        <v>0</v>
      </c>
      <c r="S131" s="130">
        <f t="shared" si="27"/>
        <v>0</v>
      </c>
      <c r="T131" s="130">
        <f t="shared" si="27"/>
        <v>0</v>
      </c>
      <c r="U131" s="130">
        <f t="shared" si="27"/>
        <v>0</v>
      </c>
      <c r="V131" s="130">
        <f t="shared" si="27"/>
        <v>0</v>
      </c>
      <c r="W131" s="130">
        <f t="shared" si="27"/>
        <v>0</v>
      </c>
      <c r="X131" s="130">
        <f t="shared" si="27"/>
        <v>0</v>
      </c>
      <c r="Y131" s="130">
        <f t="shared" si="27"/>
        <v>0</v>
      </c>
      <c r="Z131" s="130">
        <f t="shared" si="27"/>
        <v>0</v>
      </c>
      <c r="AA131" s="130">
        <f t="shared" si="27"/>
        <v>0</v>
      </c>
      <c r="AB131" s="130">
        <f t="shared" si="27"/>
        <v>0</v>
      </c>
      <c r="AC131" s="130">
        <f t="shared" si="27"/>
        <v>0</v>
      </c>
      <c r="AD131" s="130">
        <f t="shared" si="27"/>
        <v>0</v>
      </c>
      <c r="AE131" s="130">
        <f t="shared" si="27"/>
        <v>0</v>
      </c>
      <c r="AF131" s="130">
        <f t="shared" si="27"/>
        <v>0</v>
      </c>
      <c r="AG131" s="130">
        <f t="shared" si="27"/>
        <v>0</v>
      </c>
      <c r="AH131" s="130">
        <f t="shared" si="27"/>
        <v>0</v>
      </c>
      <c r="AI131" s="130">
        <f t="shared" si="27"/>
        <v>0</v>
      </c>
      <c r="AJ131" s="47" t="str">
        <f t="shared" si="7"/>
        <v/>
      </c>
      <c r="AK131" s="60"/>
      <c r="AL131" s="60" t="str">
        <f t="shared" si="10"/>
        <v>00</v>
      </c>
      <c r="AM131" s="62" t="str">
        <f t="shared" si="11"/>
        <v>00</v>
      </c>
      <c r="AN131" s="62" t="str">
        <f t="shared" si="12"/>
        <v>00</v>
      </c>
      <c r="AO131" s="62" t="str">
        <f t="shared" si="13"/>
        <v>00</v>
      </c>
      <c r="AQ131" t="str">
        <f t="shared" si="8"/>
        <v/>
      </c>
    </row>
    <row r="132" spans="1:43">
      <c r="B132" s="138"/>
      <c r="C132" s="47">
        <f t="shared" si="9"/>
        <v>61</v>
      </c>
      <c r="D132" s="130">
        <f t="shared" si="27"/>
        <v>0</v>
      </c>
      <c r="E132" s="130">
        <f t="shared" si="27"/>
        <v>0</v>
      </c>
      <c r="F132" s="130">
        <f t="shared" si="27"/>
        <v>0</v>
      </c>
      <c r="G132" s="130">
        <f t="shared" si="27"/>
        <v>0</v>
      </c>
      <c r="H132" s="130">
        <f t="shared" si="27"/>
        <v>0</v>
      </c>
      <c r="I132" s="130">
        <f t="shared" si="27"/>
        <v>0</v>
      </c>
      <c r="J132" s="130">
        <f t="shared" si="27"/>
        <v>0</v>
      </c>
      <c r="K132" s="130">
        <f t="shared" si="27"/>
        <v>0</v>
      </c>
      <c r="L132" s="130">
        <f t="shared" si="27"/>
        <v>0</v>
      </c>
      <c r="M132" s="130">
        <f t="shared" si="27"/>
        <v>0</v>
      </c>
      <c r="N132" s="130">
        <f t="shared" si="27"/>
        <v>0</v>
      </c>
      <c r="O132" s="130">
        <f t="shared" si="27"/>
        <v>0</v>
      </c>
      <c r="P132" s="130">
        <f t="shared" si="27"/>
        <v>0</v>
      </c>
      <c r="Q132" s="130">
        <f t="shared" si="27"/>
        <v>0</v>
      </c>
      <c r="R132" s="130">
        <f t="shared" si="27"/>
        <v>0</v>
      </c>
      <c r="S132" s="130">
        <f t="shared" si="27"/>
        <v>0</v>
      </c>
      <c r="T132" s="130">
        <f t="shared" si="27"/>
        <v>0</v>
      </c>
      <c r="U132" s="130">
        <f t="shared" si="27"/>
        <v>0</v>
      </c>
      <c r="V132" s="130">
        <f t="shared" si="27"/>
        <v>0</v>
      </c>
      <c r="W132" s="130">
        <f t="shared" si="27"/>
        <v>0</v>
      </c>
      <c r="X132" s="130">
        <f t="shared" si="27"/>
        <v>0</v>
      </c>
      <c r="Y132" s="130">
        <f t="shared" si="27"/>
        <v>0</v>
      </c>
      <c r="Z132" s="130">
        <f t="shared" si="27"/>
        <v>0</v>
      </c>
      <c r="AA132" s="130">
        <f t="shared" si="27"/>
        <v>0</v>
      </c>
      <c r="AB132" s="130">
        <f t="shared" si="27"/>
        <v>0</v>
      </c>
      <c r="AC132" s="130">
        <f t="shared" si="27"/>
        <v>0</v>
      </c>
      <c r="AD132" s="130">
        <f t="shared" si="27"/>
        <v>0</v>
      </c>
      <c r="AE132" s="130">
        <f t="shared" si="27"/>
        <v>0</v>
      </c>
      <c r="AF132" s="130">
        <f t="shared" si="27"/>
        <v>0</v>
      </c>
      <c r="AG132" s="130">
        <f t="shared" si="27"/>
        <v>0</v>
      </c>
      <c r="AH132" s="130">
        <f t="shared" si="27"/>
        <v>0</v>
      </c>
      <c r="AI132" s="130">
        <f t="shared" si="27"/>
        <v>0</v>
      </c>
      <c r="AJ132" s="47" t="str">
        <f t="shared" si="7"/>
        <v/>
      </c>
      <c r="AK132" s="60"/>
      <c r="AL132" s="60" t="str">
        <f t="shared" si="10"/>
        <v>00</v>
      </c>
      <c r="AM132" s="62" t="str">
        <f t="shared" si="11"/>
        <v>00</v>
      </c>
      <c r="AN132" s="62" t="str">
        <f t="shared" si="12"/>
        <v>00</v>
      </c>
      <c r="AO132" s="62" t="str">
        <f t="shared" si="13"/>
        <v>00</v>
      </c>
      <c r="AQ132" t="str">
        <f t="shared" si="8"/>
        <v/>
      </c>
    </row>
    <row r="133" spans="1:43">
      <c r="B133" s="138"/>
      <c r="C133" s="47">
        <f t="shared" si="9"/>
        <v>62</v>
      </c>
      <c r="D133" s="130">
        <f t="shared" si="27"/>
        <v>0</v>
      </c>
      <c r="E133" s="130">
        <f t="shared" si="27"/>
        <v>0</v>
      </c>
      <c r="F133" s="130">
        <f t="shared" si="27"/>
        <v>0</v>
      </c>
      <c r="G133" s="130">
        <f t="shared" si="27"/>
        <v>0</v>
      </c>
      <c r="H133" s="130">
        <f t="shared" si="27"/>
        <v>0</v>
      </c>
      <c r="I133" s="130">
        <f t="shared" si="27"/>
        <v>0</v>
      </c>
      <c r="J133" s="130">
        <f t="shared" si="27"/>
        <v>0</v>
      </c>
      <c r="K133" s="130">
        <f t="shared" si="27"/>
        <v>0</v>
      </c>
      <c r="L133" s="130">
        <f t="shared" si="27"/>
        <v>0</v>
      </c>
      <c r="M133" s="130">
        <f t="shared" si="27"/>
        <v>0</v>
      </c>
      <c r="N133" s="130">
        <f t="shared" si="27"/>
        <v>0</v>
      </c>
      <c r="O133" s="130">
        <f t="shared" si="27"/>
        <v>0</v>
      </c>
      <c r="P133" s="130">
        <f t="shared" si="27"/>
        <v>0</v>
      </c>
      <c r="Q133" s="130">
        <f t="shared" si="27"/>
        <v>0</v>
      </c>
      <c r="R133" s="130">
        <f t="shared" si="27"/>
        <v>0</v>
      </c>
      <c r="S133" s="130">
        <f t="shared" si="27"/>
        <v>0</v>
      </c>
      <c r="T133" s="130">
        <f t="shared" si="27"/>
        <v>0</v>
      </c>
      <c r="U133" s="130">
        <f t="shared" si="27"/>
        <v>0</v>
      </c>
      <c r="V133" s="130">
        <f t="shared" si="27"/>
        <v>0</v>
      </c>
      <c r="W133" s="130">
        <f t="shared" si="27"/>
        <v>0</v>
      </c>
      <c r="X133" s="130">
        <f t="shared" si="27"/>
        <v>0</v>
      </c>
      <c r="Y133" s="130">
        <f t="shared" si="27"/>
        <v>0</v>
      </c>
      <c r="Z133" s="130">
        <f t="shared" si="27"/>
        <v>0</v>
      </c>
      <c r="AA133" s="130">
        <f t="shared" si="27"/>
        <v>0</v>
      </c>
      <c r="AB133" s="130">
        <f t="shared" si="27"/>
        <v>0</v>
      </c>
      <c r="AC133" s="130">
        <f t="shared" si="27"/>
        <v>0</v>
      </c>
      <c r="AD133" s="130">
        <f t="shared" si="27"/>
        <v>0</v>
      </c>
      <c r="AE133" s="130">
        <f t="shared" si="27"/>
        <v>0</v>
      </c>
      <c r="AF133" s="130">
        <f t="shared" si="27"/>
        <v>0</v>
      </c>
      <c r="AG133" s="130">
        <f t="shared" si="27"/>
        <v>0</v>
      </c>
      <c r="AH133" s="130">
        <f t="shared" si="27"/>
        <v>0</v>
      </c>
      <c r="AI133" s="130">
        <f t="shared" si="27"/>
        <v>0</v>
      </c>
      <c r="AJ133" s="47" t="str">
        <f t="shared" si="7"/>
        <v/>
      </c>
      <c r="AK133" s="60"/>
      <c r="AL133" s="60" t="str">
        <f t="shared" si="10"/>
        <v>00</v>
      </c>
      <c r="AM133" s="62" t="str">
        <f t="shared" si="11"/>
        <v>00</v>
      </c>
      <c r="AN133" s="62" t="str">
        <f t="shared" si="12"/>
        <v>00</v>
      </c>
      <c r="AO133" s="62" t="str">
        <f t="shared" si="13"/>
        <v>00</v>
      </c>
      <c r="AQ133" t="str">
        <f t="shared" si="8"/>
        <v/>
      </c>
    </row>
    <row r="134" spans="1:43">
      <c r="B134" s="139"/>
      <c r="C134" s="47">
        <f t="shared" si="9"/>
        <v>63</v>
      </c>
      <c r="D134" s="130">
        <f t="shared" si="27"/>
        <v>0</v>
      </c>
      <c r="E134" s="130">
        <f t="shared" si="27"/>
        <v>0</v>
      </c>
      <c r="F134" s="130">
        <f t="shared" si="27"/>
        <v>0</v>
      </c>
      <c r="G134" s="130">
        <f t="shared" si="27"/>
        <v>0</v>
      </c>
      <c r="H134" s="130">
        <f t="shared" si="27"/>
        <v>0</v>
      </c>
      <c r="I134" s="130">
        <f t="shared" si="27"/>
        <v>0</v>
      </c>
      <c r="J134" s="130">
        <f t="shared" si="27"/>
        <v>0</v>
      </c>
      <c r="K134" s="130">
        <f t="shared" si="27"/>
        <v>0</v>
      </c>
      <c r="L134" s="130">
        <f t="shared" si="27"/>
        <v>0</v>
      </c>
      <c r="M134" s="130">
        <f t="shared" si="27"/>
        <v>0</v>
      </c>
      <c r="N134" s="130">
        <f t="shared" si="27"/>
        <v>0</v>
      </c>
      <c r="O134" s="130">
        <f t="shared" si="27"/>
        <v>0</v>
      </c>
      <c r="P134" s="130">
        <f t="shared" si="27"/>
        <v>0</v>
      </c>
      <c r="Q134" s="130">
        <f t="shared" si="27"/>
        <v>0</v>
      </c>
      <c r="R134" s="130">
        <f t="shared" si="27"/>
        <v>0</v>
      </c>
      <c r="S134" s="130">
        <f t="shared" si="27"/>
        <v>0</v>
      </c>
      <c r="T134" s="130">
        <f t="shared" si="27"/>
        <v>0</v>
      </c>
      <c r="U134" s="130">
        <f t="shared" si="27"/>
        <v>0</v>
      </c>
      <c r="V134" s="130">
        <f t="shared" si="27"/>
        <v>0</v>
      </c>
      <c r="W134" s="130">
        <f t="shared" si="27"/>
        <v>0</v>
      </c>
      <c r="X134" s="130">
        <f t="shared" si="27"/>
        <v>0</v>
      </c>
      <c r="Y134" s="130">
        <f t="shared" si="27"/>
        <v>0</v>
      </c>
      <c r="Z134" s="130">
        <f t="shared" si="27"/>
        <v>0</v>
      </c>
      <c r="AA134" s="130">
        <f t="shared" si="27"/>
        <v>0</v>
      </c>
      <c r="AB134" s="130">
        <f t="shared" si="27"/>
        <v>0</v>
      </c>
      <c r="AC134" s="130">
        <f t="shared" si="27"/>
        <v>0</v>
      </c>
      <c r="AD134" s="130">
        <f t="shared" si="27"/>
        <v>0</v>
      </c>
      <c r="AE134" s="130">
        <f t="shared" si="27"/>
        <v>0</v>
      </c>
      <c r="AF134" s="130">
        <f t="shared" si="27"/>
        <v>0</v>
      </c>
      <c r="AG134" s="130">
        <f t="shared" si="27"/>
        <v>0</v>
      </c>
      <c r="AH134" s="130">
        <f t="shared" si="27"/>
        <v>0</v>
      </c>
      <c r="AI134" s="130">
        <f t="shared" ref="AI134" si="28">IF(AI69=1,1,0)</f>
        <v>0</v>
      </c>
      <c r="AJ134" s="47" t="str">
        <f t="shared" si="7"/>
        <v/>
      </c>
      <c r="AK134" s="60"/>
      <c r="AL134" s="60" t="str">
        <f t="shared" si="10"/>
        <v>00</v>
      </c>
      <c r="AM134" s="62" t="str">
        <f t="shared" si="11"/>
        <v>00</v>
      </c>
      <c r="AN134" s="62" t="str">
        <f t="shared" si="12"/>
        <v>00</v>
      </c>
      <c r="AO134" s="62" t="str">
        <f t="shared" si="13"/>
        <v>00</v>
      </c>
      <c r="AQ134" t="str">
        <f t="shared" si="8"/>
        <v/>
      </c>
    </row>
    <row r="135" spans="1:43">
      <c r="A135" s="56" t="s">
        <v>64</v>
      </c>
      <c r="B135" s="57"/>
      <c r="C135" s="57"/>
      <c r="D135" s="59"/>
      <c r="E135" s="59"/>
      <c r="F135" s="59"/>
      <c r="G135" s="59"/>
      <c r="H135" s="59"/>
      <c r="I135" s="59"/>
      <c r="J135" s="59"/>
      <c r="K135" s="59"/>
      <c r="L135" s="59"/>
      <c r="M135" s="59"/>
      <c r="N135" s="59"/>
      <c r="O135" s="59"/>
      <c r="P135" s="59"/>
      <c r="Q135" s="59"/>
      <c r="R135" s="59"/>
      <c r="S135" s="59"/>
      <c r="T135" s="59"/>
      <c r="U135" s="59"/>
      <c r="V135" s="59"/>
      <c r="W135" s="59"/>
      <c r="X135" s="59"/>
      <c r="Y135" s="59"/>
      <c r="Z135" s="59"/>
      <c r="AA135" s="59"/>
      <c r="AB135" s="59"/>
      <c r="AC135" s="59"/>
      <c r="AD135" s="59"/>
      <c r="AE135" s="59"/>
      <c r="AF135" s="59"/>
      <c r="AG135" s="59"/>
      <c r="AH135" s="59"/>
      <c r="AI135" s="59"/>
      <c r="AJ135" s="57"/>
    </row>
    <row r="136" spans="1:43">
      <c r="B136" s="140" t="str">
        <f ca="1">IF(B6&lt;&gt;"",B6,"")</f>
        <v>Table RWRN</v>
      </c>
      <c r="C136" s="47">
        <f>IF(C6&lt;&gt;"",C6,"")</f>
        <v>0</v>
      </c>
      <c r="D136" s="130">
        <f t="shared" ref="D136:AI143" si="29">IF(OR(D6=0,D6=1),1,0)</f>
        <v>0</v>
      </c>
      <c r="E136" s="130">
        <f t="shared" si="29"/>
        <v>0</v>
      </c>
      <c r="F136" s="130">
        <f t="shared" si="29"/>
        <v>0</v>
      </c>
      <c r="G136" s="130">
        <f t="shared" si="29"/>
        <v>0</v>
      </c>
      <c r="H136" s="130">
        <f t="shared" si="29"/>
        <v>0</v>
      </c>
      <c r="I136" s="130">
        <f t="shared" si="29"/>
        <v>0</v>
      </c>
      <c r="J136" s="130">
        <f t="shared" si="29"/>
        <v>0</v>
      </c>
      <c r="K136" s="130">
        <f t="shared" si="29"/>
        <v>0</v>
      </c>
      <c r="L136" s="130">
        <f t="shared" si="29"/>
        <v>0</v>
      </c>
      <c r="M136" s="130">
        <f t="shared" si="29"/>
        <v>0</v>
      </c>
      <c r="N136" s="130">
        <f t="shared" si="29"/>
        <v>0</v>
      </c>
      <c r="O136" s="130">
        <f t="shared" si="29"/>
        <v>0</v>
      </c>
      <c r="P136" s="130">
        <f t="shared" si="29"/>
        <v>0</v>
      </c>
      <c r="Q136" s="130">
        <f t="shared" si="29"/>
        <v>0</v>
      </c>
      <c r="R136" s="130">
        <f t="shared" si="29"/>
        <v>0</v>
      </c>
      <c r="S136" s="130">
        <f t="shared" si="29"/>
        <v>0</v>
      </c>
      <c r="T136" s="130">
        <f t="shared" si="29"/>
        <v>0</v>
      </c>
      <c r="U136" s="130">
        <f t="shared" si="29"/>
        <v>0</v>
      </c>
      <c r="V136" s="130">
        <f t="shared" si="29"/>
        <v>0</v>
      </c>
      <c r="W136" s="130">
        <f t="shared" si="29"/>
        <v>0</v>
      </c>
      <c r="X136" s="130">
        <f t="shared" si="29"/>
        <v>0</v>
      </c>
      <c r="Y136" s="130">
        <f t="shared" si="29"/>
        <v>0</v>
      </c>
      <c r="Z136" s="130">
        <f t="shared" si="29"/>
        <v>0</v>
      </c>
      <c r="AA136" s="130">
        <f t="shared" si="29"/>
        <v>0</v>
      </c>
      <c r="AB136" s="130">
        <f t="shared" si="29"/>
        <v>0</v>
      </c>
      <c r="AC136" s="130">
        <f t="shared" si="29"/>
        <v>0</v>
      </c>
      <c r="AD136" s="130">
        <f t="shared" si="29"/>
        <v>0</v>
      </c>
      <c r="AE136" s="130">
        <f t="shared" si="29"/>
        <v>0</v>
      </c>
      <c r="AF136" s="130">
        <f t="shared" si="29"/>
        <v>0</v>
      </c>
      <c r="AG136" s="130">
        <f t="shared" si="29"/>
        <v>0</v>
      </c>
      <c r="AH136" s="130">
        <f t="shared" si="29"/>
        <v>1</v>
      </c>
      <c r="AI136" s="130">
        <f t="shared" si="29"/>
        <v>1</v>
      </c>
      <c r="AJ136" s="47" t="str">
        <f t="shared" ref="AJ136:AJ199" si="30">IF(AJ6&lt;&gt;"",AJ6,"")</f>
        <v>UNKNOWN</v>
      </c>
      <c r="AK136" s="60"/>
      <c r="AL136" s="60" t="str">
        <f>BIN2HEX(AB136&amp;AC136&amp;AD136&amp;AE136&amp;AF136&amp;AG136&amp;AH136&amp;AI136,2)</f>
        <v>03</v>
      </c>
      <c r="AM136" s="62" t="str">
        <f>BIN2HEX(T136&amp;U136&amp;V136&amp;W136&amp;X136&amp;Y136&amp;Z136&amp;AA136,2)</f>
        <v>00</v>
      </c>
      <c r="AN136" s="62" t="str">
        <f>BIN2HEX(L136&amp;M136&amp;N136&amp;O136&amp;P136&amp;Q136&amp;R136&amp;S136,2)</f>
        <v>00</v>
      </c>
      <c r="AO136" s="62" t="str">
        <f>BIN2HEX(D136&amp;E136&amp;F136&amp;G136&amp;H136&amp;I136&amp;J136&amp;K136,2)</f>
        <v>00</v>
      </c>
      <c r="AQ136" t="str">
        <f t="shared" ref="AQ136:AQ199" si="31">IF(AJ136="","","    (U4)0x"&amp;AO136&amp;AN136&amp;AM136&amp;AL136&amp;"U"&amp;IF(AJ137=""," ",",")&amp;REPT(" ",59)&amp;"/* "&amp;IF(C136&lt;10,"0"&amp;C136,C136)&amp;" "&amp;AJ136&amp;REPT(" ",47-LEN(AJ136))&amp;" */")</f>
        <v xml:space="preserve">    (U4)0x00000003U,                                                           /* 00 UNKNOWN                                         */</v>
      </c>
    </row>
    <row r="137" spans="1:43">
      <c r="B137" s="138"/>
      <c r="C137" s="47">
        <f t="shared" ref="C137:C199" si="32">IF(C7&lt;&gt;"",C7,"")</f>
        <v>1</v>
      </c>
      <c r="D137" s="130">
        <f t="shared" si="29"/>
        <v>0</v>
      </c>
      <c r="E137" s="130">
        <f t="shared" si="29"/>
        <v>0</v>
      </c>
      <c r="F137" s="130">
        <f t="shared" si="29"/>
        <v>0</v>
      </c>
      <c r="G137" s="130">
        <f t="shared" si="29"/>
        <v>0</v>
      </c>
      <c r="H137" s="130">
        <f t="shared" si="29"/>
        <v>0</v>
      </c>
      <c r="I137" s="130">
        <f t="shared" si="29"/>
        <v>0</v>
      </c>
      <c r="J137" s="130">
        <f t="shared" si="29"/>
        <v>0</v>
      </c>
      <c r="K137" s="130">
        <f t="shared" si="29"/>
        <v>0</v>
      </c>
      <c r="L137" s="130">
        <f t="shared" si="29"/>
        <v>0</v>
      </c>
      <c r="M137" s="130">
        <f t="shared" si="29"/>
        <v>0</v>
      </c>
      <c r="N137" s="130">
        <f t="shared" si="29"/>
        <v>0</v>
      </c>
      <c r="O137" s="130">
        <f t="shared" si="29"/>
        <v>0</v>
      </c>
      <c r="P137" s="130">
        <f t="shared" si="29"/>
        <v>0</v>
      </c>
      <c r="Q137" s="130">
        <f t="shared" si="29"/>
        <v>0</v>
      </c>
      <c r="R137" s="130">
        <f t="shared" si="29"/>
        <v>0</v>
      </c>
      <c r="S137" s="130">
        <f t="shared" si="29"/>
        <v>0</v>
      </c>
      <c r="T137" s="130">
        <f t="shared" si="29"/>
        <v>0</v>
      </c>
      <c r="U137" s="130">
        <f t="shared" si="29"/>
        <v>0</v>
      </c>
      <c r="V137" s="130">
        <f t="shared" si="29"/>
        <v>0</v>
      </c>
      <c r="W137" s="130">
        <f t="shared" si="29"/>
        <v>0</v>
      </c>
      <c r="X137" s="130">
        <f t="shared" si="29"/>
        <v>0</v>
      </c>
      <c r="Y137" s="130">
        <f t="shared" si="29"/>
        <v>0</v>
      </c>
      <c r="Z137" s="130">
        <f t="shared" si="29"/>
        <v>0</v>
      </c>
      <c r="AA137" s="130">
        <f t="shared" si="29"/>
        <v>0</v>
      </c>
      <c r="AB137" s="130">
        <f t="shared" si="29"/>
        <v>0</v>
      </c>
      <c r="AC137" s="130">
        <f t="shared" si="29"/>
        <v>0</v>
      </c>
      <c r="AD137" s="130">
        <f t="shared" si="29"/>
        <v>0</v>
      </c>
      <c r="AE137" s="130">
        <f t="shared" si="29"/>
        <v>0</v>
      </c>
      <c r="AF137" s="130">
        <f t="shared" si="29"/>
        <v>0</v>
      </c>
      <c r="AG137" s="130">
        <f t="shared" si="29"/>
        <v>0</v>
      </c>
      <c r="AH137" s="130">
        <f t="shared" si="29"/>
        <v>1</v>
      </c>
      <c r="AI137" s="130">
        <f t="shared" si="29"/>
        <v>1</v>
      </c>
      <c r="AJ137" s="47" t="str">
        <f t="shared" si="30"/>
        <v>ATFWREQ</v>
      </c>
      <c r="AK137" s="60"/>
      <c r="AL137" s="60" t="str">
        <f t="shared" ref="AL137:AL199" si="33">BIN2HEX(AB137&amp;AC137&amp;AD137&amp;AE137&amp;AF137&amp;AG137&amp;AH137&amp;AI137,2)</f>
        <v>03</v>
      </c>
      <c r="AM137" s="62" t="str">
        <f t="shared" ref="AM137:AM199" si="34">BIN2HEX(T137&amp;U137&amp;V137&amp;W137&amp;X137&amp;Y137&amp;Z137&amp;AA137,2)</f>
        <v>00</v>
      </c>
      <c r="AN137" s="62" t="str">
        <f t="shared" ref="AN137:AN199" si="35">BIN2HEX(L137&amp;M137&amp;N137&amp;O137&amp;P137&amp;Q137&amp;R137&amp;S137,2)</f>
        <v>00</v>
      </c>
      <c r="AO137" s="62" t="str">
        <f t="shared" ref="AO137:AO199" si="36">BIN2HEX(D137&amp;E137&amp;F137&amp;G137&amp;H137&amp;I137&amp;J137&amp;K137,2)</f>
        <v>00</v>
      </c>
      <c r="AQ137" t="str">
        <f t="shared" si="31"/>
        <v xml:space="preserve">    (U4)0x00000003U,                                                           /* 01 ATFWREQ                                         */</v>
      </c>
    </row>
    <row r="138" spans="1:43">
      <c r="B138" s="138"/>
      <c r="C138" s="47">
        <f t="shared" si="32"/>
        <v>2</v>
      </c>
      <c r="D138" s="130">
        <f t="shared" si="29"/>
        <v>0</v>
      </c>
      <c r="E138" s="130">
        <f t="shared" si="29"/>
        <v>0</v>
      </c>
      <c r="F138" s="130">
        <f t="shared" si="29"/>
        <v>0</v>
      </c>
      <c r="G138" s="130">
        <f t="shared" si="29"/>
        <v>0</v>
      </c>
      <c r="H138" s="130">
        <f t="shared" si="29"/>
        <v>0</v>
      </c>
      <c r="I138" s="130">
        <f t="shared" si="29"/>
        <v>0</v>
      </c>
      <c r="J138" s="130">
        <f t="shared" si="29"/>
        <v>0</v>
      </c>
      <c r="K138" s="130">
        <f t="shared" si="29"/>
        <v>0</v>
      </c>
      <c r="L138" s="130">
        <f t="shared" si="29"/>
        <v>0</v>
      </c>
      <c r="M138" s="130">
        <f t="shared" si="29"/>
        <v>0</v>
      </c>
      <c r="N138" s="130">
        <f t="shared" si="29"/>
        <v>0</v>
      </c>
      <c r="O138" s="130">
        <f t="shared" si="29"/>
        <v>0</v>
      </c>
      <c r="P138" s="130">
        <f t="shared" si="29"/>
        <v>0</v>
      </c>
      <c r="Q138" s="130">
        <f t="shared" si="29"/>
        <v>0</v>
      </c>
      <c r="R138" s="130">
        <f t="shared" si="29"/>
        <v>0</v>
      </c>
      <c r="S138" s="130">
        <f t="shared" si="29"/>
        <v>0</v>
      </c>
      <c r="T138" s="130">
        <f t="shared" si="29"/>
        <v>0</v>
      </c>
      <c r="U138" s="130">
        <f t="shared" si="29"/>
        <v>0</v>
      </c>
      <c r="V138" s="130">
        <f t="shared" si="29"/>
        <v>0</v>
      </c>
      <c r="W138" s="130">
        <f t="shared" si="29"/>
        <v>0</v>
      </c>
      <c r="X138" s="130">
        <f t="shared" si="29"/>
        <v>0</v>
      </c>
      <c r="Y138" s="130">
        <f t="shared" si="29"/>
        <v>0</v>
      </c>
      <c r="Z138" s="130">
        <f t="shared" si="29"/>
        <v>0</v>
      </c>
      <c r="AA138" s="130">
        <f t="shared" si="29"/>
        <v>0</v>
      </c>
      <c r="AB138" s="130">
        <f t="shared" si="29"/>
        <v>0</v>
      </c>
      <c r="AC138" s="130">
        <f t="shared" si="29"/>
        <v>0</v>
      </c>
      <c r="AD138" s="130">
        <f t="shared" si="29"/>
        <v>0</v>
      </c>
      <c r="AE138" s="130">
        <f t="shared" si="29"/>
        <v>0</v>
      </c>
      <c r="AF138" s="130">
        <f t="shared" si="29"/>
        <v>0</v>
      </c>
      <c r="AG138" s="130">
        <f t="shared" si="29"/>
        <v>0</v>
      </c>
      <c r="AH138" s="130">
        <f t="shared" si="29"/>
        <v>1</v>
      </c>
      <c r="AI138" s="130">
        <f t="shared" si="29"/>
        <v>1</v>
      </c>
      <c r="AJ138" s="47" t="str">
        <f t="shared" si="30"/>
        <v>UNKNOWN</v>
      </c>
      <c r="AK138" s="60"/>
      <c r="AL138" s="60" t="str">
        <f t="shared" si="33"/>
        <v>03</v>
      </c>
      <c r="AM138" s="62" t="str">
        <f t="shared" si="34"/>
        <v>00</v>
      </c>
      <c r="AN138" s="62" t="str">
        <f t="shared" si="35"/>
        <v>00</v>
      </c>
      <c r="AO138" s="62" t="str">
        <f t="shared" si="36"/>
        <v>00</v>
      </c>
      <c r="AQ138" t="str">
        <f t="shared" si="31"/>
        <v xml:space="preserve">    (U4)0x00000003U,                                                           /* 02 UNKNOWN                                         */</v>
      </c>
    </row>
    <row r="139" spans="1:43">
      <c r="B139" s="138"/>
      <c r="C139" s="47">
        <f t="shared" si="32"/>
        <v>3</v>
      </c>
      <c r="D139" s="130">
        <f t="shared" si="29"/>
        <v>0</v>
      </c>
      <c r="E139" s="130">
        <f t="shared" si="29"/>
        <v>0</v>
      </c>
      <c r="F139" s="130">
        <f t="shared" si="29"/>
        <v>0</v>
      </c>
      <c r="G139" s="130">
        <f t="shared" si="29"/>
        <v>0</v>
      </c>
      <c r="H139" s="130">
        <f t="shared" si="29"/>
        <v>0</v>
      </c>
      <c r="I139" s="130">
        <f t="shared" si="29"/>
        <v>0</v>
      </c>
      <c r="J139" s="130">
        <f t="shared" si="29"/>
        <v>0</v>
      </c>
      <c r="K139" s="130">
        <f t="shared" si="29"/>
        <v>0</v>
      </c>
      <c r="L139" s="130">
        <f t="shared" si="29"/>
        <v>0</v>
      </c>
      <c r="M139" s="130">
        <f t="shared" si="29"/>
        <v>0</v>
      </c>
      <c r="N139" s="130">
        <f t="shared" si="29"/>
        <v>0</v>
      </c>
      <c r="O139" s="130">
        <f t="shared" si="29"/>
        <v>0</v>
      </c>
      <c r="P139" s="130">
        <f t="shared" si="29"/>
        <v>0</v>
      </c>
      <c r="Q139" s="130">
        <f t="shared" si="29"/>
        <v>0</v>
      </c>
      <c r="R139" s="130">
        <f t="shared" si="29"/>
        <v>0</v>
      </c>
      <c r="S139" s="130">
        <f t="shared" si="29"/>
        <v>0</v>
      </c>
      <c r="T139" s="130">
        <f t="shared" si="29"/>
        <v>0</v>
      </c>
      <c r="U139" s="130">
        <f t="shared" si="29"/>
        <v>0</v>
      </c>
      <c r="V139" s="130">
        <f t="shared" si="29"/>
        <v>0</v>
      </c>
      <c r="W139" s="130">
        <f t="shared" si="29"/>
        <v>0</v>
      </c>
      <c r="X139" s="130">
        <f t="shared" si="29"/>
        <v>0</v>
      </c>
      <c r="Y139" s="130">
        <f t="shared" si="29"/>
        <v>0</v>
      </c>
      <c r="Z139" s="130">
        <f t="shared" si="29"/>
        <v>0</v>
      </c>
      <c r="AA139" s="130">
        <f t="shared" si="29"/>
        <v>0</v>
      </c>
      <c r="AB139" s="130">
        <f t="shared" si="29"/>
        <v>0</v>
      </c>
      <c r="AC139" s="130">
        <f t="shared" si="29"/>
        <v>0</v>
      </c>
      <c r="AD139" s="130">
        <f t="shared" si="29"/>
        <v>0</v>
      </c>
      <c r="AE139" s="130">
        <f t="shared" si="29"/>
        <v>0</v>
      </c>
      <c r="AF139" s="130">
        <f t="shared" si="29"/>
        <v>0</v>
      </c>
      <c r="AG139" s="130">
        <f t="shared" si="29"/>
        <v>0</v>
      </c>
      <c r="AH139" s="130">
        <f t="shared" si="29"/>
        <v>1</v>
      </c>
      <c r="AI139" s="130">
        <f t="shared" si="29"/>
        <v>1</v>
      </c>
      <c r="AJ139" s="47" t="str">
        <f t="shared" si="30"/>
        <v>UNKNOWN</v>
      </c>
      <c r="AK139" s="60"/>
      <c r="AL139" s="60" t="str">
        <f t="shared" si="33"/>
        <v>03</v>
      </c>
      <c r="AM139" s="62" t="str">
        <f t="shared" si="34"/>
        <v>00</v>
      </c>
      <c r="AN139" s="62" t="str">
        <f t="shared" si="35"/>
        <v>00</v>
      </c>
      <c r="AO139" s="62" t="str">
        <f t="shared" si="36"/>
        <v>00</v>
      </c>
      <c r="AQ139" t="str">
        <f t="shared" si="31"/>
        <v xml:space="preserve">    (U4)0x00000003U                                                            /* 03 UNKNOWN                                         */</v>
      </c>
    </row>
    <row r="140" spans="1:43">
      <c r="B140" s="138"/>
      <c r="C140" s="47">
        <f t="shared" si="32"/>
        <v>4</v>
      </c>
      <c r="D140" s="130">
        <f t="shared" si="29"/>
        <v>0</v>
      </c>
      <c r="E140" s="130">
        <f t="shared" si="29"/>
        <v>0</v>
      </c>
      <c r="F140" s="130">
        <f t="shared" si="29"/>
        <v>0</v>
      </c>
      <c r="G140" s="130">
        <f t="shared" si="29"/>
        <v>0</v>
      </c>
      <c r="H140" s="130">
        <f t="shared" si="29"/>
        <v>0</v>
      </c>
      <c r="I140" s="130">
        <f t="shared" si="29"/>
        <v>0</v>
      </c>
      <c r="J140" s="130">
        <f t="shared" si="29"/>
        <v>0</v>
      </c>
      <c r="K140" s="130">
        <f t="shared" si="29"/>
        <v>0</v>
      </c>
      <c r="L140" s="130">
        <f t="shared" si="29"/>
        <v>0</v>
      </c>
      <c r="M140" s="130">
        <f t="shared" si="29"/>
        <v>0</v>
      </c>
      <c r="N140" s="130">
        <f t="shared" si="29"/>
        <v>0</v>
      </c>
      <c r="O140" s="130">
        <f t="shared" si="29"/>
        <v>0</v>
      </c>
      <c r="P140" s="130">
        <f t="shared" si="29"/>
        <v>0</v>
      </c>
      <c r="Q140" s="130">
        <f t="shared" si="29"/>
        <v>0</v>
      </c>
      <c r="R140" s="130">
        <f t="shared" si="29"/>
        <v>0</v>
      </c>
      <c r="S140" s="130">
        <f t="shared" si="29"/>
        <v>0</v>
      </c>
      <c r="T140" s="130">
        <f t="shared" si="29"/>
        <v>0</v>
      </c>
      <c r="U140" s="130">
        <f t="shared" si="29"/>
        <v>0</v>
      </c>
      <c r="V140" s="130">
        <f t="shared" si="29"/>
        <v>0</v>
      </c>
      <c r="W140" s="130">
        <f t="shared" si="29"/>
        <v>0</v>
      </c>
      <c r="X140" s="130">
        <f t="shared" si="29"/>
        <v>0</v>
      </c>
      <c r="Y140" s="130">
        <f t="shared" si="29"/>
        <v>0</v>
      </c>
      <c r="Z140" s="130">
        <f t="shared" si="29"/>
        <v>0</v>
      </c>
      <c r="AA140" s="130">
        <f t="shared" si="29"/>
        <v>0</v>
      </c>
      <c r="AB140" s="130">
        <f t="shared" si="29"/>
        <v>0</v>
      </c>
      <c r="AC140" s="130">
        <f t="shared" si="29"/>
        <v>0</v>
      </c>
      <c r="AD140" s="130">
        <f t="shared" si="29"/>
        <v>0</v>
      </c>
      <c r="AE140" s="130">
        <f t="shared" si="29"/>
        <v>0</v>
      </c>
      <c r="AF140" s="130">
        <f t="shared" si="29"/>
        <v>0</v>
      </c>
      <c r="AG140" s="130">
        <f t="shared" si="29"/>
        <v>0</v>
      </c>
      <c r="AH140" s="130">
        <f t="shared" si="29"/>
        <v>0</v>
      </c>
      <c r="AI140" s="130">
        <f t="shared" si="29"/>
        <v>0</v>
      </c>
      <c r="AJ140" s="47" t="str">
        <f t="shared" si="30"/>
        <v/>
      </c>
      <c r="AK140" s="60"/>
      <c r="AL140" s="60" t="str">
        <f t="shared" si="33"/>
        <v>00</v>
      </c>
      <c r="AM140" s="62" t="str">
        <f t="shared" si="34"/>
        <v>00</v>
      </c>
      <c r="AN140" s="62" t="str">
        <f t="shared" si="35"/>
        <v>00</v>
      </c>
      <c r="AO140" s="62" t="str">
        <f t="shared" si="36"/>
        <v>00</v>
      </c>
      <c r="AQ140" t="str">
        <f t="shared" si="31"/>
        <v/>
      </c>
    </row>
    <row r="141" spans="1:43">
      <c r="B141" s="138"/>
      <c r="C141" s="47">
        <f t="shared" si="32"/>
        <v>5</v>
      </c>
      <c r="D141" s="130">
        <f t="shared" si="29"/>
        <v>0</v>
      </c>
      <c r="E141" s="130">
        <f t="shared" si="29"/>
        <v>0</v>
      </c>
      <c r="F141" s="130">
        <f t="shared" si="29"/>
        <v>0</v>
      </c>
      <c r="G141" s="130">
        <f t="shared" si="29"/>
        <v>0</v>
      </c>
      <c r="H141" s="130">
        <f t="shared" si="29"/>
        <v>0</v>
      </c>
      <c r="I141" s="130">
        <f t="shared" si="29"/>
        <v>0</v>
      </c>
      <c r="J141" s="130">
        <f t="shared" si="29"/>
        <v>0</v>
      </c>
      <c r="K141" s="130">
        <f t="shared" si="29"/>
        <v>0</v>
      </c>
      <c r="L141" s="130">
        <f t="shared" si="29"/>
        <v>0</v>
      </c>
      <c r="M141" s="130">
        <f t="shared" si="29"/>
        <v>0</v>
      </c>
      <c r="N141" s="130">
        <f t="shared" si="29"/>
        <v>0</v>
      </c>
      <c r="O141" s="130">
        <f t="shared" si="29"/>
        <v>0</v>
      </c>
      <c r="P141" s="130">
        <f t="shared" si="29"/>
        <v>0</v>
      </c>
      <c r="Q141" s="130">
        <f t="shared" si="29"/>
        <v>0</v>
      </c>
      <c r="R141" s="130">
        <f t="shared" si="29"/>
        <v>0</v>
      </c>
      <c r="S141" s="130">
        <f t="shared" si="29"/>
        <v>0</v>
      </c>
      <c r="T141" s="130">
        <f t="shared" si="29"/>
        <v>0</v>
      </c>
      <c r="U141" s="130">
        <f t="shared" si="29"/>
        <v>0</v>
      </c>
      <c r="V141" s="130">
        <f t="shared" si="29"/>
        <v>0</v>
      </c>
      <c r="W141" s="130">
        <f t="shared" si="29"/>
        <v>0</v>
      </c>
      <c r="X141" s="130">
        <f t="shared" si="29"/>
        <v>0</v>
      </c>
      <c r="Y141" s="130">
        <f t="shared" si="29"/>
        <v>0</v>
      </c>
      <c r="Z141" s="130">
        <f t="shared" si="29"/>
        <v>0</v>
      </c>
      <c r="AA141" s="130">
        <f t="shared" si="29"/>
        <v>0</v>
      </c>
      <c r="AB141" s="130">
        <f t="shared" si="29"/>
        <v>0</v>
      </c>
      <c r="AC141" s="130">
        <f t="shared" si="29"/>
        <v>0</v>
      </c>
      <c r="AD141" s="130">
        <f t="shared" si="29"/>
        <v>0</v>
      </c>
      <c r="AE141" s="130">
        <f t="shared" si="29"/>
        <v>0</v>
      </c>
      <c r="AF141" s="130">
        <f t="shared" si="29"/>
        <v>0</v>
      </c>
      <c r="AG141" s="130">
        <f t="shared" si="29"/>
        <v>0</v>
      </c>
      <c r="AH141" s="130">
        <f t="shared" si="29"/>
        <v>0</v>
      </c>
      <c r="AI141" s="130">
        <f t="shared" si="29"/>
        <v>0</v>
      </c>
      <c r="AJ141" s="47" t="str">
        <f t="shared" si="30"/>
        <v/>
      </c>
      <c r="AK141" s="60"/>
      <c r="AL141" s="60" t="str">
        <f t="shared" si="33"/>
        <v>00</v>
      </c>
      <c r="AM141" s="62" t="str">
        <f t="shared" si="34"/>
        <v>00</v>
      </c>
      <c r="AN141" s="62" t="str">
        <f t="shared" si="35"/>
        <v>00</v>
      </c>
      <c r="AO141" s="62" t="str">
        <f t="shared" si="36"/>
        <v>00</v>
      </c>
      <c r="AQ141" t="str">
        <f t="shared" si="31"/>
        <v/>
      </c>
    </row>
    <row r="142" spans="1:43">
      <c r="B142" s="138"/>
      <c r="C142" s="47">
        <f t="shared" si="32"/>
        <v>6</v>
      </c>
      <c r="D142" s="130">
        <f t="shared" si="29"/>
        <v>0</v>
      </c>
      <c r="E142" s="130">
        <f t="shared" si="29"/>
        <v>0</v>
      </c>
      <c r="F142" s="130">
        <f t="shared" si="29"/>
        <v>0</v>
      </c>
      <c r="G142" s="130">
        <f t="shared" si="29"/>
        <v>0</v>
      </c>
      <c r="H142" s="130">
        <f t="shared" si="29"/>
        <v>0</v>
      </c>
      <c r="I142" s="130">
        <f t="shared" si="29"/>
        <v>0</v>
      </c>
      <c r="J142" s="130">
        <f t="shared" si="29"/>
        <v>0</v>
      </c>
      <c r="K142" s="130">
        <f t="shared" si="29"/>
        <v>0</v>
      </c>
      <c r="L142" s="130">
        <f t="shared" si="29"/>
        <v>0</v>
      </c>
      <c r="M142" s="130">
        <f t="shared" si="29"/>
        <v>0</v>
      </c>
      <c r="N142" s="130">
        <f t="shared" si="29"/>
        <v>0</v>
      </c>
      <c r="O142" s="130">
        <f t="shared" si="29"/>
        <v>0</v>
      </c>
      <c r="P142" s="130">
        <f t="shared" si="29"/>
        <v>0</v>
      </c>
      <c r="Q142" s="130">
        <f t="shared" si="29"/>
        <v>0</v>
      </c>
      <c r="R142" s="130">
        <f t="shared" si="29"/>
        <v>0</v>
      </c>
      <c r="S142" s="130">
        <f t="shared" si="29"/>
        <v>0</v>
      </c>
      <c r="T142" s="130">
        <f t="shared" si="29"/>
        <v>0</v>
      </c>
      <c r="U142" s="130">
        <f t="shared" si="29"/>
        <v>0</v>
      </c>
      <c r="V142" s="130">
        <f t="shared" si="29"/>
        <v>0</v>
      </c>
      <c r="W142" s="130">
        <f t="shared" si="29"/>
        <v>0</v>
      </c>
      <c r="X142" s="130">
        <f t="shared" si="29"/>
        <v>0</v>
      </c>
      <c r="Y142" s="130">
        <f t="shared" si="29"/>
        <v>0</v>
      </c>
      <c r="Z142" s="130">
        <f t="shared" si="29"/>
        <v>0</v>
      </c>
      <c r="AA142" s="130">
        <f t="shared" si="29"/>
        <v>0</v>
      </c>
      <c r="AB142" s="130">
        <f t="shared" si="29"/>
        <v>0</v>
      </c>
      <c r="AC142" s="130">
        <f t="shared" si="29"/>
        <v>0</v>
      </c>
      <c r="AD142" s="130">
        <f t="shared" si="29"/>
        <v>0</v>
      </c>
      <c r="AE142" s="130">
        <f t="shared" si="29"/>
        <v>0</v>
      </c>
      <c r="AF142" s="130">
        <f t="shared" si="29"/>
        <v>0</v>
      </c>
      <c r="AG142" s="130">
        <f t="shared" si="29"/>
        <v>0</v>
      </c>
      <c r="AH142" s="130">
        <f t="shared" si="29"/>
        <v>0</v>
      </c>
      <c r="AI142" s="130">
        <f t="shared" si="29"/>
        <v>0</v>
      </c>
      <c r="AJ142" s="47" t="str">
        <f t="shared" si="30"/>
        <v/>
      </c>
      <c r="AK142" s="60"/>
      <c r="AL142" s="60" t="str">
        <f t="shared" si="33"/>
        <v>00</v>
      </c>
      <c r="AM142" s="62" t="str">
        <f t="shared" si="34"/>
        <v>00</v>
      </c>
      <c r="AN142" s="62" t="str">
        <f t="shared" si="35"/>
        <v>00</v>
      </c>
      <c r="AO142" s="62" t="str">
        <f t="shared" si="36"/>
        <v>00</v>
      </c>
      <c r="AQ142" t="str">
        <f t="shared" si="31"/>
        <v/>
      </c>
    </row>
    <row r="143" spans="1:43">
      <c r="B143" s="138"/>
      <c r="C143" s="47">
        <f t="shared" si="32"/>
        <v>7</v>
      </c>
      <c r="D143" s="130">
        <f t="shared" si="29"/>
        <v>0</v>
      </c>
      <c r="E143" s="130">
        <f t="shared" si="29"/>
        <v>0</v>
      </c>
      <c r="F143" s="130">
        <f t="shared" si="29"/>
        <v>0</v>
      </c>
      <c r="G143" s="130">
        <f t="shared" si="29"/>
        <v>0</v>
      </c>
      <c r="H143" s="130">
        <f t="shared" si="29"/>
        <v>0</v>
      </c>
      <c r="I143" s="130">
        <f t="shared" si="29"/>
        <v>0</v>
      </c>
      <c r="J143" s="130">
        <f t="shared" si="29"/>
        <v>0</v>
      </c>
      <c r="K143" s="130">
        <f t="shared" si="29"/>
        <v>0</v>
      </c>
      <c r="L143" s="130">
        <f t="shared" si="29"/>
        <v>0</v>
      </c>
      <c r="M143" s="130">
        <f t="shared" si="29"/>
        <v>0</v>
      </c>
      <c r="N143" s="130">
        <f t="shared" si="29"/>
        <v>0</v>
      </c>
      <c r="O143" s="130">
        <f t="shared" si="29"/>
        <v>0</v>
      </c>
      <c r="P143" s="130">
        <f t="shared" si="29"/>
        <v>0</v>
      </c>
      <c r="Q143" s="130">
        <f t="shared" si="29"/>
        <v>0</v>
      </c>
      <c r="R143" s="130">
        <f t="shared" si="29"/>
        <v>0</v>
      </c>
      <c r="S143" s="130">
        <f t="shared" si="29"/>
        <v>0</v>
      </c>
      <c r="T143" s="130">
        <f t="shared" si="29"/>
        <v>0</v>
      </c>
      <c r="U143" s="130">
        <f t="shared" si="29"/>
        <v>0</v>
      </c>
      <c r="V143" s="130">
        <f t="shared" si="29"/>
        <v>0</v>
      </c>
      <c r="W143" s="130">
        <f t="shared" si="29"/>
        <v>0</v>
      </c>
      <c r="X143" s="130">
        <f t="shared" si="29"/>
        <v>0</v>
      </c>
      <c r="Y143" s="130">
        <f t="shared" si="29"/>
        <v>0</v>
      </c>
      <c r="Z143" s="130">
        <f t="shared" si="29"/>
        <v>0</v>
      </c>
      <c r="AA143" s="130">
        <f t="shared" si="29"/>
        <v>0</v>
      </c>
      <c r="AB143" s="130">
        <f t="shared" si="29"/>
        <v>0</v>
      </c>
      <c r="AC143" s="130">
        <f t="shared" si="29"/>
        <v>0</v>
      </c>
      <c r="AD143" s="130">
        <f t="shared" si="29"/>
        <v>0</v>
      </c>
      <c r="AE143" s="130">
        <f t="shared" si="29"/>
        <v>0</v>
      </c>
      <c r="AF143" s="130">
        <f t="shared" si="29"/>
        <v>0</v>
      </c>
      <c r="AG143" s="130">
        <f t="shared" si="29"/>
        <v>0</v>
      </c>
      <c r="AH143" s="130">
        <f t="shared" si="29"/>
        <v>0</v>
      </c>
      <c r="AI143" s="130">
        <f t="shared" ref="AI143" si="37">IF(OR(AI13=0,AI13=1),1,0)</f>
        <v>0</v>
      </c>
      <c r="AJ143" s="47" t="str">
        <f t="shared" si="30"/>
        <v/>
      </c>
      <c r="AK143" s="60"/>
      <c r="AL143" s="60" t="str">
        <f t="shared" si="33"/>
        <v>00</v>
      </c>
      <c r="AM143" s="62" t="str">
        <f t="shared" si="34"/>
        <v>00</v>
      </c>
      <c r="AN143" s="62" t="str">
        <f t="shared" si="35"/>
        <v>00</v>
      </c>
      <c r="AO143" s="62" t="str">
        <f t="shared" si="36"/>
        <v>00</v>
      </c>
      <c r="AQ143" t="str">
        <f t="shared" si="31"/>
        <v/>
      </c>
    </row>
    <row r="144" spans="1:43">
      <c r="B144" s="138"/>
      <c r="C144" s="47">
        <f t="shared" si="32"/>
        <v>8</v>
      </c>
      <c r="D144" s="130">
        <f t="shared" ref="D144:AI151" si="38">IF(OR(D14=0,D14=1),1,0)</f>
        <v>0</v>
      </c>
      <c r="E144" s="130">
        <f t="shared" si="38"/>
        <v>0</v>
      </c>
      <c r="F144" s="130">
        <f t="shared" si="38"/>
        <v>0</v>
      </c>
      <c r="G144" s="130">
        <f t="shared" si="38"/>
        <v>0</v>
      </c>
      <c r="H144" s="130">
        <f t="shared" si="38"/>
        <v>0</v>
      </c>
      <c r="I144" s="130">
        <f t="shared" si="38"/>
        <v>0</v>
      </c>
      <c r="J144" s="130">
        <f t="shared" si="38"/>
        <v>0</v>
      </c>
      <c r="K144" s="130">
        <f t="shared" si="38"/>
        <v>0</v>
      </c>
      <c r="L144" s="130">
        <f t="shared" si="38"/>
        <v>0</v>
      </c>
      <c r="M144" s="130">
        <f t="shared" si="38"/>
        <v>0</v>
      </c>
      <c r="N144" s="130">
        <f t="shared" si="38"/>
        <v>0</v>
      </c>
      <c r="O144" s="130">
        <f t="shared" si="38"/>
        <v>0</v>
      </c>
      <c r="P144" s="130">
        <f t="shared" si="38"/>
        <v>0</v>
      </c>
      <c r="Q144" s="130">
        <f t="shared" si="38"/>
        <v>0</v>
      </c>
      <c r="R144" s="130">
        <f t="shared" si="38"/>
        <v>0</v>
      </c>
      <c r="S144" s="130">
        <f t="shared" si="38"/>
        <v>0</v>
      </c>
      <c r="T144" s="130">
        <f t="shared" si="38"/>
        <v>0</v>
      </c>
      <c r="U144" s="130">
        <f t="shared" si="38"/>
        <v>0</v>
      </c>
      <c r="V144" s="130">
        <f t="shared" si="38"/>
        <v>0</v>
      </c>
      <c r="W144" s="130">
        <f t="shared" si="38"/>
        <v>0</v>
      </c>
      <c r="X144" s="130">
        <f t="shared" si="38"/>
        <v>0</v>
      </c>
      <c r="Y144" s="130">
        <f t="shared" si="38"/>
        <v>0</v>
      </c>
      <c r="Z144" s="130">
        <f t="shared" si="38"/>
        <v>0</v>
      </c>
      <c r="AA144" s="130">
        <f t="shared" si="38"/>
        <v>0</v>
      </c>
      <c r="AB144" s="130">
        <f t="shared" si="38"/>
        <v>0</v>
      </c>
      <c r="AC144" s="130">
        <f t="shared" si="38"/>
        <v>0</v>
      </c>
      <c r="AD144" s="130">
        <f t="shared" si="38"/>
        <v>0</v>
      </c>
      <c r="AE144" s="130">
        <f t="shared" si="38"/>
        <v>0</v>
      </c>
      <c r="AF144" s="130">
        <f t="shared" si="38"/>
        <v>0</v>
      </c>
      <c r="AG144" s="130">
        <f t="shared" si="38"/>
        <v>0</v>
      </c>
      <c r="AH144" s="130">
        <f t="shared" si="38"/>
        <v>0</v>
      </c>
      <c r="AI144" s="130">
        <f t="shared" si="38"/>
        <v>0</v>
      </c>
      <c r="AJ144" s="47" t="str">
        <f t="shared" si="30"/>
        <v/>
      </c>
      <c r="AK144" s="60"/>
      <c r="AL144" s="60" t="str">
        <f t="shared" si="33"/>
        <v>00</v>
      </c>
      <c r="AM144" s="62" t="str">
        <f t="shared" si="34"/>
        <v>00</v>
      </c>
      <c r="AN144" s="62" t="str">
        <f t="shared" si="35"/>
        <v>00</v>
      </c>
      <c r="AO144" s="62" t="str">
        <f t="shared" si="36"/>
        <v>00</v>
      </c>
      <c r="AQ144" t="str">
        <f t="shared" si="31"/>
        <v/>
      </c>
    </row>
    <row r="145" spans="2:43">
      <c r="B145" s="138"/>
      <c r="C145" s="47">
        <f t="shared" si="32"/>
        <v>9</v>
      </c>
      <c r="D145" s="130">
        <f t="shared" si="38"/>
        <v>0</v>
      </c>
      <c r="E145" s="130">
        <f t="shared" si="38"/>
        <v>0</v>
      </c>
      <c r="F145" s="130">
        <f t="shared" si="38"/>
        <v>0</v>
      </c>
      <c r="G145" s="130">
        <f t="shared" si="38"/>
        <v>0</v>
      </c>
      <c r="H145" s="130">
        <f t="shared" si="38"/>
        <v>0</v>
      </c>
      <c r="I145" s="130">
        <f t="shared" si="38"/>
        <v>0</v>
      </c>
      <c r="J145" s="130">
        <f t="shared" si="38"/>
        <v>0</v>
      </c>
      <c r="K145" s="130">
        <f t="shared" si="38"/>
        <v>0</v>
      </c>
      <c r="L145" s="130">
        <f t="shared" si="38"/>
        <v>0</v>
      </c>
      <c r="M145" s="130">
        <f t="shared" si="38"/>
        <v>0</v>
      </c>
      <c r="N145" s="130">
        <f t="shared" si="38"/>
        <v>0</v>
      </c>
      <c r="O145" s="130">
        <f t="shared" si="38"/>
        <v>0</v>
      </c>
      <c r="P145" s="130">
        <f t="shared" si="38"/>
        <v>0</v>
      </c>
      <c r="Q145" s="130">
        <f t="shared" si="38"/>
        <v>0</v>
      </c>
      <c r="R145" s="130">
        <f t="shared" si="38"/>
        <v>0</v>
      </c>
      <c r="S145" s="130">
        <f t="shared" si="38"/>
        <v>0</v>
      </c>
      <c r="T145" s="130">
        <f t="shared" si="38"/>
        <v>0</v>
      </c>
      <c r="U145" s="130">
        <f t="shared" si="38"/>
        <v>0</v>
      </c>
      <c r="V145" s="130">
        <f t="shared" si="38"/>
        <v>0</v>
      </c>
      <c r="W145" s="130">
        <f t="shared" si="38"/>
        <v>0</v>
      </c>
      <c r="X145" s="130">
        <f t="shared" si="38"/>
        <v>0</v>
      </c>
      <c r="Y145" s="130">
        <f t="shared" si="38"/>
        <v>0</v>
      </c>
      <c r="Z145" s="130">
        <f t="shared" si="38"/>
        <v>0</v>
      </c>
      <c r="AA145" s="130">
        <f t="shared" si="38"/>
        <v>0</v>
      </c>
      <c r="AB145" s="130">
        <f t="shared" si="38"/>
        <v>0</v>
      </c>
      <c r="AC145" s="130">
        <f t="shared" si="38"/>
        <v>0</v>
      </c>
      <c r="AD145" s="130">
        <f t="shared" si="38"/>
        <v>0</v>
      </c>
      <c r="AE145" s="130">
        <f t="shared" si="38"/>
        <v>0</v>
      </c>
      <c r="AF145" s="130">
        <f t="shared" si="38"/>
        <v>0</v>
      </c>
      <c r="AG145" s="130">
        <f t="shared" si="38"/>
        <v>0</v>
      </c>
      <c r="AH145" s="130">
        <f t="shared" si="38"/>
        <v>0</v>
      </c>
      <c r="AI145" s="130">
        <f t="shared" si="38"/>
        <v>0</v>
      </c>
      <c r="AJ145" s="47" t="str">
        <f t="shared" si="30"/>
        <v/>
      </c>
      <c r="AK145" s="60"/>
      <c r="AL145" s="60" t="str">
        <f t="shared" si="33"/>
        <v>00</v>
      </c>
      <c r="AM145" s="62" t="str">
        <f t="shared" si="34"/>
        <v>00</v>
      </c>
      <c r="AN145" s="62" t="str">
        <f t="shared" si="35"/>
        <v>00</v>
      </c>
      <c r="AO145" s="62" t="str">
        <f t="shared" si="36"/>
        <v>00</v>
      </c>
      <c r="AQ145" t="str">
        <f t="shared" si="31"/>
        <v/>
      </c>
    </row>
    <row r="146" spans="2:43">
      <c r="B146" s="138"/>
      <c r="C146" s="47">
        <f t="shared" si="32"/>
        <v>10</v>
      </c>
      <c r="D146" s="130">
        <f t="shared" si="38"/>
        <v>0</v>
      </c>
      <c r="E146" s="130">
        <f t="shared" si="38"/>
        <v>0</v>
      </c>
      <c r="F146" s="130">
        <f t="shared" si="38"/>
        <v>0</v>
      </c>
      <c r="G146" s="130">
        <f t="shared" si="38"/>
        <v>0</v>
      </c>
      <c r="H146" s="130">
        <f t="shared" si="38"/>
        <v>0</v>
      </c>
      <c r="I146" s="130">
        <f t="shared" si="38"/>
        <v>0</v>
      </c>
      <c r="J146" s="130">
        <f t="shared" si="38"/>
        <v>0</v>
      </c>
      <c r="K146" s="130">
        <f t="shared" si="38"/>
        <v>0</v>
      </c>
      <c r="L146" s="130">
        <f t="shared" si="38"/>
        <v>0</v>
      </c>
      <c r="M146" s="130">
        <f t="shared" si="38"/>
        <v>0</v>
      </c>
      <c r="N146" s="130">
        <f t="shared" si="38"/>
        <v>0</v>
      </c>
      <c r="O146" s="130">
        <f t="shared" si="38"/>
        <v>0</v>
      </c>
      <c r="P146" s="130">
        <f t="shared" si="38"/>
        <v>0</v>
      </c>
      <c r="Q146" s="130">
        <f t="shared" si="38"/>
        <v>0</v>
      </c>
      <c r="R146" s="130">
        <f t="shared" si="38"/>
        <v>0</v>
      </c>
      <c r="S146" s="130">
        <f t="shared" si="38"/>
        <v>0</v>
      </c>
      <c r="T146" s="130">
        <f t="shared" si="38"/>
        <v>0</v>
      </c>
      <c r="U146" s="130">
        <f t="shared" si="38"/>
        <v>0</v>
      </c>
      <c r="V146" s="130">
        <f t="shared" si="38"/>
        <v>0</v>
      </c>
      <c r="W146" s="130">
        <f t="shared" si="38"/>
        <v>0</v>
      </c>
      <c r="X146" s="130">
        <f t="shared" si="38"/>
        <v>0</v>
      </c>
      <c r="Y146" s="130">
        <f t="shared" si="38"/>
        <v>0</v>
      </c>
      <c r="Z146" s="130">
        <f t="shared" si="38"/>
        <v>0</v>
      </c>
      <c r="AA146" s="130">
        <f t="shared" si="38"/>
        <v>0</v>
      </c>
      <c r="AB146" s="130">
        <f t="shared" si="38"/>
        <v>0</v>
      </c>
      <c r="AC146" s="130">
        <f t="shared" si="38"/>
        <v>0</v>
      </c>
      <c r="AD146" s="130">
        <f t="shared" si="38"/>
        <v>0</v>
      </c>
      <c r="AE146" s="130">
        <f t="shared" si="38"/>
        <v>0</v>
      </c>
      <c r="AF146" s="130">
        <f t="shared" si="38"/>
        <v>0</v>
      </c>
      <c r="AG146" s="130">
        <f t="shared" si="38"/>
        <v>0</v>
      </c>
      <c r="AH146" s="130">
        <f t="shared" si="38"/>
        <v>0</v>
      </c>
      <c r="AI146" s="130">
        <f t="shared" si="38"/>
        <v>0</v>
      </c>
      <c r="AJ146" s="47" t="str">
        <f t="shared" si="30"/>
        <v/>
      </c>
      <c r="AK146" s="60"/>
      <c r="AL146" s="60" t="str">
        <f t="shared" si="33"/>
        <v>00</v>
      </c>
      <c r="AM146" s="62" t="str">
        <f t="shared" si="34"/>
        <v>00</v>
      </c>
      <c r="AN146" s="62" t="str">
        <f t="shared" si="35"/>
        <v>00</v>
      </c>
      <c r="AO146" s="62" t="str">
        <f t="shared" si="36"/>
        <v>00</v>
      </c>
      <c r="AQ146" t="str">
        <f t="shared" si="31"/>
        <v/>
      </c>
    </row>
    <row r="147" spans="2:43">
      <c r="B147" s="138"/>
      <c r="C147" s="47">
        <f t="shared" si="32"/>
        <v>11</v>
      </c>
      <c r="D147" s="130">
        <f t="shared" si="38"/>
        <v>0</v>
      </c>
      <c r="E147" s="130">
        <f t="shared" si="38"/>
        <v>0</v>
      </c>
      <c r="F147" s="130">
        <f t="shared" si="38"/>
        <v>0</v>
      </c>
      <c r="G147" s="130">
        <f t="shared" si="38"/>
        <v>0</v>
      </c>
      <c r="H147" s="130">
        <f t="shared" si="38"/>
        <v>0</v>
      </c>
      <c r="I147" s="130">
        <f t="shared" si="38"/>
        <v>0</v>
      </c>
      <c r="J147" s="130">
        <f t="shared" si="38"/>
        <v>0</v>
      </c>
      <c r="K147" s="130">
        <f t="shared" si="38"/>
        <v>0</v>
      </c>
      <c r="L147" s="130">
        <f t="shared" si="38"/>
        <v>0</v>
      </c>
      <c r="M147" s="130">
        <f t="shared" si="38"/>
        <v>0</v>
      </c>
      <c r="N147" s="130">
        <f t="shared" si="38"/>
        <v>0</v>
      </c>
      <c r="O147" s="130">
        <f t="shared" si="38"/>
        <v>0</v>
      </c>
      <c r="P147" s="130">
        <f t="shared" si="38"/>
        <v>0</v>
      </c>
      <c r="Q147" s="130">
        <f t="shared" si="38"/>
        <v>0</v>
      </c>
      <c r="R147" s="130">
        <f t="shared" si="38"/>
        <v>0</v>
      </c>
      <c r="S147" s="130">
        <f t="shared" si="38"/>
        <v>0</v>
      </c>
      <c r="T147" s="130">
        <f t="shared" si="38"/>
        <v>0</v>
      </c>
      <c r="U147" s="130">
        <f t="shared" si="38"/>
        <v>0</v>
      </c>
      <c r="V147" s="130">
        <f t="shared" si="38"/>
        <v>0</v>
      </c>
      <c r="W147" s="130">
        <f t="shared" si="38"/>
        <v>0</v>
      </c>
      <c r="X147" s="130">
        <f t="shared" si="38"/>
        <v>0</v>
      </c>
      <c r="Y147" s="130">
        <f t="shared" si="38"/>
        <v>0</v>
      </c>
      <c r="Z147" s="130">
        <f t="shared" si="38"/>
        <v>0</v>
      </c>
      <c r="AA147" s="130">
        <f t="shared" si="38"/>
        <v>0</v>
      </c>
      <c r="AB147" s="130">
        <f t="shared" si="38"/>
        <v>0</v>
      </c>
      <c r="AC147" s="130">
        <f t="shared" si="38"/>
        <v>0</v>
      </c>
      <c r="AD147" s="130">
        <f t="shared" si="38"/>
        <v>0</v>
      </c>
      <c r="AE147" s="130">
        <f t="shared" si="38"/>
        <v>0</v>
      </c>
      <c r="AF147" s="130">
        <f t="shared" si="38"/>
        <v>0</v>
      </c>
      <c r="AG147" s="130">
        <f t="shared" si="38"/>
        <v>0</v>
      </c>
      <c r="AH147" s="130">
        <f t="shared" si="38"/>
        <v>0</v>
      </c>
      <c r="AI147" s="130">
        <f t="shared" si="38"/>
        <v>0</v>
      </c>
      <c r="AJ147" s="47" t="str">
        <f t="shared" si="30"/>
        <v/>
      </c>
      <c r="AK147" s="60"/>
      <c r="AL147" s="60" t="str">
        <f t="shared" si="33"/>
        <v>00</v>
      </c>
      <c r="AM147" s="62" t="str">
        <f t="shared" si="34"/>
        <v>00</v>
      </c>
      <c r="AN147" s="62" t="str">
        <f t="shared" si="35"/>
        <v>00</v>
      </c>
      <c r="AO147" s="62" t="str">
        <f t="shared" si="36"/>
        <v>00</v>
      </c>
      <c r="AQ147" t="str">
        <f t="shared" si="31"/>
        <v/>
      </c>
    </row>
    <row r="148" spans="2:43">
      <c r="B148" s="138"/>
      <c r="C148" s="47">
        <f t="shared" si="32"/>
        <v>12</v>
      </c>
      <c r="D148" s="130">
        <f t="shared" si="38"/>
        <v>0</v>
      </c>
      <c r="E148" s="130">
        <f t="shared" si="38"/>
        <v>0</v>
      </c>
      <c r="F148" s="130">
        <f t="shared" si="38"/>
        <v>0</v>
      </c>
      <c r="G148" s="130">
        <f t="shared" si="38"/>
        <v>0</v>
      </c>
      <c r="H148" s="130">
        <f t="shared" si="38"/>
        <v>0</v>
      </c>
      <c r="I148" s="130">
        <f t="shared" si="38"/>
        <v>0</v>
      </c>
      <c r="J148" s="130">
        <f t="shared" si="38"/>
        <v>0</v>
      </c>
      <c r="K148" s="130">
        <f t="shared" si="38"/>
        <v>0</v>
      </c>
      <c r="L148" s="130">
        <f t="shared" si="38"/>
        <v>0</v>
      </c>
      <c r="M148" s="130">
        <f t="shared" si="38"/>
        <v>0</v>
      </c>
      <c r="N148" s="130">
        <f t="shared" si="38"/>
        <v>0</v>
      </c>
      <c r="O148" s="130">
        <f t="shared" si="38"/>
        <v>0</v>
      </c>
      <c r="P148" s="130">
        <f t="shared" si="38"/>
        <v>0</v>
      </c>
      <c r="Q148" s="130">
        <f t="shared" si="38"/>
        <v>0</v>
      </c>
      <c r="R148" s="130">
        <f t="shared" si="38"/>
        <v>0</v>
      </c>
      <c r="S148" s="130">
        <f t="shared" si="38"/>
        <v>0</v>
      </c>
      <c r="T148" s="130">
        <f t="shared" si="38"/>
        <v>0</v>
      </c>
      <c r="U148" s="130">
        <f t="shared" si="38"/>
        <v>0</v>
      </c>
      <c r="V148" s="130">
        <f t="shared" si="38"/>
        <v>0</v>
      </c>
      <c r="W148" s="130">
        <f t="shared" si="38"/>
        <v>0</v>
      </c>
      <c r="X148" s="130">
        <f t="shared" si="38"/>
        <v>0</v>
      </c>
      <c r="Y148" s="130">
        <f t="shared" si="38"/>
        <v>0</v>
      </c>
      <c r="Z148" s="130">
        <f t="shared" si="38"/>
        <v>0</v>
      </c>
      <c r="AA148" s="130">
        <f t="shared" si="38"/>
        <v>0</v>
      </c>
      <c r="AB148" s="130">
        <f t="shared" si="38"/>
        <v>0</v>
      </c>
      <c r="AC148" s="130">
        <f t="shared" si="38"/>
        <v>0</v>
      </c>
      <c r="AD148" s="130">
        <f t="shared" si="38"/>
        <v>0</v>
      </c>
      <c r="AE148" s="130">
        <f t="shared" si="38"/>
        <v>0</v>
      </c>
      <c r="AF148" s="130">
        <f t="shared" si="38"/>
        <v>0</v>
      </c>
      <c r="AG148" s="130">
        <f t="shared" si="38"/>
        <v>0</v>
      </c>
      <c r="AH148" s="130">
        <f t="shared" si="38"/>
        <v>0</v>
      </c>
      <c r="AI148" s="130">
        <f t="shared" si="38"/>
        <v>0</v>
      </c>
      <c r="AJ148" s="47" t="str">
        <f t="shared" si="30"/>
        <v/>
      </c>
      <c r="AK148" s="60"/>
      <c r="AL148" s="60" t="str">
        <f t="shared" si="33"/>
        <v>00</v>
      </c>
      <c r="AM148" s="62" t="str">
        <f t="shared" si="34"/>
        <v>00</v>
      </c>
      <c r="AN148" s="62" t="str">
        <f t="shared" si="35"/>
        <v>00</v>
      </c>
      <c r="AO148" s="62" t="str">
        <f t="shared" si="36"/>
        <v>00</v>
      </c>
      <c r="AQ148" t="str">
        <f t="shared" si="31"/>
        <v/>
      </c>
    </row>
    <row r="149" spans="2:43">
      <c r="B149" s="138"/>
      <c r="C149" s="47">
        <f t="shared" si="32"/>
        <v>13</v>
      </c>
      <c r="D149" s="130">
        <f t="shared" si="38"/>
        <v>0</v>
      </c>
      <c r="E149" s="130">
        <f t="shared" si="38"/>
        <v>0</v>
      </c>
      <c r="F149" s="130">
        <f t="shared" si="38"/>
        <v>0</v>
      </c>
      <c r="G149" s="130">
        <f t="shared" si="38"/>
        <v>0</v>
      </c>
      <c r="H149" s="130">
        <f t="shared" si="38"/>
        <v>0</v>
      </c>
      <c r="I149" s="130">
        <f t="shared" si="38"/>
        <v>0</v>
      </c>
      <c r="J149" s="130">
        <f t="shared" si="38"/>
        <v>0</v>
      </c>
      <c r="K149" s="130">
        <f t="shared" si="38"/>
        <v>0</v>
      </c>
      <c r="L149" s="130">
        <f t="shared" si="38"/>
        <v>0</v>
      </c>
      <c r="M149" s="130">
        <f t="shared" si="38"/>
        <v>0</v>
      </c>
      <c r="N149" s="130">
        <f t="shared" si="38"/>
        <v>0</v>
      </c>
      <c r="O149" s="130">
        <f t="shared" si="38"/>
        <v>0</v>
      </c>
      <c r="P149" s="130">
        <f t="shared" si="38"/>
        <v>0</v>
      </c>
      <c r="Q149" s="130">
        <f t="shared" si="38"/>
        <v>0</v>
      </c>
      <c r="R149" s="130">
        <f t="shared" si="38"/>
        <v>0</v>
      </c>
      <c r="S149" s="130">
        <f t="shared" si="38"/>
        <v>0</v>
      </c>
      <c r="T149" s="130">
        <f t="shared" si="38"/>
        <v>0</v>
      </c>
      <c r="U149" s="130">
        <f t="shared" si="38"/>
        <v>0</v>
      </c>
      <c r="V149" s="130">
        <f t="shared" si="38"/>
        <v>0</v>
      </c>
      <c r="W149" s="130">
        <f t="shared" si="38"/>
        <v>0</v>
      </c>
      <c r="X149" s="130">
        <f t="shared" si="38"/>
        <v>0</v>
      </c>
      <c r="Y149" s="130">
        <f t="shared" si="38"/>
        <v>0</v>
      </c>
      <c r="Z149" s="130">
        <f t="shared" si="38"/>
        <v>0</v>
      </c>
      <c r="AA149" s="130">
        <f t="shared" si="38"/>
        <v>0</v>
      </c>
      <c r="AB149" s="130">
        <f t="shared" si="38"/>
        <v>0</v>
      </c>
      <c r="AC149" s="130">
        <f t="shared" si="38"/>
        <v>0</v>
      </c>
      <c r="AD149" s="130">
        <f t="shared" si="38"/>
        <v>0</v>
      </c>
      <c r="AE149" s="130">
        <f t="shared" si="38"/>
        <v>0</v>
      </c>
      <c r="AF149" s="130">
        <f t="shared" si="38"/>
        <v>0</v>
      </c>
      <c r="AG149" s="130">
        <f t="shared" si="38"/>
        <v>0</v>
      </c>
      <c r="AH149" s="130">
        <f t="shared" si="38"/>
        <v>0</v>
      </c>
      <c r="AI149" s="130">
        <f t="shared" si="38"/>
        <v>0</v>
      </c>
      <c r="AJ149" s="47" t="str">
        <f t="shared" si="30"/>
        <v/>
      </c>
      <c r="AK149" s="60"/>
      <c r="AL149" s="60" t="str">
        <f t="shared" si="33"/>
        <v>00</v>
      </c>
      <c r="AM149" s="62" t="str">
        <f t="shared" si="34"/>
        <v>00</v>
      </c>
      <c r="AN149" s="62" t="str">
        <f t="shared" si="35"/>
        <v>00</v>
      </c>
      <c r="AO149" s="62" t="str">
        <f t="shared" si="36"/>
        <v>00</v>
      </c>
      <c r="AQ149" t="str">
        <f t="shared" si="31"/>
        <v/>
      </c>
    </row>
    <row r="150" spans="2:43">
      <c r="B150" s="138"/>
      <c r="C150" s="47">
        <f t="shared" si="32"/>
        <v>14</v>
      </c>
      <c r="D150" s="130">
        <f t="shared" si="38"/>
        <v>0</v>
      </c>
      <c r="E150" s="130">
        <f t="shared" si="38"/>
        <v>0</v>
      </c>
      <c r="F150" s="130">
        <f t="shared" si="38"/>
        <v>0</v>
      </c>
      <c r="G150" s="130">
        <f t="shared" si="38"/>
        <v>0</v>
      </c>
      <c r="H150" s="130">
        <f t="shared" si="38"/>
        <v>0</v>
      </c>
      <c r="I150" s="130">
        <f t="shared" si="38"/>
        <v>0</v>
      </c>
      <c r="J150" s="130">
        <f t="shared" si="38"/>
        <v>0</v>
      </c>
      <c r="K150" s="130">
        <f t="shared" si="38"/>
        <v>0</v>
      </c>
      <c r="L150" s="130">
        <f t="shared" si="38"/>
        <v>0</v>
      </c>
      <c r="M150" s="130">
        <f t="shared" si="38"/>
        <v>0</v>
      </c>
      <c r="N150" s="130">
        <f t="shared" si="38"/>
        <v>0</v>
      </c>
      <c r="O150" s="130">
        <f t="shared" si="38"/>
        <v>0</v>
      </c>
      <c r="P150" s="130">
        <f t="shared" si="38"/>
        <v>0</v>
      </c>
      <c r="Q150" s="130">
        <f t="shared" si="38"/>
        <v>0</v>
      </c>
      <c r="R150" s="130">
        <f t="shared" si="38"/>
        <v>0</v>
      </c>
      <c r="S150" s="130">
        <f t="shared" si="38"/>
        <v>0</v>
      </c>
      <c r="T150" s="130">
        <f t="shared" si="38"/>
        <v>0</v>
      </c>
      <c r="U150" s="130">
        <f t="shared" si="38"/>
        <v>0</v>
      </c>
      <c r="V150" s="130">
        <f t="shared" si="38"/>
        <v>0</v>
      </c>
      <c r="W150" s="130">
        <f t="shared" si="38"/>
        <v>0</v>
      </c>
      <c r="X150" s="130">
        <f t="shared" si="38"/>
        <v>0</v>
      </c>
      <c r="Y150" s="130">
        <f t="shared" si="38"/>
        <v>0</v>
      </c>
      <c r="Z150" s="130">
        <f t="shared" si="38"/>
        <v>0</v>
      </c>
      <c r="AA150" s="130">
        <f t="shared" si="38"/>
        <v>0</v>
      </c>
      <c r="AB150" s="130">
        <f t="shared" si="38"/>
        <v>0</v>
      </c>
      <c r="AC150" s="130">
        <f t="shared" si="38"/>
        <v>0</v>
      </c>
      <c r="AD150" s="130">
        <f t="shared" si="38"/>
        <v>0</v>
      </c>
      <c r="AE150" s="130">
        <f t="shared" si="38"/>
        <v>0</v>
      </c>
      <c r="AF150" s="130">
        <f t="shared" si="38"/>
        <v>0</v>
      </c>
      <c r="AG150" s="130">
        <f t="shared" si="38"/>
        <v>0</v>
      </c>
      <c r="AH150" s="130">
        <f t="shared" si="38"/>
        <v>0</v>
      </c>
      <c r="AI150" s="130">
        <f t="shared" si="38"/>
        <v>0</v>
      </c>
      <c r="AJ150" s="47" t="str">
        <f t="shared" si="30"/>
        <v/>
      </c>
      <c r="AK150" s="60"/>
      <c r="AL150" s="60" t="str">
        <f t="shared" si="33"/>
        <v>00</v>
      </c>
      <c r="AM150" s="62" t="str">
        <f t="shared" si="34"/>
        <v>00</v>
      </c>
      <c r="AN150" s="62" t="str">
        <f t="shared" si="35"/>
        <v>00</v>
      </c>
      <c r="AO150" s="62" t="str">
        <f t="shared" si="36"/>
        <v>00</v>
      </c>
      <c r="AQ150" t="str">
        <f t="shared" si="31"/>
        <v/>
      </c>
    </row>
    <row r="151" spans="2:43">
      <c r="B151" s="138"/>
      <c r="C151" s="47">
        <f t="shared" si="32"/>
        <v>15</v>
      </c>
      <c r="D151" s="130">
        <f t="shared" si="38"/>
        <v>0</v>
      </c>
      <c r="E151" s="130">
        <f t="shared" si="38"/>
        <v>0</v>
      </c>
      <c r="F151" s="130">
        <f t="shared" si="38"/>
        <v>0</v>
      </c>
      <c r="G151" s="130">
        <f t="shared" si="38"/>
        <v>0</v>
      </c>
      <c r="H151" s="130">
        <f t="shared" si="38"/>
        <v>0</v>
      </c>
      <c r="I151" s="130">
        <f t="shared" si="38"/>
        <v>0</v>
      </c>
      <c r="J151" s="130">
        <f t="shared" si="38"/>
        <v>0</v>
      </c>
      <c r="K151" s="130">
        <f t="shared" si="38"/>
        <v>0</v>
      </c>
      <c r="L151" s="130">
        <f t="shared" si="38"/>
        <v>0</v>
      </c>
      <c r="M151" s="130">
        <f t="shared" si="38"/>
        <v>0</v>
      </c>
      <c r="N151" s="130">
        <f t="shared" si="38"/>
        <v>0</v>
      </c>
      <c r="O151" s="130">
        <f t="shared" si="38"/>
        <v>0</v>
      </c>
      <c r="P151" s="130">
        <f t="shared" si="38"/>
        <v>0</v>
      </c>
      <c r="Q151" s="130">
        <f t="shared" si="38"/>
        <v>0</v>
      </c>
      <c r="R151" s="130">
        <f t="shared" si="38"/>
        <v>0</v>
      </c>
      <c r="S151" s="130">
        <f t="shared" si="38"/>
        <v>0</v>
      </c>
      <c r="T151" s="130">
        <f t="shared" si="38"/>
        <v>0</v>
      </c>
      <c r="U151" s="130">
        <f t="shared" si="38"/>
        <v>0</v>
      </c>
      <c r="V151" s="130">
        <f t="shared" si="38"/>
        <v>0</v>
      </c>
      <c r="W151" s="130">
        <f t="shared" si="38"/>
        <v>0</v>
      </c>
      <c r="X151" s="130">
        <f t="shared" si="38"/>
        <v>0</v>
      </c>
      <c r="Y151" s="130">
        <f t="shared" si="38"/>
        <v>0</v>
      </c>
      <c r="Z151" s="130">
        <f t="shared" si="38"/>
        <v>0</v>
      </c>
      <c r="AA151" s="130">
        <f t="shared" si="38"/>
        <v>0</v>
      </c>
      <c r="AB151" s="130">
        <f t="shared" si="38"/>
        <v>0</v>
      </c>
      <c r="AC151" s="130">
        <f t="shared" si="38"/>
        <v>0</v>
      </c>
      <c r="AD151" s="130">
        <f t="shared" si="38"/>
        <v>0</v>
      </c>
      <c r="AE151" s="130">
        <f t="shared" si="38"/>
        <v>0</v>
      </c>
      <c r="AF151" s="130">
        <f t="shared" si="38"/>
        <v>0</v>
      </c>
      <c r="AG151" s="130">
        <f t="shared" si="38"/>
        <v>0</v>
      </c>
      <c r="AH151" s="130">
        <f t="shared" si="38"/>
        <v>0</v>
      </c>
      <c r="AI151" s="130">
        <f t="shared" ref="AI151" si="39">IF(OR(AI21=0,AI21=1),1,0)</f>
        <v>0</v>
      </c>
      <c r="AJ151" s="47" t="str">
        <f t="shared" si="30"/>
        <v/>
      </c>
      <c r="AK151" s="60"/>
      <c r="AL151" s="60" t="str">
        <f t="shared" si="33"/>
        <v>00</v>
      </c>
      <c r="AM151" s="62" t="str">
        <f t="shared" si="34"/>
        <v>00</v>
      </c>
      <c r="AN151" s="62" t="str">
        <f t="shared" si="35"/>
        <v>00</v>
      </c>
      <c r="AO151" s="62" t="str">
        <f t="shared" si="36"/>
        <v>00</v>
      </c>
      <c r="AQ151" t="str">
        <f t="shared" si="31"/>
        <v/>
      </c>
    </row>
    <row r="152" spans="2:43">
      <c r="B152" s="138"/>
      <c r="C152" s="47">
        <f t="shared" si="32"/>
        <v>16</v>
      </c>
      <c r="D152" s="130">
        <f t="shared" ref="D152:AI159" si="40">IF(OR(D22=0,D22=1),1,0)</f>
        <v>0</v>
      </c>
      <c r="E152" s="130">
        <f t="shared" si="40"/>
        <v>0</v>
      </c>
      <c r="F152" s="130">
        <f t="shared" si="40"/>
        <v>0</v>
      </c>
      <c r="G152" s="130">
        <f t="shared" si="40"/>
        <v>0</v>
      </c>
      <c r="H152" s="130">
        <f t="shared" si="40"/>
        <v>0</v>
      </c>
      <c r="I152" s="130">
        <f t="shared" si="40"/>
        <v>0</v>
      </c>
      <c r="J152" s="130">
        <f t="shared" si="40"/>
        <v>0</v>
      </c>
      <c r="K152" s="130">
        <f t="shared" si="40"/>
        <v>0</v>
      </c>
      <c r="L152" s="130">
        <f t="shared" si="40"/>
        <v>0</v>
      </c>
      <c r="M152" s="130">
        <f t="shared" si="40"/>
        <v>0</v>
      </c>
      <c r="N152" s="130">
        <f t="shared" si="40"/>
        <v>0</v>
      </c>
      <c r="O152" s="130">
        <f t="shared" si="40"/>
        <v>0</v>
      </c>
      <c r="P152" s="130">
        <f t="shared" si="40"/>
        <v>0</v>
      </c>
      <c r="Q152" s="130">
        <f t="shared" si="40"/>
        <v>0</v>
      </c>
      <c r="R152" s="130">
        <f t="shared" si="40"/>
        <v>0</v>
      </c>
      <c r="S152" s="130">
        <f t="shared" si="40"/>
        <v>0</v>
      </c>
      <c r="T152" s="130">
        <f t="shared" si="40"/>
        <v>0</v>
      </c>
      <c r="U152" s="130">
        <f t="shared" si="40"/>
        <v>0</v>
      </c>
      <c r="V152" s="130">
        <f t="shared" si="40"/>
        <v>0</v>
      </c>
      <c r="W152" s="130">
        <f t="shared" si="40"/>
        <v>0</v>
      </c>
      <c r="X152" s="130">
        <f t="shared" si="40"/>
        <v>0</v>
      </c>
      <c r="Y152" s="130">
        <f t="shared" si="40"/>
        <v>0</v>
      </c>
      <c r="Z152" s="130">
        <f t="shared" si="40"/>
        <v>0</v>
      </c>
      <c r="AA152" s="130">
        <f t="shared" si="40"/>
        <v>0</v>
      </c>
      <c r="AB152" s="130">
        <f t="shared" si="40"/>
        <v>0</v>
      </c>
      <c r="AC152" s="130">
        <f t="shared" si="40"/>
        <v>0</v>
      </c>
      <c r="AD152" s="130">
        <f t="shared" si="40"/>
        <v>0</v>
      </c>
      <c r="AE152" s="130">
        <f t="shared" si="40"/>
        <v>0</v>
      </c>
      <c r="AF152" s="130">
        <f t="shared" si="40"/>
        <v>0</v>
      </c>
      <c r="AG152" s="130">
        <f t="shared" si="40"/>
        <v>0</v>
      </c>
      <c r="AH152" s="130">
        <f t="shared" si="40"/>
        <v>0</v>
      </c>
      <c r="AI152" s="130">
        <f t="shared" si="40"/>
        <v>0</v>
      </c>
      <c r="AJ152" s="47" t="str">
        <f t="shared" si="30"/>
        <v/>
      </c>
      <c r="AK152" s="60"/>
      <c r="AL152" s="60" t="str">
        <f t="shared" si="33"/>
        <v>00</v>
      </c>
      <c r="AM152" s="62" t="str">
        <f t="shared" si="34"/>
        <v>00</v>
      </c>
      <c r="AN152" s="62" t="str">
        <f t="shared" si="35"/>
        <v>00</v>
      </c>
      <c r="AO152" s="62" t="str">
        <f t="shared" si="36"/>
        <v>00</v>
      </c>
      <c r="AQ152" t="str">
        <f t="shared" si="31"/>
        <v/>
      </c>
    </row>
    <row r="153" spans="2:43">
      <c r="B153" s="138"/>
      <c r="C153" s="47">
        <f t="shared" si="32"/>
        <v>17</v>
      </c>
      <c r="D153" s="130">
        <f t="shared" si="40"/>
        <v>0</v>
      </c>
      <c r="E153" s="130">
        <f t="shared" si="40"/>
        <v>0</v>
      </c>
      <c r="F153" s="130">
        <f t="shared" si="40"/>
        <v>0</v>
      </c>
      <c r="G153" s="130">
        <f t="shared" si="40"/>
        <v>0</v>
      </c>
      <c r="H153" s="130">
        <f t="shared" si="40"/>
        <v>0</v>
      </c>
      <c r="I153" s="130">
        <f t="shared" si="40"/>
        <v>0</v>
      </c>
      <c r="J153" s="130">
        <f t="shared" si="40"/>
        <v>0</v>
      </c>
      <c r="K153" s="130">
        <f t="shared" si="40"/>
        <v>0</v>
      </c>
      <c r="L153" s="130">
        <f t="shared" si="40"/>
        <v>0</v>
      </c>
      <c r="M153" s="130">
        <f t="shared" si="40"/>
        <v>0</v>
      </c>
      <c r="N153" s="130">
        <f t="shared" si="40"/>
        <v>0</v>
      </c>
      <c r="O153" s="130">
        <f t="shared" si="40"/>
        <v>0</v>
      </c>
      <c r="P153" s="130">
        <f t="shared" si="40"/>
        <v>0</v>
      </c>
      <c r="Q153" s="130">
        <f t="shared" si="40"/>
        <v>0</v>
      </c>
      <c r="R153" s="130">
        <f t="shared" si="40"/>
        <v>0</v>
      </c>
      <c r="S153" s="130">
        <f t="shared" si="40"/>
        <v>0</v>
      </c>
      <c r="T153" s="130">
        <f t="shared" si="40"/>
        <v>0</v>
      </c>
      <c r="U153" s="130">
        <f t="shared" si="40"/>
        <v>0</v>
      </c>
      <c r="V153" s="130">
        <f t="shared" si="40"/>
        <v>0</v>
      </c>
      <c r="W153" s="130">
        <f t="shared" si="40"/>
        <v>0</v>
      </c>
      <c r="X153" s="130">
        <f t="shared" si="40"/>
        <v>0</v>
      </c>
      <c r="Y153" s="130">
        <f t="shared" si="40"/>
        <v>0</v>
      </c>
      <c r="Z153" s="130">
        <f t="shared" si="40"/>
        <v>0</v>
      </c>
      <c r="AA153" s="130">
        <f t="shared" si="40"/>
        <v>0</v>
      </c>
      <c r="AB153" s="130">
        <f t="shared" si="40"/>
        <v>0</v>
      </c>
      <c r="AC153" s="130">
        <f t="shared" si="40"/>
        <v>0</v>
      </c>
      <c r="AD153" s="130">
        <f t="shared" si="40"/>
        <v>0</v>
      </c>
      <c r="AE153" s="130">
        <f t="shared" si="40"/>
        <v>0</v>
      </c>
      <c r="AF153" s="130">
        <f t="shared" si="40"/>
        <v>0</v>
      </c>
      <c r="AG153" s="130">
        <f t="shared" si="40"/>
        <v>0</v>
      </c>
      <c r="AH153" s="130">
        <f t="shared" si="40"/>
        <v>0</v>
      </c>
      <c r="AI153" s="130">
        <f t="shared" si="40"/>
        <v>0</v>
      </c>
      <c r="AJ153" s="47" t="str">
        <f t="shared" si="30"/>
        <v/>
      </c>
      <c r="AK153" s="60"/>
      <c r="AL153" s="60" t="str">
        <f t="shared" si="33"/>
        <v>00</v>
      </c>
      <c r="AM153" s="62" t="str">
        <f t="shared" si="34"/>
        <v>00</v>
      </c>
      <c r="AN153" s="62" t="str">
        <f t="shared" si="35"/>
        <v>00</v>
      </c>
      <c r="AO153" s="62" t="str">
        <f t="shared" si="36"/>
        <v>00</v>
      </c>
      <c r="AQ153" t="str">
        <f t="shared" si="31"/>
        <v/>
      </c>
    </row>
    <row r="154" spans="2:43">
      <c r="B154" s="138"/>
      <c r="C154" s="47">
        <f t="shared" si="32"/>
        <v>18</v>
      </c>
      <c r="D154" s="130">
        <f t="shared" si="40"/>
        <v>0</v>
      </c>
      <c r="E154" s="130">
        <f t="shared" si="40"/>
        <v>0</v>
      </c>
      <c r="F154" s="130">
        <f t="shared" si="40"/>
        <v>0</v>
      </c>
      <c r="G154" s="130">
        <f t="shared" si="40"/>
        <v>0</v>
      </c>
      <c r="H154" s="130">
        <f t="shared" si="40"/>
        <v>0</v>
      </c>
      <c r="I154" s="130">
        <f t="shared" si="40"/>
        <v>0</v>
      </c>
      <c r="J154" s="130">
        <f t="shared" si="40"/>
        <v>0</v>
      </c>
      <c r="K154" s="130">
        <f t="shared" si="40"/>
        <v>0</v>
      </c>
      <c r="L154" s="130">
        <f t="shared" si="40"/>
        <v>0</v>
      </c>
      <c r="M154" s="130">
        <f t="shared" si="40"/>
        <v>0</v>
      </c>
      <c r="N154" s="130">
        <f t="shared" si="40"/>
        <v>0</v>
      </c>
      <c r="O154" s="130">
        <f t="shared" si="40"/>
        <v>0</v>
      </c>
      <c r="P154" s="130">
        <f t="shared" si="40"/>
        <v>0</v>
      </c>
      <c r="Q154" s="130">
        <f t="shared" si="40"/>
        <v>0</v>
      </c>
      <c r="R154" s="130">
        <f t="shared" si="40"/>
        <v>0</v>
      </c>
      <c r="S154" s="130">
        <f t="shared" si="40"/>
        <v>0</v>
      </c>
      <c r="T154" s="130">
        <f t="shared" si="40"/>
        <v>0</v>
      </c>
      <c r="U154" s="130">
        <f t="shared" si="40"/>
        <v>0</v>
      </c>
      <c r="V154" s="130">
        <f t="shared" si="40"/>
        <v>0</v>
      </c>
      <c r="W154" s="130">
        <f t="shared" si="40"/>
        <v>0</v>
      </c>
      <c r="X154" s="130">
        <f t="shared" si="40"/>
        <v>0</v>
      </c>
      <c r="Y154" s="130">
        <f t="shared" si="40"/>
        <v>0</v>
      </c>
      <c r="Z154" s="130">
        <f t="shared" si="40"/>
        <v>0</v>
      </c>
      <c r="AA154" s="130">
        <f t="shared" si="40"/>
        <v>0</v>
      </c>
      <c r="AB154" s="130">
        <f t="shared" si="40"/>
        <v>0</v>
      </c>
      <c r="AC154" s="130">
        <f t="shared" si="40"/>
        <v>0</v>
      </c>
      <c r="AD154" s="130">
        <f t="shared" si="40"/>
        <v>0</v>
      </c>
      <c r="AE154" s="130">
        <f t="shared" si="40"/>
        <v>0</v>
      </c>
      <c r="AF154" s="130">
        <f t="shared" si="40"/>
        <v>0</v>
      </c>
      <c r="AG154" s="130">
        <f t="shared" si="40"/>
        <v>0</v>
      </c>
      <c r="AH154" s="130">
        <f t="shared" si="40"/>
        <v>0</v>
      </c>
      <c r="AI154" s="130">
        <f t="shared" si="40"/>
        <v>0</v>
      </c>
      <c r="AJ154" s="47" t="str">
        <f t="shared" si="30"/>
        <v/>
      </c>
      <c r="AK154" s="60"/>
      <c r="AL154" s="60" t="str">
        <f t="shared" si="33"/>
        <v>00</v>
      </c>
      <c r="AM154" s="62" t="str">
        <f t="shared" si="34"/>
        <v>00</v>
      </c>
      <c r="AN154" s="62" t="str">
        <f t="shared" si="35"/>
        <v>00</v>
      </c>
      <c r="AO154" s="62" t="str">
        <f t="shared" si="36"/>
        <v>00</v>
      </c>
      <c r="AQ154" t="str">
        <f t="shared" si="31"/>
        <v/>
      </c>
    </row>
    <row r="155" spans="2:43">
      <c r="B155" s="138"/>
      <c r="C155" s="47">
        <f t="shared" si="32"/>
        <v>19</v>
      </c>
      <c r="D155" s="130">
        <f t="shared" si="40"/>
        <v>0</v>
      </c>
      <c r="E155" s="130">
        <f t="shared" si="40"/>
        <v>0</v>
      </c>
      <c r="F155" s="130">
        <f t="shared" si="40"/>
        <v>0</v>
      </c>
      <c r="G155" s="130">
        <f t="shared" si="40"/>
        <v>0</v>
      </c>
      <c r="H155" s="130">
        <f t="shared" si="40"/>
        <v>0</v>
      </c>
      <c r="I155" s="130">
        <f t="shared" si="40"/>
        <v>0</v>
      </c>
      <c r="J155" s="130">
        <f t="shared" si="40"/>
        <v>0</v>
      </c>
      <c r="K155" s="130">
        <f t="shared" si="40"/>
        <v>0</v>
      </c>
      <c r="L155" s="130">
        <f t="shared" si="40"/>
        <v>0</v>
      </c>
      <c r="M155" s="130">
        <f t="shared" si="40"/>
        <v>0</v>
      </c>
      <c r="N155" s="130">
        <f t="shared" si="40"/>
        <v>0</v>
      </c>
      <c r="O155" s="130">
        <f t="shared" si="40"/>
        <v>0</v>
      </c>
      <c r="P155" s="130">
        <f t="shared" si="40"/>
        <v>0</v>
      </c>
      <c r="Q155" s="130">
        <f t="shared" si="40"/>
        <v>0</v>
      </c>
      <c r="R155" s="130">
        <f t="shared" si="40"/>
        <v>0</v>
      </c>
      <c r="S155" s="130">
        <f t="shared" si="40"/>
        <v>0</v>
      </c>
      <c r="T155" s="130">
        <f t="shared" si="40"/>
        <v>0</v>
      </c>
      <c r="U155" s="130">
        <f t="shared" si="40"/>
        <v>0</v>
      </c>
      <c r="V155" s="130">
        <f t="shared" si="40"/>
        <v>0</v>
      </c>
      <c r="W155" s="130">
        <f t="shared" si="40"/>
        <v>0</v>
      </c>
      <c r="X155" s="130">
        <f t="shared" si="40"/>
        <v>0</v>
      </c>
      <c r="Y155" s="130">
        <f t="shared" si="40"/>
        <v>0</v>
      </c>
      <c r="Z155" s="130">
        <f t="shared" si="40"/>
        <v>0</v>
      </c>
      <c r="AA155" s="130">
        <f t="shared" si="40"/>
        <v>0</v>
      </c>
      <c r="AB155" s="130">
        <f t="shared" si="40"/>
        <v>0</v>
      </c>
      <c r="AC155" s="130">
        <f t="shared" si="40"/>
        <v>0</v>
      </c>
      <c r="AD155" s="130">
        <f t="shared" si="40"/>
        <v>0</v>
      </c>
      <c r="AE155" s="130">
        <f t="shared" si="40"/>
        <v>0</v>
      </c>
      <c r="AF155" s="130">
        <f t="shared" si="40"/>
        <v>0</v>
      </c>
      <c r="AG155" s="130">
        <f t="shared" si="40"/>
        <v>0</v>
      </c>
      <c r="AH155" s="130">
        <f t="shared" si="40"/>
        <v>0</v>
      </c>
      <c r="AI155" s="130">
        <f t="shared" si="40"/>
        <v>0</v>
      </c>
      <c r="AJ155" s="47" t="str">
        <f t="shared" si="30"/>
        <v/>
      </c>
      <c r="AK155" s="60"/>
      <c r="AL155" s="60" t="str">
        <f t="shared" si="33"/>
        <v>00</v>
      </c>
      <c r="AM155" s="62" t="str">
        <f t="shared" si="34"/>
        <v>00</v>
      </c>
      <c r="AN155" s="62" t="str">
        <f t="shared" si="35"/>
        <v>00</v>
      </c>
      <c r="AO155" s="62" t="str">
        <f t="shared" si="36"/>
        <v>00</v>
      </c>
      <c r="AQ155" t="str">
        <f t="shared" si="31"/>
        <v/>
      </c>
    </row>
    <row r="156" spans="2:43">
      <c r="B156" s="138"/>
      <c r="C156" s="47">
        <f t="shared" si="32"/>
        <v>20</v>
      </c>
      <c r="D156" s="130">
        <f t="shared" si="40"/>
        <v>0</v>
      </c>
      <c r="E156" s="130">
        <f t="shared" si="40"/>
        <v>0</v>
      </c>
      <c r="F156" s="130">
        <f t="shared" si="40"/>
        <v>0</v>
      </c>
      <c r="G156" s="130">
        <f t="shared" si="40"/>
        <v>0</v>
      </c>
      <c r="H156" s="130">
        <f t="shared" si="40"/>
        <v>0</v>
      </c>
      <c r="I156" s="130">
        <f t="shared" si="40"/>
        <v>0</v>
      </c>
      <c r="J156" s="130">
        <f t="shared" si="40"/>
        <v>0</v>
      </c>
      <c r="K156" s="130">
        <f t="shared" si="40"/>
        <v>0</v>
      </c>
      <c r="L156" s="130">
        <f t="shared" si="40"/>
        <v>0</v>
      </c>
      <c r="M156" s="130">
        <f t="shared" si="40"/>
        <v>0</v>
      </c>
      <c r="N156" s="130">
        <f t="shared" si="40"/>
        <v>0</v>
      </c>
      <c r="O156" s="130">
        <f t="shared" si="40"/>
        <v>0</v>
      </c>
      <c r="P156" s="130">
        <f t="shared" si="40"/>
        <v>0</v>
      </c>
      <c r="Q156" s="130">
        <f t="shared" si="40"/>
        <v>0</v>
      </c>
      <c r="R156" s="130">
        <f t="shared" si="40"/>
        <v>0</v>
      </c>
      <c r="S156" s="130">
        <f t="shared" si="40"/>
        <v>0</v>
      </c>
      <c r="T156" s="130">
        <f t="shared" si="40"/>
        <v>0</v>
      </c>
      <c r="U156" s="130">
        <f t="shared" si="40"/>
        <v>0</v>
      </c>
      <c r="V156" s="130">
        <f t="shared" si="40"/>
        <v>0</v>
      </c>
      <c r="W156" s="130">
        <f t="shared" si="40"/>
        <v>0</v>
      </c>
      <c r="X156" s="130">
        <f t="shared" si="40"/>
        <v>0</v>
      </c>
      <c r="Y156" s="130">
        <f t="shared" si="40"/>
        <v>0</v>
      </c>
      <c r="Z156" s="130">
        <f t="shared" si="40"/>
        <v>0</v>
      </c>
      <c r="AA156" s="130">
        <f t="shared" si="40"/>
        <v>0</v>
      </c>
      <c r="AB156" s="130">
        <f t="shared" si="40"/>
        <v>0</v>
      </c>
      <c r="AC156" s="130">
        <f t="shared" si="40"/>
        <v>0</v>
      </c>
      <c r="AD156" s="130">
        <f t="shared" si="40"/>
        <v>0</v>
      </c>
      <c r="AE156" s="130">
        <f t="shared" si="40"/>
        <v>0</v>
      </c>
      <c r="AF156" s="130">
        <f t="shared" si="40"/>
        <v>0</v>
      </c>
      <c r="AG156" s="130">
        <f t="shared" si="40"/>
        <v>0</v>
      </c>
      <c r="AH156" s="130">
        <f t="shared" si="40"/>
        <v>0</v>
      </c>
      <c r="AI156" s="130">
        <f t="shared" si="40"/>
        <v>0</v>
      </c>
      <c r="AJ156" s="47" t="str">
        <f t="shared" si="30"/>
        <v/>
      </c>
      <c r="AK156" s="60"/>
      <c r="AL156" s="60" t="str">
        <f t="shared" si="33"/>
        <v>00</v>
      </c>
      <c r="AM156" s="62" t="str">
        <f t="shared" si="34"/>
        <v>00</v>
      </c>
      <c r="AN156" s="62" t="str">
        <f t="shared" si="35"/>
        <v>00</v>
      </c>
      <c r="AO156" s="62" t="str">
        <f t="shared" si="36"/>
        <v>00</v>
      </c>
      <c r="AQ156" t="str">
        <f t="shared" si="31"/>
        <v/>
      </c>
    </row>
    <row r="157" spans="2:43">
      <c r="B157" s="138"/>
      <c r="C157" s="47">
        <f t="shared" si="32"/>
        <v>21</v>
      </c>
      <c r="D157" s="130">
        <f t="shared" si="40"/>
        <v>0</v>
      </c>
      <c r="E157" s="130">
        <f t="shared" si="40"/>
        <v>0</v>
      </c>
      <c r="F157" s="130">
        <f t="shared" si="40"/>
        <v>0</v>
      </c>
      <c r="G157" s="130">
        <f t="shared" si="40"/>
        <v>0</v>
      </c>
      <c r="H157" s="130">
        <f t="shared" si="40"/>
        <v>0</v>
      </c>
      <c r="I157" s="130">
        <f t="shared" si="40"/>
        <v>0</v>
      </c>
      <c r="J157" s="130">
        <f t="shared" si="40"/>
        <v>0</v>
      </c>
      <c r="K157" s="130">
        <f t="shared" si="40"/>
        <v>0</v>
      </c>
      <c r="L157" s="130">
        <f t="shared" si="40"/>
        <v>0</v>
      </c>
      <c r="M157" s="130">
        <f t="shared" si="40"/>
        <v>0</v>
      </c>
      <c r="N157" s="130">
        <f t="shared" si="40"/>
        <v>0</v>
      </c>
      <c r="O157" s="130">
        <f t="shared" si="40"/>
        <v>0</v>
      </c>
      <c r="P157" s="130">
        <f t="shared" si="40"/>
        <v>0</v>
      </c>
      <c r="Q157" s="130">
        <f t="shared" si="40"/>
        <v>0</v>
      </c>
      <c r="R157" s="130">
        <f t="shared" si="40"/>
        <v>0</v>
      </c>
      <c r="S157" s="130">
        <f t="shared" si="40"/>
        <v>0</v>
      </c>
      <c r="T157" s="130">
        <f t="shared" si="40"/>
        <v>0</v>
      </c>
      <c r="U157" s="130">
        <f t="shared" si="40"/>
        <v>0</v>
      </c>
      <c r="V157" s="130">
        <f t="shared" si="40"/>
        <v>0</v>
      </c>
      <c r="W157" s="130">
        <f t="shared" si="40"/>
        <v>0</v>
      </c>
      <c r="X157" s="130">
        <f t="shared" si="40"/>
        <v>0</v>
      </c>
      <c r="Y157" s="130">
        <f t="shared" si="40"/>
        <v>0</v>
      </c>
      <c r="Z157" s="130">
        <f t="shared" si="40"/>
        <v>0</v>
      </c>
      <c r="AA157" s="130">
        <f t="shared" si="40"/>
        <v>0</v>
      </c>
      <c r="AB157" s="130">
        <f t="shared" si="40"/>
        <v>0</v>
      </c>
      <c r="AC157" s="130">
        <f t="shared" si="40"/>
        <v>0</v>
      </c>
      <c r="AD157" s="130">
        <f t="shared" si="40"/>
        <v>0</v>
      </c>
      <c r="AE157" s="130">
        <f t="shared" si="40"/>
        <v>0</v>
      </c>
      <c r="AF157" s="130">
        <f t="shared" si="40"/>
        <v>0</v>
      </c>
      <c r="AG157" s="130">
        <f t="shared" si="40"/>
        <v>0</v>
      </c>
      <c r="AH157" s="130">
        <f t="shared" si="40"/>
        <v>0</v>
      </c>
      <c r="AI157" s="130">
        <f t="shared" si="40"/>
        <v>0</v>
      </c>
      <c r="AJ157" s="47" t="str">
        <f t="shared" si="30"/>
        <v/>
      </c>
      <c r="AK157" s="60"/>
      <c r="AL157" s="60" t="str">
        <f t="shared" si="33"/>
        <v>00</v>
      </c>
      <c r="AM157" s="62" t="str">
        <f t="shared" si="34"/>
        <v>00</v>
      </c>
      <c r="AN157" s="62" t="str">
        <f t="shared" si="35"/>
        <v>00</v>
      </c>
      <c r="AO157" s="62" t="str">
        <f t="shared" si="36"/>
        <v>00</v>
      </c>
      <c r="AQ157" t="str">
        <f t="shared" si="31"/>
        <v/>
      </c>
    </row>
    <row r="158" spans="2:43">
      <c r="B158" s="138"/>
      <c r="C158" s="47">
        <f t="shared" si="32"/>
        <v>22</v>
      </c>
      <c r="D158" s="130">
        <f t="shared" si="40"/>
        <v>0</v>
      </c>
      <c r="E158" s="130">
        <f t="shared" si="40"/>
        <v>0</v>
      </c>
      <c r="F158" s="130">
        <f t="shared" si="40"/>
        <v>0</v>
      </c>
      <c r="G158" s="130">
        <f t="shared" si="40"/>
        <v>0</v>
      </c>
      <c r="H158" s="130">
        <f t="shared" si="40"/>
        <v>0</v>
      </c>
      <c r="I158" s="130">
        <f t="shared" si="40"/>
        <v>0</v>
      </c>
      <c r="J158" s="130">
        <f t="shared" si="40"/>
        <v>0</v>
      </c>
      <c r="K158" s="130">
        <f t="shared" si="40"/>
        <v>0</v>
      </c>
      <c r="L158" s="130">
        <f t="shared" si="40"/>
        <v>0</v>
      </c>
      <c r="M158" s="130">
        <f t="shared" si="40"/>
        <v>0</v>
      </c>
      <c r="N158" s="130">
        <f t="shared" si="40"/>
        <v>0</v>
      </c>
      <c r="O158" s="130">
        <f t="shared" si="40"/>
        <v>0</v>
      </c>
      <c r="P158" s="130">
        <f t="shared" si="40"/>
        <v>0</v>
      </c>
      <c r="Q158" s="130">
        <f t="shared" si="40"/>
        <v>0</v>
      </c>
      <c r="R158" s="130">
        <f t="shared" si="40"/>
        <v>0</v>
      </c>
      <c r="S158" s="130">
        <f t="shared" si="40"/>
        <v>0</v>
      </c>
      <c r="T158" s="130">
        <f t="shared" si="40"/>
        <v>0</v>
      </c>
      <c r="U158" s="130">
        <f t="shared" si="40"/>
        <v>0</v>
      </c>
      <c r="V158" s="130">
        <f t="shared" si="40"/>
        <v>0</v>
      </c>
      <c r="W158" s="130">
        <f t="shared" si="40"/>
        <v>0</v>
      </c>
      <c r="X158" s="130">
        <f t="shared" si="40"/>
        <v>0</v>
      </c>
      <c r="Y158" s="130">
        <f t="shared" si="40"/>
        <v>0</v>
      </c>
      <c r="Z158" s="130">
        <f t="shared" si="40"/>
        <v>0</v>
      </c>
      <c r="AA158" s="130">
        <f t="shared" si="40"/>
        <v>0</v>
      </c>
      <c r="AB158" s="130">
        <f t="shared" si="40"/>
        <v>0</v>
      </c>
      <c r="AC158" s="130">
        <f t="shared" si="40"/>
        <v>0</v>
      </c>
      <c r="AD158" s="130">
        <f t="shared" si="40"/>
        <v>0</v>
      </c>
      <c r="AE158" s="130">
        <f t="shared" si="40"/>
        <v>0</v>
      </c>
      <c r="AF158" s="130">
        <f t="shared" si="40"/>
        <v>0</v>
      </c>
      <c r="AG158" s="130">
        <f t="shared" si="40"/>
        <v>0</v>
      </c>
      <c r="AH158" s="130">
        <f t="shared" si="40"/>
        <v>0</v>
      </c>
      <c r="AI158" s="130">
        <f t="shared" si="40"/>
        <v>0</v>
      </c>
      <c r="AJ158" s="47" t="str">
        <f t="shared" si="30"/>
        <v/>
      </c>
      <c r="AK158" s="60"/>
      <c r="AL158" s="60" t="str">
        <f t="shared" si="33"/>
        <v>00</v>
      </c>
      <c r="AM158" s="62" t="str">
        <f t="shared" si="34"/>
        <v>00</v>
      </c>
      <c r="AN158" s="62" t="str">
        <f t="shared" si="35"/>
        <v>00</v>
      </c>
      <c r="AO158" s="62" t="str">
        <f t="shared" si="36"/>
        <v>00</v>
      </c>
      <c r="AQ158" t="str">
        <f t="shared" si="31"/>
        <v/>
      </c>
    </row>
    <row r="159" spans="2:43">
      <c r="B159" s="138"/>
      <c r="C159" s="47">
        <f t="shared" si="32"/>
        <v>23</v>
      </c>
      <c r="D159" s="130">
        <f t="shared" si="40"/>
        <v>0</v>
      </c>
      <c r="E159" s="130">
        <f t="shared" si="40"/>
        <v>0</v>
      </c>
      <c r="F159" s="130">
        <f t="shared" si="40"/>
        <v>0</v>
      </c>
      <c r="G159" s="130">
        <f t="shared" si="40"/>
        <v>0</v>
      </c>
      <c r="H159" s="130">
        <f t="shared" si="40"/>
        <v>0</v>
      </c>
      <c r="I159" s="130">
        <f t="shared" si="40"/>
        <v>0</v>
      </c>
      <c r="J159" s="130">
        <f t="shared" si="40"/>
        <v>0</v>
      </c>
      <c r="K159" s="130">
        <f t="shared" si="40"/>
        <v>0</v>
      </c>
      <c r="L159" s="130">
        <f t="shared" si="40"/>
        <v>0</v>
      </c>
      <c r="M159" s="130">
        <f t="shared" si="40"/>
        <v>0</v>
      </c>
      <c r="N159" s="130">
        <f t="shared" si="40"/>
        <v>0</v>
      </c>
      <c r="O159" s="130">
        <f t="shared" si="40"/>
        <v>0</v>
      </c>
      <c r="P159" s="130">
        <f t="shared" si="40"/>
        <v>0</v>
      </c>
      <c r="Q159" s="130">
        <f t="shared" si="40"/>
        <v>0</v>
      </c>
      <c r="R159" s="130">
        <f t="shared" si="40"/>
        <v>0</v>
      </c>
      <c r="S159" s="130">
        <f t="shared" si="40"/>
        <v>0</v>
      </c>
      <c r="T159" s="130">
        <f t="shared" si="40"/>
        <v>0</v>
      </c>
      <c r="U159" s="130">
        <f t="shared" si="40"/>
        <v>0</v>
      </c>
      <c r="V159" s="130">
        <f t="shared" si="40"/>
        <v>0</v>
      </c>
      <c r="W159" s="130">
        <f t="shared" si="40"/>
        <v>0</v>
      </c>
      <c r="X159" s="130">
        <f t="shared" si="40"/>
        <v>0</v>
      </c>
      <c r="Y159" s="130">
        <f t="shared" si="40"/>
        <v>0</v>
      </c>
      <c r="Z159" s="130">
        <f t="shared" si="40"/>
        <v>0</v>
      </c>
      <c r="AA159" s="130">
        <f t="shared" si="40"/>
        <v>0</v>
      </c>
      <c r="AB159" s="130">
        <f t="shared" si="40"/>
        <v>0</v>
      </c>
      <c r="AC159" s="130">
        <f t="shared" si="40"/>
        <v>0</v>
      </c>
      <c r="AD159" s="130">
        <f t="shared" si="40"/>
        <v>0</v>
      </c>
      <c r="AE159" s="130">
        <f t="shared" si="40"/>
        <v>0</v>
      </c>
      <c r="AF159" s="130">
        <f t="shared" si="40"/>
        <v>0</v>
      </c>
      <c r="AG159" s="130">
        <f t="shared" si="40"/>
        <v>0</v>
      </c>
      <c r="AH159" s="130">
        <f t="shared" si="40"/>
        <v>0</v>
      </c>
      <c r="AI159" s="130">
        <f t="shared" ref="AI159" si="41">IF(OR(AI29=0,AI29=1),1,0)</f>
        <v>0</v>
      </c>
      <c r="AJ159" s="47" t="str">
        <f t="shared" si="30"/>
        <v/>
      </c>
      <c r="AK159" s="60"/>
      <c r="AL159" s="60" t="str">
        <f t="shared" si="33"/>
        <v>00</v>
      </c>
      <c r="AM159" s="62" t="str">
        <f t="shared" si="34"/>
        <v>00</v>
      </c>
      <c r="AN159" s="62" t="str">
        <f t="shared" si="35"/>
        <v>00</v>
      </c>
      <c r="AO159" s="62" t="str">
        <f t="shared" si="36"/>
        <v>00</v>
      </c>
      <c r="AQ159" t="str">
        <f t="shared" si="31"/>
        <v/>
      </c>
    </row>
    <row r="160" spans="2:43">
      <c r="B160" s="138"/>
      <c r="C160" s="47">
        <f t="shared" si="32"/>
        <v>24</v>
      </c>
      <c r="D160" s="130">
        <f t="shared" ref="D160:AI167" si="42">IF(OR(D30=0,D30=1),1,0)</f>
        <v>0</v>
      </c>
      <c r="E160" s="130">
        <f t="shared" si="42"/>
        <v>0</v>
      </c>
      <c r="F160" s="130">
        <f t="shared" si="42"/>
        <v>0</v>
      </c>
      <c r="G160" s="130">
        <f t="shared" si="42"/>
        <v>0</v>
      </c>
      <c r="H160" s="130">
        <f t="shared" si="42"/>
        <v>0</v>
      </c>
      <c r="I160" s="130">
        <f t="shared" si="42"/>
        <v>0</v>
      </c>
      <c r="J160" s="130">
        <f t="shared" si="42"/>
        <v>0</v>
      </c>
      <c r="K160" s="130">
        <f t="shared" si="42"/>
        <v>0</v>
      </c>
      <c r="L160" s="130">
        <f t="shared" si="42"/>
        <v>0</v>
      </c>
      <c r="M160" s="130">
        <f t="shared" si="42"/>
        <v>0</v>
      </c>
      <c r="N160" s="130">
        <f t="shared" si="42"/>
        <v>0</v>
      </c>
      <c r="O160" s="130">
        <f t="shared" si="42"/>
        <v>0</v>
      </c>
      <c r="P160" s="130">
        <f t="shared" si="42"/>
        <v>0</v>
      </c>
      <c r="Q160" s="130">
        <f t="shared" si="42"/>
        <v>0</v>
      </c>
      <c r="R160" s="130">
        <f t="shared" si="42"/>
        <v>0</v>
      </c>
      <c r="S160" s="130">
        <f t="shared" si="42"/>
        <v>0</v>
      </c>
      <c r="T160" s="130">
        <f t="shared" si="42"/>
        <v>0</v>
      </c>
      <c r="U160" s="130">
        <f t="shared" si="42"/>
        <v>0</v>
      </c>
      <c r="V160" s="130">
        <f t="shared" si="42"/>
        <v>0</v>
      </c>
      <c r="W160" s="130">
        <f t="shared" si="42"/>
        <v>0</v>
      </c>
      <c r="X160" s="130">
        <f t="shared" si="42"/>
        <v>0</v>
      </c>
      <c r="Y160" s="130">
        <f t="shared" si="42"/>
        <v>0</v>
      </c>
      <c r="Z160" s="130">
        <f t="shared" si="42"/>
        <v>0</v>
      </c>
      <c r="AA160" s="130">
        <f t="shared" si="42"/>
        <v>0</v>
      </c>
      <c r="AB160" s="130">
        <f t="shared" si="42"/>
        <v>0</v>
      </c>
      <c r="AC160" s="130">
        <f t="shared" si="42"/>
        <v>0</v>
      </c>
      <c r="AD160" s="130">
        <f t="shared" si="42"/>
        <v>0</v>
      </c>
      <c r="AE160" s="130">
        <f t="shared" si="42"/>
        <v>0</v>
      </c>
      <c r="AF160" s="130">
        <f t="shared" si="42"/>
        <v>0</v>
      </c>
      <c r="AG160" s="130">
        <f t="shared" si="42"/>
        <v>0</v>
      </c>
      <c r="AH160" s="130">
        <f t="shared" si="42"/>
        <v>0</v>
      </c>
      <c r="AI160" s="130">
        <f t="shared" si="42"/>
        <v>0</v>
      </c>
      <c r="AJ160" s="47" t="str">
        <f t="shared" si="30"/>
        <v/>
      </c>
      <c r="AK160" s="60"/>
      <c r="AL160" s="60" t="str">
        <f t="shared" si="33"/>
        <v>00</v>
      </c>
      <c r="AM160" s="62" t="str">
        <f t="shared" si="34"/>
        <v>00</v>
      </c>
      <c r="AN160" s="62" t="str">
        <f t="shared" si="35"/>
        <v>00</v>
      </c>
      <c r="AO160" s="62" t="str">
        <f t="shared" si="36"/>
        <v>00</v>
      </c>
      <c r="AQ160" t="str">
        <f t="shared" si="31"/>
        <v/>
      </c>
    </row>
    <row r="161" spans="2:43">
      <c r="B161" s="138"/>
      <c r="C161" s="47">
        <f t="shared" si="32"/>
        <v>25</v>
      </c>
      <c r="D161" s="130">
        <f t="shared" si="42"/>
        <v>0</v>
      </c>
      <c r="E161" s="130">
        <f t="shared" si="42"/>
        <v>0</v>
      </c>
      <c r="F161" s="130">
        <f t="shared" si="42"/>
        <v>0</v>
      </c>
      <c r="G161" s="130">
        <f t="shared" si="42"/>
        <v>0</v>
      </c>
      <c r="H161" s="130">
        <f t="shared" si="42"/>
        <v>0</v>
      </c>
      <c r="I161" s="130">
        <f t="shared" si="42"/>
        <v>0</v>
      </c>
      <c r="J161" s="130">
        <f t="shared" si="42"/>
        <v>0</v>
      </c>
      <c r="K161" s="130">
        <f t="shared" si="42"/>
        <v>0</v>
      </c>
      <c r="L161" s="130">
        <f t="shared" si="42"/>
        <v>0</v>
      </c>
      <c r="M161" s="130">
        <f t="shared" si="42"/>
        <v>0</v>
      </c>
      <c r="N161" s="130">
        <f t="shared" si="42"/>
        <v>0</v>
      </c>
      <c r="O161" s="130">
        <f t="shared" si="42"/>
        <v>0</v>
      </c>
      <c r="P161" s="130">
        <f t="shared" si="42"/>
        <v>0</v>
      </c>
      <c r="Q161" s="130">
        <f t="shared" si="42"/>
        <v>0</v>
      </c>
      <c r="R161" s="130">
        <f t="shared" si="42"/>
        <v>0</v>
      </c>
      <c r="S161" s="130">
        <f t="shared" si="42"/>
        <v>0</v>
      </c>
      <c r="T161" s="130">
        <f t="shared" si="42"/>
        <v>0</v>
      </c>
      <c r="U161" s="130">
        <f t="shared" si="42"/>
        <v>0</v>
      </c>
      <c r="V161" s="130">
        <f t="shared" si="42"/>
        <v>0</v>
      </c>
      <c r="W161" s="130">
        <f t="shared" si="42"/>
        <v>0</v>
      </c>
      <c r="X161" s="130">
        <f t="shared" si="42"/>
        <v>0</v>
      </c>
      <c r="Y161" s="130">
        <f t="shared" si="42"/>
        <v>0</v>
      </c>
      <c r="Z161" s="130">
        <f t="shared" si="42"/>
        <v>0</v>
      </c>
      <c r="AA161" s="130">
        <f t="shared" si="42"/>
        <v>0</v>
      </c>
      <c r="AB161" s="130">
        <f t="shared" si="42"/>
        <v>0</v>
      </c>
      <c r="AC161" s="130">
        <f t="shared" si="42"/>
        <v>0</v>
      </c>
      <c r="AD161" s="130">
        <f t="shared" si="42"/>
        <v>0</v>
      </c>
      <c r="AE161" s="130">
        <f t="shared" si="42"/>
        <v>0</v>
      </c>
      <c r="AF161" s="130">
        <f t="shared" si="42"/>
        <v>0</v>
      </c>
      <c r="AG161" s="130">
        <f t="shared" si="42"/>
        <v>0</v>
      </c>
      <c r="AH161" s="130">
        <f t="shared" si="42"/>
        <v>0</v>
      </c>
      <c r="AI161" s="130">
        <f t="shared" si="42"/>
        <v>0</v>
      </c>
      <c r="AJ161" s="47" t="str">
        <f t="shared" si="30"/>
        <v/>
      </c>
      <c r="AK161" s="60"/>
      <c r="AL161" s="60" t="str">
        <f t="shared" si="33"/>
        <v>00</v>
      </c>
      <c r="AM161" s="62" t="str">
        <f t="shared" si="34"/>
        <v>00</v>
      </c>
      <c r="AN161" s="62" t="str">
        <f t="shared" si="35"/>
        <v>00</v>
      </c>
      <c r="AO161" s="62" t="str">
        <f t="shared" si="36"/>
        <v>00</v>
      </c>
      <c r="AQ161" t="str">
        <f t="shared" si="31"/>
        <v/>
      </c>
    </row>
    <row r="162" spans="2:43">
      <c r="B162" s="138"/>
      <c r="C162" s="47">
        <f t="shared" si="32"/>
        <v>26</v>
      </c>
      <c r="D162" s="130">
        <f t="shared" si="42"/>
        <v>0</v>
      </c>
      <c r="E162" s="130">
        <f t="shared" si="42"/>
        <v>0</v>
      </c>
      <c r="F162" s="130">
        <f t="shared" si="42"/>
        <v>0</v>
      </c>
      <c r="G162" s="130">
        <f t="shared" si="42"/>
        <v>0</v>
      </c>
      <c r="H162" s="130">
        <f t="shared" si="42"/>
        <v>0</v>
      </c>
      <c r="I162" s="130">
        <f t="shared" si="42"/>
        <v>0</v>
      </c>
      <c r="J162" s="130">
        <f t="shared" si="42"/>
        <v>0</v>
      </c>
      <c r="K162" s="130">
        <f t="shared" si="42"/>
        <v>0</v>
      </c>
      <c r="L162" s="130">
        <f t="shared" si="42"/>
        <v>0</v>
      </c>
      <c r="M162" s="130">
        <f t="shared" si="42"/>
        <v>0</v>
      </c>
      <c r="N162" s="130">
        <f t="shared" si="42"/>
        <v>0</v>
      </c>
      <c r="O162" s="130">
        <f t="shared" si="42"/>
        <v>0</v>
      </c>
      <c r="P162" s="130">
        <f t="shared" si="42"/>
        <v>0</v>
      </c>
      <c r="Q162" s="130">
        <f t="shared" si="42"/>
        <v>0</v>
      </c>
      <c r="R162" s="130">
        <f t="shared" si="42"/>
        <v>0</v>
      </c>
      <c r="S162" s="130">
        <f t="shared" si="42"/>
        <v>0</v>
      </c>
      <c r="T162" s="130">
        <f t="shared" si="42"/>
        <v>0</v>
      </c>
      <c r="U162" s="130">
        <f t="shared" si="42"/>
        <v>0</v>
      </c>
      <c r="V162" s="130">
        <f t="shared" si="42"/>
        <v>0</v>
      </c>
      <c r="W162" s="130">
        <f t="shared" si="42"/>
        <v>0</v>
      </c>
      <c r="X162" s="130">
        <f t="shared" si="42"/>
        <v>0</v>
      </c>
      <c r="Y162" s="130">
        <f t="shared" si="42"/>
        <v>0</v>
      </c>
      <c r="Z162" s="130">
        <f t="shared" si="42"/>
        <v>0</v>
      </c>
      <c r="AA162" s="130">
        <f t="shared" si="42"/>
        <v>0</v>
      </c>
      <c r="AB162" s="130">
        <f t="shared" si="42"/>
        <v>0</v>
      </c>
      <c r="AC162" s="130">
        <f t="shared" si="42"/>
        <v>0</v>
      </c>
      <c r="AD162" s="130">
        <f t="shared" si="42"/>
        <v>0</v>
      </c>
      <c r="AE162" s="130">
        <f t="shared" si="42"/>
        <v>0</v>
      </c>
      <c r="AF162" s="130">
        <f t="shared" si="42"/>
        <v>0</v>
      </c>
      <c r="AG162" s="130">
        <f t="shared" si="42"/>
        <v>0</v>
      </c>
      <c r="AH162" s="130">
        <f t="shared" si="42"/>
        <v>0</v>
      </c>
      <c r="AI162" s="130">
        <f t="shared" si="42"/>
        <v>0</v>
      </c>
      <c r="AJ162" s="47" t="str">
        <f t="shared" si="30"/>
        <v/>
      </c>
      <c r="AK162" s="60"/>
      <c r="AL162" s="60" t="str">
        <f t="shared" si="33"/>
        <v>00</v>
      </c>
      <c r="AM162" s="62" t="str">
        <f t="shared" si="34"/>
        <v>00</v>
      </c>
      <c r="AN162" s="62" t="str">
        <f t="shared" si="35"/>
        <v>00</v>
      </c>
      <c r="AO162" s="62" t="str">
        <f t="shared" si="36"/>
        <v>00</v>
      </c>
      <c r="AQ162" t="str">
        <f t="shared" si="31"/>
        <v/>
      </c>
    </row>
    <row r="163" spans="2:43">
      <c r="B163" s="138"/>
      <c r="C163" s="47">
        <f t="shared" si="32"/>
        <v>27</v>
      </c>
      <c r="D163" s="130">
        <f t="shared" si="42"/>
        <v>0</v>
      </c>
      <c r="E163" s="130">
        <f t="shared" si="42"/>
        <v>0</v>
      </c>
      <c r="F163" s="130">
        <f t="shared" si="42"/>
        <v>0</v>
      </c>
      <c r="G163" s="130">
        <f t="shared" si="42"/>
        <v>0</v>
      </c>
      <c r="H163" s="130">
        <f t="shared" si="42"/>
        <v>0</v>
      </c>
      <c r="I163" s="130">
        <f t="shared" si="42"/>
        <v>0</v>
      </c>
      <c r="J163" s="130">
        <f t="shared" si="42"/>
        <v>0</v>
      </c>
      <c r="K163" s="130">
        <f t="shared" si="42"/>
        <v>0</v>
      </c>
      <c r="L163" s="130">
        <f t="shared" si="42"/>
        <v>0</v>
      </c>
      <c r="M163" s="130">
        <f t="shared" si="42"/>
        <v>0</v>
      </c>
      <c r="N163" s="130">
        <f t="shared" si="42"/>
        <v>0</v>
      </c>
      <c r="O163" s="130">
        <f t="shared" si="42"/>
        <v>0</v>
      </c>
      <c r="P163" s="130">
        <f t="shared" si="42"/>
        <v>0</v>
      </c>
      <c r="Q163" s="130">
        <f t="shared" si="42"/>
        <v>0</v>
      </c>
      <c r="R163" s="130">
        <f t="shared" si="42"/>
        <v>0</v>
      </c>
      <c r="S163" s="130">
        <f t="shared" si="42"/>
        <v>0</v>
      </c>
      <c r="T163" s="130">
        <f t="shared" si="42"/>
        <v>0</v>
      </c>
      <c r="U163" s="130">
        <f t="shared" si="42"/>
        <v>0</v>
      </c>
      <c r="V163" s="130">
        <f t="shared" si="42"/>
        <v>0</v>
      </c>
      <c r="W163" s="130">
        <f t="shared" si="42"/>
        <v>0</v>
      </c>
      <c r="X163" s="130">
        <f t="shared" si="42"/>
        <v>0</v>
      </c>
      <c r="Y163" s="130">
        <f t="shared" si="42"/>
        <v>0</v>
      </c>
      <c r="Z163" s="130">
        <f t="shared" si="42"/>
        <v>0</v>
      </c>
      <c r="AA163" s="130">
        <f t="shared" si="42"/>
        <v>0</v>
      </c>
      <c r="AB163" s="130">
        <f t="shared" si="42"/>
        <v>0</v>
      </c>
      <c r="AC163" s="130">
        <f t="shared" si="42"/>
        <v>0</v>
      </c>
      <c r="AD163" s="130">
        <f t="shared" si="42"/>
        <v>0</v>
      </c>
      <c r="AE163" s="130">
        <f t="shared" si="42"/>
        <v>0</v>
      </c>
      <c r="AF163" s="130">
        <f t="shared" si="42"/>
        <v>0</v>
      </c>
      <c r="AG163" s="130">
        <f t="shared" si="42"/>
        <v>0</v>
      </c>
      <c r="AH163" s="130">
        <f t="shared" si="42"/>
        <v>0</v>
      </c>
      <c r="AI163" s="130">
        <f t="shared" si="42"/>
        <v>0</v>
      </c>
      <c r="AJ163" s="47" t="str">
        <f t="shared" si="30"/>
        <v/>
      </c>
      <c r="AK163" s="60"/>
      <c r="AL163" s="60" t="str">
        <f t="shared" si="33"/>
        <v>00</v>
      </c>
      <c r="AM163" s="62" t="str">
        <f t="shared" si="34"/>
        <v>00</v>
      </c>
      <c r="AN163" s="62" t="str">
        <f t="shared" si="35"/>
        <v>00</v>
      </c>
      <c r="AO163" s="62" t="str">
        <f t="shared" si="36"/>
        <v>00</v>
      </c>
      <c r="AQ163" t="str">
        <f t="shared" si="31"/>
        <v/>
      </c>
    </row>
    <row r="164" spans="2:43">
      <c r="B164" s="138"/>
      <c r="C164" s="47">
        <f t="shared" si="32"/>
        <v>28</v>
      </c>
      <c r="D164" s="130">
        <f t="shared" si="42"/>
        <v>0</v>
      </c>
      <c r="E164" s="130">
        <f t="shared" si="42"/>
        <v>0</v>
      </c>
      <c r="F164" s="130">
        <f t="shared" si="42"/>
        <v>0</v>
      </c>
      <c r="G164" s="130">
        <f t="shared" si="42"/>
        <v>0</v>
      </c>
      <c r="H164" s="130">
        <f t="shared" si="42"/>
        <v>0</v>
      </c>
      <c r="I164" s="130">
        <f t="shared" si="42"/>
        <v>0</v>
      </c>
      <c r="J164" s="130">
        <f t="shared" si="42"/>
        <v>0</v>
      </c>
      <c r="K164" s="130">
        <f t="shared" si="42"/>
        <v>0</v>
      </c>
      <c r="L164" s="130">
        <f t="shared" si="42"/>
        <v>0</v>
      </c>
      <c r="M164" s="130">
        <f t="shared" si="42"/>
        <v>0</v>
      </c>
      <c r="N164" s="130">
        <f t="shared" si="42"/>
        <v>0</v>
      </c>
      <c r="O164" s="130">
        <f t="shared" si="42"/>
        <v>0</v>
      </c>
      <c r="P164" s="130">
        <f t="shared" si="42"/>
        <v>0</v>
      </c>
      <c r="Q164" s="130">
        <f t="shared" si="42"/>
        <v>0</v>
      </c>
      <c r="R164" s="130">
        <f t="shared" si="42"/>
        <v>0</v>
      </c>
      <c r="S164" s="130">
        <f t="shared" si="42"/>
        <v>0</v>
      </c>
      <c r="T164" s="130">
        <f t="shared" si="42"/>
        <v>0</v>
      </c>
      <c r="U164" s="130">
        <f t="shared" si="42"/>
        <v>0</v>
      </c>
      <c r="V164" s="130">
        <f t="shared" si="42"/>
        <v>0</v>
      </c>
      <c r="W164" s="130">
        <f t="shared" si="42"/>
        <v>0</v>
      </c>
      <c r="X164" s="130">
        <f t="shared" si="42"/>
        <v>0</v>
      </c>
      <c r="Y164" s="130">
        <f t="shared" si="42"/>
        <v>0</v>
      </c>
      <c r="Z164" s="130">
        <f t="shared" si="42"/>
        <v>0</v>
      </c>
      <c r="AA164" s="130">
        <f t="shared" si="42"/>
        <v>0</v>
      </c>
      <c r="AB164" s="130">
        <f t="shared" si="42"/>
        <v>0</v>
      </c>
      <c r="AC164" s="130">
        <f t="shared" si="42"/>
        <v>0</v>
      </c>
      <c r="AD164" s="130">
        <f t="shared" si="42"/>
        <v>0</v>
      </c>
      <c r="AE164" s="130">
        <f t="shared" si="42"/>
        <v>0</v>
      </c>
      <c r="AF164" s="130">
        <f t="shared" si="42"/>
        <v>0</v>
      </c>
      <c r="AG164" s="130">
        <f t="shared" si="42"/>
        <v>0</v>
      </c>
      <c r="AH164" s="130">
        <f t="shared" si="42"/>
        <v>0</v>
      </c>
      <c r="AI164" s="130">
        <f t="shared" si="42"/>
        <v>0</v>
      </c>
      <c r="AJ164" s="47" t="str">
        <f t="shared" si="30"/>
        <v/>
      </c>
      <c r="AK164" s="60"/>
      <c r="AL164" s="60" t="str">
        <f t="shared" si="33"/>
        <v>00</v>
      </c>
      <c r="AM164" s="62" t="str">
        <f t="shared" si="34"/>
        <v>00</v>
      </c>
      <c r="AN164" s="62" t="str">
        <f t="shared" si="35"/>
        <v>00</v>
      </c>
      <c r="AO164" s="62" t="str">
        <f t="shared" si="36"/>
        <v>00</v>
      </c>
      <c r="AQ164" t="str">
        <f t="shared" si="31"/>
        <v/>
      </c>
    </row>
    <row r="165" spans="2:43">
      <c r="B165" s="138"/>
      <c r="C165" s="47">
        <f t="shared" si="32"/>
        <v>29</v>
      </c>
      <c r="D165" s="130">
        <f t="shared" si="42"/>
        <v>0</v>
      </c>
      <c r="E165" s="130">
        <f t="shared" si="42"/>
        <v>0</v>
      </c>
      <c r="F165" s="130">
        <f t="shared" si="42"/>
        <v>0</v>
      </c>
      <c r="G165" s="130">
        <f t="shared" si="42"/>
        <v>0</v>
      </c>
      <c r="H165" s="130">
        <f t="shared" si="42"/>
        <v>0</v>
      </c>
      <c r="I165" s="130">
        <f t="shared" si="42"/>
        <v>0</v>
      </c>
      <c r="J165" s="130">
        <f t="shared" si="42"/>
        <v>0</v>
      </c>
      <c r="K165" s="130">
        <f t="shared" si="42"/>
        <v>0</v>
      </c>
      <c r="L165" s="130">
        <f t="shared" si="42"/>
        <v>0</v>
      </c>
      <c r="M165" s="130">
        <f t="shared" si="42"/>
        <v>0</v>
      </c>
      <c r="N165" s="130">
        <f t="shared" si="42"/>
        <v>0</v>
      </c>
      <c r="O165" s="130">
        <f t="shared" si="42"/>
        <v>0</v>
      </c>
      <c r="P165" s="130">
        <f t="shared" si="42"/>
        <v>0</v>
      </c>
      <c r="Q165" s="130">
        <f t="shared" si="42"/>
        <v>0</v>
      </c>
      <c r="R165" s="130">
        <f t="shared" si="42"/>
        <v>0</v>
      </c>
      <c r="S165" s="130">
        <f t="shared" si="42"/>
        <v>0</v>
      </c>
      <c r="T165" s="130">
        <f t="shared" si="42"/>
        <v>0</v>
      </c>
      <c r="U165" s="130">
        <f t="shared" si="42"/>
        <v>0</v>
      </c>
      <c r="V165" s="130">
        <f t="shared" si="42"/>
        <v>0</v>
      </c>
      <c r="W165" s="130">
        <f t="shared" si="42"/>
        <v>0</v>
      </c>
      <c r="X165" s="130">
        <f t="shared" si="42"/>
        <v>0</v>
      </c>
      <c r="Y165" s="130">
        <f t="shared" si="42"/>
        <v>0</v>
      </c>
      <c r="Z165" s="130">
        <f t="shared" si="42"/>
        <v>0</v>
      </c>
      <c r="AA165" s="130">
        <f t="shared" si="42"/>
        <v>0</v>
      </c>
      <c r="AB165" s="130">
        <f t="shared" si="42"/>
        <v>0</v>
      </c>
      <c r="AC165" s="130">
        <f t="shared" si="42"/>
        <v>0</v>
      </c>
      <c r="AD165" s="130">
        <f t="shared" si="42"/>
        <v>0</v>
      </c>
      <c r="AE165" s="130">
        <f t="shared" si="42"/>
        <v>0</v>
      </c>
      <c r="AF165" s="130">
        <f t="shared" si="42"/>
        <v>0</v>
      </c>
      <c r="AG165" s="130">
        <f t="shared" si="42"/>
        <v>0</v>
      </c>
      <c r="AH165" s="130">
        <f t="shared" si="42"/>
        <v>0</v>
      </c>
      <c r="AI165" s="130">
        <f t="shared" si="42"/>
        <v>0</v>
      </c>
      <c r="AJ165" s="47" t="str">
        <f t="shared" si="30"/>
        <v/>
      </c>
      <c r="AK165" s="60"/>
      <c r="AL165" s="60" t="str">
        <f t="shared" si="33"/>
        <v>00</v>
      </c>
      <c r="AM165" s="62" t="str">
        <f t="shared" si="34"/>
        <v>00</v>
      </c>
      <c r="AN165" s="62" t="str">
        <f t="shared" si="35"/>
        <v>00</v>
      </c>
      <c r="AO165" s="62" t="str">
        <f t="shared" si="36"/>
        <v>00</v>
      </c>
      <c r="AQ165" t="str">
        <f t="shared" si="31"/>
        <v/>
      </c>
    </row>
    <row r="166" spans="2:43">
      <c r="B166" s="138"/>
      <c r="C166" s="47">
        <f t="shared" si="32"/>
        <v>30</v>
      </c>
      <c r="D166" s="130">
        <f t="shared" si="42"/>
        <v>0</v>
      </c>
      <c r="E166" s="130">
        <f t="shared" si="42"/>
        <v>0</v>
      </c>
      <c r="F166" s="130">
        <f t="shared" si="42"/>
        <v>0</v>
      </c>
      <c r="G166" s="130">
        <f t="shared" si="42"/>
        <v>0</v>
      </c>
      <c r="H166" s="130">
        <f t="shared" si="42"/>
        <v>0</v>
      </c>
      <c r="I166" s="130">
        <f t="shared" si="42"/>
        <v>0</v>
      </c>
      <c r="J166" s="130">
        <f t="shared" si="42"/>
        <v>0</v>
      </c>
      <c r="K166" s="130">
        <f t="shared" si="42"/>
        <v>0</v>
      </c>
      <c r="L166" s="130">
        <f t="shared" si="42"/>
        <v>0</v>
      </c>
      <c r="M166" s="130">
        <f t="shared" si="42"/>
        <v>0</v>
      </c>
      <c r="N166" s="130">
        <f t="shared" si="42"/>
        <v>0</v>
      </c>
      <c r="O166" s="130">
        <f t="shared" si="42"/>
        <v>0</v>
      </c>
      <c r="P166" s="130">
        <f t="shared" si="42"/>
        <v>0</v>
      </c>
      <c r="Q166" s="130">
        <f t="shared" si="42"/>
        <v>0</v>
      </c>
      <c r="R166" s="130">
        <f t="shared" si="42"/>
        <v>0</v>
      </c>
      <c r="S166" s="130">
        <f t="shared" si="42"/>
        <v>0</v>
      </c>
      <c r="T166" s="130">
        <f t="shared" si="42"/>
        <v>0</v>
      </c>
      <c r="U166" s="130">
        <f t="shared" si="42"/>
        <v>0</v>
      </c>
      <c r="V166" s="130">
        <f t="shared" si="42"/>
        <v>0</v>
      </c>
      <c r="W166" s="130">
        <f t="shared" si="42"/>
        <v>0</v>
      </c>
      <c r="X166" s="130">
        <f t="shared" si="42"/>
        <v>0</v>
      </c>
      <c r="Y166" s="130">
        <f t="shared" si="42"/>
        <v>0</v>
      </c>
      <c r="Z166" s="130">
        <f t="shared" si="42"/>
        <v>0</v>
      </c>
      <c r="AA166" s="130">
        <f t="shared" si="42"/>
        <v>0</v>
      </c>
      <c r="AB166" s="130">
        <f t="shared" si="42"/>
        <v>0</v>
      </c>
      <c r="AC166" s="130">
        <f t="shared" si="42"/>
        <v>0</v>
      </c>
      <c r="AD166" s="130">
        <f t="shared" si="42"/>
        <v>0</v>
      </c>
      <c r="AE166" s="130">
        <f t="shared" si="42"/>
        <v>0</v>
      </c>
      <c r="AF166" s="130">
        <f t="shared" si="42"/>
        <v>0</v>
      </c>
      <c r="AG166" s="130">
        <f t="shared" si="42"/>
        <v>0</v>
      </c>
      <c r="AH166" s="130">
        <f t="shared" si="42"/>
        <v>0</v>
      </c>
      <c r="AI166" s="130">
        <f t="shared" si="42"/>
        <v>0</v>
      </c>
      <c r="AJ166" s="47" t="str">
        <f t="shared" si="30"/>
        <v/>
      </c>
      <c r="AK166" s="60"/>
      <c r="AL166" s="60" t="str">
        <f t="shared" si="33"/>
        <v>00</v>
      </c>
      <c r="AM166" s="62" t="str">
        <f t="shared" si="34"/>
        <v>00</v>
      </c>
      <c r="AN166" s="62" t="str">
        <f t="shared" si="35"/>
        <v>00</v>
      </c>
      <c r="AO166" s="62" t="str">
        <f t="shared" si="36"/>
        <v>00</v>
      </c>
      <c r="AQ166" t="str">
        <f t="shared" si="31"/>
        <v/>
      </c>
    </row>
    <row r="167" spans="2:43">
      <c r="B167" s="138"/>
      <c r="C167" s="47">
        <f t="shared" si="32"/>
        <v>31</v>
      </c>
      <c r="D167" s="130">
        <f t="shared" si="42"/>
        <v>0</v>
      </c>
      <c r="E167" s="130">
        <f t="shared" si="42"/>
        <v>0</v>
      </c>
      <c r="F167" s="130">
        <f t="shared" si="42"/>
        <v>0</v>
      </c>
      <c r="G167" s="130">
        <f t="shared" si="42"/>
        <v>0</v>
      </c>
      <c r="H167" s="130">
        <f t="shared" si="42"/>
        <v>0</v>
      </c>
      <c r="I167" s="130">
        <f t="shared" si="42"/>
        <v>0</v>
      </c>
      <c r="J167" s="130">
        <f t="shared" si="42"/>
        <v>0</v>
      </c>
      <c r="K167" s="130">
        <f t="shared" si="42"/>
        <v>0</v>
      </c>
      <c r="L167" s="130">
        <f t="shared" si="42"/>
        <v>0</v>
      </c>
      <c r="M167" s="130">
        <f t="shared" si="42"/>
        <v>0</v>
      </c>
      <c r="N167" s="130">
        <f t="shared" si="42"/>
        <v>0</v>
      </c>
      <c r="O167" s="130">
        <f t="shared" si="42"/>
        <v>0</v>
      </c>
      <c r="P167" s="130">
        <f t="shared" si="42"/>
        <v>0</v>
      </c>
      <c r="Q167" s="130">
        <f t="shared" si="42"/>
        <v>0</v>
      </c>
      <c r="R167" s="130">
        <f t="shared" si="42"/>
        <v>0</v>
      </c>
      <c r="S167" s="130">
        <f t="shared" si="42"/>
        <v>0</v>
      </c>
      <c r="T167" s="130">
        <f t="shared" si="42"/>
        <v>0</v>
      </c>
      <c r="U167" s="130">
        <f t="shared" si="42"/>
        <v>0</v>
      </c>
      <c r="V167" s="130">
        <f t="shared" si="42"/>
        <v>0</v>
      </c>
      <c r="W167" s="130">
        <f t="shared" si="42"/>
        <v>0</v>
      </c>
      <c r="X167" s="130">
        <f t="shared" si="42"/>
        <v>0</v>
      </c>
      <c r="Y167" s="130">
        <f t="shared" si="42"/>
        <v>0</v>
      </c>
      <c r="Z167" s="130">
        <f t="shared" si="42"/>
        <v>0</v>
      </c>
      <c r="AA167" s="130">
        <f t="shared" si="42"/>
        <v>0</v>
      </c>
      <c r="AB167" s="130">
        <f t="shared" si="42"/>
        <v>0</v>
      </c>
      <c r="AC167" s="130">
        <f t="shared" si="42"/>
        <v>0</v>
      </c>
      <c r="AD167" s="130">
        <f t="shared" si="42"/>
        <v>0</v>
      </c>
      <c r="AE167" s="130">
        <f t="shared" si="42"/>
        <v>0</v>
      </c>
      <c r="AF167" s="130">
        <f t="shared" si="42"/>
        <v>0</v>
      </c>
      <c r="AG167" s="130">
        <f t="shared" si="42"/>
        <v>0</v>
      </c>
      <c r="AH167" s="130">
        <f t="shared" si="42"/>
        <v>0</v>
      </c>
      <c r="AI167" s="130">
        <f t="shared" ref="AI167" si="43">IF(OR(AI37=0,AI37=1),1,0)</f>
        <v>0</v>
      </c>
      <c r="AJ167" s="47" t="str">
        <f t="shared" si="30"/>
        <v/>
      </c>
      <c r="AK167" s="60"/>
      <c r="AL167" s="60" t="str">
        <f t="shared" si="33"/>
        <v>00</v>
      </c>
      <c r="AM167" s="62" t="str">
        <f t="shared" si="34"/>
        <v>00</v>
      </c>
      <c r="AN167" s="62" t="str">
        <f t="shared" si="35"/>
        <v>00</v>
      </c>
      <c r="AO167" s="62" t="str">
        <f t="shared" si="36"/>
        <v>00</v>
      </c>
      <c r="AQ167" t="str">
        <f t="shared" si="31"/>
        <v/>
      </c>
    </row>
    <row r="168" spans="2:43">
      <c r="B168" s="138"/>
      <c r="C168" s="47">
        <f t="shared" si="32"/>
        <v>32</v>
      </c>
      <c r="D168" s="130">
        <f t="shared" ref="D168:AI175" si="44">IF(OR(D38=0,D38=1),1,0)</f>
        <v>0</v>
      </c>
      <c r="E168" s="130">
        <f t="shared" si="44"/>
        <v>0</v>
      </c>
      <c r="F168" s="130">
        <f t="shared" si="44"/>
        <v>0</v>
      </c>
      <c r="G168" s="130">
        <f t="shared" si="44"/>
        <v>0</v>
      </c>
      <c r="H168" s="130">
        <f t="shared" si="44"/>
        <v>0</v>
      </c>
      <c r="I168" s="130">
        <f t="shared" si="44"/>
        <v>0</v>
      </c>
      <c r="J168" s="130">
        <f t="shared" si="44"/>
        <v>0</v>
      </c>
      <c r="K168" s="130">
        <f t="shared" si="44"/>
        <v>0</v>
      </c>
      <c r="L168" s="130">
        <f t="shared" si="44"/>
        <v>0</v>
      </c>
      <c r="M168" s="130">
        <f t="shared" si="44"/>
        <v>0</v>
      </c>
      <c r="N168" s="130">
        <f t="shared" si="44"/>
        <v>0</v>
      </c>
      <c r="O168" s="130">
        <f t="shared" si="44"/>
        <v>0</v>
      </c>
      <c r="P168" s="130">
        <f t="shared" si="44"/>
        <v>0</v>
      </c>
      <c r="Q168" s="130">
        <f t="shared" si="44"/>
        <v>0</v>
      </c>
      <c r="R168" s="130">
        <f t="shared" si="44"/>
        <v>0</v>
      </c>
      <c r="S168" s="130">
        <f t="shared" si="44"/>
        <v>0</v>
      </c>
      <c r="T168" s="130">
        <f t="shared" si="44"/>
        <v>0</v>
      </c>
      <c r="U168" s="130">
        <f t="shared" si="44"/>
        <v>0</v>
      </c>
      <c r="V168" s="130">
        <f t="shared" si="44"/>
        <v>0</v>
      </c>
      <c r="W168" s="130">
        <f t="shared" si="44"/>
        <v>0</v>
      </c>
      <c r="X168" s="130">
        <f t="shared" si="44"/>
        <v>0</v>
      </c>
      <c r="Y168" s="130">
        <f t="shared" si="44"/>
        <v>0</v>
      </c>
      <c r="Z168" s="130">
        <f t="shared" si="44"/>
        <v>0</v>
      </c>
      <c r="AA168" s="130">
        <f t="shared" si="44"/>
        <v>0</v>
      </c>
      <c r="AB168" s="130">
        <f t="shared" si="44"/>
        <v>0</v>
      </c>
      <c r="AC168" s="130">
        <f t="shared" si="44"/>
        <v>0</v>
      </c>
      <c r="AD168" s="130">
        <f t="shared" si="44"/>
        <v>0</v>
      </c>
      <c r="AE168" s="130">
        <f t="shared" si="44"/>
        <v>0</v>
      </c>
      <c r="AF168" s="130">
        <f t="shared" si="44"/>
        <v>0</v>
      </c>
      <c r="AG168" s="130">
        <f t="shared" si="44"/>
        <v>0</v>
      </c>
      <c r="AH168" s="130">
        <f t="shared" si="44"/>
        <v>0</v>
      </c>
      <c r="AI168" s="130">
        <f t="shared" si="44"/>
        <v>0</v>
      </c>
      <c r="AJ168" s="47" t="str">
        <f t="shared" si="30"/>
        <v/>
      </c>
      <c r="AK168" s="60"/>
      <c r="AL168" s="60" t="str">
        <f t="shared" si="33"/>
        <v>00</v>
      </c>
      <c r="AM168" s="62" t="str">
        <f t="shared" si="34"/>
        <v>00</v>
      </c>
      <c r="AN168" s="62" t="str">
        <f t="shared" si="35"/>
        <v>00</v>
      </c>
      <c r="AO168" s="62" t="str">
        <f t="shared" si="36"/>
        <v>00</v>
      </c>
      <c r="AQ168" t="str">
        <f t="shared" si="31"/>
        <v/>
      </c>
    </row>
    <row r="169" spans="2:43">
      <c r="B169" s="138"/>
      <c r="C169" s="47">
        <f t="shared" si="32"/>
        <v>33</v>
      </c>
      <c r="D169" s="130">
        <f t="shared" si="44"/>
        <v>0</v>
      </c>
      <c r="E169" s="130">
        <f t="shared" si="44"/>
        <v>0</v>
      </c>
      <c r="F169" s="130">
        <f t="shared" si="44"/>
        <v>0</v>
      </c>
      <c r="G169" s="130">
        <f t="shared" si="44"/>
        <v>0</v>
      </c>
      <c r="H169" s="130">
        <f t="shared" si="44"/>
        <v>0</v>
      </c>
      <c r="I169" s="130">
        <f t="shared" si="44"/>
        <v>0</v>
      </c>
      <c r="J169" s="130">
        <f t="shared" si="44"/>
        <v>0</v>
      </c>
      <c r="K169" s="130">
        <f t="shared" si="44"/>
        <v>0</v>
      </c>
      <c r="L169" s="130">
        <f t="shared" si="44"/>
        <v>0</v>
      </c>
      <c r="M169" s="130">
        <f t="shared" si="44"/>
        <v>0</v>
      </c>
      <c r="N169" s="130">
        <f t="shared" si="44"/>
        <v>0</v>
      </c>
      <c r="O169" s="130">
        <f t="shared" si="44"/>
        <v>0</v>
      </c>
      <c r="P169" s="130">
        <f t="shared" si="44"/>
        <v>0</v>
      </c>
      <c r="Q169" s="130">
        <f t="shared" si="44"/>
        <v>0</v>
      </c>
      <c r="R169" s="130">
        <f t="shared" si="44"/>
        <v>0</v>
      </c>
      <c r="S169" s="130">
        <f t="shared" si="44"/>
        <v>0</v>
      </c>
      <c r="T169" s="130">
        <f t="shared" si="44"/>
        <v>0</v>
      </c>
      <c r="U169" s="130">
        <f t="shared" si="44"/>
        <v>0</v>
      </c>
      <c r="V169" s="130">
        <f t="shared" si="44"/>
        <v>0</v>
      </c>
      <c r="W169" s="130">
        <f t="shared" si="44"/>
        <v>0</v>
      </c>
      <c r="X169" s="130">
        <f t="shared" si="44"/>
        <v>0</v>
      </c>
      <c r="Y169" s="130">
        <f t="shared" si="44"/>
        <v>0</v>
      </c>
      <c r="Z169" s="130">
        <f t="shared" si="44"/>
        <v>0</v>
      </c>
      <c r="AA169" s="130">
        <f t="shared" si="44"/>
        <v>0</v>
      </c>
      <c r="AB169" s="130">
        <f t="shared" si="44"/>
        <v>0</v>
      </c>
      <c r="AC169" s="130">
        <f t="shared" si="44"/>
        <v>0</v>
      </c>
      <c r="AD169" s="130">
        <f t="shared" si="44"/>
        <v>0</v>
      </c>
      <c r="AE169" s="130">
        <f t="shared" si="44"/>
        <v>0</v>
      </c>
      <c r="AF169" s="130">
        <f t="shared" si="44"/>
        <v>0</v>
      </c>
      <c r="AG169" s="130">
        <f t="shared" si="44"/>
        <v>0</v>
      </c>
      <c r="AH169" s="130">
        <f t="shared" si="44"/>
        <v>0</v>
      </c>
      <c r="AI169" s="130">
        <f t="shared" si="44"/>
        <v>0</v>
      </c>
      <c r="AJ169" s="47" t="str">
        <f t="shared" si="30"/>
        <v/>
      </c>
      <c r="AK169" s="60"/>
      <c r="AL169" s="60" t="str">
        <f t="shared" si="33"/>
        <v>00</v>
      </c>
      <c r="AM169" s="62" t="str">
        <f t="shared" si="34"/>
        <v>00</v>
      </c>
      <c r="AN169" s="62" t="str">
        <f t="shared" si="35"/>
        <v>00</v>
      </c>
      <c r="AO169" s="62" t="str">
        <f t="shared" si="36"/>
        <v>00</v>
      </c>
      <c r="AQ169" t="str">
        <f t="shared" si="31"/>
        <v/>
      </c>
    </row>
    <row r="170" spans="2:43">
      <c r="B170" s="138"/>
      <c r="C170" s="47">
        <f t="shared" si="32"/>
        <v>34</v>
      </c>
      <c r="D170" s="130">
        <f t="shared" si="44"/>
        <v>0</v>
      </c>
      <c r="E170" s="130">
        <f t="shared" si="44"/>
        <v>0</v>
      </c>
      <c r="F170" s="130">
        <f t="shared" si="44"/>
        <v>0</v>
      </c>
      <c r="G170" s="130">
        <f t="shared" si="44"/>
        <v>0</v>
      </c>
      <c r="H170" s="130">
        <f t="shared" si="44"/>
        <v>0</v>
      </c>
      <c r="I170" s="130">
        <f t="shared" si="44"/>
        <v>0</v>
      </c>
      <c r="J170" s="130">
        <f t="shared" si="44"/>
        <v>0</v>
      </c>
      <c r="K170" s="130">
        <f t="shared" si="44"/>
        <v>0</v>
      </c>
      <c r="L170" s="130">
        <f t="shared" si="44"/>
        <v>0</v>
      </c>
      <c r="M170" s="130">
        <f t="shared" si="44"/>
        <v>0</v>
      </c>
      <c r="N170" s="130">
        <f t="shared" si="44"/>
        <v>0</v>
      </c>
      <c r="O170" s="130">
        <f t="shared" si="44"/>
        <v>0</v>
      </c>
      <c r="P170" s="130">
        <f t="shared" si="44"/>
        <v>0</v>
      </c>
      <c r="Q170" s="130">
        <f t="shared" si="44"/>
        <v>0</v>
      </c>
      <c r="R170" s="130">
        <f t="shared" si="44"/>
        <v>0</v>
      </c>
      <c r="S170" s="130">
        <f t="shared" si="44"/>
        <v>0</v>
      </c>
      <c r="T170" s="130">
        <f t="shared" si="44"/>
        <v>0</v>
      </c>
      <c r="U170" s="130">
        <f t="shared" si="44"/>
        <v>0</v>
      </c>
      <c r="V170" s="130">
        <f t="shared" si="44"/>
        <v>0</v>
      </c>
      <c r="W170" s="130">
        <f t="shared" si="44"/>
        <v>0</v>
      </c>
      <c r="X170" s="130">
        <f t="shared" si="44"/>
        <v>0</v>
      </c>
      <c r="Y170" s="130">
        <f t="shared" si="44"/>
        <v>0</v>
      </c>
      <c r="Z170" s="130">
        <f t="shared" si="44"/>
        <v>0</v>
      </c>
      <c r="AA170" s="130">
        <f t="shared" si="44"/>
        <v>0</v>
      </c>
      <c r="AB170" s="130">
        <f t="shared" si="44"/>
        <v>0</v>
      </c>
      <c r="AC170" s="130">
        <f t="shared" si="44"/>
        <v>0</v>
      </c>
      <c r="AD170" s="130">
        <f t="shared" si="44"/>
        <v>0</v>
      </c>
      <c r="AE170" s="130">
        <f t="shared" si="44"/>
        <v>0</v>
      </c>
      <c r="AF170" s="130">
        <f t="shared" si="44"/>
        <v>0</v>
      </c>
      <c r="AG170" s="130">
        <f t="shared" si="44"/>
        <v>0</v>
      </c>
      <c r="AH170" s="130">
        <f t="shared" si="44"/>
        <v>0</v>
      </c>
      <c r="AI170" s="130">
        <f t="shared" si="44"/>
        <v>0</v>
      </c>
      <c r="AJ170" s="47" t="str">
        <f t="shared" si="30"/>
        <v/>
      </c>
      <c r="AK170" s="60"/>
      <c r="AL170" s="60" t="str">
        <f t="shared" si="33"/>
        <v>00</v>
      </c>
      <c r="AM170" s="62" t="str">
        <f t="shared" si="34"/>
        <v>00</v>
      </c>
      <c r="AN170" s="62" t="str">
        <f t="shared" si="35"/>
        <v>00</v>
      </c>
      <c r="AO170" s="62" t="str">
        <f t="shared" si="36"/>
        <v>00</v>
      </c>
      <c r="AQ170" t="str">
        <f t="shared" si="31"/>
        <v/>
      </c>
    </row>
    <row r="171" spans="2:43">
      <c r="B171" s="138"/>
      <c r="C171" s="47">
        <f t="shared" si="32"/>
        <v>35</v>
      </c>
      <c r="D171" s="130">
        <f t="shared" si="44"/>
        <v>0</v>
      </c>
      <c r="E171" s="130">
        <f t="shared" si="44"/>
        <v>0</v>
      </c>
      <c r="F171" s="130">
        <f t="shared" si="44"/>
        <v>0</v>
      </c>
      <c r="G171" s="130">
        <f t="shared" si="44"/>
        <v>0</v>
      </c>
      <c r="H171" s="130">
        <f t="shared" si="44"/>
        <v>0</v>
      </c>
      <c r="I171" s="130">
        <f t="shared" si="44"/>
        <v>0</v>
      </c>
      <c r="J171" s="130">
        <f t="shared" si="44"/>
        <v>0</v>
      </c>
      <c r="K171" s="130">
        <f t="shared" si="44"/>
        <v>0</v>
      </c>
      <c r="L171" s="130">
        <f t="shared" si="44"/>
        <v>0</v>
      </c>
      <c r="M171" s="130">
        <f t="shared" si="44"/>
        <v>0</v>
      </c>
      <c r="N171" s="130">
        <f t="shared" si="44"/>
        <v>0</v>
      </c>
      <c r="O171" s="130">
        <f t="shared" si="44"/>
        <v>0</v>
      </c>
      <c r="P171" s="130">
        <f t="shared" si="44"/>
        <v>0</v>
      </c>
      <c r="Q171" s="130">
        <f t="shared" si="44"/>
        <v>0</v>
      </c>
      <c r="R171" s="130">
        <f t="shared" si="44"/>
        <v>0</v>
      </c>
      <c r="S171" s="130">
        <f t="shared" si="44"/>
        <v>0</v>
      </c>
      <c r="T171" s="130">
        <f t="shared" si="44"/>
        <v>0</v>
      </c>
      <c r="U171" s="130">
        <f t="shared" si="44"/>
        <v>0</v>
      </c>
      <c r="V171" s="130">
        <f t="shared" si="44"/>
        <v>0</v>
      </c>
      <c r="W171" s="130">
        <f t="shared" si="44"/>
        <v>0</v>
      </c>
      <c r="X171" s="130">
        <f t="shared" si="44"/>
        <v>0</v>
      </c>
      <c r="Y171" s="130">
        <f t="shared" si="44"/>
        <v>0</v>
      </c>
      <c r="Z171" s="130">
        <f t="shared" si="44"/>
        <v>0</v>
      </c>
      <c r="AA171" s="130">
        <f t="shared" si="44"/>
        <v>0</v>
      </c>
      <c r="AB171" s="130">
        <f t="shared" si="44"/>
        <v>0</v>
      </c>
      <c r="AC171" s="130">
        <f t="shared" si="44"/>
        <v>0</v>
      </c>
      <c r="AD171" s="130">
        <f t="shared" si="44"/>
        <v>0</v>
      </c>
      <c r="AE171" s="130">
        <f t="shared" si="44"/>
        <v>0</v>
      </c>
      <c r="AF171" s="130">
        <f t="shared" si="44"/>
        <v>0</v>
      </c>
      <c r="AG171" s="130">
        <f t="shared" si="44"/>
        <v>0</v>
      </c>
      <c r="AH171" s="130">
        <f t="shared" si="44"/>
        <v>0</v>
      </c>
      <c r="AI171" s="130">
        <f t="shared" si="44"/>
        <v>0</v>
      </c>
      <c r="AJ171" s="47" t="str">
        <f t="shared" si="30"/>
        <v/>
      </c>
      <c r="AK171" s="60"/>
      <c r="AL171" s="60" t="str">
        <f t="shared" si="33"/>
        <v>00</v>
      </c>
      <c r="AM171" s="62" t="str">
        <f t="shared" si="34"/>
        <v>00</v>
      </c>
      <c r="AN171" s="62" t="str">
        <f t="shared" si="35"/>
        <v>00</v>
      </c>
      <c r="AO171" s="62" t="str">
        <f t="shared" si="36"/>
        <v>00</v>
      </c>
      <c r="AQ171" t="str">
        <f t="shared" si="31"/>
        <v/>
      </c>
    </row>
    <row r="172" spans="2:43">
      <c r="B172" s="138"/>
      <c r="C172" s="47">
        <f t="shared" si="32"/>
        <v>36</v>
      </c>
      <c r="D172" s="130">
        <f t="shared" si="44"/>
        <v>0</v>
      </c>
      <c r="E172" s="130">
        <f t="shared" si="44"/>
        <v>0</v>
      </c>
      <c r="F172" s="130">
        <f t="shared" si="44"/>
        <v>0</v>
      </c>
      <c r="G172" s="130">
        <f t="shared" si="44"/>
        <v>0</v>
      </c>
      <c r="H172" s="130">
        <f t="shared" si="44"/>
        <v>0</v>
      </c>
      <c r="I172" s="130">
        <f t="shared" si="44"/>
        <v>0</v>
      </c>
      <c r="J172" s="130">
        <f t="shared" si="44"/>
        <v>0</v>
      </c>
      <c r="K172" s="130">
        <f t="shared" si="44"/>
        <v>0</v>
      </c>
      <c r="L172" s="130">
        <f t="shared" si="44"/>
        <v>0</v>
      </c>
      <c r="M172" s="130">
        <f t="shared" si="44"/>
        <v>0</v>
      </c>
      <c r="N172" s="130">
        <f t="shared" si="44"/>
        <v>0</v>
      </c>
      <c r="O172" s="130">
        <f t="shared" si="44"/>
        <v>0</v>
      </c>
      <c r="P172" s="130">
        <f t="shared" si="44"/>
        <v>0</v>
      </c>
      <c r="Q172" s="130">
        <f t="shared" si="44"/>
        <v>0</v>
      </c>
      <c r="R172" s="130">
        <f t="shared" si="44"/>
        <v>0</v>
      </c>
      <c r="S172" s="130">
        <f t="shared" si="44"/>
        <v>0</v>
      </c>
      <c r="T172" s="130">
        <f t="shared" si="44"/>
        <v>0</v>
      </c>
      <c r="U172" s="130">
        <f t="shared" si="44"/>
        <v>0</v>
      </c>
      <c r="V172" s="130">
        <f t="shared" si="44"/>
        <v>0</v>
      </c>
      <c r="W172" s="130">
        <f t="shared" si="44"/>
        <v>0</v>
      </c>
      <c r="X172" s="130">
        <f t="shared" si="44"/>
        <v>0</v>
      </c>
      <c r="Y172" s="130">
        <f t="shared" si="44"/>
        <v>0</v>
      </c>
      <c r="Z172" s="130">
        <f t="shared" si="44"/>
        <v>0</v>
      </c>
      <c r="AA172" s="130">
        <f t="shared" si="44"/>
        <v>0</v>
      </c>
      <c r="AB172" s="130">
        <f t="shared" si="44"/>
        <v>0</v>
      </c>
      <c r="AC172" s="130">
        <f t="shared" si="44"/>
        <v>0</v>
      </c>
      <c r="AD172" s="130">
        <f t="shared" si="44"/>
        <v>0</v>
      </c>
      <c r="AE172" s="130">
        <f t="shared" si="44"/>
        <v>0</v>
      </c>
      <c r="AF172" s="130">
        <f t="shared" si="44"/>
        <v>0</v>
      </c>
      <c r="AG172" s="130">
        <f t="shared" si="44"/>
        <v>0</v>
      </c>
      <c r="AH172" s="130">
        <f t="shared" si="44"/>
        <v>0</v>
      </c>
      <c r="AI172" s="130">
        <f t="shared" si="44"/>
        <v>0</v>
      </c>
      <c r="AJ172" s="47" t="str">
        <f t="shared" si="30"/>
        <v/>
      </c>
      <c r="AK172" s="60"/>
      <c r="AL172" s="60" t="str">
        <f t="shared" si="33"/>
        <v>00</v>
      </c>
      <c r="AM172" s="62" t="str">
        <f t="shared" si="34"/>
        <v>00</v>
      </c>
      <c r="AN172" s="62" t="str">
        <f t="shared" si="35"/>
        <v>00</v>
      </c>
      <c r="AO172" s="62" t="str">
        <f t="shared" si="36"/>
        <v>00</v>
      </c>
      <c r="AQ172" t="str">
        <f t="shared" si="31"/>
        <v/>
      </c>
    </row>
    <row r="173" spans="2:43">
      <c r="B173" s="138"/>
      <c r="C173" s="47">
        <f t="shared" si="32"/>
        <v>37</v>
      </c>
      <c r="D173" s="130">
        <f t="shared" si="44"/>
        <v>0</v>
      </c>
      <c r="E173" s="130">
        <f t="shared" si="44"/>
        <v>0</v>
      </c>
      <c r="F173" s="130">
        <f t="shared" si="44"/>
        <v>0</v>
      </c>
      <c r="G173" s="130">
        <f t="shared" si="44"/>
        <v>0</v>
      </c>
      <c r="H173" s="130">
        <f t="shared" si="44"/>
        <v>0</v>
      </c>
      <c r="I173" s="130">
        <f t="shared" si="44"/>
        <v>0</v>
      </c>
      <c r="J173" s="130">
        <f t="shared" si="44"/>
        <v>0</v>
      </c>
      <c r="K173" s="130">
        <f t="shared" si="44"/>
        <v>0</v>
      </c>
      <c r="L173" s="130">
        <f t="shared" si="44"/>
        <v>0</v>
      </c>
      <c r="M173" s="130">
        <f t="shared" si="44"/>
        <v>0</v>
      </c>
      <c r="N173" s="130">
        <f t="shared" si="44"/>
        <v>0</v>
      </c>
      <c r="O173" s="130">
        <f t="shared" si="44"/>
        <v>0</v>
      </c>
      <c r="P173" s="130">
        <f t="shared" si="44"/>
        <v>0</v>
      </c>
      <c r="Q173" s="130">
        <f t="shared" si="44"/>
        <v>0</v>
      </c>
      <c r="R173" s="130">
        <f t="shared" si="44"/>
        <v>0</v>
      </c>
      <c r="S173" s="130">
        <f t="shared" si="44"/>
        <v>0</v>
      </c>
      <c r="T173" s="130">
        <f t="shared" si="44"/>
        <v>0</v>
      </c>
      <c r="U173" s="130">
        <f t="shared" si="44"/>
        <v>0</v>
      </c>
      <c r="V173" s="130">
        <f t="shared" si="44"/>
        <v>0</v>
      </c>
      <c r="W173" s="130">
        <f t="shared" si="44"/>
        <v>0</v>
      </c>
      <c r="X173" s="130">
        <f t="shared" si="44"/>
        <v>0</v>
      </c>
      <c r="Y173" s="130">
        <f t="shared" si="44"/>
        <v>0</v>
      </c>
      <c r="Z173" s="130">
        <f t="shared" si="44"/>
        <v>0</v>
      </c>
      <c r="AA173" s="130">
        <f t="shared" si="44"/>
        <v>0</v>
      </c>
      <c r="AB173" s="130">
        <f t="shared" si="44"/>
        <v>0</v>
      </c>
      <c r="AC173" s="130">
        <f t="shared" si="44"/>
        <v>0</v>
      </c>
      <c r="AD173" s="130">
        <f t="shared" si="44"/>
        <v>0</v>
      </c>
      <c r="AE173" s="130">
        <f t="shared" si="44"/>
        <v>0</v>
      </c>
      <c r="AF173" s="130">
        <f t="shared" si="44"/>
        <v>0</v>
      </c>
      <c r="AG173" s="130">
        <f t="shared" si="44"/>
        <v>0</v>
      </c>
      <c r="AH173" s="130">
        <f t="shared" si="44"/>
        <v>0</v>
      </c>
      <c r="AI173" s="130">
        <f t="shared" si="44"/>
        <v>0</v>
      </c>
      <c r="AJ173" s="47" t="str">
        <f t="shared" si="30"/>
        <v/>
      </c>
      <c r="AK173" s="60"/>
      <c r="AL173" s="60" t="str">
        <f t="shared" si="33"/>
        <v>00</v>
      </c>
      <c r="AM173" s="62" t="str">
        <f t="shared" si="34"/>
        <v>00</v>
      </c>
      <c r="AN173" s="62" t="str">
        <f t="shared" si="35"/>
        <v>00</v>
      </c>
      <c r="AO173" s="62" t="str">
        <f t="shared" si="36"/>
        <v>00</v>
      </c>
      <c r="AQ173" t="str">
        <f t="shared" si="31"/>
        <v/>
      </c>
    </row>
    <row r="174" spans="2:43">
      <c r="B174" s="138"/>
      <c r="C174" s="47">
        <f t="shared" si="32"/>
        <v>38</v>
      </c>
      <c r="D174" s="130">
        <f t="shared" si="44"/>
        <v>0</v>
      </c>
      <c r="E174" s="130">
        <f t="shared" si="44"/>
        <v>0</v>
      </c>
      <c r="F174" s="130">
        <f t="shared" si="44"/>
        <v>0</v>
      </c>
      <c r="G174" s="130">
        <f t="shared" si="44"/>
        <v>0</v>
      </c>
      <c r="H174" s="130">
        <f t="shared" si="44"/>
        <v>0</v>
      </c>
      <c r="I174" s="130">
        <f t="shared" si="44"/>
        <v>0</v>
      </c>
      <c r="J174" s="130">
        <f t="shared" si="44"/>
        <v>0</v>
      </c>
      <c r="K174" s="130">
        <f t="shared" si="44"/>
        <v>0</v>
      </c>
      <c r="L174" s="130">
        <f t="shared" si="44"/>
        <v>0</v>
      </c>
      <c r="M174" s="130">
        <f t="shared" si="44"/>
        <v>0</v>
      </c>
      <c r="N174" s="130">
        <f t="shared" si="44"/>
        <v>0</v>
      </c>
      <c r="O174" s="130">
        <f t="shared" si="44"/>
        <v>0</v>
      </c>
      <c r="P174" s="130">
        <f t="shared" si="44"/>
        <v>0</v>
      </c>
      <c r="Q174" s="130">
        <f t="shared" si="44"/>
        <v>0</v>
      </c>
      <c r="R174" s="130">
        <f t="shared" si="44"/>
        <v>0</v>
      </c>
      <c r="S174" s="130">
        <f t="shared" si="44"/>
        <v>0</v>
      </c>
      <c r="T174" s="130">
        <f t="shared" si="44"/>
        <v>0</v>
      </c>
      <c r="U174" s="130">
        <f t="shared" si="44"/>
        <v>0</v>
      </c>
      <c r="V174" s="130">
        <f t="shared" si="44"/>
        <v>0</v>
      </c>
      <c r="W174" s="130">
        <f t="shared" si="44"/>
        <v>0</v>
      </c>
      <c r="X174" s="130">
        <f t="shared" si="44"/>
        <v>0</v>
      </c>
      <c r="Y174" s="130">
        <f t="shared" si="44"/>
        <v>0</v>
      </c>
      <c r="Z174" s="130">
        <f t="shared" si="44"/>
        <v>0</v>
      </c>
      <c r="AA174" s="130">
        <f t="shared" si="44"/>
        <v>0</v>
      </c>
      <c r="AB174" s="130">
        <f t="shared" si="44"/>
        <v>0</v>
      </c>
      <c r="AC174" s="130">
        <f t="shared" si="44"/>
        <v>0</v>
      </c>
      <c r="AD174" s="130">
        <f t="shared" si="44"/>
        <v>0</v>
      </c>
      <c r="AE174" s="130">
        <f t="shared" si="44"/>
        <v>0</v>
      </c>
      <c r="AF174" s="130">
        <f t="shared" si="44"/>
        <v>0</v>
      </c>
      <c r="AG174" s="130">
        <f t="shared" si="44"/>
        <v>0</v>
      </c>
      <c r="AH174" s="130">
        <f t="shared" si="44"/>
        <v>0</v>
      </c>
      <c r="AI174" s="130">
        <f t="shared" si="44"/>
        <v>0</v>
      </c>
      <c r="AJ174" s="47" t="str">
        <f t="shared" si="30"/>
        <v/>
      </c>
      <c r="AK174" s="60"/>
      <c r="AL174" s="60" t="str">
        <f t="shared" si="33"/>
        <v>00</v>
      </c>
      <c r="AM174" s="62" t="str">
        <f t="shared" si="34"/>
        <v>00</v>
      </c>
      <c r="AN174" s="62" t="str">
        <f t="shared" si="35"/>
        <v>00</v>
      </c>
      <c r="AO174" s="62" t="str">
        <f t="shared" si="36"/>
        <v>00</v>
      </c>
      <c r="AQ174" t="str">
        <f t="shared" si="31"/>
        <v/>
      </c>
    </row>
    <row r="175" spans="2:43">
      <c r="B175" s="138"/>
      <c r="C175" s="47">
        <f t="shared" si="32"/>
        <v>39</v>
      </c>
      <c r="D175" s="130">
        <f t="shared" si="44"/>
        <v>0</v>
      </c>
      <c r="E175" s="130">
        <f t="shared" si="44"/>
        <v>0</v>
      </c>
      <c r="F175" s="130">
        <f t="shared" si="44"/>
        <v>0</v>
      </c>
      <c r="G175" s="130">
        <f t="shared" si="44"/>
        <v>0</v>
      </c>
      <c r="H175" s="130">
        <f t="shared" si="44"/>
        <v>0</v>
      </c>
      <c r="I175" s="130">
        <f t="shared" si="44"/>
        <v>0</v>
      </c>
      <c r="J175" s="130">
        <f t="shared" si="44"/>
        <v>0</v>
      </c>
      <c r="K175" s="130">
        <f t="shared" si="44"/>
        <v>0</v>
      </c>
      <c r="L175" s="130">
        <f t="shared" si="44"/>
        <v>0</v>
      </c>
      <c r="M175" s="130">
        <f t="shared" si="44"/>
        <v>0</v>
      </c>
      <c r="N175" s="130">
        <f t="shared" si="44"/>
        <v>0</v>
      </c>
      <c r="O175" s="130">
        <f t="shared" si="44"/>
        <v>0</v>
      </c>
      <c r="P175" s="130">
        <f t="shared" si="44"/>
        <v>0</v>
      </c>
      <c r="Q175" s="130">
        <f t="shared" si="44"/>
        <v>0</v>
      </c>
      <c r="R175" s="130">
        <f t="shared" si="44"/>
        <v>0</v>
      </c>
      <c r="S175" s="130">
        <f t="shared" si="44"/>
        <v>0</v>
      </c>
      <c r="T175" s="130">
        <f t="shared" si="44"/>
        <v>0</v>
      </c>
      <c r="U175" s="130">
        <f t="shared" si="44"/>
        <v>0</v>
      </c>
      <c r="V175" s="130">
        <f t="shared" si="44"/>
        <v>0</v>
      </c>
      <c r="W175" s="130">
        <f t="shared" si="44"/>
        <v>0</v>
      </c>
      <c r="X175" s="130">
        <f t="shared" si="44"/>
        <v>0</v>
      </c>
      <c r="Y175" s="130">
        <f t="shared" si="44"/>
        <v>0</v>
      </c>
      <c r="Z175" s="130">
        <f t="shared" si="44"/>
        <v>0</v>
      </c>
      <c r="AA175" s="130">
        <f t="shared" si="44"/>
        <v>0</v>
      </c>
      <c r="AB175" s="130">
        <f t="shared" si="44"/>
        <v>0</v>
      </c>
      <c r="AC175" s="130">
        <f t="shared" si="44"/>
        <v>0</v>
      </c>
      <c r="AD175" s="130">
        <f t="shared" si="44"/>
        <v>0</v>
      </c>
      <c r="AE175" s="130">
        <f t="shared" si="44"/>
        <v>0</v>
      </c>
      <c r="AF175" s="130">
        <f t="shared" si="44"/>
        <v>0</v>
      </c>
      <c r="AG175" s="130">
        <f t="shared" si="44"/>
        <v>0</v>
      </c>
      <c r="AH175" s="130">
        <f t="shared" si="44"/>
        <v>0</v>
      </c>
      <c r="AI175" s="130">
        <f t="shared" ref="AI175" si="45">IF(OR(AI45=0,AI45=1),1,0)</f>
        <v>0</v>
      </c>
      <c r="AJ175" s="47" t="str">
        <f t="shared" si="30"/>
        <v/>
      </c>
      <c r="AK175" s="60"/>
      <c r="AL175" s="60" t="str">
        <f t="shared" si="33"/>
        <v>00</v>
      </c>
      <c r="AM175" s="62" t="str">
        <f t="shared" si="34"/>
        <v>00</v>
      </c>
      <c r="AN175" s="62" t="str">
        <f t="shared" si="35"/>
        <v>00</v>
      </c>
      <c r="AO175" s="62" t="str">
        <f t="shared" si="36"/>
        <v>00</v>
      </c>
      <c r="AQ175" t="str">
        <f t="shared" si="31"/>
        <v/>
      </c>
    </row>
    <row r="176" spans="2:43">
      <c r="B176" s="138"/>
      <c r="C176" s="47">
        <f t="shared" si="32"/>
        <v>40</v>
      </c>
      <c r="D176" s="130">
        <f t="shared" ref="D176:AI183" si="46">IF(OR(D46=0,D46=1),1,0)</f>
        <v>0</v>
      </c>
      <c r="E176" s="130">
        <f t="shared" si="46"/>
        <v>0</v>
      </c>
      <c r="F176" s="130">
        <f t="shared" si="46"/>
        <v>0</v>
      </c>
      <c r="G176" s="130">
        <f t="shared" si="46"/>
        <v>0</v>
      </c>
      <c r="H176" s="130">
        <f t="shared" si="46"/>
        <v>0</v>
      </c>
      <c r="I176" s="130">
        <f t="shared" si="46"/>
        <v>0</v>
      </c>
      <c r="J176" s="130">
        <f t="shared" si="46"/>
        <v>0</v>
      </c>
      <c r="K176" s="130">
        <f t="shared" si="46"/>
        <v>0</v>
      </c>
      <c r="L176" s="130">
        <f t="shared" si="46"/>
        <v>0</v>
      </c>
      <c r="M176" s="130">
        <f t="shared" si="46"/>
        <v>0</v>
      </c>
      <c r="N176" s="130">
        <f t="shared" si="46"/>
        <v>0</v>
      </c>
      <c r="O176" s="130">
        <f t="shared" si="46"/>
        <v>0</v>
      </c>
      <c r="P176" s="130">
        <f t="shared" si="46"/>
        <v>0</v>
      </c>
      <c r="Q176" s="130">
        <f t="shared" si="46"/>
        <v>0</v>
      </c>
      <c r="R176" s="130">
        <f t="shared" si="46"/>
        <v>0</v>
      </c>
      <c r="S176" s="130">
        <f t="shared" si="46"/>
        <v>0</v>
      </c>
      <c r="T176" s="130">
        <f t="shared" si="46"/>
        <v>0</v>
      </c>
      <c r="U176" s="130">
        <f t="shared" si="46"/>
        <v>0</v>
      </c>
      <c r="V176" s="130">
        <f t="shared" si="46"/>
        <v>0</v>
      </c>
      <c r="W176" s="130">
        <f t="shared" si="46"/>
        <v>0</v>
      </c>
      <c r="X176" s="130">
        <f t="shared" si="46"/>
        <v>0</v>
      </c>
      <c r="Y176" s="130">
        <f t="shared" si="46"/>
        <v>0</v>
      </c>
      <c r="Z176" s="130">
        <f t="shared" si="46"/>
        <v>0</v>
      </c>
      <c r="AA176" s="130">
        <f t="shared" si="46"/>
        <v>0</v>
      </c>
      <c r="AB176" s="130">
        <f t="shared" si="46"/>
        <v>0</v>
      </c>
      <c r="AC176" s="130">
        <f t="shared" si="46"/>
        <v>0</v>
      </c>
      <c r="AD176" s="130">
        <f t="shared" si="46"/>
        <v>0</v>
      </c>
      <c r="AE176" s="130">
        <f t="shared" si="46"/>
        <v>0</v>
      </c>
      <c r="AF176" s="130">
        <f t="shared" si="46"/>
        <v>0</v>
      </c>
      <c r="AG176" s="130">
        <f t="shared" si="46"/>
        <v>0</v>
      </c>
      <c r="AH176" s="130">
        <f t="shared" si="46"/>
        <v>0</v>
      </c>
      <c r="AI176" s="130">
        <f t="shared" si="46"/>
        <v>0</v>
      </c>
      <c r="AJ176" s="47" t="str">
        <f t="shared" si="30"/>
        <v/>
      </c>
      <c r="AK176" s="60"/>
      <c r="AL176" s="60" t="str">
        <f t="shared" si="33"/>
        <v>00</v>
      </c>
      <c r="AM176" s="62" t="str">
        <f t="shared" si="34"/>
        <v>00</v>
      </c>
      <c r="AN176" s="62" t="str">
        <f t="shared" si="35"/>
        <v>00</v>
      </c>
      <c r="AO176" s="62" t="str">
        <f t="shared" si="36"/>
        <v>00</v>
      </c>
      <c r="AQ176" t="str">
        <f t="shared" si="31"/>
        <v/>
      </c>
    </row>
    <row r="177" spans="2:43">
      <c r="B177" s="138"/>
      <c r="C177" s="47">
        <f t="shared" si="32"/>
        <v>41</v>
      </c>
      <c r="D177" s="130">
        <f t="shared" si="46"/>
        <v>0</v>
      </c>
      <c r="E177" s="130">
        <f t="shared" si="46"/>
        <v>0</v>
      </c>
      <c r="F177" s="130">
        <f t="shared" si="46"/>
        <v>0</v>
      </c>
      <c r="G177" s="130">
        <f t="shared" si="46"/>
        <v>0</v>
      </c>
      <c r="H177" s="130">
        <f t="shared" si="46"/>
        <v>0</v>
      </c>
      <c r="I177" s="130">
        <f t="shared" si="46"/>
        <v>0</v>
      </c>
      <c r="J177" s="130">
        <f t="shared" si="46"/>
        <v>0</v>
      </c>
      <c r="K177" s="130">
        <f t="shared" si="46"/>
        <v>0</v>
      </c>
      <c r="L177" s="130">
        <f t="shared" si="46"/>
        <v>0</v>
      </c>
      <c r="M177" s="130">
        <f t="shared" si="46"/>
        <v>0</v>
      </c>
      <c r="N177" s="130">
        <f t="shared" si="46"/>
        <v>0</v>
      </c>
      <c r="O177" s="130">
        <f t="shared" si="46"/>
        <v>0</v>
      </c>
      <c r="P177" s="130">
        <f t="shared" si="46"/>
        <v>0</v>
      </c>
      <c r="Q177" s="130">
        <f t="shared" si="46"/>
        <v>0</v>
      </c>
      <c r="R177" s="130">
        <f t="shared" si="46"/>
        <v>0</v>
      </c>
      <c r="S177" s="130">
        <f t="shared" si="46"/>
        <v>0</v>
      </c>
      <c r="T177" s="130">
        <f t="shared" si="46"/>
        <v>0</v>
      </c>
      <c r="U177" s="130">
        <f t="shared" si="46"/>
        <v>0</v>
      </c>
      <c r="V177" s="130">
        <f t="shared" si="46"/>
        <v>0</v>
      </c>
      <c r="W177" s="130">
        <f t="shared" si="46"/>
        <v>0</v>
      </c>
      <c r="X177" s="130">
        <f t="shared" si="46"/>
        <v>0</v>
      </c>
      <c r="Y177" s="130">
        <f t="shared" si="46"/>
        <v>0</v>
      </c>
      <c r="Z177" s="130">
        <f t="shared" si="46"/>
        <v>0</v>
      </c>
      <c r="AA177" s="130">
        <f t="shared" si="46"/>
        <v>0</v>
      </c>
      <c r="AB177" s="130">
        <f t="shared" si="46"/>
        <v>0</v>
      </c>
      <c r="AC177" s="130">
        <f t="shared" si="46"/>
        <v>0</v>
      </c>
      <c r="AD177" s="130">
        <f t="shared" si="46"/>
        <v>0</v>
      </c>
      <c r="AE177" s="130">
        <f t="shared" si="46"/>
        <v>0</v>
      </c>
      <c r="AF177" s="130">
        <f t="shared" si="46"/>
        <v>0</v>
      </c>
      <c r="AG177" s="130">
        <f t="shared" si="46"/>
        <v>0</v>
      </c>
      <c r="AH177" s="130">
        <f t="shared" si="46"/>
        <v>0</v>
      </c>
      <c r="AI177" s="130">
        <f t="shared" si="46"/>
        <v>0</v>
      </c>
      <c r="AJ177" s="47" t="str">
        <f t="shared" si="30"/>
        <v/>
      </c>
      <c r="AK177" s="60"/>
      <c r="AL177" s="60" t="str">
        <f t="shared" si="33"/>
        <v>00</v>
      </c>
      <c r="AM177" s="62" t="str">
        <f t="shared" si="34"/>
        <v>00</v>
      </c>
      <c r="AN177" s="62" t="str">
        <f t="shared" si="35"/>
        <v>00</v>
      </c>
      <c r="AO177" s="62" t="str">
        <f t="shared" si="36"/>
        <v>00</v>
      </c>
      <c r="AQ177" t="str">
        <f t="shared" si="31"/>
        <v/>
      </c>
    </row>
    <row r="178" spans="2:43">
      <c r="B178" s="138"/>
      <c r="C178" s="47">
        <f t="shared" si="32"/>
        <v>42</v>
      </c>
      <c r="D178" s="130">
        <f t="shared" si="46"/>
        <v>0</v>
      </c>
      <c r="E178" s="130">
        <f t="shared" si="46"/>
        <v>0</v>
      </c>
      <c r="F178" s="130">
        <f t="shared" si="46"/>
        <v>0</v>
      </c>
      <c r="G178" s="130">
        <f t="shared" si="46"/>
        <v>0</v>
      </c>
      <c r="H178" s="130">
        <f t="shared" si="46"/>
        <v>0</v>
      </c>
      <c r="I178" s="130">
        <f t="shared" si="46"/>
        <v>0</v>
      </c>
      <c r="J178" s="130">
        <f t="shared" si="46"/>
        <v>0</v>
      </c>
      <c r="K178" s="130">
        <f t="shared" si="46"/>
        <v>0</v>
      </c>
      <c r="L178" s="130">
        <f t="shared" si="46"/>
        <v>0</v>
      </c>
      <c r="M178" s="130">
        <f t="shared" si="46"/>
        <v>0</v>
      </c>
      <c r="N178" s="130">
        <f t="shared" si="46"/>
        <v>0</v>
      </c>
      <c r="O178" s="130">
        <f t="shared" si="46"/>
        <v>0</v>
      </c>
      <c r="P178" s="130">
        <f t="shared" si="46"/>
        <v>0</v>
      </c>
      <c r="Q178" s="130">
        <f t="shared" si="46"/>
        <v>0</v>
      </c>
      <c r="R178" s="130">
        <f t="shared" si="46"/>
        <v>0</v>
      </c>
      <c r="S178" s="130">
        <f t="shared" si="46"/>
        <v>0</v>
      </c>
      <c r="T178" s="130">
        <f t="shared" si="46"/>
        <v>0</v>
      </c>
      <c r="U178" s="130">
        <f t="shared" si="46"/>
        <v>0</v>
      </c>
      <c r="V178" s="130">
        <f t="shared" si="46"/>
        <v>0</v>
      </c>
      <c r="W178" s="130">
        <f t="shared" si="46"/>
        <v>0</v>
      </c>
      <c r="X178" s="130">
        <f t="shared" si="46"/>
        <v>0</v>
      </c>
      <c r="Y178" s="130">
        <f t="shared" si="46"/>
        <v>0</v>
      </c>
      <c r="Z178" s="130">
        <f t="shared" si="46"/>
        <v>0</v>
      </c>
      <c r="AA178" s="130">
        <f t="shared" si="46"/>
        <v>0</v>
      </c>
      <c r="AB178" s="130">
        <f t="shared" si="46"/>
        <v>0</v>
      </c>
      <c r="AC178" s="130">
        <f t="shared" si="46"/>
        <v>0</v>
      </c>
      <c r="AD178" s="130">
        <f t="shared" si="46"/>
        <v>0</v>
      </c>
      <c r="AE178" s="130">
        <f t="shared" si="46"/>
        <v>0</v>
      </c>
      <c r="AF178" s="130">
        <f t="shared" si="46"/>
        <v>0</v>
      </c>
      <c r="AG178" s="130">
        <f t="shared" si="46"/>
        <v>0</v>
      </c>
      <c r="AH178" s="130">
        <f t="shared" si="46"/>
        <v>0</v>
      </c>
      <c r="AI178" s="130">
        <f t="shared" si="46"/>
        <v>0</v>
      </c>
      <c r="AJ178" s="47" t="str">
        <f t="shared" si="30"/>
        <v/>
      </c>
      <c r="AK178" s="60"/>
      <c r="AL178" s="60" t="str">
        <f t="shared" si="33"/>
        <v>00</v>
      </c>
      <c r="AM178" s="62" t="str">
        <f t="shared" si="34"/>
        <v>00</v>
      </c>
      <c r="AN178" s="62" t="str">
        <f t="shared" si="35"/>
        <v>00</v>
      </c>
      <c r="AO178" s="62" t="str">
        <f t="shared" si="36"/>
        <v>00</v>
      </c>
      <c r="AQ178" t="str">
        <f t="shared" si="31"/>
        <v/>
      </c>
    </row>
    <row r="179" spans="2:43">
      <c r="B179" s="138"/>
      <c r="C179" s="47">
        <f t="shared" si="32"/>
        <v>43</v>
      </c>
      <c r="D179" s="130">
        <f t="shared" si="46"/>
        <v>0</v>
      </c>
      <c r="E179" s="130">
        <f t="shared" si="46"/>
        <v>0</v>
      </c>
      <c r="F179" s="130">
        <f t="shared" si="46"/>
        <v>0</v>
      </c>
      <c r="G179" s="130">
        <f t="shared" si="46"/>
        <v>0</v>
      </c>
      <c r="H179" s="130">
        <f t="shared" si="46"/>
        <v>0</v>
      </c>
      <c r="I179" s="130">
        <f t="shared" si="46"/>
        <v>0</v>
      </c>
      <c r="J179" s="130">
        <f t="shared" si="46"/>
        <v>0</v>
      </c>
      <c r="K179" s="130">
        <f t="shared" si="46"/>
        <v>0</v>
      </c>
      <c r="L179" s="130">
        <f t="shared" si="46"/>
        <v>0</v>
      </c>
      <c r="M179" s="130">
        <f t="shared" si="46"/>
        <v>0</v>
      </c>
      <c r="N179" s="130">
        <f t="shared" si="46"/>
        <v>0</v>
      </c>
      <c r="O179" s="130">
        <f t="shared" si="46"/>
        <v>0</v>
      </c>
      <c r="P179" s="130">
        <f t="shared" si="46"/>
        <v>0</v>
      </c>
      <c r="Q179" s="130">
        <f t="shared" si="46"/>
        <v>0</v>
      </c>
      <c r="R179" s="130">
        <f t="shared" si="46"/>
        <v>0</v>
      </c>
      <c r="S179" s="130">
        <f t="shared" si="46"/>
        <v>0</v>
      </c>
      <c r="T179" s="130">
        <f t="shared" si="46"/>
        <v>0</v>
      </c>
      <c r="U179" s="130">
        <f t="shared" si="46"/>
        <v>0</v>
      </c>
      <c r="V179" s="130">
        <f t="shared" si="46"/>
        <v>0</v>
      </c>
      <c r="W179" s="130">
        <f t="shared" si="46"/>
        <v>0</v>
      </c>
      <c r="X179" s="130">
        <f t="shared" si="46"/>
        <v>0</v>
      </c>
      <c r="Y179" s="130">
        <f t="shared" si="46"/>
        <v>0</v>
      </c>
      <c r="Z179" s="130">
        <f t="shared" si="46"/>
        <v>0</v>
      </c>
      <c r="AA179" s="130">
        <f t="shared" si="46"/>
        <v>0</v>
      </c>
      <c r="AB179" s="130">
        <f t="shared" si="46"/>
        <v>0</v>
      </c>
      <c r="AC179" s="130">
        <f t="shared" si="46"/>
        <v>0</v>
      </c>
      <c r="AD179" s="130">
        <f t="shared" si="46"/>
        <v>0</v>
      </c>
      <c r="AE179" s="130">
        <f t="shared" si="46"/>
        <v>0</v>
      </c>
      <c r="AF179" s="130">
        <f t="shared" si="46"/>
        <v>0</v>
      </c>
      <c r="AG179" s="130">
        <f t="shared" si="46"/>
        <v>0</v>
      </c>
      <c r="AH179" s="130">
        <f t="shared" si="46"/>
        <v>0</v>
      </c>
      <c r="AI179" s="130">
        <f t="shared" si="46"/>
        <v>0</v>
      </c>
      <c r="AJ179" s="47" t="str">
        <f t="shared" si="30"/>
        <v/>
      </c>
      <c r="AK179" s="60"/>
      <c r="AL179" s="60" t="str">
        <f t="shared" si="33"/>
        <v>00</v>
      </c>
      <c r="AM179" s="62" t="str">
        <f t="shared" si="34"/>
        <v>00</v>
      </c>
      <c r="AN179" s="62" t="str">
        <f t="shared" si="35"/>
        <v>00</v>
      </c>
      <c r="AO179" s="62" t="str">
        <f t="shared" si="36"/>
        <v>00</v>
      </c>
      <c r="AQ179" t="str">
        <f t="shared" si="31"/>
        <v/>
      </c>
    </row>
    <row r="180" spans="2:43">
      <c r="B180" s="138"/>
      <c r="C180" s="47">
        <f t="shared" si="32"/>
        <v>44</v>
      </c>
      <c r="D180" s="130">
        <f t="shared" si="46"/>
        <v>0</v>
      </c>
      <c r="E180" s="130">
        <f t="shared" si="46"/>
        <v>0</v>
      </c>
      <c r="F180" s="130">
        <f t="shared" si="46"/>
        <v>0</v>
      </c>
      <c r="G180" s="130">
        <f t="shared" si="46"/>
        <v>0</v>
      </c>
      <c r="H180" s="130">
        <f t="shared" si="46"/>
        <v>0</v>
      </c>
      <c r="I180" s="130">
        <f t="shared" si="46"/>
        <v>0</v>
      </c>
      <c r="J180" s="130">
        <f t="shared" si="46"/>
        <v>0</v>
      </c>
      <c r="K180" s="130">
        <f t="shared" si="46"/>
        <v>0</v>
      </c>
      <c r="L180" s="130">
        <f t="shared" si="46"/>
        <v>0</v>
      </c>
      <c r="M180" s="130">
        <f t="shared" si="46"/>
        <v>0</v>
      </c>
      <c r="N180" s="130">
        <f t="shared" si="46"/>
        <v>0</v>
      </c>
      <c r="O180" s="130">
        <f t="shared" si="46"/>
        <v>0</v>
      </c>
      <c r="P180" s="130">
        <f t="shared" si="46"/>
        <v>0</v>
      </c>
      <c r="Q180" s="130">
        <f t="shared" si="46"/>
        <v>0</v>
      </c>
      <c r="R180" s="130">
        <f t="shared" si="46"/>
        <v>0</v>
      </c>
      <c r="S180" s="130">
        <f t="shared" si="46"/>
        <v>0</v>
      </c>
      <c r="T180" s="130">
        <f t="shared" si="46"/>
        <v>0</v>
      </c>
      <c r="U180" s="130">
        <f t="shared" si="46"/>
        <v>0</v>
      </c>
      <c r="V180" s="130">
        <f t="shared" si="46"/>
        <v>0</v>
      </c>
      <c r="W180" s="130">
        <f t="shared" si="46"/>
        <v>0</v>
      </c>
      <c r="X180" s="130">
        <f t="shared" si="46"/>
        <v>0</v>
      </c>
      <c r="Y180" s="130">
        <f t="shared" si="46"/>
        <v>0</v>
      </c>
      <c r="Z180" s="130">
        <f t="shared" si="46"/>
        <v>0</v>
      </c>
      <c r="AA180" s="130">
        <f t="shared" si="46"/>
        <v>0</v>
      </c>
      <c r="AB180" s="130">
        <f t="shared" si="46"/>
        <v>0</v>
      </c>
      <c r="AC180" s="130">
        <f t="shared" si="46"/>
        <v>0</v>
      </c>
      <c r="AD180" s="130">
        <f t="shared" si="46"/>
        <v>0</v>
      </c>
      <c r="AE180" s="130">
        <f t="shared" si="46"/>
        <v>0</v>
      </c>
      <c r="AF180" s="130">
        <f t="shared" si="46"/>
        <v>0</v>
      </c>
      <c r="AG180" s="130">
        <f t="shared" si="46"/>
        <v>0</v>
      </c>
      <c r="AH180" s="130">
        <f t="shared" si="46"/>
        <v>0</v>
      </c>
      <c r="AI180" s="130">
        <f t="shared" si="46"/>
        <v>0</v>
      </c>
      <c r="AJ180" s="47" t="str">
        <f t="shared" si="30"/>
        <v/>
      </c>
      <c r="AK180" s="60"/>
      <c r="AL180" s="60" t="str">
        <f t="shared" si="33"/>
        <v>00</v>
      </c>
      <c r="AM180" s="62" t="str">
        <f t="shared" si="34"/>
        <v>00</v>
      </c>
      <c r="AN180" s="62" t="str">
        <f t="shared" si="35"/>
        <v>00</v>
      </c>
      <c r="AO180" s="62" t="str">
        <f t="shared" si="36"/>
        <v>00</v>
      </c>
      <c r="AQ180" t="str">
        <f t="shared" si="31"/>
        <v/>
      </c>
    </row>
    <row r="181" spans="2:43">
      <c r="B181" s="138"/>
      <c r="C181" s="47">
        <f t="shared" si="32"/>
        <v>45</v>
      </c>
      <c r="D181" s="130">
        <f t="shared" si="46"/>
        <v>0</v>
      </c>
      <c r="E181" s="130">
        <f t="shared" si="46"/>
        <v>0</v>
      </c>
      <c r="F181" s="130">
        <f t="shared" si="46"/>
        <v>0</v>
      </c>
      <c r="G181" s="130">
        <f t="shared" si="46"/>
        <v>0</v>
      </c>
      <c r="H181" s="130">
        <f t="shared" si="46"/>
        <v>0</v>
      </c>
      <c r="I181" s="130">
        <f t="shared" si="46"/>
        <v>0</v>
      </c>
      <c r="J181" s="130">
        <f t="shared" si="46"/>
        <v>0</v>
      </c>
      <c r="K181" s="130">
        <f t="shared" si="46"/>
        <v>0</v>
      </c>
      <c r="L181" s="130">
        <f t="shared" si="46"/>
        <v>0</v>
      </c>
      <c r="M181" s="130">
        <f t="shared" si="46"/>
        <v>0</v>
      </c>
      <c r="N181" s="130">
        <f t="shared" si="46"/>
        <v>0</v>
      </c>
      <c r="O181" s="130">
        <f t="shared" si="46"/>
        <v>0</v>
      </c>
      <c r="P181" s="130">
        <f t="shared" si="46"/>
        <v>0</v>
      </c>
      <c r="Q181" s="130">
        <f t="shared" si="46"/>
        <v>0</v>
      </c>
      <c r="R181" s="130">
        <f t="shared" si="46"/>
        <v>0</v>
      </c>
      <c r="S181" s="130">
        <f t="shared" si="46"/>
        <v>0</v>
      </c>
      <c r="T181" s="130">
        <f t="shared" si="46"/>
        <v>0</v>
      </c>
      <c r="U181" s="130">
        <f t="shared" si="46"/>
        <v>0</v>
      </c>
      <c r="V181" s="130">
        <f t="shared" si="46"/>
        <v>0</v>
      </c>
      <c r="W181" s="130">
        <f t="shared" si="46"/>
        <v>0</v>
      </c>
      <c r="X181" s="130">
        <f t="shared" si="46"/>
        <v>0</v>
      </c>
      <c r="Y181" s="130">
        <f t="shared" si="46"/>
        <v>0</v>
      </c>
      <c r="Z181" s="130">
        <f t="shared" si="46"/>
        <v>0</v>
      </c>
      <c r="AA181" s="130">
        <f t="shared" si="46"/>
        <v>0</v>
      </c>
      <c r="AB181" s="130">
        <f t="shared" si="46"/>
        <v>0</v>
      </c>
      <c r="AC181" s="130">
        <f t="shared" si="46"/>
        <v>0</v>
      </c>
      <c r="AD181" s="130">
        <f t="shared" si="46"/>
        <v>0</v>
      </c>
      <c r="AE181" s="130">
        <f t="shared" si="46"/>
        <v>0</v>
      </c>
      <c r="AF181" s="130">
        <f t="shared" si="46"/>
        <v>0</v>
      </c>
      <c r="AG181" s="130">
        <f t="shared" si="46"/>
        <v>0</v>
      </c>
      <c r="AH181" s="130">
        <f t="shared" si="46"/>
        <v>0</v>
      </c>
      <c r="AI181" s="130">
        <f t="shared" si="46"/>
        <v>0</v>
      </c>
      <c r="AJ181" s="47" t="str">
        <f t="shared" si="30"/>
        <v/>
      </c>
      <c r="AK181" s="60"/>
      <c r="AL181" s="60" t="str">
        <f t="shared" si="33"/>
        <v>00</v>
      </c>
      <c r="AM181" s="62" t="str">
        <f t="shared" si="34"/>
        <v>00</v>
      </c>
      <c r="AN181" s="62" t="str">
        <f t="shared" si="35"/>
        <v>00</v>
      </c>
      <c r="AO181" s="62" t="str">
        <f t="shared" si="36"/>
        <v>00</v>
      </c>
      <c r="AQ181" t="str">
        <f t="shared" si="31"/>
        <v/>
      </c>
    </row>
    <row r="182" spans="2:43">
      <c r="B182" s="138"/>
      <c r="C182" s="47">
        <f t="shared" si="32"/>
        <v>46</v>
      </c>
      <c r="D182" s="130">
        <f t="shared" si="46"/>
        <v>0</v>
      </c>
      <c r="E182" s="130">
        <f t="shared" si="46"/>
        <v>0</v>
      </c>
      <c r="F182" s="130">
        <f t="shared" si="46"/>
        <v>0</v>
      </c>
      <c r="G182" s="130">
        <f t="shared" si="46"/>
        <v>0</v>
      </c>
      <c r="H182" s="130">
        <f t="shared" si="46"/>
        <v>0</v>
      </c>
      <c r="I182" s="130">
        <f t="shared" si="46"/>
        <v>0</v>
      </c>
      <c r="J182" s="130">
        <f t="shared" si="46"/>
        <v>0</v>
      </c>
      <c r="K182" s="130">
        <f t="shared" si="46"/>
        <v>0</v>
      </c>
      <c r="L182" s="130">
        <f t="shared" si="46"/>
        <v>0</v>
      </c>
      <c r="M182" s="130">
        <f t="shared" si="46"/>
        <v>0</v>
      </c>
      <c r="N182" s="130">
        <f t="shared" si="46"/>
        <v>0</v>
      </c>
      <c r="O182" s="130">
        <f t="shared" si="46"/>
        <v>0</v>
      </c>
      <c r="P182" s="130">
        <f t="shared" si="46"/>
        <v>0</v>
      </c>
      <c r="Q182" s="130">
        <f t="shared" si="46"/>
        <v>0</v>
      </c>
      <c r="R182" s="130">
        <f t="shared" si="46"/>
        <v>0</v>
      </c>
      <c r="S182" s="130">
        <f t="shared" si="46"/>
        <v>0</v>
      </c>
      <c r="T182" s="130">
        <f t="shared" si="46"/>
        <v>0</v>
      </c>
      <c r="U182" s="130">
        <f t="shared" si="46"/>
        <v>0</v>
      </c>
      <c r="V182" s="130">
        <f t="shared" si="46"/>
        <v>0</v>
      </c>
      <c r="W182" s="130">
        <f t="shared" si="46"/>
        <v>0</v>
      </c>
      <c r="X182" s="130">
        <f t="shared" si="46"/>
        <v>0</v>
      </c>
      <c r="Y182" s="130">
        <f t="shared" si="46"/>
        <v>0</v>
      </c>
      <c r="Z182" s="130">
        <f t="shared" si="46"/>
        <v>0</v>
      </c>
      <c r="AA182" s="130">
        <f t="shared" si="46"/>
        <v>0</v>
      </c>
      <c r="AB182" s="130">
        <f t="shared" si="46"/>
        <v>0</v>
      </c>
      <c r="AC182" s="130">
        <f t="shared" si="46"/>
        <v>0</v>
      </c>
      <c r="AD182" s="130">
        <f t="shared" si="46"/>
        <v>0</v>
      </c>
      <c r="AE182" s="130">
        <f t="shared" si="46"/>
        <v>0</v>
      </c>
      <c r="AF182" s="130">
        <f t="shared" si="46"/>
        <v>0</v>
      </c>
      <c r="AG182" s="130">
        <f t="shared" si="46"/>
        <v>0</v>
      </c>
      <c r="AH182" s="130">
        <f t="shared" si="46"/>
        <v>0</v>
      </c>
      <c r="AI182" s="130">
        <f t="shared" si="46"/>
        <v>0</v>
      </c>
      <c r="AJ182" s="47" t="str">
        <f t="shared" si="30"/>
        <v/>
      </c>
      <c r="AK182" s="60"/>
      <c r="AL182" s="60" t="str">
        <f t="shared" si="33"/>
        <v>00</v>
      </c>
      <c r="AM182" s="62" t="str">
        <f t="shared" si="34"/>
        <v>00</v>
      </c>
      <c r="AN182" s="62" t="str">
        <f t="shared" si="35"/>
        <v>00</v>
      </c>
      <c r="AO182" s="62" t="str">
        <f t="shared" si="36"/>
        <v>00</v>
      </c>
      <c r="AQ182" t="str">
        <f t="shared" si="31"/>
        <v/>
      </c>
    </row>
    <row r="183" spans="2:43">
      <c r="B183" s="138"/>
      <c r="C183" s="47">
        <f t="shared" si="32"/>
        <v>47</v>
      </c>
      <c r="D183" s="130">
        <f t="shared" si="46"/>
        <v>0</v>
      </c>
      <c r="E183" s="130">
        <f t="shared" si="46"/>
        <v>0</v>
      </c>
      <c r="F183" s="130">
        <f t="shared" si="46"/>
        <v>0</v>
      </c>
      <c r="G183" s="130">
        <f t="shared" si="46"/>
        <v>0</v>
      </c>
      <c r="H183" s="130">
        <f t="shared" si="46"/>
        <v>0</v>
      </c>
      <c r="I183" s="130">
        <f t="shared" si="46"/>
        <v>0</v>
      </c>
      <c r="J183" s="130">
        <f t="shared" si="46"/>
        <v>0</v>
      </c>
      <c r="K183" s="130">
        <f t="shared" si="46"/>
        <v>0</v>
      </c>
      <c r="L183" s="130">
        <f t="shared" si="46"/>
        <v>0</v>
      </c>
      <c r="M183" s="130">
        <f t="shared" si="46"/>
        <v>0</v>
      </c>
      <c r="N183" s="130">
        <f t="shared" si="46"/>
        <v>0</v>
      </c>
      <c r="O183" s="130">
        <f t="shared" si="46"/>
        <v>0</v>
      </c>
      <c r="P183" s="130">
        <f t="shared" si="46"/>
        <v>0</v>
      </c>
      <c r="Q183" s="130">
        <f t="shared" si="46"/>
        <v>0</v>
      </c>
      <c r="R183" s="130">
        <f t="shared" si="46"/>
        <v>0</v>
      </c>
      <c r="S183" s="130">
        <f t="shared" si="46"/>
        <v>0</v>
      </c>
      <c r="T183" s="130">
        <f t="shared" si="46"/>
        <v>0</v>
      </c>
      <c r="U183" s="130">
        <f t="shared" si="46"/>
        <v>0</v>
      </c>
      <c r="V183" s="130">
        <f t="shared" si="46"/>
        <v>0</v>
      </c>
      <c r="W183" s="130">
        <f t="shared" si="46"/>
        <v>0</v>
      </c>
      <c r="X183" s="130">
        <f t="shared" si="46"/>
        <v>0</v>
      </c>
      <c r="Y183" s="130">
        <f t="shared" si="46"/>
        <v>0</v>
      </c>
      <c r="Z183" s="130">
        <f t="shared" si="46"/>
        <v>0</v>
      </c>
      <c r="AA183" s="130">
        <f t="shared" si="46"/>
        <v>0</v>
      </c>
      <c r="AB183" s="130">
        <f t="shared" si="46"/>
        <v>0</v>
      </c>
      <c r="AC183" s="130">
        <f t="shared" si="46"/>
        <v>0</v>
      </c>
      <c r="AD183" s="130">
        <f t="shared" si="46"/>
        <v>0</v>
      </c>
      <c r="AE183" s="130">
        <f t="shared" si="46"/>
        <v>0</v>
      </c>
      <c r="AF183" s="130">
        <f t="shared" si="46"/>
        <v>0</v>
      </c>
      <c r="AG183" s="130">
        <f t="shared" si="46"/>
        <v>0</v>
      </c>
      <c r="AH183" s="130">
        <f t="shared" si="46"/>
        <v>0</v>
      </c>
      <c r="AI183" s="130">
        <f t="shared" ref="AI183" si="47">IF(OR(AI53=0,AI53=1),1,0)</f>
        <v>0</v>
      </c>
      <c r="AJ183" s="47" t="str">
        <f t="shared" si="30"/>
        <v/>
      </c>
      <c r="AK183" s="60"/>
      <c r="AL183" s="60" t="str">
        <f t="shared" si="33"/>
        <v>00</v>
      </c>
      <c r="AM183" s="62" t="str">
        <f t="shared" si="34"/>
        <v>00</v>
      </c>
      <c r="AN183" s="62" t="str">
        <f t="shared" si="35"/>
        <v>00</v>
      </c>
      <c r="AO183" s="62" t="str">
        <f t="shared" si="36"/>
        <v>00</v>
      </c>
      <c r="AQ183" t="str">
        <f t="shared" si="31"/>
        <v/>
      </c>
    </row>
    <row r="184" spans="2:43">
      <c r="B184" s="138"/>
      <c r="C184" s="47">
        <f t="shared" si="32"/>
        <v>48</v>
      </c>
      <c r="D184" s="130">
        <f t="shared" ref="D184:AI191" si="48">IF(OR(D54=0,D54=1),1,0)</f>
        <v>0</v>
      </c>
      <c r="E184" s="130">
        <f t="shared" si="48"/>
        <v>0</v>
      </c>
      <c r="F184" s="130">
        <f t="shared" si="48"/>
        <v>0</v>
      </c>
      <c r="G184" s="130">
        <f t="shared" si="48"/>
        <v>0</v>
      </c>
      <c r="H184" s="130">
        <f t="shared" si="48"/>
        <v>0</v>
      </c>
      <c r="I184" s="130">
        <f t="shared" si="48"/>
        <v>0</v>
      </c>
      <c r="J184" s="130">
        <f t="shared" si="48"/>
        <v>0</v>
      </c>
      <c r="K184" s="130">
        <f t="shared" si="48"/>
        <v>0</v>
      </c>
      <c r="L184" s="130">
        <f t="shared" si="48"/>
        <v>0</v>
      </c>
      <c r="M184" s="130">
        <f t="shared" si="48"/>
        <v>0</v>
      </c>
      <c r="N184" s="130">
        <f t="shared" si="48"/>
        <v>0</v>
      </c>
      <c r="O184" s="130">
        <f t="shared" si="48"/>
        <v>0</v>
      </c>
      <c r="P184" s="130">
        <f t="shared" si="48"/>
        <v>0</v>
      </c>
      <c r="Q184" s="130">
        <f t="shared" si="48"/>
        <v>0</v>
      </c>
      <c r="R184" s="130">
        <f t="shared" si="48"/>
        <v>0</v>
      </c>
      <c r="S184" s="130">
        <f t="shared" si="48"/>
        <v>0</v>
      </c>
      <c r="T184" s="130">
        <f t="shared" si="48"/>
        <v>0</v>
      </c>
      <c r="U184" s="130">
        <f t="shared" si="48"/>
        <v>0</v>
      </c>
      <c r="V184" s="130">
        <f t="shared" si="48"/>
        <v>0</v>
      </c>
      <c r="W184" s="130">
        <f t="shared" si="48"/>
        <v>0</v>
      </c>
      <c r="X184" s="130">
        <f t="shared" si="48"/>
        <v>0</v>
      </c>
      <c r="Y184" s="130">
        <f t="shared" si="48"/>
        <v>0</v>
      </c>
      <c r="Z184" s="130">
        <f t="shared" si="48"/>
        <v>0</v>
      </c>
      <c r="AA184" s="130">
        <f t="shared" si="48"/>
        <v>0</v>
      </c>
      <c r="AB184" s="130">
        <f t="shared" si="48"/>
        <v>0</v>
      </c>
      <c r="AC184" s="130">
        <f t="shared" si="48"/>
        <v>0</v>
      </c>
      <c r="AD184" s="130">
        <f t="shared" si="48"/>
        <v>0</v>
      </c>
      <c r="AE184" s="130">
        <f t="shared" si="48"/>
        <v>0</v>
      </c>
      <c r="AF184" s="130">
        <f t="shared" si="48"/>
        <v>0</v>
      </c>
      <c r="AG184" s="130">
        <f t="shared" si="48"/>
        <v>0</v>
      </c>
      <c r="AH184" s="130">
        <f t="shared" si="48"/>
        <v>0</v>
      </c>
      <c r="AI184" s="130">
        <f t="shared" si="48"/>
        <v>0</v>
      </c>
      <c r="AJ184" s="47" t="str">
        <f t="shared" si="30"/>
        <v/>
      </c>
      <c r="AK184" s="60"/>
      <c r="AL184" s="60" t="str">
        <f t="shared" si="33"/>
        <v>00</v>
      </c>
      <c r="AM184" s="62" t="str">
        <f t="shared" si="34"/>
        <v>00</v>
      </c>
      <c r="AN184" s="62" t="str">
        <f t="shared" si="35"/>
        <v>00</v>
      </c>
      <c r="AO184" s="62" t="str">
        <f t="shared" si="36"/>
        <v>00</v>
      </c>
      <c r="AQ184" t="str">
        <f t="shared" si="31"/>
        <v/>
      </c>
    </row>
    <row r="185" spans="2:43">
      <c r="B185" s="138"/>
      <c r="C185" s="47">
        <f t="shared" si="32"/>
        <v>49</v>
      </c>
      <c r="D185" s="130">
        <f t="shared" si="48"/>
        <v>0</v>
      </c>
      <c r="E185" s="130">
        <f t="shared" si="48"/>
        <v>0</v>
      </c>
      <c r="F185" s="130">
        <f t="shared" si="48"/>
        <v>0</v>
      </c>
      <c r="G185" s="130">
        <f t="shared" si="48"/>
        <v>0</v>
      </c>
      <c r="H185" s="130">
        <f t="shared" si="48"/>
        <v>0</v>
      </c>
      <c r="I185" s="130">
        <f t="shared" si="48"/>
        <v>0</v>
      </c>
      <c r="J185" s="130">
        <f t="shared" si="48"/>
        <v>0</v>
      </c>
      <c r="K185" s="130">
        <f t="shared" si="48"/>
        <v>0</v>
      </c>
      <c r="L185" s="130">
        <f t="shared" si="48"/>
        <v>0</v>
      </c>
      <c r="M185" s="130">
        <f t="shared" si="48"/>
        <v>0</v>
      </c>
      <c r="N185" s="130">
        <f t="shared" si="48"/>
        <v>0</v>
      </c>
      <c r="O185" s="130">
        <f t="shared" si="48"/>
        <v>0</v>
      </c>
      <c r="P185" s="130">
        <f t="shared" si="48"/>
        <v>0</v>
      </c>
      <c r="Q185" s="130">
        <f t="shared" si="48"/>
        <v>0</v>
      </c>
      <c r="R185" s="130">
        <f t="shared" si="48"/>
        <v>0</v>
      </c>
      <c r="S185" s="130">
        <f t="shared" si="48"/>
        <v>0</v>
      </c>
      <c r="T185" s="130">
        <f t="shared" si="48"/>
        <v>0</v>
      </c>
      <c r="U185" s="130">
        <f t="shared" si="48"/>
        <v>0</v>
      </c>
      <c r="V185" s="130">
        <f t="shared" si="48"/>
        <v>0</v>
      </c>
      <c r="W185" s="130">
        <f t="shared" si="48"/>
        <v>0</v>
      </c>
      <c r="X185" s="130">
        <f t="shared" si="48"/>
        <v>0</v>
      </c>
      <c r="Y185" s="130">
        <f t="shared" si="48"/>
        <v>0</v>
      </c>
      <c r="Z185" s="130">
        <f t="shared" si="48"/>
        <v>0</v>
      </c>
      <c r="AA185" s="130">
        <f t="shared" si="48"/>
        <v>0</v>
      </c>
      <c r="AB185" s="130">
        <f t="shared" si="48"/>
        <v>0</v>
      </c>
      <c r="AC185" s="130">
        <f t="shared" si="48"/>
        <v>0</v>
      </c>
      <c r="AD185" s="130">
        <f t="shared" si="48"/>
        <v>0</v>
      </c>
      <c r="AE185" s="130">
        <f t="shared" si="48"/>
        <v>0</v>
      </c>
      <c r="AF185" s="130">
        <f t="shared" si="48"/>
        <v>0</v>
      </c>
      <c r="AG185" s="130">
        <f t="shared" si="48"/>
        <v>0</v>
      </c>
      <c r="AH185" s="130">
        <f t="shared" si="48"/>
        <v>0</v>
      </c>
      <c r="AI185" s="130">
        <f t="shared" si="48"/>
        <v>0</v>
      </c>
      <c r="AJ185" s="47" t="str">
        <f t="shared" si="30"/>
        <v/>
      </c>
      <c r="AK185" s="60"/>
      <c r="AL185" s="60" t="str">
        <f t="shared" si="33"/>
        <v>00</v>
      </c>
      <c r="AM185" s="62" t="str">
        <f t="shared" si="34"/>
        <v>00</v>
      </c>
      <c r="AN185" s="62" t="str">
        <f t="shared" si="35"/>
        <v>00</v>
      </c>
      <c r="AO185" s="62" t="str">
        <f t="shared" si="36"/>
        <v>00</v>
      </c>
      <c r="AQ185" t="str">
        <f t="shared" si="31"/>
        <v/>
      </c>
    </row>
    <row r="186" spans="2:43">
      <c r="B186" s="138"/>
      <c r="C186" s="47">
        <f t="shared" si="32"/>
        <v>50</v>
      </c>
      <c r="D186" s="130">
        <f t="shared" si="48"/>
        <v>0</v>
      </c>
      <c r="E186" s="130">
        <f t="shared" si="48"/>
        <v>0</v>
      </c>
      <c r="F186" s="130">
        <f t="shared" si="48"/>
        <v>0</v>
      </c>
      <c r="G186" s="130">
        <f t="shared" si="48"/>
        <v>0</v>
      </c>
      <c r="H186" s="130">
        <f t="shared" si="48"/>
        <v>0</v>
      </c>
      <c r="I186" s="130">
        <f t="shared" si="48"/>
        <v>0</v>
      </c>
      <c r="J186" s="130">
        <f t="shared" si="48"/>
        <v>0</v>
      </c>
      <c r="K186" s="130">
        <f t="shared" si="48"/>
        <v>0</v>
      </c>
      <c r="L186" s="130">
        <f t="shared" si="48"/>
        <v>0</v>
      </c>
      <c r="M186" s="130">
        <f t="shared" si="48"/>
        <v>0</v>
      </c>
      <c r="N186" s="130">
        <f t="shared" si="48"/>
        <v>0</v>
      </c>
      <c r="O186" s="130">
        <f t="shared" si="48"/>
        <v>0</v>
      </c>
      <c r="P186" s="130">
        <f t="shared" si="48"/>
        <v>0</v>
      </c>
      <c r="Q186" s="130">
        <f t="shared" si="48"/>
        <v>0</v>
      </c>
      <c r="R186" s="130">
        <f t="shared" si="48"/>
        <v>0</v>
      </c>
      <c r="S186" s="130">
        <f t="shared" si="48"/>
        <v>0</v>
      </c>
      <c r="T186" s="130">
        <f t="shared" si="48"/>
        <v>0</v>
      </c>
      <c r="U186" s="130">
        <f t="shared" si="48"/>
        <v>0</v>
      </c>
      <c r="V186" s="130">
        <f t="shared" si="48"/>
        <v>0</v>
      </c>
      <c r="W186" s="130">
        <f t="shared" si="48"/>
        <v>0</v>
      </c>
      <c r="X186" s="130">
        <f t="shared" si="48"/>
        <v>0</v>
      </c>
      <c r="Y186" s="130">
        <f t="shared" si="48"/>
        <v>0</v>
      </c>
      <c r="Z186" s="130">
        <f t="shared" si="48"/>
        <v>0</v>
      </c>
      <c r="AA186" s="130">
        <f t="shared" si="48"/>
        <v>0</v>
      </c>
      <c r="AB186" s="130">
        <f t="shared" si="48"/>
        <v>0</v>
      </c>
      <c r="AC186" s="130">
        <f t="shared" si="48"/>
        <v>0</v>
      </c>
      <c r="AD186" s="130">
        <f t="shared" si="48"/>
        <v>0</v>
      </c>
      <c r="AE186" s="130">
        <f t="shared" si="48"/>
        <v>0</v>
      </c>
      <c r="AF186" s="130">
        <f t="shared" si="48"/>
        <v>0</v>
      </c>
      <c r="AG186" s="130">
        <f t="shared" si="48"/>
        <v>0</v>
      </c>
      <c r="AH186" s="130">
        <f t="shared" si="48"/>
        <v>0</v>
      </c>
      <c r="AI186" s="130">
        <f t="shared" si="48"/>
        <v>0</v>
      </c>
      <c r="AJ186" s="47" t="str">
        <f t="shared" si="30"/>
        <v/>
      </c>
      <c r="AK186" s="60"/>
      <c r="AL186" s="60" t="str">
        <f t="shared" si="33"/>
        <v>00</v>
      </c>
      <c r="AM186" s="62" t="str">
        <f t="shared" si="34"/>
        <v>00</v>
      </c>
      <c r="AN186" s="62" t="str">
        <f t="shared" si="35"/>
        <v>00</v>
      </c>
      <c r="AO186" s="62" t="str">
        <f t="shared" si="36"/>
        <v>00</v>
      </c>
      <c r="AQ186" t="str">
        <f t="shared" si="31"/>
        <v/>
      </c>
    </row>
    <row r="187" spans="2:43">
      <c r="B187" s="138"/>
      <c r="C187" s="47">
        <f t="shared" si="32"/>
        <v>51</v>
      </c>
      <c r="D187" s="130">
        <f t="shared" si="48"/>
        <v>0</v>
      </c>
      <c r="E187" s="130">
        <f t="shared" si="48"/>
        <v>0</v>
      </c>
      <c r="F187" s="130">
        <f t="shared" si="48"/>
        <v>0</v>
      </c>
      <c r="G187" s="130">
        <f t="shared" si="48"/>
        <v>0</v>
      </c>
      <c r="H187" s="130">
        <f t="shared" si="48"/>
        <v>0</v>
      </c>
      <c r="I187" s="130">
        <f t="shared" si="48"/>
        <v>0</v>
      </c>
      <c r="J187" s="130">
        <f t="shared" si="48"/>
        <v>0</v>
      </c>
      <c r="K187" s="130">
        <f t="shared" si="48"/>
        <v>0</v>
      </c>
      <c r="L187" s="130">
        <f t="shared" si="48"/>
        <v>0</v>
      </c>
      <c r="M187" s="130">
        <f t="shared" si="48"/>
        <v>0</v>
      </c>
      <c r="N187" s="130">
        <f t="shared" si="48"/>
        <v>0</v>
      </c>
      <c r="O187" s="130">
        <f t="shared" si="48"/>
        <v>0</v>
      </c>
      <c r="P187" s="130">
        <f t="shared" si="48"/>
        <v>0</v>
      </c>
      <c r="Q187" s="130">
        <f t="shared" si="48"/>
        <v>0</v>
      </c>
      <c r="R187" s="130">
        <f t="shared" si="48"/>
        <v>0</v>
      </c>
      <c r="S187" s="130">
        <f t="shared" si="48"/>
        <v>0</v>
      </c>
      <c r="T187" s="130">
        <f t="shared" si="48"/>
        <v>0</v>
      </c>
      <c r="U187" s="130">
        <f t="shared" si="48"/>
        <v>0</v>
      </c>
      <c r="V187" s="130">
        <f t="shared" si="48"/>
        <v>0</v>
      </c>
      <c r="W187" s="130">
        <f t="shared" si="48"/>
        <v>0</v>
      </c>
      <c r="X187" s="130">
        <f t="shared" si="48"/>
        <v>0</v>
      </c>
      <c r="Y187" s="130">
        <f t="shared" si="48"/>
        <v>0</v>
      </c>
      <c r="Z187" s="130">
        <f t="shared" si="48"/>
        <v>0</v>
      </c>
      <c r="AA187" s="130">
        <f t="shared" si="48"/>
        <v>0</v>
      </c>
      <c r="AB187" s="130">
        <f t="shared" si="48"/>
        <v>0</v>
      </c>
      <c r="AC187" s="130">
        <f t="shared" si="48"/>
        <v>0</v>
      </c>
      <c r="AD187" s="130">
        <f t="shared" si="48"/>
        <v>0</v>
      </c>
      <c r="AE187" s="130">
        <f t="shared" si="48"/>
        <v>0</v>
      </c>
      <c r="AF187" s="130">
        <f t="shared" si="48"/>
        <v>0</v>
      </c>
      <c r="AG187" s="130">
        <f t="shared" si="48"/>
        <v>0</v>
      </c>
      <c r="AH187" s="130">
        <f t="shared" si="48"/>
        <v>0</v>
      </c>
      <c r="AI187" s="130">
        <f t="shared" si="48"/>
        <v>0</v>
      </c>
      <c r="AJ187" s="47" t="str">
        <f t="shared" si="30"/>
        <v/>
      </c>
      <c r="AK187" s="60"/>
      <c r="AL187" s="60" t="str">
        <f t="shared" si="33"/>
        <v>00</v>
      </c>
      <c r="AM187" s="62" t="str">
        <f t="shared" si="34"/>
        <v>00</v>
      </c>
      <c r="AN187" s="62" t="str">
        <f t="shared" si="35"/>
        <v>00</v>
      </c>
      <c r="AO187" s="62" t="str">
        <f t="shared" si="36"/>
        <v>00</v>
      </c>
      <c r="AQ187" t="str">
        <f t="shared" si="31"/>
        <v/>
      </c>
    </row>
    <row r="188" spans="2:43">
      <c r="B188" s="138"/>
      <c r="C188" s="47">
        <f t="shared" si="32"/>
        <v>52</v>
      </c>
      <c r="D188" s="130">
        <f t="shared" si="48"/>
        <v>0</v>
      </c>
      <c r="E188" s="130">
        <f t="shared" si="48"/>
        <v>0</v>
      </c>
      <c r="F188" s="130">
        <f t="shared" si="48"/>
        <v>0</v>
      </c>
      <c r="G188" s="130">
        <f t="shared" si="48"/>
        <v>0</v>
      </c>
      <c r="H188" s="130">
        <f t="shared" si="48"/>
        <v>0</v>
      </c>
      <c r="I188" s="130">
        <f t="shared" si="48"/>
        <v>0</v>
      </c>
      <c r="J188" s="130">
        <f t="shared" si="48"/>
        <v>0</v>
      </c>
      <c r="K188" s="130">
        <f t="shared" si="48"/>
        <v>0</v>
      </c>
      <c r="L188" s="130">
        <f t="shared" si="48"/>
        <v>0</v>
      </c>
      <c r="M188" s="130">
        <f t="shared" si="48"/>
        <v>0</v>
      </c>
      <c r="N188" s="130">
        <f t="shared" si="48"/>
        <v>0</v>
      </c>
      <c r="O188" s="130">
        <f t="shared" si="48"/>
        <v>0</v>
      </c>
      <c r="P188" s="130">
        <f t="shared" si="48"/>
        <v>0</v>
      </c>
      <c r="Q188" s="130">
        <f t="shared" si="48"/>
        <v>0</v>
      </c>
      <c r="R188" s="130">
        <f t="shared" si="48"/>
        <v>0</v>
      </c>
      <c r="S188" s="130">
        <f t="shared" si="48"/>
        <v>0</v>
      </c>
      <c r="T188" s="130">
        <f t="shared" si="48"/>
        <v>0</v>
      </c>
      <c r="U188" s="130">
        <f t="shared" si="48"/>
        <v>0</v>
      </c>
      <c r="V188" s="130">
        <f t="shared" si="48"/>
        <v>0</v>
      </c>
      <c r="W188" s="130">
        <f t="shared" si="48"/>
        <v>0</v>
      </c>
      <c r="X188" s="130">
        <f t="shared" si="48"/>
        <v>0</v>
      </c>
      <c r="Y188" s="130">
        <f t="shared" si="48"/>
        <v>0</v>
      </c>
      <c r="Z188" s="130">
        <f t="shared" si="48"/>
        <v>0</v>
      </c>
      <c r="AA188" s="130">
        <f t="shared" si="48"/>
        <v>0</v>
      </c>
      <c r="AB188" s="130">
        <f t="shared" si="48"/>
        <v>0</v>
      </c>
      <c r="AC188" s="130">
        <f t="shared" si="48"/>
        <v>0</v>
      </c>
      <c r="AD188" s="130">
        <f t="shared" si="48"/>
        <v>0</v>
      </c>
      <c r="AE188" s="130">
        <f t="shared" si="48"/>
        <v>0</v>
      </c>
      <c r="AF188" s="130">
        <f t="shared" si="48"/>
        <v>0</v>
      </c>
      <c r="AG188" s="130">
        <f t="shared" si="48"/>
        <v>0</v>
      </c>
      <c r="AH188" s="130">
        <f t="shared" si="48"/>
        <v>0</v>
      </c>
      <c r="AI188" s="130">
        <f t="shared" si="48"/>
        <v>0</v>
      </c>
      <c r="AJ188" s="47" t="str">
        <f t="shared" si="30"/>
        <v/>
      </c>
      <c r="AK188" s="60"/>
      <c r="AL188" s="60" t="str">
        <f t="shared" si="33"/>
        <v>00</v>
      </c>
      <c r="AM188" s="62" t="str">
        <f t="shared" si="34"/>
        <v>00</v>
      </c>
      <c r="AN188" s="62" t="str">
        <f t="shared" si="35"/>
        <v>00</v>
      </c>
      <c r="AO188" s="62" t="str">
        <f t="shared" si="36"/>
        <v>00</v>
      </c>
      <c r="AQ188" t="str">
        <f t="shared" si="31"/>
        <v/>
      </c>
    </row>
    <row r="189" spans="2:43">
      <c r="B189" s="138"/>
      <c r="C189" s="47">
        <f t="shared" si="32"/>
        <v>53</v>
      </c>
      <c r="D189" s="130">
        <f t="shared" si="48"/>
        <v>0</v>
      </c>
      <c r="E189" s="130">
        <f t="shared" si="48"/>
        <v>0</v>
      </c>
      <c r="F189" s="130">
        <f t="shared" si="48"/>
        <v>0</v>
      </c>
      <c r="G189" s="130">
        <f t="shared" si="48"/>
        <v>0</v>
      </c>
      <c r="H189" s="130">
        <f t="shared" si="48"/>
        <v>0</v>
      </c>
      <c r="I189" s="130">
        <f t="shared" si="48"/>
        <v>0</v>
      </c>
      <c r="J189" s="130">
        <f t="shared" si="48"/>
        <v>0</v>
      </c>
      <c r="K189" s="130">
        <f t="shared" si="48"/>
        <v>0</v>
      </c>
      <c r="L189" s="130">
        <f t="shared" si="48"/>
        <v>0</v>
      </c>
      <c r="M189" s="130">
        <f t="shared" si="48"/>
        <v>0</v>
      </c>
      <c r="N189" s="130">
        <f t="shared" si="48"/>
        <v>0</v>
      </c>
      <c r="O189" s="130">
        <f t="shared" si="48"/>
        <v>0</v>
      </c>
      <c r="P189" s="130">
        <f t="shared" si="48"/>
        <v>0</v>
      </c>
      <c r="Q189" s="130">
        <f t="shared" si="48"/>
        <v>0</v>
      </c>
      <c r="R189" s="130">
        <f t="shared" si="48"/>
        <v>0</v>
      </c>
      <c r="S189" s="130">
        <f t="shared" si="48"/>
        <v>0</v>
      </c>
      <c r="T189" s="130">
        <f t="shared" si="48"/>
        <v>0</v>
      </c>
      <c r="U189" s="130">
        <f t="shared" si="48"/>
        <v>0</v>
      </c>
      <c r="V189" s="130">
        <f t="shared" si="48"/>
        <v>0</v>
      </c>
      <c r="W189" s="130">
        <f t="shared" si="48"/>
        <v>0</v>
      </c>
      <c r="X189" s="130">
        <f t="shared" si="48"/>
        <v>0</v>
      </c>
      <c r="Y189" s="130">
        <f t="shared" si="48"/>
        <v>0</v>
      </c>
      <c r="Z189" s="130">
        <f t="shared" si="48"/>
        <v>0</v>
      </c>
      <c r="AA189" s="130">
        <f t="shared" si="48"/>
        <v>0</v>
      </c>
      <c r="AB189" s="130">
        <f t="shared" si="48"/>
        <v>0</v>
      </c>
      <c r="AC189" s="130">
        <f t="shared" si="48"/>
        <v>0</v>
      </c>
      <c r="AD189" s="130">
        <f t="shared" si="48"/>
        <v>0</v>
      </c>
      <c r="AE189" s="130">
        <f t="shared" si="48"/>
        <v>0</v>
      </c>
      <c r="AF189" s="130">
        <f t="shared" si="48"/>
        <v>0</v>
      </c>
      <c r="AG189" s="130">
        <f t="shared" si="48"/>
        <v>0</v>
      </c>
      <c r="AH189" s="130">
        <f t="shared" si="48"/>
        <v>0</v>
      </c>
      <c r="AI189" s="130">
        <f t="shared" si="48"/>
        <v>0</v>
      </c>
      <c r="AJ189" s="47" t="str">
        <f t="shared" si="30"/>
        <v/>
      </c>
      <c r="AK189" s="60"/>
      <c r="AL189" s="60" t="str">
        <f t="shared" si="33"/>
        <v>00</v>
      </c>
      <c r="AM189" s="62" t="str">
        <f t="shared" si="34"/>
        <v>00</v>
      </c>
      <c r="AN189" s="62" t="str">
        <f t="shared" si="35"/>
        <v>00</v>
      </c>
      <c r="AO189" s="62" t="str">
        <f t="shared" si="36"/>
        <v>00</v>
      </c>
      <c r="AQ189" t="str">
        <f t="shared" si="31"/>
        <v/>
      </c>
    </row>
    <row r="190" spans="2:43">
      <c r="B190" s="138"/>
      <c r="C190" s="47">
        <f t="shared" si="32"/>
        <v>54</v>
      </c>
      <c r="D190" s="130">
        <f t="shared" si="48"/>
        <v>0</v>
      </c>
      <c r="E190" s="130">
        <f t="shared" si="48"/>
        <v>0</v>
      </c>
      <c r="F190" s="130">
        <f t="shared" si="48"/>
        <v>0</v>
      </c>
      <c r="G190" s="130">
        <f t="shared" si="48"/>
        <v>0</v>
      </c>
      <c r="H190" s="130">
        <f t="shared" si="48"/>
        <v>0</v>
      </c>
      <c r="I190" s="130">
        <f t="shared" si="48"/>
        <v>0</v>
      </c>
      <c r="J190" s="130">
        <f t="shared" si="48"/>
        <v>0</v>
      </c>
      <c r="K190" s="130">
        <f t="shared" si="48"/>
        <v>0</v>
      </c>
      <c r="L190" s="130">
        <f t="shared" si="48"/>
        <v>0</v>
      </c>
      <c r="M190" s="130">
        <f t="shared" si="48"/>
        <v>0</v>
      </c>
      <c r="N190" s="130">
        <f t="shared" si="48"/>
        <v>0</v>
      </c>
      <c r="O190" s="130">
        <f t="shared" si="48"/>
        <v>0</v>
      </c>
      <c r="P190" s="130">
        <f t="shared" si="48"/>
        <v>0</v>
      </c>
      <c r="Q190" s="130">
        <f t="shared" si="48"/>
        <v>0</v>
      </c>
      <c r="R190" s="130">
        <f t="shared" si="48"/>
        <v>0</v>
      </c>
      <c r="S190" s="130">
        <f t="shared" si="48"/>
        <v>0</v>
      </c>
      <c r="T190" s="130">
        <f t="shared" si="48"/>
        <v>0</v>
      </c>
      <c r="U190" s="130">
        <f t="shared" si="48"/>
        <v>0</v>
      </c>
      <c r="V190" s="130">
        <f t="shared" si="48"/>
        <v>0</v>
      </c>
      <c r="W190" s="130">
        <f t="shared" si="48"/>
        <v>0</v>
      </c>
      <c r="X190" s="130">
        <f t="shared" si="48"/>
        <v>0</v>
      </c>
      <c r="Y190" s="130">
        <f t="shared" si="48"/>
        <v>0</v>
      </c>
      <c r="Z190" s="130">
        <f t="shared" si="48"/>
        <v>0</v>
      </c>
      <c r="AA190" s="130">
        <f t="shared" si="48"/>
        <v>0</v>
      </c>
      <c r="AB190" s="130">
        <f t="shared" si="48"/>
        <v>0</v>
      </c>
      <c r="AC190" s="130">
        <f t="shared" si="48"/>
        <v>0</v>
      </c>
      <c r="AD190" s="130">
        <f t="shared" si="48"/>
        <v>0</v>
      </c>
      <c r="AE190" s="130">
        <f t="shared" si="48"/>
        <v>0</v>
      </c>
      <c r="AF190" s="130">
        <f t="shared" si="48"/>
        <v>0</v>
      </c>
      <c r="AG190" s="130">
        <f t="shared" si="48"/>
        <v>0</v>
      </c>
      <c r="AH190" s="130">
        <f t="shared" si="48"/>
        <v>0</v>
      </c>
      <c r="AI190" s="130">
        <f t="shared" si="48"/>
        <v>0</v>
      </c>
      <c r="AJ190" s="47" t="str">
        <f t="shared" si="30"/>
        <v/>
      </c>
      <c r="AK190" s="60"/>
      <c r="AL190" s="60" t="str">
        <f t="shared" si="33"/>
        <v>00</v>
      </c>
      <c r="AM190" s="62" t="str">
        <f t="shared" si="34"/>
        <v>00</v>
      </c>
      <c r="AN190" s="62" t="str">
        <f t="shared" si="35"/>
        <v>00</v>
      </c>
      <c r="AO190" s="62" t="str">
        <f t="shared" si="36"/>
        <v>00</v>
      </c>
      <c r="AQ190" t="str">
        <f t="shared" si="31"/>
        <v/>
      </c>
    </row>
    <row r="191" spans="2:43">
      <c r="B191" s="138"/>
      <c r="C191" s="47">
        <f t="shared" si="32"/>
        <v>55</v>
      </c>
      <c r="D191" s="130">
        <f t="shared" si="48"/>
        <v>0</v>
      </c>
      <c r="E191" s="130">
        <f t="shared" si="48"/>
        <v>0</v>
      </c>
      <c r="F191" s="130">
        <f t="shared" si="48"/>
        <v>0</v>
      </c>
      <c r="G191" s="130">
        <f t="shared" si="48"/>
        <v>0</v>
      </c>
      <c r="H191" s="130">
        <f t="shared" si="48"/>
        <v>0</v>
      </c>
      <c r="I191" s="130">
        <f t="shared" si="48"/>
        <v>0</v>
      </c>
      <c r="J191" s="130">
        <f t="shared" si="48"/>
        <v>0</v>
      </c>
      <c r="K191" s="130">
        <f t="shared" si="48"/>
        <v>0</v>
      </c>
      <c r="L191" s="130">
        <f t="shared" si="48"/>
        <v>0</v>
      </c>
      <c r="M191" s="130">
        <f t="shared" si="48"/>
        <v>0</v>
      </c>
      <c r="N191" s="130">
        <f t="shared" si="48"/>
        <v>0</v>
      </c>
      <c r="O191" s="130">
        <f t="shared" si="48"/>
        <v>0</v>
      </c>
      <c r="P191" s="130">
        <f t="shared" si="48"/>
        <v>0</v>
      </c>
      <c r="Q191" s="130">
        <f t="shared" si="48"/>
        <v>0</v>
      </c>
      <c r="R191" s="130">
        <f t="shared" si="48"/>
        <v>0</v>
      </c>
      <c r="S191" s="130">
        <f t="shared" si="48"/>
        <v>0</v>
      </c>
      <c r="T191" s="130">
        <f t="shared" si="48"/>
        <v>0</v>
      </c>
      <c r="U191" s="130">
        <f t="shared" si="48"/>
        <v>0</v>
      </c>
      <c r="V191" s="130">
        <f t="shared" si="48"/>
        <v>0</v>
      </c>
      <c r="W191" s="130">
        <f t="shared" si="48"/>
        <v>0</v>
      </c>
      <c r="X191" s="130">
        <f t="shared" si="48"/>
        <v>0</v>
      </c>
      <c r="Y191" s="130">
        <f t="shared" si="48"/>
        <v>0</v>
      </c>
      <c r="Z191" s="130">
        <f t="shared" si="48"/>
        <v>0</v>
      </c>
      <c r="AA191" s="130">
        <f t="shared" si="48"/>
        <v>0</v>
      </c>
      <c r="AB191" s="130">
        <f t="shared" si="48"/>
        <v>0</v>
      </c>
      <c r="AC191" s="130">
        <f t="shared" si="48"/>
        <v>0</v>
      </c>
      <c r="AD191" s="130">
        <f t="shared" si="48"/>
        <v>0</v>
      </c>
      <c r="AE191" s="130">
        <f t="shared" si="48"/>
        <v>0</v>
      </c>
      <c r="AF191" s="130">
        <f t="shared" si="48"/>
        <v>0</v>
      </c>
      <c r="AG191" s="130">
        <f t="shared" si="48"/>
        <v>0</v>
      </c>
      <c r="AH191" s="130">
        <f t="shared" si="48"/>
        <v>0</v>
      </c>
      <c r="AI191" s="130">
        <f t="shared" ref="AI191" si="49">IF(OR(AI61=0,AI61=1),1,0)</f>
        <v>0</v>
      </c>
      <c r="AJ191" s="47" t="str">
        <f t="shared" si="30"/>
        <v/>
      </c>
      <c r="AK191" s="60"/>
      <c r="AL191" s="60" t="str">
        <f t="shared" si="33"/>
        <v>00</v>
      </c>
      <c r="AM191" s="62" t="str">
        <f t="shared" si="34"/>
        <v>00</v>
      </c>
      <c r="AN191" s="62" t="str">
        <f t="shared" si="35"/>
        <v>00</v>
      </c>
      <c r="AO191" s="62" t="str">
        <f t="shared" si="36"/>
        <v>00</v>
      </c>
      <c r="AQ191" t="str">
        <f t="shared" si="31"/>
        <v/>
      </c>
    </row>
    <row r="192" spans="2:43">
      <c r="B192" s="138"/>
      <c r="C192" s="47">
        <f t="shared" si="32"/>
        <v>56</v>
      </c>
      <c r="D192" s="130">
        <f t="shared" ref="D192:AI199" si="50">IF(OR(D62=0,D62=1),1,0)</f>
        <v>0</v>
      </c>
      <c r="E192" s="130">
        <f t="shared" si="50"/>
        <v>0</v>
      </c>
      <c r="F192" s="130">
        <f t="shared" si="50"/>
        <v>0</v>
      </c>
      <c r="G192" s="130">
        <f t="shared" si="50"/>
        <v>0</v>
      </c>
      <c r="H192" s="130">
        <f t="shared" si="50"/>
        <v>0</v>
      </c>
      <c r="I192" s="130">
        <f t="shared" si="50"/>
        <v>0</v>
      </c>
      <c r="J192" s="130">
        <f t="shared" si="50"/>
        <v>0</v>
      </c>
      <c r="K192" s="130">
        <f t="shared" si="50"/>
        <v>0</v>
      </c>
      <c r="L192" s="130">
        <f t="shared" si="50"/>
        <v>0</v>
      </c>
      <c r="M192" s="130">
        <f t="shared" si="50"/>
        <v>0</v>
      </c>
      <c r="N192" s="130">
        <f t="shared" si="50"/>
        <v>0</v>
      </c>
      <c r="O192" s="130">
        <f t="shared" si="50"/>
        <v>0</v>
      </c>
      <c r="P192" s="130">
        <f t="shared" si="50"/>
        <v>0</v>
      </c>
      <c r="Q192" s="130">
        <f t="shared" si="50"/>
        <v>0</v>
      </c>
      <c r="R192" s="130">
        <f t="shared" si="50"/>
        <v>0</v>
      </c>
      <c r="S192" s="130">
        <f t="shared" si="50"/>
        <v>0</v>
      </c>
      <c r="T192" s="130">
        <f t="shared" si="50"/>
        <v>0</v>
      </c>
      <c r="U192" s="130">
        <f t="shared" si="50"/>
        <v>0</v>
      </c>
      <c r="V192" s="130">
        <f t="shared" si="50"/>
        <v>0</v>
      </c>
      <c r="W192" s="130">
        <f t="shared" si="50"/>
        <v>0</v>
      </c>
      <c r="X192" s="130">
        <f t="shared" si="50"/>
        <v>0</v>
      </c>
      <c r="Y192" s="130">
        <f t="shared" si="50"/>
        <v>0</v>
      </c>
      <c r="Z192" s="130">
        <f t="shared" si="50"/>
        <v>0</v>
      </c>
      <c r="AA192" s="130">
        <f t="shared" si="50"/>
        <v>0</v>
      </c>
      <c r="AB192" s="130">
        <f t="shared" si="50"/>
        <v>0</v>
      </c>
      <c r="AC192" s="130">
        <f t="shared" si="50"/>
        <v>0</v>
      </c>
      <c r="AD192" s="130">
        <f t="shared" si="50"/>
        <v>0</v>
      </c>
      <c r="AE192" s="130">
        <f t="shared" si="50"/>
        <v>0</v>
      </c>
      <c r="AF192" s="130">
        <f t="shared" si="50"/>
        <v>0</v>
      </c>
      <c r="AG192" s="130">
        <f t="shared" si="50"/>
        <v>0</v>
      </c>
      <c r="AH192" s="130">
        <f t="shared" si="50"/>
        <v>0</v>
      </c>
      <c r="AI192" s="130">
        <f t="shared" si="50"/>
        <v>0</v>
      </c>
      <c r="AJ192" s="47" t="str">
        <f t="shared" si="30"/>
        <v/>
      </c>
      <c r="AK192" s="60"/>
      <c r="AL192" s="60" t="str">
        <f t="shared" si="33"/>
        <v>00</v>
      </c>
      <c r="AM192" s="62" t="str">
        <f t="shared" si="34"/>
        <v>00</v>
      </c>
      <c r="AN192" s="62" t="str">
        <f t="shared" si="35"/>
        <v>00</v>
      </c>
      <c r="AO192" s="62" t="str">
        <f t="shared" si="36"/>
        <v>00</v>
      </c>
      <c r="AQ192" t="str">
        <f t="shared" si="31"/>
        <v/>
      </c>
    </row>
    <row r="193" spans="2:43">
      <c r="B193" s="138"/>
      <c r="C193" s="47">
        <f t="shared" si="32"/>
        <v>57</v>
      </c>
      <c r="D193" s="130">
        <f t="shared" si="50"/>
        <v>0</v>
      </c>
      <c r="E193" s="130">
        <f t="shared" si="50"/>
        <v>0</v>
      </c>
      <c r="F193" s="130">
        <f t="shared" si="50"/>
        <v>0</v>
      </c>
      <c r="G193" s="130">
        <f t="shared" si="50"/>
        <v>0</v>
      </c>
      <c r="H193" s="130">
        <f t="shared" si="50"/>
        <v>0</v>
      </c>
      <c r="I193" s="130">
        <f t="shared" si="50"/>
        <v>0</v>
      </c>
      <c r="J193" s="130">
        <f t="shared" si="50"/>
        <v>0</v>
      </c>
      <c r="K193" s="130">
        <f t="shared" si="50"/>
        <v>0</v>
      </c>
      <c r="L193" s="130">
        <f t="shared" si="50"/>
        <v>0</v>
      </c>
      <c r="M193" s="130">
        <f t="shared" si="50"/>
        <v>0</v>
      </c>
      <c r="N193" s="130">
        <f t="shared" si="50"/>
        <v>0</v>
      </c>
      <c r="O193" s="130">
        <f t="shared" si="50"/>
        <v>0</v>
      </c>
      <c r="P193" s="130">
        <f t="shared" si="50"/>
        <v>0</v>
      </c>
      <c r="Q193" s="130">
        <f t="shared" si="50"/>
        <v>0</v>
      </c>
      <c r="R193" s="130">
        <f t="shared" si="50"/>
        <v>0</v>
      </c>
      <c r="S193" s="130">
        <f t="shared" si="50"/>
        <v>0</v>
      </c>
      <c r="T193" s="130">
        <f t="shared" si="50"/>
        <v>0</v>
      </c>
      <c r="U193" s="130">
        <f t="shared" si="50"/>
        <v>0</v>
      </c>
      <c r="V193" s="130">
        <f t="shared" si="50"/>
        <v>0</v>
      </c>
      <c r="W193" s="130">
        <f t="shared" si="50"/>
        <v>0</v>
      </c>
      <c r="X193" s="130">
        <f t="shared" si="50"/>
        <v>0</v>
      </c>
      <c r="Y193" s="130">
        <f t="shared" si="50"/>
        <v>0</v>
      </c>
      <c r="Z193" s="130">
        <f t="shared" si="50"/>
        <v>0</v>
      </c>
      <c r="AA193" s="130">
        <f t="shared" si="50"/>
        <v>0</v>
      </c>
      <c r="AB193" s="130">
        <f t="shared" si="50"/>
        <v>0</v>
      </c>
      <c r="AC193" s="130">
        <f t="shared" si="50"/>
        <v>0</v>
      </c>
      <c r="AD193" s="130">
        <f t="shared" si="50"/>
        <v>0</v>
      </c>
      <c r="AE193" s="130">
        <f t="shared" si="50"/>
        <v>0</v>
      </c>
      <c r="AF193" s="130">
        <f t="shared" si="50"/>
        <v>0</v>
      </c>
      <c r="AG193" s="130">
        <f t="shared" si="50"/>
        <v>0</v>
      </c>
      <c r="AH193" s="130">
        <f t="shared" si="50"/>
        <v>0</v>
      </c>
      <c r="AI193" s="130">
        <f t="shared" si="50"/>
        <v>0</v>
      </c>
      <c r="AJ193" s="47" t="str">
        <f t="shared" si="30"/>
        <v/>
      </c>
      <c r="AK193" s="60"/>
      <c r="AL193" s="60" t="str">
        <f t="shared" si="33"/>
        <v>00</v>
      </c>
      <c r="AM193" s="62" t="str">
        <f t="shared" si="34"/>
        <v>00</v>
      </c>
      <c r="AN193" s="62" t="str">
        <f t="shared" si="35"/>
        <v>00</v>
      </c>
      <c r="AO193" s="62" t="str">
        <f t="shared" si="36"/>
        <v>00</v>
      </c>
      <c r="AQ193" t="str">
        <f t="shared" si="31"/>
        <v/>
      </c>
    </row>
    <row r="194" spans="2:43">
      <c r="B194" s="138"/>
      <c r="C194" s="47">
        <f t="shared" si="32"/>
        <v>58</v>
      </c>
      <c r="D194" s="130">
        <f t="shared" si="50"/>
        <v>0</v>
      </c>
      <c r="E194" s="130">
        <f t="shared" si="50"/>
        <v>0</v>
      </c>
      <c r="F194" s="130">
        <f t="shared" si="50"/>
        <v>0</v>
      </c>
      <c r="G194" s="130">
        <f t="shared" si="50"/>
        <v>0</v>
      </c>
      <c r="H194" s="130">
        <f t="shared" si="50"/>
        <v>0</v>
      </c>
      <c r="I194" s="130">
        <f t="shared" si="50"/>
        <v>0</v>
      </c>
      <c r="J194" s="130">
        <f t="shared" si="50"/>
        <v>0</v>
      </c>
      <c r="K194" s="130">
        <f t="shared" si="50"/>
        <v>0</v>
      </c>
      <c r="L194" s="130">
        <f t="shared" si="50"/>
        <v>0</v>
      </c>
      <c r="M194" s="130">
        <f t="shared" si="50"/>
        <v>0</v>
      </c>
      <c r="N194" s="130">
        <f t="shared" si="50"/>
        <v>0</v>
      </c>
      <c r="O194" s="130">
        <f t="shared" si="50"/>
        <v>0</v>
      </c>
      <c r="P194" s="130">
        <f t="shared" si="50"/>
        <v>0</v>
      </c>
      <c r="Q194" s="130">
        <f t="shared" si="50"/>
        <v>0</v>
      </c>
      <c r="R194" s="130">
        <f t="shared" si="50"/>
        <v>0</v>
      </c>
      <c r="S194" s="130">
        <f t="shared" si="50"/>
        <v>0</v>
      </c>
      <c r="T194" s="130">
        <f t="shared" si="50"/>
        <v>0</v>
      </c>
      <c r="U194" s="130">
        <f t="shared" si="50"/>
        <v>0</v>
      </c>
      <c r="V194" s="130">
        <f t="shared" si="50"/>
        <v>0</v>
      </c>
      <c r="W194" s="130">
        <f t="shared" si="50"/>
        <v>0</v>
      </c>
      <c r="X194" s="130">
        <f t="shared" si="50"/>
        <v>0</v>
      </c>
      <c r="Y194" s="130">
        <f t="shared" si="50"/>
        <v>0</v>
      </c>
      <c r="Z194" s="130">
        <f t="shared" si="50"/>
        <v>0</v>
      </c>
      <c r="AA194" s="130">
        <f t="shared" si="50"/>
        <v>0</v>
      </c>
      <c r="AB194" s="130">
        <f t="shared" si="50"/>
        <v>0</v>
      </c>
      <c r="AC194" s="130">
        <f t="shared" si="50"/>
        <v>0</v>
      </c>
      <c r="AD194" s="130">
        <f t="shared" si="50"/>
        <v>0</v>
      </c>
      <c r="AE194" s="130">
        <f t="shared" si="50"/>
        <v>0</v>
      </c>
      <c r="AF194" s="130">
        <f t="shared" si="50"/>
        <v>0</v>
      </c>
      <c r="AG194" s="130">
        <f t="shared" si="50"/>
        <v>0</v>
      </c>
      <c r="AH194" s="130">
        <f t="shared" si="50"/>
        <v>0</v>
      </c>
      <c r="AI194" s="130">
        <f t="shared" si="50"/>
        <v>0</v>
      </c>
      <c r="AJ194" s="47" t="str">
        <f t="shared" si="30"/>
        <v/>
      </c>
      <c r="AK194" s="60"/>
      <c r="AL194" s="60" t="str">
        <f t="shared" si="33"/>
        <v>00</v>
      </c>
      <c r="AM194" s="62" t="str">
        <f t="shared" si="34"/>
        <v>00</v>
      </c>
      <c r="AN194" s="62" t="str">
        <f t="shared" si="35"/>
        <v>00</v>
      </c>
      <c r="AO194" s="62" t="str">
        <f t="shared" si="36"/>
        <v>00</v>
      </c>
      <c r="AQ194" t="str">
        <f t="shared" si="31"/>
        <v/>
      </c>
    </row>
    <row r="195" spans="2:43">
      <c r="B195" s="138"/>
      <c r="C195" s="47">
        <f t="shared" si="32"/>
        <v>59</v>
      </c>
      <c r="D195" s="130">
        <f t="shared" si="50"/>
        <v>0</v>
      </c>
      <c r="E195" s="130">
        <f t="shared" si="50"/>
        <v>0</v>
      </c>
      <c r="F195" s="130">
        <f t="shared" si="50"/>
        <v>0</v>
      </c>
      <c r="G195" s="130">
        <f t="shared" si="50"/>
        <v>0</v>
      </c>
      <c r="H195" s="130">
        <f t="shared" si="50"/>
        <v>0</v>
      </c>
      <c r="I195" s="130">
        <f t="shared" si="50"/>
        <v>0</v>
      </c>
      <c r="J195" s="130">
        <f t="shared" si="50"/>
        <v>0</v>
      </c>
      <c r="K195" s="130">
        <f t="shared" si="50"/>
        <v>0</v>
      </c>
      <c r="L195" s="130">
        <f t="shared" si="50"/>
        <v>0</v>
      </c>
      <c r="M195" s="130">
        <f t="shared" si="50"/>
        <v>0</v>
      </c>
      <c r="N195" s="130">
        <f t="shared" si="50"/>
        <v>0</v>
      </c>
      <c r="O195" s="130">
        <f t="shared" si="50"/>
        <v>0</v>
      </c>
      <c r="P195" s="130">
        <f t="shared" si="50"/>
        <v>0</v>
      </c>
      <c r="Q195" s="130">
        <f t="shared" si="50"/>
        <v>0</v>
      </c>
      <c r="R195" s="130">
        <f t="shared" si="50"/>
        <v>0</v>
      </c>
      <c r="S195" s="130">
        <f t="shared" si="50"/>
        <v>0</v>
      </c>
      <c r="T195" s="130">
        <f t="shared" si="50"/>
        <v>0</v>
      </c>
      <c r="U195" s="130">
        <f t="shared" si="50"/>
        <v>0</v>
      </c>
      <c r="V195" s="130">
        <f t="shared" si="50"/>
        <v>0</v>
      </c>
      <c r="W195" s="130">
        <f t="shared" si="50"/>
        <v>0</v>
      </c>
      <c r="X195" s="130">
        <f t="shared" si="50"/>
        <v>0</v>
      </c>
      <c r="Y195" s="130">
        <f t="shared" si="50"/>
        <v>0</v>
      </c>
      <c r="Z195" s="130">
        <f t="shared" si="50"/>
        <v>0</v>
      </c>
      <c r="AA195" s="130">
        <f t="shared" si="50"/>
        <v>0</v>
      </c>
      <c r="AB195" s="130">
        <f t="shared" si="50"/>
        <v>0</v>
      </c>
      <c r="AC195" s="130">
        <f t="shared" si="50"/>
        <v>0</v>
      </c>
      <c r="AD195" s="130">
        <f t="shared" si="50"/>
        <v>0</v>
      </c>
      <c r="AE195" s="130">
        <f t="shared" si="50"/>
        <v>0</v>
      </c>
      <c r="AF195" s="130">
        <f t="shared" si="50"/>
        <v>0</v>
      </c>
      <c r="AG195" s="130">
        <f t="shared" si="50"/>
        <v>0</v>
      </c>
      <c r="AH195" s="130">
        <f t="shared" si="50"/>
        <v>0</v>
      </c>
      <c r="AI195" s="130">
        <f t="shared" si="50"/>
        <v>0</v>
      </c>
      <c r="AJ195" s="47" t="str">
        <f t="shared" si="30"/>
        <v/>
      </c>
      <c r="AK195" s="60"/>
      <c r="AL195" s="60" t="str">
        <f t="shared" si="33"/>
        <v>00</v>
      </c>
      <c r="AM195" s="62" t="str">
        <f t="shared" si="34"/>
        <v>00</v>
      </c>
      <c r="AN195" s="62" t="str">
        <f t="shared" si="35"/>
        <v>00</v>
      </c>
      <c r="AO195" s="62" t="str">
        <f t="shared" si="36"/>
        <v>00</v>
      </c>
      <c r="AQ195" t="str">
        <f t="shared" si="31"/>
        <v/>
      </c>
    </row>
    <row r="196" spans="2:43">
      <c r="B196" s="138"/>
      <c r="C196" s="47">
        <f t="shared" si="32"/>
        <v>60</v>
      </c>
      <c r="D196" s="130">
        <f t="shared" si="50"/>
        <v>0</v>
      </c>
      <c r="E196" s="130">
        <f t="shared" si="50"/>
        <v>0</v>
      </c>
      <c r="F196" s="130">
        <f t="shared" si="50"/>
        <v>0</v>
      </c>
      <c r="G196" s="130">
        <f t="shared" si="50"/>
        <v>0</v>
      </c>
      <c r="H196" s="130">
        <f t="shared" si="50"/>
        <v>0</v>
      </c>
      <c r="I196" s="130">
        <f t="shared" si="50"/>
        <v>0</v>
      </c>
      <c r="J196" s="130">
        <f t="shared" si="50"/>
        <v>0</v>
      </c>
      <c r="K196" s="130">
        <f t="shared" si="50"/>
        <v>0</v>
      </c>
      <c r="L196" s="130">
        <f t="shared" si="50"/>
        <v>0</v>
      </c>
      <c r="M196" s="130">
        <f t="shared" si="50"/>
        <v>0</v>
      </c>
      <c r="N196" s="130">
        <f t="shared" si="50"/>
        <v>0</v>
      </c>
      <c r="O196" s="130">
        <f t="shared" si="50"/>
        <v>0</v>
      </c>
      <c r="P196" s="130">
        <f t="shared" si="50"/>
        <v>0</v>
      </c>
      <c r="Q196" s="130">
        <f t="shared" si="50"/>
        <v>0</v>
      </c>
      <c r="R196" s="130">
        <f t="shared" si="50"/>
        <v>0</v>
      </c>
      <c r="S196" s="130">
        <f t="shared" si="50"/>
        <v>0</v>
      </c>
      <c r="T196" s="130">
        <f t="shared" si="50"/>
        <v>0</v>
      </c>
      <c r="U196" s="130">
        <f t="shared" si="50"/>
        <v>0</v>
      </c>
      <c r="V196" s="130">
        <f t="shared" si="50"/>
        <v>0</v>
      </c>
      <c r="W196" s="130">
        <f t="shared" si="50"/>
        <v>0</v>
      </c>
      <c r="X196" s="130">
        <f t="shared" si="50"/>
        <v>0</v>
      </c>
      <c r="Y196" s="130">
        <f t="shared" si="50"/>
        <v>0</v>
      </c>
      <c r="Z196" s="130">
        <f t="shared" si="50"/>
        <v>0</v>
      </c>
      <c r="AA196" s="130">
        <f t="shared" si="50"/>
        <v>0</v>
      </c>
      <c r="AB196" s="130">
        <f t="shared" si="50"/>
        <v>0</v>
      </c>
      <c r="AC196" s="130">
        <f t="shared" si="50"/>
        <v>0</v>
      </c>
      <c r="AD196" s="130">
        <f t="shared" si="50"/>
        <v>0</v>
      </c>
      <c r="AE196" s="130">
        <f t="shared" si="50"/>
        <v>0</v>
      </c>
      <c r="AF196" s="130">
        <f t="shared" si="50"/>
        <v>0</v>
      </c>
      <c r="AG196" s="130">
        <f t="shared" si="50"/>
        <v>0</v>
      </c>
      <c r="AH196" s="130">
        <f t="shared" si="50"/>
        <v>0</v>
      </c>
      <c r="AI196" s="130">
        <f t="shared" si="50"/>
        <v>0</v>
      </c>
      <c r="AJ196" s="47" t="str">
        <f t="shared" si="30"/>
        <v/>
      </c>
      <c r="AK196" s="60"/>
      <c r="AL196" s="60" t="str">
        <f t="shared" si="33"/>
        <v>00</v>
      </c>
      <c r="AM196" s="62" t="str">
        <f t="shared" si="34"/>
        <v>00</v>
      </c>
      <c r="AN196" s="62" t="str">
        <f t="shared" si="35"/>
        <v>00</v>
      </c>
      <c r="AO196" s="62" t="str">
        <f t="shared" si="36"/>
        <v>00</v>
      </c>
      <c r="AQ196" t="str">
        <f t="shared" si="31"/>
        <v/>
      </c>
    </row>
    <row r="197" spans="2:43">
      <c r="B197" s="138"/>
      <c r="C197" s="47">
        <f t="shared" si="32"/>
        <v>61</v>
      </c>
      <c r="D197" s="130">
        <f t="shared" si="50"/>
        <v>0</v>
      </c>
      <c r="E197" s="130">
        <f t="shared" si="50"/>
        <v>0</v>
      </c>
      <c r="F197" s="130">
        <f t="shared" si="50"/>
        <v>0</v>
      </c>
      <c r="G197" s="130">
        <f t="shared" si="50"/>
        <v>0</v>
      </c>
      <c r="H197" s="130">
        <f t="shared" si="50"/>
        <v>0</v>
      </c>
      <c r="I197" s="130">
        <f t="shared" si="50"/>
        <v>0</v>
      </c>
      <c r="J197" s="130">
        <f t="shared" si="50"/>
        <v>0</v>
      </c>
      <c r="K197" s="130">
        <f t="shared" si="50"/>
        <v>0</v>
      </c>
      <c r="L197" s="130">
        <f t="shared" si="50"/>
        <v>0</v>
      </c>
      <c r="M197" s="130">
        <f t="shared" si="50"/>
        <v>0</v>
      </c>
      <c r="N197" s="130">
        <f t="shared" si="50"/>
        <v>0</v>
      </c>
      <c r="O197" s="130">
        <f t="shared" si="50"/>
        <v>0</v>
      </c>
      <c r="P197" s="130">
        <f t="shared" si="50"/>
        <v>0</v>
      </c>
      <c r="Q197" s="130">
        <f t="shared" si="50"/>
        <v>0</v>
      </c>
      <c r="R197" s="130">
        <f t="shared" si="50"/>
        <v>0</v>
      </c>
      <c r="S197" s="130">
        <f t="shared" si="50"/>
        <v>0</v>
      </c>
      <c r="T197" s="130">
        <f t="shared" si="50"/>
        <v>0</v>
      </c>
      <c r="U197" s="130">
        <f t="shared" si="50"/>
        <v>0</v>
      </c>
      <c r="V197" s="130">
        <f t="shared" si="50"/>
        <v>0</v>
      </c>
      <c r="W197" s="130">
        <f t="shared" si="50"/>
        <v>0</v>
      </c>
      <c r="X197" s="130">
        <f t="shared" si="50"/>
        <v>0</v>
      </c>
      <c r="Y197" s="130">
        <f t="shared" si="50"/>
        <v>0</v>
      </c>
      <c r="Z197" s="130">
        <f t="shared" si="50"/>
        <v>0</v>
      </c>
      <c r="AA197" s="130">
        <f t="shared" si="50"/>
        <v>0</v>
      </c>
      <c r="AB197" s="130">
        <f t="shared" si="50"/>
        <v>0</v>
      </c>
      <c r="AC197" s="130">
        <f t="shared" si="50"/>
        <v>0</v>
      </c>
      <c r="AD197" s="130">
        <f t="shared" si="50"/>
        <v>0</v>
      </c>
      <c r="AE197" s="130">
        <f t="shared" si="50"/>
        <v>0</v>
      </c>
      <c r="AF197" s="130">
        <f t="shared" si="50"/>
        <v>0</v>
      </c>
      <c r="AG197" s="130">
        <f t="shared" si="50"/>
        <v>0</v>
      </c>
      <c r="AH197" s="130">
        <f t="shared" si="50"/>
        <v>0</v>
      </c>
      <c r="AI197" s="130">
        <f t="shared" si="50"/>
        <v>0</v>
      </c>
      <c r="AJ197" s="47" t="str">
        <f t="shared" si="30"/>
        <v/>
      </c>
      <c r="AK197" s="60"/>
      <c r="AL197" s="60" t="str">
        <f t="shared" si="33"/>
        <v>00</v>
      </c>
      <c r="AM197" s="62" t="str">
        <f t="shared" si="34"/>
        <v>00</v>
      </c>
      <c r="AN197" s="62" t="str">
        <f t="shared" si="35"/>
        <v>00</v>
      </c>
      <c r="AO197" s="62" t="str">
        <f t="shared" si="36"/>
        <v>00</v>
      </c>
      <c r="AQ197" t="str">
        <f t="shared" si="31"/>
        <v/>
      </c>
    </row>
    <row r="198" spans="2:43">
      <c r="B198" s="138"/>
      <c r="C198" s="47">
        <f t="shared" si="32"/>
        <v>62</v>
      </c>
      <c r="D198" s="130">
        <f t="shared" si="50"/>
        <v>0</v>
      </c>
      <c r="E198" s="130">
        <f t="shared" si="50"/>
        <v>0</v>
      </c>
      <c r="F198" s="130">
        <f t="shared" si="50"/>
        <v>0</v>
      </c>
      <c r="G198" s="130">
        <f t="shared" si="50"/>
        <v>0</v>
      </c>
      <c r="H198" s="130">
        <f t="shared" si="50"/>
        <v>0</v>
      </c>
      <c r="I198" s="130">
        <f t="shared" si="50"/>
        <v>0</v>
      </c>
      <c r="J198" s="130">
        <f t="shared" si="50"/>
        <v>0</v>
      </c>
      <c r="K198" s="130">
        <f t="shared" si="50"/>
        <v>0</v>
      </c>
      <c r="L198" s="130">
        <f t="shared" si="50"/>
        <v>0</v>
      </c>
      <c r="M198" s="130">
        <f t="shared" si="50"/>
        <v>0</v>
      </c>
      <c r="N198" s="130">
        <f t="shared" si="50"/>
        <v>0</v>
      </c>
      <c r="O198" s="130">
        <f t="shared" si="50"/>
        <v>0</v>
      </c>
      <c r="P198" s="130">
        <f t="shared" si="50"/>
        <v>0</v>
      </c>
      <c r="Q198" s="130">
        <f t="shared" si="50"/>
        <v>0</v>
      </c>
      <c r="R198" s="130">
        <f t="shared" si="50"/>
        <v>0</v>
      </c>
      <c r="S198" s="130">
        <f t="shared" si="50"/>
        <v>0</v>
      </c>
      <c r="T198" s="130">
        <f t="shared" si="50"/>
        <v>0</v>
      </c>
      <c r="U198" s="130">
        <f t="shared" si="50"/>
        <v>0</v>
      </c>
      <c r="V198" s="130">
        <f t="shared" si="50"/>
        <v>0</v>
      </c>
      <c r="W198" s="130">
        <f t="shared" si="50"/>
        <v>0</v>
      </c>
      <c r="X198" s="130">
        <f t="shared" si="50"/>
        <v>0</v>
      </c>
      <c r="Y198" s="130">
        <f t="shared" si="50"/>
        <v>0</v>
      </c>
      <c r="Z198" s="130">
        <f t="shared" si="50"/>
        <v>0</v>
      </c>
      <c r="AA198" s="130">
        <f t="shared" si="50"/>
        <v>0</v>
      </c>
      <c r="AB198" s="130">
        <f t="shared" si="50"/>
        <v>0</v>
      </c>
      <c r="AC198" s="130">
        <f t="shared" si="50"/>
        <v>0</v>
      </c>
      <c r="AD198" s="130">
        <f t="shared" si="50"/>
        <v>0</v>
      </c>
      <c r="AE198" s="130">
        <f t="shared" si="50"/>
        <v>0</v>
      </c>
      <c r="AF198" s="130">
        <f t="shared" si="50"/>
        <v>0</v>
      </c>
      <c r="AG198" s="130">
        <f t="shared" si="50"/>
        <v>0</v>
      </c>
      <c r="AH198" s="130">
        <f t="shared" si="50"/>
        <v>0</v>
      </c>
      <c r="AI198" s="130">
        <f t="shared" si="50"/>
        <v>0</v>
      </c>
      <c r="AJ198" s="47" t="str">
        <f t="shared" si="30"/>
        <v/>
      </c>
      <c r="AK198" s="60"/>
      <c r="AL198" s="60" t="str">
        <f t="shared" si="33"/>
        <v>00</v>
      </c>
      <c r="AM198" s="62" t="str">
        <f t="shared" si="34"/>
        <v>00</v>
      </c>
      <c r="AN198" s="62" t="str">
        <f t="shared" si="35"/>
        <v>00</v>
      </c>
      <c r="AO198" s="62" t="str">
        <f t="shared" si="36"/>
        <v>00</v>
      </c>
      <c r="AQ198" t="str">
        <f t="shared" si="31"/>
        <v/>
      </c>
    </row>
    <row r="199" spans="2:43">
      <c r="B199" s="139"/>
      <c r="C199" s="47">
        <f t="shared" si="32"/>
        <v>63</v>
      </c>
      <c r="D199" s="130">
        <f t="shared" si="50"/>
        <v>0</v>
      </c>
      <c r="E199" s="130">
        <f t="shared" si="50"/>
        <v>0</v>
      </c>
      <c r="F199" s="130">
        <f t="shared" si="50"/>
        <v>0</v>
      </c>
      <c r="G199" s="130">
        <f t="shared" si="50"/>
        <v>0</v>
      </c>
      <c r="H199" s="130">
        <f t="shared" si="50"/>
        <v>0</v>
      </c>
      <c r="I199" s="130">
        <f t="shared" si="50"/>
        <v>0</v>
      </c>
      <c r="J199" s="130">
        <f t="shared" si="50"/>
        <v>0</v>
      </c>
      <c r="K199" s="130">
        <f t="shared" si="50"/>
        <v>0</v>
      </c>
      <c r="L199" s="130">
        <f t="shared" si="50"/>
        <v>0</v>
      </c>
      <c r="M199" s="130">
        <f t="shared" si="50"/>
        <v>0</v>
      </c>
      <c r="N199" s="130">
        <f t="shared" si="50"/>
        <v>0</v>
      </c>
      <c r="O199" s="130">
        <f t="shared" si="50"/>
        <v>0</v>
      </c>
      <c r="P199" s="130">
        <f t="shared" si="50"/>
        <v>0</v>
      </c>
      <c r="Q199" s="130">
        <f t="shared" si="50"/>
        <v>0</v>
      </c>
      <c r="R199" s="130">
        <f t="shared" si="50"/>
        <v>0</v>
      </c>
      <c r="S199" s="130">
        <f t="shared" si="50"/>
        <v>0</v>
      </c>
      <c r="T199" s="130">
        <f t="shared" si="50"/>
        <v>0</v>
      </c>
      <c r="U199" s="130">
        <f t="shared" si="50"/>
        <v>0</v>
      </c>
      <c r="V199" s="130">
        <f t="shared" si="50"/>
        <v>0</v>
      </c>
      <c r="W199" s="130">
        <f t="shared" si="50"/>
        <v>0</v>
      </c>
      <c r="X199" s="130">
        <f t="shared" si="50"/>
        <v>0</v>
      </c>
      <c r="Y199" s="130">
        <f t="shared" si="50"/>
        <v>0</v>
      </c>
      <c r="Z199" s="130">
        <f t="shared" si="50"/>
        <v>0</v>
      </c>
      <c r="AA199" s="130">
        <f t="shared" si="50"/>
        <v>0</v>
      </c>
      <c r="AB199" s="130">
        <f t="shared" si="50"/>
        <v>0</v>
      </c>
      <c r="AC199" s="130">
        <f t="shared" si="50"/>
        <v>0</v>
      </c>
      <c r="AD199" s="130">
        <f t="shared" si="50"/>
        <v>0</v>
      </c>
      <c r="AE199" s="130">
        <f t="shared" si="50"/>
        <v>0</v>
      </c>
      <c r="AF199" s="130">
        <f t="shared" si="50"/>
        <v>0</v>
      </c>
      <c r="AG199" s="130">
        <f t="shared" si="50"/>
        <v>0</v>
      </c>
      <c r="AH199" s="130">
        <f t="shared" si="50"/>
        <v>0</v>
      </c>
      <c r="AI199" s="130">
        <f t="shared" ref="AI199" si="51">IF(OR(AI69=0,AI69=1),1,0)</f>
        <v>0</v>
      </c>
      <c r="AJ199" s="47" t="str">
        <f t="shared" si="30"/>
        <v/>
      </c>
      <c r="AK199" s="60"/>
      <c r="AL199" s="60" t="str">
        <f t="shared" si="33"/>
        <v>00</v>
      </c>
      <c r="AM199" s="62" t="str">
        <f t="shared" si="34"/>
        <v>00</v>
      </c>
      <c r="AN199" s="62" t="str">
        <f t="shared" si="35"/>
        <v>00</v>
      </c>
      <c r="AO199" s="62" t="str">
        <f t="shared" si="36"/>
        <v>00</v>
      </c>
      <c r="AQ199" t="str">
        <f t="shared" si="31"/>
        <v/>
      </c>
    </row>
  </sheetData>
  <protectedRanges>
    <protectedRange sqref="L3:AG3 D6:AJ69" name="Table作成編集範囲"/>
    <protectedRange sqref="AH3:AI3" name="Table作成編集範囲_1_1"/>
    <protectedRange sqref="B3" name="Table作成編集範囲_1"/>
  </protectedRanges>
  <mergeCells count="3">
    <mergeCell ref="C2:C3"/>
    <mergeCell ref="AJ2:AJ3"/>
    <mergeCell ref="A4:B5"/>
  </mergeCells>
  <phoneticPr fontId="2"/>
  <conditionalFormatting sqref="D6:AI69">
    <cfRule type="cellIs" dxfId="2" priority="2" operator="equal">
      <formula>1</formula>
    </cfRule>
    <cfRule type="cellIs" dxfId="1" priority="3" operator="equal">
      <formula>"×"</formula>
    </cfRule>
  </conditionalFormatting>
  <conditionalFormatting sqref="AR5:AS70">
    <cfRule type="expression" dxfId="0" priority="1">
      <formula>$B$3="Index Table"</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85F1DFD7-024A-4E6A-BCFF-6B93852D7437}">
          <x14:formula1>
            <xm:f>CH_Design!$C$3:$C$103</xm:f>
          </x14:formula1>
          <xm:sqref>AJ6:AJ69</xm:sqref>
        </x14:dataValidation>
      </x14:dataValidations>
    </ext>
  </extLst>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2:Q32"/>
  <sheetViews>
    <sheetView topLeftCell="A9" zoomScale="85" zoomScaleNormal="85" workbookViewId="0">
      <selection activeCell="O39" sqref="O39"/>
    </sheetView>
  </sheetViews>
  <sheetFormatPr defaultRowHeight="13.5"/>
  <cols>
    <col min="2" max="2" width="33.875" bestFit="1" customWidth="1"/>
    <col min="3" max="10" width="3.375" customWidth="1"/>
    <col min="11" max="11" width="13.75" bestFit="1" customWidth="1"/>
    <col min="12" max="12" width="26.75" bestFit="1" customWidth="1"/>
    <col min="13" max="13" width="24.25" bestFit="1" customWidth="1"/>
    <col min="14" max="14" width="10.875" customWidth="1"/>
    <col min="15" max="15" width="33.25" bestFit="1" customWidth="1"/>
    <col min="16" max="17" width="10.875" customWidth="1"/>
  </cols>
  <sheetData>
    <row r="2" spans="2:17" ht="15" thickBot="1">
      <c r="B2" s="28" t="s">
        <v>238</v>
      </c>
    </row>
    <row r="3" spans="2:17" ht="15" thickBot="1">
      <c r="B3" s="97" t="s">
        <v>198</v>
      </c>
      <c r="C3" s="337" t="s">
        <v>217</v>
      </c>
      <c r="D3" s="338"/>
      <c r="E3" s="338"/>
      <c r="F3" s="338"/>
      <c r="G3" s="338"/>
      <c r="H3" s="338"/>
      <c r="I3" s="338"/>
      <c r="J3" s="339"/>
      <c r="K3" s="175"/>
      <c r="L3" s="175"/>
      <c r="M3" s="178"/>
      <c r="N3" s="176"/>
      <c r="O3" s="176"/>
      <c r="P3" s="176"/>
      <c r="Q3" s="177"/>
    </row>
    <row r="4" spans="2:17">
      <c r="B4" s="70"/>
      <c r="C4" s="34" t="s">
        <v>199</v>
      </c>
      <c r="D4" s="34"/>
      <c r="E4" s="34"/>
      <c r="F4" s="34"/>
      <c r="G4" s="34"/>
      <c r="H4" s="34"/>
      <c r="I4" s="34"/>
      <c r="J4" s="34"/>
      <c r="K4" s="34"/>
      <c r="L4" s="34"/>
      <c r="M4" s="30" t="s">
        <v>200</v>
      </c>
      <c r="N4" s="43" t="s">
        <v>20</v>
      </c>
      <c r="O4" s="44"/>
      <c r="P4" s="44"/>
      <c r="Q4" s="45"/>
    </row>
    <row r="5" spans="2:17">
      <c r="B5" s="71" t="s">
        <v>21</v>
      </c>
      <c r="C5" s="340" t="s">
        <v>201</v>
      </c>
      <c r="D5" s="341"/>
      <c r="E5" s="341"/>
      <c r="F5" s="341"/>
      <c r="G5" s="341"/>
      <c r="H5" s="341"/>
      <c r="I5" s="341"/>
      <c r="J5" s="342"/>
      <c r="K5" s="35" t="s">
        <v>22</v>
      </c>
      <c r="L5" s="195"/>
      <c r="M5" s="31" t="s">
        <v>261</v>
      </c>
      <c r="N5" s="205" t="s">
        <v>23</v>
      </c>
      <c r="O5" s="204" t="s">
        <v>24</v>
      </c>
      <c r="P5" s="77" t="s">
        <v>25</v>
      </c>
      <c r="Q5" s="143" t="s">
        <v>26</v>
      </c>
    </row>
    <row r="6" spans="2:17">
      <c r="B6" s="71" t="s">
        <v>32</v>
      </c>
      <c r="C6" s="170" t="s">
        <v>202</v>
      </c>
      <c r="D6" s="170" t="s">
        <v>203</v>
      </c>
      <c r="E6" s="170" t="s">
        <v>204</v>
      </c>
      <c r="F6" s="170" t="s">
        <v>205</v>
      </c>
      <c r="G6" s="170" t="s">
        <v>205</v>
      </c>
      <c r="H6" s="170" t="s">
        <v>205</v>
      </c>
      <c r="I6" s="170" t="s">
        <v>204</v>
      </c>
      <c r="J6" s="170" t="s">
        <v>205</v>
      </c>
      <c r="K6" s="199" t="s">
        <v>99</v>
      </c>
      <c r="L6" s="199" t="s">
        <v>99</v>
      </c>
      <c r="M6" s="31" t="s">
        <v>47</v>
      </c>
      <c r="N6" s="206"/>
      <c r="O6" s="39"/>
      <c r="P6" s="78"/>
      <c r="Q6" s="143"/>
    </row>
    <row r="7" spans="2:17" ht="27">
      <c r="B7" s="72" t="s">
        <v>27</v>
      </c>
      <c r="C7" s="343" t="s">
        <v>206</v>
      </c>
      <c r="D7" s="341"/>
      <c r="E7" s="341"/>
      <c r="F7" s="341"/>
      <c r="G7" s="341"/>
      <c r="H7" s="341"/>
      <c r="I7" s="341"/>
      <c r="J7" s="342"/>
      <c r="K7" s="1" t="s">
        <v>234</v>
      </c>
      <c r="L7" s="1" t="s">
        <v>235</v>
      </c>
      <c r="M7" s="32"/>
      <c r="N7" s="206"/>
      <c r="O7" s="39"/>
      <c r="P7" s="78"/>
      <c r="Q7" s="143"/>
    </row>
    <row r="8" spans="2:17" ht="64.5">
      <c r="B8" s="71" t="s">
        <v>28</v>
      </c>
      <c r="C8" s="197" t="s">
        <v>207</v>
      </c>
      <c r="D8" s="197" t="s">
        <v>61</v>
      </c>
      <c r="E8" s="197" t="s">
        <v>208</v>
      </c>
      <c r="F8" s="197" t="s">
        <v>209</v>
      </c>
      <c r="G8" s="197" t="s">
        <v>210</v>
      </c>
      <c r="H8" s="197" t="s">
        <v>211</v>
      </c>
      <c r="I8" s="197" t="s">
        <v>212</v>
      </c>
      <c r="J8" s="197" t="s">
        <v>213</v>
      </c>
      <c r="K8" s="1" t="s">
        <v>233</v>
      </c>
      <c r="L8" s="1" t="s">
        <v>236</v>
      </c>
      <c r="M8" s="31" t="s">
        <v>29</v>
      </c>
      <c r="N8" s="206"/>
      <c r="O8" s="39"/>
      <c r="P8" s="78"/>
      <c r="Q8" s="143"/>
    </row>
    <row r="9" spans="2:17" ht="41.25" thickBot="1">
      <c r="B9" s="73" t="s">
        <v>30</v>
      </c>
      <c r="C9" s="171" t="s">
        <v>220</v>
      </c>
      <c r="D9" s="171" t="s">
        <v>203</v>
      </c>
      <c r="E9" s="171" t="s">
        <v>220</v>
      </c>
      <c r="F9" s="171" t="s">
        <v>214</v>
      </c>
      <c r="G9" s="171" t="s">
        <v>220</v>
      </c>
      <c r="H9" s="171" t="s">
        <v>221</v>
      </c>
      <c r="I9" s="171" t="s">
        <v>220</v>
      </c>
      <c r="J9" s="171" t="s">
        <v>220</v>
      </c>
      <c r="K9" s="29" t="s">
        <v>219</v>
      </c>
      <c r="L9" s="29" t="s">
        <v>237</v>
      </c>
      <c r="M9" s="33" t="s">
        <v>248</v>
      </c>
      <c r="N9" s="207"/>
      <c r="O9" s="208" t="s">
        <v>247</v>
      </c>
      <c r="P9" s="76"/>
      <c r="Q9" s="144"/>
    </row>
    <row r="10" spans="2:17" ht="14.25" thickTop="1">
      <c r="B10" s="74" t="s">
        <v>242</v>
      </c>
      <c r="C10" s="172" t="s">
        <v>160</v>
      </c>
      <c r="D10" s="172" t="s">
        <v>160</v>
      </c>
      <c r="E10" s="172" t="s">
        <v>160</v>
      </c>
      <c r="F10" s="172" t="s">
        <v>160</v>
      </c>
      <c r="G10" s="172" t="s">
        <v>160</v>
      </c>
      <c r="H10" s="172" t="s">
        <v>160</v>
      </c>
      <c r="I10" s="172" t="s">
        <v>160</v>
      </c>
      <c r="J10" s="172" t="s">
        <v>160</v>
      </c>
      <c r="K10" s="133" t="s">
        <v>215</v>
      </c>
      <c r="L10" s="133" t="s">
        <v>215</v>
      </c>
      <c r="M10" s="36" t="s">
        <v>218</v>
      </c>
      <c r="N10" s="172"/>
      <c r="O10" s="133" t="s">
        <v>231</v>
      </c>
      <c r="P10" s="40"/>
      <c r="Q10" s="145"/>
    </row>
    <row r="11" spans="2:17">
      <c r="B11" s="23" t="s">
        <v>243</v>
      </c>
      <c r="C11" s="173" t="s">
        <v>160</v>
      </c>
      <c r="D11" s="173" t="s">
        <v>160</v>
      </c>
      <c r="E11" s="173" t="s">
        <v>160</v>
      </c>
      <c r="F11" s="173" t="s">
        <v>160</v>
      </c>
      <c r="G11" s="173" t="s">
        <v>160</v>
      </c>
      <c r="H11" s="173" t="s">
        <v>160</v>
      </c>
      <c r="I11" s="173" t="s">
        <v>160</v>
      </c>
      <c r="J11" s="173" t="s">
        <v>160</v>
      </c>
      <c r="K11" s="61" t="s">
        <v>215</v>
      </c>
      <c r="L11" s="61" t="s">
        <v>239</v>
      </c>
      <c r="M11" s="37" t="s">
        <v>230</v>
      </c>
      <c r="N11" s="173"/>
      <c r="O11" s="61" t="s">
        <v>232</v>
      </c>
      <c r="P11" s="41"/>
      <c r="Q11" s="146"/>
    </row>
    <row r="12" spans="2:17">
      <c r="B12" s="23" t="s">
        <v>245</v>
      </c>
      <c r="C12" s="173" t="s">
        <v>160</v>
      </c>
      <c r="D12" s="173" t="s">
        <v>160</v>
      </c>
      <c r="E12" s="173" t="s">
        <v>160</v>
      </c>
      <c r="F12" s="173" t="s">
        <v>160</v>
      </c>
      <c r="G12" s="173" t="s">
        <v>160</v>
      </c>
      <c r="H12" s="173" t="s">
        <v>160</v>
      </c>
      <c r="I12" s="173" t="s">
        <v>160</v>
      </c>
      <c r="J12" s="173" t="s">
        <v>160</v>
      </c>
      <c r="K12" s="61" t="s">
        <v>239</v>
      </c>
      <c r="L12" s="61" t="s">
        <v>240</v>
      </c>
      <c r="M12" s="37" t="s">
        <v>218</v>
      </c>
      <c r="N12" s="173"/>
      <c r="O12" s="61" t="s">
        <v>231</v>
      </c>
      <c r="P12" s="41"/>
      <c r="Q12" s="146"/>
    </row>
    <row r="13" spans="2:17">
      <c r="B13" s="23" t="s">
        <v>244</v>
      </c>
      <c r="C13" s="173" t="s">
        <v>160</v>
      </c>
      <c r="D13" s="173" t="s">
        <v>160</v>
      </c>
      <c r="E13" s="173" t="s">
        <v>160</v>
      </c>
      <c r="F13" s="173" t="s">
        <v>160</v>
      </c>
      <c r="G13" s="173" t="s">
        <v>160</v>
      </c>
      <c r="H13" s="173" t="s">
        <v>160</v>
      </c>
      <c r="I13" s="173" t="s">
        <v>160</v>
      </c>
      <c r="J13" s="173" t="s">
        <v>160</v>
      </c>
      <c r="K13" s="61" t="s">
        <v>239</v>
      </c>
      <c r="L13" s="61" t="s">
        <v>216</v>
      </c>
      <c r="M13" s="37" t="s">
        <v>218</v>
      </c>
      <c r="N13" s="173"/>
      <c r="O13" s="61" t="s">
        <v>231</v>
      </c>
      <c r="P13" s="41"/>
      <c r="Q13" s="146"/>
    </row>
    <row r="14" spans="2:17" ht="14.25" thickBot="1">
      <c r="B14" s="24" t="s">
        <v>241</v>
      </c>
      <c r="C14" s="174" t="s">
        <v>160</v>
      </c>
      <c r="D14" s="174" t="s">
        <v>160</v>
      </c>
      <c r="E14" s="174" t="s">
        <v>160</v>
      </c>
      <c r="F14" s="174" t="s">
        <v>160</v>
      </c>
      <c r="G14" s="174" t="s">
        <v>160</v>
      </c>
      <c r="H14" s="174" t="s">
        <v>160</v>
      </c>
      <c r="I14" s="174" t="s">
        <v>160</v>
      </c>
      <c r="J14" s="174" t="s">
        <v>160</v>
      </c>
      <c r="K14" s="196" t="s">
        <v>246</v>
      </c>
      <c r="L14" s="196" t="s">
        <v>246</v>
      </c>
      <c r="M14" s="38" t="s">
        <v>218</v>
      </c>
      <c r="N14" s="174"/>
      <c r="O14" s="196" t="s">
        <v>231</v>
      </c>
      <c r="P14" s="42"/>
      <c r="Q14" s="147"/>
    </row>
    <row r="20" spans="2:17" ht="15" thickBot="1">
      <c r="B20" s="28" t="s">
        <v>260</v>
      </c>
    </row>
    <row r="21" spans="2:17" ht="15" thickBot="1">
      <c r="B21" s="213" t="s">
        <v>122</v>
      </c>
      <c r="C21" s="344" t="s">
        <v>217</v>
      </c>
      <c r="D21" s="345"/>
      <c r="E21" s="345"/>
      <c r="F21" s="345"/>
      <c r="G21" s="345"/>
      <c r="H21" s="345"/>
      <c r="I21" s="345"/>
      <c r="J21" s="346"/>
      <c r="K21" s="214"/>
      <c r="L21" s="214"/>
      <c r="M21" s="215"/>
      <c r="N21" s="216"/>
      <c r="O21" s="216"/>
      <c r="P21" s="176"/>
      <c r="Q21" s="177"/>
    </row>
    <row r="22" spans="2:17">
      <c r="B22" s="217"/>
      <c r="C22" s="218" t="s">
        <v>199</v>
      </c>
      <c r="D22" s="218"/>
      <c r="E22" s="218"/>
      <c r="F22" s="218"/>
      <c r="G22" s="218"/>
      <c r="H22" s="218"/>
      <c r="I22" s="218"/>
      <c r="J22" s="218"/>
      <c r="K22" s="218"/>
      <c r="L22" s="218"/>
      <c r="M22" s="219" t="s">
        <v>50</v>
      </c>
      <c r="N22" s="220" t="s">
        <v>20</v>
      </c>
      <c r="O22" s="221"/>
      <c r="P22" s="222"/>
      <c r="Q22" s="223"/>
    </row>
    <row r="23" spans="2:17">
      <c r="B23" s="224" t="s">
        <v>21</v>
      </c>
      <c r="C23" s="347" t="s">
        <v>167</v>
      </c>
      <c r="D23" s="335"/>
      <c r="E23" s="335"/>
      <c r="F23" s="335"/>
      <c r="G23" s="335"/>
      <c r="H23" s="335"/>
      <c r="I23" s="335"/>
      <c r="J23" s="336"/>
      <c r="K23" s="225" t="s">
        <v>22</v>
      </c>
      <c r="L23" s="226"/>
      <c r="M23" s="227" t="s">
        <v>274</v>
      </c>
      <c r="N23" s="228" t="s">
        <v>23</v>
      </c>
      <c r="O23" s="77" t="s">
        <v>24</v>
      </c>
      <c r="P23" s="77" t="s">
        <v>25</v>
      </c>
      <c r="Q23" s="253" t="s">
        <v>26</v>
      </c>
    </row>
    <row r="24" spans="2:17" ht="27">
      <c r="B24" s="224" t="s">
        <v>32</v>
      </c>
      <c r="C24" s="230" t="s">
        <v>202</v>
      </c>
      <c r="D24" s="230" t="s">
        <v>202</v>
      </c>
      <c r="E24" s="230" t="s">
        <v>202</v>
      </c>
      <c r="F24" s="230" t="s">
        <v>202</v>
      </c>
      <c r="G24" s="230" t="s">
        <v>202</v>
      </c>
      <c r="H24" s="230" t="s">
        <v>202</v>
      </c>
      <c r="I24" s="230" t="s">
        <v>202</v>
      </c>
      <c r="J24" s="230" t="s">
        <v>202</v>
      </c>
      <c r="K24" s="231" t="s">
        <v>99</v>
      </c>
      <c r="L24" s="231" t="s">
        <v>99</v>
      </c>
      <c r="M24" s="227" t="s">
        <v>47</v>
      </c>
      <c r="N24" s="232"/>
      <c r="O24" s="78"/>
      <c r="P24" s="78"/>
      <c r="Q24" s="254" t="s">
        <v>262</v>
      </c>
    </row>
    <row r="25" spans="2:17" ht="27">
      <c r="B25" s="233" t="s">
        <v>27</v>
      </c>
      <c r="C25" s="334" t="s">
        <v>34</v>
      </c>
      <c r="D25" s="335"/>
      <c r="E25" s="335"/>
      <c r="F25" s="335"/>
      <c r="G25" s="335"/>
      <c r="H25" s="335"/>
      <c r="I25" s="335"/>
      <c r="J25" s="336"/>
      <c r="K25" s="229" t="s">
        <v>258</v>
      </c>
      <c r="L25" s="229" t="s">
        <v>257</v>
      </c>
      <c r="M25" s="234"/>
      <c r="N25" s="232"/>
      <c r="O25" s="78"/>
      <c r="P25" s="78"/>
      <c r="Q25" s="253" t="s">
        <v>263</v>
      </c>
    </row>
    <row r="26" spans="2:17" ht="64.5">
      <c r="B26" s="224" t="s">
        <v>28</v>
      </c>
      <c r="C26" s="235" t="s">
        <v>207</v>
      </c>
      <c r="D26" s="235" t="s">
        <v>61</v>
      </c>
      <c r="E26" s="235" t="s">
        <v>208</v>
      </c>
      <c r="F26" s="235" t="s">
        <v>209</v>
      </c>
      <c r="G26" s="235" t="s">
        <v>210</v>
      </c>
      <c r="H26" s="235" t="s">
        <v>211</v>
      </c>
      <c r="I26" s="235" t="s">
        <v>212</v>
      </c>
      <c r="J26" s="235" t="s">
        <v>213</v>
      </c>
      <c r="K26" s="229" t="s">
        <v>264</v>
      </c>
      <c r="L26" s="229" t="s">
        <v>265</v>
      </c>
      <c r="M26" s="227" t="s">
        <v>29</v>
      </c>
      <c r="N26" s="232"/>
      <c r="O26" s="78"/>
      <c r="P26" s="78"/>
      <c r="Q26" s="253" t="s">
        <v>266</v>
      </c>
    </row>
    <row r="27" spans="2:17" ht="41.25" thickBot="1">
      <c r="B27" s="236" t="s">
        <v>30</v>
      </c>
      <c r="C27" s="237" t="s">
        <v>214</v>
      </c>
      <c r="D27" s="237" t="s">
        <v>202</v>
      </c>
      <c r="E27" s="237" t="s">
        <v>214</v>
      </c>
      <c r="F27" s="237" t="s">
        <v>214</v>
      </c>
      <c r="G27" s="237" t="s">
        <v>214</v>
      </c>
      <c r="H27" s="237" t="s">
        <v>214</v>
      </c>
      <c r="I27" s="237" t="s">
        <v>214</v>
      </c>
      <c r="J27" s="237" t="s">
        <v>214</v>
      </c>
      <c r="K27" s="238" t="s">
        <v>219</v>
      </c>
      <c r="L27" s="238" t="s">
        <v>267</v>
      </c>
      <c r="M27" s="239" t="s">
        <v>275</v>
      </c>
      <c r="N27" s="240"/>
      <c r="O27" s="76"/>
      <c r="P27" s="76"/>
      <c r="Q27" s="255" t="s">
        <v>268</v>
      </c>
    </row>
    <row r="28" spans="2:17" ht="14.25" thickTop="1">
      <c r="B28" s="241" t="s">
        <v>269</v>
      </c>
      <c r="C28" s="242" t="s">
        <v>160</v>
      </c>
      <c r="D28" s="242" t="s">
        <v>160</v>
      </c>
      <c r="E28" s="242" t="s">
        <v>160</v>
      </c>
      <c r="F28" s="242" t="s">
        <v>160</v>
      </c>
      <c r="G28" s="242" t="s">
        <v>160</v>
      </c>
      <c r="H28" s="242" t="s">
        <v>160</v>
      </c>
      <c r="I28" s="242" t="s">
        <v>160</v>
      </c>
      <c r="J28" s="242" t="s">
        <v>160</v>
      </c>
      <c r="K28" s="243" t="s">
        <v>215</v>
      </c>
      <c r="L28" s="243" t="s">
        <v>215</v>
      </c>
      <c r="M28" s="244" t="s">
        <v>218</v>
      </c>
      <c r="N28" s="242"/>
      <c r="O28" s="40"/>
      <c r="P28" s="40"/>
      <c r="Q28" s="256" t="s">
        <v>202</v>
      </c>
    </row>
    <row r="29" spans="2:17">
      <c r="B29" s="245" t="s">
        <v>270</v>
      </c>
      <c r="C29" s="246" t="s">
        <v>160</v>
      </c>
      <c r="D29" s="246" t="s">
        <v>160</v>
      </c>
      <c r="E29" s="246" t="s">
        <v>160</v>
      </c>
      <c r="F29" s="246" t="s">
        <v>160</v>
      </c>
      <c r="G29" s="246" t="s">
        <v>160</v>
      </c>
      <c r="H29" s="246" t="s">
        <v>160</v>
      </c>
      <c r="I29" s="246" t="s">
        <v>160</v>
      </c>
      <c r="J29" s="246" t="s">
        <v>160</v>
      </c>
      <c r="K29" s="247" t="s">
        <v>215</v>
      </c>
      <c r="L29" s="247" t="s">
        <v>239</v>
      </c>
      <c r="M29" s="248" t="s">
        <v>38</v>
      </c>
      <c r="N29" s="246"/>
      <c r="O29" s="41"/>
      <c r="P29" s="41"/>
      <c r="Q29" s="257" t="s">
        <v>271</v>
      </c>
    </row>
    <row r="30" spans="2:17">
      <c r="B30" s="245" t="s">
        <v>272</v>
      </c>
      <c r="C30" s="246" t="s">
        <v>160</v>
      </c>
      <c r="D30" s="246" t="s">
        <v>160</v>
      </c>
      <c r="E30" s="246" t="s">
        <v>160</v>
      </c>
      <c r="F30" s="246" t="s">
        <v>160</v>
      </c>
      <c r="G30" s="246" t="s">
        <v>160</v>
      </c>
      <c r="H30" s="246" t="s">
        <v>160</v>
      </c>
      <c r="I30" s="246" t="s">
        <v>160</v>
      </c>
      <c r="J30" s="246" t="s">
        <v>160</v>
      </c>
      <c r="K30" s="247" t="s">
        <v>239</v>
      </c>
      <c r="L30" s="247" t="s">
        <v>240</v>
      </c>
      <c r="M30" s="248" t="s">
        <v>218</v>
      </c>
      <c r="N30" s="246"/>
      <c r="O30" s="41"/>
      <c r="P30" s="41"/>
      <c r="Q30" s="257" t="s">
        <v>202</v>
      </c>
    </row>
    <row r="31" spans="2:17">
      <c r="B31" s="245" t="s">
        <v>273</v>
      </c>
      <c r="C31" s="246" t="s">
        <v>160</v>
      </c>
      <c r="D31" s="246" t="s">
        <v>160</v>
      </c>
      <c r="E31" s="246" t="s">
        <v>160</v>
      </c>
      <c r="F31" s="246" t="s">
        <v>160</v>
      </c>
      <c r="G31" s="246" t="s">
        <v>160</v>
      </c>
      <c r="H31" s="246" t="s">
        <v>160</v>
      </c>
      <c r="I31" s="246" t="s">
        <v>160</v>
      </c>
      <c r="J31" s="246" t="s">
        <v>160</v>
      </c>
      <c r="K31" s="247" t="s">
        <v>239</v>
      </c>
      <c r="L31" s="247" t="s">
        <v>216</v>
      </c>
      <c r="M31" s="248" t="s">
        <v>218</v>
      </c>
      <c r="N31" s="246"/>
      <c r="O31" s="41"/>
      <c r="P31" s="41"/>
      <c r="Q31" s="257" t="s">
        <v>202</v>
      </c>
    </row>
    <row r="32" spans="2:17" ht="14.25" thickBot="1">
      <c r="B32" s="249" t="s">
        <v>241</v>
      </c>
      <c r="C32" s="250" t="s">
        <v>160</v>
      </c>
      <c r="D32" s="250" t="s">
        <v>160</v>
      </c>
      <c r="E32" s="250" t="s">
        <v>160</v>
      </c>
      <c r="F32" s="250" t="s">
        <v>160</v>
      </c>
      <c r="G32" s="250" t="s">
        <v>160</v>
      </c>
      <c r="H32" s="250" t="s">
        <v>160</v>
      </c>
      <c r="I32" s="250" t="s">
        <v>160</v>
      </c>
      <c r="J32" s="250" t="s">
        <v>160</v>
      </c>
      <c r="K32" s="251" t="s">
        <v>246</v>
      </c>
      <c r="L32" s="251" t="s">
        <v>246</v>
      </c>
      <c r="M32" s="252" t="s">
        <v>218</v>
      </c>
      <c r="N32" s="250"/>
      <c r="O32" s="42"/>
      <c r="P32" s="42"/>
      <c r="Q32" s="258" t="s">
        <v>202</v>
      </c>
    </row>
  </sheetData>
  <mergeCells count="6">
    <mergeCell ref="C25:J25"/>
    <mergeCell ref="C3:J3"/>
    <mergeCell ref="C5:J5"/>
    <mergeCell ref="C7:J7"/>
    <mergeCell ref="C21:J21"/>
    <mergeCell ref="C23:J23"/>
  </mergeCells>
  <phoneticPr fontId="2"/>
  <dataValidations disablePrompts="1" count="1">
    <dataValidation type="list" allowBlank="1" showInputMessage="1" showErrorMessage="1" sqref="C3 C21" xr:uid="{00000000-0002-0000-0600-000000000000}">
      <formula1>"Index,Matrix Search"</formula1>
    </dataValidation>
  </dataValidations>
  <pageMargins left="0.7" right="0.7" top="0.75" bottom="0.75" header="0.3" footer="0.3"/>
  <drawing r:id="rId1"/>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6"/>
  <dimension ref="B2:D27"/>
  <sheetViews>
    <sheetView workbookViewId="0"/>
  </sheetViews>
  <sheetFormatPr defaultRowHeight="13.5"/>
  <cols>
    <col min="2" max="2" width="4.875" bestFit="1" customWidth="1"/>
    <col min="3" max="3" width="12.25" customWidth="1"/>
    <col min="4" max="4" width="86" customWidth="1"/>
  </cols>
  <sheetData>
    <row r="2" spans="2:4" ht="14.25" thickBot="1">
      <c r="B2" s="85" t="s">
        <v>84</v>
      </c>
      <c r="C2" s="86">
        <f>MAX(B4:B28)</f>
        <v>19</v>
      </c>
      <c r="D2" s="86"/>
    </row>
    <row r="3" spans="2:4" ht="14.25" thickBot="1">
      <c r="B3" s="79" t="s">
        <v>84</v>
      </c>
      <c r="C3" s="87" t="s">
        <v>88</v>
      </c>
      <c r="D3" s="80" t="s">
        <v>85</v>
      </c>
    </row>
    <row r="4" spans="2:4" ht="14.25" thickTop="1">
      <c r="B4" s="13">
        <v>0</v>
      </c>
      <c r="C4" s="88" t="s">
        <v>89</v>
      </c>
      <c r="D4" s="15" t="s">
        <v>19</v>
      </c>
    </row>
    <row r="5" spans="2:4" ht="40.5">
      <c r="B5" s="2">
        <v>1</v>
      </c>
      <c r="C5" s="89" t="s">
        <v>89</v>
      </c>
      <c r="D5" s="91" t="s">
        <v>90</v>
      </c>
    </row>
    <row r="6" spans="2:4" ht="27">
      <c r="B6" s="2">
        <v>2</v>
      </c>
      <c r="C6" s="89" t="s">
        <v>92</v>
      </c>
      <c r="D6" s="91" t="s">
        <v>93</v>
      </c>
    </row>
    <row r="7" spans="2:4" ht="54">
      <c r="B7" s="2">
        <v>3</v>
      </c>
      <c r="C7" s="89" t="s">
        <v>89</v>
      </c>
      <c r="D7" s="91" t="s">
        <v>96</v>
      </c>
    </row>
    <row r="8" spans="2:4" ht="81">
      <c r="B8" s="2">
        <v>4</v>
      </c>
      <c r="C8" s="89" t="s">
        <v>104</v>
      </c>
      <c r="D8" s="91" t="s">
        <v>110</v>
      </c>
    </row>
    <row r="9" spans="2:4" ht="41.25" customHeight="1">
      <c r="B9" s="2">
        <v>5</v>
      </c>
      <c r="C9" s="89" t="s">
        <v>105</v>
      </c>
      <c r="D9" s="91" t="s">
        <v>106</v>
      </c>
    </row>
    <row r="10" spans="2:4" ht="27">
      <c r="B10" s="2">
        <v>6</v>
      </c>
      <c r="C10" s="89" t="s">
        <v>89</v>
      </c>
      <c r="D10" s="91" t="s">
        <v>109</v>
      </c>
    </row>
    <row r="11" spans="2:4" ht="27">
      <c r="B11" s="2">
        <v>7</v>
      </c>
      <c r="C11" s="89" t="s">
        <v>104</v>
      </c>
      <c r="D11" s="91" t="s">
        <v>108</v>
      </c>
    </row>
    <row r="12" spans="2:4" ht="27">
      <c r="B12" s="2">
        <v>8</v>
      </c>
      <c r="C12" s="89" t="s">
        <v>89</v>
      </c>
      <c r="D12" s="91" t="s">
        <v>111</v>
      </c>
    </row>
    <row r="13" spans="2:4" ht="27">
      <c r="B13" s="2">
        <v>9</v>
      </c>
      <c r="C13" s="89" t="s">
        <v>89</v>
      </c>
      <c r="D13" s="91" t="s">
        <v>112</v>
      </c>
    </row>
    <row r="14" spans="2:4" ht="27">
      <c r="B14" s="2">
        <v>10</v>
      </c>
      <c r="C14" s="89" t="s">
        <v>113</v>
      </c>
      <c r="D14" s="91" t="s">
        <v>114</v>
      </c>
    </row>
    <row r="15" spans="2:4" ht="135">
      <c r="B15" s="2">
        <v>11</v>
      </c>
      <c r="C15" s="89" t="s">
        <v>89</v>
      </c>
      <c r="D15" s="91" t="s">
        <v>126</v>
      </c>
    </row>
    <row r="16" spans="2:4" ht="191.25" customHeight="1">
      <c r="B16" s="2">
        <v>12</v>
      </c>
      <c r="C16" s="89" t="s">
        <v>155</v>
      </c>
      <c r="D16" s="91" t="s">
        <v>165</v>
      </c>
    </row>
    <row r="17" spans="2:4" ht="27">
      <c r="B17" s="2">
        <v>13</v>
      </c>
      <c r="C17" s="89" t="s">
        <v>92</v>
      </c>
      <c r="D17" s="91" t="s">
        <v>168</v>
      </c>
    </row>
    <row r="18" spans="2:4" ht="67.5">
      <c r="B18" s="2">
        <v>14</v>
      </c>
      <c r="C18" s="89" t="s">
        <v>92</v>
      </c>
      <c r="D18" s="91" t="s">
        <v>170</v>
      </c>
    </row>
    <row r="19" spans="2:4" ht="40.5">
      <c r="B19" s="2">
        <v>15</v>
      </c>
      <c r="C19" s="89" t="s">
        <v>105</v>
      </c>
      <c r="D19" s="91" t="s">
        <v>174</v>
      </c>
    </row>
    <row r="20" spans="2:4" ht="64.5" customHeight="1">
      <c r="B20" s="2">
        <v>16</v>
      </c>
      <c r="C20" s="89" t="s">
        <v>105</v>
      </c>
      <c r="D20" s="91" t="s">
        <v>178</v>
      </c>
    </row>
    <row r="21" spans="2:4" ht="66.75" customHeight="1">
      <c r="B21" s="2">
        <v>17</v>
      </c>
      <c r="C21" s="89" t="s">
        <v>104</v>
      </c>
      <c r="D21" s="91" t="s">
        <v>193</v>
      </c>
    </row>
    <row r="22" spans="2:4" ht="27">
      <c r="B22" s="2">
        <v>18</v>
      </c>
      <c r="C22" s="89" t="s">
        <v>222</v>
      </c>
      <c r="D22" s="91" t="s">
        <v>223</v>
      </c>
    </row>
    <row r="23" spans="2:4" ht="27">
      <c r="B23" s="2">
        <v>19</v>
      </c>
      <c r="C23" s="89" t="s">
        <v>222</v>
      </c>
      <c r="D23" s="91" t="s">
        <v>224</v>
      </c>
    </row>
    <row r="24" spans="2:4">
      <c r="B24" s="2"/>
      <c r="C24" s="89"/>
      <c r="D24" s="91"/>
    </row>
    <row r="25" spans="2:4">
      <c r="B25" s="2"/>
      <c r="C25" s="89"/>
      <c r="D25" s="75"/>
    </row>
    <row r="26" spans="2:4">
      <c r="B26" s="2"/>
      <c r="C26" s="89"/>
      <c r="D26" s="75"/>
    </row>
    <row r="27" spans="2:4" ht="14.25" thickBot="1">
      <c r="B27" s="4"/>
      <c r="C27" s="90"/>
      <c r="D27" s="6"/>
    </row>
  </sheetData>
  <phoneticPr fontId="2"/>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10</vt:i4>
      </vt:variant>
    </vt:vector>
  </HeadingPairs>
  <TitlesOfParts>
    <vt:vector size="10" baseType="lpstr">
      <vt:lpstr>表紙（承認欄）</vt:lpstr>
      <vt:lpstr>表紙</vt:lpstr>
      <vt:lpstr>はじめに</vt:lpstr>
      <vt:lpstr>Matrix</vt:lpstr>
      <vt:lpstr>Config_IF</vt:lpstr>
      <vt:lpstr>CH_Design</vt:lpstr>
      <vt:lpstr>PD</vt:lpstr>
      <vt:lpstr>RWRN</vt:lpstr>
      <vt:lpstr>Reference</vt:lpstr>
      <vt:lpstr>History</vt:lpstr>
    </vt:vector>
  </TitlesOfParts>
  <Company>株式会社デンソー</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YOSHIKI IWATA</dc:creator>
  <cp:lastModifiedBy>Asuncion Anna Maria (ASUNCION　ANNA MARIA)</cp:lastModifiedBy>
  <dcterms:created xsi:type="dcterms:W3CDTF">2019-02-05T04:25:17Z</dcterms:created>
  <dcterms:modified xsi:type="dcterms:W3CDTF">2024-04-12T00:07:42Z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add209e-37c4-4e15-ab1b-f9befe71def1_Enabled">
    <vt:lpwstr>true</vt:lpwstr>
  </property>
  <property fmtid="{D5CDD505-2E9C-101B-9397-08002B2CF9AE}" pid="3" name="MSIP_Label_6add209e-37c4-4e15-ab1b-f9befe71def1_SetDate">
    <vt:lpwstr>2024-04-05T09:24:21Z</vt:lpwstr>
  </property>
  <property fmtid="{D5CDD505-2E9C-101B-9397-08002B2CF9AE}" pid="4" name="MSIP_Label_6add209e-37c4-4e15-ab1b-f9befe71def1_Method">
    <vt:lpwstr>Standard</vt:lpwstr>
  </property>
  <property fmtid="{D5CDD505-2E9C-101B-9397-08002B2CF9AE}" pid="5" name="MSIP_Label_6add209e-37c4-4e15-ab1b-f9befe71def1_Name">
    <vt:lpwstr>G_MIP_Confidential_Exception</vt:lpwstr>
  </property>
  <property fmtid="{D5CDD505-2E9C-101B-9397-08002B2CF9AE}" pid="6" name="MSIP_Label_6add209e-37c4-4e15-ab1b-f9befe71def1_SiteId">
    <vt:lpwstr>69405920-b673-4f7c-8845-e124e9d08af2</vt:lpwstr>
  </property>
  <property fmtid="{D5CDD505-2E9C-101B-9397-08002B2CF9AE}" pid="7" name="MSIP_Label_6add209e-37c4-4e15-ab1b-f9befe71def1_ActionId">
    <vt:lpwstr>af042537-3b59-4ddb-8551-e0662fd2e265</vt:lpwstr>
  </property>
  <property fmtid="{D5CDD505-2E9C-101B-9397-08002B2CF9AE}" pid="8" name="MSIP_Label_6add209e-37c4-4e15-ab1b-f9befe71def1_ContentBits">
    <vt:lpwstr>0</vt:lpwstr>
  </property>
</Properties>
</file>