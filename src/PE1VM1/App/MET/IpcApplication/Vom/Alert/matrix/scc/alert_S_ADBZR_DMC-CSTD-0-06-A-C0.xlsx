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D:\32_BEV_MCU_シス検ADAS向け_設計サポート\03_Output\12152025\ADBZR Merge_git\src\PE1VM1\App\MET\IpcApplication\Vom\Alert\matrix\scc\"/>
    </mc:Choice>
  </mc:AlternateContent>
  <xr:revisionPtr revIDLastSave="0" documentId="13_ncr:1_{F81CA9E3-1FB6-4648-936B-CFB7D68773BC}" xr6:coauthVersionLast="47" xr6:coauthVersionMax="47" xr10:uidLastSave="{00000000-0000-0000-0000-000000000000}"/>
  <bookViews>
    <workbookView xWindow="28680" yWindow="-3390" windowWidth="29040" windowHeight="15720" tabRatio="710" activeTab="5" xr2:uid="{00000000-000D-0000-FFFF-FFFF00000000}"/>
  </bookViews>
  <sheets>
    <sheet name="表紙（承認欄）" sheetId="16" r:id="rId1"/>
    <sheet name="表紙" sheetId="1" r:id="rId2"/>
    <sheet name="はじめに" sheetId="10" r:id="rId3"/>
    <sheet name="Matrix" sheetId="4" r:id="rId4"/>
    <sheet name="Config_IF" sheetId="11" r:id="rId5"/>
    <sheet name="CH_Design" sheetId="5" r:id="rId6"/>
    <sheet name="S_ADBZR_DMC" sheetId="8" r:id="rId7"/>
    <sheet name="Reference" sheetId="15" r:id="rId8"/>
    <sheet name="History" sheetId="7" r:id="rId9"/>
  </sheets>
  <externalReferences>
    <externalReference r:id="rId10"/>
    <externalReference r:id="rId11"/>
    <externalReference r:id="rId12"/>
    <externalReference r:id="rId13"/>
    <externalReference r:id="rId14"/>
    <externalReference r:id="rId15"/>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hidden="1">'[1]#REF'!$C$3:$C$1000</definedName>
    <definedName name="_Key1" hidden="1">'[1]#REF'!$A$3</definedName>
    <definedName name="_Order1" hidden="1">255</definedName>
    <definedName name="_Order2" hidden="1">1</definedName>
    <definedName name="_Sort" hidden="1">'[1]#REF'!$A$3:$AE$787</definedName>
    <definedName name="\w">'[1]#REF'!#REF!</definedName>
    <definedName name="A" localSheetId="0">#REF!</definedName>
    <definedName name="A">#REF!</definedName>
    <definedName name="aa">'[1]#REF'!$DU$3</definedName>
    <definedName name="B" localSheetId="0">#REF!</definedName>
    <definedName name="B">#REF!</definedName>
    <definedName name="BEANall" localSheetId="0">#REF!</definedName>
    <definedName name="BEANall">#REF!</definedName>
    <definedName name="CAN１_A" localSheetId="0">#REF!</definedName>
    <definedName name="CAN１_A">#REF!</definedName>
    <definedName name="CAN1閉じ分" localSheetId="0">#REF!</definedName>
    <definedName name="CAN1閉じ分">#REF!</definedName>
    <definedName name="CANall" localSheetId="0">#REF!</definedName>
    <definedName name="CANall">#REF!</definedName>
    <definedName name="CANtoBEANｹﾞｰﾄｳｪｲ" localSheetId="0">#REF!</definedName>
    <definedName name="CANtoBEANｹﾞｰﾄｳｪｲ">#REF!</definedName>
    <definedName name="CANtoBEAN元" localSheetId="0">#REF!</definedName>
    <definedName name="CANtoBEAN元">#REF!</definedName>
    <definedName name="CANtoECTｹﾞｰﾄｳｪｲ" localSheetId="0">#REF!</definedName>
    <definedName name="CANtoECTｹﾞｰﾄｳｪｲ">#REF!</definedName>
    <definedName name="CANtoECT元" localSheetId="0">#REF!</definedName>
    <definedName name="CANtoECT元">#REF!</definedName>
    <definedName name="CAN内車間toXtoX" localSheetId="0">#REF!</definedName>
    <definedName name="CAN内車間toXtoX">#REF!</definedName>
    <definedName name="Category_List">#REF!</definedName>
    <definedName name="d" localSheetId="0">#REF!</definedName>
    <definedName name="d">#REF!</definedName>
    <definedName name="_xlnm.Database">'[1]#REF'!$A$2:$X$1000</definedName>
    <definedName name="Database_MI">'[1]#REF'!$A$2:$X$1000</definedName>
    <definedName name="GOGO">#REF!</definedName>
    <definedName name="Head">[2]CONTBUZZ_一覧!$E$4:$AC$4</definedName>
    <definedName name="Head2">[2]CONTBUZZ_一覧!$E$5:$AC$5</definedName>
    <definedName name="ID">'[1]#REF'!#REF!</definedName>
    <definedName name="K" localSheetId="0">#REF!</definedName>
    <definedName name="K">#REF!</definedName>
    <definedName name="LED" localSheetId="0">#REF!</definedName>
    <definedName name="LED">#REF!</definedName>
    <definedName name="List">[2]CONTBUZZ_一覧!$E$6:$AC$177</definedName>
    <definedName name="No">[2]CONTBUZZ_一覧!$D$6:$D$177</definedName>
    <definedName name="_xlnm.Print_Area" localSheetId="0">'表紙（承認欄）'!$A$1:$AN$57</definedName>
    <definedName name="_xlnm.Print_Area">[3]Sheet1!$A$1:$I$233</definedName>
    <definedName name="PRINT_AREA_MI">'[1]#REF'!$A$3:$Q$1000</definedName>
    <definedName name="_xlnm.Print_Titles">[4]車両仕様!$A$1:$C$65536,[4]車両仕様!$A$3:$IV$4</definedName>
    <definedName name="PRINT_TITLES_MI">'[1]#REF'!$1:$2</definedName>
    <definedName name="Prj">[2]Alert_Req一覧!$I$2:$I$2</definedName>
    <definedName name="QAC_Message_Text">#REF!</definedName>
    <definedName name="Req">[2]Alert_Req一覧!$D$3:$D$216</definedName>
    <definedName name="ｓ" localSheetId="0">#REF!</definedName>
    <definedName name="ｓ">#REF!</definedName>
    <definedName name="Sheet_dspmaincfg_Top" localSheetId="0">#REF!</definedName>
    <definedName name="Sheet_dspmaincfg_Top">#REF!</definedName>
    <definedName name="Sheet_ユーザーカスタマイズ手順_Top" localSheetId="0">#REF!</definedName>
    <definedName name="Sheet_ユーザーカスタマイズ手順_Top">#REF!</definedName>
    <definedName name="Sheet_基礎知識_dispdomain" localSheetId="0">#REF!</definedName>
    <definedName name="Sheet_基礎知識_dispdomain">#REF!</definedName>
    <definedName name="Sheet_基礎知識_dispdomain_Diagram" localSheetId="0">#REF!</definedName>
    <definedName name="Sheet_基礎知識_dispdomain_Diagram">#REF!</definedName>
    <definedName name="Sheet_基礎知識_dspmgr" localSheetId="0">#REF!</definedName>
    <definedName name="Sheet_基礎知識_dspmgr">#REF!</definedName>
    <definedName name="Sheet_基礎知識_dspmgr_Contents" localSheetId="0">#REF!</definedName>
    <definedName name="Sheet_基礎知識_dspmgr_Contents">#REF!</definedName>
    <definedName name="Sheet_基礎知識_dspmgr_STM" localSheetId="0">#REF!</definedName>
    <definedName name="Sheet_基礎知識_dspmgr_STM">#REF!</definedName>
    <definedName name="Sheet_基礎知識_dspmgr_Struct" localSheetId="0">#REF!</definedName>
    <definedName name="Sheet_基礎知識_dspmgr_Struct">#REF!</definedName>
    <definedName name="Sheet_基礎知識_dspmgr_SwCancel" localSheetId="0">#REF!</definedName>
    <definedName name="Sheet_基礎知識_dspmgr_SwCancel">#REF!</definedName>
    <definedName name="Sheet_基礎知識_mainscrl" localSheetId="0">#REF!</definedName>
    <definedName name="Sheet_基礎知識_mainscrl">#REF!</definedName>
    <definedName name="Sheet_基礎知識_mainscrl_Contents" localSheetId="0">#REF!</definedName>
    <definedName name="Sheet_基礎知識_mainscrl_Contents">#REF!</definedName>
    <definedName name="Sheet_基礎知識_mainscrl_MainSub" localSheetId="0">#REF!</definedName>
    <definedName name="Sheet_基礎知識_mainscrl_MainSub">#REF!</definedName>
    <definedName name="Sheet_基礎知識_mainscrl_Struct" localSheetId="0">#REF!</definedName>
    <definedName name="Sheet_基礎知識_mainscrl_Struct">#REF!</definedName>
    <definedName name="Sheet_基礎知識_swdtctr" localSheetId="0">#REF!</definedName>
    <definedName name="Sheet_基礎知識_swdtctr">#REF!</definedName>
    <definedName name="Sheet_基礎知識_Top" localSheetId="0">#REF!</definedName>
    <definedName name="Sheet_基礎知識_Top">#REF!</definedName>
    <definedName name="Slot">[2]Alert_Req一覧!$I$3:$I$216</definedName>
    <definedName name="TOTAL">#N/A</definedName>
    <definedName name="xlo1" localSheetId="0">#REF!</definedName>
    <definedName name="xlo1">#REF!</definedName>
    <definedName name="xlo2" localSheetId="0">#REF!</definedName>
    <definedName name="xlo2">#REF!</definedName>
    <definedName name="xlo3" localSheetId="0">#REF!</definedName>
    <definedName name="xlo3">#REF!</definedName>
    <definedName name="xlo4" localSheetId="0">#REF!</definedName>
    <definedName name="xlo4">#REF!</definedName>
    <definedName name="xup1" localSheetId="0">#REF!</definedName>
    <definedName name="xup1">#REF!</definedName>
    <definedName name="xup2" localSheetId="0">#REF!</definedName>
    <definedName name="xup2">#REF!</definedName>
    <definedName name="xup3" localSheetId="0">#REF!</definedName>
    <definedName name="xup3">#REF!</definedName>
    <definedName name="xup4" localSheetId="0">#REF!</definedName>
    <definedName name="xup4">#REF!</definedName>
    <definedName name="ylo1" localSheetId="0">#REF!</definedName>
    <definedName name="ylo1">#REF!</definedName>
    <definedName name="ylo2" localSheetId="0">#REF!</definedName>
    <definedName name="ylo2">#REF!</definedName>
    <definedName name="ylo3" localSheetId="0">#REF!</definedName>
    <definedName name="ylo3">#REF!</definedName>
    <definedName name="ylo4" localSheetId="0">#REF!</definedName>
    <definedName name="ylo4">#REF!</definedName>
    <definedName name="yup1" localSheetId="0">#REF!</definedName>
    <definedName name="yup1">#REF!</definedName>
    <definedName name="yup2" localSheetId="0">#REF!</definedName>
    <definedName name="yup2">#REF!</definedName>
    <definedName name="yup3" localSheetId="0">#REF!</definedName>
    <definedName name="yup3">#REF!</definedName>
    <definedName name="yup4" localSheetId="0">#REF!</definedName>
    <definedName name="yup4">#REF!</definedName>
    <definedName name="ああ">[1]選択肢!$E$2:$E$4</definedName>
    <definedName name="あああ">[1]選択肢!$C$2:$C$6</definedName>
    <definedName name="クエリ1">'[1]#REF'!$A$1:$H$398</definedName>
    <definedName name="シートMAX数" localSheetId="0">#REF!</definedName>
    <definedName name="シートMAX数">#REF!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テスト" localSheetId="0">#REF!</definedName>
    <definedName name="テスト">#REF!</definedName>
    <definedName name="トヨタ提出_地図表示">'[1]#REF'!$A$1:$I$396</definedName>
    <definedName name="なんの事？" localSheetId="0">#REF!</definedName>
    <definedName name="なんの事？">#REF!</definedName>
    <definedName name="ﾋﾞｯﾄｱｻｲﾝ" localSheetId="0">#REF!</definedName>
    <definedName name="ﾋﾞｯﾄｱｻｲﾝ">#REF!</definedName>
    <definedName name="リスト">#REF!</definedName>
    <definedName name="開発ランク">[1]選択肢!$E$2:$E$4</definedName>
    <definedName name="確認状況">[1]入力規則!$D$2:$D$13</definedName>
    <definedName name="関数名_確定_BON" localSheetId="0">'[5]Config - dspmgr'!#REF!</definedName>
    <definedName name="関数名_確定_BON">'[5]Config - dspmgr'!#REF!</definedName>
    <definedName name="関数名_確定_IGOFF" localSheetId="0">'[5]Config - dspmgr'!#REF!</definedName>
    <definedName name="関数名_確定_IGOFF">'[5]Config - dspmgr'!#REF!</definedName>
    <definedName name="関数名_確定_IGON" localSheetId="0">'[5]Config - dspmgr'!#REF!</definedName>
    <definedName name="関数名_確定_IGON">'[5]Config - dspmgr'!#REF!</definedName>
    <definedName name="関数名_確定_WKUP" localSheetId="0">'[5]Config - dspmgr'!#REF!</definedName>
    <definedName name="関数名_確定_WKUP">'[5]Config - dspmgr'!#REF!</definedName>
    <definedName name="関数名_確定_状態遷移_0" localSheetId="0">'[5]Config - dspmgr'!#REF!</definedName>
    <definedName name="関数名_確定_状態遷移_0">'[5]Config - dspmgr'!#REF!</definedName>
    <definedName name="関数名_確定_状態遷移_1" localSheetId="0">'[5]Config - dspmgr'!#REF!</definedName>
    <definedName name="関数名_確定_状態遷移_1">'[5]Config - dspmgr'!#REF!</definedName>
    <definedName name="関数名_確定_状態遷移_2" localSheetId="0">'[5]Config - dspmgr'!#REF!</definedName>
    <definedName name="関数名_確定_状態遷移_2">'[5]Config - dspmgr'!#REF!</definedName>
    <definedName name="関数名_確定_状態遷移_3" localSheetId="0">'[5]Config - dspmgr'!#REF!</definedName>
    <definedName name="関数名_確定_状態遷移_3">'[5]Config - dspmgr'!#REF!</definedName>
    <definedName name="関数名_確定_状態遷移_4" localSheetId="0">'[5]Config - dspmgr'!#REF!</definedName>
    <definedName name="関数名_確定_状態遷移_4">'[5]Config - dspmgr'!#REF!</definedName>
    <definedName name="関数名_確定_定期" localSheetId="0">'[5]Config - dspmgr'!#REF!</definedName>
    <definedName name="関数名_確定_定期">'[5]Config - dspmgr'!#REF!</definedName>
    <definedName name="機能ﾘｰﾀﾞｰ">[1]選択肢!$F$2:$F$27</definedName>
    <definedName name="駆動回路" localSheetId="0">#REF!</definedName>
    <definedName name="駆動回路">#REF!</definedName>
    <definedName name="経路案内_基本">'[1]#REF'!$L$2:$R$3</definedName>
    <definedName name="検査最大数" localSheetId="0">#REF!</definedName>
    <definedName name="検査最大数">#REF!</definedName>
    <definedName name="原因">'[1]#REF'!$AN$3:$AN$23</definedName>
    <definedName name="最後">'[1]#REF'!$GJ$2:$GJ$7971</definedName>
    <definedName name="済">#N/A</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車両通信仕様書" localSheetId="0">#REF!</definedName>
    <definedName name="車両通信仕様書">#REF!</definedName>
    <definedName name="車両通信設定値仕様書" localSheetId="0">#REF!</definedName>
    <definedName name="車両通信設定値仕様書">#REF!</definedName>
    <definedName name="集計">'[1]#REF'!$Q$2:$Q$620</definedName>
    <definedName name="重要度">'[1]#REF'!$A$2:$A$9</definedName>
    <definedName name="出力範囲の最後のセル" localSheetId="0">#REF!</definedName>
    <definedName name="出力範囲の最後のセル">#REF!</definedName>
    <definedName name="出力範囲最初のセル" localSheetId="0">#REF!</definedName>
    <definedName name="出力範囲最初のセル">#REF!</definedName>
    <definedName name="対策状況">[1]選択肢!$J$2:$J$10</definedName>
    <definedName name="第5">#N/A</definedName>
    <definedName name="第6">#N/A</definedName>
    <definedName name="担当者">[1]選択肢!$G$2:$G$106</definedName>
    <definedName name="発生頻度">[1]選択肢!$C$2:$C$6</definedName>
    <definedName name="判定" localSheetId="0">[6]option!$B$1:$B$4</definedName>
    <definedName name="判定">[6]option!$B$1:$B$4</definedName>
    <definedName name="品番" localSheetId="0">#REF!</definedName>
    <definedName name="品番">#REF!</definedName>
    <definedName name="名簿">'[1]#REF'!#REF!</definedName>
    <definedName name="優先度">'[1]#REF'!$B$2:$B$5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6" l="1"/>
  <c r="B16" i="1"/>
  <c r="B17" i="1" l="1"/>
  <c r="B15" i="1"/>
  <c r="B13" i="1"/>
  <c r="B3" i="8" l="1"/>
  <c r="AW7" i="8" s="1"/>
  <c r="AU10" i="8" l="1"/>
  <c r="AU11"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R47" i="8" l="1"/>
  <c r="AS46" i="8"/>
  <c r="AO189" i="8"/>
  <c r="AM121" i="8"/>
  <c r="AN122" i="8"/>
  <c r="AR60" i="8"/>
  <c r="AS52" i="8"/>
  <c r="AS26" i="8"/>
  <c r="AM163" i="8"/>
  <c r="AS34" i="8"/>
  <c r="AL182" i="8"/>
  <c r="AR34" i="8"/>
  <c r="AS25" i="8"/>
  <c r="AS40" i="8"/>
  <c r="AS65" i="8"/>
  <c r="AS48"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S1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M187" i="8"/>
  <c r="AN188" i="8"/>
  <c r="AS58" i="8"/>
  <c r="AO184" i="8"/>
  <c r="AL184" i="8"/>
  <c r="AO79" i="8"/>
  <c r="AN79" i="8"/>
  <c r="AM79" i="8"/>
  <c r="AL79" i="8"/>
  <c r="AQ79" i="8" s="1"/>
  <c r="AR14" i="8" s="1"/>
  <c r="AL83" i="8"/>
  <c r="AQ83" i="8" s="1"/>
  <c r="AR18" i="8" s="1"/>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Q145" i="8" s="1"/>
  <c r="AS15" i="8" s="1"/>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Q144" i="8" s="1"/>
  <c r="AS14" i="8" s="1"/>
  <c r="AN149" i="8"/>
  <c r="AL149" i="8"/>
  <c r="AQ149" i="8" s="1"/>
  <c r="AS19" i="8" s="1"/>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Q77" i="8" s="1"/>
  <c r="AM87" i="8"/>
  <c r="AL87" i="8"/>
  <c r="C89" i="8"/>
  <c r="AM91" i="8"/>
  <c r="C174" i="8"/>
  <c r="C109" i="8"/>
  <c r="C111" i="8"/>
  <c r="C176" i="8"/>
  <c r="C195" i="8"/>
  <c r="C130" i="8"/>
  <c r="AM74" i="8"/>
  <c r="AL73" i="8"/>
  <c r="AQ73" i="8" s="1"/>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Q151" i="8" s="1"/>
  <c r="AN151" i="8"/>
  <c r="AL151" i="8"/>
  <c r="AO155" i="8"/>
  <c r="AN155" i="8"/>
  <c r="AL155" i="8"/>
  <c r="AL158" i="8"/>
  <c r="AO166" i="8"/>
  <c r="AN166" i="8"/>
  <c r="AM166" i="8"/>
  <c r="AN173" i="8"/>
  <c r="AM173" i="8"/>
  <c r="AL173" i="8"/>
  <c r="AM176" i="8"/>
  <c r="AL180" i="8"/>
  <c r="AO188" i="8"/>
  <c r="AM188" i="8"/>
  <c r="AL188" i="8"/>
  <c r="AO199" i="8"/>
  <c r="AN199" i="8"/>
  <c r="AM199" i="8"/>
  <c r="AL199" i="8"/>
  <c r="AQ139" i="8" l="1"/>
  <c r="AS9" i="8" s="1"/>
  <c r="AQ74" i="8"/>
  <c r="AR9" i="8" s="1"/>
  <c r="AS22" i="8"/>
  <c r="AS21" i="8"/>
  <c r="AQ86" i="8"/>
  <c r="AQ84" i="8"/>
  <c r="AR19" i="8" s="1"/>
  <c r="AQ148" i="8"/>
  <c r="AS18" i="8" s="1"/>
  <c r="AQ143" i="8"/>
  <c r="AS13" i="8" s="1"/>
  <c r="AQ142" i="8"/>
  <c r="AS12" i="8" s="1"/>
  <c r="AQ141" i="8"/>
  <c r="AS11" i="8" s="1"/>
  <c r="AQ85" i="8"/>
  <c r="AR20" i="8" s="1"/>
  <c r="AQ140" i="8"/>
  <c r="AS10" i="8" s="1"/>
  <c r="AQ82" i="8"/>
  <c r="AR17" i="8" s="1"/>
  <c r="AQ75" i="8"/>
  <c r="AR10" i="8" s="1"/>
  <c r="AQ138" i="8"/>
  <c r="AQ81" i="8"/>
  <c r="AR16" i="8" s="1"/>
  <c r="AQ76" i="8"/>
  <c r="AR11" i="8" s="1"/>
  <c r="AQ78" i="8"/>
  <c r="AR13" i="8" s="1"/>
  <c r="AR22" i="8"/>
  <c r="AR21" i="8"/>
  <c r="AR12" i="8"/>
  <c r="AQ137" i="8"/>
  <c r="AS7" i="8" s="1"/>
  <c r="AQ72" i="8"/>
  <c r="AR8" i="8" s="1"/>
  <c r="AQ71" i="8"/>
  <c r="AR6" i="8" s="1"/>
  <c r="AQ136" i="8"/>
  <c r="AS6" i="8" s="1"/>
  <c r="B136" i="8"/>
  <c r="B71" i="8"/>
  <c r="D7" i="4"/>
  <c r="M13" i="4"/>
  <c r="N13" i="4" s="1"/>
  <c r="AS8" i="8" l="1"/>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W12" i="8" l="1"/>
  <c r="AU5" i="8" s="1"/>
  <c r="AL33" i="8"/>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B14" i="1"/>
  <c r="B12" i="1"/>
  <c r="B11" i="1"/>
  <c r="B10" i="1"/>
  <c r="B9" i="1"/>
  <c r="C2" i="7" l="1"/>
  <c r="H14" i="4" l="1"/>
  <c r="I14" i="4"/>
  <c r="H15" i="4"/>
  <c r="I15" i="4"/>
  <c r="H16" i="4"/>
  <c r="I16"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F13" i="4"/>
  <c r="AW15" i="8" l="1"/>
  <c r="AU8" i="8" s="1"/>
  <c r="AW14" i="8"/>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51" authorId="0" shapeId="0" xr:uid="{4FDFCD56-61BD-43B6-A7AF-2B9C1C5D268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4" authorId="1" shapeId="0" xr:uid="{8E8E787C-E324-4F9C-A4F7-0840A6F1189C}">
      <text>
        <r>
          <rPr>
            <b/>
            <sz val="9"/>
            <color indexed="81"/>
            <rFont val="MS P ゴシック"/>
            <family val="3"/>
            <charset val="128"/>
          </rPr>
          <t xml:space="preserve">リモート送信条件成立：IG ON 且つ PTS ONが15[s]以上
</t>
        </r>
      </text>
    </comment>
    <comment ref="E54" authorId="1" shapeId="0" xr:uid="{A737D918-AF13-4F6D-AF6A-DF54311594E0}">
      <text>
        <r>
          <rPr>
            <b/>
            <sz val="9"/>
            <color indexed="81"/>
            <rFont val="MS P ゴシック"/>
            <family val="3"/>
            <charset val="128"/>
          </rPr>
          <t xml:space="preserve">IG ON 且つ ST OFF
</t>
        </r>
      </text>
    </comment>
    <comment ref="F54" authorId="1" shapeId="0" xr:uid="{795BB5DB-0792-4B0D-9257-FCBECE1A5614}">
      <text>
        <r>
          <rPr>
            <b/>
            <sz val="9"/>
            <color indexed="81"/>
            <rFont val="MS P ゴシック"/>
            <family val="3"/>
            <charset val="128"/>
          </rPr>
          <t>IG ON</t>
        </r>
      </text>
    </comment>
    <comment ref="G54" authorId="1" shapeId="0" xr:uid="{F1FD299B-73B9-4926-A9A5-63513EB52CFC}">
      <text>
        <r>
          <rPr>
            <b/>
            <sz val="9"/>
            <color indexed="81"/>
            <rFont val="MS P ゴシック"/>
            <family val="3"/>
            <charset val="128"/>
          </rPr>
          <t xml:space="preserve">IG OFF 且つ IG OFF後25[m]未満
</t>
        </r>
      </text>
    </comment>
    <comment ref="H54" authorId="1" shapeId="0" xr:uid="{8B58F62C-9A88-455D-8034-EDC8062ADECA}">
      <text>
        <r>
          <rPr>
            <b/>
            <sz val="9"/>
            <color indexed="81"/>
            <rFont val="MS P ゴシック"/>
            <family val="3"/>
            <charset val="128"/>
          </rPr>
          <t xml:space="preserve">IG OFF
</t>
        </r>
      </text>
    </comment>
    <comment ref="I54" authorId="1" shapeId="0" xr:uid="{4EAC0832-4004-4DE8-BDA2-C773D2FE7BEA}">
      <text>
        <r>
          <rPr>
            <b/>
            <sz val="9"/>
            <color indexed="81"/>
            <rFont val="MS P ゴシック"/>
            <family val="3"/>
            <charset val="128"/>
          </rPr>
          <t xml:space="preserve">IG ON 又は IG OFF後25[m]未満
</t>
        </r>
      </text>
    </comment>
    <comment ref="J54" authorId="1" shapeId="0" xr:uid="{B035D259-4244-4CE6-A0B8-F226B005F900}">
      <text>
        <r>
          <rPr>
            <b/>
            <sz val="9"/>
            <color indexed="81"/>
            <rFont val="MS P ゴシック"/>
            <family val="3"/>
            <charset val="128"/>
          </rPr>
          <t>+B ON 又は ACC ON</t>
        </r>
      </text>
    </comment>
  </commentList>
</comments>
</file>

<file path=xl/sharedStrings.xml><?xml version="1.0" encoding="utf-8"?>
<sst xmlns="http://schemas.openxmlformats.org/spreadsheetml/2006/main" count="2627" uniqueCount="298">
  <si>
    <t>更新履歴</t>
    <phoneticPr fontId="3"/>
  </si>
  <si>
    <t>更新内容</t>
    <phoneticPr fontId="3"/>
  </si>
  <si>
    <t>対象ソフトVer</t>
    <phoneticPr fontId="3"/>
  </si>
  <si>
    <t>Git(CommitID)</t>
    <phoneticPr fontId="3"/>
  </si>
  <si>
    <t>Component
Version</t>
    <phoneticPr fontId="3"/>
  </si>
  <si>
    <t>承認欄 [DENSO]</t>
    <phoneticPr fontId="3"/>
  </si>
  <si>
    <t>承認者</t>
  </si>
  <si>
    <t>承認日</t>
  </si>
  <si>
    <t>検討者</t>
  </si>
  <si>
    <t>検討日</t>
  </si>
  <si>
    <t>作成者</t>
  </si>
  <si>
    <t>作成日</t>
  </si>
  <si>
    <t>承認欄 [NTTデータMSE]</t>
  </si>
  <si>
    <t>コンポーネント</t>
    <phoneticPr fontId="3"/>
  </si>
  <si>
    <t>Vom::Alert</t>
    <phoneticPr fontId="3"/>
  </si>
  <si>
    <t>1.0.0</t>
    <phoneticPr fontId="3"/>
  </si>
  <si>
    <t>ROW</t>
    <phoneticPr fontId="3"/>
  </si>
  <si>
    <t>Ver.</t>
    <phoneticPr fontId="3"/>
  </si>
  <si>
    <t>モジュール名</t>
    <rPh sb="5" eb="6">
      <t>メイ</t>
    </rPh>
    <phoneticPr fontId="3"/>
  </si>
  <si>
    <t>対象仕様書</t>
    <rPh sb="0" eb="2">
      <t>タイショウ</t>
    </rPh>
    <rPh sb="2" eb="5">
      <t>シヨウショ</t>
    </rPh>
    <phoneticPr fontId="3"/>
  </si>
  <si>
    <t>新規作成</t>
    <rPh sb="0" eb="2">
      <t>シンキ</t>
    </rPh>
    <rPh sb="2" eb="4">
      <t>サクセイ</t>
    </rPh>
    <phoneticPr fontId="3"/>
  </si>
  <si>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</si>
  <si>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</si>
  <si>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</si>
  <si>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</si>
  <si>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</si>
  <si>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</si>
  <si>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</si>
  <si>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</si>
  <si>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</si>
  <si>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</si>
  <si>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</si>
  <si>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</si>
  <si>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</si>
  <si>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</si>
  <si>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</si>
  <si>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</si>
  <si>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</si>
  <si>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3"/>
  </si>
  <si>
    <t>No</t>
    <phoneticPr fontId="3"/>
  </si>
  <si>
    <t>VOM</t>
    <phoneticPr fontId="3"/>
  </si>
  <si>
    <t>機能名</t>
    <rPh sb="0" eb="3">
      <t>キノウメイ</t>
    </rPh>
    <phoneticPr fontId="3"/>
  </si>
  <si>
    <t>判定要素数</t>
    <rPh sb="0" eb="2">
      <t>ハンテイ</t>
    </rPh>
    <rPh sb="2" eb="4">
      <t>ヨウソ</t>
    </rPh>
    <rPh sb="4" eb="5">
      <t>スウ</t>
    </rPh>
    <phoneticPr fontId="3"/>
  </si>
  <si>
    <t>初期化関数名</t>
    <rPh sb="0" eb="3">
      <t>ショキカ</t>
    </rPh>
    <rPh sb="3" eb="5">
      <t>カンスウ</t>
    </rPh>
    <rPh sb="5" eb="6">
      <t>メイ</t>
    </rPh>
    <phoneticPr fontId="3"/>
  </si>
  <si>
    <t>RW</t>
    <phoneticPr fontId="3"/>
  </si>
  <si>
    <t>Srcchk</t>
  </si>
  <si>
    <t>RwTx</t>
    <phoneticPr fontId="3"/>
  </si>
  <si>
    <t>CH</t>
    <phoneticPr fontId="3"/>
  </si>
  <si>
    <t>CH Name</t>
    <phoneticPr fontId="3"/>
  </si>
  <si>
    <t>処理時間</t>
    <rPh sb="0" eb="2">
      <t>ショリ</t>
    </rPh>
    <rPh sb="2" eb="4">
      <t>ジカン</t>
    </rPh>
    <phoneticPr fontId="3"/>
  </si>
  <si>
    <t>VOM</t>
    <phoneticPr fontId="3"/>
  </si>
  <si>
    <t>ALERT_VOM_BAT_AO</t>
  </si>
  <si>
    <t>ALERT_VOM_BAT_WT</t>
  </si>
  <si>
    <t>ALERT_VOM_IGN_ON</t>
  </si>
  <si>
    <t>ALERT_VOM_VCS_ON</t>
  </si>
  <si>
    <t>NULL</t>
    <phoneticPr fontId="3"/>
  </si>
  <si>
    <t>REQ</t>
    <phoneticPr fontId="3"/>
  </si>
  <si>
    <t>Value</t>
  </si>
  <si>
    <t>TT機能判定</t>
  </si>
  <si>
    <t>BC機能判定</t>
  </si>
  <si>
    <t>PD機能判定</t>
  </si>
  <si>
    <t>RW機能判定</t>
  </si>
  <si>
    <t>文字数</t>
  </si>
  <si>
    <t>ALERT CH</t>
    <phoneticPr fontId="3"/>
  </si>
  <si>
    <t>→</t>
  </si>
  <si>
    <t>bit</t>
  </si>
  <si>
    <t>ALERT_VOM_RWT_EN</t>
  </si>
  <si>
    <t>[reserved]</t>
  </si>
  <si>
    <t>Master Table</t>
    <phoneticPr fontId="3"/>
  </si>
  <si>
    <t>Criteria</t>
    <phoneticPr fontId="3"/>
  </si>
  <si>
    <t>Mask</t>
    <phoneticPr fontId="3"/>
  </si>
  <si>
    <t>[reserved]</t>
    <phoneticPr fontId="3"/>
  </si>
  <si>
    <t>×</t>
    <phoneticPr fontId="3"/>
  </si>
  <si>
    <t>MtxSrch変数名</t>
    <phoneticPr fontId="3"/>
  </si>
  <si>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</si>
  <si>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</si>
  <si>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</si>
  <si>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</si>
  <si>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</si>
  <si>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</si>
  <si>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</si>
  <si>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</si>
  <si>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10"/>
  </si>
  <si>
    <t>RWTX</t>
    <phoneticPr fontId="3"/>
  </si>
  <si>
    <t>貼り付けコード</t>
    <rPh sb="0" eb="1">
      <t>ハ</t>
    </rPh>
    <rPh sb="2" eb="3">
      <t>ツ</t>
    </rPh>
    <phoneticPr fontId="3"/>
  </si>
  <si>
    <t>Code for alert_mtrx.h</t>
    <phoneticPr fontId="3"/>
  </si>
  <si>
    <t>INDEX</t>
    <phoneticPr fontId="3"/>
  </si>
  <si>
    <t>Rev.</t>
    <phoneticPr fontId="3"/>
  </si>
  <si>
    <t>テンプレート変更内容</t>
    <rPh sb="6" eb="8">
      <t>ヘンコウ</t>
    </rPh>
    <rPh sb="8" eb="10">
      <t>ナイヨウ</t>
    </rPh>
    <phoneticPr fontId="3"/>
  </si>
  <si>
    <t>Rev.</t>
    <phoneticPr fontId="3"/>
  </si>
  <si>
    <t>CH名称中間データ</t>
    <rPh sb="2" eb="4">
      <t>メイショウ</t>
    </rPh>
    <rPh sb="4" eb="6">
      <t>チュウカン</t>
    </rPh>
    <phoneticPr fontId="3"/>
  </si>
  <si>
    <t>ALERT_MTRX_NAME</t>
    <phoneticPr fontId="3"/>
  </si>
  <si>
    <t>変更者</t>
    <rPh sb="0" eb="2">
      <t>ヘンコウ</t>
    </rPh>
    <rPh sb="2" eb="3">
      <t>シャ</t>
    </rPh>
    <phoneticPr fontId="3"/>
  </si>
  <si>
    <t>岩田</t>
    <rPh sb="0" eb="2">
      <t>イワタ</t>
    </rPh>
    <phoneticPr fontId="3"/>
  </si>
  <si>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3"/>
  </si>
  <si>
    <t>ROW</t>
    <phoneticPr fontId="3"/>
  </si>
  <si>
    <t>MSE佐野</t>
    <rPh sb="3" eb="5">
      <t>サノ</t>
    </rPh>
    <phoneticPr fontId="3"/>
  </si>
  <si>
    <t>[表紙]
バージョン表示用の数式修正</t>
    <rPh sb="1" eb="3">
      <t>ヒョウシ</t>
    </rPh>
    <rPh sb="10" eb="12">
      <t>ヒョウジ</t>
    </rPh>
    <rPh sb="12" eb="13">
      <t>ヨウ</t>
    </rPh>
    <rPh sb="14" eb="16">
      <t>スウシキ</t>
    </rPh>
    <rPh sb="16" eb="18">
      <t>シュウセイ</t>
    </rPh>
    <phoneticPr fontId="3"/>
  </si>
  <si>
    <t>岩田</t>
    <rPh sb="0" eb="2">
      <t>イワタ</t>
    </rPh>
    <phoneticPr fontId="3"/>
  </si>
  <si>
    <t>Matrix名</t>
    <rPh sb="6" eb="7">
      <t>メイ</t>
    </rPh>
    <phoneticPr fontId="3"/>
  </si>
  <si>
    <t>シート名称は、CH Nameと同じにすること。 1CHしか存在しない場合、機能名と同じにすること。</t>
    <phoneticPr fontId="3"/>
  </si>
  <si>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3"/>
  </si>
  <si>
    <t>電源状態一覧</t>
    <rPh sb="0" eb="2">
      <t>デンゲン</t>
    </rPh>
    <rPh sb="2" eb="4">
      <t>ジョウタイ</t>
    </rPh>
    <rPh sb="4" eb="6">
      <t>イチラン</t>
    </rPh>
    <phoneticPr fontId="3"/>
  </si>
  <si>
    <t>＋B</t>
    <phoneticPr fontId="3"/>
  </si>
  <si>
    <t>IG-ON</t>
    <phoneticPr fontId="3"/>
  </si>
  <si>
    <t>IG-OFF</t>
    <phoneticPr fontId="3"/>
  </si>
  <si>
    <t>ACC-ON</t>
    <phoneticPr fontId="3"/>
  </si>
  <si>
    <t>ACC-OFF</t>
    <phoneticPr fontId="3"/>
  </si>
  <si>
    <t>出力なしは、ここでは定義しないこと。システム共通のALERT_REQ_UNKNOWNを使用するため。</t>
    <phoneticPr fontId="3"/>
  </si>
  <si>
    <t>MSE平出</t>
    <rPh sb="3" eb="5">
      <t>ヒライデ</t>
    </rPh>
    <phoneticPr fontId="3"/>
  </si>
  <si>
    <t>MSE鈴木大</t>
    <rPh sb="3" eb="5">
      <t>スズキ</t>
    </rPh>
    <rPh sb="5" eb="6">
      <t>ダイ</t>
    </rPh>
    <phoneticPr fontId="3"/>
  </si>
  <si>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3"/>
  </si>
  <si>
    <t>UNKNOWN</t>
    <phoneticPr fontId="3"/>
  </si>
  <si>
    <t>MSE平出</t>
    <rPh sb="3" eb="5">
      <t>ヒライデ</t>
    </rPh>
    <phoneticPr fontId="3"/>
  </si>
  <si>
    <t>[CH_Design]
・StatusでUNKNOWNを指定できるようにダミー行を追加</t>
    <rPh sb="28" eb="30">
      <t>シテイ</t>
    </rPh>
    <rPh sb="39" eb="40">
      <t>ギョウ</t>
    </rPh>
    <rPh sb="41" eb="43">
      <t>ツイカ</t>
    </rPh>
    <phoneticPr fontId="3"/>
  </si>
  <si>
    <t>岩田</t>
    <rPh sb="0" eb="2">
      <t>イワタ</t>
    </rPh>
    <phoneticPr fontId="3"/>
  </si>
  <si>
    <t>[AIRBAG]　テーブル作成シート
・DST数に接尾語"U"を追加</t>
    <rPh sb="13" eb="15">
      <t>サクセイ</t>
    </rPh>
    <rPh sb="23" eb="24">
      <t>スウ</t>
    </rPh>
    <rPh sb="25" eb="28">
      <t>セツビゴ</t>
    </rPh>
    <rPh sb="32" eb="34">
      <t>ツイカ</t>
    </rPh>
    <phoneticPr fontId="3"/>
  </si>
  <si>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3"/>
  </si>
  <si>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3"/>
  </si>
  <si>
    <t>岩田</t>
    <rPh sb="0" eb="2">
      <t>イワタ</t>
    </rPh>
    <phoneticPr fontId="3"/>
  </si>
  <si>
    <t>[AIRBAG]　テーブル作成シート
・VOM CHKにIG OFF Bit追加</t>
    <rPh sb="38" eb="40">
      <t>ツイカ</t>
    </rPh>
    <phoneticPr fontId="3"/>
  </si>
  <si>
    <t>MSE内藤</t>
    <rPh sb="3" eb="5">
      <t>ナイトウ</t>
    </rPh>
    <phoneticPr fontId="3"/>
  </si>
  <si>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3"/>
  </si>
  <si>
    <t>ロケーション</t>
    <phoneticPr fontId="3"/>
  </si>
  <si>
    <t>岩田</t>
    <rPh sb="0" eb="2">
      <t>イワタ</t>
    </rPh>
    <phoneticPr fontId="3"/>
  </si>
  <si>
    <t>定義名</t>
    <rPh sb="0" eb="2">
      <t>テイギ</t>
    </rPh>
    <rPh sb="2" eb="3">
      <t>メイ</t>
    </rPh>
    <phoneticPr fontId="3"/>
  </si>
  <si>
    <t>ユーザ入力セル</t>
    <rPh sb="3" eb="5">
      <t>ニュウリョク</t>
    </rPh>
    <phoneticPr fontId="3"/>
  </si>
  <si>
    <t>自動計算セル</t>
    <rPh sb="0" eb="2">
      <t>ジドウ</t>
    </rPh>
    <rPh sb="2" eb="4">
      <t>ケイサン</t>
    </rPh>
    <phoneticPr fontId="3"/>
  </si>
  <si>
    <t>ALERT_VOM_IGN_OFF</t>
  </si>
  <si>
    <t>ALERT_VOM_IGN_OFF_WT</t>
  </si>
  <si>
    <t>REQ</t>
    <phoneticPr fontId="3"/>
  </si>
  <si>
    <t>Table Type</t>
    <phoneticPr fontId="3"/>
  </si>
  <si>
    <t>ALERT_VOM_BAT_AO</t>
    <phoneticPr fontId="3"/>
  </si>
  <si>
    <t>ALERT_VOM_BAT_WT</t>
    <phoneticPr fontId="3"/>
  </si>
  <si>
    <t>TT</t>
    <phoneticPr fontId="3"/>
  </si>
  <si>
    <t>BC</t>
    <phoneticPr fontId="3"/>
  </si>
  <si>
    <t>なし</t>
  </si>
  <si>
    <t>-</t>
    <phoneticPr fontId="3"/>
  </si>
  <si>
    <t>SINGLE</t>
    <phoneticPr fontId="3"/>
  </si>
  <si>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</si>
  <si>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3"/>
  </si>
  <si>
    <t>１．本書の目的</t>
    <rPh sb="2" eb="4">
      <t>ホンショ</t>
    </rPh>
    <rPh sb="5" eb="7">
      <t>モクテキ</t>
    </rPh>
    <phoneticPr fontId="3"/>
  </si>
  <si>
    <t>２．上位文書</t>
    <rPh sb="2" eb="4">
      <t>ジョウイ</t>
    </rPh>
    <rPh sb="4" eb="6">
      <t>ブンショ</t>
    </rPh>
    <phoneticPr fontId="3"/>
  </si>
  <si>
    <t>３．用語の説明</t>
    <rPh sb="2" eb="4">
      <t>ヨウゴ</t>
    </rPh>
    <rPh sb="5" eb="7">
      <t>セツメイ</t>
    </rPh>
    <phoneticPr fontId="3"/>
  </si>
  <si>
    <t>#</t>
    <phoneticPr fontId="3"/>
  </si>
  <si>
    <t>用語</t>
    <rPh sb="0" eb="2">
      <t>ヨウゴ</t>
    </rPh>
    <phoneticPr fontId="3"/>
  </si>
  <si>
    <t>説明</t>
    <rPh sb="0" eb="2">
      <t>セツメイ</t>
    </rPh>
    <phoneticPr fontId="3"/>
  </si>
  <si>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</si>
  <si>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</si>
  <si>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</si>
  <si>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</si>
  <si>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3"/>
  </si>
  <si>
    <t>path</t>
    <phoneticPr fontId="3"/>
  </si>
  <si>
    <t>Alert設計資料</t>
    <rPh sb="5" eb="7">
      <t>セッケイ</t>
    </rPh>
    <rPh sb="7" eb="9">
      <t>シリョウ</t>
    </rPh>
    <phoneticPr fontId="3"/>
  </si>
  <si>
    <t>４．各シートの説明</t>
    <rPh sb="2" eb="3">
      <t>カク</t>
    </rPh>
    <rPh sb="7" eb="9">
      <t>セツメイ</t>
    </rPh>
    <phoneticPr fontId="3"/>
  </si>
  <si>
    <t>Matrix</t>
    <phoneticPr fontId="3"/>
  </si>
  <si>
    <t>Reference</t>
    <phoneticPr fontId="3"/>
  </si>
  <si>
    <t>History</t>
    <phoneticPr fontId="3"/>
  </si>
  <si>
    <t>Alert Config Tool</t>
    <phoneticPr fontId="3"/>
  </si>
  <si>
    <t>TMC Specと本設計書のトレースをデータベース管理するTool。</t>
    <rPh sb="9" eb="10">
      <t>ホン</t>
    </rPh>
    <rPh sb="10" eb="12">
      <t>セッケイ</t>
    </rPh>
    <rPh sb="12" eb="13">
      <t>ショ</t>
    </rPh>
    <rPh sb="25" eb="27">
      <t>カンリ</t>
    </rPh>
    <phoneticPr fontId="3"/>
  </si>
  <si>
    <t>CH</t>
    <phoneticPr fontId="3"/>
  </si>
  <si>
    <t>TT/BC</t>
    <phoneticPr fontId="3"/>
  </si>
  <si>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3"/>
  </si>
  <si>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3"/>
  </si>
  <si>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3"/>
  </si>
  <si>
    <t>テンプレート変更履歴</t>
    <rPh sb="6" eb="8">
      <t>ヘンコウ</t>
    </rPh>
    <rPh sb="8" eb="10">
      <t>リレキ</t>
    </rPh>
    <phoneticPr fontId="3"/>
  </si>
  <si>
    <t>VOM</t>
    <phoneticPr fontId="3"/>
  </si>
  <si>
    <t>REQ</t>
    <phoneticPr fontId="3"/>
  </si>
  <si>
    <t>鈴木大</t>
    <rPh sb="0" eb="2">
      <t>スズキ</t>
    </rPh>
    <rPh sb="2" eb="3">
      <t>ダイ</t>
    </rPh>
    <phoneticPr fontId="3"/>
  </si>
  <si>
    <t>[reserved]</t>
    <phoneticPr fontId="3"/>
  </si>
  <si>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3"/>
  </si>
  <si>
    <t>入力</t>
    <phoneticPr fontId="3"/>
  </si>
  <si>
    <t>RWT_EN</t>
    <phoneticPr fontId="3"/>
  </si>
  <si>
    <t>VCS_ON</t>
    <phoneticPr fontId="3"/>
  </si>
  <si>
    <t>IGN_ON</t>
    <phoneticPr fontId="3"/>
  </si>
  <si>
    <t>IGN_OFF_WT</t>
    <phoneticPr fontId="3"/>
  </si>
  <si>
    <t>IGN_OFF</t>
    <phoneticPr fontId="3"/>
  </si>
  <si>
    <t>BAT_WT</t>
    <phoneticPr fontId="3"/>
  </si>
  <si>
    <t>BAT_AO</t>
    <phoneticPr fontId="3"/>
  </si>
  <si>
    <t>*</t>
  </si>
  <si>
    <t>0b/
1b</t>
    <phoneticPr fontId="3"/>
  </si>
  <si>
    <t>PD</t>
    <phoneticPr fontId="3"/>
  </si>
  <si>
    <t>**b</t>
  </si>
  <si>
    <t>－</t>
  </si>
  <si>
    <t>５．入力セルの凡例</t>
    <rPh sb="2" eb="4">
      <t>ニュウリョク</t>
    </rPh>
    <rPh sb="7" eb="9">
      <t>ハンレイ</t>
    </rPh>
    <phoneticPr fontId="3"/>
  </si>
  <si>
    <t>なし</t>
    <phoneticPr fontId="3"/>
  </si>
  <si>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3"/>
  </si>
  <si>
    <t>Config_IF</t>
    <phoneticPr fontId="3"/>
  </si>
  <si>
    <t>Vehicle Operation Mode</t>
    <phoneticPr fontId="3"/>
  </si>
  <si>
    <t>[Matrix]
・数式不備を修正</t>
    <rPh sb="10" eb="12">
      <t>スウシキ</t>
    </rPh>
    <rPh sb="12" eb="14">
      <t>フビ</t>
    </rPh>
    <rPh sb="15" eb="17">
      <t>シュウセイ</t>
    </rPh>
    <phoneticPr fontId="3"/>
  </si>
  <si>
    <t>CH_Design</t>
    <phoneticPr fontId="3"/>
  </si>
  <si>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3"/>
  </si>
  <si>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3"/>
  </si>
  <si>
    <t>Gitリポジトリ</t>
    <phoneticPr fontId="3"/>
  </si>
  <si>
    <t>[表紙]
Gitリポジトリを以下に更新
https://aip01.dndev.net/bitbucket/scm/aip_tp/tmcapp_ict1_alert.git</t>
    <rPh sb="1" eb="3">
      <t>ヒョウシ</t>
    </rPh>
    <rPh sb="14" eb="16">
      <t>イカ</t>
    </rPh>
    <rPh sb="17" eb="19">
      <t>コウシン</t>
    </rPh>
    <phoneticPr fontId="3"/>
  </si>
  <si>
    <t>Return</t>
    <phoneticPr fontId="3"/>
  </si>
  <si>
    <t>Type</t>
    <phoneticPr fontId="3"/>
  </si>
  <si>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3"/>
  </si>
  <si>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3"/>
  </si>
  <si>
    <t>define Name</t>
    <phoneticPr fontId="3"/>
  </si>
  <si>
    <t>comment</t>
    <phoneticPr fontId="3"/>
  </si>
  <si>
    <t>comment</t>
    <phoneticPr fontId="3"/>
  </si>
  <si>
    <t>define</t>
    <phoneticPr fontId="3"/>
  </si>
  <si>
    <t>Value</t>
    <phoneticPr fontId="3"/>
  </si>
  <si>
    <t>calss</t>
    <phoneticPr fontId="3"/>
  </si>
  <si>
    <t>class</t>
    <phoneticPr fontId="3"/>
  </si>
  <si>
    <t>define</t>
    <phoneticPr fontId="3"/>
  </si>
  <si>
    <t>MSE平出</t>
    <rPh sb="3" eb="5">
      <t>ヒライデ</t>
    </rPh>
    <phoneticPr fontId="3"/>
  </si>
  <si>
    <t>Constant Externs List</t>
    <phoneticPr fontId="3"/>
  </si>
  <si>
    <t>Config Function Name</t>
    <phoneticPr fontId="3"/>
  </si>
  <si>
    <t>Other Domain Define</t>
    <phoneticPr fontId="3"/>
  </si>
  <si>
    <t>Alert Domain Define</t>
    <phoneticPr fontId="3"/>
  </si>
  <si>
    <t>Alert Config IF List</t>
    <phoneticPr fontId="3"/>
  </si>
  <si>
    <t>Constant define</t>
    <phoneticPr fontId="3"/>
  </si>
  <si>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3"/>
  </si>
  <si>
    <t>文字数</t>
    <rPh sb="0" eb="3">
      <t>モジスウ</t>
    </rPh>
    <phoneticPr fontId="3"/>
  </si>
  <si>
    <t>MSE社本</t>
    <rPh sb="3" eb="5">
      <t>シャモト</t>
    </rPh>
    <phoneticPr fontId="3"/>
  </si>
  <si>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3"/>
  </si>
  <si>
    <t>[reserved]</t>
    <phoneticPr fontId="3"/>
  </si>
  <si>
    <t>MSE社本</t>
    <rPh sb="3" eb="5">
      <t>シャモト</t>
    </rPh>
    <phoneticPr fontId="3"/>
  </si>
  <si>
    <t>[TT][BC]
・SearchTable/IndexTableを自動選択できるように数式を追加(B3セル)</t>
    <rPh sb="33" eb="35">
      <t>ジドウ</t>
    </rPh>
    <rPh sb="35" eb="37">
      <t>センタク</t>
    </rPh>
    <rPh sb="43" eb="45">
      <t>スウシキ</t>
    </rPh>
    <rPh sb="46" eb="48">
      <t>ツイカ</t>
    </rPh>
    <phoneticPr fontId="3"/>
  </si>
  <si>
    <t>5.5.0</t>
  </si>
  <si>
    <t>NULL</t>
  </si>
  <si>
    <t>CYCLE</t>
  </si>
  <si>
    <t>Index</t>
  </si>
  <si>
    <t>IGR</t>
  </si>
  <si>
    <t>ALERT_VOM_IGN_ON</t>
    <phoneticPr fontId="3"/>
  </si>
  <si>
    <t>IG-ON + 通常 + 正常</t>
    <phoneticPr fontId="3"/>
  </si>
  <si>
    <t>IG-ON + 通常 + ドライバモニタ警告レベル1</t>
    <phoneticPr fontId="3"/>
  </si>
  <si>
    <t>単発</t>
    <rPh sb="0" eb="2">
      <t>タンパツ</t>
    </rPh>
    <phoneticPr fontId="3"/>
  </si>
  <si>
    <t>IG-ON + 通常 + ドライバモニタ警告レベル2</t>
    <phoneticPr fontId="3"/>
  </si>
  <si>
    <t>CYCLE</t>
    <phoneticPr fontId="3"/>
  </si>
  <si>
    <t>断続</t>
    <rPh sb="0" eb="2">
      <t>ダンゾク</t>
    </rPh>
    <phoneticPr fontId="3"/>
  </si>
  <si>
    <t>IG-ON + 未受信 + *</t>
  </si>
  <si>
    <t>IG-ON + 通信途絶 + *</t>
  </si>
  <si>
    <t>IG-ON + 未受信通信途絶 + *</t>
  </si>
  <si>
    <t>IG-OFF + * + *</t>
  </si>
  <si>
    <t>長島</t>
    <rPh sb="0" eb="2">
      <t>ナガシマ</t>
    </rPh>
    <phoneticPr fontId="3"/>
  </si>
  <si>
    <t>新規作成(流用元：alert_S_DMC-CSTD-0-00-A-C0.xlsx　050D シス検)
032D　CV対応
[Matrix]シート
　・ロケーションを032D　CV向けに変更
　・PD_DGのRWを○に変更
[CH_Design]シート
　・PD_DGのMALFUNCのRWをDMCWに変更
[Reference]シート
　・S_DMC_PD_DG判定　真理値表
　　　RWありに変更し、キャプチャとコメントを追記</t>
    <rPh sb="109" eb="111">
      <t>ヘンコウ</t>
    </rPh>
    <rPh sb="151" eb="153">
      <t>ヘンコウ</t>
    </rPh>
    <rPh sb="185" eb="189">
      <t>シンリチヒョウ</t>
    </rPh>
    <rPh sb="198" eb="200">
      <t>ヘンコウ</t>
    </rPh>
    <rPh sb="213" eb="215">
      <t>ツイキ</t>
    </rPh>
    <phoneticPr fontId="3"/>
  </si>
  <si>
    <t>伊藤</t>
    <rPh sb="0" eb="2">
      <t>イトウ</t>
    </rPh>
    <phoneticPr fontId="3"/>
  </si>
  <si>
    <t>1.0.1</t>
    <phoneticPr fontId="3"/>
  </si>
  <si>
    <t>BC変更対応
[CH_Design]シート
・BCの内容を変更
 S_DMC-CSTD-0-BZR01-REQ01 ⇒ SI_800_0P9_D50
 S_DMC-CSTD-0-BZR01-REQ03 ⇒ IN_1600_0P4_D50</t>
    <rPh sb="2" eb="4">
      <t>ヘンコウ</t>
    </rPh>
    <rPh sb="4" eb="6">
      <t>タイオウ</t>
    </rPh>
    <rPh sb="26" eb="28">
      <t>ナイヨウ</t>
    </rPh>
    <rPh sb="29" eb="31">
      <t>ヘンコウ</t>
    </rPh>
    <phoneticPr fontId="3"/>
  </si>
  <si>
    <t>1.1.0</t>
    <phoneticPr fontId="3"/>
  </si>
  <si>
    <t>大島</t>
    <rPh sb="0" eb="2">
      <t>オオシマ</t>
    </rPh>
    <phoneticPr fontId="3"/>
  </si>
  <si>
    <t>032D　CV-R対応
[Matrix]シート
・対象仕様書を変更
・ロケーションを変更
[CH_Design]シート
・BCのSINGLEの要求IDを変更
　S_DMC-CSTD-0-BZR01-REQ01- → S_DMC-CSTD-0-BZR01-REQ05-
・BCのCYCLE2をDOUBLEに変更し、要求IDを変更
　S_DMC-CSTD-0-BZR01-REQ03- → S_DMC-CSTD-0-BZR01-REQ06-
・PDの要求IDの割り当てを変更
　S_DMC-CSTD-0-MEF01-REQ07-　→　S_DMC-CSTD-0-MEF01-REQ12-
　S_DMC-CSTD-0-MEF01-REQ08-　→　S_DMC-CSTD-0-MEF01-REQ13-
　S_DMC-CSTD-0-MEF01-REQ09-　→　S_DMC-CSTD-0-MEF01-REQ14-
　S_DMC-CSTD-0-MEF01-REQ10-　→　S_DMC-CSTD-0-MEF01-REQ15-
　S_DMC-CSTD-0-MEF01-REQ11-　→　S_DMC-CSTD-0-MEF01-REQ16-
[Reference]シート
・各キャプチャ画像を変更
・BC判定の真理値表のREQと振る舞いを変更
　REQ：CYCLE2　→　DOUBLE
　振る舞い：断続2　→　2連発
・S_DMC_PD_WRQ判定の真理値表の振る舞いを変更
　REQ07　→　REQ12
　REQ08　→　REQ13
　REQ09　→　REQ14
　REQ10　→　REQ15
　REQ11　→　REQ16</t>
    <rPh sb="25" eb="27">
      <t>タイショウ</t>
    </rPh>
    <rPh sb="27" eb="30">
      <t>シヨウショ</t>
    </rPh>
    <rPh sb="31" eb="33">
      <t>ヘンコウ</t>
    </rPh>
    <rPh sb="71" eb="73">
      <t>ヨウキュウ</t>
    </rPh>
    <rPh sb="76" eb="78">
      <t>ヘンコウ</t>
    </rPh>
    <rPh sb="156" eb="158">
      <t>ヨウキュウ</t>
    </rPh>
    <rPh sb="161" eb="163">
      <t>ヘンコウ</t>
    </rPh>
    <rPh sb="223" eb="225">
      <t>ヨウキュウ</t>
    </rPh>
    <rPh sb="228" eb="229">
      <t>ワ</t>
    </rPh>
    <rPh sb="230" eb="231">
      <t>ア</t>
    </rPh>
    <rPh sb="233" eb="235">
      <t>ヘンコウ</t>
    </rPh>
    <rPh sb="542" eb="544">
      <t>ハンテイ</t>
    </rPh>
    <rPh sb="545" eb="549">
      <t>シンリチヒョウ</t>
    </rPh>
    <rPh sb="584" eb="585">
      <t>フ</t>
    </rPh>
    <rPh sb="586" eb="587">
      <t>マ</t>
    </rPh>
    <rPh sb="589" eb="591">
      <t>ダンゾク</t>
    </rPh>
    <rPh sb="596" eb="598">
      <t>レンパツ</t>
    </rPh>
    <rPh sb="615" eb="619">
      <t>シンリチヒョウ</t>
    </rPh>
    <phoneticPr fontId="3"/>
  </si>
  <si>
    <t>MSE小澤</t>
    <rPh sb="3" eb="5">
      <t>オザワ</t>
    </rPh>
    <phoneticPr fontId="3"/>
  </si>
  <si>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3"/>
  </si>
  <si>
    <t>https://aip01.dndev.net/svn/aip/tmcapp/sd/evidence/trunk/02_Design/01_Vom/Alert/03_Component/alert_design.pptx</t>
  </si>
  <si>
    <t xml:space="preserve">    {</t>
  </si>
  <si>
    <t xml:space="preserve">    }</t>
  </si>
  <si>
    <t>};</t>
  </si>
  <si>
    <t>1.2.0</t>
    <phoneticPr fontId="3"/>
  </si>
  <si>
    <t>https://aip01.dndev.net/bitbucket/scm/aip_tp/050d_met.git</t>
    <phoneticPr fontId="3"/>
  </si>
  <si>
    <t>中西</t>
    <rPh sb="0" eb="2">
      <t>ナカニシ</t>
    </rPh>
    <phoneticPr fontId="3"/>
  </si>
  <si>
    <t>050D 量確対応
[Matrix]シート
・対象仕様書を変更
・ロケーションを変更
[CH_Desighn]シート
・PDの要求IDの割り当てを変更
　S_DMC-CSTD-0-MEF01-REQ4→S_DMC-CSTD-0-MEF01-REQ17-
　S_DMC-CSTD-0-MEF01-REQ16→S_DMC-CSTD-0-MEF01-REQ18-
[Reference]シート
・各キャプチャ画像を変更
・S_DMC_PD_UNDETF判定の振る舞いを変更
　　S_DMC-CSTD-0-MEF01-REQ04-→S_DMC-CSTD-0-MEF01-REQ17-
・S_DMC_PD_WRQ判定の振る舞いを変更
　　S_DMC-CSTD-0-MEF01-REQ16→S_DMC-CSTD-0-MEF01-REQ18-</t>
    <phoneticPr fontId="3"/>
  </si>
  <si>
    <t>DMCBZRQ_SIG</t>
  </si>
  <si>
    <t>ADU1S07_STS</t>
  </si>
  <si>
    <t>ADU1S07</t>
  </si>
  <si>
    <t>IG-ON + 通常 + 未定</t>
  </si>
  <si>
    <t>-/
単発/
断続/</t>
  </si>
  <si>
    <t>UNKNOWN/
SINGLE/
CYCLE/</t>
  </si>
  <si>
    <t>通常(00b)/
未受信(01b)/
通信途絶(10b)/
未受信通信途絶(11b)</t>
  </si>
  <si>
    <t>正常(00b)/
ドライバモニタ警告レベル1(01b)/
ドライバモニタ警告レベル2(10b)/
未定（上記以外）</t>
  </si>
  <si>
    <t>1.3.0</t>
  </si>
  <si>
    <t>19PFv3 CV事前対応
[Matrix]シート
・対象仕様書を変更
・ロケーションを変更
・CH変更
[CH_Design]シート
・BZRの要求1件削除
・TTの要求3件追加
・MIDの要求：10件削除、15件追加
[Reference]シート
・各キャプチャ画像を変更
・TT、BZR、MIDの全体の真テーブル対応</t>
  </si>
  <si>
    <t>DTPH Glen</t>
  </si>
  <si>
    <t>1.4.0</t>
  </si>
  <si>
    <t>19PFv3 CV対応
[CH_Design]シート
・TTの要求1件削除
[Reference]シート
・各キャプチャ画像を変更
・TT、BZR、MIDの全体の真テーブル対応</t>
  </si>
  <si>
    <t>1.5.0</t>
    <phoneticPr fontId="3"/>
  </si>
  <si>
    <t>KSE八木春樹</t>
    <rPh sb="3" eb="7">
      <t>ヤギハルキ</t>
    </rPh>
    <phoneticPr fontId="2"/>
  </si>
  <si>
    <t xml:space="preserve">BEV シス検#2(流用元：alert_S_DMC-CSTD-1-01-A-C0.c)
[Matrix]シート
CH削除
[CH_Design]シート
CH削除
[PD]シート
CH削除に伴い、シート削除
[TT]シート
CH削除に伴い、シート削除
[Reference]シート
CH削除に伴い、真理値表の修正
</t>
    <rPh sb="6" eb="7">
      <t>ケン</t>
    </rPh>
    <rPh sb="52" eb="54">
      <t>ツイカ</t>
    </rPh>
    <rPh sb="58" eb="60">
      <t>サクジョ</t>
    </rPh>
    <rPh sb="101" eb="103">
      <t>サクジョ</t>
    </rPh>
    <rPh sb="135" eb="139">
      <t>シンリチヒョウ</t>
    </rPh>
    <rPh sb="139" eb="141">
      <t>ツイカ</t>
    </rPh>
    <rPh sb="144" eb="146">
      <t>サクジョ</t>
    </rPh>
    <rPh sb="147" eb="148">
      <t>トモナ</t>
    </rPh>
    <phoneticPr fontId="2"/>
  </si>
  <si>
    <t>MET-S_ADBZR-CSTD-0-06-A-C0.xlsx</t>
    <phoneticPr fontId="3"/>
  </si>
  <si>
    <t>https://svn.geniie.net/bevs3/bevs3cdc/仕様書/MET/#1/tags/00.Product/v1.19/制御仕様</t>
    <phoneticPr fontId="3"/>
  </si>
  <si>
    <t>S_ADBZR-CSTD-0-BZR01-REQ070-</t>
  </si>
  <si>
    <t>S_ADBZR-CSTD-0-BZR01-REQ071-</t>
  </si>
  <si>
    <t>ALERT_CH_S_ADBZR_DMC</t>
  </si>
  <si>
    <t>BEVシス検ADAS
BEV3CDMET-2019_S_ADBZR対応 (S_DMC分)
△1 DMCの要求ID、仕様署名の更新(DMC→S_ADBZR_DMC)
[Matrix]シート
CH名変更
[CH_Design]シート
CH名変更に従い、要求ID、REQIDの変更
[S_ADBZR_DMC]シート
シート名はS_DMC→S_ADBZR_DMCに変更
[Reference]シート
CH名</t>
    <phoneticPr fontId="2"/>
  </si>
  <si>
    <t>5.6.0</t>
    <phoneticPr fontId="3"/>
  </si>
  <si>
    <t>DTPH Eunice</t>
    <phoneticPr fontId="2"/>
  </si>
  <si>
    <t>△1</t>
    <phoneticPr fontId="3"/>
  </si>
  <si>
    <t>(株)デンソー</t>
  </si>
  <si>
    <t>承認</t>
    <rPh sb="0" eb="2">
      <t>ショウニン</t>
    </rPh>
    <phoneticPr fontId="3"/>
  </si>
  <si>
    <t>検討</t>
    <rPh sb="0" eb="2">
      <t>ケントウ</t>
    </rPh>
    <phoneticPr fontId="3"/>
  </si>
  <si>
    <t>作成</t>
    <rPh sb="0" eb="2">
      <t>サクセイ</t>
    </rPh>
    <phoneticPr fontId="3"/>
  </si>
  <si>
    <t>&lt;DN確認印&gt;</t>
    <rPh sb="3" eb="6">
      <t>カクニンイン</t>
    </rPh>
    <rPh sb="6" eb="7">
      <t>ケンイン</t>
    </rPh>
    <phoneticPr fontId="3"/>
  </si>
  <si>
    <t>&lt;DN検討印&gt;</t>
    <rPh sb="3" eb="5">
      <t>ケントウ</t>
    </rPh>
    <rPh sb="5" eb="6">
      <t>イン</t>
    </rPh>
    <phoneticPr fontId="3"/>
  </si>
  <si>
    <t>&lt;OS作成印&gt;</t>
    <rPh sb="3" eb="5">
      <t>サクセイ</t>
    </rPh>
    <rPh sb="5" eb="6">
      <t>イン</t>
    </rPh>
    <phoneticPr fontId="3"/>
  </si>
  <si>
    <t>デンソーテクノ(株)</t>
  </si>
  <si>
    <t>&lt;DT確認印&gt;</t>
    <rPh sb="3" eb="6">
      <t>カクニンイン</t>
    </rPh>
    <rPh sb="6" eb="7">
      <t>ケンイン</t>
    </rPh>
    <phoneticPr fontId="3"/>
  </si>
  <si>
    <t>&lt;DT検討印&gt;</t>
    <rPh sb="3" eb="5">
      <t>ケントウ</t>
    </rPh>
    <rPh sb="5" eb="6">
      <t>イン</t>
    </rPh>
    <phoneticPr fontId="3"/>
  </si>
  <si>
    <t>DENSO TECHNO PHIL. INC</t>
  </si>
  <si>
    <t>&lt;OS確認印&gt;</t>
    <rPh sb="3" eb="6">
      <t>カクニンイン</t>
    </rPh>
    <rPh sb="6" eb="7">
      <t>ケンイン</t>
    </rPh>
    <phoneticPr fontId="3"/>
  </si>
  <si>
    <t>&lt;OS検討印&gt;</t>
    <rPh sb="3" eb="5">
      <t>ケントウ</t>
    </rPh>
    <rPh sb="5" eb="6">
      <t>イン</t>
    </rPh>
    <phoneticPr fontId="3"/>
  </si>
  <si>
    <t xml:space="preserve"> </t>
    <phoneticPr fontId="3"/>
  </si>
  <si>
    <r>
      <rPr>
        <b/>
        <sz val="12"/>
        <color rgb="FFFF0000"/>
        <rFont val="ＭＳ Ｐゴシック"/>
        <family val="3"/>
        <charset val="128"/>
        <scheme val="minor"/>
      </rPr>
      <t>S_ADBZR_DMC</t>
    </r>
    <r>
      <rPr>
        <b/>
        <sz val="12"/>
        <color theme="1"/>
        <rFont val="ＭＳ Ｐゴシック"/>
        <family val="3"/>
        <charset val="128"/>
        <scheme val="minor"/>
      </rPr>
      <t>判定</t>
    </r>
    <phoneticPr fontId="3"/>
  </si>
  <si>
    <t>1.5.1</t>
    <phoneticPr fontId="3"/>
  </si>
  <si>
    <t>承認欄 [DT]</t>
    <phoneticPr fontId="3"/>
  </si>
  <si>
    <t>DTPH Eunice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</si>
</sst>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9">
    <font>
      <sz val="11"/>
      <color theme="1"/>
      <name val="ＭＳ Ｐゴシック"/>
      <family val="2"/>
      <charset val="128"/>
      <scheme val="minor"/>
    </font>
    <font>
      <sz val="11"/>
      <color theme="1"/>
      <name val="ＭＳ Ｐゴシック"/>
      <family val="2"/>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b/>
      <sz val="11"/>
      <color rgb="FFFF0000"/>
      <name val="ＭＳ Ｐゴシック"/>
      <family val="2"/>
      <scheme val="minor"/>
    </font>
    <font>
      <sz val="11"/>
      <color theme="1"/>
      <name val="ＭＳ Ｐゴシック"/>
      <family val="2"/>
      <charset val="128"/>
      <scheme val="minor"/>
    </font>
    <font>
      <b/>
      <sz val="10"/>
      <color rgb="FFFF0000"/>
      <name val="ＭＳ Ｐゴシック"/>
      <family val="3"/>
      <charset val="128"/>
      <scheme val="minor"/>
    </font>
    <font>
      <b/>
      <u/>
      <sz val="12"/>
      <color theme="1"/>
      <name val="ＭＳ Ｐゴシック"/>
      <family val="3"/>
      <charset val="128"/>
      <scheme val="minor"/>
    </font>
    <font>
      <sz val="6"/>
      <color theme="0" tint="-0.499984740745262"/>
      <name val="ＭＳ Ｐゴシック"/>
      <family val="2"/>
      <charset val="128"/>
      <scheme val="minor"/>
    </font>
    <font>
      <sz val="6"/>
      <color theme="0" tint="-0.499984740745262"/>
      <name val="ＭＳ Ｐゴシック"/>
      <family val="3"/>
      <charset val="128"/>
      <scheme val="minor"/>
    </font>
    <font>
      <b/>
      <sz val="12"/>
      <color rgb="FFFF0000"/>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59999389629810485"/>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s>
  <cellStyleXfs count="7">
    <xf numFmtId="0" fontId="0" fillId="0" borderId="0">
      <alignment vertical="center"/>
    </xf>
    <xf numFmtId="0" fontId="4" fillId="0" borderId="0" applyNumberFormat="0" applyFill="0" applyBorder="0" applyAlignment="0" applyProtection="0">
      <alignment vertical="center"/>
    </xf>
    <xf numFmtId="0" fontId="23" fillId="0" borderId="0">
      <alignment vertical="center"/>
    </xf>
    <xf numFmtId="0" fontId="10" fillId="0" borderId="0"/>
    <xf numFmtId="0" fontId="23" fillId="0" borderId="0">
      <alignment vertical="center"/>
    </xf>
    <xf numFmtId="0" fontId="23" fillId="0" borderId="0">
      <alignment vertical="center"/>
    </xf>
    <xf numFmtId="0" fontId="1" fillId="0" borderId="0"/>
  </cellStyleXfs>
  <cellXfs count="30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2" fillId="2" borderId="0" xfId="0" applyFont="1" applyFill="1">
      <alignment vertical="center"/>
    </xf>
    <xf numFmtId="0" fontId="0" fillId="0" borderId="11" xfId="0" applyBorder="1" applyAlignment="1"/>
    <xf numFmtId="0" fontId="0" fillId="0" borderId="12" xfId="0" applyBorder="1" applyAlignment="1"/>
    <xf numFmtId="0" fontId="2" fillId="0" borderId="0" xfId="0" applyFont="1">
      <alignment vertical="center"/>
    </xf>
    <xf numFmtId="0" fontId="5" fillId="2" borderId="0" xfId="0" applyFont="1" applyFill="1" applyAlignment="1">
      <alignment horizontal="center" vertical="center"/>
    </xf>
    <xf numFmtId="0" fontId="6"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2"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7"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12" borderId="23" xfId="0" applyFill="1" applyBorder="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2" fillId="19" borderId="0" xfId="0" applyFont="1" applyFill="1">
      <alignment vertical="center"/>
    </xf>
    <xf numFmtId="0" fontId="2" fillId="19" borderId="2" xfId="0" applyFont="1" applyFill="1" applyBorder="1">
      <alignment vertical="center"/>
    </xf>
    <xf numFmtId="0" fontId="9" fillId="8" borderId="2" xfId="0" applyFont="1" applyFill="1" applyBorder="1">
      <alignment vertical="center"/>
    </xf>
    <xf numFmtId="0" fontId="2"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2" fillId="19" borderId="45" xfId="0" applyFont="1" applyFill="1" applyBorder="1">
      <alignment vertical="center"/>
    </xf>
    <xf numFmtId="0" fontId="2" fillId="19" borderId="51" xfId="0" applyFont="1" applyFill="1" applyBorder="1">
      <alignment vertical="center"/>
    </xf>
    <xf numFmtId="0" fontId="2" fillId="19" borderId="46" xfId="0" applyFont="1" applyFill="1" applyBorder="1">
      <alignment vertical="center"/>
    </xf>
    <xf numFmtId="0" fontId="0" fillId="17" borderId="52" xfId="0" applyFill="1" applyBorder="1">
      <alignment vertical="center"/>
    </xf>
    <xf numFmtId="0" fontId="11" fillId="0" borderId="11" xfId="0" applyFont="1" applyBorder="1">
      <alignment vertical="center"/>
    </xf>
    <xf numFmtId="0" fontId="11"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2" fillId="0" borderId="0" xfId="0" applyFont="1">
      <alignment vertical="center"/>
    </xf>
    <xf numFmtId="0" fontId="13" fillId="0" borderId="0" xfId="0" applyFont="1" applyAlignment="1"/>
    <xf numFmtId="0" fontId="0" fillId="0" borderId="33" xfId="0" quotePrefix="1" applyBorder="1">
      <alignment vertical="center"/>
    </xf>
    <xf numFmtId="0" fontId="0" fillId="0" borderId="35" xfId="0" applyBorder="1">
      <alignment vertical="center"/>
    </xf>
    <xf numFmtId="0" fontId="2" fillId="16" borderId="22" xfId="0" applyFont="1" applyFill="1" applyBorder="1">
      <alignment vertical="center"/>
    </xf>
    <xf numFmtId="0" fontId="15" fillId="12" borderId="43" xfId="0" applyFont="1" applyFill="1" applyBorder="1">
      <alignment vertical="center"/>
    </xf>
    <xf numFmtId="0" fontId="6" fillId="19" borderId="19" xfId="0" applyFont="1" applyFill="1" applyBorder="1">
      <alignment vertical="center"/>
    </xf>
    <xf numFmtId="0" fontId="6" fillId="19" borderId="20" xfId="0" applyFont="1" applyFill="1" applyBorder="1">
      <alignment vertical="center"/>
    </xf>
    <xf numFmtId="0" fontId="2" fillId="19" borderId="37" xfId="0" applyFont="1" applyFill="1" applyBorder="1" applyAlignment="1">
      <alignment horizontal="center" vertical="center"/>
    </xf>
    <xf numFmtId="0" fontId="6" fillId="19" borderId="38" xfId="0" applyFont="1" applyFill="1" applyBorder="1" applyAlignment="1">
      <alignment horizontal="center" vertical="center"/>
    </xf>
    <xf numFmtId="0" fontId="6" fillId="19" borderId="39" xfId="0" applyFont="1" applyFill="1" applyBorder="1" applyAlignment="1">
      <alignment horizontal="center" vertical="center"/>
    </xf>
    <xf numFmtId="0" fontId="6" fillId="19" borderId="37" xfId="0" applyFont="1" applyFill="1" applyBorder="1" applyAlignment="1">
      <alignment horizontal="center" vertical="center"/>
    </xf>
    <xf numFmtId="0" fontId="6" fillId="19" borderId="40" xfId="0" applyFont="1" applyFill="1" applyBorder="1" applyAlignment="1">
      <alignment horizontal="center" vertical="center"/>
    </xf>
    <xf numFmtId="0" fontId="6" fillId="19" borderId="58" xfId="0" applyFont="1" applyFill="1" applyBorder="1">
      <alignment vertical="center"/>
    </xf>
    <xf numFmtId="0" fontId="6" fillId="19" borderId="38" xfId="0" applyFont="1" applyFill="1" applyBorder="1">
      <alignment vertical="center"/>
    </xf>
    <xf numFmtId="0" fontId="6" fillId="19" borderId="40" xfId="0" applyFont="1" applyFill="1" applyBorder="1">
      <alignment vertical="center"/>
    </xf>
    <xf numFmtId="0" fontId="6"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6"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7"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2" fillId="19" borderId="65" xfId="0" applyFont="1" applyFill="1" applyBorder="1">
      <alignment vertical="center"/>
    </xf>
    <xf numFmtId="0" fontId="2"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2" fillId="19" borderId="66" xfId="0" applyFont="1" applyFill="1" applyBorder="1">
      <alignment vertical="center"/>
    </xf>
    <xf numFmtId="0" fontId="2" fillId="19" borderId="11" xfId="0" applyFont="1" applyFill="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2"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6"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1" fillId="0" borderId="0" xfId="0" applyFont="1">
      <alignment vertical="center"/>
    </xf>
    <xf numFmtId="0" fontId="0" fillId="0" borderId="70" xfId="0" applyBorder="1">
      <alignment vertical="center"/>
    </xf>
    <xf numFmtId="0" fontId="4"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4"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2" fillId="19" borderId="13" xfId="0" applyFont="1" applyFill="1" applyBorder="1">
      <alignment vertical="center"/>
    </xf>
    <xf numFmtId="0" fontId="20" fillId="15" borderId="14" xfId="0" applyFont="1" applyFill="1" applyBorder="1">
      <alignment vertical="center"/>
    </xf>
    <xf numFmtId="0" fontId="20" fillId="15" borderId="15" xfId="0" applyFont="1" applyFill="1" applyBorder="1">
      <alignment vertical="center"/>
    </xf>
    <xf numFmtId="0" fontId="6" fillId="19" borderId="6" xfId="0" applyFont="1" applyFill="1" applyBorder="1">
      <alignment vertical="center"/>
    </xf>
    <xf numFmtId="0" fontId="6"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20" fillId="15" borderId="2" xfId="0" applyFont="1" applyFill="1" applyBorder="1">
      <alignment vertical="center"/>
    </xf>
    <xf numFmtId="0" fontId="6" fillId="19" borderId="4" xfId="0" applyFont="1" applyFill="1" applyBorder="1">
      <alignment vertical="center"/>
    </xf>
    <xf numFmtId="0" fontId="6" fillId="19" borderId="5" xfId="0" applyFont="1" applyFill="1" applyBorder="1">
      <alignment vertical="center"/>
    </xf>
    <xf numFmtId="0" fontId="2" fillId="19" borderId="6" xfId="0" applyFont="1" applyFill="1" applyBorder="1">
      <alignment vertical="center"/>
    </xf>
    <xf numFmtId="0" fontId="20" fillId="15" borderId="7" xfId="0" applyFont="1" applyFill="1" applyBorder="1">
      <alignment vertical="center"/>
    </xf>
    <xf numFmtId="0" fontId="6" fillId="19" borderId="76" xfId="0" applyFont="1" applyFill="1" applyBorder="1">
      <alignment vertical="center"/>
    </xf>
    <xf numFmtId="0" fontId="0" fillId="15" borderId="27" xfId="0" applyFill="1" applyBorder="1">
      <alignment vertical="center"/>
    </xf>
    <xf numFmtId="0" fontId="17" fillId="7" borderId="62" xfId="0" applyFont="1" applyFill="1" applyBorder="1">
      <alignment vertical="center"/>
    </xf>
    <xf numFmtId="0" fontId="16" fillId="12" borderId="74" xfId="0" applyFont="1" applyFill="1" applyBorder="1" applyAlignment="1">
      <alignment horizontal="center" vertical="center"/>
    </xf>
    <xf numFmtId="0" fontId="0" fillId="18" borderId="31" xfId="0" applyFill="1" applyBorder="1" applyAlignment="1">
      <alignment vertical="center" textRotation="90"/>
    </xf>
    <xf numFmtId="0" fontId="0" fillId="15" borderId="25" xfId="0" applyFill="1" applyBorder="1" applyAlignment="1">
      <alignment horizontal="center" vertical="center" wrapText="1"/>
    </xf>
    <xf numFmtId="0" fontId="0" fillId="15" borderId="26" xfId="0" applyFill="1" applyBorder="1" applyAlignment="1">
      <alignment horizontal="center" vertical="center" wrapText="1"/>
    </xf>
    <xf numFmtId="0" fontId="0" fillId="0" borderId="2" xfId="0" applyBorder="1" applyAlignment="1">
      <alignment vertical="center" wrapText="1"/>
    </xf>
    <xf numFmtId="14" fontId="0" fillId="0" borderId="7" xfId="0" applyNumberFormat="1" applyBorder="1">
      <alignment vertical="center"/>
    </xf>
    <xf numFmtId="0" fontId="0" fillId="0" borderId="0" xfId="0" applyAlignment="1"/>
    <xf numFmtId="0" fontId="21" fillId="0" borderId="0" xfId="0" applyFont="1">
      <alignment vertical="center"/>
    </xf>
    <xf numFmtId="0" fontId="17" fillId="0" borderId="33" xfId="0" applyFont="1" applyBorder="1" applyAlignment="1">
      <alignment horizontal="center" vertical="center"/>
    </xf>
    <xf numFmtId="0" fontId="20" fillId="0" borderId="34" xfId="0" applyFont="1" applyBorder="1" applyAlignment="1">
      <alignment vertical="center" wrapText="1"/>
    </xf>
    <xf numFmtId="0" fontId="20" fillId="0" borderId="32" xfId="0" quotePrefix="1" applyFont="1" applyBorder="1" applyAlignment="1">
      <alignment vertical="center" wrapText="1"/>
    </xf>
    <xf numFmtId="0" fontId="21" fillId="0" borderId="0" xfId="0" applyFont="1" applyAlignment="1"/>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22" fillId="0" borderId="0" xfId="0" applyFont="1">
      <alignment vertical="center"/>
    </xf>
    <xf numFmtId="0" fontId="0" fillId="0" borderId="77" xfId="0" applyBorder="1">
      <alignment vertical="center"/>
    </xf>
    <xf numFmtId="0" fontId="0" fillId="0" borderId="62" xfId="0" applyBorder="1">
      <alignment vertical="center"/>
    </xf>
    <xf numFmtId="14" fontId="0" fillId="0" borderId="78" xfId="0" applyNumberFormat="1" applyBorder="1">
      <alignment vertical="center"/>
    </xf>
    <xf numFmtId="0" fontId="1" fillId="0" borderId="0" xfId="0" applyFont="1">
      <alignment vertical="center"/>
    </xf>
    <xf numFmtId="0" fontId="0" fillId="0" borderId="79" xfId="0" applyBorder="1">
      <alignment vertical="center"/>
    </xf>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2" fillId="0" borderId="0" xfId="0" applyFont="1">
      <alignment vertical="center"/>
    </xf>
    <xf numFmtId="0" fontId="0" fillId="0" borderId="2" xfId="0" applyBorder="1" applyAlignment="1">
      <alignment vertical="center" wrapText="1"/>
    </xf>
    <xf numFmtId="0" fontId="0" fillId="0" borderId="80" xfId="0" applyBorder="1">
      <alignment vertical="center"/>
    </xf>
    <xf numFmtId="0" fontId="0" fillId="0" borderId="81" xfId="0" applyBorder="1">
      <alignment vertical="center"/>
    </xf>
    <xf numFmtId="14" fontId="0" fillId="0" borderId="2" xfId="0" applyNumberFormat="1" applyBorder="1">
      <alignment vertical="center"/>
    </xf>
    <xf numFmtId="0" fontId="19" fillId="12" borderId="7" xfId="0" applyFont="1" applyFill="1" applyBorder="1">
      <alignment vertical="center"/>
    </xf>
    <xf numFmtId="0" fontId="12" fillId="12" borderId="6" xfId="0" applyFont="1" applyFill="1" applyBorder="1">
      <alignment vertical="center"/>
    </xf>
    <xf numFmtId="0" fontId="19" fillId="12" borderId="6" xfId="0" applyFont="1" applyFill="1" applyBorder="1">
      <alignment vertical="center"/>
    </xf>
    <xf numFmtId="0" fontId="12" fillId="0" borderId="6" xfId="0" applyFont="1" applyBorder="1">
      <alignment vertical="center"/>
    </xf>
    <xf numFmtId="0" fontId="19" fillId="0" borderId="2" xfId="0" applyFont="1" applyBorder="1" applyAlignment="1">
      <alignment vertical="center" wrapText="1"/>
    </xf>
    <xf numFmtId="0" fontId="19" fillId="0" borderId="2" xfId="0" applyFont="1" applyBorder="1">
      <alignment vertical="center"/>
    </xf>
    <xf numFmtId="14" fontId="19" fillId="0" borderId="2" xfId="0" applyNumberFormat="1" applyFont="1" applyBorder="1">
      <alignment vertical="center"/>
    </xf>
    <xf numFmtId="0" fontId="19" fillId="0" borderId="7" xfId="0" applyFont="1" applyBorder="1">
      <alignment vertical="center"/>
    </xf>
    <xf numFmtId="0" fontId="0" fillId="0" borderId="9" xfId="0" applyBorder="1" applyAlignment="1">
      <alignment vertical="center" wrapText="1"/>
    </xf>
    <xf numFmtId="0" fontId="12" fillId="0" borderId="33" xfId="0" applyFont="1" applyBorder="1">
      <alignment vertical="center"/>
    </xf>
    <xf numFmtId="0" fontId="24" fillId="0" borderId="0" xfId="5" applyFont="1" applyAlignment="1">
      <alignment horizontal="center" vertical="center"/>
    </xf>
    <xf numFmtId="0" fontId="23" fillId="0" borderId="0" xfId="5">
      <alignment vertical="center"/>
    </xf>
    <xf numFmtId="0" fontId="25" fillId="0" borderId="11" xfId="5" applyFont="1" applyBorder="1" applyAlignment="1">
      <alignment horizontal="center" vertical="center"/>
    </xf>
    <xf numFmtId="0" fontId="11" fillId="0" borderId="0" xfId="5" applyFont="1">
      <alignment vertical="center"/>
    </xf>
    <xf numFmtId="0" fontId="23" fillId="0" borderId="0" xfId="5" applyAlignment="1">
      <alignment horizontal="center" vertical="center"/>
    </xf>
    <xf numFmtId="0" fontId="26" fillId="0" borderId="0" xfId="5" applyFont="1" applyAlignment="1">
      <alignment horizontal="center" vertical="center"/>
    </xf>
    <xf numFmtId="0" fontId="27" fillId="0" borderId="0" xfId="5" applyFont="1" applyAlignment="1">
      <alignment horizontal="center" vertical="center"/>
    </xf>
    <xf numFmtId="0" fontId="23" fillId="0" borderId="64" xfId="5" applyBorder="1">
      <alignment vertical="center"/>
    </xf>
    <xf numFmtId="0" fontId="23" fillId="0" borderId="66" xfId="5" applyBorder="1">
      <alignment vertical="center"/>
    </xf>
    <xf numFmtId="0" fontId="23" fillId="0" borderId="65" xfId="5" applyBorder="1">
      <alignment vertical="center"/>
    </xf>
    <xf numFmtId="0" fontId="23" fillId="0" borderId="82" xfId="5" applyBorder="1">
      <alignment vertical="center"/>
    </xf>
    <xf numFmtId="0" fontId="23" fillId="0" borderId="83" xfId="5" applyBorder="1">
      <alignment vertical="center"/>
    </xf>
    <xf numFmtId="0" fontId="23" fillId="0" borderId="83" xfId="5" applyBorder="1" applyAlignment="1">
      <alignment horizontal="center" vertical="center"/>
    </xf>
    <xf numFmtId="0" fontId="23" fillId="0" borderId="82" xfId="5" applyBorder="1" applyAlignment="1">
      <alignment horizontal="center" vertical="center"/>
    </xf>
    <xf numFmtId="0" fontId="23" fillId="0" borderId="29" xfId="5" applyBorder="1">
      <alignment vertical="center"/>
    </xf>
    <xf numFmtId="0" fontId="23" fillId="0" borderId="11" xfId="5" applyBorder="1">
      <alignment vertical="center"/>
    </xf>
    <xf numFmtId="0" fontId="23" fillId="0" borderId="25" xfId="5" applyBorder="1">
      <alignment vertical="center"/>
    </xf>
    <xf numFmtId="0" fontId="11" fillId="0" borderId="0" xfId="6" applyFont="1" applyAlignment="1">
      <alignment vertical="center"/>
    </xf>
    <xf numFmtId="0" fontId="0" fillId="11" borderId="0" xfId="0" applyFill="1" applyBorder="1" applyAlignment="1"/>
    <xf numFmtId="0" fontId="0" fillId="23" borderId="16" xfId="0" applyFill="1" applyBorder="1">
      <alignment vertical="center"/>
    </xf>
    <xf numFmtId="0" fontId="0" fillId="23" borderId="17" xfId="0" applyFill="1" applyBorder="1">
      <alignment vertical="center"/>
    </xf>
    <xf numFmtId="176" fontId="19" fillId="0" borderId="7" xfId="0" applyNumberFormat="1" applyFont="1" applyBorder="1">
      <alignment vertical="center"/>
    </xf>
    <xf numFmtId="0" fontId="23" fillId="0" borderId="27" xfId="5" applyBorder="1" applyAlignment="1">
      <alignment horizontal="center" vertical="center"/>
    </xf>
    <xf numFmtId="0" fontId="23" fillId="0" borderId="12" xfId="5" applyBorder="1" applyAlignment="1">
      <alignment horizontal="center" vertical="center"/>
    </xf>
    <xf numFmtId="0" fontId="23" fillId="0" borderId="31" xfId="5" applyBorder="1" applyAlignment="1">
      <alignment horizontal="center" vertical="center"/>
    </xf>
    <xf numFmtId="0" fontId="0" fillId="11" borderId="11" xfId="0" applyFill="1" applyBorder="1" applyAlignment="1"/>
    <xf numFmtId="0" fontId="4"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2" fillId="19" borderId="3" xfId="0" applyFont="1" applyFill="1" applyBorder="1" applyAlignment="1">
      <alignment horizontal="left" vertical="center"/>
    </xf>
    <xf numFmtId="0" fontId="2" fillId="19" borderId="55" xfId="0" applyFont="1" applyFill="1" applyBorder="1" applyAlignment="1">
      <alignment horizontal="left" vertical="center"/>
    </xf>
    <xf numFmtId="0" fontId="6" fillId="19" borderId="6" xfId="0" applyFont="1" applyFill="1" applyBorder="1" applyAlignment="1">
      <alignment horizontal="left" vertical="center"/>
    </xf>
    <xf numFmtId="0" fontId="6" fillId="19" borderId="56" xfId="0" applyFont="1" applyFill="1" applyBorder="1" applyAlignment="1">
      <alignment horizontal="left" vertical="center"/>
    </xf>
    <xf numFmtId="0" fontId="6" fillId="19" borderId="8" xfId="0" applyFont="1" applyFill="1" applyBorder="1" applyAlignment="1">
      <alignment horizontal="left" vertical="center"/>
    </xf>
    <xf numFmtId="0" fontId="6" fillId="19" borderId="57" xfId="0" applyFont="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4" fillId="12" borderId="68" xfId="1" applyFill="1" applyBorder="1" applyAlignment="1">
      <alignment horizontal="left" vertical="center"/>
    </xf>
    <xf numFmtId="0" fontId="4" fillId="12" borderId="12" xfId="1" applyFill="1" applyBorder="1" applyAlignment="1">
      <alignment horizontal="left" vertical="center"/>
    </xf>
    <xf numFmtId="0" fontId="4" fillId="12" borderId="50" xfId="1"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2" fillId="19" borderId="64" xfId="0" applyFont="1" applyFill="1" applyBorder="1">
      <alignment vertical="center"/>
    </xf>
    <xf numFmtId="0" fontId="2" fillId="19" borderId="66" xfId="0" applyFont="1" applyFill="1" applyBorder="1">
      <alignment vertical="center"/>
    </xf>
    <xf numFmtId="0" fontId="2" fillId="19" borderId="29" xfId="0" applyFont="1" applyFill="1" applyBorder="1">
      <alignment vertical="center"/>
    </xf>
    <xf numFmtId="0" fontId="2"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cellXfs>
  <cellStyles count="7">
    <cellStyle name="ハイパーリンク" xfId="1" builtinId="8"/>
    <cellStyle name="標準" xfId="0" builtinId="0"/>
    <cellStyle name="標準 10" xfId="2" xr:uid="{DD5A0250-139F-4060-B8A0-73EBC55D3445}"/>
    <cellStyle name="標準 2" xfId="3" xr:uid="{27A4B849-156F-4CD4-B9C6-B706E7B338E0}"/>
    <cellStyle name="標準 2 2" xfId="4" xr:uid="{09A1C9BA-422C-401D-8B38-7E4528D82EFC}"/>
    <cellStyle name="標準 2 3" xfId="6" xr:uid="{6FC4CC76-5635-4C1C-934F-9195CBEDD46D}"/>
    <cellStyle name="標準 3 3 4 3" xfId="5" xr:uid="{E23F6209-FD02-4FE4-945E-42716A6AC235}"/>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6CD00831-BF8C-4101-9D6C-8848ED4EB65A}"/>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CA541AF2-DE91-4835-B06C-19093878D2D7}"/>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F3DF9969-9858-4864-80BF-B5AE2CED41E7}"/>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33</xdr:col>
      <xdr:colOff>9525</xdr:colOff>
      <xdr:row>50</xdr:row>
      <xdr:rowOff>158115</xdr:rowOff>
    </xdr:from>
    <xdr:to>
      <xdr:col>36</xdr:col>
      <xdr:colOff>97155</xdr:colOff>
      <xdr:row>54</xdr:row>
      <xdr:rowOff>81915</xdr:rowOff>
    </xdr:to>
    <xdr:pic>
      <xdr:nvPicPr>
        <xdr:cNvPr id="6" name="図 5">
          <a:extLst>
            <a:ext uri="{FF2B5EF4-FFF2-40B4-BE49-F238E27FC236}">
              <a16:creationId xmlns:a16="http://schemas.microsoft.com/office/drawing/2014/main" id="{E2FB2726-708C-18C3-6CE1-8FADA65DCC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24400" y="8730615"/>
          <a:ext cx="516255"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35</xdr:col>
          <xdr:colOff>104775</xdr:colOff>
          <xdr:row>53</xdr:row>
          <xdr:rowOff>19050</xdr:rowOff>
        </xdr:from>
        <xdr:to>
          <xdr:col>39</xdr:col>
          <xdr:colOff>19050</xdr:colOff>
          <xdr:row>55</xdr:row>
          <xdr:rowOff>152400</xdr:rowOff>
        </xdr:to>
        <xdr:sp macro="" textlink="">
          <xdr:nvSpPr>
            <xdr:cNvPr id="1025" name="inei1_REYES DYAN"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49</xdr:col>
      <xdr:colOff>0</xdr:colOff>
      <xdr:row>47</xdr:row>
      <xdr:rowOff>0</xdr:rowOff>
    </xdr:from>
    <xdr:to>
      <xdr:col>82</xdr:col>
      <xdr:colOff>204239</xdr:colOff>
      <xdr:row>63</xdr:row>
      <xdr:rowOff>47624</xdr:rowOff>
    </xdr:to>
    <xdr:pic>
      <xdr:nvPicPr>
        <xdr:cNvPr id="8" name="図 7">
          <a:extLst>
            <a:ext uri="{FF2B5EF4-FFF2-40B4-BE49-F238E27FC236}">
              <a16:creationId xmlns:a16="http://schemas.microsoft.com/office/drawing/2014/main" id="{9B4AA7F5-087D-3DA1-48E4-F18B6BB4C2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957000" y="7858125"/>
          <a:ext cx="20635364" cy="4024312"/>
        </a:xfrm>
        <a:prstGeom prst="rect">
          <a:avLst/>
        </a:prstGeom>
        <a:solidFill>
          <a:schemeClr val="bg1"/>
        </a:solidFill>
      </xdr:spPr>
    </xdr:pic>
    <xdr:clientData/>
  </xdr:twoCellAnchor>
  <xdr:twoCellAnchor editAs="oneCell">
    <xdr:from>
      <xdr:col>22</xdr:col>
      <xdr:colOff>0</xdr:colOff>
      <xdr:row>62</xdr:row>
      <xdr:rowOff>1</xdr:rowOff>
    </xdr:from>
    <xdr:to>
      <xdr:col>45</xdr:col>
      <xdr:colOff>268941</xdr:colOff>
      <xdr:row>67</xdr:row>
      <xdr:rowOff>139540</xdr:rowOff>
    </xdr:to>
    <xdr:pic>
      <xdr:nvPicPr>
        <xdr:cNvPr id="6" name="図 5">
          <a:extLst>
            <a:ext uri="{FF2B5EF4-FFF2-40B4-BE49-F238E27FC236}">
              <a16:creationId xmlns:a16="http://schemas.microsoft.com/office/drawing/2014/main" id="{49C70340-0048-3221-D400-E943B30B3C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80941" y="11754972"/>
          <a:ext cx="14186647" cy="979980"/>
        </a:xfrm>
        <a:prstGeom prst="rect">
          <a:avLst/>
        </a:prstGeom>
        <a:solidFill>
          <a:schemeClr val="bg1"/>
        </a:solidFill>
      </xdr:spPr>
    </xdr:pic>
    <xdr:clientData/>
  </xdr:twoCellAnchor>
  <xdr:twoCellAnchor editAs="oneCell">
    <xdr:from>
      <xdr:col>22</xdr:col>
      <xdr:colOff>1</xdr:colOff>
      <xdr:row>42</xdr:row>
      <xdr:rowOff>0</xdr:rowOff>
    </xdr:from>
    <xdr:to>
      <xdr:col>44</xdr:col>
      <xdr:colOff>595313</xdr:colOff>
      <xdr:row>61</xdr:row>
      <xdr:rowOff>52502</xdr:rowOff>
    </xdr:to>
    <xdr:pic>
      <xdr:nvPicPr>
        <xdr:cNvPr id="4" name="図 3">
          <a:extLst>
            <a:ext uri="{FF2B5EF4-FFF2-40B4-BE49-F238E27FC236}">
              <a16:creationId xmlns:a16="http://schemas.microsoft.com/office/drawing/2014/main" id="{4087359D-A148-9BB1-BCA8-2817F3AA4CB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0240626" y="7000875"/>
          <a:ext cx="14216062" cy="4553065"/>
        </a:xfrm>
        <a:prstGeom prst="rect">
          <a:avLst/>
        </a:prstGeom>
        <a:solidFill>
          <a:schemeClr val="bg1"/>
        </a:solidFill>
      </xdr:spPr>
    </xdr:pic>
    <xdr:clientData/>
  </xdr:twoCellAnchor>
  <xdr:twoCellAnchor editAs="oneCell">
    <xdr:from>
      <xdr:col>22</xdr:col>
      <xdr:colOff>0</xdr:colOff>
      <xdr:row>2</xdr:row>
      <xdr:rowOff>0</xdr:rowOff>
    </xdr:from>
    <xdr:to>
      <xdr:col>41</xdr:col>
      <xdr:colOff>209967</xdr:colOff>
      <xdr:row>40</xdr:row>
      <xdr:rowOff>120967</xdr:rowOff>
    </xdr:to>
    <xdr:pic>
      <xdr:nvPicPr>
        <xdr:cNvPr id="3" name="図 2">
          <a:extLst>
            <a:ext uri="{FF2B5EF4-FFF2-40B4-BE49-F238E27FC236}">
              <a16:creationId xmlns:a16="http://schemas.microsoft.com/office/drawing/2014/main" id="{D0F3FF84-524F-4198-95C5-A223E4BDC30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240625" y="333375"/>
          <a:ext cx="11973342" cy="6455092"/>
        </a:xfrm>
        <a:prstGeom prst="rect">
          <a:avLst/>
        </a:prstGeom>
        <a:solidFill>
          <a:schemeClr val="bg1"/>
        </a:solidFill>
      </xdr:spPr>
    </xdr:pic>
    <xdr:clientData/>
  </xdr:twoCellAnchor>
  <xdr:twoCellAnchor editAs="oneCell">
    <xdr:from>
      <xdr:col>9</xdr:col>
      <xdr:colOff>96946</xdr:colOff>
      <xdr:row>43</xdr:row>
      <xdr:rowOff>143850</xdr:rowOff>
    </xdr:from>
    <xdr:to>
      <xdr:col>11</xdr:col>
      <xdr:colOff>1690439</xdr:colOff>
      <xdr:row>45</xdr:row>
      <xdr:rowOff>167271</xdr:rowOff>
    </xdr:to>
    <xdr:sp macro="" textlink="">
      <xdr:nvSpPr>
        <xdr:cNvPr id="43" name="線吹き出し 1 (枠付き) 42">
          <a:extLst>
            <a:ext uri="{FF2B5EF4-FFF2-40B4-BE49-F238E27FC236}">
              <a16:creationId xmlns:a16="http://schemas.microsoft.com/office/drawing/2014/main" id="{00000000-0008-0000-0A00-00002B000000}"/>
            </a:ext>
          </a:extLst>
        </xdr:cNvPr>
        <xdr:cNvSpPr/>
      </xdr:nvSpPr>
      <xdr:spPr>
        <a:xfrm>
          <a:off x="5498181" y="17445732"/>
          <a:ext cx="3184729" cy="423471"/>
        </a:xfrm>
        <a:prstGeom prst="borderCallout1">
          <a:avLst>
            <a:gd name="adj1" fmla="val 38295"/>
            <a:gd name="adj2" fmla="val -1002"/>
            <a:gd name="adj3" fmla="val 161256"/>
            <a:gd name="adj4" fmla="val -149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以下のため、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xdr:col>
      <xdr:colOff>156882</xdr:colOff>
      <xdr:row>63</xdr:row>
      <xdr:rowOff>46420</xdr:rowOff>
    </xdr:from>
    <xdr:to>
      <xdr:col>10</xdr:col>
      <xdr:colOff>14919</xdr:colOff>
      <xdr:row>67</xdr:row>
      <xdr:rowOff>67236</xdr:rowOff>
    </xdr:to>
    <xdr:sp macro="" textlink="">
      <xdr:nvSpPr>
        <xdr:cNvPr id="44" name="線吹き出し 1 (枠付き) 43">
          <a:extLst>
            <a:ext uri="{FF2B5EF4-FFF2-40B4-BE49-F238E27FC236}">
              <a16:creationId xmlns:a16="http://schemas.microsoft.com/office/drawing/2014/main" id="{00000000-0008-0000-0A00-00002C000000}"/>
            </a:ext>
          </a:extLst>
        </xdr:cNvPr>
        <xdr:cNvSpPr/>
      </xdr:nvSpPr>
      <xdr:spPr>
        <a:xfrm>
          <a:off x="762000" y="23029685"/>
          <a:ext cx="4878272" cy="782816"/>
        </a:xfrm>
        <a:prstGeom prst="borderCallout1">
          <a:avLst>
            <a:gd name="adj1" fmla="val 2660"/>
            <a:gd name="adj2" fmla="val 39171"/>
            <a:gd name="adj3" fmla="val -34053"/>
            <a:gd name="adj4" fmla="val 335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で指定したものは</a:t>
          </a: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はマトリクス表に含めない。</a:t>
          </a:r>
        </a:p>
      </xdr:txBody>
    </xdr:sp>
    <xdr:clientData/>
  </xdr:twoCellAnchor>
  <xdr:twoCellAnchor editAs="oneCell">
    <xdr:from>
      <xdr:col>35</xdr:col>
      <xdr:colOff>435421</xdr:colOff>
      <xdr:row>47</xdr:row>
      <xdr:rowOff>172179</xdr:rowOff>
    </xdr:from>
    <xdr:to>
      <xdr:col>37</xdr:col>
      <xdr:colOff>331304</xdr:colOff>
      <xdr:row>61</xdr:row>
      <xdr:rowOff>64357</xdr:rowOff>
    </xdr:to>
    <xdr:sp macro="" textlink="">
      <xdr:nvSpPr>
        <xdr:cNvPr id="82" name="正方形/長方形 81">
          <a:extLst>
            <a:ext uri="{FF2B5EF4-FFF2-40B4-BE49-F238E27FC236}">
              <a16:creationId xmlns:a16="http://schemas.microsoft.com/office/drawing/2014/main" id="{0BBAF723-2DD3-4FBB-8589-82A5A278DAD4}"/>
            </a:ext>
          </a:extLst>
        </xdr:cNvPr>
        <xdr:cNvSpPr/>
      </xdr:nvSpPr>
      <xdr:spPr>
        <a:xfrm>
          <a:off x="28588008" y="8363679"/>
          <a:ext cx="1121709" cy="36110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37</xdr:col>
      <xdr:colOff>461563</xdr:colOff>
      <xdr:row>46</xdr:row>
      <xdr:rowOff>96609</xdr:rowOff>
    </xdr:from>
    <xdr:to>
      <xdr:col>43</xdr:col>
      <xdr:colOff>268941</xdr:colOff>
      <xdr:row>53</xdr:row>
      <xdr:rowOff>204107</xdr:rowOff>
    </xdr:to>
    <xdr:sp macro="" textlink="">
      <xdr:nvSpPr>
        <xdr:cNvPr id="88" name="線吹き出し 1 (枠付き) 6">
          <a:extLst>
            <a:ext uri="{FF2B5EF4-FFF2-40B4-BE49-F238E27FC236}">
              <a16:creationId xmlns:a16="http://schemas.microsoft.com/office/drawing/2014/main" id="{C26FB7DC-EC08-475E-8240-CF33441115FD}"/>
            </a:ext>
          </a:extLst>
        </xdr:cNvPr>
        <xdr:cNvSpPr/>
      </xdr:nvSpPr>
      <xdr:spPr>
        <a:xfrm>
          <a:off x="29265163" y="18164174"/>
          <a:ext cx="3464978" cy="1449161"/>
        </a:xfrm>
        <a:prstGeom prst="borderCallout1">
          <a:avLst>
            <a:gd name="adj1" fmla="val 33093"/>
            <a:gd name="adj2" fmla="val -2637"/>
            <a:gd name="adj3" fmla="val 91485"/>
            <a:gd name="adj4" fmla="val -270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特別処理は、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①</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50ms(10ms</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を</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A~E</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の</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5</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分割</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WChime</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10ms</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SoundMiddle</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10ms</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　となっており、</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50ms</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で実施できる構造となってるため問題無し</a:t>
          </a:r>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②参考扱いの記載であるのに加え、音圧は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CONTBUZZ</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仕様に従うため詳細設計対象外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32</xdr:col>
      <xdr:colOff>318070</xdr:colOff>
      <xdr:row>47</xdr:row>
      <xdr:rowOff>173014</xdr:rowOff>
    </xdr:from>
    <xdr:to>
      <xdr:col>33</xdr:col>
      <xdr:colOff>476581</xdr:colOff>
      <xdr:row>61</xdr:row>
      <xdr:rowOff>24849</xdr:rowOff>
    </xdr:to>
    <xdr:sp macro="" textlink="">
      <xdr:nvSpPr>
        <xdr:cNvPr id="89" name="正方形/長方形 88">
          <a:extLst>
            <a:ext uri="{FF2B5EF4-FFF2-40B4-BE49-F238E27FC236}">
              <a16:creationId xmlns:a16="http://schemas.microsoft.com/office/drawing/2014/main" id="{C4962D3C-A1B5-43CA-B5CF-0E499FD264A8}"/>
            </a:ext>
          </a:extLst>
        </xdr:cNvPr>
        <xdr:cNvSpPr/>
      </xdr:nvSpPr>
      <xdr:spPr>
        <a:xfrm>
          <a:off x="26631918" y="8364514"/>
          <a:ext cx="771424" cy="35707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32</xdr:col>
      <xdr:colOff>280929</xdr:colOff>
      <xdr:row>45</xdr:row>
      <xdr:rowOff>68035</xdr:rowOff>
    </xdr:from>
    <xdr:to>
      <xdr:col>34</xdr:col>
      <xdr:colOff>289018</xdr:colOff>
      <xdr:row>47</xdr:row>
      <xdr:rowOff>156274</xdr:rowOff>
    </xdr:to>
    <xdr:sp macro="" textlink="">
      <xdr:nvSpPr>
        <xdr:cNvPr id="90" name="線吹き出し 1 (枠付き) 15">
          <a:extLst>
            <a:ext uri="{FF2B5EF4-FFF2-40B4-BE49-F238E27FC236}">
              <a16:creationId xmlns:a16="http://schemas.microsoft.com/office/drawing/2014/main" id="{4E420150-93E6-4D23-A2A6-5C400453A98F}"/>
            </a:ext>
          </a:extLst>
        </xdr:cNvPr>
        <xdr:cNvSpPr/>
      </xdr:nvSpPr>
      <xdr:spPr>
        <a:xfrm>
          <a:off x="29495465" y="8871857"/>
          <a:ext cx="1368803" cy="455632"/>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editAs="oneCell">
    <xdr:from>
      <xdr:col>36</xdr:col>
      <xdr:colOff>104734</xdr:colOff>
      <xdr:row>66</xdr:row>
      <xdr:rowOff>73677</xdr:rowOff>
    </xdr:from>
    <xdr:to>
      <xdr:col>38</xdr:col>
      <xdr:colOff>257735</xdr:colOff>
      <xdr:row>68</xdr:row>
      <xdr:rowOff>8276</xdr:rowOff>
    </xdr:to>
    <xdr:sp macro="" textlink="">
      <xdr:nvSpPr>
        <xdr:cNvPr id="91" name="正方形/長方形 90">
          <a:extLst>
            <a:ext uri="{FF2B5EF4-FFF2-40B4-BE49-F238E27FC236}">
              <a16:creationId xmlns:a16="http://schemas.microsoft.com/office/drawing/2014/main" id="{2CFEB942-1922-440A-9BC3-37B480160CE6}"/>
            </a:ext>
          </a:extLst>
        </xdr:cNvPr>
        <xdr:cNvSpPr/>
      </xdr:nvSpPr>
      <xdr:spPr>
        <a:xfrm>
          <a:off x="28657322" y="12501001"/>
          <a:ext cx="1363237" cy="2707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35</xdr:col>
      <xdr:colOff>580801</xdr:colOff>
      <xdr:row>69</xdr:row>
      <xdr:rowOff>124157</xdr:rowOff>
    </xdr:from>
    <xdr:to>
      <xdr:col>38</xdr:col>
      <xdr:colOff>261789</xdr:colOff>
      <xdr:row>71</xdr:row>
      <xdr:rowOff>91761</xdr:rowOff>
    </xdr:to>
    <xdr:sp macro="" textlink="">
      <xdr:nvSpPr>
        <xdr:cNvPr id="92" name="線吹き出し 1 (枠付き) 18">
          <a:extLst>
            <a:ext uri="{FF2B5EF4-FFF2-40B4-BE49-F238E27FC236}">
              <a16:creationId xmlns:a16="http://schemas.microsoft.com/office/drawing/2014/main" id="{A2A71181-E62C-4AFA-90EC-0B5DB807C7D1}"/>
            </a:ext>
          </a:extLst>
        </xdr:cNvPr>
        <xdr:cNvSpPr/>
      </xdr:nvSpPr>
      <xdr:spPr>
        <a:xfrm>
          <a:off x="28528272" y="13055745"/>
          <a:ext cx="1496341" cy="303781"/>
        </a:xfrm>
        <a:prstGeom prst="borderCallout1">
          <a:avLst>
            <a:gd name="adj1" fmla="val -6749"/>
            <a:gd name="adj2" fmla="val 34879"/>
            <a:gd name="adj3" fmla="val -78000"/>
            <a:gd name="adj4" fmla="val 26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初期値は非吹鳴</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38</xdr:col>
      <xdr:colOff>284305</xdr:colOff>
      <xdr:row>66</xdr:row>
      <xdr:rowOff>63428</xdr:rowOff>
    </xdr:from>
    <xdr:to>
      <xdr:col>40</xdr:col>
      <xdr:colOff>403412</xdr:colOff>
      <xdr:row>68</xdr:row>
      <xdr:rowOff>7734</xdr:rowOff>
    </xdr:to>
    <xdr:sp macro="" textlink="">
      <xdr:nvSpPr>
        <xdr:cNvPr id="93" name="正方形/長方形 92">
          <a:extLst>
            <a:ext uri="{FF2B5EF4-FFF2-40B4-BE49-F238E27FC236}">
              <a16:creationId xmlns:a16="http://schemas.microsoft.com/office/drawing/2014/main" id="{6BBC5489-1ED6-4BF5-A3E3-667E415A826B}"/>
            </a:ext>
          </a:extLst>
        </xdr:cNvPr>
        <xdr:cNvSpPr/>
      </xdr:nvSpPr>
      <xdr:spPr>
        <a:xfrm>
          <a:off x="30047129" y="12490752"/>
          <a:ext cx="1329342" cy="2804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39</xdr:col>
      <xdr:colOff>102659</xdr:colOff>
      <xdr:row>69</xdr:row>
      <xdr:rowOff>21479</xdr:rowOff>
    </xdr:from>
    <xdr:to>
      <xdr:col>41</xdr:col>
      <xdr:colOff>600786</xdr:colOff>
      <xdr:row>72</xdr:row>
      <xdr:rowOff>17707</xdr:rowOff>
    </xdr:to>
    <xdr:sp macro="" textlink="">
      <xdr:nvSpPr>
        <xdr:cNvPr id="94" name="線吹き出し 1 (枠付き) 20">
          <a:extLst>
            <a:ext uri="{FF2B5EF4-FFF2-40B4-BE49-F238E27FC236}">
              <a16:creationId xmlns:a16="http://schemas.microsoft.com/office/drawing/2014/main" id="{AA55AD15-29B6-4FBC-B258-D29F0A133FDB}"/>
            </a:ext>
          </a:extLst>
        </xdr:cNvPr>
        <xdr:cNvSpPr/>
      </xdr:nvSpPr>
      <xdr:spPr>
        <a:xfrm>
          <a:off x="30470600" y="12953067"/>
          <a:ext cx="1708362" cy="500493"/>
        </a:xfrm>
        <a:prstGeom prst="borderCallout1">
          <a:avLst>
            <a:gd name="adj1" fmla="val 7095"/>
            <a:gd name="adj2" fmla="val 22997"/>
            <a:gd name="adj3" fmla="val -46293"/>
            <a:gd name="adj4" fmla="val 148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途絶時、非吹鳴固定</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43</xdr:col>
      <xdr:colOff>268941</xdr:colOff>
      <xdr:row>51</xdr:row>
      <xdr:rowOff>268020</xdr:rowOff>
    </xdr:from>
    <xdr:to>
      <xdr:col>67</xdr:col>
      <xdr:colOff>479948</xdr:colOff>
      <xdr:row>53</xdr:row>
      <xdr:rowOff>579960</xdr:rowOff>
    </xdr:to>
    <xdr:cxnSp macro="">
      <xdr:nvCxnSpPr>
        <xdr:cNvPr id="95" name="直線コネクタ 94">
          <a:extLst>
            <a:ext uri="{FF2B5EF4-FFF2-40B4-BE49-F238E27FC236}">
              <a16:creationId xmlns:a16="http://schemas.microsoft.com/office/drawing/2014/main" id="{3B322CAB-019A-431B-B72D-336D87A0AE38}"/>
            </a:ext>
          </a:extLst>
        </xdr:cNvPr>
        <xdr:cNvCxnSpPr>
          <a:stCxn id="88" idx="0"/>
          <a:endCxn id="98" idx="1"/>
        </xdr:cNvCxnSpPr>
      </xdr:nvCxnSpPr>
      <xdr:spPr>
        <a:xfrm>
          <a:off x="33057353" y="8885344"/>
          <a:ext cx="14733830" cy="143252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40</xdr:col>
      <xdr:colOff>546864</xdr:colOff>
      <xdr:row>66</xdr:row>
      <xdr:rowOff>115357</xdr:rowOff>
    </xdr:from>
    <xdr:to>
      <xdr:col>42</xdr:col>
      <xdr:colOff>168585</xdr:colOff>
      <xdr:row>68</xdr:row>
      <xdr:rowOff>1600</xdr:rowOff>
    </xdr:to>
    <xdr:sp macro="" textlink="">
      <xdr:nvSpPr>
        <xdr:cNvPr id="96" name="正方形/長方形 95">
          <a:extLst>
            <a:ext uri="{FF2B5EF4-FFF2-40B4-BE49-F238E27FC236}">
              <a16:creationId xmlns:a16="http://schemas.microsoft.com/office/drawing/2014/main" id="{47BB2A3B-4668-4AB3-92BD-7A9FB6A1AF9D}"/>
            </a:ext>
          </a:extLst>
        </xdr:cNvPr>
        <xdr:cNvSpPr/>
      </xdr:nvSpPr>
      <xdr:spPr>
        <a:xfrm>
          <a:off x="31519923" y="12542681"/>
          <a:ext cx="831956" cy="2224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42</xdr:col>
      <xdr:colOff>536539</xdr:colOff>
      <xdr:row>68</xdr:row>
      <xdr:rowOff>132736</xdr:rowOff>
    </xdr:from>
    <xdr:to>
      <xdr:col>45</xdr:col>
      <xdr:colOff>575465</xdr:colOff>
      <xdr:row>72</xdr:row>
      <xdr:rowOff>31993</xdr:rowOff>
    </xdr:to>
    <xdr:sp macro="" textlink="">
      <xdr:nvSpPr>
        <xdr:cNvPr id="97" name="線吹き出し 1 (枠付き) 102">
          <a:extLst>
            <a:ext uri="{FF2B5EF4-FFF2-40B4-BE49-F238E27FC236}">
              <a16:creationId xmlns:a16="http://schemas.microsoft.com/office/drawing/2014/main" id="{7239ACE5-5B7D-4066-ADB2-FB1A70866D7D}"/>
            </a:ext>
          </a:extLst>
        </xdr:cNvPr>
        <xdr:cNvSpPr/>
      </xdr:nvSpPr>
      <xdr:spPr>
        <a:xfrm>
          <a:off x="32719833" y="12896236"/>
          <a:ext cx="1854279" cy="571610"/>
        </a:xfrm>
        <a:prstGeom prst="borderCallout1">
          <a:avLst>
            <a:gd name="adj1" fmla="val 42897"/>
            <a:gd name="adj2" fmla="val -2292"/>
            <a:gd name="adj3" fmla="val -34987"/>
            <a:gd name="adj4" fmla="val -224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途絶判定時間</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67</xdr:col>
      <xdr:colOff>479948</xdr:colOff>
      <xdr:row>51</xdr:row>
      <xdr:rowOff>48633</xdr:rowOff>
    </xdr:from>
    <xdr:to>
      <xdr:col>82</xdr:col>
      <xdr:colOff>224118</xdr:colOff>
      <xdr:row>63</xdr:row>
      <xdr:rowOff>46728</xdr:rowOff>
    </xdr:to>
    <xdr:sp macro="" textlink="">
      <xdr:nvSpPr>
        <xdr:cNvPr id="98" name="正方形/長方形 97">
          <a:extLst>
            <a:ext uri="{FF2B5EF4-FFF2-40B4-BE49-F238E27FC236}">
              <a16:creationId xmlns:a16="http://schemas.microsoft.com/office/drawing/2014/main" id="{6E9C87FD-D844-4C44-90DA-89B73D403160}"/>
            </a:ext>
          </a:extLst>
        </xdr:cNvPr>
        <xdr:cNvSpPr/>
      </xdr:nvSpPr>
      <xdr:spPr>
        <a:xfrm>
          <a:off x="47791183" y="8665957"/>
          <a:ext cx="8820935" cy="33038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22</xdr:col>
      <xdr:colOff>87742</xdr:colOff>
      <xdr:row>24</xdr:row>
      <xdr:rowOff>9301</xdr:rowOff>
    </xdr:from>
    <xdr:to>
      <xdr:col>40</xdr:col>
      <xdr:colOff>22412</xdr:colOff>
      <xdr:row>25</xdr:row>
      <xdr:rowOff>127075</xdr:rowOff>
    </xdr:to>
    <xdr:sp macro="" textlink="">
      <xdr:nvSpPr>
        <xdr:cNvPr id="12" name="正方形/長方形 11">
          <a:extLst>
            <a:ext uri="{FF2B5EF4-FFF2-40B4-BE49-F238E27FC236}">
              <a16:creationId xmlns:a16="http://schemas.microsoft.com/office/drawing/2014/main" id="{4ECD7ABB-2E40-40AA-8114-A0E09533D3ED}"/>
            </a:ext>
          </a:extLst>
        </xdr:cNvPr>
        <xdr:cNvSpPr/>
      </xdr:nvSpPr>
      <xdr:spPr>
        <a:xfrm>
          <a:off x="20168683" y="4043419"/>
          <a:ext cx="10826788" cy="2858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41</xdr:col>
      <xdr:colOff>86063</xdr:colOff>
      <xdr:row>20</xdr:row>
      <xdr:rowOff>20730</xdr:rowOff>
    </xdr:from>
    <xdr:to>
      <xdr:col>44</xdr:col>
      <xdr:colOff>56031</xdr:colOff>
      <xdr:row>24</xdr:row>
      <xdr:rowOff>143771</xdr:rowOff>
    </xdr:to>
    <xdr:sp macro="" textlink="">
      <xdr:nvSpPr>
        <xdr:cNvPr id="13" name="線吹き出し 1 (枠付き) 13">
          <a:extLst>
            <a:ext uri="{FF2B5EF4-FFF2-40B4-BE49-F238E27FC236}">
              <a16:creationId xmlns:a16="http://schemas.microsoft.com/office/drawing/2014/main" id="{462305DF-0E74-482A-BB60-13F85A5263E7}"/>
            </a:ext>
          </a:extLst>
        </xdr:cNvPr>
        <xdr:cNvSpPr/>
      </xdr:nvSpPr>
      <xdr:spPr>
        <a:xfrm>
          <a:off x="31664239" y="3382495"/>
          <a:ext cx="1785321" cy="795394"/>
        </a:xfrm>
        <a:prstGeom prst="borderCallout1">
          <a:avLst>
            <a:gd name="adj1" fmla="val 33093"/>
            <a:gd name="adj2" fmla="val -2637"/>
            <a:gd name="adj3" fmla="val 86202"/>
            <a:gd name="adj4" fmla="val -582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mn-ea"/>
              <a:cs typeface="Meiryo UI" panose="020B0604030504040204" pitchFamily="50" charset="-128"/>
            </a:rPr>
            <a:t>BEV3 </a:t>
          </a:r>
          <a:r>
            <a:rPr kumimoji="1" lang="ja-JP" altLang="en-US" sz="1200" b="1">
              <a:solidFill>
                <a:schemeClr val="tx1"/>
              </a:solidFill>
              <a:latin typeface="ＭＳ Ｐゴシック" panose="020B0600070205080204" pitchFamily="50" charset="-128"/>
              <a:ea typeface="+mn-ea"/>
              <a:cs typeface="Meiryo UI" panose="020B0604030504040204" pitchFamily="50" charset="-128"/>
            </a:rPr>
            <a:t>シス剣</a:t>
          </a:r>
          <a:r>
            <a:rPr kumimoji="1" lang="en-US" altLang="ja-JP" sz="1200" b="1">
              <a:solidFill>
                <a:schemeClr val="tx1"/>
              </a:solidFill>
              <a:latin typeface="ＭＳ Ｐゴシック" panose="020B0600070205080204" pitchFamily="50" charset="-128"/>
              <a:ea typeface="+mn-ea"/>
              <a:cs typeface="Meiryo UI" panose="020B0604030504040204" pitchFamily="50" charset="-128"/>
            </a:rPr>
            <a:t>ADAS</a:t>
          </a:r>
          <a:r>
            <a:rPr kumimoji="1" lang="ja-JP" altLang="en-US" sz="1200" b="1">
              <a:solidFill>
                <a:schemeClr val="tx1"/>
              </a:solidFill>
              <a:latin typeface="ＭＳ Ｐゴシック" panose="020B0600070205080204" pitchFamily="50" charset="-128"/>
              <a:ea typeface="+mn-ea"/>
              <a:cs typeface="Meiryo UI" panose="020B0604030504040204" pitchFamily="50" charset="-128"/>
            </a:rPr>
            <a:t>で</a:t>
          </a:r>
        </a:p>
        <a:p>
          <a:pPr algn="l"/>
          <a:r>
            <a:rPr kumimoji="1" lang="en-US" altLang="ja-JP" sz="1200" b="1">
              <a:solidFill>
                <a:schemeClr val="tx1"/>
              </a:solidFill>
              <a:latin typeface="ＭＳ Ｐゴシック" panose="020B0600070205080204" pitchFamily="50" charset="-128"/>
              <a:ea typeface="+mn-ea"/>
              <a:cs typeface="Meiryo UI" panose="020B0604030504040204" pitchFamily="50" charset="-128"/>
            </a:rPr>
            <a:t>RW</a:t>
          </a:r>
          <a:r>
            <a:rPr kumimoji="1" lang="ja-JP" altLang="en-US" sz="1200" b="1">
              <a:solidFill>
                <a:schemeClr val="tx1"/>
              </a:solidFill>
              <a:latin typeface="ＭＳ Ｐゴシック" panose="020B0600070205080204" pitchFamily="50" charset="-128"/>
              <a:ea typeface="+mn-ea"/>
              <a:cs typeface="Meiryo UI" panose="020B0604030504040204" pitchFamily="50" charset="-128"/>
            </a:rPr>
            <a:t>は</a:t>
          </a:r>
          <a:r>
            <a:rPr kumimoji="1" lang="en-US" altLang="ja-JP" sz="1200" b="1">
              <a:solidFill>
                <a:schemeClr val="tx1"/>
              </a:solidFill>
              <a:latin typeface="ＭＳ Ｐゴシック" panose="020B0600070205080204" pitchFamily="50" charset="-128"/>
              <a:ea typeface="+mn-ea"/>
              <a:cs typeface="Meiryo UI" panose="020B0604030504040204" pitchFamily="50" charset="-128"/>
            </a:rPr>
            <a:t>MCU</a:t>
          </a:r>
          <a:r>
            <a:rPr kumimoji="1" lang="ja-JP" altLang="en-US" sz="1200" b="1">
              <a:solidFill>
                <a:schemeClr val="tx1"/>
              </a:solidFill>
              <a:latin typeface="ＭＳ Ｐゴシック" panose="020B0600070205080204" pitchFamily="50" charset="-128"/>
              <a:ea typeface="+mn-ea"/>
              <a:cs typeface="Meiryo UI" panose="020B0604030504040204" pitchFamily="50" charset="-128"/>
            </a:rPr>
            <a:t>で発行されていないため対象外</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32_BEV_MCU_&#12471;&#12473;&#26908;ADAS&#21521;&#12369;_&#35373;&#35336;&#12469;&#12509;&#12540;&#12488;\Outpout\w%20BC\02_Input\01_&#12502;&#12470;&#12540;&#12398;&#12497;&#12521;&#12513;&#12540;&#12479;&#35373;&#35336;\&#12497;&#12521;&#12513;&#12540;&#12479;&#35373;&#35336;&#26360;(&#12505;&#12540;&#12473;)\old_BEV_&#12471;&#12473;&#26908;ADAS(&#12522;&#12505;&#12540;&#12473;&#23550;&#24540;)_Sound&#35373;&#35336;&#26360;.xlsx" TargetMode="External"/><Relationship Id="rId1" Type="http://schemas.openxmlformats.org/officeDocument/2006/relationships/externalLinkPath" Target="/32_BEV_MCU_&#12471;&#12473;&#26908;ADAS&#21521;&#12369;_&#35373;&#35336;&#12469;&#12509;&#12540;&#12488;/Outpout/w%20BC/02_Input/01_&#12502;&#12470;&#12540;&#12398;&#12497;&#12521;&#12513;&#12540;&#12479;&#35373;&#35336;/&#12497;&#12521;&#12513;&#12540;&#12479;&#35373;&#35336;&#26360;(&#12505;&#12540;&#12473;)/old_BEV_&#12471;&#12473;&#26908;ADAS(&#12522;&#12505;&#12540;&#12473;&#23550;&#24540;)_Sound&#35373;&#35336;&#2636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work\&#36554;&#31278;&#21029;&#38283;&#30330;&#12501;&#12457;&#12523;&#12480;\550B\CV-R\010B%20vs%20550BCV-R&#20181;&#27096;&#26360;&#27604;&#36611;2\&#35201;&#27714;&#20181;&#27096;&#26360;&#27604;&#36611;&#32080;&#26524;&#12522;&#12473;&#12488;_v0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history"/>
      <sheetName val="シート参照リスト"/>
      <sheetName val="凡例・項目説明"/>
      <sheetName val="CONTBUZZ_一覧"/>
      <sheetName val="Alert_Req一覧"/>
      <sheetName val="【入力】ブザーコンフィグリスト"/>
      <sheetName val="【入力】サウンドコンフィグリスト"/>
      <sheetName val="自動生成対象外REQ"/>
      <sheetName val="中間データ"/>
      <sheetName val="高優先対応の特別項目"/>
      <sheetName val="wchime_cfg_private.h"/>
      <sheetName val="wchime_arb.c"/>
      <sheetName val="wchime_reqidx.h"/>
      <sheetName val="wchime_arb_cfg.c"/>
      <sheetName val="wchime_req_cfg.c"/>
      <sheetName val="wchime_req_cfg.c(ブザー情報)"/>
      <sheetName val="sound_cri_mgr.c"/>
      <sheetName val="sound_cri_mgr.c(MCUCONST)"/>
      <sheetName val="【入力】ブザーコンフィグリスト_BASE"/>
      <sheetName val="19PFv3_CONTBUZZ_一覧"/>
    </sheetNames>
    <sheetDataSet>
      <sheetData sheetId="0" refreshError="1"/>
      <sheetData sheetId="1" refreshError="1"/>
      <sheetData sheetId="2" refreshError="1"/>
      <sheetData sheetId="3" refreshError="1"/>
      <sheetData sheetId="4">
        <row r="4">
          <cell r="E4" t="str">
            <v>メータ仕様書No.（参考）</v>
          </cell>
          <cell r="F4" t="str">
            <v>仕様書フォーマット
新/旧</v>
          </cell>
          <cell r="G4" t="str">
            <v>ブザー名称</v>
          </cell>
          <cell r="H4" t="str">
            <v>ID</v>
          </cell>
          <cell r="I4" t="str">
            <v>2CHタイプ</v>
          </cell>
          <cell r="K4" t="str">
            <v>4CHタイプ</v>
          </cell>
          <cell r="O4" t="str">
            <v>ブザー吹鳴状態</v>
          </cell>
          <cell r="P4" t="str">
            <v>ブザー音</v>
          </cell>
          <cell r="Q4" t="str">
            <v>断続吹鳴</v>
          </cell>
          <cell r="R4" t="str">
            <v>サウンドファイル
（サウンドファイルの適用や追番については定数仕様書に従うこと）</v>
          </cell>
          <cell r="T4" t="str">
            <v>ON DUTY(%)</v>
          </cell>
          <cell r="U4" t="str">
            <v>時定数τ(s)</v>
          </cell>
          <cell r="V4" t="str">
            <v>目標音圧(（dB(A)/1m）)</v>
          </cell>
          <cell r="W4" t="str">
            <v>メータブザー
長短</v>
          </cell>
          <cell r="X4" t="str">
            <v>緊急ブザー</v>
          </cell>
          <cell r="Y4" t="str">
            <v>優先度</v>
          </cell>
          <cell r="Z4" t="str">
            <v>(優先表示決定用)</v>
          </cell>
          <cell r="AC4" t="str">
            <v>情報</v>
          </cell>
        </row>
        <row r="5">
          <cell r="I5" t="str">
            <v>CH1</v>
          </cell>
          <cell r="J5" t="str">
            <v>CH2</v>
          </cell>
          <cell r="K5" t="str">
            <v>CH1</v>
          </cell>
          <cell r="L5" t="str">
            <v>CH2</v>
          </cell>
          <cell r="M5" t="str">
            <v>CH3</v>
          </cell>
          <cell r="N5" t="str">
            <v>CH4</v>
          </cell>
          <cell r="P5" t="str">
            <v>周波数(Hz)</v>
          </cell>
          <cell r="Q5" t="str">
            <v>周期(sec)</v>
          </cell>
          <cell r="R5" t="str">
            <v>トヨタ</v>
          </cell>
          <cell r="S5" t="str">
            <v>レクサス</v>
          </cell>
          <cell r="Y5" t="str">
            <v>※優先順位点数の定義参照</v>
          </cell>
          <cell r="Z5" t="str">
            <v>回避余裕</v>
          </cell>
          <cell r="AA5" t="str">
            <v>重大性</v>
          </cell>
          <cell r="AB5" t="str">
            <v>遭遇度合</v>
          </cell>
          <cell r="AC5" t="str">
            <v>種類</v>
          </cell>
        </row>
        <row r="6">
          <cell r="D6">
            <v>427</v>
          </cell>
          <cell r="E6" t="str">
            <v>MET-S_ADBZR-CSTD-0-</v>
          </cell>
          <cell r="F6" t="str">
            <v>新</v>
          </cell>
          <cell r="G6" t="str">
            <v>①PCSブレーキ強制駆動点検終了通知
②レーダ軸調整未完通知用
③カメラ軸調整開始通知</v>
          </cell>
          <cell r="H6" t="str">
            <v>S_ADBZR-CSTD-0-BZR01-REQ027-</v>
          </cell>
          <cell r="I6" t="str">
            <v>○</v>
          </cell>
          <cell r="K6" t="str">
            <v>○</v>
          </cell>
          <cell r="O6" t="str">
            <v>連続</v>
          </cell>
          <cell r="P6" t="str">
            <v>-</v>
          </cell>
          <cell r="Q6" t="str">
            <v>-</v>
          </cell>
          <cell r="R6" t="str">
            <v>MET-CBZ_BASE-CONTWARN-*-**-*</v>
          </cell>
          <cell r="S6" t="str">
            <v>MET-CBZ_BASE-CONTWARN-*-**-*</v>
          </cell>
          <cell r="T6" t="str">
            <v>-</v>
          </cell>
          <cell r="U6" t="str">
            <v>-</v>
          </cell>
          <cell r="V6" t="str">
            <v>定数仕様書に従うこと</v>
          </cell>
          <cell r="W6" t="str">
            <v>長</v>
          </cell>
          <cell r="X6" t="str">
            <v>-</v>
          </cell>
          <cell r="Y6">
            <v>10</v>
          </cell>
          <cell r="Z6">
            <v>0</v>
          </cell>
          <cell r="AA6">
            <v>0</v>
          </cell>
          <cell r="AB6">
            <v>0</v>
          </cell>
          <cell r="AC6" t="str">
            <v>Ⅲ</v>
          </cell>
        </row>
        <row r="7">
          <cell r="D7">
            <v>432</v>
          </cell>
          <cell r="E7" t="str">
            <v>MET-S_ADBZR-CSTD-0-</v>
          </cell>
          <cell r="F7" t="str">
            <v>新</v>
          </cell>
          <cell r="G7" t="str">
            <v>レーダ軸調整完了通知</v>
          </cell>
          <cell r="H7" t="str">
            <v>S_ADBZR-CSTD-0-BZR01-REQ032-</v>
          </cell>
          <cell r="I7" t="str">
            <v>○</v>
          </cell>
          <cell r="K7" t="str">
            <v>○</v>
          </cell>
          <cell r="O7" t="str">
            <v>断続</v>
          </cell>
          <cell r="P7" t="str">
            <v>-</v>
          </cell>
          <cell r="Q7" t="str">
            <v>-</v>
          </cell>
          <cell r="R7" t="str">
            <v>MET-CBZ_BASE-INTWARNL-*-**-*</v>
          </cell>
          <cell r="S7" t="str">
            <v>MET-CBZ_BASE-INTWARNL-*-**-*</v>
          </cell>
          <cell r="T7" t="str">
            <v>-</v>
          </cell>
          <cell r="U7" t="str">
            <v>-</v>
          </cell>
          <cell r="V7" t="str">
            <v>定数仕様書に従うこと</v>
          </cell>
          <cell r="W7" t="str">
            <v>長</v>
          </cell>
          <cell r="X7" t="str">
            <v>-</v>
          </cell>
          <cell r="Y7">
            <v>10</v>
          </cell>
          <cell r="Z7">
            <v>0</v>
          </cell>
          <cell r="AA7">
            <v>0</v>
          </cell>
          <cell r="AB7">
            <v>0</v>
          </cell>
          <cell r="AC7" t="str">
            <v>Ⅲ</v>
          </cell>
        </row>
        <row r="8">
          <cell r="D8">
            <v>434</v>
          </cell>
          <cell r="E8" t="str">
            <v>MET-S_ADBZR-CSTD-0-</v>
          </cell>
          <cell r="F8" t="str">
            <v>新</v>
          </cell>
          <cell r="G8" t="str">
            <v>カメラ軸調整完了通知</v>
          </cell>
          <cell r="H8" t="str">
            <v>S_ADBZR-CSTD-0-BZR01-REQ034-</v>
          </cell>
          <cell r="I8" t="str">
            <v>○</v>
          </cell>
          <cell r="K8" t="str">
            <v>○</v>
          </cell>
          <cell r="O8" t="str">
            <v>断続</v>
          </cell>
          <cell r="P8" t="str">
            <v>-</v>
          </cell>
          <cell r="Q8" t="str">
            <v>-</v>
          </cell>
          <cell r="R8" t="str">
            <v>MET-CBZ_BASE-INTWARNL-*-**-*</v>
          </cell>
          <cell r="S8" t="str">
            <v>MET-CBZ_BASE-INTWARNL-*-**-*</v>
          </cell>
          <cell r="T8" t="str">
            <v>-</v>
          </cell>
          <cell r="U8" t="str">
            <v>-</v>
          </cell>
          <cell r="V8" t="str">
            <v>定数仕様書に従うこと</v>
          </cell>
          <cell r="W8" t="str">
            <v>長</v>
          </cell>
          <cell r="X8" t="str">
            <v>-</v>
          </cell>
          <cell r="Y8">
            <v>10</v>
          </cell>
          <cell r="Z8">
            <v>0</v>
          </cell>
          <cell r="AA8">
            <v>0</v>
          </cell>
          <cell r="AB8">
            <v>0</v>
          </cell>
          <cell r="AC8" t="str">
            <v>Ⅲ</v>
          </cell>
        </row>
        <row r="9">
          <cell r="D9">
            <v>413</v>
          </cell>
          <cell r="E9" t="str">
            <v>MET-S_ADBZR-CSTD-0-</v>
          </cell>
          <cell r="F9" t="str">
            <v>新</v>
          </cell>
          <cell r="G9" t="str">
            <v>前後側方レーダー　ディーラー走行軸調整完了ブザー</v>
          </cell>
          <cell r="H9" t="str">
            <v>S_ADBZR-CSTD-0-BZR01-REQ013-</v>
          </cell>
          <cell r="I9" t="str">
            <v>○</v>
          </cell>
          <cell r="K9" t="str">
            <v>○</v>
          </cell>
          <cell r="O9" t="str">
            <v>断続</v>
          </cell>
          <cell r="P9" t="str">
            <v>-</v>
          </cell>
          <cell r="Q9" t="str">
            <v>-</v>
          </cell>
          <cell r="R9" t="str">
            <v>MET-CBZ_BASE-INTWARNM-*-**-*</v>
          </cell>
          <cell r="S9" t="str">
            <v>MET-CBZ_BASE-INTWARNM-*-**-*</v>
          </cell>
          <cell r="T9" t="str">
            <v>-</v>
          </cell>
          <cell r="U9" t="str">
            <v>-</v>
          </cell>
          <cell r="V9" t="str">
            <v>定数仕様書に従うこと</v>
          </cell>
          <cell r="W9" t="str">
            <v>長</v>
          </cell>
          <cell r="X9" t="str">
            <v>-</v>
          </cell>
          <cell r="Y9">
            <v>10</v>
          </cell>
          <cell r="Z9">
            <v>0</v>
          </cell>
          <cell r="AA9">
            <v>0</v>
          </cell>
          <cell r="AB9">
            <v>0</v>
          </cell>
          <cell r="AC9" t="str">
            <v>Ⅲ</v>
          </cell>
        </row>
        <row r="10">
          <cell r="D10">
            <v>414</v>
          </cell>
          <cell r="E10" t="str">
            <v>MET-S_ADBZR-CSTD-0-</v>
          </cell>
          <cell r="F10" t="str">
            <v>新</v>
          </cell>
          <cell r="G10" t="str">
            <v>前後側方レーダー　ディーラー走行軸調整異常ブザー</v>
          </cell>
          <cell r="H10" t="str">
            <v>S_ADBZR-CSTD-0-BZR01-REQ014-</v>
          </cell>
          <cell r="I10" t="str">
            <v>○</v>
          </cell>
          <cell r="K10" t="str">
            <v>○</v>
          </cell>
          <cell r="O10" t="str">
            <v>断続</v>
          </cell>
          <cell r="P10" t="str">
            <v>-</v>
          </cell>
          <cell r="Q10" t="str">
            <v>-</v>
          </cell>
          <cell r="R10" t="str">
            <v>MET-CBZ_BASE-INTWARNH-*-**-*</v>
          </cell>
          <cell r="S10" t="str">
            <v>MET-CBZ_BASE-INTWARNH-*-**-*</v>
          </cell>
          <cell r="T10" t="str">
            <v>-</v>
          </cell>
          <cell r="U10" t="str">
            <v>-</v>
          </cell>
          <cell r="V10" t="str">
            <v>定数仕様書に従うこと</v>
          </cell>
          <cell r="W10" t="str">
            <v>長</v>
          </cell>
          <cell r="X10" t="str">
            <v>-</v>
          </cell>
          <cell r="Y10">
            <v>10</v>
          </cell>
          <cell r="Z10">
            <v>0</v>
          </cell>
          <cell r="AA10">
            <v>0</v>
          </cell>
          <cell r="AB10">
            <v>0</v>
          </cell>
          <cell r="AC10" t="str">
            <v>Ⅲ</v>
          </cell>
        </row>
        <row r="11">
          <cell r="D11">
            <v>10</v>
          </cell>
          <cell r="E11" t="str">
            <v>MET-H_REASYS-CSTD-0-</v>
          </cell>
          <cell r="F11" t="str">
            <v>新</v>
          </cell>
          <cell r="G11" t="str">
            <v>READYブザー</v>
          </cell>
          <cell r="H11" t="str">
            <v>H_REASYS-CSTD-0-BZR01-REQ01-</v>
          </cell>
          <cell r="I11" t="str">
            <v>○</v>
          </cell>
          <cell r="K11" t="str">
            <v>○</v>
          </cell>
          <cell r="O11" t="str">
            <v>単発</v>
          </cell>
          <cell r="P11" t="str">
            <v>-</v>
          </cell>
          <cell r="Q11" t="str">
            <v>-</v>
          </cell>
          <cell r="R11" t="str">
            <v>MET-CBZ_BASE-NOTICE2-*-**-*</v>
          </cell>
          <cell r="S11" t="str">
            <v>MET-CBZ_BASE-NOTICE2-*-**-*</v>
          </cell>
          <cell r="T11" t="str">
            <v>-</v>
          </cell>
          <cell r="U11" t="str">
            <v>-</v>
          </cell>
          <cell r="V11" t="str">
            <v>定数仕様書に従うこと</v>
          </cell>
          <cell r="W11" t="str">
            <v>短</v>
          </cell>
          <cell r="X11" t="str">
            <v>-</v>
          </cell>
          <cell r="Y11">
            <v>9</v>
          </cell>
          <cell r="Z11">
            <v>1</v>
          </cell>
          <cell r="AA11">
            <v>2</v>
          </cell>
          <cell r="AB11">
            <v>0</v>
          </cell>
          <cell r="AC11" t="str">
            <v>Ⅲ</v>
          </cell>
        </row>
        <row r="12">
          <cell r="D12">
            <v>429</v>
          </cell>
          <cell r="E12" t="str">
            <v>MET-S_ADBZR-CSTD-0-</v>
          </cell>
          <cell r="F12" t="str">
            <v>新</v>
          </cell>
          <cell r="G12" t="str">
            <v>法規/アセス:PCS警報</v>
          </cell>
          <cell r="H12" t="str">
            <v>S_ADBZR-CSTD-0-BZR01-REQ029-</v>
          </cell>
          <cell r="I12" t="str">
            <v>○</v>
          </cell>
          <cell r="K12" t="str">
            <v>○</v>
          </cell>
          <cell r="O12" t="str">
            <v>断続</v>
          </cell>
          <cell r="P12" t="str">
            <v>-</v>
          </cell>
          <cell r="Q12" t="str">
            <v>-</v>
          </cell>
          <cell r="R12" t="str">
            <v>MET-CBZ_BASE-INTWARNH-*-**-*</v>
          </cell>
          <cell r="S12" t="str">
            <v>MET-CBZ_BASE-INTWARNH-*-**-*</v>
          </cell>
          <cell r="T12" t="str">
            <v>-</v>
          </cell>
          <cell r="U12" t="str">
            <v>-</v>
          </cell>
          <cell r="V12" t="str">
            <v>定数仕様書に従うこと</v>
          </cell>
          <cell r="W12" t="str">
            <v>長</v>
          </cell>
          <cell r="X12" t="str">
            <v>○</v>
          </cell>
          <cell r="Y12">
            <v>9</v>
          </cell>
          <cell r="Z12">
            <v>3</v>
          </cell>
          <cell r="AA12">
            <v>3</v>
          </cell>
          <cell r="AB12">
            <v>3</v>
          </cell>
          <cell r="AC12" t="str">
            <v>Ⅱ</v>
          </cell>
        </row>
        <row r="13">
          <cell r="D13">
            <v>446</v>
          </cell>
          <cell r="E13" t="str">
            <v>MET-S_ADBZR-CSTD-0-</v>
          </cell>
          <cell r="F13" t="str">
            <v>新</v>
          </cell>
          <cell r="G13" t="str">
            <v>ACC 制御対象に対する接近警報</v>
          </cell>
          <cell r="H13" t="str">
            <v>S_ADBZR-CSTD-0-BZR01-REQ046-</v>
          </cell>
          <cell r="I13" t="str">
            <v>○</v>
          </cell>
          <cell r="K13" t="str">
            <v>○</v>
          </cell>
          <cell r="O13" t="str">
            <v>断続</v>
          </cell>
          <cell r="P13" t="str">
            <v>-</v>
          </cell>
          <cell r="Q13" t="str">
            <v>-</v>
          </cell>
          <cell r="R13" t="str">
            <v>MET-CBZ_BASE-INTWARNH-*-**-*</v>
          </cell>
          <cell r="S13" t="str">
            <v>MET-CBZ_BASE-INTWARNH-*-**-*</v>
          </cell>
          <cell r="T13" t="str">
            <v>-</v>
          </cell>
          <cell r="U13" t="str">
            <v>-</v>
          </cell>
          <cell r="V13" t="str">
            <v>定数仕様書に従うこと</v>
          </cell>
          <cell r="W13" t="str">
            <v>長</v>
          </cell>
          <cell r="X13" t="str">
            <v>-</v>
          </cell>
          <cell r="Y13">
            <v>9</v>
          </cell>
          <cell r="Z13">
            <v>3</v>
          </cell>
          <cell r="AA13">
            <v>3</v>
          </cell>
          <cell r="AB13">
            <v>3</v>
          </cell>
          <cell r="AC13" t="str">
            <v>Ⅱ</v>
          </cell>
        </row>
        <row r="14">
          <cell r="D14">
            <v>292</v>
          </cell>
          <cell r="E14" t="str">
            <v>MET-C_STEER-CSTD-0-</v>
          </cell>
          <cell r="F14" t="str">
            <v>新</v>
          </cell>
          <cell r="G14" t="str">
            <v>StrBW 退避走行ブザー</v>
          </cell>
          <cell r="H14" t="str">
            <v>C_STEER-CSTD-0-BZR01-REQ04-</v>
          </cell>
          <cell r="I14" t="str">
            <v>○</v>
          </cell>
          <cell r="K14" t="str">
            <v>○</v>
          </cell>
          <cell r="O14" t="str">
            <v>断続</v>
          </cell>
          <cell r="P14" t="str">
            <v>-</v>
          </cell>
          <cell r="Q14" t="str">
            <v>-</v>
          </cell>
          <cell r="R14" t="str">
            <v>MET-CBZ_BASE-INTWARNH-*-**-*</v>
          </cell>
          <cell r="S14" t="str">
            <v>MET-CBZ_BASE-INTWARNH-*-**-*</v>
          </cell>
          <cell r="T14" t="str">
            <v>-</v>
          </cell>
          <cell r="U14" t="str">
            <v>-</v>
          </cell>
          <cell r="V14" t="str">
            <v>定数仕様書に従うこと</v>
          </cell>
          <cell r="W14" t="str">
            <v>長</v>
          </cell>
          <cell r="X14" t="str">
            <v>-</v>
          </cell>
          <cell r="Y14">
            <v>9</v>
          </cell>
          <cell r="Z14">
            <v>3</v>
          </cell>
          <cell r="AA14">
            <v>3</v>
          </cell>
          <cell r="AB14">
            <v>3</v>
          </cell>
          <cell r="AC14" t="str">
            <v>Ⅱ</v>
          </cell>
        </row>
        <row r="15">
          <cell r="D15">
            <v>419</v>
          </cell>
          <cell r="E15" t="str">
            <v>MET-S_ADBZR-CSTD-0-</v>
          </cell>
          <cell r="F15" t="str">
            <v>新</v>
          </cell>
          <cell r="G15" t="str">
            <v>LCA 接近警報ブザー</v>
          </cell>
          <cell r="H15" t="str">
            <v>S_ADBZR-CSTD-0-BZR01-REQ019-</v>
          </cell>
          <cell r="I15" t="str">
            <v>○</v>
          </cell>
          <cell r="K15" t="str">
            <v>○</v>
          </cell>
          <cell r="O15" t="str">
            <v>断続</v>
          </cell>
          <cell r="P15" t="str">
            <v>-</v>
          </cell>
          <cell r="Q15" t="str">
            <v>-</v>
          </cell>
          <cell r="R15" t="str">
            <v>MET-CBZ_BASE-INTWARNH-*-**-*</v>
          </cell>
          <cell r="S15" t="str">
            <v>MET-CBZ_BASE-INTWARNH-*-**-*</v>
          </cell>
          <cell r="T15" t="str">
            <v>-</v>
          </cell>
          <cell r="U15" t="str">
            <v>-</v>
          </cell>
          <cell r="V15" t="str">
            <v>定数仕様書に従うこと</v>
          </cell>
          <cell r="W15" t="str">
            <v>長</v>
          </cell>
          <cell r="X15" t="str">
            <v>-</v>
          </cell>
          <cell r="Y15">
            <v>8</v>
          </cell>
          <cell r="Z15">
            <v>3</v>
          </cell>
          <cell r="AA15">
            <v>3</v>
          </cell>
          <cell r="AB15">
            <v>2</v>
          </cell>
          <cell r="AC15" t="str">
            <v>Ⅱ</v>
          </cell>
        </row>
        <row r="16">
          <cell r="D16">
            <v>536</v>
          </cell>
          <cell r="E16" t="str">
            <v>MET-S_TMBZR-CSTD-0</v>
          </cell>
          <cell r="F16" t="str">
            <v>新</v>
          </cell>
          <cell r="G16" t="str">
            <v>緊迫(大)：優先度８</v>
          </cell>
          <cell r="H16" t="str">
            <v>S_TMBZR-CSTD-0-BZR01-REQ035-</v>
          </cell>
          <cell r="I16" t="str">
            <v>○</v>
          </cell>
          <cell r="K16" t="str">
            <v>○</v>
          </cell>
          <cell r="O16" t="str">
            <v>断続</v>
          </cell>
          <cell r="P16" t="str">
            <v>-</v>
          </cell>
          <cell r="Q16" t="str">
            <v>-</v>
          </cell>
          <cell r="R16" t="str">
            <v>MET-CBZ_BASE-INTWARNH-*-**-*</v>
          </cell>
          <cell r="S16" t="str">
            <v>MET-CBZ_BASE-INTWARNH-*-**-*</v>
          </cell>
          <cell r="T16" t="str">
            <v>-</v>
          </cell>
          <cell r="U16" t="str">
            <v>-</v>
          </cell>
          <cell r="V16" t="str">
            <v>定数仕様書に従うこと</v>
          </cell>
          <cell r="W16" t="str">
            <v>長</v>
          </cell>
          <cell r="X16" t="str">
            <v>-</v>
          </cell>
          <cell r="Y16">
            <v>8</v>
          </cell>
          <cell r="Z16">
            <v>3</v>
          </cell>
          <cell r="AA16">
            <v>3</v>
          </cell>
          <cell r="AB16">
            <v>2</v>
          </cell>
          <cell r="AC16" t="str">
            <v>Ⅱ</v>
          </cell>
        </row>
        <row r="17">
          <cell r="D17">
            <v>440</v>
          </cell>
          <cell r="E17" t="str">
            <v>MET-S_ADBZR-CSTD-0-</v>
          </cell>
          <cell r="F17" t="str">
            <v>新</v>
          </cell>
          <cell r="G17" t="str">
            <v>法規/アセス:SEA警告</v>
          </cell>
          <cell r="H17" t="str">
            <v>S_ADBZR-CSTD-0-BZR01-REQ040-</v>
          </cell>
          <cell r="I17" t="str">
            <v>○</v>
          </cell>
          <cell r="K17" t="str">
            <v>○</v>
          </cell>
          <cell r="O17" t="str">
            <v>断続</v>
          </cell>
          <cell r="P17" t="str">
            <v>-</v>
          </cell>
          <cell r="Q17" t="str">
            <v>-</v>
          </cell>
          <cell r="R17" t="str">
            <v>MET-CBZ_BASE-INTWARNH-*-**-*</v>
          </cell>
          <cell r="S17" t="str">
            <v>MET-CBZ_BASE-INTWARNH-*-**-*</v>
          </cell>
          <cell r="T17" t="str">
            <v>-</v>
          </cell>
          <cell r="U17" t="str">
            <v>-</v>
          </cell>
          <cell r="V17" t="str">
            <v>定数仕様書に従うこと</v>
          </cell>
          <cell r="W17" t="str">
            <v>長</v>
          </cell>
          <cell r="X17" t="str">
            <v>-</v>
          </cell>
          <cell r="Y17">
            <v>8</v>
          </cell>
          <cell r="Z17">
            <v>3</v>
          </cell>
          <cell r="AA17">
            <v>2</v>
          </cell>
          <cell r="AB17">
            <v>3</v>
          </cell>
          <cell r="AC17" t="str">
            <v>Ⅱ</v>
          </cell>
        </row>
        <row r="18">
          <cell r="D18">
            <v>457</v>
          </cell>
          <cell r="E18" t="str">
            <v>MET-S_ADBZR-CSTD-0-</v>
          </cell>
          <cell r="F18" t="str">
            <v>新</v>
          </cell>
          <cell r="G18" t="str">
            <v>クリアランスソナーフロント検知（最接近距離/近距離）</v>
          </cell>
          <cell r="H18" t="str">
            <v>S_ADBZR-CSTD-0-BZR01-REQ057-</v>
          </cell>
          <cell r="I18" t="str">
            <v>○</v>
          </cell>
          <cell r="M18" t="str">
            <v>○</v>
          </cell>
          <cell r="O18" t="str">
            <v>連続</v>
          </cell>
          <cell r="P18" t="str">
            <v>-</v>
          </cell>
          <cell r="Q18" t="str">
            <v>-</v>
          </cell>
          <cell r="R18" t="str">
            <v>MET-TBZ_CLESON-FRS-**-**-*</v>
          </cell>
          <cell r="S18" t="str">
            <v>MET-LBZ_CLESON-FRS-**-**-*</v>
          </cell>
          <cell r="T18" t="str">
            <v>-</v>
          </cell>
          <cell r="U18" t="str">
            <v>-</v>
          </cell>
          <cell r="V18" t="str">
            <v>定数仕様書に従うこと</v>
          </cell>
          <cell r="W18" t="str">
            <v>長</v>
          </cell>
          <cell r="X18" t="str">
            <v>-</v>
          </cell>
          <cell r="Y18">
            <v>8</v>
          </cell>
          <cell r="Z18">
            <v>3</v>
          </cell>
          <cell r="AA18">
            <v>2</v>
          </cell>
          <cell r="AB18">
            <v>3</v>
          </cell>
          <cell r="AC18" t="str">
            <v>Ⅱ</v>
          </cell>
        </row>
        <row r="19">
          <cell r="D19">
            <v>458</v>
          </cell>
          <cell r="E19" t="str">
            <v>MET-S_ADBZR-CSTD-0-</v>
          </cell>
          <cell r="F19" t="str">
            <v>新</v>
          </cell>
          <cell r="G19" t="str">
            <v>クリアランスソナーフロント検知（中距離）</v>
          </cell>
          <cell r="H19" t="str">
            <v>S_ADBZR-CSTD-0-BZR01-REQ058-</v>
          </cell>
          <cell r="I19" t="str">
            <v>○</v>
          </cell>
          <cell r="M19" t="str">
            <v>○</v>
          </cell>
          <cell r="O19" t="str">
            <v>断続</v>
          </cell>
          <cell r="P19" t="str">
            <v>-</v>
          </cell>
          <cell r="Q19" t="str">
            <v>-</v>
          </cell>
          <cell r="R19" t="str">
            <v>MET-TBZ_CLESON-FRM-**-**-*</v>
          </cell>
          <cell r="S19" t="str">
            <v>MET-LBZ_CLESON-FRM-**-**-*</v>
          </cell>
          <cell r="T19" t="str">
            <v>-</v>
          </cell>
          <cell r="U19" t="str">
            <v>-</v>
          </cell>
          <cell r="V19" t="str">
            <v>定数仕様書に従うこと</v>
          </cell>
          <cell r="W19" t="str">
            <v>長</v>
          </cell>
          <cell r="X19" t="str">
            <v>-</v>
          </cell>
          <cell r="Y19">
            <v>8</v>
          </cell>
          <cell r="Z19">
            <v>3</v>
          </cell>
          <cell r="AA19">
            <v>2</v>
          </cell>
          <cell r="AB19">
            <v>3</v>
          </cell>
          <cell r="AC19" t="str">
            <v>Ⅱ</v>
          </cell>
        </row>
        <row r="20">
          <cell r="D20">
            <v>461</v>
          </cell>
          <cell r="E20" t="str">
            <v>MET-S_ADBZR-CSTD-0-</v>
          </cell>
          <cell r="F20" t="str">
            <v>新</v>
          </cell>
          <cell r="G20" t="str">
            <v>クリアランスソナーリア検知（最接近距離/近距離）</v>
          </cell>
          <cell r="H20" t="str">
            <v>S_ADBZR-CSTD-0-BZR01-REQ061-</v>
          </cell>
          <cell r="I20" t="str">
            <v>○</v>
          </cell>
          <cell r="M20" t="str">
            <v>○</v>
          </cell>
          <cell r="O20" t="str">
            <v>連続</v>
          </cell>
          <cell r="P20" t="str">
            <v>-</v>
          </cell>
          <cell r="Q20" t="str">
            <v>-</v>
          </cell>
          <cell r="R20" t="str">
            <v>MET-TBZ_CLESON-FRS-**-**-*</v>
          </cell>
          <cell r="S20" t="str">
            <v>MET-LBZ_CLESON-FRS-**-**-*</v>
          </cell>
          <cell r="T20" t="str">
            <v>-</v>
          </cell>
          <cell r="U20" t="str">
            <v>-</v>
          </cell>
          <cell r="V20" t="str">
            <v>定数仕様書に従うこと</v>
          </cell>
          <cell r="W20" t="str">
            <v>長</v>
          </cell>
          <cell r="X20" t="str">
            <v>-</v>
          </cell>
          <cell r="Y20">
            <v>8</v>
          </cell>
          <cell r="Z20">
            <v>3</v>
          </cell>
          <cell r="AA20">
            <v>2</v>
          </cell>
          <cell r="AB20">
            <v>3</v>
          </cell>
          <cell r="AC20" t="str">
            <v>Ⅱ</v>
          </cell>
        </row>
        <row r="21">
          <cell r="D21">
            <v>462</v>
          </cell>
          <cell r="E21" t="str">
            <v>MET-S_ADBZR-CSTD-0-</v>
          </cell>
          <cell r="F21" t="str">
            <v>新</v>
          </cell>
          <cell r="G21" t="str">
            <v>クリアランスソナーリア検知（中距離）</v>
          </cell>
          <cell r="H21" t="str">
            <v>S_ADBZR-CSTD-0-BZR01-REQ062-</v>
          </cell>
          <cell r="I21" t="str">
            <v>○</v>
          </cell>
          <cell r="M21" t="str">
            <v>○</v>
          </cell>
          <cell r="O21" t="str">
            <v>断続</v>
          </cell>
          <cell r="P21" t="str">
            <v>-</v>
          </cell>
          <cell r="Q21" t="str">
            <v>-</v>
          </cell>
          <cell r="R21" t="str">
            <v>MET-TBZ_CLESON-RRM-**-**-*</v>
          </cell>
          <cell r="S21" t="str">
            <v>MET-LBZ_CLESON-RRM-**-**-*</v>
          </cell>
          <cell r="T21" t="str">
            <v>-</v>
          </cell>
          <cell r="U21" t="str">
            <v>-</v>
          </cell>
          <cell r="V21" t="str">
            <v>定数仕様書に従うこと</v>
          </cell>
          <cell r="W21" t="str">
            <v>長</v>
          </cell>
          <cell r="X21" t="str">
            <v>-</v>
          </cell>
          <cell r="Y21">
            <v>8</v>
          </cell>
          <cell r="Z21">
            <v>3</v>
          </cell>
          <cell r="AA21">
            <v>2</v>
          </cell>
          <cell r="AB21">
            <v>3</v>
          </cell>
          <cell r="AC21" t="str">
            <v>Ⅱ</v>
          </cell>
        </row>
        <row r="22">
          <cell r="D22">
            <v>465</v>
          </cell>
          <cell r="E22" t="str">
            <v>MET-S_ADBZR-CSTD-0-</v>
          </cell>
          <cell r="F22" t="str">
            <v>新</v>
          </cell>
          <cell r="G22" t="str">
            <v>クリアランスソナーフロント&amp;リア検知（最接近距離/近距離）</v>
          </cell>
          <cell r="H22" t="str">
            <v>S_ADBZR-CSTD-0-BZR01-REQ065-</v>
          </cell>
          <cell r="I22" t="str">
            <v>○</v>
          </cell>
          <cell r="M22" t="str">
            <v>○</v>
          </cell>
          <cell r="O22" t="str">
            <v>連続</v>
          </cell>
          <cell r="P22" t="str">
            <v>-</v>
          </cell>
          <cell r="Q22" t="str">
            <v>-</v>
          </cell>
          <cell r="R22" t="str">
            <v>MET-TBZ_CLESON-FRS-**-**-*</v>
          </cell>
          <cell r="S22" t="str">
            <v>MET-LBZ_CLESON-FRS-**-**-*</v>
          </cell>
          <cell r="T22" t="str">
            <v>-</v>
          </cell>
          <cell r="U22" t="str">
            <v>-</v>
          </cell>
          <cell r="V22" t="str">
            <v>定数仕様書に従うこと</v>
          </cell>
          <cell r="W22" t="str">
            <v>長</v>
          </cell>
          <cell r="X22" t="str">
            <v>-</v>
          </cell>
          <cell r="Y22">
            <v>8</v>
          </cell>
          <cell r="Z22">
            <v>3</v>
          </cell>
          <cell r="AA22">
            <v>2</v>
          </cell>
          <cell r="AB22">
            <v>3</v>
          </cell>
          <cell r="AC22" t="str">
            <v>Ⅱ</v>
          </cell>
        </row>
        <row r="23">
          <cell r="D23">
            <v>466</v>
          </cell>
          <cell r="E23" t="str">
            <v>MET-S_ADBZR-CSTD-0-</v>
          </cell>
          <cell r="F23" t="str">
            <v>新</v>
          </cell>
          <cell r="G23" t="str">
            <v>クリアランスソナーフロント&amp;リア検知（中距離）</v>
          </cell>
          <cell r="H23" t="str">
            <v>S_ADBZR-CSTD-0-BZR01-REQ066-</v>
          </cell>
          <cell r="I23" t="str">
            <v>○</v>
          </cell>
          <cell r="M23" t="str">
            <v>○</v>
          </cell>
          <cell r="O23" t="str">
            <v>断続</v>
          </cell>
          <cell r="P23" t="str">
            <v>-</v>
          </cell>
          <cell r="Q23" t="str">
            <v>-</v>
          </cell>
          <cell r="R23" t="str">
            <v>MET-TBZ_CLESON-FRM-**-**-*とMET-TBZ_CLESON-RRM-**-**-*の合成音</v>
          </cell>
          <cell r="S23" t="str">
            <v>MET-LBZ_CLESON-FRM-**-**-*とMET-LBZ_CLESON-RRM-**-**-*の合成音</v>
          </cell>
          <cell r="T23" t="str">
            <v>-</v>
          </cell>
          <cell r="U23" t="str">
            <v>-</v>
          </cell>
          <cell r="V23" t="str">
            <v>定数仕様書に従うこと</v>
          </cell>
          <cell r="W23" t="str">
            <v>長</v>
          </cell>
          <cell r="X23" t="str">
            <v>-</v>
          </cell>
          <cell r="Y23">
            <v>8</v>
          </cell>
          <cell r="Z23">
            <v>3</v>
          </cell>
          <cell r="AA23">
            <v>2</v>
          </cell>
          <cell r="AB23">
            <v>3</v>
          </cell>
          <cell r="AC23" t="str">
            <v>Ⅱ</v>
          </cell>
        </row>
        <row r="24">
          <cell r="D24">
            <v>469</v>
          </cell>
          <cell r="E24" t="str">
            <v>MET-S_ADBZR-CSTD-0-</v>
          </cell>
          <cell r="F24" t="str">
            <v>新</v>
          </cell>
          <cell r="G24" t="str">
            <v>RCTAブザー</v>
          </cell>
          <cell r="H24" t="str">
            <v>S_ADBZR-CSTD-0-BZR01-REQ069-</v>
          </cell>
          <cell r="I24" t="str">
            <v>○</v>
          </cell>
          <cell r="K24" t="str">
            <v>○</v>
          </cell>
          <cell r="O24" t="str">
            <v>断続</v>
          </cell>
          <cell r="P24" t="str">
            <v>-</v>
          </cell>
          <cell r="Q24" t="str">
            <v>-</v>
          </cell>
          <cell r="R24" t="str">
            <v>MET-CBZ_BASE-INTWARNH-*-**-*</v>
          </cell>
          <cell r="S24" t="str">
            <v>MET-CBZ_BASE-INTWARNH-*-**-*</v>
          </cell>
          <cell r="T24" t="str">
            <v>-</v>
          </cell>
          <cell r="U24" t="str">
            <v>-</v>
          </cell>
          <cell r="V24" t="str">
            <v>定数仕様書に従うこと</v>
          </cell>
          <cell r="W24" t="str">
            <v>長</v>
          </cell>
          <cell r="X24" t="str">
            <v>-</v>
          </cell>
          <cell r="Y24">
            <v>8</v>
          </cell>
          <cell r="Z24">
            <v>3</v>
          </cell>
          <cell r="AA24">
            <v>2</v>
          </cell>
          <cell r="AB24">
            <v>3</v>
          </cell>
          <cell r="AC24" t="str">
            <v>Ⅱ</v>
          </cell>
        </row>
        <row r="25">
          <cell r="D25">
            <v>486</v>
          </cell>
          <cell r="E25" t="str">
            <v>MET-H_SYSMAL-CSTD-2-</v>
          </cell>
          <cell r="F25" t="str">
            <v>新</v>
          </cell>
          <cell r="G25" t="str">
            <v>HVシステムブザー（退避走行・残距離無し）</v>
          </cell>
          <cell r="H25" t="str">
            <v>H_SYSMAL-CSTD-2-BZR01-REQ04-</v>
          </cell>
          <cell r="I25" t="str">
            <v>○</v>
          </cell>
          <cell r="K25" t="str">
            <v>○</v>
          </cell>
          <cell r="O25" t="str">
            <v>断続</v>
          </cell>
          <cell r="P25" t="str">
            <v>-</v>
          </cell>
          <cell r="Q25" t="str">
            <v>-</v>
          </cell>
          <cell r="R25" t="str">
            <v>MET-CBZ_BASE-INTWARNH-*-**-*</v>
          </cell>
          <cell r="S25" t="str">
            <v>MET-CBZ_BASE-INTWARNH-*-**-*</v>
          </cell>
          <cell r="T25" t="str">
            <v>-</v>
          </cell>
          <cell r="U25" t="str">
            <v>-</v>
          </cell>
          <cell r="V25" t="str">
            <v>定数仕様書に従うこと</v>
          </cell>
          <cell r="W25" t="str">
            <v>長</v>
          </cell>
          <cell r="X25" t="str">
            <v>-</v>
          </cell>
          <cell r="Y25">
            <v>8</v>
          </cell>
          <cell r="Z25">
            <v>2</v>
          </cell>
          <cell r="AA25">
            <v>3</v>
          </cell>
          <cell r="AB25">
            <v>3</v>
          </cell>
          <cell r="AC25" t="str">
            <v>Ⅱ</v>
          </cell>
        </row>
        <row r="26">
          <cell r="D26">
            <v>499</v>
          </cell>
          <cell r="E26" t="str">
            <v>MET-S_ADBZR-CSTD-0-</v>
          </cell>
          <cell r="F26" t="str">
            <v>新</v>
          </cell>
          <cell r="G26" t="str">
            <v>Trailer is going to collide with obstacle</v>
          </cell>
          <cell r="H26" t="str">
            <v>S_ADBZR-CSTD-0-BZR01-REQ077-</v>
          </cell>
          <cell r="I26" t="str">
            <v>〇</v>
          </cell>
          <cell r="K26" t="str">
            <v>〇</v>
          </cell>
          <cell r="O26" t="str">
            <v>断続</v>
          </cell>
          <cell r="P26" t="str">
            <v>-</v>
          </cell>
          <cell r="Q26" t="str">
            <v>-</v>
          </cell>
          <cell r="R26" t="str">
            <v>MET-CBZ_BASE-INTWARNM-*-**-*</v>
          </cell>
          <cell r="S26" t="str">
            <v>MET-CBZ_BASE-INTWARNM-*-**-*</v>
          </cell>
          <cell r="T26" t="str">
            <v>-</v>
          </cell>
          <cell r="U26" t="str">
            <v>-</v>
          </cell>
          <cell r="V26" t="str">
            <v>定数仕様書に従うこと</v>
          </cell>
          <cell r="W26" t="str">
            <v>長</v>
          </cell>
          <cell r="X26" t="str">
            <v>-</v>
          </cell>
          <cell r="Y26">
            <v>7</v>
          </cell>
          <cell r="Z26">
            <v>3</v>
          </cell>
          <cell r="AA26">
            <v>3</v>
          </cell>
          <cell r="AB26">
            <v>1</v>
          </cell>
          <cell r="AC26" t="str">
            <v>Ⅱ</v>
          </cell>
        </row>
        <row r="27">
          <cell r="D27">
            <v>433</v>
          </cell>
          <cell r="E27" t="str">
            <v>MET-S_ADBZR-CSTD-0-</v>
          </cell>
          <cell r="F27" t="str">
            <v>新</v>
          </cell>
          <cell r="G27" t="str">
            <v>①PCSブレーキ強制駆動点検開始通知
②歩行者警報、右折注意喚起、左折注意喚起</v>
          </cell>
          <cell r="H27" t="str">
            <v>S_ADBZR-CSTD-0-BZR01-REQ033-</v>
          </cell>
          <cell r="I27" t="str">
            <v>○</v>
          </cell>
          <cell r="K27" t="str">
            <v>○</v>
          </cell>
          <cell r="O27" t="str">
            <v>断続</v>
          </cell>
          <cell r="P27" t="str">
            <v>-</v>
          </cell>
          <cell r="Q27" t="str">
            <v>-</v>
          </cell>
          <cell r="R27" t="str">
            <v>MET-CBZ_BASE-INTWARNM-*-**-*</v>
          </cell>
          <cell r="S27" t="str">
            <v>MET-CBZ_BASE-INTWARNM-*-**-*</v>
          </cell>
          <cell r="T27" t="str">
            <v>-</v>
          </cell>
          <cell r="U27" t="str">
            <v>-</v>
          </cell>
          <cell r="V27" t="str">
            <v>定数仕様書に従うこと</v>
          </cell>
          <cell r="W27" t="str">
            <v>長</v>
          </cell>
          <cell r="X27" t="str">
            <v>○</v>
          </cell>
          <cell r="Y27">
            <v>7</v>
          </cell>
          <cell r="Z27">
            <v>3</v>
          </cell>
          <cell r="AA27">
            <v>2</v>
          </cell>
          <cell r="AB27">
            <v>2</v>
          </cell>
          <cell r="AC27" t="str">
            <v>Ⅱ</v>
          </cell>
        </row>
        <row r="28">
          <cell r="D28">
            <v>416</v>
          </cell>
          <cell r="E28" t="str">
            <v>MET-S_ADBZR-CSTD-0-</v>
          </cell>
          <cell r="F28" t="str">
            <v>新</v>
          </cell>
          <cell r="G28" t="str">
            <v>FCTA 踏み止まり支援ブザー</v>
          </cell>
          <cell r="H28" t="str">
            <v>S_ADBZR-CSTD-0-BZR01-REQ016-</v>
          </cell>
          <cell r="I28" t="str">
            <v>○</v>
          </cell>
          <cell r="K28" t="str">
            <v>○</v>
          </cell>
          <cell r="O28" t="str">
            <v>断続</v>
          </cell>
          <cell r="P28" t="str">
            <v>-</v>
          </cell>
          <cell r="Q28" t="str">
            <v>-</v>
          </cell>
          <cell r="R28" t="str">
            <v>MET-CBZ_BASE-INTWARNM-*-**-*</v>
          </cell>
          <cell r="S28" t="str">
            <v>MET-CBZ_BASE-INTWARNM-*-**-*</v>
          </cell>
          <cell r="T28" t="str">
            <v>-</v>
          </cell>
          <cell r="U28" t="str">
            <v>-</v>
          </cell>
          <cell r="V28" t="str">
            <v>定数仕様書に従うこと</v>
          </cell>
          <cell r="W28" t="str">
            <v>長</v>
          </cell>
          <cell r="X28" t="str">
            <v>-</v>
          </cell>
          <cell r="Y28">
            <v>7</v>
          </cell>
          <cell r="Z28">
            <v>3</v>
          </cell>
          <cell r="AA28">
            <v>2</v>
          </cell>
          <cell r="AB28">
            <v>2</v>
          </cell>
          <cell r="AC28" t="str">
            <v>Ⅱ</v>
          </cell>
        </row>
        <row r="29">
          <cell r="D29">
            <v>412</v>
          </cell>
          <cell r="E29" t="str">
            <v>MET-S_ADBZR-CSTD-0-</v>
          </cell>
          <cell r="F29" t="str">
            <v>新</v>
          </cell>
          <cell r="G29" t="str">
            <v>EDSS運転介入</v>
          </cell>
          <cell r="H29" t="str">
            <v>S_ADBZR-CSTD-0-BZR01-REQ012-</v>
          </cell>
          <cell r="I29" t="str">
            <v>○</v>
          </cell>
          <cell r="K29" t="str">
            <v>○</v>
          </cell>
          <cell r="O29" t="str">
            <v>断続</v>
          </cell>
          <cell r="P29" t="str">
            <v>-</v>
          </cell>
          <cell r="Q29" t="str">
            <v>-</v>
          </cell>
          <cell r="R29" t="str">
            <v>MET-CBZ_BASE-INTWARNH-*-**-*</v>
          </cell>
          <cell r="S29" t="str">
            <v>MET-CBZ_BASE-INTWARNH-*-**-*</v>
          </cell>
          <cell r="T29" t="str">
            <v>-</v>
          </cell>
          <cell r="U29" t="str">
            <v>-</v>
          </cell>
          <cell r="V29" t="str">
            <v>定数仕様書に従うこと</v>
          </cell>
          <cell r="W29" t="str">
            <v>長</v>
          </cell>
          <cell r="X29" t="str">
            <v>-</v>
          </cell>
          <cell r="Y29">
            <v>7</v>
          </cell>
          <cell r="Z29">
            <v>2</v>
          </cell>
          <cell r="AA29">
            <v>3</v>
          </cell>
          <cell r="AB29">
            <v>2</v>
          </cell>
          <cell r="AC29" t="str">
            <v>Ⅱ</v>
          </cell>
        </row>
        <row r="30">
          <cell r="D30">
            <v>459</v>
          </cell>
          <cell r="E30" t="str">
            <v>MET-S_ADBZR-CSTD-0-</v>
          </cell>
          <cell r="F30" t="str">
            <v>新</v>
          </cell>
          <cell r="G30" t="str">
            <v>クリアランスソナーフロント検知（遠距離）</v>
          </cell>
          <cell r="H30" t="str">
            <v>S_ADBZR-CSTD-0-BZR01-REQ059-</v>
          </cell>
          <cell r="I30" t="str">
            <v>○</v>
          </cell>
          <cell r="M30" t="str">
            <v>○</v>
          </cell>
          <cell r="O30" t="str">
            <v>断続</v>
          </cell>
          <cell r="P30" t="str">
            <v>-</v>
          </cell>
          <cell r="Q30" t="str">
            <v>-</v>
          </cell>
          <cell r="R30" t="str">
            <v>MET-TBZ_CLESON-FRL-**-**-*</v>
          </cell>
          <cell r="S30" t="str">
            <v>MET-LBZ_CLESON-FRL-**-**-*</v>
          </cell>
          <cell r="T30" t="str">
            <v>-</v>
          </cell>
          <cell r="U30" t="str">
            <v>-</v>
          </cell>
          <cell r="V30" t="str">
            <v>定数仕様書に従うこと</v>
          </cell>
          <cell r="W30" t="str">
            <v>長</v>
          </cell>
          <cell r="X30" t="str">
            <v>-</v>
          </cell>
          <cell r="Y30">
            <v>7</v>
          </cell>
          <cell r="Z30">
            <v>2</v>
          </cell>
          <cell r="AA30">
            <v>2</v>
          </cell>
          <cell r="AB30">
            <v>3</v>
          </cell>
          <cell r="AC30" t="str">
            <v>Ⅱ</v>
          </cell>
        </row>
        <row r="31">
          <cell r="D31">
            <v>463</v>
          </cell>
          <cell r="E31" t="str">
            <v>MET-S_ADBZR-CSTD-0-</v>
          </cell>
          <cell r="F31" t="str">
            <v>新</v>
          </cell>
          <cell r="G31" t="str">
            <v>クリアランスソナーリア検知（遠距離）</v>
          </cell>
          <cell r="H31" t="str">
            <v>S_ADBZR-CSTD-0-BZR01-REQ063-</v>
          </cell>
          <cell r="I31" t="str">
            <v>○</v>
          </cell>
          <cell r="M31" t="str">
            <v>○</v>
          </cell>
          <cell r="O31" t="str">
            <v>断続</v>
          </cell>
          <cell r="P31" t="str">
            <v>-</v>
          </cell>
          <cell r="Q31" t="str">
            <v>-</v>
          </cell>
          <cell r="R31" t="str">
            <v>MET-TBZ_CLESON-RRL-**-**-*</v>
          </cell>
          <cell r="S31" t="str">
            <v>MET-LBZ_CLESON-RRL-**-**-*</v>
          </cell>
          <cell r="T31" t="str">
            <v>-</v>
          </cell>
          <cell r="U31" t="str">
            <v>-</v>
          </cell>
          <cell r="V31" t="str">
            <v>定数仕様書に従うこと</v>
          </cell>
          <cell r="W31" t="str">
            <v>長</v>
          </cell>
          <cell r="X31" t="str">
            <v>-</v>
          </cell>
          <cell r="Y31">
            <v>7</v>
          </cell>
          <cell r="Z31">
            <v>2</v>
          </cell>
          <cell r="AA31">
            <v>2</v>
          </cell>
          <cell r="AB31">
            <v>3</v>
          </cell>
          <cell r="AC31" t="str">
            <v>Ⅱ</v>
          </cell>
        </row>
        <row r="32">
          <cell r="D32">
            <v>467</v>
          </cell>
          <cell r="E32" t="str">
            <v>MET-S_ADBZR-CSTD-0-</v>
          </cell>
          <cell r="F32" t="str">
            <v>新</v>
          </cell>
          <cell r="G32" t="str">
            <v>クリアランスソナーフロント&amp;リア検知（遠距離）</v>
          </cell>
          <cell r="H32" t="str">
            <v>S_ADBZR-CSTD-0-BZR01-REQ067-</v>
          </cell>
          <cell r="I32" t="str">
            <v>○</v>
          </cell>
          <cell r="M32" t="str">
            <v>○</v>
          </cell>
          <cell r="O32" t="str">
            <v>断続</v>
          </cell>
          <cell r="P32" t="str">
            <v>-</v>
          </cell>
          <cell r="Q32" t="str">
            <v>-</v>
          </cell>
          <cell r="R32" t="str">
            <v>MET-TBZ_CLESON-FRL-**-**-*とMET-TBZ_CLESON-RRL-**-**-*の合成音</v>
          </cell>
          <cell r="S32" t="str">
            <v>MET-LBZ_CLESON-FRL-**-**-*とMET-LBZ_CLESON-RRL-**-**-*の合成音</v>
          </cell>
          <cell r="T32" t="str">
            <v>-</v>
          </cell>
          <cell r="U32" t="str">
            <v>-</v>
          </cell>
          <cell r="V32" t="str">
            <v>定数仕様書に従うこと</v>
          </cell>
          <cell r="W32" t="str">
            <v>長</v>
          </cell>
          <cell r="X32" t="str">
            <v>-</v>
          </cell>
          <cell r="Y32">
            <v>7</v>
          </cell>
          <cell r="Z32">
            <v>2</v>
          </cell>
          <cell r="AA32">
            <v>2</v>
          </cell>
          <cell r="AB32">
            <v>3</v>
          </cell>
          <cell r="AC32" t="str">
            <v>Ⅱ</v>
          </cell>
        </row>
        <row r="33">
          <cell r="D33">
            <v>410</v>
          </cell>
          <cell r="E33" t="str">
            <v>MET-S_ADBZR-CSTD-0-</v>
          </cell>
          <cell r="F33" t="str">
            <v>新</v>
          </cell>
          <cell r="G33" t="str">
            <v>DA ドライバブレーキ要求</v>
          </cell>
          <cell r="H33" t="str">
            <v>S_ADBZR-CSTD-0-BZR01-REQ010-</v>
          </cell>
          <cell r="I33" t="str">
            <v>○</v>
          </cell>
          <cell r="K33" t="str">
            <v>○</v>
          </cell>
          <cell r="O33" t="str">
            <v>断続</v>
          </cell>
          <cell r="P33" t="str">
            <v>-</v>
          </cell>
          <cell r="Q33" t="str">
            <v>-</v>
          </cell>
          <cell r="R33" t="str">
            <v>MET-CBZ_BASE-INTWARNM-*-**-*</v>
          </cell>
          <cell r="S33" t="str">
            <v>MET-CBZ_BASE-INTWARNM-*-**-*</v>
          </cell>
          <cell r="T33" t="str">
            <v>-</v>
          </cell>
          <cell r="U33" t="str">
            <v>-</v>
          </cell>
          <cell r="V33" t="str">
            <v>定数仕様書に従うこと</v>
          </cell>
          <cell r="W33" t="str">
            <v>長</v>
          </cell>
          <cell r="X33" t="str">
            <v>-</v>
          </cell>
          <cell r="Y33">
            <v>7</v>
          </cell>
          <cell r="Z33">
            <v>2</v>
          </cell>
          <cell r="AA33">
            <v>2</v>
          </cell>
          <cell r="AB33">
            <v>3</v>
          </cell>
          <cell r="AC33" t="str">
            <v>Ⅱ</v>
          </cell>
        </row>
        <row r="34">
          <cell r="D34">
            <v>444</v>
          </cell>
          <cell r="E34" t="str">
            <v>MET-S_ADBZR-CSTD-0-</v>
          </cell>
          <cell r="F34" t="str">
            <v>新</v>
          </cell>
          <cell r="G34" t="str">
            <v>When trailer angle is at extreme angle to JK (within brake zone)</v>
          </cell>
          <cell r="H34" t="str">
            <v>S_ADBZR-CSTD-0-BZR01-REQ044-</v>
          </cell>
          <cell r="I34" t="str">
            <v>○</v>
          </cell>
          <cell r="K34" t="str">
            <v>○</v>
          </cell>
          <cell r="O34" t="str">
            <v>断続</v>
          </cell>
          <cell r="P34" t="str">
            <v>-</v>
          </cell>
          <cell r="Q34" t="str">
            <v>-</v>
          </cell>
          <cell r="R34" t="str">
            <v>MET-CBZ_BASE-INTWARNM-*-**-*</v>
          </cell>
          <cell r="S34" t="str">
            <v>MET-CBZ_BASE-INTWARNM-*-**-*</v>
          </cell>
          <cell r="T34" t="str">
            <v>-</v>
          </cell>
          <cell r="U34" t="str">
            <v>-</v>
          </cell>
          <cell r="V34" t="str">
            <v>定数仕様書に従うこと</v>
          </cell>
          <cell r="W34" t="str">
            <v>長</v>
          </cell>
          <cell r="X34" t="str">
            <v>-</v>
          </cell>
          <cell r="Y34">
            <v>7</v>
          </cell>
          <cell r="Z34">
            <v>1</v>
          </cell>
          <cell r="AA34">
            <v>3</v>
          </cell>
          <cell r="AB34">
            <v>3</v>
          </cell>
          <cell r="AC34" t="str">
            <v>Ⅱ</v>
          </cell>
        </row>
        <row r="35">
          <cell r="D35">
            <v>532</v>
          </cell>
          <cell r="E35" t="str">
            <v>MET-S_TMBZR-CSTD-0</v>
          </cell>
          <cell r="F35" t="str">
            <v>新</v>
          </cell>
          <cell r="G35" t="str">
            <v>緊迫(中)：優先度7</v>
          </cell>
          <cell r="H35" t="str">
            <v>S_TMBZR-CSTD-0-BZR01-REQ034-</v>
          </cell>
          <cell r="I35" t="str">
            <v>○</v>
          </cell>
          <cell r="K35" t="str">
            <v>○</v>
          </cell>
          <cell r="O35" t="str">
            <v>断続</v>
          </cell>
          <cell r="P35" t="str">
            <v>-</v>
          </cell>
          <cell r="Q35" t="str">
            <v>-</v>
          </cell>
          <cell r="R35" t="str">
            <v>MET-CBZ_BASE-INTWARNM-*-**-*</v>
          </cell>
          <cell r="S35" t="str">
            <v>MET-CBZ_BASE-INTWARNM-*-**-*</v>
          </cell>
          <cell r="T35" t="str">
            <v>-</v>
          </cell>
          <cell r="U35" t="str">
            <v>-</v>
          </cell>
          <cell r="V35" t="str">
            <v>定数仕様書に従うこと</v>
          </cell>
          <cell r="W35" t="str">
            <v>長</v>
          </cell>
          <cell r="X35" t="str">
            <v>-</v>
          </cell>
          <cell r="Y35">
            <v>7</v>
          </cell>
          <cell r="Z35">
            <v>3</v>
          </cell>
          <cell r="AA35">
            <v>2</v>
          </cell>
          <cell r="AB35">
            <v>2</v>
          </cell>
          <cell r="AC35" t="str">
            <v>Ⅲ</v>
          </cell>
        </row>
        <row r="36">
          <cell r="D36">
            <v>411</v>
          </cell>
          <cell r="E36" t="str">
            <v>MET-S_ADBZR-CSTD-0-</v>
          </cell>
          <cell r="F36" t="str">
            <v>新</v>
          </cell>
          <cell r="G36" t="str">
            <v>EDSS制御予告</v>
          </cell>
          <cell r="H36" t="str">
            <v>S_ADBZR-CSTD-0-BZR01-REQ011-</v>
          </cell>
          <cell r="I36" t="str">
            <v>○</v>
          </cell>
          <cell r="K36" t="str">
            <v>○</v>
          </cell>
          <cell r="O36" t="str">
            <v>断続</v>
          </cell>
          <cell r="P36" t="str">
            <v>-</v>
          </cell>
          <cell r="Q36" t="str">
            <v>-</v>
          </cell>
          <cell r="R36" t="str">
            <v>MET-CBZ_BASE-INTWARNM-*-**-*</v>
          </cell>
          <cell r="S36" t="str">
            <v>MET-CBZ_BASE-INTWARNM-*-**-*</v>
          </cell>
          <cell r="T36" t="str">
            <v>-</v>
          </cell>
          <cell r="U36" t="str">
            <v>-</v>
          </cell>
          <cell r="V36" t="str">
            <v>定数仕様書に従うこと</v>
          </cell>
          <cell r="W36" t="str">
            <v>長</v>
          </cell>
          <cell r="X36" t="str">
            <v>-</v>
          </cell>
          <cell r="Y36">
            <v>6.5</v>
          </cell>
          <cell r="Z36">
            <v>2</v>
          </cell>
          <cell r="AA36">
            <v>2</v>
          </cell>
          <cell r="AB36">
            <v>2</v>
          </cell>
          <cell r="AC36" t="str">
            <v>Ⅱ</v>
          </cell>
        </row>
        <row r="37">
          <cell r="D37">
            <v>531</v>
          </cell>
          <cell r="E37" t="str">
            <v>MET-S_TMBZR-CSTD-0</v>
          </cell>
          <cell r="F37" t="str">
            <v>新</v>
          </cell>
          <cell r="G37" t="str">
            <v>緊迫(中)(FB)：優先度6.5</v>
          </cell>
          <cell r="H37" t="str">
            <v>S_TMBZR-CSTD-0-BZR01-REQ033-</v>
          </cell>
          <cell r="I37" t="str">
            <v>○</v>
          </cell>
          <cell r="K37" t="str">
            <v>○</v>
          </cell>
          <cell r="O37" t="str">
            <v>断続</v>
          </cell>
          <cell r="P37" t="str">
            <v>-</v>
          </cell>
          <cell r="Q37" t="str">
            <v>-</v>
          </cell>
          <cell r="R37" t="str">
            <v>MET-CBZ_BASE-INTWARNM-*-**-*</v>
          </cell>
          <cell r="S37" t="str">
            <v>MET-CBZ_BASE-INTWARNM-*-**-*</v>
          </cell>
          <cell r="T37" t="str">
            <v>-</v>
          </cell>
          <cell r="U37" t="str">
            <v>-</v>
          </cell>
          <cell r="V37" t="str">
            <v>定数仕様書に従うこと</v>
          </cell>
          <cell r="W37" t="str">
            <v>長</v>
          </cell>
          <cell r="X37" t="str">
            <v>-</v>
          </cell>
          <cell r="Y37">
            <v>6.5</v>
          </cell>
          <cell r="Z37">
            <v>2</v>
          </cell>
          <cell r="AA37">
            <v>2</v>
          </cell>
          <cell r="AB37">
            <v>2</v>
          </cell>
          <cell r="AC37" t="str">
            <v>Ⅲ</v>
          </cell>
        </row>
        <row r="38">
          <cell r="D38">
            <v>476</v>
          </cell>
          <cell r="E38" t="str">
            <v>MET-O_EIGCON-CSTD-1-</v>
          </cell>
          <cell r="F38" t="str">
            <v>新</v>
          </cell>
          <cell r="G38" t="str">
            <v>走行中のパワーSW操作操作警告ブザー</v>
          </cell>
          <cell r="H38" t="str">
            <v>O_EIGCON-CSTD-1-BZR01-REQ03-</v>
          </cell>
          <cell r="I38" t="str">
            <v>○</v>
          </cell>
          <cell r="K38" t="str">
            <v>○</v>
          </cell>
          <cell r="O38" t="str">
            <v>断続</v>
          </cell>
          <cell r="P38" t="str">
            <v>-</v>
          </cell>
          <cell r="Q38" t="str">
            <v>-</v>
          </cell>
          <cell r="R38" t="str">
            <v>MET-CBZ_BASE-INTWARNM-*-**-*</v>
          </cell>
          <cell r="S38" t="str">
            <v>MET-CBZ_BASE-INTWARNM-*-**-*</v>
          </cell>
          <cell r="T38" t="str">
            <v>-</v>
          </cell>
          <cell r="U38" t="str">
            <v>-</v>
          </cell>
          <cell r="V38" t="str">
            <v>定数仕様書に従うこと</v>
          </cell>
          <cell r="W38" t="str">
            <v>長</v>
          </cell>
          <cell r="X38" t="str">
            <v>-</v>
          </cell>
          <cell r="Y38">
            <v>6</v>
          </cell>
          <cell r="Z38">
            <v>3</v>
          </cell>
          <cell r="AA38">
            <v>3</v>
          </cell>
          <cell r="AB38">
            <v>0</v>
          </cell>
          <cell r="AC38" t="str">
            <v>Ⅱ</v>
          </cell>
        </row>
        <row r="39">
          <cell r="D39">
            <v>535</v>
          </cell>
          <cell r="E39" t="str">
            <v>MET-H_BATTRW-CSTD-0-</v>
          </cell>
          <cell r="F39" t="str">
            <v>新</v>
          </cell>
          <cell r="G39" t="str">
            <v>電池熱暴走（警告）</v>
          </cell>
          <cell r="H39" t="str">
            <v>H_BATTRW-CSTD-0-BZR01-REQ02-</v>
          </cell>
          <cell r="I39" t="str">
            <v>〇</v>
          </cell>
          <cell r="K39" t="str">
            <v>〇</v>
          </cell>
          <cell r="O39" t="str">
            <v>断続</v>
          </cell>
          <cell r="P39" t="str">
            <v>-</v>
          </cell>
          <cell r="Q39" t="str">
            <v>-</v>
          </cell>
          <cell r="R39" t="str">
            <v>MET-CBZ_BASE-INTWARNM-*-**-*</v>
          </cell>
          <cell r="S39" t="str">
            <v>MET-CBZ_BASE-INTWARNM-*-**-*</v>
          </cell>
          <cell r="T39" t="str">
            <v>-</v>
          </cell>
          <cell r="U39" t="str">
            <v>-</v>
          </cell>
          <cell r="V39" t="str">
            <v>定数仕様書に従うこと</v>
          </cell>
          <cell r="W39" t="str">
            <v>長</v>
          </cell>
          <cell r="X39" t="str">
            <v>-</v>
          </cell>
          <cell r="Y39">
            <v>6</v>
          </cell>
          <cell r="Z39">
            <v>3</v>
          </cell>
          <cell r="AA39">
            <v>2</v>
          </cell>
          <cell r="AB39">
            <v>1</v>
          </cell>
          <cell r="AC39" t="str">
            <v>Ⅱ</v>
          </cell>
        </row>
        <row r="40">
          <cell r="D40">
            <v>439</v>
          </cell>
          <cell r="E40" t="str">
            <v>MET-S_ADBZR-CSTD-0-</v>
          </cell>
          <cell r="F40" t="str">
            <v>新</v>
          </cell>
          <cell r="G40" t="str">
            <v>セカンダリコリジョンブレーキブザー</v>
          </cell>
          <cell r="H40" t="str">
            <v>S_ADBZR-CSTD-0-BZR01-REQ039-</v>
          </cell>
          <cell r="I40" t="str">
            <v>○</v>
          </cell>
          <cell r="K40" t="str">
            <v>○</v>
          </cell>
          <cell r="O40" t="str">
            <v>断続</v>
          </cell>
          <cell r="P40" t="str">
            <v>-</v>
          </cell>
          <cell r="Q40" t="str">
            <v>-</v>
          </cell>
          <cell r="R40" t="str">
            <v>MET-CBZ_BASE-INTWARNM-*-**-*</v>
          </cell>
          <cell r="S40" t="str">
            <v>MET-CBZ_BASE-INTWARNM-*-**-*</v>
          </cell>
          <cell r="T40" t="str">
            <v>-</v>
          </cell>
          <cell r="U40" t="str">
            <v>-</v>
          </cell>
          <cell r="V40" t="str">
            <v>定数仕様書に従うこと</v>
          </cell>
          <cell r="W40" t="str">
            <v>長</v>
          </cell>
          <cell r="X40" t="str">
            <v>-</v>
          </cell>
          <cell r="Y40">
            <v>6</v>
          </cell>
          <cell r="Z40">
            <v>2</v>
          </cell>
          <cell r="AA40">
            <v>3</v>
          </cell>
          <cell r="AB40">
            <v>1</v>
          </cell>
          <cell r="AC40" t="str">
            <v>Ⅱ</v>
          </cell>
        </row>
        <row r="41">
          <cell r="D41">
            <v>409</v>
          </cell>
          <cell r="E41" t="str">
            <v>MET-S_ADBZR-CSTD-0-</v>
          </cell>
          <cell r="F41" t="str">
            <v>新</v>
          </cell>
          <cell r="G41" t="str">
            <v>BSM警報ブザー</v>
          </cell>
          <cell r="H41" t="str">
            <v>S_ADBZR-CSTD-0-BZR01-REQ09-</v>
          </cell>
          <cell r="I41" t="str">
            <v>○</v>
          </cell>
          <cell r="K41" t="str">
            <v>○</v>
          </cell>
          <cell r="O41" t="str">
            <v>断続</v>
          </cell>
          <cell r="P41" t="str">
            <v>-</v>
          </cell>
          <cell r="Q41" t="str">
            <v>-</v>
          </cell>
          <cell r="R41" t="str">
            <v>MET-CBZ_BASE-INTWARNM-*-**-*</v>
          </cell>
          <cell r="S41" t="str">
            <v>MET-CBZ_BASE-INTWARNM-*-**-*</v>
          </cell>
          <cell r="T41" t="str">
            <v>-</v>
          </cell>
          <cell r="U41" t="str">
            <v>-</v>
          </cell>
          <cell r="V41" t="str">
            <v>定数仕様書に従うこと</v>
          </cell>
          <cell r="W41" t="str">
            <v>長</v>
          </cell>
          <cell r="X41" t="str">
            <v>-</v>
          </cell>
          <cell r="Y41">
            <v>6</v>
          </cell>
          <cell r="Z41">
            <v>2</v>
          </cell>
          <cell r="AA41">
            <v>2</v>
          </cell>
          <cell r="AB41">
            <v>2</v>
          </cell>
          <cell r="AC41" t="str">
            <v>Ⅱ</v>
          </cell>
        </row>
        <row r="42">
          <cell r="D42">
            <v>421</v>
          </cell>
          <cell r="E42" t="str">
            <v>MET-S_ADBZR-CSTD-0-</v>
          </cell>
          <cell r="F42" t="str">
            <v>新</v>
          </cell>
          <cell r="G42" t="str">
            <v>LDA 警報ブザー（警告）</v>
          </cell>
          <cell r="H42" t="str">
            <v>S_ADBZR-CSTD-0-BZR01-REQ021-</v>
          </cell>
          <cell r="I42" t="str">
            <v>○</v>
          </cell>
          <cell r="K42" t="str">
            <v>○</v>
          </cell>
          <cell r="O42" t="str">
            <v>断続</v>
          </cell>
          <cell r="P42" t="str">
            <v>-</v>
          </cell>
          <cell r="Q42" t="str">
            <v>-</v>
          </cell>
          <cell r="R42" t="str">
            <v>MET-CBZ_BASE-INTWARNM-*-**-*</v>
          </cell>
          <cell r="S42" t="str">
            <v>MET-CBZ_BASE-INTWARNM-*-**-*</v>
          </cell>
          <cell r="T42" t="str">
            <v>-</v>
          </cell>
          <cell r="U42" t="str">
            <v>-</v>
          </cell>
          <cell r="V42" t="str">
            <v>定数仕様書に従うこと</v>
          </cell>
          <cell r="W42" t="str">
            <v>長</v>
          </cell>
          <cell r="X42" t="str">
            <v>-</v>
          </cell>
          <cell r="Y42">
            <v>6</v>
          </cell>
          <cell r="Z42">
            <v>2</v>
          </cell>
          <cell r="AA42">
            <v>2</v>
          </cell>
          <cell r="AB42">
            <v>2</v>
          </cell>
          <cell r="AC42" t="str">
            <v>Ⅱ</v>
          </cell>
        </row>
        <row r="43">
          <cell r="D43">
            <v>472</v>
          </cell>
          <cell r="E43" t="str">
            <v>MET-S_ADBZR-CSTD-0-</v>
          </cell>
          <cell r="F43" t="str">
            <v>新</v>
          </cell>
          <cell r="G43" t="str">
            <v>インフラ協調ブザー（断続）</v>
          </cell>
          <cell r="H43" t="str">
            <v>S_ADBZR-CSTD-0-BZR01-REQ072-</v>
          </cell>
          <cell r="I43" t="str">
            <v>○</v>
          </cell>
          <cell r="K43" t="str">
            <v>○</v>
          </cell>
          <cell r="O43" t="str">
            <v>断続</v>
          </cell>
          <cell r="P43" t="str">
            <v>-</v>
          </cell>
          <cell r="Q43" t="str">
            <v>-</v>
          </cell>
          <cell r="R43" t="str">
            <v>MET-CBZ_BASE-INTWARNM-*-**-*</v>
          </cell>
          <cell r="S43" t="str">
            <v>MET-CBZ_BASE-INTWARNM-*-**-*</v>
          </cell>
          <cell r="T43" t="str">
            <v>-</v>
          </cell>
          <cell r="U43" t="str">
            <v>-</v>
          </cell>
          <cell r="V43" t="str">
            <v>定数仕様書に従うこと</v>
          </cell>
          <cell r="W43" t="str">
            <v>長</v>
          </cell>
          <cell r="X43" t="str">
            <v>-</v>
          </cell>
          <cell r="Y43">
            <v>6</v>
          </cell>
          <cell r="Z43">
            <v>2</v>
          </cell>
          <cell r="AA43">
            <v>2</v>
          </cell>
          <cell r="AB43">
            <v>2</v>
          </cell>
          <cell r="AC43" t="str">
            <v>Ⅱ</v>
          </cell>
        </row>
        <row r="44">
          <cell r="D44">
            <v>315</v>
          </cell>
          <cell r="E44" t="str">
            <v>MET-B_SMASTA-CSTD-2-</v>
          </cell>
          <cell r="F44" t="str">
            <v>新</v>
          </cell>
          <cell r="G44" t="str">
            <v>スマートブザー（断続3）</v>
          </cell>
          <cell r="H44" t="str">
            <v>B_SMASTA-CSTD-2-BZR01-REQ07-</v>
          </cell>
          <cell r="I44" t="str">
            <v>○</v>
          </cell>
          <cell r="K44" t="str">
            <v>○</v>
          </cell>
          <cell r="O44" t="str">
            <v>断続</v>
          </cell>
          <cell r="P44" t="str">
            <v>-</v>
          </cell>
          <cell r="Q44" t="str">
            <v>-</v>
          </cell>
          <cell r="R44" t="str">
            <v>MET-CBZ_BASE-INTWARNM-*-**-*</v>
          </cell>
          <cell r="S44" t="str">
            <v>MET-CBZ_BASE-INTWARNM-*-**-*</v>
          </cell>
          <cell r="T44" t="str">
            <v>-</v>
          </cell>
          <cell r="U44" t="str">
            <v>-</v>
          </cell>
          <cell r="V44" t="str">
            <v>定数仕様書に従うこと</v>
          </cell>
          <cell r="W44" t="str">
            <v>長</v>
          </cell>
          <cell r="X44" t="str">
            <v>-</v>
          </cell>
          <cell r="Y44">
            <v>6</v>
          </cell>
          <cell r="Z44">
            <v>2</v>
          </cell>
          <cell r="AA44">
            <v>2</v>
          </cell>
          <cell r="AB44">
            <v>2</v>
          </cell>
          <cell r="AC44" t="str">
            <v>Ⅱ</v>
          </cell>
        </row>
        <row r="45">
          <cell r="D45">
            <v>460</v>
          </cell>
          <cell r="E45" t="str">
            <v>MET-S_ADBZR-CSTD-0-</v>
          </cell>
          <cell r="F45" t="str">
            <v>新</v>
          </cell>
          <cell r="G45" t="str">
            <v>クリアランスソナーフロント検知（最遠距離）</v>
          </cell>
          <cell r="H45" t="str">
            <v>S_ADBZR-CSTD-0-BZR01-REQ060-</v>
          </cell>
          <cell r="I45" t="str">
            <v>○</v>
          </cell>
          <cell r="M45" t="str">
            <v>○</v>
          </cell>
          <cell r="O45" t="str">
            <v>断続</v>
          </cell>
          <cell r="P45" t="str">
            <v>-</v>
          </cell>
          <cell r="Q45" t="str">
            <v>-</v>
          </cell>
          <cell r="R45" t="str">
            <v>MET-TBZ_CLESON-FRF-**-**-*</v>
          </cell>
          <cell r="S45" t="str">
            <v>MET-LBZ_CLESON-FRF-**-**-*</v>
          </cell>
          <cell r="T45" t="str">
            <v>-</v>
          </cell>
          <cell r="U45" t="str">
            <v>-</v>
          </cell>
          <cell r="V45" t="str">
            <v>定数仕様書に従うこと</v>
          </cell>
          <cell r="W45" t="str">
            <v>長</v>
          </cell>
          <cell r="X45" t="str">
            <v>-</v>
          </cell>
          <cell r="Y45">
            <v>6</v>
          </cell>
          <cell r="Z45">
            <v>1</v>
          </cell>
          <cell r="AA45">
            <v>2</v>
          </cell>
          <cell r="AB45">
            <v>3</v>
          </cell>
          <cell r="AC45" t="str">
            <v>Ⅱ</v>
          </cell>
        </row>
        <row r="46">
          <cell r="D46">
            <v>464</v>
          </cell>
          <cell r="E46" t="str">
            <v>MET-S_ADBZR-CSTD-0-</v>
          </cell>
          <cell r="F46" t="str">
            <v>新</v>
          </cell>
          <cell r="G46" t="str">
            <v>クリアランスソナーリア検知（最遠距離）</v>
          </cell>
          <cell r="H46" t="str">
            <v>S_ADBZR-CSTD-0-BZR01-REQ064-</v>
          </cell>
          <cell r="I46" t="str">
            <v>○</v>
          </cell>
          <cell r="M46" t="str">
            <v>○</v>
          </cell>
          <cell r="O46" t="str">
            <v>断続</v>
          </cell>
          <cell r="P46" t="str">
            <v>-</v>
          </cell>
          <cell r="Q46" t="str">
            <v>-</v>
          </cell>
          <cell r="R46" t="str">
            <v>MET-TBZ_CLESON-RRF-**-**-*</v>
          </cell>
          <cell r="S46" t="str">
            <v>MET-LBZ_CLESON-RRF-**-**-*</v>
          </cell>
          <cell r="T46" t="str">
            <v>-</v>
          </cell>
          <cell r="U46" t="str">
            <v>-</v>
          </cell>
          <cell r="V46" t="str">
            <v>定数仕様書に従うこと</v>
          </cell>
          <cell r="W46" t="str">
            <v>長</v>
          </cell>
          <cell r="X46" t="str">
            <v>-</v>
          </cell>
          <cell r="Y46">
            <v>6</v>
          </cell>
          <cell r="Z46">
            <v>1</v>
          </cell>
          <cell r="AA46">
            <v>2</v>
          </cell>
          <cell r="AB46">
            <v>3</v>
          </cell>
          <cell r="AC46" t="str">
            <v>Ⅱ</v>
          </cell>
        </row>
        <row r="47">
          <cell r="D47">
            <v>468</v>
          </cell>
          <cell r="E47" t="str">
            <v>MET-S_ADBZR-CSTD-0-</v>
          </cell>
          <cell r="F47" t="str">
            <v>新</v>
          </cell>
          <cell r="G47" t="str">
            <v>クリアランスソナーフロント&amp;リア検知（最遠距離）</v>
          </cell>
          <cell r="H47" t="str">
            <v>S_ADBZR-CSTD-0-BZR01-REQ068-</v>
          </cell>
          <cell r="I47" t="str">
            <v>○</v>
          </cell>
          <cell r="M47" t="str">
            <v>○</v>
          </cell>
          <cell r="O47" t="str">
            <v>断続</v>
          </cell>
          <cell r="P47" t="str">
            <v>-</v>
          </cell>
          <cell r="Q47" t="str">
            <v>-</v>
          </cell>
          <cell r="R47" t="str">
            <v>MET-TBZ_CLESON-FRF-**-**-*とMET-TBZ_CLESON-RRF-**-**-*の合成音</v>
          </cell>
          <cell r="S47" t="str">
            <v>MET-LBZ_CLESON-FRF-**-**-*とMET-LBZ_CLESON-RRF-**-**-*の合成音</v>
          </cell>
          <cell r="T47" t="str">
            <v>-</v>
          </cell>
          <cell r="U47" t="str">
            <v>-</v>
          </cell>
          <cell r="V47" t="str">
            <v>定数仕様書に従うこと</v>
          </cell>
          <cell r="W47" t="str">
            <v>長</v>
          </cell>
          <cell r="X47" t="str">
            <v>-</v>
          </cell>
          <cell r="Y47">
            <v>6</v>
          </cell>
          <cell r="Z47">
            <v>1</v>
          </cell>
          <cell r="AA47">
            <v>2</v>
          </cell>
          <cell r="AB47">
            <v>3</v>
          </cell>
          <cell r="AC47" t="str">
            <v>Ⅱ</v>
          </cell>
        </row>
        <row r="48">
          <cell r="D48">
            <v>443</v>
          </cell>
          <cell r="E48" t="str">
            <v>MET-S_ADBZR-CSTD-0-</v>
          </cell>
          <cell r="F48" t="str">
            <v>新</v>
          </cell>
          <cell r="G48" t="str">
            <v>When trailer angle is approaching/near (JK) limit (C-steer zone)</v>
          </cell>
          <cell r="H48" t="str">
            <v>S_ADBZR-CSTD-0-BZR01-REQ043-</v>
          </cell>
          <cell r="I48" t="str">
            <v>○</v>
          </cell>
          <cell r="K48" t="str">
            <v>○</v>
          </cell>
          <cell r="O48" t="str">
            <v>断続</v>
          </cell>
          <cell r="P48" t="str">
            <v>-</v>
          </cell>
          <cell r="Q48" t="str">
            <v>-</v>
          </cell>
          <cell r="R48" t="str">
            <v>MET-CBZ_BASE-INTWARNL-*-**-*</v>
          </cell>
          <cell r="S48" t="str">
            <v>MET-CBZ_BASE-INTWARNL-*-**-*</v>
          </cell>
          <cell r="T48" t="str">
            <v>-</v>
          </cell>
          <cell r="U48" t="str">
            <v>-</v>
          </cell>
          <cell r="V48" t="str">
            <v>定数仕様書に従うこと</v>
          </cell>
          <cell r="W48" t="str">
            <v>長</v>
          </cell>
          <cell r="X48" t="str">
            <v>-</v>
          </cell>
          <cell r="Y48">
            <v>6</v>
          </cell>
          <cell r="Z48">
            <v>1</v>
          </cell>
          <cell r="AA48">
            <v>2</v>
          </cell>
          <cell r="AB48">
            <v>3</v>
          </cell>
          <cell r="AC48" t="str">
            <v>Ⅱ</v>
          </cell>
        </row>
        <row r="49">
          <cell r="D49">
            <v>65</v>
          </cell>
          <cell r="E49" t="str">
            <v>MET-C_BRLV-CSTD-2-</v>
          </cell>
          <cell r="F49" t="str">
            <v>新</v>
          </cell>
          <cell r="G49" t="str">
            <v>ブレーキ液レベル低下ブザー</v>
          </cell>
          <cell r="H49" t="str">
            <v>C_BRLV-CSTD-2-BZR01-REQ02-</v>
          </cell>
          <cell r="I49" t="str">
            <v>○</v>
          </cell>
          <cell r="K49" t="str">
            <v>○</v>
          </cell>
          <cell r="O49" t="str">
            <v>断続</v>
          </cell>
          <cell r="P49" t="str">
            <v>-</v>
          </cell>
          <cell r="Q49" t="str">
            <v>-</v>
          </cell>
          <cell r="R49" t="str">
            <v>MET-CBZ_BASE-INTWARNM-*-**-*</v>
          </cell>
          <cell r="S49" t="str">
            <v>MET-CBZ_BASE-INTWARNM-*-**-*</v>
          </cell>
          <cell r="T49" t="str">
            <v>-</v>
          </cell>
          <cell r="U49" t="str">
            <v>-</v>
          </cell>
          <cell r="V49" t="str">
            <v>定数仕様書に従うこと</v>
          </cell>
          <cell r="W49" t="str">
            <v>長</v>
          </cell>
          <cell r="X49" t="str">
            <v>-</v>
          </cell>
          <cell r="Y49">
            <v>6</v>
          </cell>
          <cell r="Z49">
            <v>3</v>
          </cell>
          <cell r="AA49">
            <v>3</v>
          </cell>
          <cell r="AB49">
            <v>0</v>
          </cell>
          <cell r="AC49" t="str">
            <v>Ⅰ</v>
          </cell>
        </row>
        <row r="50">
          <cell r="D50">
            <v>322</v>
          </cell>
          <cell r="E50" t="str">
            <v>MET-C_STEER-CSTD-0-</v>
          </cell>
          <cell r="F50" t="str">
            <v>新</v>
          </cell>
          <cell r="G50" t="str">
            <v>EPS アシスト停止ブザー</v>
          </cell>
          <cell r="H50" t="str">
            <v>C_STEER-CSTD-0-BZR01-REQ02-</v>
          </cell>
          <cell r="I50" t="str">
            <v>○</v>
          </cell>
          <cell r="K50" t="str">
            <v>○</v>
          </cell>
          <cell r="O50" t="str">
            <v>断続</v>
          </cell>
          <cell r="P50" t="str">
            <v>-</v>
          </cell>
          <cell r="Q50" t="str">
            <v>-</v>
          </cell>
          <cell r="R50" t="str">
            <v>MET-CBZ_BASE-INTWARNM-*-**-*</v>
          </cell>
          <cell r="S50" t="str">
            <v>MET-CBZ_BASE-INTWARNM-*-**-*</v>
          </cell>
          <cell r="T50" t="str">
            <v>-</v>
          </cell>
          <cell r="U50" t="str">
            <v>-</v>
          </cell>
          <cell r="V50" t="str">
            <v>定数仕様書に従うこと</v>
          </cell>
          <cell r="W50" t="str">
            <v>長</v>
          </cell>
          <cell r="X50" t="str">
            <v>-</v>
          </cell>
          <cell r="Y50">
            <v>6</v>
          </cell>
          <cell r="Z50">
            <v>3</v>
          </cell>
          <cell r="AA50">
            <v>3</v>
          </cell>
          <cell r="AB50">
            <v>0</v>
          </cell>
          <cell r="AC50" t="str">
            <v>Ⅰ</v>
          </cell>
        </row>
        <row r="51">
          <cell r="D51">
            <v>530</v>
          </cell>
          <cell r="E51" t="str">
            <v>MET-S_TMBZR-CSTD-0</v>
          </cell>
          <cell r="F51" t="str">
            <v>新</v>
          </cell>
          <cell r="G51" t="str">
            <v>緊迫(中)：優先度6</v>
          </cell>
          <cell r="H51" t="str">
            <v>S_TMBZR-CSTD-0-BZR01-REQ032-</v>
          </cell>
          <cell r="I51" t="str">
            <v>○</v>
          </cell>
          <cell r="K51" t="str">
            <v>○</v>
          </cell>
          <cell r="O51" t="str">
            <v>断続</v>
          </cell>
          <cell r="P51" t="str">
            <v>-</v>
          </cell>
          <cell r="Q51" t="str">
            <v>-</v>
          </cell>
          <cell r="R51" t="str">
            <v>MET-CBZ_BASE-INTWARNM-*-**-*</v>
          </cell>
          <cell r="S51" t="str">
            <v>MET-CBZ_BASE-INTWARNM-*-**-*</v>
          </cell>
          <cell r="T51" t="str">
            <v>-</v>
          </cell>
          <cell r="U51" t="str">
            <v>-</v>
          </cell>
          <cell r="V51" t="str">
            <v>定数仕様書に従うこと</v>
          </cell>
          <cell r="W51" t="str">
            <v>長</v>
          </cell>
          <cell r="X51" t="str">
            <v>-</v>
          </cell>
          <cell r="Y51">
            <v>6</v>
          </cell>
          <cell r="Z51">
            <v>2</v>
          </cell>
          <cell r="AA51">
            <v>2</v>
          </cell>
          <cell r="AB51">
            <v>2</v>
          </cell>
          <cell r="AC51" t="str">
            <v>Ⅲ</v>
          </cell>
        </row>
        <row r="52">
          <cell r="D52">
            <v>69</v>
          </cell>
          <cell r="E52" t="str">
            <v>MET-B_SEAREM-CSTD-A0-</v>
          </cell>
          <cell r="F52" t="str">
            <v>旧</v>
          </cell>
          <cell r="G52" t="str">
            <v>“法規断続”ブザー吹鳴</v>
          </cell>
          <cell r="H52" t="str">
            <v>-</v>
          </cell>
          <cell r="I52" t="str">
            <v>○</v>
          </cell>
          <cell r="N52" t="str">
            <v>○</v>
          </cell>
          <cell r="O52" t="str">
            <v>断続</v>
          </cell>
          <cell r="P52" t="str">
            <v>-</v>
          </cell>
          <cell r="Q52" t="str">
            <v>-</v>
          </cell>
          <cell r="R52" t="str">
            <v>MET-TBZ_SEAREM-LV1-**-**-*</v>
          </cell>
          <cell r="S52" t="str">
            <v>MET-LBZ_SEAREM-LV1-**-**-*</v>
          </cell>
          <cell r="T52" t="str">
            <v>-</v>
          </cell>
          <cell r="U52" t="str">
            <v>-</v>
          </cell>
          <cell r="V52" t="str">
            <v>定数仕様書に従うこと</v>
          </cell>
          <cell r="W52" t="str">
            <v>長</v>
          </cell>
          <cell r="X52" t="str">
            <v>-</v>
          </cell>
          <cell r="Y52">
            <v>4</v>
          </cell>
          <cell r="Z52">
            <v>2</v>
          </cell>
          <cell r="AA52">
            <v>1</v>
          </cell>
          <cell r="AB52">
            <v>1</v>
          </cell>
          <cell r="AC52" t="str">
            <v>Ⅱ</v>
          </cell>
        </row>
        <row r="53">
          <cell r="D53">
            <v>480</v>
          </cell>
          <cell r="E53" t="str">
            <v>MET-S_ADBZR-CSTD-0-</v>
          </cell>
          <cell r="F53" t="str">
            <v>新</v>
          </cell>
          <cell r="G53" t="str">
            <v>ACC ブレーキ操作要求ブザー</v>
          </cell>
          <cell r="H53" t="str">
            <v>S_ADBZR-CSTD-0-BZR01-REQ048-</v>
          </cell>
          <cell r="I53" t="str">
            <v>○</v>
          </cell>
          <cell r="K53" t="str">
            <v>○</v>
          </cell>
          <cell r="O53" t="str">
            <v>断続</v>
          </cell>
          <cell r="P53" t="str">
            <v>-</v>
          </cell>
          <cell r="Q53" t="str">
            <v>-</v>
          </cell>
          <cell r="R53" t="str">
            <v>MET-CBZ_BASE-INTWARNM-*-**-*</v>
          </cell>
          <cell r="S53" t="str">
            <v>MET-CBZ_BASE-INTWARNM-*-**-*</v>
          </cell>
          <cell r="T53" t="str">
            <v>-</v>
          </cell>
          <cell r="U53" t="str">
            <v>-</v>
          </cell>
          <cell r="V53" t="str">
            <v>定数仕様書に従うこと</v>
          </cell>
          <cell r="W53" t="str">
            <v>長</v>
          </cell>
          <cell r="X53" t="str">
            <v>-</v>
          </cell>
          <cell r="Y53">
            <v>5</v>
          </cell>
          <cell r="Z53">
            <v>3</v>
          </cell>
          <cell r="AA53">
            <v>2</v>
          </cell>
          <cell r="AB53">
            <v>0</v>
          </cell>
          <cell r="AC53" t="str">
            <v>Ⅱ</v>
          </cell>
        </row>
        <row r="54">
          <cell r="D54">
            <v>323</v>
          </cell>
          <cell r="E54" t="str">
            <v>MET-D_SBW-CSTD-3-</v>
          </cell>
          <cell r="F54" t="str">
            <v>新</v>
          </cell>
          <cell r="G54" t="str">
            <v>SBW シフト操作リジェクトブザー</v>
          </cell>
          <cell r="H54" t="str">
            <v>D_SBW-CSTD-3-BZR01-REQ03-</v>
          </cell>
          <cell r="I54" t="str">
            <v>○</v>
          </cell>
          <cell r="K54" t="str">
            <v>○</v>
          </cell>
          <cell r="O54" t="str">
            <v>2連発</v>
          </cell>
          <cell r="P54" t="str">
            <v>-</v>
          </cell>
          <cell r="Q54" t="str">
            <v>-</v>
          </cell>
          <cell r="R54" t="str">
            <v>MET-CBZ_BASE-REJECT-*-**-*</v>
          </cell>
          <cell r="S54" t="str">
            <v>MET-CBZ_BASE-REJECT-*-**-*</v>
          </cell>
          <cell r="T54" t="str">
            <v>-</v>
          </cell>
          <cell r="U54" t="str">
            <v>-</v>
          </cell>
          <cell r="V54" t="str">
            <v>定数仕様書に従うこと</v>
          </cell>
          <cell r="W54" t="str">
            <v>短</v>
          </cell>
          <cell r="X54" t="str">
            <v>-</v>
          </cell>
          <cell r="Y54">
            <v>5</v>
          </cell>
          <cell r="Z54">
            <v>2</v>
          </cell>
          <cell r="AA54">
            <v>3</v>
          </cell>
          <cell r="AB54">
            <v>0</v>
          </cell>
          <cell r="AC54" t="str">
            <v>Ⅱ</v>
          </cell>
        </row>
        <row r="55">
          <cell r="D55">
            <v>74</v>
          </cell>
          <cell r="E55" t="str">
            <v>MET-H_ONACCN-CSTD-0-</v>
          </cell>
          <cell r="F55" t="str">
            <v>新</v>
          </cell>
          <cell r="G55" t="str">
            <v>HV NレンジアクセルONブザー</v>
          </cell>
          <cell r="H55" t="str">
            <v>H_ONACCN-CSTD-0-BZR01-REQ02-</v>
          </cell>
          <cell r="I55" t="str">
            <v>○</v>
          </cell>
          <cell r="K55" t="str">
            <v>○</v>
          </cell>
          <cell r="O55" t="str">
            <v>連続</v>
          </cell>
          <cell r="P55" t="str">
            <v>-</v>
          </cell>
          <cell r="Q55" t="str">
            <v>-</v>
          </cell>
          <cell r="R55" t="str">
            <v>MET-CBZ_BASE-CONTWARN-*-**-*</v>
          </cell>
          <cell r="S55" t="str">
            <v>MET-CBZ_BASE-CONTWARN-*-**-*</v>
          </cell>
          <cell r="T55" t="str">
            <v>-</v>
          </cell>
          <cell r="U55" t="str">
            <v>-</v>
          </cell>
          <cell r="V55" t="str">
            <v>定数仕様書に従うこと</v>
          </cell>
          <cell r="W55" t="str">
            <v>長</v>
          </cell>
          <cell r="X55" t="str">
            <v>-</v>
          </cell>
          <cell r="Y55">
            <v>5</v>
          </cell>
          <cell r="Z55">
            <v>2</v>
          </cell>
          <cell r="AA55">
            <v>3</v>
          </cell>
          <cell r="AB55">
            <v>0</v>
          </cell>
          <cell r="AC55" t="str">
            <v>Ⅱ</v>
          </cell>
        </row>
        <row r="56">
          <cell r="D56">
            <v>76</v>
          </cell>
          <cell r="E56" t="str">
            <v>MET-H_PEXI-CSTD-1-</v>
          </cell>
          <cell r="F56" t="str">
            <v>新</v>
          </cell>
          <cell r="G56" t="str">
            <v>HV NDBウォーニングブザー</v>
          </cell>
          <cell r="H56" t="str">
            <v>H_PEXI-CSTD-1-BZR01-REQ02-</v>
          </cell>
          <cell r="I56" t="str">
            <v>○</v>
          </cell>
          <cell r="K56" t="str">
            <v>○</v>
          </cell>
          <cell r="O56" t="str">
            <v>連続</v>
          </cell>
          <cell r="P56" t="str">
            <v>-</v>
          </cell>
          <cell r="Q56" t="str">
            <v>-</v>
          </cell>
          <cell r="R56" t="str">
            <v>MET-CBZ_BASE-CONTWARN-*-**-*</v>
          </cell>
          <cell r="S56" t="str">
            <v>MET-CBZ_BASE-CONTWARN-*-**-*</v>
          </cell>
          <cell r="T56" t="str">
            <v>-</v>
          </cell>
          <cell r="U56" t="str">
            <v>-</v>
          </cell>
          <cell r="V56" t="str">
            <v>定数仕様書に従うこと</v>
          </cell>
          <cell r="W56" t="str">
            <v>長</v>
          </cell>
          <cell r="X56" t="str">
            <v>-</v>
          </cell>
          <cell r="Y56">
            <v>5</v>
          </cell>
          <cell r="Z56">
            <v>2</v>
          </cell>
          <cell r="AA56">
            <v>2</v>
          </cell>
          <cell r="AB56">
            <v>1</v>
          </cell>
          <cell r="AC56" t="str">
            <v>Ⅱ</v>
          </cell>
        </row>
        <row r="57">
          <cell r="D57">
            <v>79</v>
          </cell>
          <cell r="E57" t="str">
            <v>MET-H_ACCHOL-CSTD-0-</v>
          </cell>
          <cell r="F57" t="str">
            <v>新</v>
          </cell>
          <cell r="G57" t="str">
            <v>アクセルホールドブザー</v>
          </cell>
          <cell r="H57" t="str">
            <v>H_ACCHOL-CSTD-0-BZR01-REQ02-</v>
          </cell>
          <cell r="I57" t="str">
            <v>○</v>
          </cell>
          <cell r="K57" t="str">
            <v>○</v>
          </cell>
          <cell r="O57" t="str">
            <v>連続</v>
          </cell>
          <cell r="P57" t="str">
            <v>-</v>
          </cell>
          <cell r="Q57" t="str">
            <v>-</v>
          </cell>
          <cell r="R57" t="str">
            <v>MET-CBZ_BASE-CONTWARN-*-**-*</v>
          </cell>
          <cell r="S57" t="str">
            <v>MET-CBZ_BASE-CONTWARN-*-**-*</v>
          </cell>
          <cell r="T57" t="str">
            <v>-</v>
          </cell>
          <cell r="U57" t="str">
            <v>-</v>
          </cell>
          <cell r="V57" t="str">
            <v>定数仕様書に従うこと</v>
          </cell>
          <cell r="W57" t="str">
            <v>長</v>
          </cell>
          <cell r="X57" t="str">
            <v>-</v>
          </cell>
          <cell r="Y57">
            <v>5</v>
          </cell>
          <cell r="Z57">
            <v>2</v>
          </cell>
          <cell r="AA57">
            <v>2</v>
          </cell>
          <cell r="AB57">
            <v>1</v>
          </cell>
          <cell r="AC57" t="str">
            <v>Ⅱ</v>
          </cell>
        </row>
        <row r="58">
          <cell r="D58">
            <v>324</v>
          </cell>
          <cell r="E58" t="str">
            <v>MET-D_SBW-CSTD-3-</v>
          </cell>
          <cell r="F58" t="str">
            <v>新</v>
          </cell>
          <cell r="G58" t="str">
            <v>SBW Auto-P作動通知</v>
          </cell>
          <cell r="H58" t="str">
            <v>D_SBW-CSTD-3-BZR01-REQ06-</v>
          </cell>
          <cell r="I58" t="str">
            <v>○</v>
          </cell>
          <cell r="K58" t="str">
            <v>○</v>
          </cell>
          <cell r="O58" t="str">
            <v>断続</v>
          </cell>
          <cell r="P58" t="str">
            <v>-</v>
          </cell>
          <cell r="Q58" t="str">
            <v>-</v>
          </cell>
          <cell r="R58" t="str">
            <v>MET-CBZ_BASE-INTWARNM-*-**-*</v>
          </cell>
          <cell r="S58" t="str">
            <v>MET-CBZ_BASE-INTWARNM-*-**-*</v>
          </cell>
          <cell r="T58" t="str">
            <v>-</v>
          </cell>
          <cell r="U58" t="str">
            <v>-</v>
          </cell>
          <cell r="V58" t="str">
            <v>定数仕様書に従うこと</v>
          </cell>
          <cell r="W58" t="str">
            <v>長</v>
          </cell>
          <cell r="X58" t="str">
            <v>-</v>
          </cell>
          <cell r="Y58">
            <v>5</v>
          </cell>
          <cell r="Z58">
            <v>2</v>
          </cell>
          <cell r="AA58">
            <v>2</v>
          </cell>
          <cell r="AB58">
            <v>1</v>
          </cell>
          <cell r="AC58" t="str">
            <v>Ⅱ</v>
          </cell>
        </row>
        <row r="59">
          <cell r="D59">
            <v>437</v>
          </cell>
          <cell r="E59" t="str">
            <v>MET-S_ADBZR-CSTD-0-</v>
          </cell>
          <cell r="F59" t="str">
            <v>新</v>
          </cell>
          <cell r="G59" t="str">
            <v>RSA 標識違反検知(注意喚起)時  [赤信号など]</v>
          </cell>
          <cell r="H59" t="str">
            <v>S_ADBZR-CSTD-0-BZR01-REQ037-</v>
          </cell>
          <cell r="I59" t="str">
            <v>○</v>
          </cell>
          <cell r="K59" t="str">
            <v>○</v>
          </cell>
          <cell r="O59" t="str">
            <v>断続</v>
          </cell>
          <cell r="P59" t="str">
            <v>-</v>
          </cell>
          <cell r="Q59" t="str">
            <v>-</v>
          </cell>
          <cell r="R59" t="str">
            <v>MET-CBZ_BASE-INTWARNM-*-**-*</v>
          </cell>
          <cell r="S59" t="str">
            <v>MET-CBZ_BASE-INTWARNM-*-**-*</v>
          </cell>
          <cell r="T59" t="str">
            <v>-</v>
          </cell>
          <cell r="U59" t="str">
            <v>-</v>
          </cell>
          <cell r="V59" t="str">
            <v>定数仕様書に従うこと</v>
          </cell>
          <cell r="W59" t="str">
            <v>長</v>
          </cell>
          <cell r="X59" t="str">
            <v>-</v>
          </cell>
          <cell r="Y59">
            <v>5</v>
          </cell>
          <cell r="Z59">
            <v>2</v>
          </cell>
          <cell r="AA59">
            <v>2</v>
          </cell>
          <cell r="AB59">
            <v>1</v>
          </cell>
          <cell r="AC59" t="str">
            <v>Ⅱ</v>
          </cell>
        </row>
        <row r="60">
          <cell r="D60">
            <v>478</v>
          </cell>
          <cell r="E60" t="str">
            <v>MET-B_ESWUOC-CSTD-0-</v>
          </cell>
          <cell r="F60" t="str">
            <v>新</v>
          </cell>
          <cell r="G60" t="str">
            <v>Eラッチ解除通知</v>
          </cell>
          <cell r="H60" t="str">
            <v>B_ESWUOC-CSTD-0-BZR01-REQ07-</v>
          </cell>
          <cell r="I60" t="str">
            <v>○</v>
          </cell>
          <cell r="K60" t="str">
            <v>○</v>
          </cell>
          <cell r="O60" t="str">
            <v>2連発</v>
          </cell>
          <cell r="P60" t="str">
            <v>-</v>
          </cell>
          <cell r="Q60" t="str">
            <v>-</v>
          </cell>
          <cell r="R60" t="str">
            <v>MET-CBZ_BASE-REJECT-*-**-*</v>
          </cell>
          <cell r="S60" t="str">
            <v>MET-CBZ_BASE-REJECT-*-**-*</v>
          </cell>
          <cell r="T60" t="str">
            <v>-</v>
          </cell>
          <cell r="U60" t="str">
            <v>-</v>
          </cell>
          <cell r="V60" t="str">
            <v>定数仕様書に従うこと</v>
          </cell>
          <cell r="W60" t="str">
            <v>短</v>
          </cell>
          <cell r="X60" t="str">
            <v>-</v>
          </cell>
          <cell r="Y60">
            <v>5</v>
          </cell>
          <cell r="Z60">
            <v>2</v>
          </cell>
          <cell r="AA60">
            <v>2</v>
          </cell>
          <cell r="AB60">
            <v>1</v>
          </cell>
          <cell r="AC60" t="str">
            <v>Ⅱ</v>
          </cell>
        </row>
        <row r="61">
          <cell r="D61">
            <v>435</v>
          </cell>
          <cell r="E61" t="str">
            <v>MET-S_ADBZR-CSTD-0-</v>
          </cell>
          <cell r="F61" t="str">
            <v>新</v>
          </cell>
          <cell r="G61" t="str">
            <v>PMAR 警報</v>
          </cell>
          <cell r="H61" t="str">
            <v>S_ADBZR-CSTD-0-BZR01-REQ035-</v>
          </cell>
          <cell r="I61" t="str">
            <v>○</v>
          </cell>
          <cell r="K61" t="str">
            <v>○</v>
          </cell>
          <cell r="O61" t="str">
            <v>断続</v>
          </cell>
          <cell r="P61" t="str">
            <v>-</v>
          </cell>
          <cell r="Q61" t="str">
            <v>-</v>
          </cell>
          <cell r="R61" t="str">
            <v>MET-CBZ_BASE-INTWARNM-*-**-*</v>
          </cell>
          <cell r="S61" t="str">
            <v>MET-CBZ_BASE-INTWARNM-*-**-*</v>
          </cell>
          <cell r="T61" t="str">
            <v>-</v>
          </cell>
          <cell r="U61" t="str">
            <v>-</v>
          </cell>
          <cell r="V61" t="str">
            <v>定数仕様書に従うこと</v>
          </cell>
          <cell r="W61" t="str">
            <v>長</v>
          </cell>
          <cell r="X61" t="str">
            <v>-</v>
          </cell>
          <cell r="Y61">
            <v>5</v>
          </cell>
          <cell r="Z61">
            <v>2</v>
          </cell>
          <cell r="AA61">
            <v>2</v>
          </cell>
          <cell r="AB61">
            <v>1</v>
          </cell>
          <cell r="AC61" t="str">
            <v>Ⅱ</v>
          </cell>
        </row>
        <row r="62">
          <cell r="D62">
            <v>494</v>
          </cell>
          <cell r="E62" t="str">
            <v>MET-C_BRKBZ-CSTD-2-</v>
          </cell>
          <cell r="F62" t="str">
            <v>新</v>
          </cell>
          <cell r="G62" t="str">
            <v>ブレーキシステム アプリ駆動ブザー6</v>
          </cell>
          <cell r="H62" t="str">
            <v>C_BRKBZ-CSTD-2-BZR01-REQ06-</v>
          </cell>
          <cell r="I62" t="str">
            <v>○</v>
          </cell>
          <cell r="K62" t="str">
            <v>○</v>
          </cell>
          <cell r="O62" t="str">
            <v>2連発</v>
          </cell>
          <cell r="P62" t="str">
            <v>-</v>
          </cell>
          <cell r="Q62" t="str">
            <v>-</v>
          </cell>
          <cell r="R62" t="str">
            <v>MET-CBZ_BASE-REJECT-*-**-*</v>
          </cell>
          <cell r="S62" t="str">
            <v>MET-CBZ_BASE-REJECT-*-**-*</v>
          </cell>
          <cell r="T62" t="str">
            <v>-</v>
          </cell>
          <cell r="U62" t="str">
            <v>-</v>
          </cell>
          <cell r="V62" t="str">
            <v>定数仕様書に従うこと</v>
          </cell>
          <cell r="W62" t="str">
            <v>短</v>
          </cell>
          <cell r="X62" t="str">
            <v>-</v>
          </cell>
          <cell r="Y62">
            <v>5</v>
          </cell>
          <cell r="Z62">
            <v>2</v>
          </cell>
          <cell r="AA62">
            <v>2</v>
          </cell>
          <cell r="AB62">
            <v>1</v>
          </cell>
          <cell r="AC62" t="str">
            <v>Ⅱ</v>
          </cell>
        </row>
        <row r="63">
          <cell r="D63">
            <v>91</v>
          </cell>
          <cell r="E63" t="str">
            <v>MET-H_SYSMAL-CSTD-2-</v>
          </cell>
          <cell r="F63" t="str">
            <v>新</v>
          </cell>
          <cell r="G63" t="str">
            <v>HVシステムブザー（Pレンジ操作）</v>
          </cell>
          <cell r="H63" t="str">
            <v>H_SYSMAL-CSTD-2-BZR01-REQ03-</v>
          </cell>
          <cell r="I63" t="str">
            <v>○</v>
          </cell>
          <cell r="K63" t="str">
            <v>○</v>
          </cell>
          <cell r="O63" t="str">
            <v>連続</v>
          </cell>
          <cell r="P63" t="str">
            <v>-</v>
          </cell>
          <cell r="Q63" t="str">
            <v>-</v>
          </cell>
          <cell r="R63" t="str">
            <v>MET-CBZ_BASE-CONTWARN-*-**-*</v>
          </cell>
          <cell r="S63" t="str">
            <v>MET-CBZ_BASE-CONTWARN-*-**-*</v>
          </cell>
          <cell r="T63" t="str">
            <v>-</v>
          </cell>
          <cell r="U63" t="str">
            <v>-</v>
          </cell>
          <cell r="V63" t="str">
            <v>定数仕様書に従うこと</v>
          </cell>
          <cell r="W63" t="str">
            <v>長</v>
          </cell>
          <cell r="X63" t="str">
            <v>-</v>
          </cell>
          <cell r="Y63">
            <v>5</v>
          </cell>
          <cell r="Z63">
            <v>3</v>
          </cell>
          <cell r="AA63">
            <v>2</v>
          </cell>
          <cell r="AB63">
            <v>0</v>
          </cell>
          <cell r="AC63" t="str">
            <v>Ⅰ</v>
          </cell>
        </row>
        <row r="64">
          <cell r="D64">
            <v>92</v>
          </cell>
          <cell r="E64" t="str">
            <v>MET-O_CHAMAL-CSTD-0-</v>
          </cell>
          <cell r="F64" t="str">
            <v>新</v>
          </cell>
          <cell r="G64" t="str">
            <v>補助バッテリー充電システム異常ブザー</v>
          </cell>
          <cell r="H64" t="str">
            <v>O_CHAMAL-CSTD-0-BZR01-REQ02-</v>
          </cell>
          <cell r="I64" t="str">
            <v>○</v>
          </cell>
          <cell r="K64" t="str">
            <v>○</v>
          </cell>
          <cell r="O64" t="str">
            <v>断続</v>
          </cell>
          <cell r="P64" t="str">
            <v>-</v>
          </cell>
          <cell r="Q64" t="str">
            <v>-</v>
          </cell>
          <cell r="R64" t="str">
            <v>MET-CBZ_BASE-INTWARNM-*-**-*</v>
          </cell>
          <cell r="S64" t="str">
            <v>MET-CBZ_BASE-INTWARNM-*-**-*</v>
          </cell>
          <cell r="T64" t="str">
            <v>-</v>
          </cell>
          <cell r="U64" t="str">
            <v>-</v>
          </cell>
          <cell r="V64" t="str">
            <v>定数仕様書に従うこと</v>
          </cell>
          <cell r="W64" t="str">
            <v>長</v>
          </cell>
          <cell r="X64" t="str">
            <v>-</v>
          </cell>
          <cell r="Y64">
            <v>5</v>
          </cell>
          <cell r="Z64">
            <v>3</v>
          </cell>
          <cell r="AA64">
            <v>2</v>
          </cell>
          <cell r="AB64">
            <v>0</v>
          </cell>
          <cell r="AC64" t="str">
            <v>Ⅰ</v>
          </cell>
        </row>
        <row r="65">
          <cell r="D65">
            <v>94</v>
          </cell>
          <cell r="E65" t="str">
            <v>MET-H_SYSMAL-CSTD-2-</v>
          </cell>
          <cell r="F65" t="str">
            <v>新</v>
          </cell>
          <cell r="G65" t="str">
            <v>HVシステムブザー（停車要求）</v>
          </cell>
          <cell r="H65" t="str">
            <v>H_SYSMAL-CSTD-2-BZR01-REQ05-</v>
          </cell>
          <cell r="I65" t="str">
            <v>○</v>
          </cell>
          <cell r="K65" t="str">
            <v>○</v>
          </cell>
          <cell r="O65" t="str">
            <v>断続</v>
          </cell>
          <cell r="P65" t="str">
            <v>-</v>
          </cell>
          <cell r="Q65" t="str">
            <v>-</v>
          </cell>
          <cell r="R65" t="str">
            <v>MET-CBZ_BASE-INTWARNM-*-**-*</v>
          </cell>
          <cell r="S65" t="str">
            <v>MET-CBZ_BASE-INTWARNM-*-**-*</v>
          </cell>
          <cell r="T65" t="str">
            <v>-</v>
          </cell>
          <cell r="U65" t="str">
            <v>-</v>
          </cell>
          <cell r="V65" t="str">
            <v>定数仕様書に従うこと</v>
          </cell>
          <cell r="W65" t="str">
            <v>長</v>
          </cell>
          <cell r="X65" t="str">
            <v>-</v>
          </cell>
          <cell r="Y65">
            <v>5</v>
          </cell>
          <cell r="Z65">
            <v>3</v>
          </cell>
          <cell r="AA65">
            <v>2</v>
          </cell>
          <cell r="AB65">
            <v>0</v>
          </cell>
          <cell r="AC65" t="str">
            <v>Ⅰ</v>
          </cell>
        </row>
        <row r="66">
          <cell r="D66">
            <v>490</v>
          </cell>
          <cell r="E66" t="str">
            <v>MET-C_BRKBZ-CSTD-2-</v>
          </cell>
          <cell r="F66" t="str">
            <v>新</v>
          </cell>
          <cell r="G66" t="str">
            <v>ブレーキシステム アプリ駆動ブザー4</v>
          </cell>
          <cell r="H66" t="str">
            <v>C_BRKBZ-CSTD-2-BZR01-REQ04-</v>
          </cell>
          <cell r="I66" t="str">
            <v>○</v>
          </cell>
          <cell r="K66" t="str">
            <v>○</v>
          </cell>
          <cell r="O66" t="str">
            <v>断続</v>
          </cell>
          <cell r="P66" t="str">
            <v>-</v>
          </cell>
          <cell r="Q66" t="str">
            <v>-</v>
          </cell>
          <cell r="R66" t="str">
            <v>MET-CBZ_BASE-INTWARNM-*-**-*</v>
          </cell>
          <cell r="S66" t="str">
            <v>MET-CBZ_BASE-INTWARNM-*-**-*</v>
          </cell>
          <cell r="T66" t="str">
            <v>-</v>
          </cell>
          <cell r="U66" t="str">
            <v>-</v>
          </cell>
          <cell r="V66" t="str">
            <v>定数仕様書に従うこと</v>
          </cell>
          <cell r="W66" t="str">
            <v>長</v>
          </cell>
          <cell r="X66" t="str">
            <v>-</v>
          </cell>
          <cell r="Y66">
            <v>5</v>
          </cell>
          <cell r="Z66">
            <v>3</v>
          </cell>
          <cell r="AA66">
            <v>2</v>
          </cell>
          <cell r="AB66">
            <v>0</v>
          </cell>
          <cell r="AC66" t="str">
            <v>Ⅰ</v>
          </cell>
        </row>
        <row r="67">
          <cell r="D67">
            <v>523</v>
          </cell>
          <cell r="E67" t="str">
            <v>MET-S_TMBZR-CSTD-0</v>
          </cell>
          <cell r="F67" t="str">
            <v>新</v>
          </cell>
          <cell r="G67" t="str">
            <v>連続音：優先度5</v>
          </cell>
          <cell r="H67" t="str">
            <v>S_TMBZR-CSTD-0-BZR01-REQ025-</v>
          </cell>
          <cell r="I67" t="str">
            <v>○</v>
          </cell>
          <cell r="K67" t="str">
            <v>○</v>
          </cell>
          <cell r="O67" t="str">
            <v>連続</v>
          </cell>
          <cell r="P67" t="str">
            <v>-</v>
          </cell>
          <cell r="Q67" t="str">
            <v>-</v>
          </cell>
          <cell r="R67" t="str">
            <v>MET-CBZ_BASE-CONTWARN-*-**-*</v>
          </cell>
          <cell r="S67" t="str">
            <v>MET-CBZ_BASE-CONTWARN-*-**-*</v>
          </cell>
          <cell r="T67" t="str">
            <v>-</v>
          </cell>
          <cell r="U67" t="str">
            <v>-</v>
          </cell>
          <cell r="V67" t="str">
            <v>定数仕様書に従うこと</v>
          </cell>
          <cell r="W67" t="str">
            <v>長</v>
          </cell>
          <cell r="X67" t="str">
            <v>-</v>
          </cell>
          <cell r="Y67">
            <v>5</v>
          </cell>
          <cell r="Z67">
            <v>2</v>
          </cell>
          <cell r="AA67">
            <v>2</v>
          </cell>
          <cell r="AB67">
            <v>1</v>
          </cell>
          <cell r="AC67" t="str">
            <v>Ⅲ</v>
          </cell>
        </row>
        <row r="68">
          <cell r="D68">
            <v>529</v>
          </cell>
          <cell r="E68" t="str">
            <v>MET-S_TMBZR-CSTD-0</v>
          </cell>
          <cell r="F68" t="str">
            <v>新</v>
          </cell>
          <cell r="G68" t="str">
            <v>緊迫(中)：優先度5</v>
          </cell>
          <cell r="H68" t="str">
            <v>S_TMBZR-CSTD-0-BZR01-REQ031-</v>
          </cell>
          <cell r="I68" t="str">
            <v>○</v>
          </cell>
          <cell r="K68" t="str">
            <v>○</v>
          </cell>
          <cell r="O68" t="str">
            <v>断続</v>
          </cell>
          <cell r="P68" t="str">
            <v>-</v>
          </cell>
          <cell r="Q68" t="str">
            <v>-</v>
          </cell>
          <cell r="R68" t="str">
            <v>MET-CBZ_BASE-INTWARNM-*-**-*</v>
          </cell>
          <cell r="S68" t="str">
            <v>MET-CBZ_BASE-INTWARNM-*-**-*</v>
          </cell>
          <cell r="T68" t="str">
            <v>-</v>
          </cell>
          <cell r="U68" t="str">
            <v>-</v>
          </cell>
          <cell r="V68" t="str">
            <v>定数仕様書に従うこと</v>
          </cell>
          <cell r="W68" t="str">
            <v>長</v>
          </cell>
          <cell r="X68" t="str">
            <v>-</v>
          </cell>
          <cell r="Y68">
            <v>5</v>
          </cell>
          <cell r="Z68">
            <v>2</v>
          </cell>
          <cell r="AA68">
            <v>2</v>
          </cell>
          <cell r="AB68">
            <v>1</v>
          </cell>
          <cell r="AC68" t="str">
            <v>Ⅲ</v>
          </cell>
        </row>
        <row r="69">
          <cell r="D69">
            <v>96</v>
          </cell>
          <cell r="E69" t="str">
            <v>MET-C_EPB-CSTD-1-</v>
          </cell>
          <cell r="F69" t="str">
            <v>新</v>
          </cell>
          <cell r="G69" t="str">
            <v>EPB・PKB引きずり警告</v>
          </cell>
          <cell r="H69" t="str">
            <v>C_EPB-CSTD-1-BZR01-REQ02-</v>
          </cell>
          <cell r="I69" t="str">
            <v>○</v>
          </cell>
          <cell r="K69" t="str">
            <v>○</v>
          </cell>
          <cell r="O69" t="str">
            <v>断続</v>
          </cell>
          <cell r="P69" t="str">
            <v>-</v>
          </cell>
          <cell r="Q69" t="str">
            <v>-</v>
          </cell>
          <cell r="R69" t="str">
            <v>MET-CBZ_BASE-INTWARNM-*-**-*</v>
          </cell>
          <cell r="S69" t="str">
            <v>MET-CBZ_BASE-INTWARNM-*-**-*</v>
          </cell>
          <cell r="T69" t="str">
            <v>-</v>
          </cell>
          <cell r="U69" t="str">
            <v>-</v>
          </cell>
          <cell r="V69" t="str">
            <v>定数仕様書に従うこと</v>
          </cell>
          <cell r="W69" t="str">
            <v>長</v>
          </cell>
          <cell r="X69" t="str">
            <v>-</v>
          </cell>
          <cell r="Y69">
            <v>4.5</v>
          </cell>
          <cell r="Z69">
            <v>2</v>
          </cell>
          <cell r="AA69">
            <v>2</v>
          </cell>
          <cell r="AB69">
            <v>2</v>
          </cell>
          <cell r="AC69" t="str">
            <v>Ⅱ</v>
          </cell>
        </row>
        <row r="70">
          <cell r="D70">
            <v>477</v>
          </cell>
          <cell r="E70" t="str">
            <v>MET-O_EIGCON-CSTD-1-</v>
          </cell>
          <cell r="F70" t="str">
            <v>新</v>
          </cell>
          <cell r="G70" t="str">
            <v>車両電源ステートがPowerON緊急走行かつ車速あり</v>
          </cell>
          <cell r="H70" t="str">
            <v>O_EIGCON-CSTD-1-BZR01-REQ02-</v>
          </cell>
          <cell r="I70" t="str">
            <v>○</v>
          </cell>
          <cell r="K70" t="str">
            <v>○</v>
          </cell>
          <cell r="O70" t="str">
            <v>連続</v>
          </cell>
          <cell r="P70" t="str">
            <v>-</v>
          </cell>
          <cell r="Q70" t="str">
            <v>-</v>
          </cell>
          <cell r="R70" t="str">
            <v>MET-CBZ_BASE-CONTWARN-*-**-*</v>
          </cell>
          <cell r="S70" t="str">
            <v>MET-CBZ_BASE-CONTWARN-*-**-*</v>
          </cell>
          <cell r="T70" t="str">
            <v>-</v>
          </cell>
          <cell r="U70" t="str">
            <v>-</v>
          </cell>
          <cell r="V70" t="str">
            <v>定数仕様書に従うこと</v>
          </cell>
          <cell r="W70" t="str">
            <v>長</v>
          </cell>
          <cell r="X70" t="str">
            <v>-</v>
          </cell>
          <cell r="Y70">
            <v>4.5</v>
          </cell>
          <cell r="Z70">
            <v>2</v>
          </cell>
          <cell r="AA70">
            <v>2</v>
          </cell>
          <cell r="AB70">
            <v>0</v>
          </cell>
          <cell r="AC70" t="str">
            <v>Ⅱ</v>
          </cell>
        </row>
        <row r="71">
          <cell r="D71">
            <v>447</v>
          </cell>
          <cell r="E71" t="str">
            <v>MET-S_ADBZR-CSTD-0-</v>
          </cell>
          <cell r="F71" t="str">
            <v>新</v>
          </cell>
          <cell r="G71" t="str">
            <v>ACC 制御キャンセル/制御開始不許可</v>
          </cell>
          <cell r="H71" t="str">
            <v>S_ADBZR-CSTD-0-BZR01-REQ047-</v>
          </cell>
          <cell r="I71" t="str">
            <v>○</v>
          </cell>
          <cell r="K71" t="str">
            <v>○</v>
          </cell>
          <cell r="O71" t="str">
            <v>2連発</v>
          </cell>
          <cell r="P71" t="str">
            <v>-</v>
          </cell>
          <cell r="Q71" t="str">
            <v>-</v>
          </cell>
          <cell r="R71" t="str">
            <v>MET-CBZ_BASE-REJECT-*-**-*</v>
          </cell>
          <cell r="S71" t="str">
            <v>MET-CBZ_BASE-REJECT-*-**-*</v>
          </cell>
          <cell r="T71" t="str">
            <v>-</v>
          </cell>
          <cell r="U71" t="str">
            <v>-</v>
          </cell>
          <cell r="V71" t="str">
            <v>定数仕様書に従うこと</v>
          </cell>
          <cell r="W71" t="str">
            <v>短</v>
          </cell>
          <cell r="X71" t="str">
            <v>-</v>
          </cell>
          <cell r="Y71">
            <v>4.5</v>
          </cell>
          <cell r="Z71">
            <v>1</v>
          </cell>
          <cell r="AA71">
            <v>2</v>
          </cell>
          <cell r="AB71">
            <v>1</v>
          </cell>
          <cell r="AC71" t="str">
            <v>Ⅱ</v>
          </cell>
        </row>
        <row r="72">
          <cell r="D72">
            <v>423</v>
          </cell>
          <cell r="E72" t="str">
            <v>MET-S_ADBZR-CSTD-0-</v>
          </cell>
          <cell r="F72" t="str">
            <v>新</v>
          </cell>
          <cell r="G72" t="str">
            <v>LTA キャンセルブザー</v>
          </cell>
          <cell r="H72" t="str">
            <v>S_ADBZR-CSTD-0-BZR01-REQ023-</v>
          </cell>
          <cell r="I72" t="str">
            <v>○</v>
          </cell>
          <cell r="K72" t="str">
            <v>○</v>
          </cell>
          <cell r="O72" t="str">
            <v>2連発</v>
          </cell>
          <cell r="P72" t="str">
            <v>-</v>
          </cell>
          <cell r="Q72" t="str">
            <v>-</v>
          </cell>
          <cell r="R72" t="str">
            <v>MET-CBZ_BASE-REJECT-*-**-*</v>
          </cell>
          <cell r="S72" t="str">
            <v>MET-CBZ_BASE-REJECT-*-**-*</v>
          </cell>
          <cell r="T72" t="str">
            <v>-</v>
          </cell>
          <cell r="U72" t="str">
            <v>-</v>
          </cell>
          <cell r="V72" t="str">
            <v>定数仕様書に従うこと</v>
          </cell>
          <cell r="W72" t="str">
            <v>短</v>
          </cell>
          <cell r="X72" t="str">
            <v>-</v>
          </cell>
          <cell r="Y72">
            <v>4.5</v>
          </cell>
          <cell r="Z72">
            <v>2</v>
          </cell>
          <cell r="AA72">
            <v>2</v>
          </cell>
          <cell r="AB72">
            <v>0</v>
          </cell>
          <cell r="AC72" t="str">
            <v>Ⅲ</v>
          </cell>
        </row>
        <row r="73">
          <cell r="D73">
            <v>418</v>
          </cell>
          <cell r="E73" t="str">
            <v>MET-S_ADBZR-CSTD-0-</v>
          </cell>
          <cell r="F73" t="str">
            <v>新</v>
          </cell>
          <cell r="G73" t="str">
            <v>LCA キャンセルブザー</v>
          </cell>
          <cell r="H73" t="str">
            <v>S_ADBZR-CSTD-0-BZR01-REQ018-</v>
          </cell>
          <cell r="I73" t="str">
            <v>○</v>
          </cell>
          <cell r="K73" t="str">
            <v>○</v>
          </cell>
          <cell r="O73" t="str">
            <v>2連発</v>
          </cell>
          <cell r="P73" t="str">
            <v>-</v>
          </cell>
          <cell r="Q73" t="str">
            <v>-</v>
          </cell>
          <cell r="R73" t="str">
            <v>MET-CBZ_BASE-REJECT-*-**-*</v>
          </cell>
          <cell r="S73" t="str">
            <v>MET-CBZ_BASE-REJECT-*-**-*</v>
          </cell>
          <cell r="T73" t="str">
            <v>-</v>
          </cell>
          <cell r="U73" t="str">
            <v>-</v>
          </cell>
          <cell r="V73" t="str">
            <v>定数仕様書に従うこと</v>
          </cell>
          <cell r="W73" t="str">
            <v>短</v>
          </cell>
          <cell r="X73" t="str">
            <v>-</v>
          </cell>
          <cell r="Y73">
            <v>4.5</v>
          </cell>
          <cell r="Z73">
            <v>1</v>
          </cell>
          <cell r="AA73">
            <v>2</v>
          </cell>
          <cell r="AB73">
            <v>0</v>
          </cell>
          <cell r="AC73" t="str">
            <v>Ⅱ</v>
          </cell>
        </row>
        <row r="74">
          <cell r="D74">
            <v>505</v>
          </cell>
          <cell r="E74" t="str">
            <v>MET-S_TMBZR-CSTD-0</v>
          </cell>
          <cell r="F74" t="str">
            <v>新</v>
          </cell>
          <cell r="G74" t="str">
            <v>報知音(FB)：優先度4.5</v>
          </cell>
          <cell r="H74" t="str">
            <v>S_TMBZR-CSTD-0-BZR01-REQ07-</v>
          </cell>
          <cell r="I74" t="str">
            <v>○</v>
          </cell>
          <cell r="K74" t="str">
            <v>○</v>
          </cell>
          <cell r="O74" t="str">
            <v>単発</v>
          </cell>
          <cell r="P74" t="str">
            <v>-</v>
          </cell>
          <cell r="Q74" t="str">
            <v>-</v>
          </cell>
          <cell r="R74" t="str">
            <v>MET-CBZ_BASE-NOTICE1-*-**-*</v>
          </cell>
          <cell r="S74" t="str">
            <v>MET-CBZ_BASE-NOTICE1-*-**-*</v>
          </cell>
          <cell r="T74" t="str">
            <v>-</v>
          </cell>
          <cell r="U74" t="str">
            <v>-</v>
          </cell>
          <cell r="V74" t="str">
            <v>定数仕様書に従うこと</v>
          </cell>
          <cell r="W74" t="str">
            <v>短</v>
          </cell>
          <cell r="X74" t="str">
            <v>-</v>
          </cell>
          <cell r="Y74">
            <v>4.5</v>
          </cell>
          <cell r="Z74">
            <v>2</v>
          </cell>
          <cell r="AA74">
            <v>1</v>
          </cell>
          <cell r="AB74">
            <v>1</v>
          </cell>
          <cell r="AC74" t="str">
            <v>Ⅲ</v>
          </cell>
        </row>
        <row r="75">
          <cell r="D75">
            <v>511</v>
          </cell>
          <cell r="E75" t="str">
            <v>MET-S_TMBZR-CSTD-0</v>
          </cell>
          <cell r="F75" t="str">
            <v>新</v>
          </cell>
          <cell r="G75" t="str">
            <v>受付音(FB)：優先度4.5</v>
          </cell>
          <cell r="H75" t="str">
            <v>S_TMBZR-CSTD-0-BZR01-REQ013-</v>
          </cell>
          <cell r="I75" t="str">
            <v>○</v>
          </cell>
          <cell r="K75" t="str">
            <v>○</v>
          </cell>
          <cell r="O75" t="str">
            <v>単発</v>
          </cell>
          <cell r="P75" t="str">
            <v>-</v>
          </cell>
          <cell r="Q75" t="str">
            <v>-</v>
          </cell>
          <cell r="R75" t="str">
            <v>MET-CBZ_BASE-ACCEPT-*-**-*</v>
          </cell>
          <cell r="S75" t="str">
            <v>MET-CBZ_BASE-ACCEPT-*-**-*</v>
          </cell>
          <cell r="T75" t="str">
            <v>-</v>
          </cell>
          <cell r="U75" t="str">
            <v>-</v>
          </cell>
          <cell r="V75" t="str">
            <v>定数仕様書に従うこと</v>
          </cell>
          <cell r="W75" t="str">
            <v>短</v>
          </cell>
          <cell r="X75" t="str">
            <v>-</v>
          </cell>
          <cell r="Y75">
            <v>4.5</v>
          </cell>
          <cell r="Z75">
            <v>2</v>
          </cell>
          <cell r="AA75">
            <v>1</v>
          </cell>
          <cell r="AB75">
            <v>1</v>
          </cell>
          <cell r="AC75" t="str">
            <v>Ⅲ</v>
          </cell>
        </row>
        <row r="76">
          <cell r="D76">
            <v>517</v>
          </cell>
          <cell r="E76" t="str">
            <v>MET-S_TMBZR-CSTD-0</v>
          </cell>
          <cell r="F76" t="str">
            <v>新</v>
          </cell>
          <cell r="G76" t="str">
            <v>リジェクト音(FB)：優先度4.5</v>
          </cell>
          <cell r="H76" t="str">
            <v>S_TMBZR-CSTD-0-BZR01-REQ019-</v>
          </cell>
          <cell r="I76" t="str">
            <v>○</v>
          </cell>
          <cell r="K76" t="str">
            <v>○</v>
          </cell>
          <cell r="O76" t="str">
            <v>2連発</v>
          </cell>
          <cell r="P76" t="str">
            <v>-</v>
          </cell>
          <cell r="Q76" t="str">
            <v>-</v>
          </cell>
          <cell r="R76" t="str">
            <v>MET-CBZ_BASE-REJECT-*-**-*</v>
          </cell>
          <cell r="S76" t="str">
            <v>MET-CBZ_BASE-REJECT-*-**-*</v>
          </cell>
          <cell r="T76" t="str">
            <v>-</v>
          </cell>
          <cell r="U76" t="str">
            <v>-</v>
          </cell>
          <cell r="V76" t="str">
            <v>定数仕様書に従うこと</v>
          </cell>
          <cell r="W76" t="str">
            <v>短</v>
          </cell>
          <cell r="X76" t="str">
            <v>-</v>
          </cell>
          <cell r="Y76">
            <v>4.5</v>
          </cell>
          <cell r="Z76">
            <v>2</v>
          </cell>
          <cell r="AA76">
            <v>1</v>
          </cell>
          <cell r="AB76">
            <v>1</v>
          </cell>
          <cell r="AC76" t="str">
            <v>Ⅲ</v>
          </cell>
        </row>
        <row r="77">
          <cell r="D77">
            <v>331</v>
          </cell>
          <cell r="E77" t="str">
            <v>MET-D_SFTPOS-CSTD-1-</v>
          </cell>
          <cell r="F77" t="str">
            <v>新</v>
          </cell>
          <cell r="G77" t="str">
            <v>シーケンシャルシフトリジェクトブザー</v>
          </cell>
          <cell r="H77" t="str">
            <v>D_SFTPOS-CSTD-1-BZR01-REQ02-</v>
          </cell>
          <cell r="I77" t="str">
            <v>○</v>
          </cell>
          <cell r="K77" t="str">
            <v>○</v>
          </cell>
          <cell r="O77" t="str">
            <v>2連発</v>
          </cell>
          <cell r="P77" t="str">
            <v>-</v>
          </cell>
          <cell r="Q77" t="str">
            <v>-</v>
          </cell>
          <cell r="R77" t="str">
            <v>MET-CBZ_BASE-REJECT-*-**-*</v>
          </cell>
          <cell r="S77" t="str">
            <v>MET-CBZ_BASE-REJECT-*-**-*</v>
          </cell>
          <cell r="T77" t="str">
            <v>-</v>
          </cell>
          <cell r="U77" t="str">
            <v>-</v>
          </cell>
          <cell r="V77" t="str">
            <v>定数仕様書に従うこと</v>
          </cell>
          <cell r="W77" t="str">
            <v>短</v>
          </cell>
          <cell r="X77" t="str">
            <v>-</v>
          </cell>
          <cell r="Y77">
            <v>4.5</v>
          </cell>
          <cell r="Z77">
            <v>1</v>
          </cell>
          <cell r="AA77">
            <v>2</v>
          </cell>
          <cell r="AB77">
            <v>1</v>
          </cell>
          <cell r="AC77" t="str">
            <v>Ⅲ</v>
          </cell>
        </row>
        <row r="78">
          <cell r="D78">
            <v>454</v>
          </cell>
          <cell r="E78" t="str">
            <v>MET-S_ADBZR-CSTD-0-</v>
          </cell>
          <cell r="F78" t="str">
            <v>新</v>
          </cell>
          <cell r="G78" t="str">
            <v>APP 制御中止ブザー</v>
          </cell>
          <cell r="H78" t="str">
            <v>S_ADBZR-CSTD-0-BZR01-REQ054-</v>
          </cell>
          <cell r="I78" t="str">
            <v>○</v>
          </cell>
          <cell r="K78" t="str">
            <v>○</v>
          </cell>
          <cell r="O78" t="str">
            <v>2連発</v>
          </cell>
          <cell r="P78" t="str">
            <v>-</v>
          </cell>
          <cell r="Q78" t="str">
            <v>-</v>
          </cell>
          <cell r="R78" t="str">
            <v>MET-CBZ_BASE-REJECT-*-**-*</v>
          </cell>
          <cell r="S78" t="str">
            <v>MET-CBZ_BASE-REJECT-*-**-*</v>
          </cell>
          <cell r="T78" t="str">
            <v>-</v>
          </cell>
          <cell r="U78" t="str">
            <v>-</v>
          </cell>
          <cell r="V78" t="str">
            <v>定数仕様書に従うこと</v>
          </cell>
          <cell r="W78" t="str">
            <v>短</v>
          </cell>
          <cell r="X78" t="str">
            <v>-</v>
          </cell>
          <cell r="Y78">
            <v>4.5</v>
          </cell>
          <cell r="Z78">
            <v>1</v>
          </cell>
          <cell r="AA78">
            <v>2</v>
          </cell>
          <cell r="AB78">
            <v>0</v>
          </cell>
          <cell r="AC78" t="str">
            <v>Ⅲ</v>
          </cell>
        </row>
        <row r="79">
          <cell r="D79">
            <v>456</v>
          </cell>
          <cell r="E79" t="str">
            <v>MET-S_ADBZR-CSTD-0-</v>
          </cell>
          <cell r="F79" t="str">
            <v>新</v>
          </cell>
          <cell r="G79" t="str">
            <v>APP 制御正常終了ブザー</v>
          </cell>
          <cell r="H79" t="str">
            <v>S_ADBZR-CSTD-0-BZR01-REQ056-</v>
          </cell>
          <cell r="I79" t="str">
            <v>○</v>
          </cell>
          <cell r="K79" t="str">
            <v>○</v>
          </cell>
          <cell r="O79" t="str">
            <v>単発</v>
          </cell>
          <cell r="P79" t="str">
            <v>-</v>
          </cell>
          <cell r="Q79" t="str">
            <v>-</v>
          </cell>
          <cell r="R79" t="str">
            <v>MET-CBZ_BASE-NOTICE1-*-**-*</v>
          </cell>
          <cell r="S79" t="str">
            <v>MET-CBZ_BASE-NOTICE1-*-**-*</v>
          </cell>
          <cell r="T79" t="str">
            <v>-</v>
          </cell>
          <cell r="U79" t="str">
            <v>-</v>
          </cell>
          <cell r="V79" t="str">
            <v>定数仕様書に従うこと</v>
          </cell>
          <cell r="W79" t="str">
            <v>短</v>
          </cell>
          <cell r="X79" t="str">
            <v>-</v>
          </cell>
          <cell r="Y79">
            <v>4.5</v>
          </cell>
          <cell r="Z79">
            <v>1</v>
          </cell>
          <cell r="AA79">
            <v>2</v>
          </cell>
          <cell r="AB79">
            <v>0</v>
          </cell>
          <cell r="AC79" t="str">
            <v>Ⅲ</v>
          </cell>
        </row>
        <row r="80">
          <cell r="D80">
            <v>112</v>
          </cell>
          <cell r="E80" t="str">
            <v>MET-H_DCLDSP-CSTD-2-</v>
          </cell>
          <cell r="F80" t="str">
            <v>新</v>
          </cell>
          <cell r="G80" t="str">
            <v>惰行減速度レベル変更操作リジェクト告知</v>
          </cell>
          <cell r="H80" t="str">
            <v>H_DCLDSP-CSTD-2-BZR01-REQ02-</v>
          </cell>
          <cell r="I80" t="str">
            <v>○</v>
          </cell>
          <cell r="K80" t="str">
            <v>○</v>
          </cell>
          <cell r="O80" t="str">
            <v>2連発</v>
          </cell>
          <cell r="P80" t="str">
            <v>-</v>
          </cell>
          <cell r="Q80" t="str">
            <v>-</v>
          </cell>
          <cell r="R80" t="str">
            <v>MET-CBZ_BASE-REJECT-*-**-*</v>
          </cell>
          <cell r="S80" t="str">
            <v>MET-CBZ_BASE-REJECT-*-**-*</v>
          </cell>
          <cell r="T80" t="str">
            <v>-</v>
          </cell>
          <cell r="U80" t="str">
            <v>-</v>
          </cell>
          <cell r="V80" t="str">
            <v>定数仕様書に従うこと</v>
          </cell>
          <cell r="W80" t="str">
            <v>短</v>
          </cell>
          <cell r="X80" t="str">
            <v>-</v>
          </cell>
          <cell r="Y80">
            <v>4.5</v>
          </cell>
          <cell r="Z80">
            <v>1</v>
          </cell>
          <cell r="AA80">
            <v>2</v>
          </cell>
          <cell r="AB80">
            <v>0</v>
          </cell>
          <cell r="AC80" t="str">
            <v>Ⅲ</v>
          </cell>
        </row>
        <row r="81">
          <cell r="D81">
            <v>417</v>
          </cell>
          <cell r="E81" t="str">
            <v>MET-S_ADBZR-CSTD-0-</v>
          </cell>
          <cell r="F81" t="str">
            <v>新</v>
          </cell>
          <cell r="G81" t="str">
            <v>LCA 受付ブザー</v>
          </cell>
          <cell r="H81" t="str">
            <v>S_ADBZR-CSTD-0-BZR01-REQ017-</v>
          </cell>
          <cell r="I81" t="str">
            <v>○</v>
          </cell>
          <cell r="K81" t="str">
            <v>○</v>
          </cell>
          <cell r="O81" t="str">
            <v>単発</v>
          </cell>
          <cell r="P81" t="str">
            <v>-</v>
          </cell>
          <cell r="Q81" t="str">
            <v>-</v>
          </cell>
          <cell r="R81" t="str">
            <v>MET-CBZ_BASE-ACCEPT-*-**-*</v>
          </cell>
          <cell r="S81" t="str">
            <v>MET-CBZ_BASE-ACCEPT-*-**-*</v>
          </cell>
          <cell r="T81" t="str">
            <v>-</v>
          </cell>
          <cell r="U81" t="str">
            <v>-</v>
          </cell>
          <cell r="V81" t="str">
            <v>定数仕様書に従うこと</v>
          </cell>
          <cell r="W81" t="str">
            <v>短</v>
          </cell>
          <cell r="X81" t="str">
            <v>-</v>
          </cell>
          <cell r="Y81">
            <v>4.5</v>
          </cell>
          <cell r="Z81">
            <v>1</v>
          </cell>
          <cell r="AA81">
            <v>2</v>
          </cell>
          <cell r="AB81">
            <v>0</v>
          </cell>
          <cell r="AC81" t="str">
            <v>Ⅲ</v>
          </cell>
        </row>
        <row r="82">
          <cell r="D82">
            <v>441</v>
          </cell>
          <cell r="E82" t="str">
            <v>MET-S_ADBZR-CSTD-0-</v>
          </cell>
          <cell r="F82" t="str">
            <v>新</v>
          </cell>
          <cell r="G82" t="str">
            <v>法規/アセス:SEAドア開リジェクト</v>
          </cell>
          <cell r="H82" t="str">
            <v>S_ADBZR-CSTD-0-BZR01-REQ041-</v>
          </cell>
          <cell r="I82" t="str">
            <v>○</v>
          </cell>
          <cell r="K82" t="str">
            <v>○</v>
          </cell>
          <cell r="O82" t="str">
            <v>2連発</v>
          </cell>
          <cell r="P82" t="str">
            <v>-</v>
          </cell>
          <cell r="Q82" t="str">
            <v>-</v>
          </cell>
          <cell r="R82" t="str">
            <v>MET-CBZ_BASE-REJECT-*-**-*</v>
          </cell>
          <cell r="S82" t="str">
            <v>MET-CBZ_BASE-REJECT-*-**-*</v>
          </cell>
          <cell r="T82" t="str">
            <v>-</v>
          </cell>
          <cell r="U82" t="str">
            <v>-</v>
          </cell>
          <cell r="V82" t="str">
            <v>定数仕様書に従うこと</v>
          </cell>
          <cell r="W82" t="str">
            <v>短</v>
          </cell>
          <cell r="X82" t="str">
            <v>-</v>
          </cell>
          <cell r="Y82">
            <v>4.5</v>
          </cell>
          <cell r="Z82">
            <v>0</v>
          </cell>
          <cell r="AA82">
            <v>0</v>
          </cell>
          <cell r="AB82">
            <v>0</v>
          </cell>
          <cell r="AC82" t="str">
            <v>Ⅲ</v>
          </cell>
        </row>
        <row r="83">
          <cell r="D83">
            <v>497</v>
          </cell>
          <cell r="E83" t="str">
            <v>MET-M_MWVCUS-CSTD-1-</v>
          </cell>
          <cell r="F83" t="str">
            <v>新</v>
          </cell>
          <cell r="G83" t="str">
            <v>メータ警報音量カスタマイズブザー</v>
          </cell>
          <cell r="H83" t="str">
            <v>M_MWVCUS-CSTD-1-BZR01-REQ02-</v>
          </cell>
          <cell r="I83" t="str">
            <v>○</v>
          </cell>
          <cell r="K83" t="str">
            <v>○</v>
          </cell>
          <cell r="O83" t="str">
            <v>単発</v>
          </cell>
          <cell r="P83" t="str">
            <v>-</v>
          </cell>
          <cell r="Q83" t="str">
            <v>-</v>
          </cell>
          <cell r="R83" t="str">
            <v>MET-CBZ_BASE-NOTICE1-*-**-*</v>
          </cell>
          <cell r="S83" t="str">
            <v>MET-CBZ_BASE-NOTICE1-*-**-*</v>
          </cell>
          <cell r="T83" t="str">
            <v>-</v>
          </cell>
          <cell r="U83" t="str">
            <v>-</v>
          </cell>
          <cell r="V83" t="str">
            <v>定数仕様書に従うこと</v>
          </cell>
          <cell r="W83" t="str">
            <v>短</v>
          </cell>
          <cell r="X83" t="str">
            <v>-</v>
          </cell>
          <cell r="Y83">
            <v>4.5</v>
          </cell>
          <cell r="Z83">
            <v>0</v>
          </cell>
          <cell r="AA83">
            <v>0</v>
          </cell>
          <cell r="AB83">
            <v>0</v>
          </cell>
          <cell r="AC83" t="str">
            <v>Ⅲ</v>
          </cell>
        </row>
        <row r="84">
          <cell r="D84">
            <v>345</v>
          </cell>
          <cell r="E84" t="str">
            <v>MET-D_SBW-CSTD-3-</v>
          </cell>
          <cell r="F84" t="str">
            <v>新</v>
          </cell>
          <cell r="G84" t="str">
            <v>SBW 特殊状態告知ブザー</v>
          </cell>
          <cell r="H84" t="str">
            <v>D_SBW-CSTD-3-BZR01-REQ07-</v>
          </cell>
          <cell r="I84" t="str">
            <v>○</v>
          </cell>
          <cell r="K84" t="str">
            <v>○</v>
          </cell>
          <cell r="O84" t="str">
            <v>単発</v>
          </cell>
          <cell r="P84" t="str">
            <v>-</v>
          </cell>
          <cell r="Q84" t="str">
            <v>-</v>
          </cell>
          <cell r="R84" t="str">
            <v>MET-CBZ_BASE-NOTICE1-*-**-*</v>
          </cell>
          <cell r="S84" t="str">
            <v>MET-CBZ_BASE-NOTICE1-*-**-*</v>
          </cell>
          <cell r="T84" t="str">
            <v>-</v>
          </cell>
          <cell r="U84" t="str">
            <v>-</v>
          </cell>
          <cell r="V84" t="str">
            <v>定数仕様書に従うこと</v>
          </cell>
          <cell r="W84" t="str">
            <v>短</v>
          </cell>
          <cell r="X84" t="str">
            <v>-</v>
          </cell>
          <cell r="Y84">
            <v>4</v>
          </cell>
          <cell r="Z84">
            <v>2</v>
          </cell>
          <cell r="AA84">
            <v>2</v>
          </cell>
          <cell r="AB84">
            <v>0</v>
          </cell>
          <cell r="AC84" t="str">
            <v>Ⅱ</v>
          </cell>
        </row>
        <row r="85">
          <cell r="D85">
            <v>537</v>
          </cell>
          <cell r="E85" t="str">
            <v>MET-S_ADBZR-CSTD-0-</v>
          </cell>
          <cell r="F85" t="str">
            <v>新</v>
          </cell>
          <cell r="G85" t="str">
            <v>EDSS Distinct Warning</v>
          </cell>
          <cell r="H85" t="str">
            <v>S_ADBZR-CSTD-0-BZR01-REQ078-</v>
          </cell>
          <cell r="I85" t="str">
            <v>○</v>
          </cell>
          <cell r="K85" t="str">
            <v>○</v>
          </cell>
          <cell r="O85" t="str">
            <v>断続</v>
          </cell>
          <cell r="P85" t="str">
            <v>-</v>
          </cell>
          <cell r="Q85" t="str">
            <v>-</v>
          </cell>
          <cell r="R85" t="str">
            <v>MET-CBZ_BASE-INTWARNL-*-**-*</v>
          </cell>
          <cell r="S85" t="str">
            <v>MET-CBZ_BASE-INTWARNL-*-**-*</v>
          </cell>
          <cell r="T85" t="str">
            <v>-</v>
          </cell>
          <cell r="U85" t="str">
            <v>-</v>
          </cell>
          <cell r="V85" t="str">
            <v>定数仕様書に従うこと</v>
          </cell>
          <cell r="W85" t="str">
            <v>長</v>
          </cell>
          <cell r="X85" t="str">
            <v>-</v>
          </cell>
          <cell r="Y85">
            <v>4</v>
          </cell>
          <cell r="Z85">
            <v>2</v>
          </cell>
          <cell r="AA85">
            <v>1</v>
          </cell>
          <cell r="AB85">
            <v>1</v>
          </cell>
          <cell r="AC85" t="str">
            <v>Ⅱ</v>
          </cell>
        </row>
        <row r="86">
          <cell r="D86">
            <v>470</v>
          </cell>
          <cell r="E86" t="str">
            <v>MET-S_ADBZR-CSTD-0-</v>
          </cell>
          <cell r="F86" t="str">
            <v>新</v>
          </cell>
          <cell r="G86" t="str">
            <v>ドライバーモニター警告強相当</v>
          </cell>
          <cell r="H86" t="str">
            <v>S_ADBZR-CSTD-0-BZR01-REQ070-</v>
          </cell>
          <cell r="I86" t="str">
            <v>○</v>
          </cell>
          <cell r="K86" t="str">
            <v>○</v>
          </cell>
          <cell r="O86" t="str">
            <v>断続</v>
          </cell>
          <cell r="P86" t="str">
            <v>-</v>
          </cell>
          <cell r="Q86" t="str">
            <v>-</v>
          </cell>
          <cell r="R86" t="str">
            <v>MET-CBZ_BASE-INTWARNL-*-**-*</v>
          </cell>
          <cell r="S86" t="str">
            <v>MET-CBZ_BASE-INTWARNL-*-**-*</v>
          </cell>
          <cell r="T86" t="str">
            <v>-</v>
          </cell>
          <cell r="U86" t="str">
            <v>-</v>
          </cell>
          <cell r="V86" t="str">
            <v>定数仕様書に従うこと</v>
          </cell>
          <cell r="W86" t="str">
            <v>長</v>
          </cell>
          <cell r="X86" t="str">
            <v>-</v>
          </cell>
          <cell r="Y86">
            <v>4</v>
          </cell>
          <cell r="Z86">
            <v>2</v>
          </cell>
          <cell r="AA86">
            <v>2</v>
          </cell>
          <cell r="AB86">
            <v>0</v>
          </cell>
          <cell r="AC86" t="str">
            <v>Ⅱ</v>
          </cell>
        </row>
        <row r="87">
          <cell r="D87">
            <v>347</v>
          </cell>
          <cell r="E87" t="str">
            <v>MET-D_SFTPOS-CSTD-1-</v>
          </cell>
          <cell r="F87" t="str">
            <v>新</v>
          </cell>
          <cell r="G87" t="str">
            <v>リバースブザー（断続）</v>
          </cell>
          <cell r="H87" t="str">
            <v>D_SFTPOS-CSTD-1-BZR01-REQ03-</v>
          </cell>
          <cell r="I87" t="str">
            <v>○</v>
          </cell>
          <cell r="K87" t="str">
            <v>○</v>
          </cell>
          <cell r="O87" t="str">
            <v>断続</v>
          </cell>
          <cell r="P87" t="str">
            <v>-</v>
          </cell>
          <cell r="Q87" t="str">
            <v>-</v>
          </cell>
          <cell r="R87" t="str">
            <v>MET-TBZ_REVERSE-INT-**-**-*</v>
          </cell>
          <cell r="S87" t="str">
            <v>MET-LBZ_REVERSE-INT-**-**-*</v>
          </cell>
          <cell r="T87" t="str">
            <v>-</v>
          </cell>
          <cell r="U87" t="str">
            <v>-</v>
          </cell>
          <cell r="V87" t="str">
            <v>定数仕様書に従うこと</v>
          </cell>
          <cell r="W87" t="str">
            <v>長</v>
          </cell>
          <cell r="X87" t="str">
            <v>-</v>
          </cell>
          <cell r="Y87">
            <v>4</v>
          </cell>
          <cell r="Z87">
            <v>2</v>
          </cell>
          <cell r="AA87">
            <v>1</v>
          </cell>
          <cell r="AB87">
            <v>1</v>
          </cell>
          <cell r="AC87" t="str">
            <v>Ⅲ</v>
          </cell>
        </row>
        <row r="88">
          <cell r="D88">
            <v>348</v>
          </cell>
          <cell r="E88" t="str">
            <v>MET-B_SMASTA-CSTD-2-</v>
          </cell>
          <cell r="F88" t="str">
            <v>新</v>
          </cell>
          <cell r="G88" t="str">
            <v>スマートブザー（断続2）</v>
          </cell>
          <cell r="H88" t="str">
            <v>B_SMASTA-CSTD-2-BZR01-REQ05-</v>
          </cell>
          <cell r="I88" t="str">
            <v>○</v>
          </cell>
          <cell r="K88" t="str">
            <v>○</v>
          </cell>
          <cell r="O88" t="str">
            <v>断続</v>
          </cell>
          <cell r="P88" t="str">
            <v>-</v>
          </cell>
          <cell r="Q88" t="str">
            <v>-</v>
          </cell>
          <cell r="R88" t="str">
            <v>MET-CBZ_BASE-INTWARNL-*-**-*</v>
          </cell>
          <cell r="S88" t="str">
            <v>MET-CBZ_BASE-INTWARNL-*-**-*</v>
          </cell>
          <cell r="T88" t="str">
            <v>-</v>
          </cell>
          <cell r="U88" t="str">
            <v>-</v>
          </cell>
          <cell r="V88" t="str">
            <v>定数仕様書に従うこと</v>
          </cell>
          <cell r="W88" t="str">
            <v>長</v>
          </cell>
          <cell r="X88" t="str">
            <v>-</v>
          </cell>
          <cell r="Y88">
            <v>4</v>
          </cell>
          <cell r="Z88">
            <v>2</v>
          </cell>
          <cell r="AA88">
            <v>1</v>
          </cell>
          <cell r="AB88">
            <v>1</v>
          </cell>
          <cell r="AC88" t="str">
            <v>Ⅱ</v>
          </cell>
        </row>
        <row r="89">
          <cell r="D89">
            <v>349</v>
          </cell>
          <cell r="E89" t="str">
            <v>MET-B_SMASTA-CSTD-2-</v>
          </cell>
          <cell r="F89" t="str">
            <v>新</v>
          </cell>
          <cell r="G89" t="str">
            <v>スマートブザー（連続）</v>
          </cell>
          <cell r="H89" t="str">
            <v>B_SMASTA-CSTD-2-BZR01-REQ02-</v>
          </cell>
          <cell r="I89" t="str">
            <v>○</v>
          </cell>
          <cell r="K89" t="str">
            <v>○</v>
          </cell>
          <cell r="O89" t="str">
            <v>連続</v>
          </cell>
          <cell r="P89" t="str">
            <v>-</v>
          </cell>
          <cell r="Q89" t="str">
            <v>-</v>
          </cell>
          <cell r="R89" t="str">
            <v>MET-CBZ_BASE-CONTWARN-*-**-*</v>
          </cell>
          <cell r="S89" t="str">
            <v>MET-CBZ_BASE-CONTWARN-*-**-*</v>
          </cell>
          <cell r="T89" t="str">
            <v>-</v>
          </cell>
          <cell r="U89" t="str">
            <v>-</v>
          </cell>
          <cell r="V89" t="str">
            <v>定数仕様書に従うこと</v>
          </cell>
          <cell r="W89" t="str">
            <v>長</v>
          </cell>
          <cell r="X89" t="str">
            <v>-</v>
          </cell>
          <cell r="Y89">
            <v>4</v>
          </cell>
          <cell r="Z89">
            <v>2</v>
          </cell>
          <cell r="AA89">
            <v>1</v>
          </cell>
          <cell r="AB89">
            <v>1</v>
          </cell>
          <cell r="AC89" t="str">
            <v>Ⅱ</v>
          </cell>
        </row>
        <row r="90">
          <cell r="D90">
            <v>147</v>
          </cell>
          <cell r="E90" t="str">
            <v>MET-B_SEAREM-CSTD-A0-</v>
          </cell>
          <cell r="F90" t="str">
            <v>旧</v>
          </cell>
          <cell r="G90" t="str">
            <v>“Level2BZ”ブザー（Level2ブザー）</v>
          </cell>
          <cell r="H90" t="str">
            <v>-</v>
          </cell>
          <cell r="I90" t="str">
            <v>○</v>
          </cell>
          <cell r="N90" t="str">
            <v>○</v>
          </cell>
          <cell r="O90" t="str">
            <v>断続</v>
          </cell>
          <cell r="P90" t="str">
            <v>-</v>
          </cell>
          <cell r="Q90" t="str">
            <v>-</v>
          </cell>
          <cell r="R90" t="str">
            <v>MET-TBZ_SEAREM-LV2-**-**-*</v>
          </cell>
          <cell r="S90" t="str">
            <v>MET-LBZ_SEAREM-LV2-**-**-*</v>
          </cell>
          <cell r="T90" t="str">
            <v>-</v>
          </cell>
          <cell r="U90" t="str">
            <v>-</v>
          </cell>
          <cell r="V90" t="str">
            <v>定数仕様書に従うこと</v>
          </cell>
          <cell r="W90" t="str">
            <v>長</v>
          </cell>
          <cell r="X90" t="str">
            <v>-</v>
          </cell>
          <cell r="Y90">
            <v>4</v>
          </cell>
          <cell r="Z90">
            <v>1</v>
          </cell>
          <cell r="AA90">
            <v>2</v>
          </cell>
          <cell r="AB90">
            <v>1</v>
          </cell>
          <cell r="AC90" t="str">
            <v>Ⅱ</v>
          </cell>
        </row>
        <row r="91">
          <cell r="D91">
            <v>449</v>
          </cell>
          <cell r="E91" t="str">
            <v>MET-S_ADBZR-CSTD-0-</v>
          </cell>
          <cell r="F91" t="str">
            <v>新</v>
          </cell>
          <cell r="G91" t="str">
            <v>ACC セット車速超過ブザー</v>
          </cell>
          <cell r="H91" t="str">
            <v>S_ADBZR-CSTD-0-BZR01-REQ049-</v>
          </cell>
          <cell r="I91" t="str">
            <v>○</v>
          </cell>
          <cell r="K91" t="str">
            <v>○</v>
          </cell>
          <cell r="O91" t="str">
            <v>断続</v>
          </cell>
          <cell r="P91" t="str">
            <v>-</v>
          </cell>
          <cell r="Q91" t="str">
            <v>-</v>
          </cell>
          <cell r="R91" t="str">
            <v>MET-CBZ_BASE-INTWARNL-*-**-*</v>
          </cell>
          <cell r="S91" t="str">
            <v>MET-CBZ_BASE-INTWARNL-*-**-*</v>
          </cell>
          <cell r="T91" t="str">
            <v>-</v>
          </cell>
          <cell r="U91" t="str">
            <v>-</v>
          </cell>
          <cell r="V91" t="str">
            <v>定数仕様書に従うこと</v>
          </cell>
          <cell r="W91" t="str">
            <v>長</v>
          </cell>
          <cell r="X91" t="str">
            <v>-</v>
          </cell>
          <cell r="Y91">
            <v>4</v>
          </cell>
          <cell r="Z91">
            <v>1</v>
          </cell>
          <cell r="AA91">
            <v>2</v>
          </cell>
          <cell r="AB91">
            <v>1</v>
          </cell>
          <cell r="AC91" t="str">
            <v>Ⅱ</v>
          </cell>
        </row>
        <row r="92">
          <cell r="D92">
            <v>451</v>
          </cell>
          <cell r="E92" t="str">
            <v>MET-S_ADBZR-CSTD-0-</v>
          </cell>
          <cell r="F92" t="str">
            <v>新</v>
          </cell>
          <cell r="G92" t="str">
            <v>ACC シフトP要求ブザー</v>
          </cell>
          <cell r="H92" t="str">
            <v>S_ADBZR-CSTD-0-BZR01-REQ051-</v>
          </cell>
          <cell r="I92" t="str">
            <v>○</v>
          </cell>
          <cell r="K92" t="str">
            <v>○</v>
          </cell>
          <cell r="O92" t="str">
            <v>単発</v>
          </cell>
          <cell r="P92" t="str">
            <v>-</v>
          </cell>
          <cell r="Q92" t="str">
            <v>-</v>
          </cell>
          <cell r="R92" t="str">
            <v>MET-CBZ_BASE-NOTICE1-*-**-*</v>
          </cell>
          <cell r="S92" t="str">
            <v>MET-CBZ_BASE-NOTICE1-*-**-*</v>
          </cell>
          <cell r="T92" t="str">
            <v>-</v>
          </cell>
          <cell r="U92" t="str">
            <v>-</v>
          </cell>
          <cell r="V92" t="str">
            <v>定数仕様書に従うこと</v>
          </cell>
          <cell r="W92" t="str">
            <v>短</v>
          </cell>
          <cell r="X92" t="str">
            <v>-</v>
          </cell>
          <cell r="Y92">
            <v>4</v>
          </cell>
          <cell r="Z92">
            <v>1</v>
          </cell>
          <cell r="AA92">
            <v>2</v>
          </cell>
          <cell r="AB92">
            <v>1</v>
          </cell>
          <cell r="AC92" t="str">
            <v>Ⅱ</v>
          </cell>
        </row>
        <row r="93">
          <cell r="D93">
            <v>354</v>
          </cell>
          <cell r="E93" t="str">
            <v>MET-C_TPMS-CSTD-4-</v>
          </cell>
          <cell r="F93" t="str">
            <v>新</v>
          </cell>
          <cell r="G93" t="str">
            <v>TPMSブザー（空気圧低下）</v>
          </cell>
          <cell r="H93" t="str">
            <v>C_TPMS-CSTD-4-BZR01-REQ03-</v>
          </cell>
          <cell r="I93" t="str">
            <v>○</v>
          </cell>
          <cell r="K93" t="str">
            <v>○</v>
          </cell>
          <cell r="O93" t="str">
            <v>断続</v>
          </cell>
          <cell r="P93" t="str">
            <v>-</v>
          </cell>
          <cell r="Q93" t="str">
            <v>-</v>
          </cell>
          <cell r="R93" t="str">
            <v>MET-CBZ_BASE-INTWARNL-*-**-*</v>
          </cell>
          <cell r="S93" t="str">
            <v>MET-CBZ_BASE-INTWARNL-*-**-*</v>
          </cell>
          <cell r="T93" t="str">
            <v>-</v>
          </cell>
          <cell r="U93" t="str">
            <v>-</v>
          </cell>
          <cell r="V93" t="str">
            <v>定数仕様書に従うこと</v>
          </cell>
          <cell r="W93" t="str">
            <v>長</v>
          </cell>
          <cell r="X93" t="str">
            <v>-</v>
          </cell>
          <cell r="Y93">
            <v>4</v>
          </cell>
          <cell r="Z93">
            <v>1</v>
          </cell>
          <cell r="AA93">
            <v>2</v>
          </cell>
          <cell r="AB93">
            <v>1</v>
          </cell>
          <cell r="AC93" t="str">
            <v>Ⅱ</v>
          </cell>
        </row>
        <row r="94">
          <cell r="D94">
            <v>442</v>
          </cell>
          <cell r="E94" t="str">
            <v>MET-S_ADBZR-CSTD-0-</v>
          </cell>
          <cell r="F94" t="str">
            <v>新</v>
          </cell>
          <cell r="G94" t="str">
            <v>SWS ふらつき休憩喚起ブザー</v>
          </cell>
          <cell r="H94" t="str">
            <v>S_ADBZR-CSTD-0-BZR01-REQ042-</v>
          </cell>
          <cell r="I94" t="str">
            <v>○</v>
          </cell>
          <cell r="K94" t="str">
            <v>○</v>
          </cell>
          <cell r="O94" t="str">
            <v>単発</v>
          </cell>
          <cell r="P94" t="str">
            <v>-</v>
          </cell>
          <cell r="Q94" t="str">
            <v>-</v>
          </cell>
          <cell r="R94" t="str">
            <v>MET-CBZ_BASE-NOTICE1-*-**-*</v>
          </cell>
          <cell r="S94" t="str">
            <v>MET-CBZ_BASE-NOTICE1-*-**-*</v>
          </cell>
          <cell r="T94" t="str">
            <v>-</v>
          </cell>
          <cell r="U94" t="str">
            <v>-</v>
          </cell>
          <cell r="V94" t="str">
            <v>定数仕様書に従うこと</v>
          </cell>
          <cell r="W94" t="str">
            <v>短</v>
          </cell>
          <cell r="X94" t="str">
            <v>-</v>
          </cell>
          <cell r="Y94">
            <v>4</v>
          </cell>
          <cell r="Z94">
            <v>1</v>
          </cell>
          <cell r="AA94">
            <v>2</v>
          </cell>
          <cell r="AB94">
            <v>1</v>
          </cell>
          <cell r="AC94" t="str">
            <v>Ⅱ</v>
          </cell>
        </row>
        <row r="95">
          <cell r="D95">
            <v>495</v>
          </cell>
          <cell r="E95" t="str">
            <v>MET-M_MINDSPWR-CSTD-0-</v>
          </cell>
          <cell r="F95" t="str">
            <v>旧</v>
          </cell>
          <cell r="G95" t="str">
            <v>インド速度超過ブザーLevel2</v>
          </cell>
          <cell r="H95" t="str">
            <v>-</v>
          </cell>
          <cell r="I95" t="str">
            <v>○</v>
          </cell>
          <cell r="K95" t="str">
            <v>○</v>
          </cell>
          <cell r="O95" t="str">
            <v>断続</v>
          </cell>
          <cell r="P95" t="str">
            <v>-</v>
          </cell>
          <cell r="Q95" t="str">
            <v>-</v>
          </cell>
          <cell r="R95" t="str">
            <v>MET-CBZ_BASE-INTWARNL-*-**-*</v>
          </cell>
          <cell r="S95" t="str">
            <v>MET-CBZ_BASE-INTWARNL-*-**-*</v>
          </cell>
          <cell r="T95" t="str">
            <v>-</v>
          </cell>
          <cell r="U95" t="str">
            <v>-</v>
          </cell>
          <cell r="V95" t="str">
            <v>定数仕様書に従うこと</v>
          </cell>
          <cell r="W95" t="str">
            <v>長</v>
          </cell>
          <cell r="X95" t="str">
            <v>-</v>
          </cell>
          <cell r="Y95">
            <v>4</v>
          </cell>
          <cell r="Z95">
            <v>1</v>
          </cell>
          <cell r="AA95">
            <v>1</v>
          </cell>
          <cell r="AB95">
            <v>2</v>
          </cell>
          <cell r="AC95" t="str">
            <v>Ⅱ</v>
          </cell>
        </row>
        <row r="96">
          <cell r="D96">
            <v>496</v>
          </cell>
          <cell r="E96" t="str">
            <v>MET-M_BGLFSPD-CSTD-0-</v>
          </cell>
          <cell r="F96" t="str">
            <v>旧</v>
          </cell>
          <cell r="G96" t="str">
            <v>中近東速度警報</v>
          </cell>
          <cell r="H96" t="str">
            <v>-</v>
          </cell>
          <cell r="I96" t="str">
            <v>○</v>
          </cell>
          <cell r="K96" t="str">
            <v>○</v>
          </cell>
          <cell r="O96" t="str">
            <v>断続</v>
          </cell>
          <cell r="P96" t="str">
            <v>-</v>
          </cell>
          <cell r="Q96" t="str">
            <v>-</v>
          </cell>
          <cell r="R96" t="str">
            <v>MET-CBZ_BASE-INTWARNL-*-**-*</v>
          </cell>
          <cell r="S96" t="str">
            <v>MET-CBZ_BASE-INTWARNL-*-**-*</v>
          </cell>
          <cell r="T96" t="str">
            <v>-</v>
          </cell>
          <cell r="U96" t="str">
            <v>-</v>
          </cell>
          <cell r="V96" t="str">
            <v>定数仕様書に従うこと</v>
          </cell>
          <cell r="W96" t="str">
            <v>長</v>
          </cell>
          <cell r="X96" t="str">
            <v>-</v>
          </cell>
          <cell r="Y96">
            <v>4</v>
          </cell>
          <cell r="Z96">
            <v>1</v>
          </cell>
          <cell r="AA96">
            <v>1</v>
          </cell>
          <cell r="AB96">
            <v>2</v>
          </cell>
          <cell r="AC96" t="str">
            <v>Ⅱ</v>
          </cell>
        </row>
        <row r="97">
          <cell r="D97">
            <v>158</v>
          </cell>
          <cell r="E97" t="str">
            <v>MET-B_BDOOR-CSTD-0-</v>
          </cell>
          <cell r="F97" t="str">
            <v>旧</v>
          </cell>
          <cell r="G97" t="str">
            <v>半ドア走行警告</v>
          </cell>
          <cell r="H97" t="str">
            <v>-</v>
          </cell>
          <cell r="I97" t="str">
            <v>○</v>
          </cell>
          <cell r="K97" t="str">
            <v>○</v>
          </cell>
          <cell r="O97" t="str">
            <v>断続</v>
          </cell>
          <cell r="P97" t="str">
            <v>-</v>
          </cell>
          <cell r="Q97" t="str">
            <v>-</v>
          </cell>
          <cell r="R97" t="str">
            <v>MET-CBZ_BASE-INTWARNL-*-**-*</v>
          </cell>
          <cell r="S97" t="str">
            <v>MET-CBZ_BASE-INTWARNL-*-**-*</v>
          </cell>
          <cell r="T97" t="str">
            <v>-</v>
          </cell>
          <cell r="U97" t="str">
            <v>-</v>
          </cell>
          <cell r="V97" t="str">
            <v>定数仕様書に従うこと</v>
          </cell>
          <cell r="W97" t="str">
            <v>長</v>
          </cell>
          <cell r="X97" t="str">
            <v>-</v>
          </cell>
          <cell r="Y97">
            <v>4</v>
          </cell>
          <cell r="Z97">
            <v>0</v>
          </cell>
          <cell r="AA97">
            <v>3</v>
          </cell>
          <cell r="AB97">
            <v>1</v>
          </cell>
          <cell r="AC97" t="str">
            <v>Ⅱ</v>
          </cell>
        </row>
        <row r="98">
          <cell r="D98">
            <v>159</v>
          </cell>
          <cell r="E98" t="str">
            <v>MET-C_BRKBZ-CSTD-2-</v>
          </cell>
          <cell r="F98" t="str">
            <v>新</v>
          </cell>
          <cell r="G98" t="str">
            <v>ブレーキシステム システム故障ブザー</v>
          </cell>
          <cell r="H98" t="str">
            <v>C_BRKBZ-CSTD-2-BZR01-REQ09-</v>
          </cell>
          <cell r="I98" t="str">
            <v>○</v>
          </cell>
          <cell r="K98" t="str">
            <v>○</v>
          </cell>
          <cell r="O98" t="str">
            <v>断続</v>
          </cell>
          <cell r="P98" t="str">
            <v>-</v>
          </cell>
          <cell r="Q98" t="str">
            <v>-</v>
          </cell>
          <cell r="R98" t="str">
            <v>MET-CBZ_BASE-INTWARNM-*-**-*</v>
          </cell>
          <cell r="S98" t="str">
            <v>MET-CBZ_BASE-INTWARNM-*-**-*</v>
          </cell>
          <cell r="T98" t="str">
            <v>-</v>
          </cell>
          <cell r="U98" t="str">
            <v>-</v>
          </cell>
          <cell r="V98" t="str">
            <v>定数仕様書に従うこと</v>
          </cell>
          <cell r="W98" t="str">
            <v>長</v>
          </cell>
          <cell r="X98" t="str">
            <v>-</v>
          </cell>
          <cell r="Y98">
            <v>4</v>
          </cell>
          <cell r="Z98">
            <v>3</v>
          </cell>
          <cell r="AA98">
            <v>1</v>
          </cell>
          <cell r="AB98">
            <v>0</v>
          </cell>
          <cell r="AC98" t="str">
            <v>Ⅰ</v>
          </cell>
        </row>
        <row r="99">
          <cell r="D99">
            <v>160</v>
          </cell>
          <cell r="E99" t="str">
            <v>MET-C_BRKBZ-CSTD-2-</v>
          </cell>
          <cell r="F99" t="str">
            <v>新</v>
          </cell>
          <cell r="G99" t="str">
            <v>ブレーキシステム システム不作動ブザー2</v>
          </cell>
          <cell r="H99" t="str">
            <v>C_BRKBZ-CSTD-2-BZR01-REQ10-</v>
          </cell>
          <cell r="I99" t="str">
            <v>○</v>
          </cell>
          <cell r="K99" t="str">
            <v>○</v>
          </cell>
          <cell r="O99" t="str">
            <v>断続</v>
          </cell>
          <cell r="P99" t="str">
            <v>-</v>
          </cell>
          <cell r="Q99" t="str">
            <v>-</v>
          </cell>
          <cell r="R99" t="str">
            <v>MET-CBZ_BASE-INTWARNM-*-**-*</v>
          </cell>
          <cell r="S99" t="str">
            <v>MET-CBZ_BASE-INTWARNM-*-**-*</v>
          </cell>
          <cell r="T99" t="str">
            <v>-</v>
          </cell>
          <cell r="U99" t="str">
            <v>-</v>
          </cell>
          <cell r="V99" t="str">
            <v>定数仕様書に従うこと</v>
          </cell>
          <cell r="W99" t="str">
            <v>長</v>
          </cell>
          <cell r="X99" t="str">
            <v>-</v>
          </cell>
          <cell r="Y99">
            <v>4</v>
          </cell>
          <cell r="Z99">
            <v>3</v>
          </cell>
          <cell r="AA99">
            <v>1</v>
          </cell>
          <cell r="AB99">
            <v>0</v>
          </cell>
          <cell r="AC99" t="str">
            <v>Ⅰ</v>
          </cell>
        </row>
        <row r="100">
          <cell r="D100">
            <v>161</v>
          </cell>
          <cell r="E100" t="str">
            <v>MET-C_BRKBZ-CSTD-2-</v>
          </cell>
          <cell r="F100" t="str">
            <v>新</v>
          </cell>
          <cell r="G100" t="str">
            <v>ブレーキシステム システム不作動ブザー1</v>
          </cell>
          <cell r="H100" t="str">
            <v>C_BRKBZ-CSTD-2-BZR01-REQ03-</v>
          </cell>
          <cell r="I100" t="str">
            <v>○</v>
          </cell>
          <cell r="K100" t="str">
            <v>○</v>
          </cell>
          <cell r="O100" t="str">
            <v>断続</v>
          </cell>
          <cell r="P100" t="str">
            <v>-</v>
          </cell>
          <cell r="Q100" t="str">
            <v>-</v>
          </cell>
          <cell r="R100" t="str">
            <v>MET-CBZ_BASE-INTWARNL-*-**-*</v>
          </cell>
          <cell r="S100" t="str">
            <v>MET-CBZ_BASE-INTWARNL-*-**-*</v>
          </cell>
          <cell r="T100" t="str">
            <v>-</v>
          </cell>
          <cell r="U100" t="str">
            <v>-</v>
          </cell>
          <cell r="V100" t="str">
            <v>定数仕様書に従うこと</v>
          </cell>
          <cell r="W100" t="str">
            <v>長</v>
          </cell>
          <cell r="X100" t="str">
            <v>-</v>
          </cell>
          <cell r="Y100">
            <v>4</v>
          </cell>
          <cell r="Z100">
            <v>3</v>
          </cell>
          <cell r="AA100">
            <v>1</v>
          </cell>
          <cell r="AB100">
            <v>0</v>
          </cell>
          <cell r="AC100" t="str">
            <v>Ⅰ</v>
          </cell>
        </row>
        <row r="101">
          <cell r="D101">
            <v>356</v>
          </cell>
          <cell r="E101" t="str">
            <v>MET-C_STEER-CSTD-0-</v>
          </cell>
          <cell r="F101" t="str">
            <v>新</v>
          </cell>
          <cell r="G101" t="str">
            <v>EPS アシスト制限ブザー</v>
          </cell>
          <cell r="H101" t="str">
            <v>C_STEER-CSTD-0-BZR01-REQ03-</v>
          </cell>
          <cell r="I101" t="str">
            <v>○</v>
          </cell>
          <cell r="K101" t="str">
            <v>○</v>
          </cell>
          <cell r="O101" t="str">
            <v>単発</v>
          </cell>
          <cell r="P101" t="str">
            <v>-</v>
          </cell>
          <cell r="Q101" t="str">
            <v>-</v>
          </cell>
          <cell r="R101" t="str">
            <v>MET-CBZ_BASE-NOTICE1-*-**-*</v>
          </cell>
          <cell r="S101" t="str">
            <v>MET-CBZ_BASE-NOTICE1-*-**-*</v>
          </cell>
          <cell r="T101" t="str">
            <v>-</v>
          </cell>
          <cell r="U101" t="str">
            <v>-</v>
          </cell>
          <cell r="V101" t="str">
            <v>定数仕様書に従うこと</v>
          </cell>
          <cell r="W101" t="str">
            <v>短</v>
          </cell>
          <cell r="X101" t="str">
            <v>-</v>
          </cell>
          <cell r="Y101">
            <v>4</v>
          </cell>
          <cell r="Z101">
            <v>2</v>
          </cell>
          <cell r="AA101">
            <v>2</v>
          </cell>
          <cell r="AB101">
            <v>0</v>
          </cell>
          <cell r="AC101" t="str">
            <v>Ⅰ</v>
          </cell>
        </row>
        <row r="102">
          <cell r="D102">
            <v>357</v>
          </cell>
          <cell r="E102" t="str">
            <v>MET-D_SBW-CSTD-3-</v>
          </cell>
          <cell r="F102" t="str">
            <v>新</v>
          </cell>
          <cell r="G102" t="str">
            <v>SBW システム異常ブザー（単発）</v>
          </cell>
          <cell r="H102" t="str">
            <v>D_SBW-CSTD-3-BZR01-REQ04-</v>
          </cell>
          <cell r="I102" t="str">
            <v>○</v>
          </cell>
          <cell r="K102" t="str">
            <v>○</v>
          </cell>
          <cell r="O102" t="str">
            <v>単発</v>
          </cell>
          <cell r="P102" t="str">
            <v>-</v>
          </cell>
          <cell r="Q102" t="str">
            <v>-</v>
          </cell>
          <cell r="R102" t="str">
            <v>MET-CBZ_BASE-NOTICE1-*-**-*</v>
          </cell>
          <cell r="S102" t="str">
            <v>MET-CBZ_BASE-NOTICE1-*-**-*</v>
          </cell>
          <cell r="T102" t="str">
            <v>-</v>
          </cell>
          <cell r="U102" t="str">
            <v>-</v>
          </cell>
          <cell r="V102" t="str">
            <v>定数仕様書に従うこと</v>
          </cell>
          <cell r="W102" t="str">
            <v>短</v>
          </cell>
          <cell r="X102" t="str">
            <v>-</v>
          </cell>
          <cell r="Y102">
            <v>4</v>
          </cell>
          <cell r="Z102">
            <v>2</v>
          </cell>
          <cell r="AA102">
            <v>2</v>
          </cell>
          <cell r="AB102">
            <v>0</v>
          </cell>
          <cell r="AC102" t="str">
            <v>Ⅰ</v>
          </cell>
        </row>
        <row r="103">
          <cell r="D103">
            <v>358</v>
          </cell>
          <cell r="E103" t="str">
            <v>MET-D_SBW-CSTD-3-</v>
          </cell>
          <cell r="F103" t="str">
            <v>新</v>
          </cell>
          <cell r="G103" t="str">
            <v>SBW システム異常ブザー（断続）</v>
          </cell>
          <cell r="H103" t="str">
            <v>D_SBW-CSTD-3-BZR01-REQ05-</v>
          </cell>
          <cell r="I103" t="str">
            <v>○</v>
          </cell>
          <cell r="K103" t="str">
            <v>○</v>
          </cell>
          <cell r="O103" t="str">
            <v>断続</v>
          </cell>
          <cell r="P103" t="str">
            <v>-</v>
          </cell>
          <cell r="Q103" t="str">
            <v>-</v>
          </cell>
          <cell r="R103" t="str">
            <v>MET-CBZ_BASE-INTWARNL-*-**-*</v>
          </cell>
          <cell r="S103" t="str">
            <v>MET-CBZ_BASE-INTWARNL-*-**-*</v>
          </cell>
          <cell r="T103" t="str">
            <v>-</v>
          </cell>
          <cell r="U103" t="str">
            <v>-</v>
          </cell>
          <cell r="V103" t="str">
            <v>定数仕様書に従うこと</v>
          </cell>
          <cell r="W103" t="str">
            <v>長</v>
          </cell>
          <cell r="X103" t="str">
            <v>-</v>
          </cell>
          <cell r="Y103">
            <v>4</v>
          </cell>
          <cell r="Z103">
            <v>2</v>
          </cell>
          <cell r="AA103">
            <v>2</v>
          </cell>
          <cell r="AB103">
            <v>0</v>
          </cell>
          <cell r="AC103" t="str">
            <v>Ⅰ</v>
          </cell>
        </row>
        <row r="104">
          <cell r="D104">
            <v>168</v>
          </cell>
          <cell r="E104" t="str">
            <v>MET-H_SYSMAL-CSTD-2-</v>
          </cell>
          <cell r="F104" t="str">
            <v>新</v>
          </cell>
          <cell r="G104" t="str">
            <v>HVシステムブザー（退避走行・残距離500m）</v>
          </cell>
          <cell r="H104" t="str">
            <v>H_SYSMAL-CSTD-2-BZR01-REQ06-</v>
          </cell>
          <cell r="I104" t="str">
            <v>○</v>
          </cell>
          <cell r="K104" t="str">
            <v>○</v>
          </cell>
          <cell r="O104" t="str">
            <v>断続</v>
          </cell>
          <cell r="P104" t="str">
            <v>-</v>
          </cell>
          <cell r="Q104" t="str">
            <v>-</v>
          </cell>
          <cell r="R104" t="str">
            <v>MET-CBZ_BASE-INTWARNL-*-**-*</v>
          </cell>
          <cell r="S104" t="str">
            <v>MET-CBZ_BASE-INTWARNL-*-**-*</v>
          </cell>
          <cell r="T104" t="str">
            <v>-</v>
          </cell>
          <cell r="U104" t="str">
            <v>-</v>
          </cell>
          <cell r="V104" t="str">
            <v>定数仕様書に従うこと</v>
          </cell>
          <cell r="W104" t="str">
            <v>長</v>
          </cell>
          <cell r="X104" t="str">
            <v>-</v>
          </cell>
          <cell r="Y104">
            <v>4</v>
          </cell>
          <cell r="Z104">
            <v>2</v>
          </cell>
          <cell r="AA104">
            <v>2</v>
          </cell>
          <cell r="AB104">
            <v>0</v>
          </cell>
          <cell r="AC104" t="str">
            <v>Ⅰ</v>
          </cell>
        </row>
        <row r="105">
          <cell r="D105">
            <v>169</v>
          </cell>
          <cell r="E105" t="str">
            <v>MET-H_SYSMAL-CSTD-2-</v>
          </cell>
          <cell r="F105" t="str">
            <v>新</v>
          </cell>
          <cell r="G105" t="str">
            <v>HVシステムブザー（退避走行・残距離1km）</v>
          </cell>
          <cell r="H105" t="str">
            <v>H_SYSMAL-CSTD-2-BZR01-REQ07-</v>
          </cell>
          <cell r="I105" t="str">
            <v>○</v>
          </cell>
          <cell r="K105" t="str">
            <v>○</v>
          </cell>
          <cell r="O105" t="str">
            <v>断続</v>
          </cell>
          <cell r="P105" t="str">
            <v>-</v>
          </cell>
          <cell r="Q105" t="str">
            <v>-</v>
          </cell>
          <cell r="R105" t="str">
            <v>MET-CBZ_BASE-INTWARNL-*-**-*</v>
          </cell>
          <cell r="S105" t="str">
            <v>MET-CBZ_BASE-INTWARNL-*-**-*</v>
          </cell>
          <cell r="T105" t="str">
            <v>-</v>
          </cell>
          <cell r="U105" t="str">
            <v>-</v>
          </cell>
          <cell r="V105" t="str">
            <v>定数仕様書に従うこと</v>
          </cell>
          <cell r="W105" t="str">
            <v>長</v>
          </cell>
          <cell r="X105" t="str">
            <v>-</v>
          </cell>
          <cell r="Y105">
            <v>4</v>
          </cell>
          <cell r="Z105">
            <v>2</v>
          </cell>
          <cell r="AA105">
            <v>2</v>
          </cell>
          <cell r="AB105">
            <v>0</v>
          </cell>
          <cell r="AC105" t="str">
            <v>Ⅰ</v>
          </cell>
        </row>
        <row r="106">
          <cell r="D106">
            <v>425</v>
          </cell>
          <cell r="E106" t="str">
            <v>MET-S_ADBZR-CSTD-0-</v>
          </cell>
          <cell r="F106" t="str">
            <v>新</v>
          </cell>
          <cell r="G106" t="str">
            <v>LTA 誤使用警告3</v>
          </cell>
          <cell r="H106" t="str">
            <v>S_ADBZR-CSTD-0-BZR01-REQ025-</v>
          </cell>
          <cell r="I106" t="str">
            <v>○</v>
          </cell>
          <cell r="K106" t="str">
            <v>○</v>
          </cell>
          <cell r="O106" t="str">
            <v>断続</v>
          </cell>
          <cell r="P106" t="str">
            <v>-</v>
          </cell>
          <cell r="Q106" t="str">
            <v>-</v>
          </cell>
          <cell r="R106" t="str">
            <v>MET-CBZ_BASE-INTWARNM-*-**-*</v>
          </cell>
          <cell r="S106" t="str">
            <v>MET-CBZ_BASE-INTWARNM-*-**-*</v>
          </cell>
          <cell r="T106" t="str">
            <v>-</v>
          </cell>
          <cell r="U106" t="str">
            <v>-</v>
          </cell>
          <cell r="V106" t="str">
            <v>定数仕様書に従うこと</v>
          </cell>
          <cell r="W106" t="str">
            <v>長</v>
          </cell>
          <cell r="X106" t="str">
            <v>-</v>
          </cell>
          <cell r="Y106">
            <v>4</v>
          </cell>
          <cell r="Z106">
            <v>2</v>
          </cell>
          <cell r="AA106">
            <v>2</v>
          </cell>
          <cell r="AB106">
            <v>0</v>
          </cell>
          <cell r="AC106" t="str">
            <v>Ⅲ</v>
          </cell>
        </row>
        <row r="107">
          <cell r="D107">
            <v>426</v>
          </cell>
          <cell r="E107" t="str">
            <v>MET-S_ADBZR-CSTD-0-</v>
          </cell>
          <cell r="F107" t="str">
            <v>新</v>
          </cell>
          <cell r="G107" t="str">
            <v>LTA 車線逸脱</v>
          </cell>
          <cell r="H107" t="str">
            <v>S_ADBZR-CSTD-0-BZR01-REQ026-</v>
          </cell>
          <cell r="I107" t="str">
            <v>○</v>
          </cell>
          <cell r="K107" t="str">
            <v>○</v>
          </cell>
          <cell r="O107" t="str">
            <v>単発</v>
          </cell>
          <cell r="P107" t="str">
            <v>-</v>
          </cell>
          <cell r="Q107" t="str">
            <v>-</v>
          </cell>
          <cell r="R107" t="str">
            <v>MET-CBZ_BASE-NOTICE1-*-**-*</v>
          </cell>
          <cell r="S107" t="str">
            <v>MET-CBZ_BASE-NOTICE1-*-**-*</v>
          </cell>
          <cell r="T107" t="str">
            <v>-</v>
          </cell>
          <cell r="U107" t="str">
            <v>-</v>
          </cell>
          <cell r="V107" t="str">
            <v>定数仕様書に従うこと</v>
          </cell>
          <cell r="W107" t="str">
            <v>短</v>
          </cell>
          <cell r="X107" t="str">
            <v>-</v>
          </cell>
          <cell r="Y107">
            <v>4</v>
          </cell>
          <cell r="Z107">
            <v>2</v>
          </cell>
          <cell r="AA107">
            <v>2</v>
          </cell>
          <cell r="AB107">
            <v>0</v>
          </cell>
          <cell r="AC107" t="str">
            <v>Ⅲ</v>
          </cell>
        </row>
        <row r="108">
          <cell r="D108">
            <v>504</v>
          </cell>
          <cell r="E108" t="str">
            <v>MET-S_TMBZR-CSTD-0</v>
          </cell>
          <cell r="F108" t="str">
            <v>新</v>
          </cell>
          <cell r="G108" t="str">
            <v>報知音：優先度4</v>
          </cell>
          <cell r="H108" t="str">
            <v>S_TMBZR-CSTD-0-BZR01-REQ06-</v>
          </cell>
          <cell r="I108" t="str">
            <v>○</v>
          </cell>
          <cell r="K108" t="str">
            <v>○</v>
          </cell>
          <cell r="O108" t="str">
            <v>単発</v>
          </cell>
          <cell r="P108" t="str">
            <v>-</v>
          </cell>
          <cell r="Q108" t="str">
            <v>-</v>
          </cell>
          <cell r="R108" t="str">
            <v>MET-CBZ_BASE-NOTICE1-*-**-*</v>
          </cell>
          <cell r="S108" t="str">
            <v>MET-CBZ_BASE-NOTICE1-*-**-*</v>
          </cell>
          <cell r="T108" t="str">
            <v>-</v>
          </cell>
          <cell r="U108" t="str">
            <v>-</v>
          </cell>
          <cell r="V108" t="str">
            <v>定数仕様書に従うこと</v>
          </cell>
          <cell r="W108" t="str">
            <v>短</v>
          </cell>
          <cell r="X108" t="str">
            <v>-</v>
          </cell>
          <cell r="Y108">
            <v>4</v>
          </cell>
          <cell r="Z108">
            <v>2</v>
          </cell>
          <cell r="AA108">
            <v>1</v>
          </cell>
          <cell r="AB108">
            <v>1</v>
          </cell>
          <cell r="AC108" t="str">
            <v>Ⅲ</v>
          </cell>
        </row>
        <row r="109">
          <cell r="D109">
            <v>510</v>
          </cell>
          <cell r="E109" t="str">
            <v>MET-S_TMBZR-CSTD-0</v>
          </cell>
          <cell r="F109" t="str">
            <v>新</v>
          </cell>
          <cell r="G109" t="str">
            <v>受付音：優先度4</v>
          </cell>
          <cell r="H109" t="str">
            <v>S_TMBZR-CSTD-0-BZR01-REQ012-</v>
          </cell>
          <cell r="I109" t="str">
            <v>○</v>
          </cell>
          <cell r="K109" t="str">
            <v>○</v>
          </cell>
          <cell r="O109" t="str">
            <v>単発</v>
          </cell>
          <cell r="P109" t="str">
            <v>-</v>
          </cell>
          <cell r="Q109" t="str">
            <v>-</v>
          </cell>
          <cell r="R109" t="str">
            <v>MET-CBZ_BASE-ACCEPT-*-**-*</v>
          </cell>
          <cell r="S109" t="str">
            <v>MET-CBZ_BASE-ACCEPT-*-**-*</v>
          </cell>
          <cell r="T109" t="str">
            <v>-</v>
          </cell>
          <cell r="U109" t="str">
            <v>-</v>
          </cell>
          <cell r="V109" t="str">
            <v>定数仕様書に従うこと</v>
          </cell>
          <cell r="W109" t="str">
            <v>短</v>
          </cell>
          <cell r="X109" t="str">
            <v>-</v>
          </cell>
          <cell r="Y109">
            <v>4</v>
          </cell>
          <cell r="Z109">
            <v>2</v>
          </cell>
          <cell r="AA109">
            <v>1</v>
          </cell>
          <cell r="AB109">
            <v>1</v>
          </cell>
          <cell r="AC109" t="str">
            <v>Ⅲ</v>
          </cell>
        </row>
        <row r="110">
          <cell r="D110">
            <v>516</v>
          </cell>
          <cell r="E110" t="str">
            <v>MET-S_TMBZR-CSTD-0</v>
          </cell>
          <cell r="F110" t="str">
            <v>新</v>
          </cell>
          <cell r="G110" t="str">
            <v>リジェクト音：優先度4</v>
          </cell>
          <cell r="H110" t="str">
            <v>S_TMBZR-CSTD-0-BZR01-REQ018-</v>
          </cell>
          <cell r="I110" t="str">
            <v>○</v>
          </cell>
          <cell r="K110" t="str">
            <v>○</v>
          </cell>
          <cell r="O110" t="str">
            <v>2連発</v>
          </cell>
          <cell r="P110" t="str">
            <v>-</v>
          </cell>
          <cell r="Q110" t="str">
            <v>-</v>
          </cell>
          <cell r="R110" t="str">
            <v>MET-CBZ_BASE-REJECT-*-**-*</v>
          </cell>
          <cell r="S110" t="str">
            <v>MET-CBZ_BASE-REJECT-*-**-*</v>
          </cell>
          <cell r="T110" t="str">
            <v>-</v>
          </cell>
          <cell r="U110" t="str">
            <v>-</v>
          </cell>
          <cell r="V110" t="str">
            <v>定数仕様書に従うこと</v>
          </cell>
          <cell r="W110" t="str">
            <v>短</v>
          </cell>
          <cell r="X110" t="str">
            <v>-</v>
          </cell>
          <cell r="Y110">
            <v>4</v>
          </cell>
          <cell r="Z110">
            <v>2</v>
          </cell>
          <cell r="AA110">
            <v>1</v>
          </cell>
          <cell r="AB110">
            <v>1</v>
          </cell>
          <cell r="AC110" t="str">
            <v>Ⅲ</v>
          </cell>
        </row>
        <row r="111">
          <cell r="D111">
            <v>522</v>
          </cell>
          <cell r="E111" t="str">
            <v>MET-S_TMBZR-CSTD-0</v>
          </cell>
          <cell r="F111" t="str">
            <v>新</v>
          </cell>
          <cell r="G111" t="str">
            <v>連続音：優先度4</v>
          </cell>
          <cell r="H111" t="str">
            <v>S_TMBZR-CSTD-0-BZR01-REQ024-</v>
          </cell>
          <cell r="I111" t="str">
            <v>○</v>
          </cell>
          <cell r="K111" t="str">
            <v>○</v>
          </cell>
          <cell r="O111" t="str">
            <v>連続</v>
          </cell>
          <cell r="P111" t="str">
            <v>-</v>
          </cell>
          <cell r="Q111" t="str">
            <v>-</v>
          </cell>
          <cell r="R111" t="str">
            <v>MET-CBZ_BASE-CONTWARN-*-**-*</v>
          </cell>
          <cell r="S111" t="str">
            <v>MET-CBZ_BASE-CONTWARN-*-**-*</v>
          </cell>
          <cell r="T111" t="str">
            <v>-</v>
          </cell>
          <cell r="U111" t="str">
            <v>-</v>
          </cell>
          <cell r="V111" t="str">
            <v>定数仕様書に従うこと</v>
          </cell>
          <cell r="W111" t="str">
            <v>長</v>
          </cell>
          <cell r="X111" t="str">
            <v>-</v>
          </cell>
          <cell r="Y111">
            <v>4</v>
          </cell>
          <cell r="Z111">
            <v>2</v>
          </cell>
          <cell r="AA111">
            <v>1</v>
          </cell>
          <cell r="AB111">
            <v>1</v>
          </cell>
          <cell r="AC111" t="str">
            <v>Ⅲ</v>
          </cell>
        </row>
        <row r="112">
          <cell r="D112">
            <v>528</v>
          </cell>
          <cell r="E112" t="str">
            <v>MET-S_TMBZR-CSTD-0</v>
          </cell>
          <cell r="F112" t="str">
            <v>新</v>
          </cell>
          <cell r="G112" t="str">
            <v>緊迫(小)：優先度4</v>
          </cell>
          <cell r="H112" t="str">
            <v>S_TMBZR-CSTD-0-BZR01-REQ030-</v>
          </cell>
          <cell r="I112" t="str">
            <v>○</v>
          </cell>
          <cell r="K112" t="str">
            <v>○</v>
          </cell>
          <cell r="O112" t="str">
            <v>断続</v>
          </cell>
          <cell r="P112" t="str">
            <v>-</v>
          </cell>
          <cell r="Q112" t="str">
            <v>-</v>
          </cell>
          <cell r="R112" t="str">
            <v>MET-CBZ_BASE-INTWARNL-*-**-*</v>
          </cell>
          <cell r="S112" t="str">
            <v>MET-CBZ_BASE-INTWARNL-*-**-*</v>
          </cell>
          <cell r="T112" t="str">
            <v>-</v>
          </cell>
          <cell r="U112" t="str">
            <v>-</v>
          </cell>
          <cell r="V112" t="str">
            <v>定数仕様書に従うこと</v>
          </cell>
          <cell r="W112" t="str">
            <v>長</v>
          </cell>
          <cell r="X112" t="str">
            <v>-</v>
          </cell>
          <cell r="Y112">
            <v>4</v>
          </cell>
          <cell r="Z112">
            <v>2</v>
          </cell>
          <cell r="AA112">
            <v>1</v>
          </cell>
          <cell r="AB112">
            <v>1</v>
          </cell>
          <cell r="AC112" t="str">
            <v>Ⅲ</v>
          </cell>
        </row>
        <row r="113">
          <cell r="D113">
            <v>498</v>
          </cell>
          <cell r="E113" t="str">
            <v>MET-M_MINDSPWR-CSTD-0-</v>
          </cell>
          <cell r="F113" t="str">
            <v>旧</v>
          </cell>
          <cell r="G113" t="str">
            <v>インド速度超過ブザーLevel1</v>
          </cell>
          <cell r="H113" t="str">
            <v>-</v>
          </cell>
          <cell r="I113" t="str">
            <v>○</v>
          </cell>
          <cell r="K113" t="str">
            <v>○</v>
          </cell>
          <cell r="O113" t="str">
            <v>単発</v>
          </cell>
          <cell r="P113" t="str">
            <v>-</v>
          </cell>
          <cell r="Q113" t="str">
            <v>-</v>
          </cell>
          <cell r="R113" t="str">
            <v>MET-CBZ_BASE-NOTICE1-*-**-*</v>
          </cell>
          <cell r="S113" t="str">
            <v>MET-CBZ_BASE-NOTICE1-*-**-*</v>
          </cell>
          <cell r="T113" t="str">
            <v>-</v>
          </cell>
          <cell r="U113" t="str">
            <v>-</v>
          </cell>
          <cell r="V113" t="str">
            <v>定数仕様書に従うこと</v>
          </cell>
          <cell r="W113" t="str">
            <v>短</v>
          </cell>
          <cell r="X113" t="str">
            <v>-</v>
          </cell>
          <cell r="Y113">
            <v>3</v>
          </cell>
          <cell r="Z113">
            <v>1</v>
          </cell>
          <cell r="AA113">
            <v>1</v>
          </cell>
          <cell r="AB113">
            <v>1</v>
          </cell>
          <cell r="AC113" t="str">
            <v>Ⅱ</v>
          </cell>
        </row>
        <row r="114">
          <cell r="D114">
            <v>174</v>
          </cell>
          <cell r="E114" t="str">
            <v>MET-B_SEAREM-CSTD-A0-</v>
          </cell>
          <cell r="F114" t="str">
            <v>旧</v>
          </cell>
          <cell r="G114" t="str">
            <v>“Level1BZ”ブザー（Level1ブザー）</v>
          </cell>
          <cell r="H114" t="str">
            <v>-</v>
          </cell>
          <cell r="I114" t="str">
            <v>○</v>
          </cell>
          <cell r="N114" t="str">
            <v>○</v>
          </cell>
          <cell r="O114" t="str">
            <v>断続</v>
          </cell>
          <cell r="P114" t="str">
            <v>-</v>
          </cell>
          <cell r="Q114" t="str">
            <v>-</v>
          </cell>
          <cell r="R114" t="str">
            <v>MET-TBZ_SEAREM-LV1-**-**-*</v>
          </cell>
          <cell r="S114" t="str">
            <v>MET-LBZ_SEAREM-LV1-**-**-*</v>
          </cell>
          <cell r="T114" t="str">
            <v>-</v>
          </cell>
          <cell r="U114" t="str">
            <v>-</v>
          </cell>
          <cell r="V114" t="str">
            <v>定数仕様書に従うこと</v>
          </cell>
          <cell r="W114" t="str">
            <v>長</v>
          </cell>
          <cell r="X114" t="str">
            <v>-</v>
          </cell>
          <cell r="Y114">
            <v>3</v>
          </cell>
          <cell r="Z114">
            <v>1</v>
          </cell>
          <cell r="AA114">
            <v>1</v>
          </cell>
          <cell r="AB114">
            <v>1</v>
          </cell>
          <cell r="AC114" t="str">
            <v>Ⅱ</v>
          </cell>
        </row>
        <row r="115">
          <cell r="D115">
            <v>175</v>
          </cell>
          <cell r="E115" t="str">
            <v>MET-B_SEAREM-CSTD-A0-</v>
          </cell>
          <cell r="F115" t="str">
            <v>旧</v>
          </cell>
          <cell r="G115" t="str">
            <v>“単発”ブザー（アンバックル告知ブザー）</v>
          </cell>
          <cell r="H115" t="str">
            <v>-</v>
          </cell>
          <cell r="I115" t="str">
            <v>○</v>
          </cell>
          <cell r="N115" t="str">
            <v>○</v>
          </cell>
          <cell r="O115" t="str">
            <v>単発</v>
          </cell>
          <cell r="P115" t="str">
            <v>-</v>
          </cell>
          <cell r="Q115" t="str">
            <v>-</v>
          </cell>
          <cell r="R115" t="str">
            <v>MET-TBZ_SEAREM-LV1-**-**-*</v>
          </cell>
          <cell r="S115" t="str">
            <v>MET-LBZ_SEAREM-LV1-**-**-*</v>
          </cell>
          <cell r="T115" t="str">
            <v>-</v>
          </cell>
          <cell r="U115" t="str">
            <v>-</v>
          </cell>
          <cell r="V115" t="str">
            <v>定数仕様書に従うこと</v>
          </cell>
          <cell r="W115" t="str">
            <v>短</v>
          </cell>
          <cell r="X115" t="str">
            <v>-</v>
          </cell>
          <cell r="Y115">
            <v>3</v>
          </cell>
          <cell r="Z115">
            <v>1</v>
          </cell>
          <cell r="AA115">
            <v>1</v>
          </cell>
          <cell r="AB115">
            <v>1</v>
          </cell>
          <cell r="AC115" t="str">
            <v>Ⅱ</v>
          </cell>
        </row>
        <row r="116">
          <cell r="D116">
            <v>436</v>
          </cell>
          <cell r="E116" t="str">
            <v>MET-S_ADBZR-CSTD-0-</v>
          </cell>
          <cell r="F116" t="str">
            <v>新</v>
          </cell>
          <cell r="G116" t="str">
            <v>RSA 標識違反検知(注意喚起)時  [制限速度超過]</v>
          </cell>
          <cell r="H116" t="str">
            <v>S_ADBZR-CSTD-0-BZR01-REQ036-</v>
          </cell>
          <cell r="I116" t="str">
            <v>○</v>
          </cell>
          <cell r="K116" t="str">
            <v>○</v>
          </cell>
          <cell r="O116" t="str">
            <v>単発</v>
          </cell>
          <cell r="P116" t="str">
            <v>-</v>
          </cell>
          <cell r="Q116" t="str">
            <v>-</v>
          </cell>
          <cell r="R116" t="str">
            <v>MET-CBZ_BASE-NOTICE1-*-**-*</v>
          </cell>
          <cell r="S116" t="str">
            <v>MET-CBZ_BASE-NOTICE1-*-**-*</v>
          </cell>
          <cell r="T116" t="str">
            <v>-</v>
          </cell>
          <cell r="U116" t="str">
            <v>-</v>
          </cell>
          <cell r="V116" t="str">
            <v>定数仕様書に従うこと</v>
          </cell>
          <cell r="W116" t="str">
            <v>短</v>
          </cell>
          <cell r="X116" t="str">
            <v>-</v>
          </cell>
          <cell r="Y116">
            <v>3</v>
          </cell>
          <cell r="Z116">
            <v>1</v>
          </cell>
          <cell r="AA116">
            <v>1</v>
          </cell>
          <cell r="AB116">
            <v>1</v>
          </cell>
          <cell r="AC116" t="str">
            <v>Ⅱ</v>
          </cell>
        </row>
        <row r="117">
          <cell r="D117">
            <v>471</v>
          </cell>
          <cell r="E117" t="str">
            <v>MET-S_ADBZR-CSTD-0-</v>
          </cell>
          <cell r="F117" t="str">
            <v>新</v>
          </cell>
          <cell r="G117" t="str">
            <v>ドライバーモニター警告弱相当</v>
          </cell>
          <cell r="H117" t="str">
            <v>S_ADBZR-CSTD-0-BZR01-REQ071-</v>
          </cell>
          <cell r="I117" t="str">
            <v>○</v>
          </cell>
          <cell r="K117" t="str">
            <v>○</v>
          </cell>
          <cell r="O117" t="str">
            <v>単発</v>
          </cell>
          <cell r="P117" t="str">
            <v>-</v>
          </cell>
          <cell r="Q117" t="str">
            <v>-</v>
          </cell>
          <cell r="R117" t="str">
            <v>MET-CBZ_BASE-NOTICE1-*-**-*</v>
          </cell>
          <cell r="S117" t="str">
            <v>MET-CBZ_BASE-NOTICE1-*-**-*</v>
          </cell>
          <cell r="T117" t="str">
            <v>-</v>
          </cell>
          <cell r="U117" t="str">
            <v>-</v>
          </cell>
          <cell r="V117" t="str">
            <v>定数仕様書に従うこと</v>
          </cell>
          <cell r="W117" t="str">
            <v>短</v>
          </cell>
          <cell r="X117" t="str">
            <v>-</v>
          </cell>
          <cell r="Y117">
            <v>3</v>
          </cell>
          <cell r="Z117">
            <v>2</v>
          </cell>
          <cell r="AA117">
            <v>1</v>
          </cell>
          <cell r="AB117">
            <v>0</v>
          </cell>
          <cell r="AC117" t="str">
            <v>Ⅱ</v>
          </cell>
        </row>
        <row r="118">
          <cell r="D118">
            <v>181</v>
          </cell>
          <cell r="E118" t="str">
            <v>MET-H_SYSMAL-CSTD-2-</v>
          </cell>
          <cell r="F118" t="str">
            <v>新</v>
          </cell>
          <cell r="G118" t="str">
            <v>HVシステムブザー（故障発生）</v>
          </cell>
          <cell r="H118" t="str">
            <v>H_SYSMAL-CSTD-2-BZR01-REQ02-</v>
          </cell>
          <cell r="I118" t="str">
            <v>○</v>
          </cell>
          <cell r="K118" t="str">
            <v>○</v>
          </cell>
          <cell r="O118" t="str">
            <v>単発</v>
          </cell>
          <cell r="P118" t="str">
            <v>-</v>
          </cell>
          <cell r="Q118" t="str">
            <v>-</v>
          </cell>
          <cell r="R118" t="str">
            <v>MET-CBZ_BASE-NOTICE1-*-**-*</v>
          </cell>
          <cell r="S118" t="str">
            <v>MET-CBZ_BASE-NOTICE1-*-**-*</v>
          </cell>
          <cell r="T118" t="str">
            <v>-</v>
          </cell>
          <cell r="U118" t="str">
            <v>-</v>
          </cell>
          <cell r="V118" t="str">
            <v>定数仕様書に従うこと</v>
          </cell>
          <cell r="W118" t="str">
            <v>短</v>
          </cell>
          <cell r="X118" t="str">
            <v>-</v>
          </cell>
          <cell r="Y118">
            <v>3</v>
          </cell>
          <cell r="Z118">
            <v>2</v>
          </cell>
          <cell r="AA118">
            <v>1</v>
          </cell>
          <cell r="AB118">
            <v>0</v>
          </cell>
          <cell r="AC118" t="str">
            <v>Ⅰ</v>
          </cell>
        </row>
        <row r="119">
          <cell r="D119">
            <v>491</v>
          </cell>
          <cell r="E119" t="str">
            <v>MET-O_PDSMAL-CSTD-0</v>
          </cell>
          <cell r="F119" t="str">
            <v>新</v>
          </cell>
          <cell r="G119" t="str">
            <v>配電システム</v>
          </cell>
          <cell r="H119" t="str">
            <v>O_PDSMAL-CSTD-0-BZR01-REQ02-</v>
          </cell>
          <cell r="I119" t="str">
            <v>○</v>
          </cell>
          <cell r="K119" t="str">
            <v>○</v>
          </cell>
          <cell r="O119" t="str">
            <v>断続</v>
          </cell>
          <cell r="P119" t="str">
            <v>-</v>
          </cell>
          <cell r="Q119" t="str">
            <v>-</v>
          </cell>
          <cell r="R119" t="str">
            <v>MET-CBZ_BASE-INTWARNL-*-**-*</v>
          </cell>
          <cell r="S119" t="str">
            <v>MET-CBZ_BASE-INTWARNL-*-**-*</v>
          </cell>
          <cell r="T119" t="str">
            <v>-</v>
          </cell>
          <cell r="U119" t="str">
            <v>-</v>
          </cell>
          <cell r="V119" t="str">
            <v>定数仕様書に従うこと</v>
          </cell>
          <cell r="W119" t="str">
            <v>長</v>
          </cell>
          <cell r="X119" t="str">
            <v>-</v>
          </cell>
          <cell r="Y119">
            <v>3</v>
          </cell>
          <cell r="Z119">
            <v>2</v>
          </cell>
          <cell r="AA119">
            <v>1</v>
          </cell>
          <cell r="AB119">
            <v>0</v>
          </cell>
          <cell r="AC119" t="str">
            <v>Ⅰ</v>
          </cell>
        </row>
        <row r="120">
          <cell r="D120">
            <v>424</v>
          </cell>
          <cell r="E120" t="str">
            <v>MET-S_ADBZR-CSTD-0-</v>
          </cell>
          <cell r="F120" t="str">
            <v>新</v>
          </cell>
          <cell r="G120" t="str">
            <v>LTA 誤使用警告2</v>
          </cell>
          <cell r="H120" t="str">
            <v>S_ADBZR-CSTD-0-BZR01-REQ024-</v>
          </cell>
          <cell r="I120" t="str">
            <v>○</v>
          </cell>
          <cell r="K120" t="str">
            <v>○</v>
          </cell>
          <cell r="O120" t="str">
            <v>断続</v>
          </cell>
          <cell r="P120" t="str">
            <v>-</v>
          </cell>
          <cell r="Q120" t="str">
            <v>-</v>
          </cell>
          <cell r="R120" t="str">
            <v>MET-CBZ_BASE-INTWARNL-*-**-*</v>
          </cell>
          <cell r="S120" t="str">
            <v>MET-CBZ_BASE-INTWARNL-*-**-*</v>
          </cell>
          <cell r="T120" t="str">
            <v>-</v>
          </cell>
          <cell r="U120" t="str">
            <v>-</v>
          </cell>
          <cell r="V120" t="str">
            <v>定数仕様書に従うこと</v>
          </cell>
          <cell r="W120" t="str">
            <v>長</v>
          </cell>
          <cell r="X120" t="str">
            <v>-</v>
          </cell>
          <cell r="Y120">
            <v>3</v>
          </cell>
          <cell r="Z120">
            <v>2</v>
          </cell>
          <cell r="AA120">
            <v>1</v>
          </cell>
          <cell r="AB120">
            <v>0</v>
          </cell>
          <cell r="AC120" t="str">
            <v>Ⅲ</v>
          </cell>
        </row>
        <row r="121">
          <cell r="D121">
            <v>473</v>
          </cell>
          <cell r="E121" t="str">
            <v>MET-S_ADBZR-CSTD-0-</v>
          </cell>
          <cell r="F121" t="str">
            <v>新</v>
          </cell>
          <cell r="G121" t="str">
            <v>インフラ協調ブザー（単発）</v>
          </cell>
          <cell r="H121" t="str">
            <v>S_ADBZR-CSTD-0-BZR01-REQ073-</v>
          </cell>
          <cell r="I121" t="str">
            <v>○</v>
          </cell>
          <cell r="K121" t="str">
            <v>○</v>
          </cell>
          <cell r="O121" t="str">
            <v>単発</v>
          </cell>
          <cell r="P121" t="str">
            <v>-</v>
          </cell>
          <cell r="Q121" t="str">
            <v>-</v>
          </cell>
          <cell r="R121" t="str">
            <v>MET-CBZ_BASE-NOTICE1-*-**-*</v>
          </cell>
          <cell r="S121" t="str">
            <v>MET-CBZ_BASE-NOTICE1-*-**-*</v>
          </cell>
          <cell r="T121" t="str">
            <v>-</v>
          </cell>
          <cell r="U121" t="str">
            <v>-</v>
          </cell>
          <cell r="V121" t="str">
            <v>定数仕様書に従うこと</v>
          </cell>
          <cell r="W121" t="str">
            <v>短</v>
          </cell>
          <cell r="X121" t="str">
            <v>-</v>
          </cell>
          <cell r="Y121">
            <v>3</v>
          </cell>
          <cell r="Z121">
            <v>1</v>
          </cell>
          <cell r="AA121">
            <v>2</v>
          </cell>
          <cell r="AB121">
            <v>0</v>
          </cell>
          <cell r="AC121" t="str">
            <v>Ⅲ</v>
          </cell>
        </row>
        <row r="122">
          <cell r="D122">
            <v>188</v>
          </cell>
          <cell r="E122" t="str">
            <v>MET-G_MULDISPMM-CSTD-0-</v>
          </cell>
          <cell r="F122" t="str">
            <v>-</v>
          </cell>
          <cell r="G122" t="str">
            <v>マスターコーションブザー</v>
          </cell>
          <cell r="H122" t="str">
            <v>-</v>
          </cell>
          <cell r="I122" t="str">
            <v>○</v>
          </cell>
          <cell r="K122" t="str">
            <v>○</v>
          </cell>
          <cell r="O122" t="str">
            <v>単発</v>
          </cell>
          <cell r="P122" t="str">
            <v>-</v>
          </cell>
          <cell r="Q122" t="str">
            <v>-</v>
          </cell>
          <cell r="R122" t="str">
            <v>MET-CBZ_BASE-NOTICE1-*-**-*</v>
          </cell>
          <cell r="S122" t="str">
            <v>MET-CBZ_BASE-NOTICE1-*-**-*</v>
          </cell>
          <cell r="T122" t="str">
            <v>-</v>
          </cell>
          <cell r="U122" t="str">
            <v>-</v>
          </cell>
          <cell r="V122" t="str">
            <v>定数仕様書に従うこと</v>
          </cell>
          <cell r="W122" t="str">
            <v>短</v>
          </cell>
          <cell r="X122" t="str">
            <v>-</v>
          </cell>
          <cell r="Y122">
            <v>3</v>
          </cell>
          <cell r="Z122">
            <v>1</v>
          </cell>
          <cell r="AA122">
            <v>1</v>
          </cell>
          <cell r="AB122">
            <v>1</v>
          </cell>
          <cell r="AC122" t="str">
            <v>Ⅲ</v>
          </cell>
        </row>
        <row r="123">
          <cell r="D123">
            <v>503</v>
          </cell>
          <cell r="E123" t="str">
            <v>MET-S_TMBZR-CSTD-0</v>
          </cell>
          <cell r="F123" t="str">
            <v>新</v>
          </cell>
          <cell r="G123" t="str">
            <v>報知音：優先度3</v>
          </cell>
          <cell r="H123" t="str">
            <v>S_TMBZR-CSTD-0-BZR01-REQ05-</v>
          </cell>
          <cell r="I123" t="str">
            <v>○</v>
          </cell>
          <cell r="K123" t="str">
            <v>○</v>
          </cell>
          <cell r="O123" t="str">
            <v>単発</v>
          </cell>
          <cell r="P123" t="str">
            <v>-</v>
          </cell>
          <cell r="Q123" t="str">
            <v>-</v>
          </cell>
          <cell r="R123" t="str">
            <v>MET-CBZ_BASE-NOTICE1-*-**-*</v>
          </cell>
          <cell r="S123" t="str">
            <v>MET-CBZ_BASE-NOTICE1-*-**-*</v>
          </cell>
          <cell r="T123" t="str">
            <v>-</v>
          </cell>
          <cell r="U123" t="str">
            <v>-</v>
          </cell>
          <cell r="V123" t="str">
            <v>定数仕様書に従うこと</v>
          </cell>
          <cell r="W123" t="str">
            <v>短</v>
          </cell>
          <cell r="X123" t="str">
            <v>-</v>
          </cell>
          <cell r="Y123">
            <v>3</v>
          </cell>
          <cell r="Z123">
            <v>1</v>
          </cell>
          <cell r="AA123">
            <v>1</v>
          </cell>
          <cell r="AB123">
            <v>1</v>
          </cell>
          <cell r="AC123" t="str">
            <v>Ⅲ</v>
          </cell>
        </row>
        <row r="124">
          <cell r="D124">
            <v>509</v>
          </cell>
          <cell r="E124" t="str">
            <v>MET-S_TMBZR-CSTD-0</v>
          </cell>
          <cell r="F124" t="str">
            <v>新</v>
          </cell>
          <cell r="G124" t="str">
            <v>受付音：優先度3</v>
          </cell>
          <cell r="H124" t="str">
            <v>S_TMBZR-CSTD-0-BZR01-REQ011-</v>
          </cell>
          <cell r="I124" t="str">
            <v>○</v>
          </cell>
          <cell r="K124" t="str">
            <v>○</v>
          </cell>
          <cell r="O124" t="str">
            <v>単発</v>
          </cell>
          <cell r="P124" t="str">
            <v>-</v>
          </cell>
          <cell r="Q124" t="str">
            <v>-</v>
          </cell>
          <cell r="R124" t="str">
            <v>MET-CBZ_BASE-ACCEPT-*-**-*</v>
          </cell>
          <cell r="S124" t="str">
            <v>MET-CBZ_BASE-ACCEPT-*-**-*</v>
          </cell>
          <cell r="T124" t="str">
            <v>-</v>
          </cell>
          <cell r="U124" t="str">
            <v>-</v>
          </cell>
          <cell r="V124" t="str">
            <v>定数仕様書に従うこと</v>
          </cell>
          <cell r="W124" t="str">
            <v>短</v>
          </cell>
          <cell r="X124" t="str">
            <v>-</v>
          </cell>
          <cell r="Y124">
            <v>3</v>
          </cell>
          <cell r="Z124">
            <v>1</v>
          </cell>
          <cell r="AA124">
            <v>1</v>
          </cell>
          <cell r="AB124">
            <v>1</v>
          </cell>
          <cell r="AC124" t="str">
            <v>Ⅲ</v>
          </cell>
        </row>
        <row r="125">
          <cell r="D125">
            <v>515</v>
          </cell>
          <cell r="E125" t="str">
            <v>MET-S_TMBZR-CSTD-0</v>
          </cell>
          <cell r="F125" t="str">
            <v>新</v>
          </cell>
          <cell r="G125" t="str">
            <v>リジェクト音：優先度3</v>
          </cell>
          <cell r="H125" t="str">
            <v>S_TMBZR-CSTD-0-BZR01-REQ017-</v>
          </cell>
          <cell r="I125" t="str">
            <v>○</v>
          </cell>
          <cell r="K125" t="str">
            <v>○</v>
          </cell>
          <cell r="O125" t="str">
            <v>2連発</v>
          </cell>
          <cell r="P125" t="str">
            <v>-</v>
          </cell>
          <cell r="Q125" t="str">
            <v>-</v>
          </cell>
          <cell r="R125" t="str">
            <v>MET-CBZ_BASE-REJECT-*-**-*</v>
          </cell>
          <cell r="S125" t="str">
            <v>MET-CBZ_BASE-REJECT-*-**-*</v>
          </cell>
          <cell r="T125" t="str">
            <v>-</v>
          </cell>
          <cell r="U125" t="str">
            <v>-</v>
          </cell>
          <cell r="V125" t="str">
            <v>定数仕様書に従うこと</v>
          </cell>
          <cell r="W125" t="str">
            <v>短</v>
          </cell>
          <cell r="X125" t="str">
            <v>-</v>
          </cell>
          <cell r="Y125">
            <v>3</v>
          </cell>
          <cell r="Z125">
            <v>1</v>
          </cell>
          <cell r="AA125">
            <v>1</v>
          </cell>
          <cell r="AB125">
            <v>1</v>
          </cell>
          <cell r="AC125" t="str">
            <v>Ⅲ</v>
          </cell>
        </row>
        <row r="126">
          <cell r="D126">
            <v>521</v>
          </cell>
          <cell r="E126" t="str">
            <v>MET-S_TMBZR-CSTD-0</v>
          </cell>
          <cell r="F126" t="str">
            <v>新</v>
          </cell>
          <cell r="G126" t="str">
            <v>連続音：優先度3</v>
          </cell>
          <cell r="H126" t="str">
            <v>S_TMBZR-CSTD-0-BZR01-REQ023-</v>
          </cell>
          <cell r="I126" t="str">
            <v>○</v>
          </cell>
          <cell r="K126" t="str">
            <v>○</v>
          </cell>
          <cell r="O126" t="str">
            <v>連続</v>
          </cell>
          <cell r="P126" t="str">
            <v>-</v>
          </cell>
          <cell r="Q126" t="str">
            <v>-</v>
          </cell>
          <cell r="R126" t="str">
            <v>MET-CBZ_BASE-CONTWARN-*-**-*</v>
          </cell>
          <cell r="S126" t="str">
            <v>MET-CBZ_BASE-CONTWARN-*-**-*</v>
          </cell>
          <cell r="T126" t="str">
            <v>-</v>
          </cell>
          <cell r="U126" t="str">
            <v>-</v>
          </cell>
          <cell r="V126" t="str">
            <v>定数仕様書に従うこと</v>
          </cell>
          <cell r="W126" t="str">
            <v>長</v>
          </cell>
          <cell r="X126" t="str">
            <v>-</v>
          </cell>
          <cell r="Y126">
            <v>3</v>
          </cell>
          <cell r="Z126">
            <v>1</v>
          </cell>
          <cell r="AA126">
            <v>1</v>
          </cell>
          <cell r="AB126">
            <v>1</v>
          </cell>
          <cell r="AC126" t="str">
            <v>Ⅲ</v>
          </cell>
        </row>
        <row r="127">
          <cell r="D127">
            <v>527</v>
          </cell>
          <cell r="E127" t="str">
            <v>MET-S_TMBZR-CSTD-0</v>
          </cell>
          <cell r="F127" t="str">
            <v>新</v>
          </cell>
          <cell r="G127" t="str">
            <v>緊迫(小)：優先度3</v>
          </cell>
          <cell r="H127" t="str">
            <v>S_TMBZR-CSTD-0-BZR01-REQ029-</v>
          </cell>
          <cell r="I127" t="str">
            <v>○</v>
          </cell>
          <cell r="K127" t="str">
            <v>○</v>
          </cell>
          <cell r="O127" t="str">
            <v>断続</v>
          </cell>
          <cell r="P127" t="str">
            <v>-</v>
          </cell>
          <cell r="Q127" t="str">
            <v>-</v>
          </cell>
          <cell r="R127" t="str">
            <v>MET-CBZ_BASE-INTWARNL-*-**-*</v>
          </cell>
          <cell r="S127" t="str">
            <v>MET-CBZ_BASE-INTWARNL-*-**-*</v>
          </cell>
          <cell r="T127" t="str">
            <v>-</v>
          </cell>
          <cell r="U127" t="str">
            <v>-</v>
          </cell>
          <cell r="V127" t="str">
            <v>定数仕様書に従うこと</v>
          </cell>
          <cell r="W127" t="str">
            <v>長</v>
          </cell>
          <cell r="X127" t="str">
            <v>-</v>
          </cell>
          <cell r="Y127">
            <v>3</v>
          </cell>
          <cell r="Z127">
            <v>1</v>
          </cell>
          <cell r="AA127">
            <v>1</v>
          </cell>
          <cell r="AB127">
            <v>1</v>
          </cell>
          <cell r="AC127" t="str">
            <v>Ⅲ</v>
          </cell>
        </row>
        <row r="128">
          <cell r="D128">
            <v>534</v>
          </cell>
          <cell r="E128" t="str">
            <v>MET-S_ADBZR-CSTD-0-</v>
          </cell>
          <cell r="F128" t="str">
            <v>新</v>
          </cell>
          <cell r="G128" t="str">
            <v>ACC 自動発信制御開始ブザー</v>
          </cell>
          <cell r="H128" t="str">
            <v>S_ADBZR-CSTD-0-BZR01-REQ052-</v>
          </cell>
          <cell r="I128" t="str">
            <v>○</v>
          </cell>
          <cell r="K128" t="str">
            <v>○</v>
          </cell>
          <cell r="O128" t="str">
            <v>単発</v>
          </cell>
          <cell r="P128" t="str">
            <v>-</v>
          </cell>
          <cell r="Q128" t="str">
            <v>-</v>
          </cell>
          <cell r="R128" t="str">
            <v>MET-CBZ_BASE-NOTICE1-*-**-*</v>
          </cell>
          <cell r="S128" t="str">
            <v>MET-CBZ_BASE-NOTICE1-*-**-*</v>
          </cell>
          <cell r="T128" t="str">
            <v>-</v>
          </cell>
          <cell r="U128" t="str">
            <v>-</v>
          </cell>
          <cell r="V128" t="str">
            <v>定数仕様書に従うこと</v>
          </cell>
          <cell r="W128" t="str">
            <v>短</v>
          </cell>
          <cell r="X128" t="str">
            <v>-</v>
          </cell>
          <cell r="Y128">
            <v>3</v>
          </cell>
          <cell r="Z128">
            <v>0</v>
          </cell>
          <cell r="AA128">
            <v>1</v>
          </cell>
          <cell r="AB128">
            <v>2</v>
          </cell>
          <cell r="AC128" t="str">
            <v>Ⅲ</v>
          </cell>
        </row>
        <row r="129">
          <cell r="D129">
            <v>190</v>
          </cell>
          <cell r="E129" t="str">
            <v>MET-B_BLGT-CSTD-1-</v>
          </cell>
          <cell r="F129" t="str">
            <v>旧</v>
          </cell>
          <cell r="G129" t="str">
            <v>ライトリマインダ</v>
          </cell>
          <cell r="H129" t="str">
            <v>-</v>
          </cell>
          <cell r="I129" t="str">
            <v>○</v>
          </cell>
          <cell r="K129" t="str">
            <v>○</v>
          </cell>
          <cell r="O129" t="str">
            <v>連続</v>
          </cell>
          <cell r="P129" t="str">
            <v>-</v>
          </cell>
          <cell r="Q129" t="str">
            <v>-</v>
          </cell>
          <cell r="R129" t="str">
            <v>MET-CBZ_BASE-CONTWARN-*-**-*</v>
          </cell>
          <cell r="S129" t="str">
            <v>MET-CBZ_BASE-CONTWARN-*-**-*</v>
          </cell>
          <cell r="T129" t="str">
            <v>-</v>
          </cell>
          <cell r="U129" t="str">
            <v>-</v>
          </cell>
          <cell r="V129" t="str">
            <v>定数仕様書に従うこと</v>
          </cell>
          <cell r="W129" t="str">
            <v>長</v>
          </cell>
          <cell r="X129" t="str">
            <v>-</v>
          </cell>
          <cell r="Y129">
            <v>2.5</v>
          </cell>
          <cell r="Z129">
            <v>1</v>
          </cell>
          <cell r="AA129">
            <v>1</v>
          </cell>
          <cell r="AB129">
            <v>0</v>
          </cell>
          <cell r="AC129" t="str">
            <v>Ⅱ</v>
          </cell>
        </row>
        <row r="130">
          <cell r="D130">
            <v>369</v>
          </cell>
          <cell r="E130" t="str">
            <v>MET-D_SBW-CSTD-3-</v>
          </cell>
          <cell r="F130" t="str">
            <v>新</v>
          </cell>
          <cell r="G130" t="str">
            <v>SBW シフト操作受付ブザー</v>
          </cell>
          <cell r="H130" t="str">
            <v>D_SBW-CSTD-3-BZR01-REQ02-</v>
          </cell>
          <cell r="I130" t="str">
            <v>○</v>
          </cell>
          <cell r="K130" t="str">
            <v>○</v>
          </cell>
          <cell r="O130" t="str">
            <v>単発</v>
          </cell>
          <cell r="P130" t="str">
            <v>-</v>
          </cell>
          <cell r="Q130" t="str">
            <v>-</v>
          </cell>
          <cell r="R130" t="str">
            <v>MET-CBZ_BASE-ACCEPT-*-**-*</v>
          </cell>
          <cell r="S130" t="str">
            <v>MET-CBZ_BASE-ACCEPT-*-**-*</v>
          </cell>
          <cell r="T130" t="str">
            <v>-</v>
          </cell>
          <cell r="U130" t="str">
            <v>-</v>
          </cell>
          <cell r="V130" t="str">
            <v>定数仕様書に従うこと</v>
          </cell>
          <cell r="W130" t="str">
            <v>短</v>
          </cell>
          <cell r="X130" t="str">
            <v>-</v>
          </cell>
          <cell r="Y130">
            <v>2.5</v>
          </cell>
          <cell r="Z130">
            <v>1</v>
          </cell>
          <cell r="AA130">
            <v>1</v>
          </cell>
          <cell r="AB130">
            <v>0</v>
          </cell>
          <cell r="AC130" t="str">
            <v>Ⅲ</v>
          </cell>
        </row>
        <row r="131">
          <cell r="D131">
            <v>533</v>
          </cell>
          <cell r="E131" t="str">
            <v>MET-S_TMBZR-CSTD-0</v>
          </cell>
          <cell r="F131" t="str">
            <v>新</v>
          </cell>
          <cell r="G131" t="str">
            <v>特別音(断続)PreDOT音/運転操作交代要求メロディ</v>
          </cell>
          <cell r="H131" t="str">
            <v>S_TMBZR-CSTD-0-BZR01-REQ037-</v>
          </cell>
          <cell r="I131" t="str">
            <v>○</v>
          </cell>
          <cell r="K131" t="str">
            <v>○</v>
          </cell>
          <cell r="O131" t="str">
            <v>断続</v>
          </cell>
          <cell r="P131" t="str">
            <v>-</v>
          </cell>
          <cell r="Q131" t="str">
            <v>-</v>
          </cell>
          <cell r="R131" t="str">
            <v>MET-CBZ_AD-DOT-*-**-*</v>
          </cell>
          <cell r="S131" t="str">
            <v>MET-CBZ_AD-DOT-*-**-*</v>
          </cell>
          <cell r="T131" t="str">
            <v>-</v>
          </cell>
          <cell r="U131" t="str">
            <v>-</v>
          </cell>
          <cell r="V131" t="str">
            <v>定数仕様書に従うこと</v>
          </cell>
          <cell r="W131" t="str">
            <v>長</v>
          </cell>
          <cell r="X131" t="str">
            <v>-</v>
          </cell>
          <cell r="Y131">
            <v>2.5</v>
          </cell>
          <cell r="Z131">
            <v>0</v>
          </cell>
          <cell r="AA131">
            <v>1</v>
          </cell>
          <cell r="AB131">
            <v>1</v>
          </cell>
          <cell r="AC131" t="str">
            <v>Ⅲ</v>
          </cell>
        </row>
        <row r="132">
          <cell r="D132">
            <v>422</v>
          </cell>
          <cell r="E132" t="str">
            <v>MET-S_ADBZR-CSTD-0-</v>
          </cell>
          <cell r="F132" t="str">
            <v>新</v>
          </cell>
          <cell r="G132" t="str">
            <v>LDA 手放し注意ブザー</v>
          </cell>
          <cell r="H132" t="str">
            <v>S_ADBZR-CSTD-0-BZR01-REQ022-</v>
          </cell>
          <cell r="I132" t="str">
            <v>○</v>
          </cell>
          <cell r="K132" t="str">
            <v>○</v>
          </cell>
          <cell r="O132" t="str">
            <v>断続</v>
          </cell>
          <cell r="P132" t="str">
            <v>-</v>
          </cell>
          <cell r="Q132" t="str">
            <v>-</v>
          </cell>
          <cell r="R132" t="str">
            <v>MET-CBZ_BASE-INTWARNL-*-**-*</v>
          </cell>
          <cell r="S132" t="str">
            <v>MET-CBZ_BASE-INTWARNL-*-**-*</v>
          </cell>
          <cell r="T132" t="str">
            <v>-</v>
          </cell>
          <cell r="U132" t="str">
            <v>-</v>
          </cell>
          <cell r="V132" t="str">
            <v>定数仕様書に従うこと</v>
          </cell>
          <cell r="W132" t="str">
            <v>長</v>
          </cell>
          <cell r="X132" t="str">
            <v>-</v>
          </cell>
          <cell r="Y132">
            <v>2</v>
          </cell>
          <cell r="Z132">
            <v>1</v>
          </cell>
          <cell r="AA132">
            <v>1</v>
          </cell>
          <cell r="AB132">
            <v>0</v>
          </cell>
          <cell r="AC132" t="str">
            <v>Ⅱ</v>
          </cell>
        </row>
        <row r="133">
          <cell r="D133">
            <v>202</v>
          </cell>
          <cell r="E133" t="str">
            <v>MET-H_BATINS-CSTD-0-</v>
          </cell>
          <cell r="F133" t="str">
            <v>新</v>
          </cell>
          <cell r="G133" t="str">
            <v>HVバッテリー診断要求ブザー</v>
          </cell>
          <cell r="H133" t="str">
            <v>H_BATINS-CSTD-0-BZR01-REQ02-</v>
          </cell>
          <cell r="I133" t="str">
            <v>○</v>
          </cell>
          <cell r="K133" t="str">
            <v>○</v>
          </cell>
          <cell r="O133" t="str">
            <v>断続</v>
          </cell>
          <cell r="P133" t="str">
            <v>-</v>
          </cell>
          <cell r="Q133" t="str">
            <v>-</v>
          </cell>
          <cell r="R133" t="str">
            <v>MET-CBZ_BASE-INTWARNL-*-**-*</v>
          </cell>
          <cell r="S133" t="str">
            <v>MET-CBZ_BASE-INTWARNL-*-**-*</v>
          </cell>
          <cell r="T133" t="str">
            <v>-</v>
          </cell>
          <cell r="U133" t="str">
            <v>-</v>
          </cell>
          <cell r="V133" t="str">
            <v>定数仕様書に従うこと</v>
          </cell>
          <cell r="W133" t="str">
            <v>長</v>
          </cell>
          <cell r="X133" t="str">
            <v>-</v>
          </cell>
          <cell r="Y133">
            <v>2</v>
          </cell>
          <cell r="Z133">
            <v>1</v>
          </cell>
          <cell r="AA133">
            <v>1</v>
          </cell>
          <cell r="AB133">
            <v>0</v>
          </cell>
          <cell r="AC133" t="str">
            <v>Ⅱ</v>
          </cell>
        </row>
        <row r="134">
          <cell r="D134">
            <v>373</v>
          </cell>
          <cell r="E134" t="str">
            <v>MET-C_TPMS-CSTD-4-</v>
          </cell>
          <cell r="F134" t="str">
            <v>新</v>
          </cell>
          <cell r="G134" t="str">
            <v>TPMSブザー（フェール通知）</v>
          </cell>
          <cell r="H134" t="str">
            <v>C_TPMS-CSTD-4-BZR01-REQ02-</v>
          </cell>
          <cell r="I134" t="str">
            <v>○</v>
          </cell>
          <cell r="K134" t="str">
            <v>○</v>
          </cell>
          <cell r="O134" t="str">
            <v>単発</v>
          </cell>
          <cell r="P134" t="str">
            <v>-</v>
          </cell>
          <cell r="Q134" t="str">
            <v>-</v>
          </cell>
          <cell r="R134" t="str">
            <v>MET-CBZ_BASE-NOTICE1-*-**-*</v>
          </cell>
          <cell r="S134" t="str">
            <v>MET-CBZ_BASE-NOTICE1-*-**-*</v>
          </cell>
          <cell r="T134" t="str">
            <v>-</v>
          </cell>
          <cell r="U134" t="str">
            <v>-</v>
          </cell>
          <cell r="V134" t="str">
            <v>定数仕様書に従うこと</v>
          </cell>
          <cell r="W134" t="str">
            <v>短</v>
          </cell>
          <cell r="X134" t="str">
            <v>-</v>
          </cell>
          <cell r="Y134">
            <v>2</v>
          </cell>
          <cell r="Z134">
            <v>1</v>
          </cell>
          <cell r="AA134">
            <v>1</v>
          </cell>
          <cell r="AB134">
            <v>0</v>
          </cell>
          <cell r="AC134" t="str">
            <v>Ⅱ</v>
          </cell>
        </row>
        <row r="135">
          <cell r="D135">
            <v>445</v>
          </cell>
          <cell r="E135" t="str">
            <v>MET-S_ADBZR-CSTD-0-</v>
          </cell>
          <cell r="F135" t="str">
            <v>新</v>
          </cell>
          <cell r="G135" t="str">
            <v>Going to OFF states primarily ASR OFF</v>
          </cell>
          <cell r="H135" t="str">
            <v>S_ADBZR-CSTD-0-BZR01-REQ045-</v>
          </cell>
          <cell r="I135" t="str">
            <v>○</v>
          </cell>
          <cell r="K135" t="str">
            <v>○</v>
          </cell>
          <cell r="O135" t="str">
            <v>単発</v>
          </cell>
          <cell r="P135" t="str">
            <v>-</v>
          </cell>
          <cell r="Q135" t="str">
            <v>-</v>
          </cell>
          <cell r="R135" t="str">
            <v>MET-CBZ_BASE-NOTICE1-*-**-*</v>
          </cell>
          <cell r="S135" t="str">
            <v>MET-CBZ_BASE-NOTICE1-*-**-*</v>
          </cell>
          <cell r="T135" t="str">
            <v>-</v>
          </cell>
          <cell r="U135" t="str">
            <v>-</v>
          </cell>
          <cell r="V135" t="str">
            <v>定数仕様書に従うこと</v>
          </cell>
          <cell r="W135" t="str">
            <v>短</v>
          </cell>
          <cell r="X135" t="str">
            <v>-</v>
          </cell>
          <cell r="Y135">
            <v>2</v>
          </cell>
          <cell r="Z135">
            <v>1</v>
          </cell>
          <cell r="AA135">
            <v>1</v>
          </cell>
          <cell r="AB135">
            <v>0</v>
          </cell>
          <cell r="AC135" t="str">
            <v>Ⅱ</v>
          </cell>
        </row>
        <row r="136">
          <cell r="D136">
            <v>420</v>
          </cell>
          <cell r="E136" t="str">
            <v>MET-S_ADBZR-CSTD-0-</v>
          </cell>
          <cell r="F136" t="str">
            <v>新</v>
          </cell>
          <cell r="G136" t="str">
            <v>LDA 警報ブザー（お知らせ）</v>
          </cell>
          <cell r="H136" t="str">
            <v>S_ADBZR-CSTD-0-BZR01-REQ020-</v>
          </cell>
          <cell r="I136" t="str">
            <v>○</v>
          </cell>
          <cell r="K136" t="str">
            <v>○</v>
          </cell>
          <cell r="O136" t="str">
            <v>断続</v>
          </cell>
          <cell r="P136" t="str">
            <v>-</v>
          </cell>
          <cell r="Q136" t="str">
            <v>-</v>
          </cell>
          <cell r="R136" t="str">
            <v>MET-CBZ_BASE-INTWARNL-*-**-*</v>
          </cell>
          <cell r="S136" t="str">
            <v>MET-CBZ_BASE-INTWARNL-*-**-*</v>
          </cell>
          <cell r="T136" t="str">
            <v>-</v>
          </cell>
          <cell r="U136" t="str">
            <v>-</v>
          </cell>
          <cell r="V136" t="str">
            <v>定数仕様書に従うこと</v>
          </cell>
          <cell r="W136" t="str">
            <v>長</v>
          </cell>
          <cell r="X136" t="str">
            <v>-</v>
          </cell>
          <cell r="Y136">
            <v>2</v>
          </cell>
          <cell r="Z136">
            <v>0</v>
          </cell>
          <cell r="AA136">
            <v>2</v>
          </cell>
          <cell r="AB136">
            <v>0</v>
          </cell>
          <cell r="AC136" t="str">
            <v>Ⅱ</v>
          </cell>
        </row>
        <row r="137">
          <cell r="D137">
            <v>376</v>
          </cell>
          <cell r="E137" t="str">
            <v>MET-B_SMASTA-CSTD-2-</v>
          </cell>
          <cell r="F137" t="str">
            <v>新</v>
          </cell>
          <cell r="G137" t="str">
            <v>スマートブザー（単発1）</v>
          </cell>
          <cell r="H137" t="str">
            <v>B_SMASTA-CSTD-2-BZR01-REQ04-</v>
          </cell>
          <cell r="I137" t="str">
            <v>○</v>
          </cell>
          <cell r="K137" t="str">
            <v>○</v>
          </cell>
          <cell r="O137" t="str">
            <v>単発</v>
          </cell>
          <cell r="P137" t="str">
            <v>-</v>
          </cell>
          <cell r="Q137" t="str">
            <v>-</v>
          </cell>
          <cell r="R137" t="str">
            <v>MET-CBZ_BASE-NOTICE1-*-**-*</v>
          </cell>
          <cell r="S137" t="str">
            <v>MET-CBZ_BASE-NOTICE1-*-**-*</v>
          </cell>
          <cell r="T137" t="str">
            <v>-</v>
          </cell>
          <cell r="U137" t="str">
            <v>-</v>
          </cell>
          <cell r="V137" t="str">
            <v>定数仕様書に従うこと</v>
          </cell>
          <cell r="W137" t="str">
            <v>短</v>
          </cell>
          <cell r="X137" t="str">
            <v>-</v>
          </cell>
          <cell r="Y137">
            <v>2</v>
          </cell>
          <cell r="Z137">
            <v>1</v>
          </cell>
          <cell r="AA137">
            <v>1</v>
          </cell>
          <cell r="AB137">
            <v>0</v>
          </cell>
          <cell r="AC137" t="str">
            <v>Ⅰ</v>
          </cell>
        </row>
        <row r="138">
          <cell r="D138">
            <v>207</v>
          </cell>
          <cell r="E138" t="str">
            <v>MET-H_TOWWAR-CSTD-0-</v>
          </cell>
          <cell r="F138" t="str">
            <v>新</v>
          </cell>
          <cell r="G138" t="str">
            <v>駆動用インバータが一相短絡</v>
          </cell>
          <cell r="H138" t="str">
            <v>H_TOWWAR-CSTD-0-BZR01-REQ02-</v>
          </cell>
          <cell r="I138" t="str">
            <v>○</v>
          </cell>
          <cell r="K138" t="str">
            <v>○</v>
          </cell>
          <cell r="O138" t="str">
            <v>断続</v>
          </cell>
          <cell r="P138" t="str">
            <v>-</v>
          </cell>
          <cell r="Q138" t="str">
            <v>-</v>
          </cell>
          <cell r="R138" t="str">
            <v>MET-CBZ_BASE-INTWARNM-*-**-*</v>
          </cell>
          <cell r="S138" t="str">
            <v>MET-CBZ_BASE-INTWARNM-*-**-*</v>
          </cell>
          <cell r="T138" t="str">
            <v>-</v>
          </cell>
          <cell r="U138" t="str">
            <v>-</v>
          </cell>
          <cell r="V138" t="str">
            <v>定数仕様書に従うこと</v>
          </cell>
          <cell r="W138" t="str">
            <v>長</v>
          </cell>
          <cell r="X138" t="str">
            <v>-</v>
          </cell>
          <cell r="Y138">
            <v>2</v>
          </cell>
          <cell r="Z138">
            <v>1</v>
          </cell>
          <cell r="AA138">
            <v>1</v>
          </cell>
          <cell r="AB138">
            <v>0</v>
          </cell>
          <cell r="AC138" t="str">
            <v>Ⅰ</v>
          </cell>
        </row>
        <row r="139">
          <cell r="D139">
            <v>475</v>
          </cell>
          <cell r="E139" t="str">
            <v>MET-S_ADBZR-CSTD-0-</v>
          </cell>
          <cell r="F139" t="str">
            <v>新</v>
          </cell>
          <cell r="G139" t="str">
            <v>先行車発進通知ブザー</v>
          </cell>
          <cell r="H139" t="str">
            <v>S_ADBZR-CSTD-0-BZR01-REQ075-</v>
          </cell>
          <cell r="I139" t="str">
            <v>○</v>
          </cell>
          <cell r="K139" t="str">
            <v>○</v>
          </cell>
          <cell r="O139" t="str">
            <v>単発</v>
          </cell>
          <cell r="P139" t="str">
            <v>-</v>
          </cell>
          <cell r="Q139" t="str">
            <v>-</v>
          </cell>
          <cell r="R139" t="str">
            <v>MET-CBZ_BASE-NOTICE1-*-**-*</v>
          </cell>
          <cell r="S139" t="str">
            <v>MET-CBZ_BASE-NOTICE1-*-**-*</v>
          </cell>
          <cell r="T139" t="str">
            <v>-</v>
          </cell>
          <cell r="U139" t="str">
            <v>-</v>
          </cell>
          <cell r="V139" t="str">
            <v>定数仕様書に従うこと</v>
          </cell>
          <cell r="W139" t="str">
            <v>短</v>
          </cell>
          <cell r="X139" t="str">
            <v>-</v>
          </cell>
          <cell r="Y139">
            <v>2</v>
          </cell>
          <cell r="Z139">
            <v>1</v>
          </cell>
          <cell r="AA139">
            <v>1</v>
          </cell>
          <cell r="AB139">
            <v>0</v>
          </cell>
          <cell r="AC139" t="str">
            <v>Ⅲ</v>
          </cell>
        </row>
        <row r="140">
          <cell r="D140">
            <v>502</v>
          </cell>
          <cell r="E140" t="str">
            <v>MET-S_TMBZR-CSTD-0</v>
          </cell>
          <cell r="F140" t="str">
            <v>新</v>
          </cell>
          <cell r="G140" t="str">
            <v>報知音：優先度2</v>
          </cell>
          <cell r="H140" t="str">
            <v>S_TMBZR-CSTD-0-BZR01-REQ04-</v>
          </cell>
          <cell r="I140" t="str">
            <v>○</v>
          </cell>
          <cell r="K140" t="str">
            <v>○</v>
          </cell>
          <cell r="O140" t="str">
            <v>単発</v>
          </cell>
          <cell r="P140" t="str">
            <v>-</v>
          </cell>
          <cell r="Q140" t="str">
            <v>-</v>
          </cell>
          <cell r="R140" t="str">
            <v>MET-CBZ_BASE-NOTICE1-*-**-*</v>
          </cell>
          <cell r="S140" t="str">
            <v>MET-CBZ_BASE-NOTICE1-*-**-*</v>
          </cell>
          <cell r="T140" t="str">
            <v>-</v>
          </cell>
          <cell r="U140" t="str">
            <v>-</v>
          </cell>
          <cell r="V140" t="str">
            <v>定数仕様書に従うこと</v>
          </cell>
          <cell r="W140" t="str">
            <v>短</v>
          </cell>
          <cell r="X140" t="str">
            <v>-</v>
          </cell>
          <cell r="Y140">
            <v>2</v>
          </cell>
          <cell r="Z140">
            <v>1</v>
          </cell>
          <cell r="AA140">
            <v>1</v>
          </cell>
          <cell r="AB140">
            <v>0</v>
          </cell>
          <cell r="AC140" t="str">
            <v>Ⅲ</v>
          </cell>
        </row>
        <row r="141">
          <cell r="D141">
            <v>508</v>
          </cell>
          <cell r="E141" t="str">
            <v>MET-S_TMBZR-CSTD-0</v>
          </cell>
          <cell r="F141" t="str">
            <v>新</v>
          </cell>
          <cell r="G141" t="str">
            <v>受付音：優先度2</v>
          </cell>
          <cell r="H141" t="str">
            <v>S_TMBZR-CSTD-0-BZR01-REQ010-</v>
          </cell>
          <cell r="I141" t="str">
            <v>○</v>
          </cell>
          <cell r="K141" t="str">
            <v>○</v>
          </cell>
          <cell r="O141" t="str">
            <v>単発</v>
          </cell>
          <cell r="P141" t="str">
            <v>-</v>
          </cell>
          <cell r="Q141" t="str">
            <v>-</v>
          </cell>
          <cell r="R141" t="str">
            <v>MET-CBZ_BASE-ACCEPT-*-**-*</v>
          </cell>
          <cell r="S141" t="str">
            <v>MET-CBZ_BASE-ACCEPT-*-**-*</v>
          </cell>
          <cell r="T141" t="str">
            <v>-</v>
          </cell>
          <cell r="U141" t="str">
            <v>-</v>
          </cell>
          <cell r="V141" t="str">
            <v>定数仕様書に従うこと</v>
          </cell>
          <cell r="W141" t="str">
            <v>短</v>
          </cell>
          <cell r="X141" t="str">
            <v>-</v>
          </cell>
          <cell r="Y141">
            <v>2</v>
          </cell>
          <cell r="Z141">
            <v>1</v>
          </cell>
          <cell r="AA141">
            <v>1</v>
          </cell>
          <cell r="AB141">
            <v>0</v>
          </cell>
          <cell r="AC141" t="str">
            <v>Ⅲ</v>
          </cell>
        </row>
        <row r="142">
          <cell r="D142">
            <v>514</v>
          </cell>
          <cell r="E142" t="str">
            <v>MET-S_TMBZR-CSTD-0</v>
          </cell>
          <cell r="F142" t="str">
            <v>新</v>
          </cell>
          <cell r="G142" t="str">
            <v>リジェクト音：優先度2</v>
          </cell>
          <cell r="H142" t="str">
            <v>S_TMBZR-CSTD-0-BZR01-REQ016-</v>
          </cell>
          <cell r="I142" t="str">
            <v>○</v>
          </cell>
          <cell r="K142" t="str">
            <v>○</v>
          </cell>
          <cell r="O142" t="str">
            <v>2連発</v>
          </cell>
          <cell r="P142" t="str">
            <v>-</v>
          </cell>
          <cell r="Q142" t="str">
            <v>-</v>
          </cell>
          <cell r="R142" t="str">
            <v>MET-CBZ_BASE-REJECT-*-**-*</v>
          </cell>
          <cell r="S142" t="str">
            <v>MET-CBZ_BASE-REJECT-*-**-*</v>
          </cell>
          <cell r="T142" t="str">
            <v>-</v>
          </cell>
          <cell r="U142" t="str">
            <v>-</v>
          </cell>
          <cell r="V142" t="str">
            <v>定数仕様書に従うこと</v>
          </cell>
          <cell r="W142" t="str">
            <v>短</v>
          </cell>
          <cell r="X142" t="str">
            <v>-</v>
          </cell>
          <cell r="Y142">
            <v>2</v>
          </cell>
          <cell r="Z142">
            <v>1</v>
          </cell>
          <cell r="AA142">
            <v>1</v>
          </cell>
          <cell r="AB142">
            <v>0</v>
          </cell>
          <cell r="AC142" t="str">
            <v>Ⅲ</v>
          </cell>
        </row>
        <row r="143">
          <cell r="D143">
            <v>520</v>
          </cell>
          <cell r="E143" t="str">
            <v>MET-S_TMBZR-CSTD-0</v>
          </cell>
          <cell r="F143" t="str">
            <v>新</v>
          </cell>
          <cell r="G143" t="str">
            <v>連続音：優先度2</v>
          </cell>
          <cell r="H143" t="str">
            <v>S_TMBZR-CSTD-0-BZR01-REQ022-</v>
          </cell>
          <cell r="I143" t="str">
            <v>○</v>
          </cell>
          <cell r="K143" t="str">
            <v>○</v>
          </cell>
          <cell r="O143" t="str">
            <v>連続</v>
          </cell>
          <cell r="P143" t="str">
            <v>-</v>
          </cell>
          <cell r="Q143" t="str">
            <v>-</v>
          </cell>
          <cell r="R143" t="str">
            <v>MET-CBZ_BASE-CONTWARN-*-**-*</v>
          </cell>
          <cell r="S143" t="str">
            <v>MET-CBZ_BASE-CONTWARN-*-**-*</v>
          </cell>
          <cell r="T143" t="str">
            <v>-</v>
          </cell>
          <cell r="U143" t="str">
            <v>-</v>
          </cell>
          <cell r="V143" t="str">
            <v>定数仕様書に従うこと</v>
          </cell>
          <cell r="W143" t="str">
            <v>長</v>
          </cell>
          <cell r="X143" t="str">
            <v>-</v>
          </cell>
          <cell r="Y143">
            <v>2</v>
          </cell>
          <cell r="Z143">
            <v>1</v>
          </cell>
          <cell r="AA143">
            <v>1</v>
          </cell>
          <cell r="AB143">
            <v>0</v>
          </cell>
          <cell r="AC143" t="str">
            <v>Ⅲ</v>
          </cell>
        </row>
        <row r="144">
          <cell r="D144">
            <v>526</v>
          </cell>
          <cell r="E144" t="str">
            <v>MET-S_TMBZR-CSTD-0</v>
          </cell>
          <cell r="F144" t="str">
            <v>新</v>
          </cell>
          <cell r="G144" t="str">
            <v>緊迫(小)：優先度2</v>
          </cell>
          <cell r="H144" t="str">
            <v>S_TMBZR-CSTD-0-BZR01-REQ028-</v>
          </cell>
          <cell r="I144" t="str">
            <v>○</v>
          </cell>
          <cell r="K144" t="str">
            <v>○</v>
          </cell>
          <cell r="O144" t="str">
            <v>断続</v>
          </cell>
          <cell r="P144" t="str">
            <v>-</v>
          </cell>
          <cell r="Q144" t="str">
            <v>-</v>
          </cell>
          <cell r="R144" t="str">
            <v>MET-CBZ_BASE-INTWARNL-*-**-*</v>
          </cell>
          <cell r="S144" t="str">
            <v>MET-CBZ_BASE-INTWARNL-*-**-*</v>
          </cell>
          <cell r="T144" t="str">
            <v>-</v>
          </cell>
          <cell r="U144" t="str">
            <v>-</v>
          </cell>
          <cell r="V144" t="str">
            <v>定数仕様書に従うこと</v>
          </cell>
          <cell r="W144" t="str">
            <v>長</v>
          </cell>
          <cell r="X144" t="str">
            <v>-</v>
          </cell>
          <cell r="Y144">
            <v>2</v>
          </cell>
          <cell r="Z144">
            <v>1</v>
          </cell>
          <cell r="AA144">
            <v>1</v>
          </cell>
          <cell r="AB144">
            <v>0</v>
          </cell>
          <cell r="AC144" t="str">
            <v>Ⅲ</v>
          </cell>
        </row>
        <row r="145">
          <cell r="D145">
            <v>481</v>
          </cell>
          <cell r="E145" t="str">
            <v>MET-B_SMASTA-CSTD-2-</v>
          </cell>
          <cell r="F145" t="str">
            <v>新</v>
          </cell>
          <cell r="G145" t="str">
            <v>スマートブザー（断続1）</v>
          </cell>
          <cell r="H145" t="str">
            <v>B_SMASTA-CSTD-2-BZR01-REQ08-</v>
          </cell>
          <cell r="I145" t="str">
            <v>○</v>
          </cell>
          <cell r="K145" t="str">
            <v>○</v>
          </cell>
          <cell r="O145" t="str">
            <v>断続</v>
          </cell>
          <cell r="P145" t="str">
            <v>-</v>
          </cell>
          <cell r="Q145" t="str">
            <v>-</v>
          </cell>
          <cell r="R145" t="str">
            <v>MET-CBZ_BASE-INTWARNL-*-**-*</v>
          </cell>
          <cell r="S145" t="str">
            <v>MET-CBZ_BASE-INTWARNL-*-**-*</v>
          </cell>
          <cell r="T145" t="str">
            <v>-</v>
          </cell>
          <cell r="U145" t="str">
            <v>-</v>
          </cell>
          <cell r="V145" t="str">
            <v>定数仕様書に従うこと</v>
          </cell>
          <cell r="W145" t="str">
            <v>長</v>
          </cell>
          <cell r="X145" t="str">
            <v>-</v>
          </cell>
          <cell r="Y145">
            <v>1</v>
          </cell>
          <cell r="Z145">
            <v>1</v>
          </cell>
          <cell r="AA145">
            <v>0</v>
          </cell>
          <cell r="AB145">
            <v>0</v>
          </cell>
          <cell r="AC145" t="str">
            <v>Ⅱ</v>
          </cell>
        </row>
        <row r="146">
          <cell r="D146">
            <v>214</v>
          </cell>
          <cell r="E146" t="str">
            <v>MET-C_BRKBZ-CSTD-2-</v>
          </cell>
          <cell r="F146" t="str">
            <v>新</v>
          </cell>
          <cell r="G146" t="str">
            <v>ブレーキシステム アプリ駆動ブザー3</v>
          </cell>
          <cell r="H146" t="str">
            <v>C_BRKBZ-CSTD-2-BZR01-REQ11-</v>
          </cell>
          <cell r="I146" t="str">
            <v>○</v>
          </cell>
          <cell r="K146" t="str">
            <v>○</v>
          </cell>
          <cell r="O146" t="str">
            <v>2連発</v>
          </cell>
          <cell r="P146" t="str">
            <v>-</v>
          </cell>
          <cell r="Q146" t="str">
            <v>-</v>
          </cell>
          <cell r="R146" t="str">
            <v>MET-CBZ_BASE-REJECT-*-**-*</v>
          </cell>
          <cell r="S146" t="str">
            <v>MET-CBZ_BASE-REJECT-*-**-*</v>
          </cell>
          <cell r="T146" t="str">
            <v>-</v>
          </cell>
          <cell r="U146" t="str">
            <v>-</v>
          </cell>
          <cell r="V146" t="str">
            <v>定数仕様書に従うこと</v>
          </cell>
          <cell r="W146" t="str">
            <v>短</v>
          </cell>
          <cell r="X146" t="str">
            <v>-</v>
          </cell>
          <cell r="Y146">
            <v>1</v>
          </cell>
          <cell r="Z146">
            <v>1</v>
          </cell>
          <cell r="AA146">
            <v>0</v>
          </cell>
          <cell r="AB146">
            <v>0</v>
          </cell>
          <cell r="AC146" t="str">
            <v>Ⅲ</v>
          </cell>
        </row>
        <row r="147">
          <cell r="D147">
            <v>215</v>
          </cell>
          <cell r="E147" t="str">
            <v>MET-C_BRKBZ-CSTD-2-</v>
          </cell>
          <cell r="F147" t="str">
            <v>新</v>
          </cell>
          <cell r="G147" t="str">
            <v>ブレーキシステム アプリ駆動ブザー1</v>
          </cell>
          <cell r="H147" t="str">
            <v>C_BRKBZ-CSTD-2-BZR01-REQ07-</v>
          </cell>
          <cell r="I147" t="str">
            <v>○</v>
          </cell>
          <cell r="K147" t="str">
            <v>○</v>
          </cell>
          <cell r="O147" t="str">
            <v>断続</v>
          </cell>
          <cell r="P147" t="str">
            <v>-</v>
          </cell>
          <cell r="Q147" t="str">
            <v>-</v>
          </cell>
          <cell r="R147" t="str">
            <v>MET-CBZ_BASE-INTWARNM-*-**-*</v>
          </cell>
          <cell r="S147" t="str">
            <v>MET-CBZ_BASE-INTWARNM-*-**-*</v>
          </cell>
          <cell r="T147" t="str">
            <v>-</v>
          </cell>
          <cell r="U147" t="str">
            <v>-</v>
          </cell>
          <cell r="V147" t="str">
            <v>定数仕様書に従うこと</v>
          </cell>
          <cell r="W147" t="str">
            <v>長</v>
          </cell>
          <cell r="X147" t="str">
            <v>-</v>
          </cell>
          <cell r="Y147">
            <v>1</v>
          </cell>
          <cell r="Z147">
            <v>1</v>
          </cell>
          <cell r="AA147">
            <v>0</v>
          </cell>
          <cell r="AB147">
            <v>0</v>
          </cell>
          <cell r="AC147" t="str">
            <v>Ⅲ</v>
          </cell>
        </row>
        <row r="148">
          <cell r="D148">
            <v>216</v>
          </cell>
          <cell r="E148" t="str">
            <v>MET-C_BRKBZ-CSTD-2-</v>
          </cell>
          <cell r="F148" t="str">
            <v>新</v>
          </cell>
          <cell r="G148" t="str">
            <v>ブレーキシステム アプリ駆動ブザー2</v>
          </cell>
          <cell r="H148" t="str">
            <v>C_BRKBZ-CSTD-2-BZR01-REQ08-</v>
          </cell>
          <cell r="I148" t="str">
            <v>○</v>
          </cell>
          <cell r="K148" t="str">
            <v>○</v>
          </cell>
          <cell r="O148" t="str">
            <v>断続</v>
          </cell>
          <cell r="P148" t="str">
            <v>-</v>
          </cell>
          <cell r="Q148" t="str">
            <v>-</v>
          </cell>
          <cell r="R148" t="str">
            <v>MET-CBZ_BASE-INTWARNM-*-**-*</v>
          </cell>
          <cell r="S148" t="str">
            <v>MET-CBZ_BASE-INTWARNM-*-**-*</v>
          </cell>
          <cell r="T148" t="str">
            <v>-</v>
          </cell>
          <cell r="U148" t="str">
            <v>-</v>
          </cell>
          <cell r="V148" t="str">
            <v>定数仕様書に従うこと</v>
          </cell>
          <cell r="W148" t="str">
            <v>長</v>
          </cell>
          <cell r="X148" t="str">
            <v>-</v>
          </cell>
          <cell r="Y148">
            <v>1</v>
          </cell>
          <cell r="Z148">
            <v>1</v>
          </cell>
          <cell r="AA148">
            <v>0</v>
          </cell>
          <cell r="AB148">
            <v>0</v>
          </cell>
          <cell r="AC148" t="str">
            <v>Ⅲ</v>
          </cell>
        </row>
        <row r="149">
          <cell r="D149">
            <v>226</v>
          </cell>
          <cell r="E149" t="str">
            <v>MET-C_BRKHLD-CSTD-2-</v>
          </cell>
          <cell r="F149" t="str">
            <v>新</v>
          </cell>
          <cell r="G149" t="str">
            <v>ブレーキホールドブザー（作動不可）</v>
          </cell>
          <cell r="H149" t="str">
            <v>C_BRKHLD-CSTD-2-BZR01-REQ16-</v>
          </cell>
          <cell r="I149" t="str">
            <v>○</v>
          </cell>
          <cell r="K149" t="str">
            <v>○</v>
          </cell>
          <cell r="O149" t="str">
            <v>2連発</v>
          </cell>
          <cell r="P149" t="str">
            <v>-</v>
          </cell>
          <cell r="Q149" t="str">
            <v>-</v>
          </cell>
          <cell r="R149" t="str">
            <v>MET-CBZ_BASE-REJECT-*-**-*</v>
          </cell>
          <cell r="S149" t="str">
            <v>MET-CBZ_BASE-REJECT-*-**-*</v>
          </cell>
          <cell r="T149" t="str">
            <v>-</v>
          </cell>
          <cell r="U149" t="str">
            <v>-</v>
          </cell>
          <cell r="V149" t="str">
            <v>定数仕様書に従うこと</v>
          </cell>
          <cell r="W149" t="str">
            <v>短</v>
          </cell>
          <cell r="X149" t="str">
            <v>-</v>
          </cell>
          <cell r="Y149">
            <v>1</v>
          </cell>
          <cell r="Z149">
            <v>1</v>
          </cell>
          <cell r="AA149">
            <v>0</v>
          </cell>
          <cell r="AB149">
            <v>0</v>
          </cell>
          <cell r="AC149" t="str">
            <v>Ⅲ</v>
          </cell>
        </row>
        <row r="150">
          <cell r="D150">
            <v>227</v>
          </cell>
          <cell r="E150" t="str">
            <v>MET-C_BRKHLD-CSTD-2-</v>
          </cell>
          <cell r="F150" t="str">
            <v>新</v>
          </cell>
          <cell r="G150" t="str">
            <v>ブレーキホールドブザー（解除不可）</v>
          </cell>
          <cell r="H150" t="str">
            <v>C_BRKHLD-CSTD-2-BZR01-REQ05-</v>
          </cell>
          <cell r="I150" t="str">
            <v>○</v>
          </cell>
          <cell r="K150" t="str">
            <v>○</v>
          </cell>
          <cell r="O150" t="str">
            <v>2連発</v>
          </cell>
          <cell r="P150" t="str">
            <v>-</v>
          </cell>
          <cell r="Q150" t="str">
            <v>-</v>
          </cell>
          <cell r="R150" t="str">
            <v>MET-CBZ_BASE-REJECT-*-**-*</v>
          </cell>
          <cell r="S150" t="str">
            <v>MET-CBZ_BASE-REJECT-*-**-*</v>
          </cell>
          <cell r="T150" t="str">
            <v>-</v>
          </cell>
          <cell r="U150" t="str">
            <v>-</v>
          </cell>
          <cell r="V150" t="str">
            <v>定数仕様書に従うこと</v>
          </cell>
          <cell r="W150" t="str">
            <v>短</v>
          </cell>
          <cell r="X150" t="str">
            <v>-</v>
          </cell>
          <cell r="Y150">
            <v>1</v>
          </cell>
          <cell r="Z150">
            <v>1</v>
          </cell>
          <cell r="AA150">
            <v>0</v>
          </cell>
          <cell r="AB150">
            <v>0</v>
          </cell>
          <cell r="AC150" t="str">
            <v>Ⅲ</v>
          </cell>
        </row>
        <row r="151">
          <cell r="D151">
            <v>228</v>
          </cell>
          <cell r="E151" t="str">
            <v>MET-C_BRKHLD-CSTD-2-</v>
          </cell>
          <cell r="F151" t="str">
            <v>新</v>
          </cell>
          <cell r="G151" t="str">
            <v>ブレーキホールドブザー（作動不可）</v>
          </cell>
          <cell r="H151" t="str">
            <v>C_BRKHLD-CSTD-2-BZR01-REQ07-</v>
          </cell>
          <cell r="I151" t="str">
            <v>○</v>
          </cell>
          <cell r="K151" t="str">
            <v>○</v>
          </cell>
          <cell r="O151" t="str">
            <v>2連発</v>
          </cell>
          <cell r="P151" t="str">
            <v>-</v>
          </cell>
          <cell r="Q151" t="str">
            <v>-</v>
          </cell>
          <cell r="R151" t="str">
            <v>MET-CBZ_BASE-REJECT-*-**-*</v>
          </cell>
          <cell r="S151" t="str">
            <v>MET-CBZ_BASE-REJECT-*-**-*</v>
          </cell>
          <cell r="T151" t="str">
            <v>-</v>
          </cell>
          <cell r="U151" t="str">
            <v>-</v>
          </cell>
          <cell r="V151" t="str">
            <v>定数仕様書に従うこと</v>
          </cell>
          <cell r="W151" t="str">
            <v>短</v>
          </cell>
          <cell r="X151" t="str">
            <v>-</v>
          </cell>
          <cell r="Y151">
            <v>1</v>
          </cell>
          <cell r="Z151">
            <v>1</v>
          </cell>
          <cell r="AA151">
            <v>0</v>
          </cell>
          <cell r="AB151">
            <v>0</v>
          </cell>
          <cell r="AC151" t="str">
            <v>Ⅲ</v>
          </cell>
        </row>
        <row r="152">
          <cell r="D152">
            <v>229</v>
          </cell>
          <cell r="E152" t="str">
            <v>MET-C_BRKHLD-CSTD-2-</v>
          </cell>
          <cell r="F152" t="str">
            <v>新</v>
          </cell>
          <cell r="G152" t="str">
            <v>ブレーキホールドブザー（作動不可）</v>
          </cell>
          <cell r="H152" t="str">
            <v>C_BRKHLD-CSTD-2-BZR01-REQ08-</v>
          </cell>
          <cell r="I152" t="str">
            <v>○</v>
          </cell>
          <cell r="K152" t="str">
            <v>○</v>
          </cell>
          <cell r="O152" t="str">
            <v>2連発</v>
          </cell>
          <cell r="P152" t="str">
            <v>-</v>
          </cell>
          <cell r="Q152" t="str">
            <v>-</v>
          </cell>
          <cell r="R152" t="str">
            <v>MET-CBZ_BASE-REJECT-*-**-*</v>
          </cell>
          <cell r="S152" t="str">
            <v>MET-CBZ_BASE-REJECT-*-**-*</v>
          </cell>
          <cell r="T152" t="str">
            <v>-</v>
          </cell>
          <cell r="U152" t="str">
            <v>-</v>
          </cell>
          <cell r="V152" t="str">
            <v>定数仕様書に従うこと</v>
          </cell>
          <cell r="W152" t="str">
            <v>短</v>
          </cell>
          <cell r="X152" t="str">
            <v>-</v>
          </cell>
          <cell r="Y152">
            <v>1</v>
          </cell>
          <cell r="Z152">
            <v>1</v>
          </cell>
          <cell r="AA152">
            <v>0</v>
          </cell>
          <cell r="AB152">
            <v>0</v>
          </cell>
          <cell r="AC152" t="str">
            <v>Ⅲ</v>
          </cell>
        </row>
        <row r="153">
          <cell r="D153">
            <v>230</v>
          </cell>
          <cell r="E153" t="str">
            <v>MET-C_BRKHLD-CSTD-2-</v>
          </cell>
          <cell r="F153" t="str">
            <v>新</v>
          </cell>
          <cell r="G153" t="str">
            <v>ブレーキホールドブザー（作動不可）</v>
          </cell>
          <cell r="H153" t="str">
            <v>C_BRKHLD-CSTD-2-BZR01-REQ17-</v>
          </cell>
          <cell r="I153" t="str">
            <v>○</v>
          </cell>
          <cell r="K153" t="str">
            <v>○</v>
          </cell>
          <cell r="O153" t="str">
            <v>2連発</v>
          </cell>
          <cell r="P153" t="str">
            <v>-</v>
          </cell>
          <cell r="Q153" t="str">
            <v>-</v>
          </cell>
          <cell r="R153" t="str">
            <v>MET-CBZ_BASE-REJECT-*-**-*</v>
          </cell>
          <cell r="S153" t="str">
            <v>MET-CBZ_BASE-REJECT-*-**-*</v>
          </cell>
          <cell r="T153" t="str">
            <v>-</v>
          </cell>
          <cell r="U153" t="str">
            <v>-</v>
          </cell>
          <cell r="V153" t="str">
            <v>定数仕様書に従うこと</v>
          </cell>
          <cell r="W153" t="str">
            <v>短</v>
          </cell>
          <cell r="X153" t="str">
            <v>-</v>
          </cell>
          <cell r="Y153">
            <v>1</v>
          </cell>
          <cell r="Z153">
            <v>1</v>
          </cell>
          <cell r="AA153">
            <v>0</v>
          </cell>
          <cell r="AB153">
            <v>0</v>
          </cell>
          <cell r="AC153" t="str">
            <v>Ⅲ</v>
          </cell>
        </row>
        <row r="154">
          <cell r="D154">
            <v>231</v>
          </cell>
          <cell r="E154" t="str">
            <v>MET-C_BRKHLD-CSTD-2-</v>
          </cell>
          <cell r="F154" t="str">
            <v>新</v>
          </cell>
          <cell r="G154" t="str">
            <v>ブレーキホールドブザー（間もなく解除）</v>
          </cell>
          <cell r="H154" t="str">
            <v>C_BRKHLD-CSTD-2-BZR01-REQ10-</v>
          </cell>
          <cell r="I154" t="str">
            <v>○</v>
          </cell>
          <cell r="K154" t="str">
            <v>○</v>
          </cell>
          <cell r="O154" t="str">
            <v>2連発</v>
          </cell>
          <cell r="P154" t="str">
            <v>-</v>
          </cell>
          <cell r="Q154" t="str">
            <v>-</v>
          </cell>
          <cell r="R154" t="str">
            <v>MET-CBZ_BASE-REJECT-*-**-*</v>
          </cell>
          <cell r="S154" t="str">
            <v>MET-CBZ_BASE-REJECT-*-**-*</v>
          </cell>
          <cell r="T154" t="str">
            <v>-</v>
          </cell>
          <cell r="U154" t="str">
            <v>-</v>
          </cell>
          <cell r="V154" t="str">
            <v>定数仕様書に従うこと</v>
          </cell>
          <cell r="W154" t="str">
            <v>短</v>
          </cell>
          <cell r="X154" t="str">
            <v>-</v>
          </cell>
          <cell r="Y154">
            <v>1</v>
          </cell>
          <cell r="Z154">
            <v>1</v>
          </cell>
          <cell r="AA154">
            <v>0</v>
          </cell>
          <cell r="AB154">
            <v>0</v>
          </cell>
          <cell r="AC154" t="str">
            <v>Ⅲ</v>
          </cell>
        </row>
        <row r="155">
          <cell r="D155">
            <v>232</v>
          </cell>
          <cell r="E155" t="str">
            <v>MET-C_BRKHLD-CSTD-2-</v>
          </cell>
          <cell r="F155" t="str">
            <v>新</v>
          </cell>
          <cell r="G155" t="str">
            <v>ブレーキホールドブザー（間もなく解除）</v>
          </cell>
          <cell r="H155" t="str">
            <v>C_BRKHLD-CSTD-2-BZR01-REQ11-</v>
          </cell>
          <cell r="I155" t="str">
            <v>○</v>
          </cell>
          <cell r="K155" t="str">
            <v>○</v>
          </cell>
          <cell r="O155" t="str">
            <v>2連発</v>
          </cell>
          <cell r="P155" t="str">
            <v>-</v>
          </cell>
          <cell r="Q155" t="str">
            <v>-</v>
          </cell>
          <cell r="R155" t="str">
            <v>MET-CBZ_BASE-REJECT-*-**-*</v>
          </cell>
          <cell r="S155" t="str">
            <v>MET-CBZ_BASE-REJECT-*-**-*</v>
          </cell>
          <cell r="T155" t="str">
            <v>-</v>
          </cell>
          <cell r="U155" t="str">
            <v>-</v>
          </cell>
          <cell r="V155" t="str">
            <v>定数仕様書に従うこと</v>
          </cell>
          <cell r="W155" t="str">
            <v>短</v>
          </cell>
          <cell r="X155" t="str">
            <v>-</v>
          </cell>
          <cell r="Y155">
            <v>1</v>
          </cell>
          <cell r="Z155">
            <v>1</v>
          </cell>
          <cell r="AA155">
            <v>0</v>
          </cell>
          <cell r="AB155">
            <v>0</v>
          </cell>
          <cell r="AC155" t="str">
            <v>Ⅲ</v>
          </cell>
        </row>
        <row r="156">
          <cell r="D156">
            <v>234</v>
          </cell>
          <cell r="E156" t="str">
            <v>MET-C_BRKHLD-CSTD-2-</v>
          </cell>
          <cell r="F156" t="str">
            <v>新</v>
          </cell>
          <cell r="G156" t="str">
            <v>ブレーキホールドブザー（作動不可）</v>
          </cell>
          <cell r="H156" t="str">
            <v>C_BRKHLD-CSTD-2-BZR01-REQ13-</v>
          </cell>
          <cell r="I156" t="str">
            <v>○</v>
          </cell>
          <cell r="K156" t="str">
            <v>○</v>
          </cell>
          <cell r="O156" t="str">
            <v>2連発</v>
          </cell>
          <cell r="P156" t="str">
            <v>-</v>
          </cell>
          <cell r="Q156" t="str">
            <v>-</v>
          </cell>
          <cell r="R156" t="str">
            <v>MET-CBZ_BASE-REJECT-*-**-*</v>
          </cell>
          <cell r="S156" t="str">
            <v>MET-CBZ_BASE-REJECT-*-**-*</v>
          </cell>
          <cell r="T156" t="str">
            <v>-</v>
          </cell>
          <cell r="U156" t="str">
            <v>-</v>
          </cell>
          <cell r="V156" t="str">
            <v>定数仕様書に従うこと</v>
          </cell>
          <cell r="W156" t="str">
            <v>短</v>
          </cell>
          <cell r="X156" t="str">
            <v>-</v>
          </cell>
          <cell r="Y156">
            <v>1</v>
          </cell>
          <cell r="Z156">
            <v>1</v>
          </cell>
          <cell r="AA156">
            <v>0</v>
          </cell>
          <cell r="AB156">
            <v>0</v>
          </cell>
          <cell r="AC156" t="str">
            <v>Ⅲ</v>
          </cell>
        </row>
        <row r="157">
          <cell r="D157">
            <v>501</v>
          </cell>
          <cell r="E157" t="str">
            <v>MET-S_TMBZR-CSTD-0</v>
          </cell>
          <cell r="F157" t="str">
            <v>新</v>
          </cell>
          <cell r="G157" t="str">
            <v>報知音：優先度1</v>
          </cell>
          <cell r="H157" t="str">
            <v>S_TMBZR-CSTD-0-BZR01-REQ03-</v>
          </cell>
          <cell r="I157" t="str">
            <v>○</v>
          </cell>
          <cell r="K157" t="str">
            <v>○</v>
          </cell>
          <cell r="O157" t="str">
            <v>単発</v>
          </cell>
          <cell r="P157" t="str">
            <v>-</v>
          </cell>
          <cell r="Q157" t="str">
            <v>-</v>
          </cell>
          <cell r="R157" t="str">
            <v>MET-CBZ_BASE-NOTICE1-*-**-*</v>
          </cell>
          <cell r="S157" t="str">
            <v>MET-CBZ_BASE-NOTICE1-*-**-*</v>
          </cell>
          <cell r="T157" t="str">
            <v>-</v>
          </cell>
          <cell r="U157" t="str">
            <v>-</v>
          </cell>
          <cell r="V157" t="str">
            <v>定数仕様書に従うこと</v>
          </cell>
          <cell r="W157" t="str">
            <v>短</v>
          </cell>
          <cell r="X157" t="str">
            <v>-</v>
          </cell>
          <cell r="Y157">
            <v>1</v>
          </cell>
          <cell r="Z157">
            <v>1</v>
          </cell>
          <cell r="AA157">
            <v>0</v>
          </cell>
          <cell r="AB157">
            <v>0</v>
          </cell>
          <cell r="AC157" t="str">
            <v>Ⅲ</v>
          </cell>
        </row>
        <row r="158">
          <cell r="D158">
            <v>507</v>
          </cell>
          <cell r="E158" t="str">
            <v>MET-S_TMBZR-CSTD-0</v>
          </cell>
          <cell r="F158" t="str">
            <v>新</v>
          </cell>
          <cell r="G158" t="str">
            <v>受付音：優先度1</v>
          </cell>
          <cell r="H158" t="str">
            <v>S_TMBZR-CSTD-0-BZR01-REQ09-</v>
          </cell>
          <cell r="I158" t="str">
            <v>○</v>
          </cell>
          <cell r="K158" t="str">
            <v>○</v>
          </cell>
          <cell r="O158" t="str">
            <v>単発</v>
          </cell>
          <cell r="P158" t="str">
            <v>-</v>
          </cell>
          <cell r="Q158" t="str">
            <v>-</v>
          </cell>
          <cell r="R158" t="str">
            <v>MET-CBZ_BASE-ACCEPT-*-**-*</v>
          </cell>
          <cell r="S158" t="str">
            <v>MET-CBZ_BASE-ACCEPT-*-**-*</v>
          </cell>
          <cell r="T158" t="str">
            <v>-</v>
          </cell>
          <cell r="U158" t="str">
            <v>-</v>
          </cell>
          <cell r="V158" t="str">
            <v>定数仕様書に従うこと</v>
          </cell>
          <cell r="W158" t="str">
            <v>短</v>
          </cell>
          <cell r="X158" t="str">
            <v>-</v>
          </cell>
          <cell r="Y158">
            <v>1</v>
          </cell>
          <cell r="Z158">
            <v>1</v>
          </cell>
          <cell r="AA158">
            <v>0</v>
          </cell>
          <cell r="AB158">
            <v>0</v>
          </cell>
          <cell r="AC158" t="str">
            <v>Ⅲ</v>
          </cell>
        </row>
        <row r="159">
          <cell r="D159">
            <v>513</v>
          </cell>
          <cell r="E159" t="str">
            <v>MET-S_TMBZR-CSTD-0</v>
          </cell>
          <cell r="F159" t="str">
            <v>新</v>
          </cell>
          <cell r="G159" t="str">
            <v>リジェクト音：優先度1</v>
          </cell>
          <cell r="H159" t="str">
            <v>S_TMBZR-CSTD-0-BZR01-REQ015-</v>
          </cell>
          <cell r="I159" t="str">
            <v>○</v>
          </cell>
          <cell r="K159" t="str">
            <v>○</v>
          </cell>
          <cell r="O159" t="str">
            <v>2連発</v>
          </cell>
          <cell r="P159" t="str">
            <v>-</v>
          </cell>
          <cell r="Q159" t="str">
            <v>-</v>
          </cell>
          <cell r="R159" t="str">
            <v>MET-CBZ_BASE-REJECT-*-**-*</v>
          </cell>
          <cell r="S159" t="str">
            <v>MET-CBZ_BASE-REJECT-*-**-*</v>
          </cell>
          <cell r="T159" t="str">
            <v>-</v>
          </cell>
          <cell r="U159" t="str">
            <v>-</v>
          </cell>
          <cell r="V159" t="str">
            <v>定数仕様書に従うこと</v>
          </cell>
          <cell r="W159" t="str">
            <v>短</v>
          </cell>
          <cell r="X159" t="str">
            <v>-</v>
          </cell>
          <cell r="Y159">
            <v>1</v>
          </cell>
          <cell r="Z159">
            <v>1</v>
          </cell>
          <cell r="AA159">
            <v>0</v>
          </cell>
          <cell r="AB159">
            <v>0</v>
          </cell>
          <cell r="AC159" t="str">
            <v>Ⅲ</v>
          </cell>
        </row>
        <row r="160">
          <cell r="D160">
            <v>519</v>
          </cell>
          <cell r="E160" t="str">
            <v>MET-S_TMBZR-CSTD-0</v>
          </cell>
          <cell r="F160" t="str">
            <v>新</v>
          </cell>
          <cell r="G160" t="str">
            <v>連続音：優先度1</v>
          </cell>
          <cell r="H160" t="str">
            <v>S_TMBZR-CSTD-0-BZR01-REQ021-</v>
          </cell>
          <cell r="I160" t="str">
            <v>○</v>
          </cell>
          <cell r="K160" t="str">
            <v>○</v>
          </cell>
          <cell r="O160" t="str">
            <v>連続</v>
          </cell>
          <cell r="P160" t="str">
            <v>-</v>
          </cell>
          <cell r="Q160" t="str">
            <v>-</v>
          </cell>
          <cell r="R160" t="str">
            <v>MET-CBZ_BASE-CONTWARN-*-**-*</v>
          </cell>
          <cell r="S160" t="str">
            <v>MET-CBZ_BASE-CONTWARN-*-**-*</v>
          </cell>
          <cell r="T160" t="str">
            <v>-</v>
          </cell>
          <cell r="U160" t="str">
            <v>-</v>
          </cell>
          <cell r="V160" t="str">
            <v>定数仕様書に従うこと</v>
          </cell>
          <cell r="W160" t="str">
            <v>長</v>
          </cell>
          <cell r="X160" t="str">
            <v>-</v>
          </cell>
          <cell r="Y160">
            <v>1</v>
          </cell>
          <cell r="Z160">
            <v>1</v>
          </cell>
          <cell r="AA160">
            <v>0</v>
          </cell>
          <cell r="AB160">
            <v>0</v>
          </cell>
          <cell r="AC160" t="str">
            <v>Ⅲ</v>
          </cell>
        </row>
        <row r="161">
          <cell r="D161">
            <v>525</v>
          </cell>
          <cell r="E161" t="str">
            <v>MET-S_TMBZR-CSTD-0</v>
          </cell>
          <cell r="F161" t="str">
            <v>新</v>
          </cell>
          <cell r="G161" t="str">
            <v>緊迫(小)：優先度1</v>
          </cell>
          <cell r="H161" t="str">
            <v>S_TMBZR-CSTD-0-BZR01-REQ027-</v>
          </cell>
          <cell r="I161" t="str">
            <v>○</v>
          </cell>
          <cell r="K161" t="str">
            <v>○</v>
          </cell>
          <cell r="O161" t="str">
            <v>断続</v>
          </cell>
          <cell r="P161" t="str">
            <v>-</v>
          </cell>
          <cell r="Q161" t="str">
            <v>-</v>
          </cell>
          <cell r="R161" t="str">
            <v>MET-CBZ_BASE-INTWARNL-*-**-*</v>
          </cell>
          <cell r="S161" t="str">
            <v>MET-CBZ_BASE-INTWARNL-*-**-*</v>
          </cell>
          <cell r="T161" t="str">
            <v>-</v>
          </cell>
          <cell r="U161" t="str">
            <v>-</v>
          </cell>
          <cell r="V161" t="str">
            <v>定数仕様書に従うこと</v>
          </cell>
          <cell r="W161" t="str">
            <v>長</v>
          </cell>
          <cell r="X161" t="str">
            <v>-</v>
          </cell>
          <cell r="Y161">
            <v>1</v>
          </cell>
          <cell r="Z161">
            <v>1</v>
          </cell>
          <cell r="AA161">
            <v>0</v>
          </cell>
          <cell r="AB161">
            <v>0</v>
          </cell>
          <cell r="AC161" t="str">
            <v>Ⅲ</v>
          </cell>
        </row>
        <row r="162">
          <cell r="D162">
            <v>493</v>
          </cell>
          <cell r="E162" t="str">
            <v>MET-C_BRKBZ-CSTD-2-</v>
          </cell>
          <cell r="F162" t="str">
            <v>新</v>
          </cell>
          <cell r="G162" t="str">
            <v>ブレーキシステム アプリ駆動ブザー5</v>
          </cell>
          <cell r="H162" t="str">
            <v>C_BRKBZ-CSTD-2-BZR01-REQ05-</v>
          </cell>
          <cell r="I162" t="str">
            <v>○</v>
          </cell>
          <cell r="K162" t="str">
            <v>○</v>
          </cell>
          <cell r="O162" t="str">
            <v>単発</v>
          </cell>
          <cell r="P162" t="str">
            <v>-</v>
          </cell>
          <cell r="Q162" t="str">
            <v>-</v>
          </cell>
          <cell r="R162" t="str">
            <v>MET-CBZ_BASE-ACCEPT-*-**-*</v>
          </cell>
          <cell r="S162" t="str">
            <v>MET-CBZ_BASE-ACCEPT-*-**-*</v>
          </cell>
          <cell r="T162" t="str">
            <v>-</v>
          </cell>
          <cell r="U162" t="str">
            <v>-</v>
          </cell>
          <cell r="V162" t="str">
            <v>定数仕様書に従うこと</v>
          </cell>
          <cell r="W162" t="str">
            <v>短</v>
          </cell>
          <cell r="X162" t="str">
            <v>-</v>
          </cell>
          <cell r="Y162">
            <v>1</v>
          </cell>
          <cell r="Z162">
            <v>0</v>
          </cell>
          <cell r="AA162">
            <v>1</v>
          </cell>
          <cell r="AB162">
            <v>0</v>
          </cell>
          <cell r="AC162" t="str">
            <v>Ⅲ</v>
          </cell>
        </row>
        <row r="163">
          <cell r="D163">
            <v>438</v>
          </cell>
          <cell r="E163" t="str">
            <v>MET-S_ADBZR-CSTD-0-</v>
          </cell>
          <cell r="F163" t="str">
            <v>新</v>
          </cell>
          <cell r="G163" t="str">
            <v>RSA 制限速度変化の情報提供時</v>
          </cell>
          <cell r="H163" t="str">
            <v>S_ADBZR-CSTD-0-BZR01-REQ038-</v>
          </cell>
          <cell r="I163" t="str">
            <v>○</v>
          </cell>
          <cell r="K163" t="str">
            <v>○</v>
          </cell>
          <cell r="O163" t="str">
            <v>単発</v>
          </cell>
          <cell r="P163" t="str">
            <v>-</v>
          </cell>
          <cell r="Q163" t="str">
            <v>-</v>
          </cell>
          <cell r="R163" t="str">
            <v>MET-CBZ_BASE-NOTICE2-*-**-*</v>
          </cell>
          <cell r="S163" t="str">
            <v>MET-CBZ_BASE-NOTICE2-*-**-*</v>
          </cell>
          <cell r="T163" t="str">
            <v>-</v>
          </cell>
          <cell r="U163" t="str">
            <v>-</v>
          </cell>
          <cell r="V163" t="str">
            <v>定数仕様書に従うこと</v>
          </cell>
          <cell r="W163" t="str">
            <v>短</v>
          </cell>
          <cell r="X163" t="str">
            <v>-</v>
          </cell>
          <cell r="Y163">
            <v>0</v>
          </cell>
          <cell r="Z163">
            <v>0</v>
          </cell>
          <cell r="AA163">
            <v>0</v>
          </cell>
          <cell r="AB163">
            <v>0</v>
          </cell>
          <cell r="AC163" t="str">
            <v>Ⅱ</v>
          </cell>
        </row>
        <row r="164">
          <cell r="D164">
            <v>450</v>
          </cell>
          <cell r="E164" t="str">
            <v>MET-S_ADBZR-CSTD-0-</v>
          </cell>
          <cell r="F164" t="str">
            <v>新</v>
          </cell>
          <cell r="G164" t="str">
            <v>ACC 制御開始許可ブザー</v>
          </cell>
          <cell r="H164" t="str">
            <v>S_ADBZR-CSTD-0-BZR01-REQ050-</v>
          </cell>
          <cell r="I164" t="str">
            <v>○</v>
          </cell>
          <cell r="K164" t="str">
            <v>○</v>
          </cell>
          <cell r="O164" t="str">
            <v>単発</v>
          </cell>
          <cell r="P164" t="str">
            <v>-</v>
          </cell>
          <cell r="Q164" t="str">
            <v>-</v>
          </cell>
          <cell r="R164" t="str">
            <v>MET-CBZ_BASE-ACCEPT-*-**-*</v>
          </cell>
          <cell r="S164" t="str">
            <v>MET-CBZ_BASE-ACCEPT-*-**-*</v>
          </cell>
          <cell r="T164" t="str">
            <v>-</v>
          </cell>
          <cell r="U164" t="str">
            <v>-</v>
          </cell>
          <cell r="V164" t="str">
            <v>定数仕様書に従うこと</v>
          </cell>
          <cell r="W164" t="str">
            <v>短</v>
          </cell>
          <cell r="X164" t="str">
            <v>-</v>
          </cell>
          <cell r="Y164">
            <v>0</v>
          </cell>
          <cell r="Z164">
            <v>0</v>
          </cell>
          <cell r="AA164">
            <v>0</v>
          </cell>
          <cell r="AB164">
            <v>0</v>
          </cell>
          <cell r="AC164" t="str">
            <v>Ⅲ</v>
          </cell>
        </row>
        <row r="165">
          <cell r="D165">
            <v>382</v>
          </cell>
          <cell r="E165" t="str">
            <v>MET-B_FMSEAT-CSTD-A0-</v>
          </cell>
          <cell r="F165" t="str">
            <v>新</v>
          </cell>
          <cell r="G165" t="str">
            <v>FRメモリシート　メモリ記憶　成功ブザー</v>
          </cell>
          <cell r="H165" t="str">
            <v>B_FMSEAT-CSTD-A0-BZR01-REQ02-</v>
          </cell>
          <cell r="I165" t="str">
            <v>○</v>
          </cell>
          <cell r="K165" t="str">
            <v>○</v>
          </cell>
          <cell r="O165" t="str">
            <v>単発</v>
          </cell>
          <cell r="P165" t="str">
            <v>-</v>
          </cell>
          <cell r="Q165" t="str">
            <v>-</v>
          </cell>
          <cell r="R165" t="str">
            <v>MET-CBZ_BASE-ACCEPT-*-**-*</v>
          </cell>
          <cell r="S165" t="str">
            <v>MET-CBZ_BASE-ACCEPT-*-**-*</v>
          </cell>
          <cell r="T165" t="str">
            <v>-</v>
          </cell>
          <cell r="U165" t="str">
            <v>-</v>
          </cell>
          <cell r="V165" t="str">
            <v>定数仕様書に従うこと</v>
          </cell>
          <cell r="W165" t="str">
            <v>短</v>
          </cell>
          <cell r="X165" t="str">
            <v>-</v>
          </cell>
          <cell r="Y165">
            <v>0</v>
          </cell>
          <cell r="Z165">
            <v>0</v>
          </cell>
          <cell r="AA165">
            <v>0</v>
          </cell>
          <cell r="AB165">
            <v>0</v>
          </cell>
          <cell r="AC165" t="str">
            <v>Ⅲ</v>
          </cell>
        </row>
        <row r="166">
          <cell r="D166">
            <v>383</v>
          </cell>
          <cell r="E166" t="str">
            <v>MET-B_FMSEAT-CSTD-A0-</v>
          </cell>
          <cell r="F166" t="str">
            <v>新</v>
          </cell>
          <cell r="G166" t="str">
            <v>FRメモリシート　メモリ記憶　拒否ブザー</v>
          </cell>
          <cell r="H166" t="str">
            <v>B_FMSEAT-CSTD-A0-BZR01-REQ03-</v>
          </cell>
          <cell r="I166" t="str">
            <v>○</v>
          </cell>
          <cell r="K166" t="str">
            <v>○</v>
          </cell>
          <cell r="O166" t="str">
            <v>2連発</v>
          </cell>
          <cell r="P166" t="str">
            <v>-</v>
          </cell>
          <cell r="Q166" t="str">
            <v>-</v>
          </cell>
          <cell r="R166" t="str">
            <v>MET-CBZ_BASE-REJECT-*-**-*</v>
          </cell>
          <cell r="S166" t="str">
            <v>MET-CBZ_BASE-REJECT-*-**-*</v>
          </cell>
          <cell r="T166" t="str">
            <v>-</v>
          </cell>
          <cell r="U166" t="str">
            <v>-</v>
          </cell>
          <cell r="V166" t="str">
            <v>定数仕様書に従うこと</v>
          </cell>
          <cell r="W166" t="str">
            <v>短</v>
          </cell>
          <cell r="X166" t="str">
            <v>-</v>
          </cell>
          <cell r="Y166">
            <v>0</v>
          </cell>
          <cell r="Z166">
            <v>0</v>
          </cell>
          <cell r="AA166">
            <v>0</v>
          </cell>
          <cell r="AB166">
            <v>0</v>
          </cell>
          <cell r="AC166" t="str">
            <v>Ⅲ</v>
          </cell>
        </row>
        <row r="167">
          <cell r="D167">
            <v>384</v>
          </cell>
          <cell r="E167" t="str">
            <v>MET-B_FMSEAT-CSTD-A0-</v>
          </cell>
          <cell r="F167" t="str">
            <v>新</v>
          </cell>
          <cell r="G167" t="str">
            <v>FRメモリシート　位置情報消去ブザー</v>
          </cell>
          <cell r="H167" t="str">
            <v>B_FMSEAT-CSTD-A0-BZR01-REQ08-</v>
          </cell>
          <cell r="I167" t="str">
            <v>○</v>
          </cell>
          <cell r="K167" t="str">
            <v>○</v>
          </cell>
          <cell r="O167" t="str">
            <v>単発</v>
          </cell>
          <cell r="P167" t="str">
            <v>-</v>
          </cell>
          <cell r="Q167" t="str">
            <v>-</v>
          </cell>
          <cell r="R167" t="str">
            <v>MET-CBZ_BASE-ACCEPT-*-**-*</v>
          </cell>
          <cell r="S167" t="str">
            <v>MET-CBZ_BASE-ACCEPT-*-**-*</v>
          </cell>
          <cell r="T167" t="str">
            <v>-</v>
          </cell>
          <cell r="U167" t="str">
            <v>-</v>
          </cell>
          <cell r="V167" t="str">
            <v>定数仕様書に従うこと</v>
          </cell>
          <cell r="W167" t="str">
            <v>短</v>
          </cell>
          <cell r="X167" t="str">
            <v>-</v>
          </cell>
          <cell r="Y167">
            <v>0</v>
          </cell>
          <cell r="Z167">
            <v>0</v>
          </cell>
          <cell r="AA167">
            <v>0</v>
          </cell>
          <cell r="AB167">
            <v>0</v>
          </cell>
          <cell r="AC167" t="str">
            <v>Ⅲ</v>
          </cell>
        </row>
        <row r="168">
          <cell r="D168">
            <v>385</v>
          </cell>
          <cell r="E168" t="str">
            <v>MET-B_FMSEAT-CSTD-A0-</v>
          </cell>
          <cell r="F168" t="str">
            <v>新</v>
          </cell>
          <cell r="G168" t="str">
            <v>FRメモリシート　メモリコール再生　成功ブザー</v>
          </cell>
          <cell r="H168" t="str">
            <v>B_FMSEAT-CSTD-A0-BZR01-REQ09-</v>
          </cell>
          <cell r="I168" t="str">
            <v>○</v>
          </cell>
          <cell r="K168" t="str">
            <v>○</v>
          </cell>
          <cell r="O168" t="str">
            <v>単発</v>
          </cell>
          <cell r="P168" t="str">
            <v>-</v>
          </cell>
          <cell r="Q168" t="str">
            <v>-</v>
          </cell>
          <cell r="R168" t="str">
            <v>MET-CBZ_BASE-ACCEPT-*-**-*</v>
          </cell>
          <cell r="S168" t="str">
            <v>MET-CBZ_BASE-ACCEPT-*-**-*</v>
          </cell>
          <cell r="T168" t="str">
            <v>-</v>
          </cell>
          <cell r="U168" t="str">
            <v>-</v>
          </cell>
          <cell r="V168" t="str">
            <v>定数仕様書に従うこと</v>
          </cell>
          <cell r="W168" t="str">
            <v>短</v>
          </cell>
          <cell r="X168" t="str">
            <v>-</v>
          </cell>
          <cell r="Y168">
            <v>0</v>
          </cell>
          <cell r="Z168">
            <v>0</v>
          </cell>
          <cell r="AA168">
            <v>0</v>
          </cell>
          <cell r="AB168">
            <v>0</v>
          </cell>
          <cell r="AC168" t="str">
            <v>Ⅲ</v>
          </cell>
        </row>
        <row r="169">
          <cell r="D169">
            <v>479</v>
          </cell>
          <cell r="E169" t="str">
            <v>MET-B_ESWUOC-CSTD-0-</v>
          </cell>
          <cell r="F169" t="str">
            <v>新</v>
          </cell>
          <cell r="G169" t="str">
            <v>Eラッチ操作リジェクトブザー</v>
          </cell>
          <cell r="H169" t="str">
            <v>B_ESWUOC-CSTD-0-BZR01-REQ08-</v>
          </cell>
          <cell r="I169" t="str">
            <v>○</v>
          </cell>
          <cell r="K169" t="str">
            <v>○</v>
          </cell>
          <cell r="O169" t="str">
            <v>2連発</v>
          </cell>
          <cell r="P169" t="str">
            <v>-</v>
          </cell>
          <cell r="Q169" t="str">
            <v>-</v>
          </cell>
          <cell r="R169" t="str">
            <v>MET-CBZ_BASE-REJECT-*-**-*</v>
          </cell>
          <cell r="S169" t="str">
            <v>MET-CBZ_BASE-REJECT-*-**-*</v>
          </cell>
          <cell r="T169" t="str">
            <v>-</v>
          </cell>
          <cell r="U169" t="str">
            <v>-</v>
          </cell>
          <cell r="V169" t="str">
            <v>定数仕様書に従うこと</v>
          </cell>
          <cell r="W169" t="str">
            <v>短</v>
          </cell>
          <cell r="X169" t="str">
            <v>-</v>
          </cell>
          <cell r="Y169">
            <v>0</v>
          </cell>
          <cell r="Z169">
            <v>0</v>
          </cell>
          <cell r="AA169">
            <v>0</v>
          </cell>
          <cell r="AB169">
            <v>0</v>
          </cell>
          <cell r="AC169" t="str">
            <v>Ⅲ</v>
          </cell>
        </row>
        <row r="170">
          <cell r="D170">
            <v>386</v>
          </cell>
          <cell r="E170" t="str">
            <v>MET-B_SMASTA-CSTD-2</v>
          </cell>
          <cell r="F170" t="str">
            <v>新</v>
          </cell>
          <cell r="G170" t="str">
            <v>スマートブザー（単発2）</v>
          </cell>
          <cell r="H170" t="str">
            <v>B_SMASTA-CSTD-2-BZR01-REQ06-</v>
          </cell>
          <cell r="I170" t="str">
            <v>○</v>
          </cell>
          <cell r="K170" t="str">
            <v>○</v>
          </cell>
          <cell r="O170" t="str">
            <v>単発</v>
          </cell>
          <cell r="P170" t="str">
            <v>-</v>
          </cell>
          <cell r="Q170" t="str">
            <v>-</v>
          </cell>
          <cell r="R170" t="str">
            <v>MET-CBZ_BASE-ACCEPT-*-**-*</v>
          </cell>
          <cell r="S170" t="str">
            <v>MET-CBZ_BASE-ACCEPT-*-**-*</v>
          </cell>
          <cell r="T170" t="str">
            <v>-</v>
          </cell>
          <cell r="U170" t="str">
            <v>-</v>
          </cell>
          <cell r="V170" t="str">
            <v>定数仕様書に従うこと</v>
          </cell>
          <cell r="W170" t="str">
            <v>短</v>
          </cell>
          <cell r="X170" t="str">
            <v>-</v>
          </cell>
          <cell r="Y170">
            <v>0</v>
          </cell>
          <cell r="Z170">
            <v>0</v>
          </cell>
          <cell r="AA170">
            <v>0</v>
          </cell>
          <cell r="AB170">
            <v>0</v>
          </cell>
          <cell r="AC170" t="str">
            <v>Ⅲ</v>
          </cell>
        </row>
        <row r="171">
          <cell r="D171">
            <v>484</v>
          </cell>
          <cell r="E171" t="str">
            <v>MET-B_TURHAZ-CSTD-1-</v>
          </cell>
          <cell r="F171" t="str">
            <v>新</v>
          </cell>
          <cell r="G171" t="str">
            <v>フラッシャー作動音(点灯開始作動音)</v>
          </cell>
          <cell r="H171" t="str">
            <v>B_TURHAZ-CSTD-1-BZR01-REQ02-</v>
          </cell>
          <cell r="J171" t="str">
            <v>○</v>
          </cell>
          <cell r="L171" t="str">
            <v>○</v>
          </cell>
          <cell r="O171" t="str">
            <v>単発</v>
          </cell>
          <cell r="P171" t="str">
            <v>-</v>
          </cell>
          <cell r="Q171" t="str">
            <v>-</v>
          </cell>
          <cell r="R171" t="str">
            <v>MET-TBZ_MMTURHAZ-FLA1-**-**-*</v>
          </cell>
          <cell r="S171" t="str">
            <v>MET-LBZ_MMTURHAZ-FLA1-**-**-*</v>
          </cell>
          <cell r="T171" t="str">
            <v>-</v>
          </cell>
          <cell r="U171" t="str">
            <v>-</v>
          </cell>
          <cell r="V171" t="str">
            <v>定数仕様書に従うこと</v>
          </cell>
          <cell r="W171" t="str">
            <v>短</v>
          </cell>
          <cell r="X171" t="str">
            <v>-</v>
          </cell>
          <cell r="Y171">
            <v>0</v>
          </cell>
          <cell r="Z171">
            <v>0</v>
          </cell>
          <cell r="AA171">
            <v>0</v>
          </cell>
          <cell r="AB171">
            <v>0</v>
          </cell>
          <cell r="AC171" t="str">
            <v>Ⅲ</v>
          </cell>
        </row>
        <row r="172">
          <cell r="D172">
            <v>485</v>
          </cell>
          <cell r="E172" t="str">
            <v>MET-B_TURHAZ-CSTD-1-</v>
          </cell>
          <cell r="F172" t="str">
            <v>新</v>
          </cell>
          <cell r="G172" t="str">
            <v>フラッシャー作動音(点灯終了作動音)</v>
          </cell>
          <cell r="H172" t="str">
            <v>B_TURHAZ-CSTD-1-BZR01-REQ03-</v>
          </cell>
          <cell r="J172" t="str">
            <v>○</v>
          </cell>
          <cell r="L172" t="str">
            <v>○</v>
          </cell>
          <cell r="O172" t="str">
            <v>単発</v>
          </cell>
          <cell r="P172" t="str">
            <v>-</v>
          </cell>
          <cell r="Q172" t="str">
            <v>-</v>
          </cell>
          <cell r="R172" t="str">
            <v>MET-TBZ_MMTURHAZ-FLA2-**-**-*</v>
          </cell>
          <cell r="S172" t="str">
            <v>MET-LBZ_MMTURHAZ-FLA2-**-**-*</v>
          </cell>
          <cell r="T172" t="str">
            <v>-</v>
          </cell>
          <cell r="U172" t="str">
            <v>-</v>
          </cell>
          <cell r="V172" t="str">
            <v>定数仕様書に従うこと</v>
          </cell>
          <cell r="W172" t="str">
            <v>短</v>
          </cell>
          <cell r="X172" t="str">
            <v>-</v>
          </cell>
          <cell r="Y172">
            <v>0</v>
          </cell>
          <cell r="Z172">
            <v>0</v>
          </cell>
          <cell r="AA172">
            <v>0</v>
          </cell>
          <cell r="AB172">
            <v>0</v>
          </cell>
          <cell r="AC172" t="str">
            <v>Ⅲ</v>
          </cell>
        </row>
        <row r="173">
          <cell r="D173">
            <v>500</v>
          </cell>
          <cell r="E173" t="str">
            <v>MET-S_TMBZR-CSTD-0</v>
          </cell>
          <cell r="F173" t="str">
            <v>新</v>
          </cell>
          <cell r="G173" t="str">
            <v>報知音：優先度0</v>
          </cell>
          <cell r="H173" t="str">
            <v>S_TMBZR-CSTD-0-BZR01-REQ02-</v>
          </cell>
          <cell r="I173" t="str">
            <v>○</v>
          </cell>
          <cell r="K173" t="str">
            <v>○</v>
          </cell>
          <cell r="O173" t="str">
            <v>単発</v>
          </cell>
          <cell r="P173" t="str">
            <v>-</v>
          </cell>
          <cell r="Q173" t="str">
            <v>-</v>
          </cell>
          <cell r="R173" t="str">
            <v>MET-CBZ_BASE-NOTICE1-*-**-*</v>
          </cell>
          <cell r="S173" t="str">
            <v>MET-CBZ_BASE-NOTICE1-*-**-*</v>
          </cell>
          <cell r="T173" t="str">
            <v>-</v>
          </cell>
          <cell r="U173" t="str">
            <v>-</v>
          </cell>
          <cell r="V173" t="str">
            <v>定数仕様書に従うこと</v>
          </cell>
          <cell r="W173" t="str">
            <v>短</v>
          </cell>
          <cell r="X173" t="str">
            <v>-</v>
          </cell>
          <cell r="Y173">
            <v>0</v>
          </cell>
          <cell r="Z173">
            <v>0</v>
          </cell>
          <cell r="AA173">
            <v>0</v>
          </cell>
          <cell r="AB173">
            <v>0</v>
          </cell>
          <cell r="AC173" t="str">
            <v>Ⅲ</v>
          </cell>
        </row>
        <row r="174">
          <cell r="D174">
            <v>506</v>
          </cell>
          <cell r="E174" t="str">
            <v>MET-S_TMBZR-CSTD-0</v>
          </cell>
          <cell r="F174" t="str">
            <v>新</v>
          </cell>
          <cell r="G174" t="str">
            <v>受付音：優先度0</v>
          </cell>
          <cell r="H174" t="str">
            <v>S_TMBZR-CSTD-0-BZR01-REQ08-</v>
          </cell>
          <cell r="I174" t="str">
            <v>○</v>
          </cell>
          <cell r="K174" t="str">
            <v>○</v>
          </cell>
          <cell r="O174" t="str">
            <v>単発</v>
          </cell>
          <cell r="P174" t="str">
            <v>-</v>
          </cell>
          <cell r="Q174" t="str">
            <v>-</v>
          </cell>
          <cell r="R174" t="str">
            <v>MET-CBZ_BASE-ACCEPT-*-**-*</v>
          </cell>
          <cell r="S174" t="str">
            <v>MET-CBZ_BASE-ACCEPT-*-**-*</v>
          </cell>
          <cell r="T174" t="str">
            <v>-</v>
          </cell>
          <cell r="U174" t="str">
            <v>-</v>
          </cell>
          <cell r="V174" t="str">
            <v>定数仕様書に従うこと</v>
          </cell>
          <cell r="W174" t="str">
            <v>短</v>
          </cell>
          <cell r="X174" t="str">
            <v>-</v>
          </cell>
          <cell r="Y174">
            <v>0</v>
          </cell>
          <cell r="Z174">
            <v>0</v>
          </cell>
          <cell r="AA174">
            <v>0</v>
          </cell>
          <cell r="AB174">
            <v>0</v>
          </cell>
          <cell r="AC174" t="str">
            <v>Ⅲ</v>
          </cell>
        </row>
        <row r="175">
          <cell r="D175">
            <v>512</v>
          </cell>
          <cell r="E175" t="str">
            <v>MET-S_TMBZR-CSTD-0</v>
          </cell>
          <cell r="F175" t="str">
            <v>新</v>
          </cell>
          <cell r="G175" t="str">
            <v>リジェクト音：優先度0</v>
          </cell>
          <cell r="H175" t="str">
            <v>S_TMBZR-CSTD-0-BZR01-REQ014-</v>
          </cell>
          <cell r="I175" t="str">
            <v>○</v>
          </cell>
          <cell r="K175" t="str">
            <v>○</v>
          </cell>
          <cell r="O175" t="str">
            <v>2連発</v>
          </cell>
          <cell r="P175" t="str">
            <v>-</v>
          </cell>
          <cell r="Q175" t="str">
            <v>-</v>
          </cell>
          <cell r="R175" t="str">
            <v>MET-CBZ_BASE-REJECT-*-**-*</v>
          </cell>
          <cell r="S175" t="str">
            <v>MET-CBZ_BASE-REJECT-*-**-*</v>
          </cell>
          <cell r="T175" t="str">
            <v>-</v>
          </cell>
          <cell r="U175" t="str">
            <v>-</v>
          </cell>
          <cell r="V175" t="str">
            <v>定数仕様書に従うこと</v>
          </cell>
          <cell r="W175" t="str">
            <v>短</v>
          </cell>
          <cell r="X175" t="str">
            <v>-</v>
          </cell>
          <cell r="Y175">
            <v>0</v>
          </cell>
          <cell r="Z175">
            <v>0</v>
          </cell>
          <cell r="AA175">
            <v>0</v>
          </cell>
          <cell r="AB175">
            <v>0</v>
          </cell>
          <cell r="AC175" t="str">
            <v>Ⅲ</v>
          </cell>
        </row>
        <row r="176">
          <cell r="D176">
            <v>518</v>
          </cell>
          <cell r="E176" t="str">
            <v>MET-S_TMBZR-CSTD-0</v>
          </cell>
          <cell r="F176" t="str">
            <v>新</v>
          </cell>
          <cell r="G176" t="str">
            <v>連続音：優先度0</v>
          </cell>
          <cell r="H176" t="str">
            <v>S_TMBZR-CSTD-0-BZR01-REQ020-</v>
          </cell>
          <cell r="I176" t="str">
            <v>○</v>
          </cell>
          <cell r="K176" t="str">
            <v>○</v>
          </cell>
          <cell r="O176" t="str">
            <v>連続</v>
          </cell>
          <cell r="P176" t="str">
            <v>-</v>
          </cell>
          <cell r="Q176" t="str">
            <v>-</v>
          </cell>
          <cell r="R176" t="str">
            <v>MET-CBZ_BASE-CONTWARN-*-**-*</v>
          </cell>
          <cell r="S176" t="str">
            <v>MET-CBZ_BASE-CONTWARN-*-**-*</v>
          </cell>
          <cell r="T176" t="str">
            <v>-</v>
          </cell>
          <cell r="U176" t="str">
            <v>-</v>
          </cell>
          <cell r="V176" t="str">
            <v>定数仕様書に従うこと</v>
          </cell>
          <cell r="W176" t="str">
            <v>長</v>
          </cell>
          <cell r="X176" t="str">
            <v>-</v>
          </cell>
          <cell r="Y176">
            <v>0</v>
          </cell>
          <cell r="Z176">
            <v>0</v>
          </cell>
          <cell r="AA176">
            <v>0</v>
          </cell>
          <cell r="AB176">
            <v>0</v>
          </cell>
          <cell r="AC176" t="str">
            <v>Ⅲ</v>
          </cell>
        </row>
        <row r="177">
          <cell r="D177">
            <v>524</v>
          </cell>
          <cell r="E177" t="str">
            <v>MET-S_TMBZR-CSTD-0</v>
          </cell>
          <cell r="F177" t="str">
            <v>新</v>
          </cell>
          <cell r="G177" t="str">
            <v>緊迫(小)：優先度0</v>
          </cell>
          <cell r="H177" t="str">
            <v>S_TMBZR-CSTD-0-BZR01-REQ026-</v>
          </cell>
          <cell r="I177" t="str">
            <v>○</v>
          </cell>
          <cell r="K177" t="str">
            <v>○</v>
          </cell>
          <cell r="O177" t="str">
            <v>断続</v>
          </cell>
          <cell r="P177" t="str">
            <v>-</v>
          </cell>
          <cell r="Q177" t="str">
            <v>-</v>
          </cell>
          <cell r="R177" t="str">
            <v>MET-CBZ_BASE-INTWARNL-*-**-*</v>
          </cell>
          <cell r="S177" t="str">
            <v>MET-CBZ_BASE-INTWARNL-*-**-*</v>
          </cell>
          <cell r="T177" t="str">
            <v>-</v>
          </cell>
          <cell r="U177" t="str">
            <v>-</v>
          </cell>
          <cell r="V177" t="str">
            <v>定数仕様書に従うこと</v>
          </cell>
          <cell r="W177" t="str">
            <v>長</v>
          </cell>
          <cell r="X177" t="str">
            <v>-</v>
          </cell>
          <cell r="Y177">
            <v>0</v>
          </cell>
          <cell r="Z177">
            <v>0</v>
          </cell>
          <cell r="AA177">
            <v>0</v>
          </cell>
          <cell r="AB177">
            <v>0</v>
          </cell>
          <cell r="AC177" t="str">
            <v>Ⅲ</v>
          </cell>
        </row>
      </sheetData>
      <sheetData sheetId="5">
        <row r="2">
          <cell r="I2" t="str">
            <v>19PFv3_Slot</v>
          </cell>
        </row>
        <row r="3">
          <cell r="D3" t="str">
            <v>ALERT_REQ_B_BDOOR_CYCLE</v>
          </cell>
          <cell r="I3" t="str">
            <v>ABCDE</v>
          </cell>
        </row>
        <row r="4">
          <cell r="D4" t="str">
            <v>ALERT_REQ_B_BLGT_ON</v>
          </cell>
          <cell r="I4" t="str">
            <v>A</v>
          </cell>
        </row>
        <row r="5">
          <cell r="D5" t="str">
            <v>ALERT_REQ_B_PERSET_SINGLE</v>
          </cell>
          <cell r="I5" t="str">
            <v>A</v>
          </cell>
        </row>
        <row r="6">
          <cell r="D6" t="str">
            <v>ALERT_REQ_B_PERSET_DOUBLE</v>
          </cell>
          <cell r="I6" t="str">
            <v>A</v>
          </cell>
        </row>
        <row r="7">
          <cell r="D7" t="str">
            <v>ALERT_REQ_B_PERSET_ON</v>
          </cell>
          <cell r="I7" t="str">
            <v>A</v>
          </cell>
        </row>
        <row r="8">
          <cell r="D8" t="str">
            <v>ALERT_REQ_C_BRKBZ_UNAVAILABLE1</v>
          </cell>
          <cell r="I8" t="str">
            <v>ABCDE</v>
          </cell>
        </row>
        <row r="9">
          <cell r="D9" t="str">
            <v>ALERT_REQ_C_BRKBZ_APPOPE4</v>
          </cell>
          <cell r="I9" t="str">
            <v>ABCDE</v>
          </cell>
        </row>
        <row r="10">
          <cell r="D10" t="str">
            <v>ALERT_REQ_C_BRKBZ_APPOPE5</v>
          </cell>
          <cell r="I10" t="str">
            <v>ABCDE</v>
          </cell>
        </row>
        <row r="11">
          <cell r="D11" t="str">
            <v>ALERT_REQ_C_BRKBZ_APPOPE6</v>
          </cell>
          <cell r="I11" t="str">
            <v>ABCDE</v>
          </cell>
        </row>
        <row r="12">
          <cell r="D12" t="str">
            <v>ALERT_REQ_C_BRKBZ_APPOPE1</v>
          </cell>
          <cell r="I12" t="str">
            <v>ABCDE</v>
          </cell>
        </row>
        <row r="13">
          <cell r="D13" t="str">
            <v>ALERT_REQ_C_BRKBZ_APPOPE2</v>
          </cell>
          <cell r="I13" t="str">
            <v>ABCDE</v>
          </cell>
        </row>
        <row r="14">
          <cell r="D14" t="str">
            <v>ALERT_REQ_C_BRKBZ_FAILURE</v>
          </cell>
          <cell r="I14" t="str">
            <v>ABCDE</v>
          </cell>
        </row>
        <row r="15">
          <cell r="D15" t="str">
            <v>ALERT_REQ_C_BRKBZ_UNAVAILABLE2</v>
          </cell>
          <cell r="I15" t="str">
            <v>ABCDE</v>
          </cell>
        </row>
        <row r="16">
          <cell r="D16" t="str">
            <v>ALERT_REQ_C_BRKBZ_APPOPE3</v>
          </cell>
          <cell r="I16" t="str">
            <v>ABCDE</v>
          </cell>
        </row>
        <row r="17">
          <cell r="D17" t="str">
            <v>ALERT_REQ_C_BRKHLD_WRN_WRN1</v>
          </cell>
          <cell r="I17" t="str">
            <v>B</v>
          </cell>
        </row>
        <row r="18">
          <cell r="D18" t="str">
            <v>ALERT_REQ_C_BRKHLD_WRN_ACT</v>
          </cell>
          <cell r="I18" t="str">
            <v>B</v>
          </cell>
        </row>
        <row r="19">
          <cell r="D19" t="str">
            <v>ALERT_REQ_C_BRKHLD_WRN_UNAVBL1</v>
          </cell>
          <cell r="I19" t="str">
            <v>B</v>
          </cell>
        </row>
        <row r="20">
          <cell r="D20" t="str">
            <v>ALERT_REQ_C_BRKHLD_WRN_UNAVBL2</v>
          </cell>
          <cell r="I20" t="str">
            <v>B</v>
          </cell>
        </row>
        <row r="21">
          <cell r="D21" t="str">
            <v>ALERT_REQ_C_BRKHLD_WRN_UNAVBL3</v>
          </cell>
          <cell r="I21" t="str">
            <v>B</v>
          </cell>
        </row>
        <row r="22">
          <cell r="D22" t="str">
            <v>ALERT_REQ_C_BRKHLD_WRN_MAINT1</v>
          </cell>
          <cell r="I22" t="str">
            <v>B</v>
          </cell>
        </row>
        <row r="23">
          <cell r="D23" t="str">
            <v>ALERT_REQ_C_BRKHLD_WRN_MAINT2</v>
          </cell>
          <cell r="I23" t="str">
            <v>B</v>
          </cell>
        </row>
        <row r="24">
          <cell r="D24" t="str">
            <v>ALERT_REQ_C_BRKHLD_WRN_UNAVBL4</v>
          </cell>
          <cell r="I24" t="str">
            <v>B</v>
          </cell>
        </row>
        <row r="25">
          <cell r="D25" t="str">
            <v>ALERT_REQ_C_BRLV_2_BC_MALFUNC</v>
          </cell>
          <cell r="I25" t="str">
            <v>ABCDE</v>
          </cell>
        </row>
        <row r="26">
          <cell r="D26" t="str">
            <v>ALERT_REQ_C_EPB_WRN_IG_LOCK</v>
          </cell>
          <cell r="I26" t="str">
            <v>B</v>
          </cell>
        </row>
        <row r="27">
          <cell r="D27" t="str">
            <v>ALERT_REQ_C_EPB_WRN_IG_EPBDEF1</v>
          </cell>
          <cell r="I27" t="str">
            <v>B</v>
          </cell>
        </row>
        <row r="28">
          <cell r="D28" t="str">
            <v>ALERT_REQ_C_EPB_WRN_IG_EPBDEFRW1</v>
          </cell>
          <cell r="I28" t="str">
            <v>B</v>
          </cell>
        </row>
        <row r="29">
          <cell r="D29" t="str">
            <v>ALERT_REQ_C_EPS_BC_SINGLE</v>
          </cell>
          <cell r="I29" t="str">
            <v>C</v>
          </cell>
        </row>
        <row r="30">
          <cell r="D30" t="str">
            <v>ALERT_REQ_C_EPS_BC_CYCL</v>
          </cell>
          <cell r="I30" t="str">
            <v>C</v>
          </cell>
        </row>
        <row r="31">
          <cell r="D31" t="str">
            <v>ALERT_REQ_H_ACCHOL_MALFUNC</v>
          </cell>
          <cell r="I31" t="str">
            <v>C</v>
          </cell>
        </row>
        <row r="32">
          <cell r="D32" t="str">
            <v>ALERT_REQ_H_ACCHOL_HVSYSOVHT</v>
          </cell>
          <cell r="I32" t="str">
            <v>C</v>
          </cell>
        </row>
        <row r="33">
          <cell r="D33" t="str">
            <v>ALERT_REQ_H_ACCHOL_EVSYSOVHT</v>
          </cell>
          <cell r="I33" t="str">
            <v>C</v>
          </cell>
        </row>
        <row r="34">
          <cell r="D34" t="str">
            <v>ALERT_REQ_H_ACCHOL_FCVSYSOVHT</v>
          </cell>
          <cell r="I34" t="str">
            <v>C</v>
          </cell>
        </row>
        <row r="35">
          <cell r="D35" t="str">
            <v>ALERT_REQ_H_BATCOO_BC_MALFUNC</v>
          </cell>
          <cell r="I35" t="str">
            <v>C</v>
          </cell>
        </row>
        <row r="36">
          <cell r="D36" t="str">
            <v>ALERT_REQ_H_EVMOD_BC_UNVE_WMUP_V</v>
          </cell>
          <cell r="I36" t="str">
            <v>C</v>
          </cell>
        </row>
        <row r="37">
          <cell r="D37" t="str">
            <v>ALERT_REQ_H_EVMOD_BC_UNVE_LWBT_V</v>
          </cell>
          <cell r="I37" t="str">
            <v>C</v>
          </cell>
        </row>
        <row r="38">
          <cell r="D38" t="str">
            <v>ALERT_REQ_H_EVMOD_BC_UNVE_SPD_V</v>
          </cell>
          <cell r="I38" t="str">
            <v>C</v>
          </cell>
        </row>
        <row r="39">
          <cell r="D39" t="str">
            <v>ALERT_REQ_H_EVMOD_BC_UNVE_ACCL_V</v>
          </cell>
          <cell r="I39" t="str">
            <v>C</v>
          </cell>
        </row>
        <row r="40">
          <cell r="D40" t="str">
            <v>ALERT_REQ_H_EVMOD_BC_UNAVE_V</v>
          </cell>
          <cell r="I40" t="str">
            <v>C</v>
          </cell>
        </row>
        <row r="41">
          <cell r="D41" t="str">
            <v>ALERT_REQ_H_EVMOD_BC_DTCT_LWBT_V</v>
          </cell>
          <cell r="I41" t="str">
            <v>C</v>
          </cell>
        </row>
        <row r="42">
          <cell r="D42" t="str">
            <v>ALERT_REQ_H_EVMOD_BC_DTCT_SPD_V</v>
          </cell>
          <cell r="I42" t="str">
            <v>C</v>
          </cell>
        </row>
        <row r="43">
          <cell r="D43" t="str">
            <v>ALERT_REQ_H_EVMOD_BC_DTCT_ACCL_V</v>
          </cell>
          <cell r="I43" t="str">
            <v>C</v>
          </cell>
        </row>
        <row r="44">
          <cell r="D44" t="str">
            <v>ALERT_REQ_H_EVMOD_BC_DETCT_V</v>
          </cell>
          <cell r="I44" t="str">
            <v>C</v>
          </cell>
        </row>
        <row r="45">
          <cell r="D45" t="str">
            <v>ALERT_REQ_H_ONACCN_MALFUNC</v>
          </cell>
          <cell r="I45" t="str">
            <v>C</v>
          </cell>
        </row>
        <row r="46">
          <cell r="D46" t="str">
            <v>ALERT_REQ_H_PEXI_WARN_MALFUNC</v>
          </cell>
          <cell r="I46" t="str">
            <v>ABCDE</v>
          </cell>
        </row>
        <row r="47">
          <cell r="D47" t="str">
            <v>ALERT_REQ_H_REASYS_BC_SINGLE</v>
          </cell>
          <cell r="I47" t="str">
            <v>C</v>
          </cell>
        </row>
        <row r="48">
          <cell r="D48" t="str">
            <v>ALERT_REQ_H_SOCLOW_BC_N_POS</v>
          </cell>
          <cell r="I48" t="str">
            <v>C</v>
          </cell>
        </row>
        <row r="49">
          <cell r="D49" t="str">
            <v>ALERT_REQ_H_SOCLOW_BC_HV_OFF</v>
          </cell>
          <cell r="I49" t="str">
            <v>C</v>
          </cell>
        </row>
        <row r="50">
          <cell r="D50" t="str">
            <v>ALERT_REQ_H_SYSMAL_BC_SINGLE</v>
          </cell>
          <cell r="I50" t="str">
            <v>C</v>
          </cell>
        </row>
        <row r="51">
          <cell r="D51" t="str">
            <v>ALERT_REQ_H_SYSMAL_BC_ON</v>
          </cell>
          <cell r="I51" t="str">
            <v>C</v>
          </cell>
        </row>
        <row r="52">
          <cell r="D52" t="str">
            <v>ALERT_REQ_H_SYSMAL_BC_CYCL1</v>
          </cell>
          <cell r="I52" t="str">
            <v>C</v>
          </cell>
        </row>
        <row r="53">
          <cell r="D53" t="str">
            <v>ALERT_REQ_H_SYSMAL_BC_CYCL2</v>
          </cell>
          <cell r="I53" t="str">
            <v>C</v>
          </cell>
        </row>
        <row r="54">
          <cell r="D54" t="str">
            <v>ALERT_REQ_H_SYSMAL_BC_CYCL3</v>
          </cell>
          <cell r="I54" t="str">
            <v>C</v>
          </cell>
        </row>
        <row r="55">
          <cell r="D55" t="str">
            <v>ALERT_REQ_H_SYSMAL_BC_CYCL4</v>
          </cell>
          <cell r="I55" t="str">
            <v>C</v>
          </cell>
        </row>
        <row r="56">
          <cell r="D56" t="str">
            <v>ALERT_REQ_H_TOWWAR_MLFNC_HV</v>
          </cell>
          <cell r="I56" t="str">
            <v>C</v>
          </cell>
        </row>
        <row r="57">
          <cell r="D57" t="str">
            <v>ALERT_REQ_H_TOWWAR_MLFNC_EV</v>
          </cell>
          <cell r="I57" t="str">
            <v>C</v>
          </cell>
        </row>
        <row r="58">
          <cell r="D58" t="str">
            <v>ALERT_REQ_H_TOWWAR_MLFNC_FCV</v>
          </cell>
          <cell r="I58" t="str">
            <v>C</v>
          </cell>
        </row>
        <row r="59">
          <cell r="D59" t="str">
            <v>ALERT_REQ_H_TOWWAR_MLFNC_HV2</v>
          </cell>
          <cell r="I59" t="str">
            <v>C</v>
          </cell>
        </row>
        <row r="60">
          <cell r="D60" t="str">
            <v>ALERT_REQ_H_TOWWAR_MLFNC</v>
          </cell>
          <cell r="I60" t="str">
            <v>C</v>
          </cell>
        </row>
        <row r="61">
          <cell r="D61" t="str">
            <v>ALERT_REQ_H_UNIOVE_TT_BC_MALFUNC</v>
          </cell>
          <cell r="I61" t="str">
            <v>ABCDE</v>
          </cell>
        </row>
        <row r="62">
          <cell r="D62" t="str">
            <v>ALERT_REQ_M_BGLFSPD_ON</v>
          </cell>
          <cell r="I62" t="str">
            <v>D</v>
          </cell>
        </row>
        <row r="63">
          <cell r="D63" t="str">
            <v>ALERT_REQ_O_CHAMAL_CYCL</v>
          </cell>
          <cell r="I63" t="str">
            <v>D</v>
          </cell>
        </row>
        <row r="64">
          <cell r="D64" t="str">
            <v>ALERT_REQ_O_CHAMAL_MALFUNC_BZ</v>
          </cell>
          <cell r="I64" t="str">
            <v>D</v>
          </cell>
        </row>
        <row r="65">
          <cell r="D65" t="str">
            <v>ALERT_REQ_O_CHAMAL_PRMRYCHK_BZ</v>
          </cell>
          <cell r="I65" t="str">
            <v>D</v>
          </cell>
        </row>
        <row r="66">
          <cell r="D66" t="str">
            <v>ALERT_REQ_O_CHAMAL_INSPECTION_BZ</v>
          </cell>
          <cell r="I66" t="str">
            <v>D</v>
          </cell>
        </row>
        <row r="67">
          <cell r="D67" t="str">
            <v>ALERT_REQ_O_EIGCON_ENG_ON</v>
          </cell>
          <cell r="I67" t="str">
            <v>ABCDE</v>
          </cell>
        </row>
        <row r="68">
          <cell r="D68" t="str">
            <v>ALERT_REQ_O_EIGCON_ENG_CYCLE</v>
          </cell>
          <cell r="I68" t="str">
            <v>ABCDE</v>
          </cell>
        </row>
        <row r="69">
          <cell r="D69" t="str">
            <v>ALERT_REQ_P_CHEENG_BC_SINGLE</v>
          </cell>
          <cell r="I69" t="str">
            <v>ABCDE</v>
          </cell>
        </row>
        <row r="70">
          <cell r="D70" t="str">
            <v>ALERT_REQ_P_COOTEM_TT_PD_WRN</v>
          </cell>
          <cell r="I70" t="str">
            <v>D</v>
          </cell>
        </row>
        <row r="71">
          <cell r="D71" t="str">
            <v>ALERT_REQ_P_GPF_BC_SINGLE</v>
          </cell>
          <cell r="I71" t="str">
            <v>D</v>
          </cell>
        </row>
        <row r="72">
          <cell r="D72" t="str">
            <v>ALERT_REQ_P_OILPRE_BC_ON</v>
          </cell>
          <cell r="I72" t="str">
            <v>ABCDE</v>
          </cell>
        </row>
        <row r="73">
          <cell r="D73" t="str">
            <v>ALERT_REQ_P_ROLAWA_BC_VEHRUN</v>
          </cell>
          <cell r="I73" t="str">
            <v>ABCDE</v>
          </cell>
        </row>
        <row r="74">
          <cell r="D74" t="str">
            <v>ALERT_REQ_P_ROLAWA_BC_VEHSTP</v>
          </cell>
          <cell r="I74" t="str">
            <v>ABCDE</v>
          </cell>
        </row>
        <row r="75">
          <cell r="D75" t="str">
            <v>ALERT_REQ_S_ACC_BC_WARN</v>
          </cell>
          <cell r="I75" t="str">
            <v>E</v>
          </cell>
        </row>
        <row r="76">
          <cell r="D76" t="str">
            <v>ALERT_REQ_S_ACC_BC_CANCEL</v>
          </cell>
          <cell r="I76" t="str">
            <v>E</v>
          </cell>
        </row>
        <row r="77">
          <cell r="D77" t="str">
            <v>ALERT_REQ_S_ACC_BC_REQ_BRK</v>
          </cell>
          <cell r="I77" t="str">
            <v>E</v>
          </cell>
        </row>
        <row r="78">
          <cell r="D78" t="str">
            <v>ALERT_REQ_S_ACC_BC_OVER_SPD</v>
          </cell>
          <cell r="I78" t="str">
            <v>E</v>
          </cell>
        </row>
        <row r="79">
          <cell r="D79" t="str">
            <v>ALERT_REQ_S_ACC_BC_START_APRVAL</v>
          </cell>
          <cell r="I79" t="str">
            <v>E</v>
          </cell>
        </row>
        <row r="80">
          <cell r="D80" t="str">
            <v>ALERT_REQ_S_ACC_BC_START</v>
          </cell>
          <cell r="I80" t="str">
            <v>E</v>
          </cell>
        </row>
        <row r="81">
          <cell r="D81" t="str">
            <v>ALERT_REQ_S_ACC_BC_REQ_OPE</v>
          </cell>
          <cell r="I81" t="str">
            <v>E</v>
          </cell>
        </row>
        <row r="82">
          <cell r="D82" t="str">
            <v>ALERT_REQ_S_APP_BC_NOTOPERATED1</v>
          </cell>
          <cell r="I82" t="str">
            <v>E</v>
          </cell>
        </row>
        <row r="83">
          <cell r="D83" t="str">
            <v>ALERT_REQ_S_APP_BC_DISCONTINUE</v>
          </cell>
          <cell r="I83" t="str">
            <v>E</v>
          </cell>
        </row>
        <row r="84">
          <cell r="D84" t="str">
            <v>ALERT_REQ_S_APP_BC_NOTOPERATED2</v>
          </cell>
          <cell r="I84" t="str">
            <v>E</v>
          </cell>
        </row>
        <row r="85">
          <cell r="D85" t="str">
            <v>ALERT_REQ_S_APP_BC_COMPLETION</v>
          </cell>
          <cell r="I85" t="str">
            <v>E</v>
          </cell>
        </row>
        <row r="86">
          <cell r="D86" t="str">
            <v>ALERT_REQ_S_BSM_BC_WARNING</v>
          </cell>
          <cell r="I86" t="str">
            <v>E</v>
          </cell>
        </row>
        <row r="87">
          <cell r="D87" t="str">
            <v>ALERT_REQ_S_CLESON_BZ_RCTA</v>
          </cell>
          <cell r="I87" t="str">
            <v>ABCDE</v>
          </cell>
        </row>
        <row r="88">
          <cell r="D88" t="str">
            <v>ALERT_REQ_S_CLESON_BZ_FR_CAD</v>
          </cell>
          <cell r="I88" t="str">
            <v>ABCDE</v>
          </cell>
        </row>
        <row r="89">
          <cell r="D89" t="str">
            <v>ALERT_REQ_S_CLESON_BZ_FR_SD</v>
          </cell>
          <cell r="I89" t="str">
            <v>ABCDE</v>
          </cell>
        </row>
        <row r="90">
          <cell r="D90" t="str">
            <v>ALERT_REQ_S_CLESON_BZ_FR_MD</v>
          </cell>
          <cell r="I90" t="str">
            <v>ABCDE</v>
          </cell>
        </row>
        <row r="91">
          <cell r="D91" t="str">
            <v>ALERT_REQ_S_CLESON_BZ_FR_LD</v>
          </cell>
          <cell r="I91" t="str">
            <v>ABCDE</v>
          </cell>
        </row>
        <row r="92">
          <cell r="D92" t="str">
            <v>ALERT_REQ_S_CLESON_BZ_RR_CAD</v>
          </cell>
          <cell r="I92" t="str">
            <v>ABCDE</v>
          </cell>
        </row>
        <row r="93">
          <cell r="D93" t="str">
            <v>ALERT_REQ_S_CLESON_BZ_RR_SD</v>
          </cell>
          <cell r="I93" t="str">
            <v>ABCDE</v>
          </cell>
        </row>
        <row r="94">
          <cell r="D94" t="str">
            <v>ALERT_REQ_S_CLESON_BZ_RR_MD</v>
          </cell>
          <cell r="I94" t="str">
            <v>ABCDE</v>
          </cell>
        </row>
        <row r="95">
          <cell r="D95" t="str">
            <v>ALERT_REQ_S_CLESON_BZ_RR_LD</v>
          </cell>
          <cell r="I95" t="str">
            <v>ABCDE</v>
          </cell>
        </row>
        <row r="96">
          <cell r="D96" t="str">
            <v>ALERT_REQ_S_CLESON_BZ_CAD</v>
          </cell>
          <cell r="I96" t="str">
            <v>ABCDE</v>
          </cell>
        </row>
        <row r="97">
          <cell r="D97" t="str">
            <v>ALERT_REQ_S_CLESON_BZ_SD</v>
          </cell>
          <cell r="I97" t="str">
            <v>ABCDE</v>
          </cell>
        </row>
        <row r="98">
          <cell r="D98" t="str">
            <v>ALERT_REQ_S_CLESON_BZ_MD</v>
          </cell>
          <cell r="I98" t="str">
            <v>ABCDE</v>
          </cell>
        </row>
        <row r="99">
          <cell r="D99" t="str">
            <v>ALERT_REQ_S_CLESON_BZ_LD</v>
          </cell>
          <cell r="I99" t="str">
            <v>ABCDE</v>
          </cell>
        </row>
        <row r="100">
          <cell r="D100" t="str">
            <v>ALERT_REQ_S_CLESON_VOL_VOL0</v>
          </cell>
          <cell r="I100" t="str">
            <v>ABCDE</v>
          </cell>
        </row>
        <row r="101">
          <cell r="D101" t="str">
            <v>ALERT_REQ_S_CLESON_VOL_VOL1</v>
          </cell>
          <cell r="I101" t="str">
            <v>ABCDE</v>
          </cell>
        </row>
        <row r="102">
          <cell r="D102" t="str">
            <v>ALERT_REQ_S_CLESON_VOL_VOL2</v>
          </cell>
          <cell r="I102" t="str">
            <v>ABCDE</v>
          </cell>
        </row>
        <row r="103">
          <cell r="D103" t="str">
            <v>ALERT_REQ_S_CLESON_VOL_VOL3</v>
          </cell>
          <cell r="I103" t="str">
            <v>ABCDE</v>
          </cell>
        </row>
        <row r="104">
          <cell r="D104" t="str">
            <v>ALERT_REQ_S_CLESON_VOL_VOL4</v>
          </cell>
          <cell r="I104" t="str">
            <v>ABCDE</v>
          </cell>
        </row>
        <row r="105">
          <cell r="D105" t="str">
            <v>ALERT_REQ_S_CLESON_VOL_VOL5</v>
          </cell>
          <cell r="I105" t="str">
            <v>ABCDE</v>
          </cell>
        </row>
        <row r="106">
          <cell r="D106" t="str">
            <v>ALERT_REQ_S_CLESON_VOL_VOL6</v>
          </cell>
          <cell r="I106" t="str">
            <v>ABCDE</v>
          </cell>
        </row>
        <row r="107">
          <cell r="D107" t="str">
            <v>ALERT_REQ_S_CLESON_VOL_VOL7</v>
          </cell>
          <cell r="I107" t="str">
            <v>ABCDE</v>
          </cell>
        </row>
        <row r="108">
          <cell r="D108" t="str">
            <v>ALERT_REQ_S_FCTA_SINGLE</v>
          </cell>
          <cell r="I108" t="str">
            <v>E</v>
          </cell>
        </row>
        <row r="109">
          <cell r="D109" t="str">
            <v>ALERT_REQ_S_FCTA_CYCL</v>
          </cell>
          <cell r="I109" t="str">
            <v>E</v>
          </cell>
        </row>
        <row r="110">
          <cell r="D110" t="str">
            <v>ALERT_REQ_S_LCA_BC_RQ_SINGLE</v>
          </cell>
          <cell r="I110" t="str">
            <v>結合無し</v>
          </cell>
        </row>
        <row r="111">
          <cell r="D111" t="str">
            <v>ALERT_REQ_S_LCA_BC_CL_DOUBLE</v>
          </cell>
          <cell r="I111" t="str">
            <v>結合無し</v>
          </cell>
        </row>
        <row r="112">
          <cell r="D112" t="str">
            <v>ALERT_REQ_S_LCA_BC_VC_CYCL</v>
          </cell>
          <cell r="I112" t="str">
            <v>結合無し</v>
          </cell>
        </row>
        <row r="113">
          <cell r="D113" t="str">
            <v>ALERT_REQ_S_LDA_BC_LDW_CYCL1</v>
          </cell>
          <cell r="I113" t="str">
            <v>結合無し</v>
          </cell>
        </row>
        <row r="114">
          <cell r="D114" t="str">
            <v>ALERT_REQ_S_LDA_BC_LDW_CYCL2</v>
          </cell>
          <cell r="I114" t="str">
            <v>結合無し</v>
          </cell>
        </row>
        <row r="115">
          <cell r="D115" t="str">
            <v>ALERT_REQ_S_LDA_BC_CSF_CYCL</v>
          </cell>
          <cell r="I115" t="str">
            <v>結合無し</v>
          </cell>
        </row>
        <row r="116">
          <cell r="D116" t="str">
            <v>ALERT_REQ_S_LDA_BC_SWS_DOUBLE</v>
          </cell>
          <cell r="I116" t="str">
            <v>結合無し</v>
          </cell>
        </row>
        <row r="117">
          <cell r="D117" t="str">
            <v>ALERT_REQ_S_PCS1_BZR_NOTICE</v>
          </cell>
          <cell r="I117" t="str">
            <v>E</v>
          </cell>
        </row>
        <row r="118">
          <cell r="D118" t="str">
            <v>ALERT_REQ_S_PCS1_BZR_PBA</v>
          </cell>
          <cell r="I118" t="str">
            <v>E</v>
          </cell>
        </row>
        <row r="119">
          <cell r="D119" t="str">
            <v>ALERT_REQ_S_PCS1_BZR_PCS</v>
          </cell>
          <cell r="I119" t="str">
            <v>E</v>
          </cell>
        </row>
        <row r="120">
          <cell r="D120" t="str">
            <v>ALERT_REQ_S_PCS1_BZR_ALM</v>
          </cell>
          <cell r="I120" t="str">
            <v>E</v>
          </cell>
        </row>
        <row r="121">
          <cell r="D121" t="str">
            <v>ALERT_REQ_S_PCS1_BZR_BRK_INSP</v>
          </cell>
          <cell r="I121" t="str">
            <v>E</v>
          </cell>
        </row>
        <row r="122">
          <cell r="D122" t="str">
            <v>ALERT_REQ_S_PCS1_BZR_RDR_CMP</v>
          </cell>
          <cell r="I122" t="str">
            <v>E</v>
          </cell>
        </row>
        <row r="123">
          <cell r="D123" t="str">
            <v>ALERT_REQ_S_PCS1_BZR_WRN</v>
          </cell>
          <cell r="I123" t="str">
            <v>E</v>
          </cell>
        </row>
        <row r="124">
          <cell r="D124" t="str">
            <v>ALERT_REQ_S_PCS1_BZR_CMR_CMP</v>
          </cell>
          <cell r="I124" t="str">
            <v>E</v>
          </cell>
        </row>
        <row r="125">
          <cell r="D125" t="str">
            <v>ALERT_REQ_S_PDA_BC_HANDSFREE</v>
          </cell>
          <cell r="I125" t="str">
            <v>結合無し</v>
          </cell>
        </row>
        <row r="126">
          <cell r="D126" t="str">
            <v>ALERT_REQ_S_SCB_CYCL</v>
          </cell>
          <cell r="I126" t="str">
            <v>A</v>
          </cell>
        </row>
        <row r="127">
          <cell r="D127" t="str">
            <v>ALERT_REQ_S_SCB_CYCL_SCB_OPE</v>
          </cell>
          <cell r="I127" t="str">
            <v>A</v>
          </cell>
        </row>
        <row r="128">
          <cell r="D128" t="str">
            <v>ALERT_REQ_S_SEA_BC_CYCLE</v>
          </cell>
          <cell r="I128" t="str">
            <v>ABCDE</v>
          </cell>
        </row>
        <row r="129">
          <cell r="D129" t="str">
            <v>ALERT_REQ_S_SEA_BC_DOUBLE</v>
          </cell>
          <cell r="I129" t="str">
            <v>ABCDE</v>
          </cell>
        </row>
        <row r="130">
          <cell r="D130" t="str">
            <v>ALERT_REQ_S_TMN_SINGLE</v>
          </cell>
          <cell r="I130" t="str">
            <v>E</v>
          </cell>
        </row>
        <row r="131">
          <cell r="D131" t="str">
            <v>ALERT_REQ_S_OAA_BC_HANDSFREE</v>
          </cell>
          <cell r="I131" t="str">
            <v>E</v>
          </cell>
        </row>
        <row r="132">
          <cell r="D132" t="str">
            <v>ALERT_REQ_C_PKBWAR_BC_ON</v>
          </cell>
          <cell r="I132" t="str">
            <v>ABCDE</v>
          </cell>
        </row>
        <row r="133">
          <cell r="D133" t="str">
            <v>ALERT_REQ_S_DA_BC_CYCLE</v>
          </cell>
          <cell r="I133" t="str">
            <v>E</v>
          </cell>
        </row>
        <row r="134">
          <cell r="D134" t="str">
            <v>ALERT_REQ_C_STEER_BC_SINGLE</v>
          </cell>
          <cell r="I134" t="str">
            <v>C</v>
          </cell>
        </row>
        <row r="135">
          <cell r="D135" t="str">
            <v>ALERT_REQ_C_STEER_BC_CYCL</v>
          </cell>
          <cell r="I135" t="str">
            <v>C</v>
          </cell>
        </row>
        <row r="136">
          <cell r="D136" t="str">
            <v>ALERT_REQ_C_STEER_BC_CYCL_UNDRVE</v>
          </cell>
          <cell r="I136" t="str">
            <v>C</v>
          </cell>
        </row>
        <row r="137">
          <cell r="D137" t="str">
            <v>ALERT_REQ_S_SWS_BC_SINGLE</v>
          </cell>
          <cell r="I137" t="str">
            <v>E</v>
          </cell>
        </row>
        <row r="138">
          <cell r="D138" t="str">
            <v>ALERT_REQ_S_LTA_2_BC_LKA_DOUBLE</v>
          </cell>
          <cell r="I138" t="str">
            <v>E</v>
          </cell>
        </row>
        <row r="139">
          <cell r="D139" t="str">
            <v>ALERT_REQ_S_LTA_2_BC_LTA_PTN1</v>
          </cell>
          <cell r="I139" t="str">
            <v>E</v>
          </cell>
        </row>
        <row r="140">
          <cell r="D140" t="str">
            <v>ALERT_REQ_S_LTA_2_BC_LTA_PTN2</v>
          </cell>
          <cell r="I140" t="str">
            <v>E</v>
          </cell>
        </row>
        <row r="141">
          <cell r="D141" t="str">
            <v>ALERT_REQ_S_LTA_2_BC_LTA_PTN3</v>
          </cell>
          <cell r="I141" t="str">
            <v>E</v>
          </cell>
        </row>
        <row r="142">
          <cell r="D142" t="str">
            <v>ALERT_REQ_S_ITS_BC_CYCL</v>
          </cell>
          <cell r="I142" t="str">
            <v>A</v>
          </cell>
        </row>
        <row r="143">
          <cell r="D143" t="str">
            <v>ALERT_REQ_S_ITS_BC_SINGLE</v>
          </cell>
          <cell r="I143" t="str">
            <v>A</v>
          </cell>
        </row>
        <row r="144">
          <cell r="D144" t="str">
            <v>ALERT_REQ_S_LDA_BC_LDW_CYCL1</v>
          </cell>
          <cell r="I144" t="str">
            <v>E</v>
          </cell>
        </row>
        <row r="145">
          <cell r="D145" t="str">
            <v>ALERT_REQ_S_LDA_BC_LDW_CYCL2</v>
          </cell>
          <cell r="I145" t="str">
            <v>E</v>
          </cell>
        </row>
        <row r="146">
          <cell r="D146" t="str">
            <v>ALERT_REQ_S_LDA_BC_CSF_CYCL</v>
          </cell>
          <cell r="I146" t="str">
            <v>E</v>
          </cell>
        </row>
        <row r="147">
          <cell r="D147" t="str">
            <v>ALERT_REQ_S_LCA_BC_RQ_SINGLE</v>
          </cell>
          <cell r="I147" t="str">
            <v>A</v>
          </cell>
        </row>
        <row r="148">
          <cell r="D148" t="str">
            <v>ALERT_REQ_S_LCA_BC_CL_DOUBLE</v>
          </cell>
          <cell r="I148" t="str">
            <v>A</v>
          </cell>
        </row>
        <row r="149">
          <cell r="D149" t="str">
            <v>ALERT_REQ_S_LCA_BC_VC_CYCL</v>
          </cell>
          <cell r="I149" t="str">
            <v>A</v>
          </cell>
        </row>
        <row r="150">
          <cell r="D150" t="str">
            <v>ALERT_REQ_S_EDSS_BC_CYCL1</v>
          </cell>
          <cell r="I150" t="str">
            <v>A</v>
          </cell>
        </row>
        <row r="151">
          <cell r="D151" t="str">
            <v>ALERT_REQ_S_EDSS_BC_CYCL2</v>
          </cell>
          <cell r="I151" t="str">
            <v>A</v>
          </cell>
        </row>
        <row r="152">
          <cell r="D152" t="str">
            <v>ALERT_REQ_S_EDSS_BC_CYCL3</v>
          </cell>
          <cell r="I152" t="str">
            <v>A</v>
          </cell>
        </row>
        <row r="153">
          <cell r="D153" t="str">
            <v>ALERT_REQ_S_ADTJA_BC_PTN1</v>
          </cell>
          <cell r="I153" t="str">
            <v>E</v>
          </cell>
        </row>
        <row r="154">
          <cell r="D154" t="str">
            <v>ALERT_REQ_S_ADTJA_BC_PTN2</v>
          </cell>
          <cell r="I154" t="str">
            <v>E</v>
          </cell>
        </row>
        <row r="155">
          <cell r="D155" t="str">
            <v>ALERT_REQ_S_ADTJA_BC_PTN3</v>
          </cell>
          <cell r="I155" t="str">
            <v>E</v>
          </cell>
        </row>
        <row r="156">
          <cell r="D156" t="str">
            <v>ALERT_REQ_S_ADTJA_BC_PTN4</v>
          </cell>
          <cell r="I156" t="str">
            <v>E</v>
          </cell>
        </row>
        <row r="157">
          <cell r="D157" t="str">
            <v>ALERT_REQ_S_ADTJA_BC_PTN5</v>
          </cell>
          <cell r="I157" t="str">
            <v>E</v>
          </cell>
        </row>
        <row r="158">
          <cell r="D158" t="str">
            <v>ALERT_REQ_S_ADTJA_BC_PTN6</v>
          </cell>
          <cell r="I158" t="str">
            <v>E</v>
          </cell>
        </row>
        <row r="159">
          <cell r="D159" t="str">
            <v>ALERT_REQ_S_ADTJA_BC_PTN7</v>
          </cell>
          <cell r="I159" t="str">
            <v>E</v>
          </cell>
        </row>
        <row r="160">
          <cell r="D160" t="str">
            <v>ALERT_REQ_P_BSTMOD_BSTMOD_REJ</v>
          </cell>
          <cell r="I160" t="str">
            <v>C</v>
          </cell>
        </row>
        <row r="161">
          <cell r="D161" t="str">
            <v>ALERT_REQ_D_SFTPOS_B_RJTB_DBL1</v>
          </cell>
          <cell r="I161" t="str">
            <v>D</v>
          </cell>
        </row>
        <row r="162">
          <cell r="D162" t="str">
            <v>ALERT_REQ_D_SFTPOS_B_RJTB_DBL2</v>
          </cell>
          <cell r="I162" t="str">
            <v>D</v>
          </cell>
        </row>
        <row r="163">
          <cell r="D163" t="str">
            <v>ALERT_REQ_D_SFTPOS_B_RJTB_DBL3</v>
          </cell>
          <cell r="I163" t="str">
            <v>D</v>
          </cell>
        </row>
        <row r="164">
          <cell r="D164" t="str">
            <v>ALERT_REQ_D_SFTPOS_B_RCVT_CYCLE</v>
          </cell>
          <cell r="I164" t="str">
            <v>D</v>
          </cell>
        </row>
        <row r="165">
          <cell r="D165" t="str">
            <v>ALERT_REQ_D_SFTPOS_B_RSBW_CYCLE</v>
          </cell>
          <cell r="I165" t="str">
            <v>D</v>
          </cell>
        </row>
        <row r="166">
          <cell r="D166" t="str">
            <v>ALERT_REQ_B_FMSEAT_MEM_SCS</v>
          </cell>
          <cell r="I166" t="str">
            <v>B</v>
          </cell>
        </row>
        <row r="167">
          <cell r="D167" t="str">
            <v>ALERT_REQ_B_FMSEAT_MEM_REJ</v>
          </cell>
          <cell r="I167" t="str">
            <v>B</v>
          </cell>
        </row>
        <row r="168">
          <cell r="D168" t="str">
            <v>ALERT_REQ_B_FMSEAT_ERS_INFO</v>
          </cell>
          <cell r="I168" t="str">
            <v>B</v>
          </cell>
        </row>
        <row r="169">
          <cell r="D169" t="str">
            <v>ALERT_REQ_B_FMSEAT_MEM_CALL</v>
          </cell>
          <cell r="I169" t="str">
            <v>B</v>
          </cell>
        </row>
        <row r="170">
          <cell r="D170" t="str">
            <v>ALERT_REQ_H_BEVR_SINGLE</v>
          </cell>
          <cell r="I170" t="str">
            <v>C</v>
          </cell>
        </row>
        <row r="171">
          <cell r="D171" t="str">
            <v>ALERT_REQ_H_BEVR_DOUBLE</v>
          </cell>
          <cell r="I171" t="str">
            <v>C</v>
          </cell>
        </row>
        <row r="172">
          <cell r="D172" t="str">
            <v>ALERT_REQ_C_TPMS_BC_SINGLE</v>
          </cell>
          <cell r="I172" t="str">
            <v>B</v>
          </cell>
        </row>
        <row r="173">
          <cell r="D173" t="str">
            <v>ALERT_REQ_C_TPMS_BC_CYCL</v>
          </cell>
          <cell r="I173" t="str">
            <v>B</v>
          </cell>
        </row>
        <row r="174">
          <cell r="D174" t="str">
            <v>ALERT_REQ_H_SPDL_0_BC_DISACT</v>
          </cell>
          <cell r="I174" t="str">
            <v>B</v>
          </cell>
        </row>
        <row r="175">
          <cell r="D175" t="str">
            <v>ALERT_REQ_H_SPDL_0_BC_REJECT</v>
          </cell>
          <cell r="I175" t="str">
            <v>B</v>
          </cell>
        </row>
        <row r="176">
          <cell r="D176" t="str">
            <v>ALERT_REQ_S_TCHAR_BC_CYCL1</v>
          </cell>
          <cell r="I176" t="str">
            <v>B</v>
          </cell>
        </row>
        <row r="177">
          <cell r="D177" t="str">
            <v>ALERT_REQ_S_TCHAR_BC_CYCL2</v>
          </cell>
          <cell r="I177" t="str">
            <v>B</v>
          </cell>
        </row>
        <row r="178">
          <cell r="D178" t="str">
            <v>ALERT_REQ_S_TCHAR_BC_SINGLE</v>
          </cell>
          <cell r="I178" t="str">
            <v>B</v>
          </cell>
        </row>
        <row r="179">
          <cell r="D179" t="str">
            <v>ALERT_REQ_D_SBW_BZ_BSFT_SINGLE</v>
          </cell>
          <cell r="I179" t="str">
            <v>D</v>
          </cell>
        </row>
        <row r="180">
          <cell r="D180" t="str">
            <v>ALERT_REQ_D_SBW_BZ_BSFT_DOUBLE</v>
          </cell>
          <cell r="I180" t="str">
            <v>D</v>
          </cell>
        </row>
        <row r="181">
          <cell r="D181" t="str">
            <v>ALERT_REQ_D_SBW_BZ_BSFT_SINGLESP</v>
          </cell>
          <cell r="I181" t="str">
            <v>D</v>
          </cell>
        </row>
        <row r="182">
          <cell r="D182" t="str">
            <v>ALERT_REQ_D_SBW_BZ_IGSFT_CYCLE</v>
          </cell>
          <cell r="I182" t="str">
            <v>D</v>
          </cell>
        </row>
        <row r="183">
          <cell r="D183" t="str">
            <v>ALERT_REQ_D_SBW_BZ_PT_SINGLE</v>
          </cell>
          <cell r="I183" t="str">
            <v>D</v>
          </cell>
        </row>
        <row r="184">
          <cell r="D184" t="str">
            <v>ALERT_REQ_D_SBW_BZ_PT_CYCLE</v>
          </cell>
          <cell r="I184" t="str">
            <v>D</v>
          </cell>
        </row>
        <row r="185">
          <cell r="D185" t="str">
            <v>ALERT_REQ_S_RSA_BC_SGN_SPDLMT</v>
          </cell>
          <cell r="I185" t="str">
            <v>E</v>
          </cell>
        </row>
        <row r="186">
          <cell r="D186" t="str">
            <v>ALERT_REQ_S_RSA_BC_SGN_RED_LGHT</v>
          </cell>
          <cell r="I186" t="str">
            <v>E</v>
          </cell>
        </row>
        <row r="187">
          <cell r="D187" t="str">
            <v>ALERT_REQ_S_RSA_BC_LMT_SINGLE</v>
          </cell>
          <cell r="I187" t="str">
            <v>E</v>
          </cell>
        </row>
        <row r="188">
          <cell r="D188" t="str">
            <v>ALERT_REQ_S_PMAR_BC_ON</v>
          </cell>
          <cell r="I188" t="str">
            <v>ABCDE</v>
          </cell>
        </row>
        <row r="189">
          <cell r="D189" t="str">
            <v>ALERT_REQ_H_BATINS_BC_CYCL</v>
          </cell>
          <cell r="I189" t="str">
            <v>C</v>
          </cell>
        </row>
        <row r="190">
          <cell r="D190" t="str">
            <v>ALERT_REQ_S_FRRADA_BZ_CMP_CYCLE</v>
          </cell>
          <cell r="I190" t="str">
            <v>B</v>
          </cell>
        </row>
        <row r="191">
          <cell r="D191" t="str">
            <v>ALERT_REQ_S_FRRADA_BZ_ERR_CYCLE</v>
          </cell>
          <cell r="I191" t="str">
            <v>B</v>
          </cell>
        </row>
        <row r="192">
          <cell r="D192" t="str">
            <v>ALERT_REQ_B_SMASTA_BCDR_ON</v>
          </cell>
          <cell r="I192" t="str">
            <v>ABCDE</v>
          </cell>
        </row>
        <row r="193">
          <cell r="D193" t="str">
            <v>ALERT_REQ_B_SMASTA_BCI1_ON</v>
          </cell>
          <cell r="I193" t="str">
            <v>ABCDE</v>
          </cell>
        </row>
        <row r="194">
          <cell r="D194" t="str">
            <v>ALERT_REQ_B_SMASTA_BCI2_ON</v>
          </cell>
          <cell r="I194" t="str">
            <v>ABCDE</v>
          </cell>
        </row>
        <row r="195">
          <cell r="D195" t="str">
            <v>ALERT_REQ_B_SMASTA_BCI3_ON</v>
          </cell>
          <cell r="I195" t="str">
            <v>ABCDE</v>
          </cell>
        </row>
        <row r="196">
          <cell r="D196" t="str">
            <v>ALERT_REQ_B_SMASTA_BCS1_ON</v>
          </cell>
          <cell r="I196" t="str">
            <v>ABCDE</v>
          </cell>
        </row>
        <row r="197">
          <cell r="D197" t="str">
            <v>ALERT_REQ_B_SMASTA_BCS2_ON</v>
          </cell>
          <cell r="I197" t="str">
            <v>ABCDE</v>
          </cell>
        </row>
        <row r="198">
          <cell r="D198" t="str">
            <v>ALERT_REQ_M_MINDSPWR_SINGLE</v>
          </cell>
          <cell r="I198" t="str">
            <v>D</v>
          </cell>
        </row>
        <row r="199">
          <cell r="D199" t="str">
            <v>ALERT_REQ_M_MINDSPWR_CYCLE</v>
          </cell>
          <cell r="I199" t="str">
            <v>D</v>
          </cell>
        </row>
        <row r="200">
          <cell r="D200" t="str">
            <v>ALERT_REQ_H_XMDRJT_BC_DOUBLE</v>
          </cell>
          <cell r="I200" t="str">
            <v>D</v>
          </cell>
        </row>
        <row r="201">
          <cell r="D201" t="str">
            <v>ALERT_REQ_H_XMODE_BC_DEACTIVATE</v>
          </cell>
          <cell r="I201" t="str">
            <v>D</v>
          </cell>
        </row>
        <row r="202">
          <cell r="D202" t="str">
            <v>ALERT_REQ_H_XMODE_BC_ON</v>
          </cell>
          <cell r="I202" t="str">
            <v>D</v>
          </cell>
        </row>
        <row r="203">
          <cell r="D203" t="str">
            <v>ALERT_REQ_H_XMODE_BC_REJECT</v>
          </cell>
          <cell r="I203" t="str">
            <v>D</v>
          </cell>
        </row>
        <row r="204">
          <cell r="D204" t="str">
            <v>ALERT_REQ_B_BKEY_KEYREM</v>
          </cell>
          <cell r="I204" t="str">
            <v>ABCDE</v>
          </cell>
        </row>
        <row r="205">
          <cell r="D205" t="str">
            <v>ALERT_REQ_S_DMC_BC_SINGLE</v>
          </cell>
          <cell r="I205" t="str">
            <v>E</v>
          </cell>
        </row>
        <row r="206">
          <cell r="D206" t="str">
            <v>ALERT_REQ_S_DMC_BC_CYCLE</v>
          </cell>
          <cell r="I206" t="str">
            <v>E</v>
          </cell>
        </row>
        <row r="207">
          <cell r="D207" t="str">
            <v>ALERT_REQ_B_ESWUOC_BCB_DOUBLE</v>
          </cell>
          <cell r="I207" t="str">
            <v>D</v>
          </cell>
        </row>
        <row r="208">
          <cell r="D208" t="str">
            <v>ALERT_REQ_B_ESWUOC_BC_DOUBLE</v>
          </cell>
          <cell r="I208" t="str">
            <v>D</v>
          </cell>
        </row>
        <row r="209">
          <cell r="D209" t="str">
            <v>ALERT_REQ_H_XMGRIP_BC_SINGLE</v>
          </cell>
          <cell r="I209" t="str">
            <v>D</v>
          </cell>
        </row>
        <row r="210">
          <cell r="D210" t="str">
            <v>ALERT_REQ_H_XMGRIP_BC_DOUBLE</v>
          </cell>
          <cell r="I210" t="str">
            <v>D</v>
          </cell>
        </row>
        <row r="211">
          <cell r="D211" t="str">
            <v>ALERT_REQ_P_STOSTA_BC_ON</v>
          </cell>
          <cell r="I211" t="str">
            <v>ABCDE</v>
          </cell>
        </row>
        <row r="212">
          <cell r="D212" t="str">
            <v>ALERT_REQ_H_DCLDSP_OPERJCT</v>
          </cell>
          <cell r="I212" t="str">
            <v>B</v>
          </cell>
        </row>
        <row r="213">
          <cell r="D213" t="str">
            <v>ALERT_REQ_C_SBRDMB_DMODE_CHANGE</v>
          </cell>
          <cell r="I213" t="str">
            <v>B</v>
          </cell>
        </row>
        <row r="214">
          <cell r="D214" t="str">
            <v>ALERT_REQ_H_BATTRW_BC_THERMALBC</v>
          </cell>
          <cell r="I214" t="str">
            <v>A</v>
          </cell>
        </row>
        <row r="215">
          <cell r="D215" t="str">
            <v>ALERT_REQ_O_PDSMAL_BC_CYCL</v>
          </cell>
          <cell r="I215" t="str">
            <v>A</v>
          </cell>
        </row>
        <row r="216">
          <cell r="D216" t="str">
            <v>End</v>
          </cell>
          <cell r="I216" t="str">
            <v>End</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option"/>
      <sheetName val="old"/>
      <sheetName val="new"/>
      <sheetName val="work"/>
      <sheetName val="エンジン型式"/>
      <sheetName val="RAM_FMEA_CS（FMEA記載方法）"/>
      <sheetName val="XSSマイコン依存部 (基本設定)"/>
      <sheetName val="ListWork"/>
      <sheetName val="設定値定義"/>
      <sheetName val="リストデータ"/>
      <sheetName val="②P071中計　工数パターン1312更新"/>
      <sheetName val="Q&amp;A確認"/>
      <sheetName val="パラメータ一覧(AXSS.AXCS)"/>
      <sheetName val="リスト"/>
      <sheetName val="信息定义"/>
      <sheetName val="1.概述"/>
      <sheetName val="ドメイン"/>
      <sheetName val="STEP1-Definition"/>
      <sheetName val="表紙"/>
      <sheetName val="調査シート"/>
      <sheetName val="字段定义"/>
      <sheetName val="分类数据"/>
      <sheetName val="Contents"/>
      <sheetName val="車両仕様"/>
      <sheetName val="Inf"/>
      <sheetName val="階層一覧"/>
      <sheetName val="CS2_SmcDriverインテグ項目"/>
      <sheetName val="選択肢定義"/>
      <sheetName val="集計(1)"/>
      <sheetName val="検査シート"/>
      <sheetName val="ガイド"/>
      <sheetName val="入力規則リスト他"/>
      <sheetName val="実行"/>
      <sheetName val="ドメイン一覧"/>
      <sheetName val="多言語翻訳リスト"/>
      <sheetName val="Sheet1"/>
      <sheetName val="5. 項目一覧"/>
      <sheetName val="参考資料28"/>
      <sheetName val="機能一覧"/>
      <sheetName val="nearURL"/>
      <sheetName val="main"/>
      <sheetName val="Config - dspmgr"/>
      <sheetName val="入力リスト"/>
      <sheetName val="Func.Share"/>
      <sheetName val="No.31"/>
      <sheetName val="Guide(Approach）"/>
      <sheetName val="3C"/>
      <sheetName val="format"/>
    </sheetNames>
    <sheetDataSet>
      <sheetData sheetId="0"/>
      <sheetData sheetId="1">
        <row r="1">
          <cell r="B1" t="str">
            <v>対象</v>
          </cell>
        </row>
        <row r="2">
          <cell r="B2" t="str">
            <v>対象外</v>
          </cell>
        </row>
        <row r="3">
          <cell r="B3" t="str">
            <v>新規</v>
          </cell>
        </row>
        <row r="4">
          <cell r="B4" t="str">
            <v>削除</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svn/aip/tmcapp/sd/evidence/trunk/02_Design/01_Vom/Alert/03_Component/v5xx/alert_design.pptx" TargetMode="External"/><Relationship Id="rId1" Type="http://schemas.openxmlformats.org/officeDocument/2006/relationships/hyperlink" Target="https://aip01.dndev.net/wiki/display/MET631B/D1L1+and+R-Car+Local+Communication+Specification"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2A4DB-5F2C-4A5C-8BF6-A19F375B96BA}">
  <sheetPr>
    <tabColor theme="5"/>
  </sheetPr>
  <dimension ref="C10:AM57"/>
  <sheetViews>
    <sheetView showGridLines="0" view="pageBreakPreview" zoomScaleNormal="100" zoomScaleSheetLayoutView="100" workbookViewId="0">
      <selection activeCell="P36" sqref="P36"/>
    </sheetView>
  </sheetViews>
  <sheetFormatPr defaultColWidth="9" defaultRowHeight="13.35" customHeight="1"/>
  <cols>
    <col min="1" max="40" width="2.125" style="226" customWidth="1"/>
    <col min="41" max="52" width="2.25" style="226" customWidth="1"/>
    <col min="53" max="16384" width="9" style="226"/>
  </cols>
  <sheetData>
    <row r="10" spans="6:20" ht="13.35" customHeight="1">
      <c r="F10" s="225"/>
    </row>
    <row r="13" spans="6:20" ht="13.35" customHeight="1">
      <c r="T13" s="227" t="str">
        <f ca="1">MID(CELL("filename",A1),FIND("[",CELL("filename",A1))+1,FIND("]",CELL("filename",A1))-FIND("[",CELL("filename",A1))-1)</f>
        <v>alert_S_ADBZR_DMC-CSTD-0-06-A-C0.xlsx</v>
      </c>
    </row>
    <row r="32" spans="3:22" ht="13.35" customHeight="1">
      <c r="C32" s="228"/>
      <c r="V32" s="228"/>
    </row>
    <row r="33" spans="3:39" ht="13.35" customHeight="1">
      <c r="M33" s="229"/>
      <c r="N33" s="229"/>
      <c r="O33" s="229"/>
      <c r="P33" s="229"/>
      <c r="Q33" s="229"/>
      <c r="AF33" s="229"/>
      <c r="AG33" s="229"/>
      <c r="AH33" s="229"/>
      <c r="AI33" s="229"/>
      <c r="AJ33" s="229"/>
    </row>
    <row r="34" spans="3:39" ht="13.35" customHeight="1">
      <c r="Y34" s="228" t="s">
        <v>280</v>
      </c>
    </row>
    <row r="35" spans="3:39" ht="13.35" customHeight="1">
      <c r="Y35" s="247" t="s">
        <v>281</v>
      </c>
      <c r="Z35" s="248"/>
      <c r="AA35" s="248"/>
      <c r="AB35" s="248"/>
      <c r="AC35" s="249"/>
      <c r="AD35" s="247" t="s">
        <v>282</v>
      </c>
      <c r="AE35" s="248"/>
      <c r="AF35" s="248"/>
      <c r="AG35" s="248"/>
      <c r="AH35" s="249"/>
      <c r="AI35" s="247" t="s">
        <v>283</v>
      </c>
      <c r="AJ35" s="248"/>
      <c r="AK35" s="248"/>
      <c r="AL35" s="248"/>
      <c r="AM35" s="249"/>
    </row>
    <row r="36" spans="3:39" ht="13.35" customHeight="1">
      <c r="D36" s="229"/>
      <c r="E36" s="230"/>
      <c r="F36" s="229"/>
      <c r="G36" s="229"/>
      <c r="I36" s="229"/>
      <c r="J36" s="230"/>
      <c r="K36" s="229"/>
      <c r="L36" s="229"/>
      <c r="M36" s="229"/>
      <c r="N36" s="229"/>
      <c r="O36" s="231"/>
      <c r="P36" s="229"/>
      <c r="Q36" s="229"/>
      <c r="W36" s="229"/>
      <c r="X36" s="230"/>
      <c r="Y36" s="232"/>
      <c r="Z36" s="233"/>
      <c r="AA36" s="233"/>
      <c r="AB36" s="233"/>
      <c r="AC36" s="234"/>
      <c r="AD36" s="232"/>
      <c r="AE36" s="233"/>
      <c r="AF36" s="233"/>
      <c r="AG36" s="233"/>
      <c r="AH36" s="234"/>
      <c r="AI36" s="232"/>
      <c r="AJ36" s="233"/>
      <c r="AK36" s="233"/>
      <c r="AL36" s="233"/>
      <c r="AM36" s="234"/>
    </row>
    <row r="37" spans="3:39" ht="13.35" customHeight="1">
      <c r="Y37" s="235"/>
      <c r="AC37" s="236"/>
      <c r="AD37" s="235"/>
      <c r="AH37" s="236"/>
      <c r="AI37" s="235"/>
      <c r="AM37" s="236"/>
    </row>
    <row r="38" spans="3:39" ht="13.35" customHeight="1">
      <c r="Y38" s="235"/>
      <c r="Z38" s="229"/>
      <c r="AA38" s="230" t="s">
        <v>284</v>
      </c>
      <c r="AB38" s="229"/>
      <c r="AC38" s="237"/>
      <c r="AD38" s="235"/>
      <c r="AE38" s="229"/>
      <c r="AF38" s="230" t="s">
        <v>285</v>
      </c>
      <c r="AG38" s="229"/>
      <c r="AH38" s="237"/>
      <c r="AI38" s="238"/>
      <c r="AJ38" s="229"/>
      <c r="AK38" s="231" t="s">
        <v>286</v>
      </c>
      <c r="AL38" s="229"/>
      <c r="AM38" s="237"/>
    </row>
    <row r="39" spans="3:39" ht="13.35" customHeight="1">
      <c r="Y39" s="235"/>
      <c r="AC39" s="236"/>
      <c r="AD39" s="235"/>
      <c r="AH39" s="236"/>
      <c r="AI39" s="235"/>
      <c r="AM39" s="236"/>
    </row>
    <row r="40" spans="3:39" ht="13.35" customHeight="1">
      <c r="C40" s="228"/>
      <c r="V40" s="228"/>
      <c r="Y40" s="239"/>
      <c r="Z40" s="240"/>
      <c r="AA40" s="240"/>
      <c r="AB40" s="240"/>
      <c r="AC40" s="241"/>
      <c r="AD40" s="239"/>
      <c r="AE40" s="240"/>
      <c r="AF40" s="240"/>
      <c r="AG40" s="240"/>
      <c r="AH40" s="241"/>
      <c r="AI40" s="239"/>
      <c r="AJ40" s="240"/>
      <c r="AK40" s="240"/>
      <c r="AL40" s="240"/>
      <c r="AM40" s="241"/>
    </row>
    <row r="42" spans="3:39" ht="13.35" customHeight="1">
      <c r="Y42" s="228" t="s">
        <v>287</v>
      </c>
    </row>
    <row r="43" spans="3:39" ht="13.35" customHeight="1">
      <c r="Y43" s="247" t="s">
        <v>281</v>
      </c>
      <c r="Z43" s="248"/>
      <c r="AA43" s="248"/>
      <c r="AB43" s="248"/>
      <c r="AC43" s="249"/>
      <c r="AD43" s="247" t="s">
        <v>282</v>
      </c>
      <c r="AE43" s="248"/>
      <c r="AF43" s="248"/>
      <c r="AG43" s="248"/>
      <c r="AH43" s="249"/>
      <c r="AI43" s="247" t="s">
        <v>283</v>
      </c>
      <c r="AJ43" s="248"/>
      <c r="AK43" s="248"/>
      <c r="AL43" s="248"/>
      <c r="AM43" s="249"/>
    </row>
    <row r="44" spans="3:39" ht="13.35" customHeight="1">
      <c r="D44" s="229"/>
      <c r="E44" s="230"/>
      <c r="F44" s="229"/>
      <c r="G44" s="229"/>
      <c r="H44" s="229"/>
      <c r="I44" s="229"/>
      <c r="J44" s="231"/>
      <c r="K44" s="229"/>
      <c r="L44" s="229"/>
      <c r="M44" s="229"/>
      <c r="N44" s="229"/>
      <c r="O44" s="231"/>
      <c r="P44" s="229"/>
      <c r="Q44" s="229"/>
      <c r="W44" s="229"/>
      <c r="X44" s="230"/>
      <c r="Y44" s="232"/>
      <c r="Z44" s="233"/>
      <c r="AA44" s="233"/>
      <c r="AB44" s="233"/>
      <c r="AC44" s="234"/>
      <c r="AD44" s="233"/>
      <c r="AE44" s="233"/>
      <c r="AF44" s="233"/>
      <c r="AG44" s="233"/>
      <c r="AH44" s="234"/>
      <c r="AI44" s="232"/>
      <c r="AJ44" s="233"/>
      <c r="AK44" s="233"/>
      <c r="AL44" s="233"/>
      <c r="AM44" s="234"/>
    </row>
    <row r="45" spans="3:39" ht="13.35" customHeight="1">
      <c r="Y45" s="235"/>
      <c r="AC45" s="236"/>
      <c r="AH45" s="236"/>
      <c r="AI45" s="235"/>
      <c r="AM45" s="236"/>
    </row>
    <row r="46" spans="3:39" ht="13.35" customHeight="1">
      <c r="Y46" s="235"/>
      <c r="Z46" s="229"/>
      <c r="AA46" s="230" t="s">
        <v>288</v>
      </c>
      <c r="AB46" s="229"/>
      <c r="AC46" s="237"/>
      <c r="AD46" s="229"/>
      <c r="AE46" s="229"/>
      <c r="AF46" s="231" t="s">
        <v>289</v>
      </c>
      <c r="AG46" s="229"/>
      <c r="AH46" s="237"/>
      <c r="AI46" s="238"/>
      <c r="AJ46" s="229"/>
      <c r="AK46" s="231" t="s">
        <v>286</v>
      </c>
      <c r="AL46" s="229"/>
      <c r="AM46" s="237"/>
    </row>
    <row r="47" spans="3:39" ht="13.35" customHeight="1">
      <c r="Y47" s="235"/>
      <c r="AC47" s="236"/>
      <c r="AH47" s="236"/>
      <c r="AI47" s="235"/>
      <c r="AM47" s="236"/>
    </row>
    <row r="48" spans="3:39" ht="13.35" customHeight="1">
      <c r="C48" s="228"/>
      <c r="V48" s="228"/>
      <c r="Y48" s="239"/>
      <c r="Z48" s="240"/>
      <c r="AA48" s="240"/>
      <c r="AB48" s="240"/>
      <c r="AC48" s="241"/>
      <c r="AD48" s="240"/>
      <c r="AE48" s="240"/>
      <c r="AF48" s="240"/>
      <c r="AG48" s="240"/>
      <c r="AH48" s="241"/>
      <c r="AI48" s="239"/>
      <c r="AJ48" s="240"/>
      <c r="AK48" s="240"/>
      <c r="AL48" s="240"/>
      <c r="AM48" s="241"/>
    </row>
    <row r="50" spans="4:39" ht="13.35" customHeight="1">
      <c r="Y50" s="242" t="s">
        <v>290</v>
      </c>
    </row>
    <row r="51" spans="4:39" ht="13.35" customHeight="1">
      <c r="Y51" s="247" t="s">
        <v>281</v>
      </c>
      <c r="Z51" s="248"/>
      <c r="AA51" s="248"/>
      <c r="AB51" s="248"/>
      <c r="AC51" s="249"/>
      <c r="AD51" s="247" t="s">
        <v>282</v>
      </c>
      <c r="AE51" s="248"/>
      <c r="AF51" s="248"/>
      <c r="AG51" s="248"/>
      <c r="AH51" s="249"/>
      <c r="AI51" s="247" t="s">
        <v>283</v>
      </c>
      <c r="AJ51" s="248"/>
      <c r="AK51" s="248"/>
      <c r="AL51" s="248"/>
      <c r="AM51" s="249"/>
    </row>
    <row r="52" spans="4:39" ht="13.35" customHeight="1">
      <c r="D52" s="229"/>
      <c r="E52" s="230"/>
      <c r="F52" s="229"/>
      <c r="G52" s="229"/>
      <c r="H52" s="229"/>
      <c r="I52" s="229"/>
      <c r="J52" s="231"/>
      <c r="K52" s="229"/>
      <c r="L52" s="229"/>
      <c r="M52" s="229"/>
      <c r="N52" s="229"/>
      <c r="O52" s="231"/>
      <c r="P52" s="229"/>
      <c r="Q52" s="229"/>
      <c r="W52" s="229"/>
      <c r="X52" s="230"/>
      <c r="Y52" s="232"/>
      <c r="Z52" s="233"/>
      <c r="AA52" s="233"/>
      <c r="AB52" s="233"/>
      <c r="AC52" s="234"/>
      <c r="AD52" s="233"/>
      <c r="AE52" s="233"/>
      <c r="AF52" s="233"/>
      <c r="AG52" s="233"/>
      <c r="AH52" s="234"/>
      <c r="AI52" s="232"/>
      <c r="AJ52" s="233"/>
      <c r="AK52" s="233"/>
      <c r="AL52" s="233"/>
      <c r="AM52" s="234"/>
    </row>
    <row r="53" spans="4:39" ht="13.35" customHeight="1">
      <c r="Y53" s="235"/>
      <c r="AC53" s="236"/>
      <c r="AH53" s="236"/>
      <c r="AI53" s="235"/>
      <c r="AM53" s="236"/>
    </row>
    <row r="54" spans="4:39" ht="13.35" customHeight="1">
      <c r="Y54" s="235"/>
      <c r="Z54" s="229"/>
      <c r="AA54" s="230" t="s">
        <v>291</v>
      </c>
      <c r="AB54" s="229"/>
      <c r="AC54" s="237"/>
      <c r="AD54" s="229"/>
      <c r="AE54" s="229"/>
      <c r="AF54" s="231" t="s">
        <v>292</v>
      </c>
      <c r="AG54" s="229"/>
      <c r="AH54" s="237"/>
      <c r="AI54" s="238"/>
      <c r="AJ54" s="229"/>
      <c r="AK54" s="231" t="s">
        <v>286</v>
      </c>
      <c r="AL54" s="229"/>
      <c r="AM54" s="237"/>
    </row>
    <row r="55" spans="4:39" ht="13.35" customHeight="1">
      <c r="Y55" s="235"/>
      <c r="AC55" s="236"/>
      <c r="AH55" s="236"/>
      <c r="AI55" s="235"/>
      <c r="AM55" s="236"/>
    </row>
    <row r="56" spans="4:39" ht="13.35" customHeight="1">
      <c r="Y56" s="239"/>
      <c r="Z56" s="240"/>
      <c r="AA56" s="240"/>
      <c r="AB56" s="240"/>
      <c r="AC56" s="241"/>
      <c r="AD56" s="240"/>
      <c r="AE56" s="240"/>
      <c r="AF56" s="240"/>
      <c r="AG56" s="240"/>
      <c r="AH56" s="241"/>
      <c r="AI56" s="239"/>
      <c r="AJ56" s="240"/>
      <c r="AK56" s="240"/>
      <c r="AL56" s="240"/>
      <c r="AM56" s="241"/>
    </row>
    <row r="57" spans="4:39" ht="13.35" customHeight="1">
      <c r="AK57" s="226" t="s">
        <v>293</v>
      </c>
    </row>
  </sheetData>
  <mergeCells count="9">
    <mergeCell ref="Y51:AC51"/>
    <mergeCell ref="AD51:AH51"/>
    <mergeCell ref="AI51:AM51"/>
    <mergeCell ref="Y35:AC35"/>
    <mergeCell ref="AD35:AH35"/>
    <mergeCell ref="AI35:AM35"/>
    <mergeCell ref="Y43:AC43"/>
    <mergeCell ref="AD43:AH43"/>
    <mergeCell ref="AI43:AM43"/>
  </mergeCells>
  <phoneticPr fontId="3"/>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1025" r:id="rId4">
          <objectPr defaultSize="0" autoPict="0" r:id="rId5">
            <anchor>
              <from>
                <xdr:col>35</xdr:col>
                <xdr:colOff>104775</xdr:colOff>
                <xdr:row>53</xdr:row>
                <xdr:rowOff>19050</xdr:rowOff>
              </from>
              <to>
                <xdr:col>39</xdr:col>
                <xdr:colOff>19050</xdr:colOff>
                <xdr:row>55</xdr:row>
                <xdr:rowOff>152400</xdr:rowOff>
              </to>
            </anchor>
          </objectPr>
        </oleObject>
      </mc:Choice>
      <mc:Fallback>
        <oleObject progId="Dstmp.StampObjec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7"/>
  <sheetViews>
    <sheetView showGridLines="0" topLeftCell="A13" zoomScale="85" zoomScaleNormal="85" workbookViewId="0">
      <selection activeCell="Z19" sqref="Z19"/>
    </sheetView>
  </sheetViews>
  <sheetFormatPr defaultRowHeight="13.5"/>
  <cols>
    <col min="1" max="1" width="4.375" customWidth="1"/>
    <col min="2" max="2" width="9" style="8" hidden="1" customWidth="1"/>
    <col min="4" max="4" width="69.375" customWidth="1"/>
    <col min="5" max="6" width="12.75" customWidth="1"/>
    <col min="7" max="18" width="13.125" hidden="1" customWidth="1"/>
    <col min="19" max="22" width="13.125" style="206" hidden="1" customWidth="1"/>
    <col min="23" max="24" width="13.125" style="206" customWidth="1"/>
  </cols>
  <sheetData>
    <row r="2" spans="2:24" ht="25.5" customHeight="1">
      <c r="C2" s="5"/>
      <c r="D2" s="5"/>
      <c r="E2" s="5"/>
      <c r="F2" s="5"/>
      <c r="H2" s="6" t="s">
        <v>13</v>
      </c>
      <c r="I2" s="250" t="s">
        <v>14</v>
      </c>
      <c r="J2" s="250"/>
      <c r="K2" s="250"/>
      <c r="L2" s="250"/>
      <c r="M2" s="250"/>
      <c r="N2" s="250"/>
      <c r="O2" s="250"/>
      <c r="P2" s="250"/>
      <c r="Q2" s="250"/>
      <c r="R2" s="250"/>
      <c r="S2" s="243"/>
      <c r="T2" s="243"/>
      <c r="U2" s="243"/>
      <c r="V2" s="243"/>
      <c r="W2" s="243"/>
      <c r="X2" s="243"/>
    </row>
    <row r="3" spans="2:24" ht="25.5" customHeight="1">
      <c r="C3" s="5"/>
      <c r="D3" s="9" t="str">
        <f ca="1">REPLACE(LEFT(CELL("filename",$B$1),FIND(".xls",CELL("filename",$B$1))-1),1,FIND("[",CELL("filename",$B$1)),)</f>
        <v>alert_S_ADBZR_DMC-CSTD-0-06-A-C0</v>
      </c>
      <c r="E3" s="5"/>
      <c r="F3" s="5"/>
      <c r="H3" s="7" t="s">
        <v>193</v>
      </c>
      <c r="I3" s="251" t="s">
        <v>252</v>
      </c>
      <c r="J3" s="252"/>
      <c r="K3" s="252"/>
      <c r="L3" s="252"/>
      <c r="M3" s="252"/>
      <c r="N3" s="252"/>
      <c r="O3" s="252"/>
      <c r="P3" s="252"/>
      <c r="Q3" s="252"/>
      <c r="R3" s="252"/>
      <c r="S3" s="243"/>
      <c r="T3" s="243"/>
      <c r="U3" s="243"/>
      <c r="V3" s="243"/>
      <c r="W3" s="243"/>
      <c r="X3" s="243"/>
    </row>
    <row r="4" spans="2:24" ht="25.5" customHeight="1">
      <c r="C4" s="5"/>
      <c r="D4" s="5"/>
      <c r="E4" s="23" t="str">
        <f>DGET(B8:C18,"Ver.",H4:H5)</f>
        <v>1.5.1</v>
      </c>
      <c r="F4" s="5"/>
      <c r="H4" s="8" t="s">
        <v>16</v>
      </c>
    </row>
    <row r="5" spans="2:24" ht="25.5" customHeight="1">
      <c r="C5" s="5"/>
      <c r="D5" s="5"/>
      <c r="E5" s="5"/>
      <c r="F5" s="5"/>
      <c r="H5" s="10">
        <f>MAX(B9:B18)</f>
        <v>8</v>
      </c>
    </row>
    <row r="6" spans="2:24" ht="14.25" thickBot="1"/>
    <row r="7" spans="2:24">
      <c r="C7" s="255" t="s">
        <v>0</v>
      </c>
      <c r="D7" s="256"/>
      <c r="E7" s="257" t="s">
        <v>2</v>
      </c>
      <c r="F7" s="257"/>
      <c r="G7" s="258" t="s">
        <v>5</v>
      </c>
      <c r="H7" s="258"/>
      <c r="I7" s="258"/>
      <c r="J7" s="258"/>
      <c r="K7" s="258"/>
      <c r="L7" s="258"/>
      <c r="M7" s="259" t="s">
        <v>12</v>
      </c>
      <c r="N7" s="259"/>
      <c r="O7" s="259"/>
      <c r="P7" s="259"/>
      <c r="Q7" s="259"/>
      <c r="R7" s="260"/>
      <c r="S7" s="253" t="s">
        <v>296</v>
      </c>
      <c r="T7" s="253"/>
      <c r="U7" s="253"/>
      <c r="V7" s="253"/>
      <c r="W7" s="253"/>
      <c r="X7" s="254"/>
    </row>
    <row r="8" spans="2:24" ht="27.75" thickBot="1">
      <c r="B8" s="8" t="s">
        <v>95</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0" t="s">
        <v>11</v>
      </c>
      <c r="S8" s="244" t="s">
        <v>6</v>
      </c>
      <c r="T8" s="244" t="s">
        <v>7</v>
      </c>
      <c r="U8" s="244" t="s">
        <v>8</v>
      </c>
      <c r="V8" s="244" t="s">
        <v>9</v>
      </c>
      <c r="W8" s="244" t="s">
        <v>10</v>
      </c>
      <c r="X8" s="245" t="s">
        <v>11</v>
      </c>
    </row>
    <row r="9" spans="2:24" ht="149.25" thickTop="1">
      <c r="B9" s="8">
        <f>IF(C9=0,0,ROW()-ROW($B$8))</f>
        <v>1</v>
      </c>
      <c r="C9" s="11" t="s">
        <v>15</v>
      </c>
      <c r="D9" s="188" t="s">
        <v>238</v>
      </c>
      <c r="E9" s="12" t="s">
        <v>32</v>
      </c>
      <c r="F9" s="12" t="s">
        <v>221</v>
      </c>
      <c r="G9" s="12" t="s">
        <v>32</v>
      </c>
      <c r="H9" s="12" t="s">
        <v>32</v>
      </c>
      <c r="I9" s="12" t="s">
        <v>32</v>
      </c>
      <c r="J9" s="12" t="s">
        <v>32</v>
      </c>
      <c r="K9" s="12" t="s">
        <v>32</v>
      </c>
      <c r="L9" s="12" t="s">
        <v>32</v>
      </c>
      <c r="M9" s="1" t="s">
        <v>32</v>
      </c>
      <c r="N9" s="1" t="s">
        <v>32</v>
      </c>
      <c r="O9" s="1" t="s">
        <v>32</v>
      </c>
      <c r="P9" s="1" t="s">
        <v>32</v>
      </c>
      <c r="Q9" s="1" t="s">
        <v>239</v>
      </c>
      <c r="R9" s="189">
        <v>44165</v>
      </c>
      <c r="S9" s="207" t="s">
        <v>32</v>
      </c>
      <c r="T9" s="207" t="s">
        <v>32</v>
      </c>
      <c r="U9" s="207" t="s">
        <v>32</v>
      </c>
      <c r="V9" s="207" t="s">
        <v>32</v>
      </c>
      <c r="W9" s="207" t="s">
        <v>32</v>
      </c>
      <c r="X9" s="189" t="s">
        <v>32</v>
      </c>
    </row>
    <row r="10" spans="2:24" ht="67.5">
      <c r="B10" s="8">
        <f t="shared" ref="B10:B17" si="0">IF(C10=0,0,ROW()-ROW($B$8))</f>
        <v>2</v>
      </c>
      <c r="C10" s="2" t="s">
        <v>240</v>
      </c>
      <c r="D10" s="188" t="s">
        <v>241</v>
      </c>
      <c r="E10" s="1" t="s">
        <v>32</v>
      </c>
      <c r="F10" s="1" t="s">
        <v>221</v>
      </c>
      <c r="G10" s="1" t="s">
        <v>32</v>
      </c>
      <c r="H10" s="1" t="s">
        <v>32</v>
      </c>
      <c r="I10" s="1" t="s">
        <v>32</v>
      </c>
      <c r="J10" s="1" t="s">
        <v>32</v>
      </c>
      <c r="K10" s="1" t="s">
        <v>32</v>
      </c>
      <c r="L10" s="1" t="s">
        <v>32</v>
      </c>
      <c r="M10" s="1" t="s">
        <v>32</v>
      </c>
      <c r="N10" s="1" t="s">
        <v>32</v>
      </c>
      <c r="O10" s="1" t="s">
        <v>32</v>
      </c>
      <c r="P10" s="1" t="s">
        <v>32</v>
      </c>
      <c r="Q10" s="1" t="s">
        <v>237</v>
      </c>
      <c r="R10" s="189">
        <v>44216</v>
      </c>
      <c r="S10" s="207" t="s">
        <v>32</v>
      </c>
      <c r="T10" s="207" t="s">
        <v>32</v>
      </c>
      <c r="U10" s="207" t="s">
        <v>32</v>
      </c>
      <c r="V10" s="207" t="s">
        <v>32</v>
      </c>
      <c r="W10" s="207" t="s">
        <v>32</v>
      </c>
      <c r="X10" s="189" t="s">
        <v>32</v>
      </c>
    </row>
    <row r="11" spans="2:24" ht="351">
      <c r="B11" s="8">
        <f t="shared" si="0"/>
        <v>3</v>
      </c>
      <c r="C11" s="11" t="s">
        <v>242</v>
      </c>
      <c r="D11" s="188" t="s">
        <v>244</v>
      </c>
      <c r="E11" s="1" t="s">
        <v>32</v>
      </c>
      <c r="F11" s="1" t="s">
        <v>221</v>
      </c>
      <c r="G11" s="1" t="s">
        <v>32</v>
      </c>
      <c r="H11" s="1" t="s">
        <v>32</v>
      </c>
      <c r="I11" s="1" t="s">
        <v>32</v>
      </c>
      <c r="J11" s="1" t="s">
        <v>32</v>
      </c>
      <c r="K11" s="1" t="s">
        <v>32</v>
      </c>
      <c r="L11" s="1" t="s">
        <v>32</v>
      </c>
      <c r="M11" s="1" t="s">
        <v>32</v>
      </c>
      <c r="N11" s="1" t="s">
        <v>32</v>
      </c>
      <c r="O11" s="1" t="s">
        <v>32</v>
      </c>
      <c r="P11" s="1" t="s">
        <v>32</v>
      </c>
      <c r="Q11" s="1" t="s">
        <v>243</v>
      </c>
      <c r="R11" s="189">
        <v>44292</v>
      </c>
      <c r="S11" s="207" t="s">
        <v>32</v>
      </c>
      <c r="T11" s="207" t="s">
        <v>32</v>
      </c>
      <c r="U11" s="207" t="s">
        <v>32</v>
      </c>
      <c r="V11" s="207" t="s">
        <v>32</v>
      </c>
      <c r="W11" s="207" t="s">
        <v>32</v>
      </c>
      <c r="X11" s="189" t="s">
        <v>32</v>
      </c>
    </row>
    <row r="12" spans="2:24" ht="189">
      <c r="B12" s="8">
        <f t="shared" si="0"/>
        <v>4</v>
      </c>
      <c r="C12" s="2" t="s">
        <v>251</v>
      </c>
      <c r="D12" s="188" t="s">
        <v>254</v>
      </c>
      <c r="E12" s="1" t="s">
        <v>32</v>
      </c>
      <c r="F12" s="1" t="s">
        <v>221</v>
      </c>
      <c r="G12" s="1" t="s">
        <v>32</v>
      </c>
      <c r="H12" s="1" t="s">
        <v>32</v>
      </c>
      <c r="I12" s="1" t="s">
        <v>32</v>
      </c>
      <c r="J12" s="1" t="s">
        <v>32</v>
      </c>
      <c r="K12" s="1" t="s">
        <v>32</v>
      </c>
      <c r="L12" s="1" t="s">
        <v>32</v>
      </c>
      <c r="M12" s="1" t="s">
        <v>32</v>
      </c>
      <c r="N12" s="1" t="s">
        <v>32</v>
      </c>
      <c r="O12" s="1" t="s">
        <v>32</v>
      </c>
      <c r="P12" s="1" t="s">
        <v>32</v>
      </c>
      <c r="Q12" s="1" t="s">
        <v>253</v>
      </c>
      <c r="R12" s="189">
        <v>44694</v>
      </c>
      <c r="S12" s="207" t="s">
        <v>32</v>
      </c>
      <c r="T12" s="207" t="s">
        <v>32</v>
      </c>
      <c r="U12" s="207" t="s">
        <v>32</v>
      </c>
      <c r="V12" s="207" t="s">
        <v>32</v>
      </c>
      <c r="W12" s="207" t="s">
        <v>32</v>
      </c>
      <c r="X12" s="189" t="s">
        <v>32</v>
      </c>
    </row>
    <row r="13" spans="2:24" ht="162">
      <c r="B13" s="8">
        <f t="shared" si="0"/>
        <v>5</v>
      </c>
      <c r="C13" s="201" t="s">
        <v>263</v>
      </c>
      <c r="D13" s="188" t="s">
        <v>264</v>
      </c>
      <c r="E13" s="1" t="s">
        <v>32</v>
      </c>
      <c r="F13" s="1" t="s">
        <v>221</v>
      </c>
      <c r="G13" s="1" t="s">
        <v>32</v>
      </c>
      <c r="H13" s="1" t="s">
        <v>32</v>
      </c>
      <c r="I13" s="1" t="s">
        <v>32</v>
      </c>
      <c r="J13" s="1" t="s">
        <v>32</v>
      </c>
      <c r="K13" s="1" t="s">
        <v>32</v>
      </c>
      <c r="L13" s="1" t="s">
        <v>32</v>
      </c>
      <c r="M13" s="1"/>
      <c r="N13" s="1"/>
      <c r="O13" s="202"/>
      <c r="P13" s="202"/>
      <c r="Q13" s="202" t="s">
        <v>265</v>
      </c>
      <c r="R13" s="203">
        <v>45344</v>
      </c>
      <c r="S13" s="207"/>
      <c r="T13" s="207"/>
      <c r="U13" s="202"/>
      <c r="V13" s="202"/>
      <c r="W13" s="202" t="s">
        <v>265</v>
      </c>
      <c r="X13" s="203">
        <v>45344</v>
      </c>
    </row>
    <row r="14" spans="2:24" ht="81">
      <c r="B14" s="8">
        <f t="shared" si="0"/>
        <v>6</v>
      </c>
      <c r="C14" s="208" t="s">
        <v>266</v>
      </c>
      <c r="D14" s="188" t="s">
        <v>267</v>
      </c>
      <c r="E14" s="207"/>
      <c r="F14" s="207"/>
      <c r="G14" s="207"/>
      <c r="H14" s="207"/>
      <c r="I14" s="207"/>
      <c r="J14" s="207"/>
      <c r="K14" s="207"/>
      <c r="L14" s="207"/>
      <c r="M14" s="207"/>
      <c r="N14" s="207"/>
      <c r="O14" s="207"/>
      <c r="P14" s="207"/>
      <c r="Q14" s="207"/>
      <c r="R14" s="209"/>
      <c r="S14" s="207" t="s">
        <v>32</v>
      </c>
      <c r="T14" s="207" t="s">
        <v>32</v>
      </c>
      <c r="U14" s="207" t="s">
        <v>32</v>
      </c>
      <c r="V14" s="207" t="s">
        <v>32</v>
      </c>
      <c r="W14" s="207" t="s">
        <v>32</v>
      </c>
      <c r="X14" s="209" t="s">
        <v>32</v>
      </c>
    </row>
    <row r="15" spans="2:24" s="206" customFormat="1" ht="216">
      <c r="B15" s="210">
        <f t="shared" si="0"/>
        <v>7</v>
      </c>
      <c r="C15" s="208" t="s">
        <v>268</v>
      </c>
      <c r="D15" s="211" t="s">
        <v>270</v>
      </c>
      <c r="E15" s="207" t="s">
        <v>32</v>
      </c>
      <c r="F15" s="207" t="s">
        <v>221</v>
      </c>
      <c r="G15" s="207"/>
      <c r="H15" s="207"/>
      <c r="I15" s="207"/>
      <c r="J15" s="207"/>
      <c r="K15" s="207" t="s">
        <v>269</v>
      </c>
      <c r="L15" s="214">
        <v>45839</v>
      </c>
      <c r="M15" s="207" t="s">
        <v>32</v>
      </c>
      <c r="N15" s="207" t="s">
        <v>32</v>
      </c>
      <c r="O15" s="207" t="s">
        <v>32</v>
      </c>
      <c r="P15" s="207" t="s">
        <v>32</v>
      </c>
      <c r="Q15" s="207" t="s">
        <v>32</v>
      </c>
      <c r="R15" s="209" t="s">
        <v>32</v>
      </c>
      <c r="S15" s="207" t="s">
        <v>32</v>
      </c>
      <c r="T15" s="207" t="s">
        <v>32</v>
      </c>
      <c r="U15" s="207" t="s">
        <v>32</v>
      </c>
      <c r="V15" s="207" t="s">
        <v>32</v>
      </c>
      <c r="W15" s="207" t="s">
        <v>32</v>
      </c>
      <c r="X15" s="209" t="s">
        <v>32</v>
      </c>
    </row>
    <row r="16" spans="2:24" s="206" customFormat="1" ht="148.5">
      <c r="B16" s="210">
        <f t="shared" ref="B16" si="1">IF(C16=0,0,ROW()-ROW($B$8))</f>
        <v>8</v>
      </c>
      <c r="C16" s="218" t="s">
        <v>295</v>
      </c>
      <c r="D16" s="219" t="s">
        <v>276</v>
      </c>
      <c r="E16" s="220" t="s">
        <v>32</v>
      </c>
      <c r="F16" s="220" t="s">
        <v>277</v>
      </c>
      <c r="G16" s="220"/>
      <c r="H16" s="220"/>
      <c r="I16" s="220"/>
      <c r="J16" s="220"/>
      <c r="K16" s="220" t="s">
        <v>278</v>
      </c>
      <c r="L16" s="221">
        <v>46007</v>
      </c>
      <c r="M16" s="220" t="s">
        <v>32</v>
      </c>
      <c r="N16" s="220" t="s">
        <v>32</v>
      </c>
      <c r="O16" s="220" t="s">
        <v>32</v>
      </c>
      <c r="P16" s="220" t="s">
        <v>32</v>
      </c>
      <c r="Q16" s="220" t="s">
        <v>32</v>
      </c>
      <c r="R16" s="222" t="s">
        <v>32</v>
      </c>
      <c r="S16" s="220" t="s">
        <v>32</v>
      </c>
      <c r="T16" s="220" t="s">
        <v>32</v>
      </c>
      <c r="U16" s="220" t="s">
        <v>32</v>
      </c>
      <c r="V16" s="220" t="s">
        <v>32</v>
      </c>
      <c r="W16" s="220" t="s">
        <v>297</v>
      </c>
      <c r="X16" s="246">
        <v>46007</v>
      </c>
    </row>
    <row r="17" spans="2:24" s="206" customFormat="1" ht="14.25" thickBot="1">
      <c r="B17" s="210">
        <f t="shared" si="0"/>
        <v>0</v>
      </c>
      <c r="C17" s="205"/>
      <c r="D17" s="223"/>
      <c r="E17" s="212"/>
      <c r="F17" s="212"/>
      <c r="G17" s="212"/>
      <c r="H17" s="212"/>
      <c r="I17" s="212"/>
      <c r="J17" s="212"/>
      <c r="K17" s="212"/>
      <c r="L17" s="212"/>
      <c r="M17" s="212"/>
      <c r="N17" s="212"/>
      <c r="O17" s="212"/>
      <c r="P17" s="212"/>
      <c r="Q17" s="212"/>
      <c r="R17" s="213"/>
      <c r="S17" s="212"/>
      <c r="T17" s="212"/>
      <c r="U17" s="212"/>
      <c r="V17" s="212"/>
      <c r="W17" s="212"/>
      <c r="X17" s="213"/>
    </row>
  </sheetData>
  <mergeCells count="7">
    <mergeCell ref="I2:R2"/>
    <mergeCell ref="I3:R3"/>
    <mergeCell ref="S7:X7"/>
    <mergeCell ref="C7:D7"/>
    <mergeCell ref="E7:F7"/>
    <mergeCell ref="G7:L7"/>
    <mergeCell ref="M7:R7"/>
  </mergeCells>
  <phoneticPr fontId="3"/>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D45" sqref="D45"/>
    </sheetView>
  </sheetViews>
  <sheetFormatPr defaultRowHeight="13.5"/>
  <cols>
    <col min="2" max="2" width="4.625" customWidth="1"/>
    <col min="3" max="3" width="3.375" customWidth="1"/>
    <col min="4" max="4" width="17.375" customWidth="1"/>
    <col min="5" max="5" width="106" customWidth="1"/>
  </cols>
  <sheetData>
    <row r="2" spans="2:5">
      <c r="B2" s="149" t="s">
        <v>141</v>
      </c>
    </row>
    <row r="3" spans="2:5">
      <c r="C3" t="s">
        <v>151</v>
      </c>
    </row>
    <row r="6" spans="2:5" ht="14.25" thickBot="1">
      <c r="B6" s="149" t="s">
        <v>142</v>
      </c>
      <c r="C6" s="149"/>
    </row>
    <row r="7" spans="2:5" ht="14.25" thickBot="1">
      <c r="C7" s="77" t="s">
        <v>144</v>
      </c>
      <c r="D7" s="85"/>
      <c r="E7" s="78" t="s">
        <v>152</v>
      </c>
    </row>
    <row r="8" spans="2:5" ht="20.25" customHeight="1" thickTop="1">
      <c r="C8" s="152">
        <v>0</v>
      </c>
      <c r="D8" s="86" t="s">
        <v>153</v>
      </c>
      <c r="E8" s="151" t="s">
        <v>247</v>
      </c>
    </row>
    <row r="9" spans="2:5">
      <c r="C9" s="158"/>
      <c r="D9" s="160"/>
      <c r="E9" s="159"/>
    </row>
    <row r="10" spans="2:5" ht="14.25" thickBot="1">
      <c r="C10" s="156"/>
      <c r="D10" s="88"/>
      <c r="E10" s="4"/>
    </row>
    <row r="11" spans="2:5">
      <c r="C11" s="154"/>
    </row>
    <row r="12" spans="2:5" ht="14.25" thickBot="1">
      <c r="B12" s="149" t="s">
        <v>143</v>
      </c>
      <c r="C12" s="84"/>
      <c r="D12" s="84"/>
    </row>
    <row r="13" spans="2:5" ht="14.25" thickBot="1">
      <c r="B13" s="150"/>
      <c r="C13" s="155" t="s">
        <v>144</v>
      </c>
      <c r="D13" s="85" t="s">
        <v>145</v>
      </c>
      <c r="E13" s="78" t="s">
        <v>146</v>
      </c>
    </row>
    <row r="14" spans="2:5" ht="14.25" thickTop="1">
      <c r="C14" s="152">
        <v>0</v>
      </c>
      <c r="D14" s="86" t="s">
        <v>158</v>
      </c>
      <c r="E14" s="157" t="s">
        <v>159</v>
      </c>
    </row>
    <row r="15" spans="2:5">
      <c r="C15" s="153">
        <v>1</v>
      </c>
      <c r="D15" s="87" t="s">
        <v>24</v>
      </c>
      <c r="E15" s="73" t="s">
        <v>147</v>
      </c>
    </row>
    <row r="16" spans="2:5">
      <c r="C16" s="153">
        <v>2</v>
      </c>
      <c r="D16" s="87" t="s">
        <v>25</v>
      </c>
      <c r="E16" s="73" t="s">
        <v>148</v>
      </c>
    </row>
    <row r="17" spans="2:5">
      <c r="C17" s="153">
        <v>3</v>
      </c>
      <c r="D17" s="87" t="s">
        <v>26</v>
      </c>
      <c r="E17" s="73" t="s">
        <v>149</v>
      </c>
    </row>
    <row r="18" spans="2:5">
      <c r="C18" s="153">
        <v>4</v>
      </c>
      <c r="D18" s="87" t="s">
        <v>27</v>
      </c>
      <c r="E18" s="73" t="s">
        <v>150</v>
      </c>
    </row>
    <row r="19" spans="2:5">
      <c r="C19" s="153">
        <v>5</v>
      </c>
      <c r="D19" s="87" t="s">
        <v>160</v>
      </c>
      <c r="E19" s="73" t="s">
        <v>162</v>
      </c>
    </row>
    <row r="20" spans="2:5">
      <c r="C20" s="153">
        <v>6</v>
      </c>
      <c r="D20" s="87" t="s">
        <v>166</v>
      </c>
      <c r="E20" s="73" t="s">
        <v>188</v>
      </c>
    </row>
    <row r="21" spans="2:5" ht="14.25" thickBot="1">
      <c r="C21" s="156"/>
      <c r="D21" s="88"/>
      <c r="E21" s="4"/>
    </row>
    <row r="24" spans="2:5" ht="14.25" thickBot="1">
      <c r="B24" s="149" t="s">
        <v>154</v>
      </c>
    </row>
    <row r="25" spans="2:5" ht="14.25" thickBot="1">
      <c r="C25" s="155" t="s">
        <v>144</v>
      </c>
      <c r="D25" s="85" t="s">
        <v>145</v>
      </c>
      <c r="E25" s="78" t="s">
        <v>146</v>
      </c>
    </row>
    <row r="26" spans="2:5" ht="30.75" customHeight="1" thickTop="1">
      <c r="C26" s="152">
        <v>0</v>
      </c>
      <c r="D26" s="86" t="s">
        <v>155</v>
      </c>
      <c r="E26" s="157" t="s">
        <v>163</v>
      </c>
    </row>
    <row r="27" spans="2:5" ht="120" customHeight="1">
      <c r="C27" s="153">
        <v>1</v>
      </c>
      <c r="D27" s="87" t="s">
        <v>190</v>
      </c>
      <c r="E27" s="89" t="s">
        <v>192</v>
      </c>
    </row>
    <row r="28" spans="2:5" ht="81" customHeight="1">
      <c r="C28" s="153">
        <v>2</v>
      </c>
      <c r="D28" s="87" t="s">
        <v>187</v>
      </c>
      <c r="E28" s="89" t="s">
        <v>197</v>
      </c>
    </row>
    <row r="29" spans="2:5" ht="45" customHeight="1">
      <c r="C29" s="153">
        <v>3</v>
      </c>
      <c r="D29" s="87" t="s">
        <v>161</v>
      </c>
      <c r="E29" s="89" t="s">
        <v>164</v>
      </c>
    </row>
    <row r="30" spans="2:5" ht="16.5" customHeight="1">
      <c r="C30" s="153">
        <v>4</v>
      </c>
      <c r="D30" s="87" t="s">
        <v>156</v>
      </c>
      <c r="E30" s="73" t="s">
        <v>170</v>
      </c>
    </row>
    <row r="31" spans="2:5" ht="16.5" customHeight="1">
      <c r="C31" s="153">
        <v>5</v>
      </c>
      <c r="D31" s="87" t="s">
        <v>157</v>
      </c>
      <c r="E31" s="73" t="s">
        <v>165</v>
      </c>
    </row>
    <row r="32" spans="2:5">
      <c r="C32" s="153"/>
      <c r="D32" s="87"/>
      <c r="E32" s="73"/>
    </row>
    <row r="33" spans="2:5">
      <c r="C33" s="153"/>
      <c r="D33" s="87"/>
      <c r="E33" s="73"/>
    </row>
    <row r="34" spans="2:5" ht="14.25" thickBot="1">
      <c r="C34" s="156"/>
      <c r="D34" s="88"/>
      <c r="E34" s="4"/>
    </row>
    <row r="37" spans="2:5" ht="14.25" thickBot="1">
      <c r="B37" s="149" t="s">
        <v>184</v>
      </c>
    </row>
    <row r="38" spans="2:5">
      <c r="C38" s="261"/>
      <c r="D38" s="262"/>
      <c r="E38" s="110" t="s">
        <v>126</v>
      </c>
    </row>
    <row r="39" spans="2:5" ht="14.25" thickBot="1">
      <c r="C39" s="263"/>
      <c r="D39" s="264"/>
      <c r="E39" s="4" t="s">
        <v>127</v>
      </c>
    </row>
  </sheetData>
  <mergeCells count="2">
    <mergeCell ref="C38:D38"/>
    <mergeCell ref="C39:D39"/>
  </mergeCells>
  <phoneticPr fontId="3"/>
  <hyperlinks>
    <hyperlink ref="E9" r:id="rId1" display="https://aip01.dndev.net/wiki/display/MET631B/D1L1+and+R-Car+Local+Communication+Specification" xr:uid="{00000000-0004-0000-0100-000001000000}"/>
    <hyperlink ref="E8" r:id="rId2" display="https://aip01.dndev.net/svn/aip/tmcapp/sd/evidence/trunk/02_Design/01_Vom/Alert/03_Component/v5xx/alert_design.pptx" xr:uid="{00000000-0004-0000-0100-000000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S17" sqref="S17"/>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5" t="s">
        <v>19</v>
      </c>
      <c r="C2" s="266"/>
      <c r="D2" s="280" t="s">
        <v>271</v>
      </c>
      <c r="E2" s="281"/>
      <c r="F2" s="281"/>
      <c r="G2" s="281"/>
      <c r="H2" s="282"/>
    </row>
    <row r="3" spans="2:14">
      <c r="B3" s="267" t="s">
        <v>123</v>
      </c>
      <c r="C3" s="268"/>
      <c r="D3" s="283" t="s">
        <v>272</v>
      </c>
      <c r="E3" s="284"/>
      <c r="F3" s="284"/>
      <c r="G3" s="284"/>
      <c r="H3" s="285"/>
    </row>
    <row r="4" spans="2:14" ht="14.25" thickBot="1">
      <c r="B4" s="269" t="s">
        <v>18</v>
      </c>
      <c r="C4" s="270"/>
      <c r="D4" s="271" t="str">
        <f ca="1">表紙!D3&amp;".c"</f>
        <v>alert_S_ADBZR_DMC-CSTD-0-06-A-C0.c</v>
      </c>
      <c r="E4" s="272"/>
      <c r="F4" s="272"/>
      <c r="G4" s="272"/>
      <c r="H4" s="27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5" t="s">
        <v>41</v>
      </c>
      <c r="C6" s="266"/>
      <c r="D6" s="274" t="str">
        <f ca="1">MID(D4, LEN("alert_") + 1, FIND("-",D4,1) - LEN("alert_") - 1)</f>
        <v>S_ADBZR_DMC</v>
      </c>
      <c r="E6" s="275"/>
      <c r="F6" s="275"/>
      <c r="G6" s="275"/>
      <c r="H6" s="276"/>
    </row>
    <row r="7" spans="2:14">
      <c r="B7" s="267" t="s">
        <v>42</v>
      </c>
      <c r="C7" s="268"/>
      <c r="D7" s="277">
        <f>COUNTA($D$13:$D$37)</f>
        <v>1</v>
      </c>
      <c r="E7" s="278"/>
      <c r="F7" s="278"/>
      <c r="G7" s="278"/>
      <c r="H7" s="279"/>
    </row>
    <row r="8" spans="2:14">
      <c r="B8" s="267" t="s">
        <v>99</v>
      </c>
      <c r="C8" s="268"/>
      <c r="D8" s="277" t="str">
        <f ca="1">"st_gp_ALERT_"&amp;UPPER(D6)&amp;"_MTRX"</f>
        <v>st_gp_ALERT_S_ADBZR_DMC_MTRX</v>
      </c>
      <c r="E8" s="278"/>
      <c r="F8" s="278"/>
      <c r="G8" s="278"/>
      <c r="H8" s="279"/>
    </row>
    <row r="9" spans="2:14">
      <c r="B9" s="267" t="s">
        <v>43</v>
      </c>
      <c r="C9" s="268"/>
      <c r="D9" s="286" t="s">
        <v>222</v>
      </c>
      <c r="E9" s="287"/>
      <c r="F9" s="287"/>
      <c r="G9" s="287"/>
      <c r="H9" s="288"/>
    </row>
    <row r="10" spans="2:14" ht="14.25" thickBot="1">
      <c r="B10" s="269" t="s">
        <v>49</v>
      </c>
      <c r="C10" s="270"/>
      <c r="D10" s="289"/>
      <c r="E10" s="290"/>
      <c r="F10" s="290"/>
      <c r="G10" s="290"/>
      <c r="H10" s="291"/>
    </row>
    <row r="11" spans="2:14" ht="14.25" thickBot="1"/>
    <row r="12" spans="2:14" ht="14.25" thickBot="1">
      <c r="B12" s="140" t="s">
        <v>39</v>
      </c>
      <c r="C12" s="103" t="s">
        <v>48</v>
      </c>
      <c r="D12" s="104" t="s">
        <v>40</v>
      </c>
      <c r="E12" s="104" t="s">
        <v>44</v>
      </c>
      <c r="F12" s="104" t="s">
        <v>45</v>
      </c>
      <c r="G12" s="104" t="s">
        <v>46</v>
      </c>
      <c r="H12" s="105" t="s">
        <v>47</v>
      </c>
      <c r="I12" s="145" t="s">
        <v>56</v>
      </c>
      <c r="K12" t="s">
        <v>50</v>
      </c>
      <c r="L12" t="s">
        <v>43</v>
      </c>
      <c r="M12" t="s">
        <v>90</v>
      </c>
    </row>
    <row r="13" spans="2:14" ht="14.25" thickTop="1">
      <c r="B13" s="106">
        <v>1</v>
      </c>
      <c r="C13" s="108" t="s">
        <v>183</v>
      </c>
      <c r="D13" s="109" t="s">
        <v>53</v>
      </c>
      <c r="E13" s="109" t="s">
        <v>183</v>
      </c>
      <c r="F13" s="51" t="str">
        <f t="shared" ref="F13:F37" ca="1" si="0">IF($D13&lt;&gt;"","u4_s_Alert"&amp;UPPER(LEFT($D$6,1))&amp;LOWER(MID($D$6,2,100))&amp;IF($D$7=1,"",N13)&amp;"Srcchk","")</f>
        <v>u4_s_AlertS_adbzr_dmcSrcchk</v>
      </c>
      <c r="G13" s="51" t="str">
        <f t="shared" ref="G13:G37" si="1">IF($D13&lt;&gt;"",IF($E13="○","vd_s_Alert"&amp;UPPER(LEFT($D$6,1))&amp;LOWER(MID($D$6,2,100))&amp;IF($D$7=1,"",N13)&amp;"RwTx","NULL"),"")</f>
        <v>NULL</v>
      </c>
      <c r="H13" s="107" t="str">
        <f ca="1">IF($D13&lt;&gt;"","ALERT_CH_"&amp;UPPER($D$6)&amp;IF($D$7=1,"","_"&amp;UPPER($C13)),"")</f>
        <v>ALERT_CH_S_ADBZR_DMC</v>
      </c>
      <c r="I13" s="146" t="str">
        <f ca="1">IF($D13&lt;&gt;"","ALERT_REQ_"&amp;UPPER($D$6)&amp;IF($D$7=1,"","_"&amp;UPPER($C13)),"")</f>
        <v>ALERT_REQ_S_ADBZR_DMC</v>
      </c>
      <c r="K13" t="s">
        <v>51</v>
      </c>
      <c r="L13" t="s">
        <v>55</v>
      </c>
      <c r="M13" t="e">
        <f t="shared" ref="M13:M37" si="2">FIND("_",C13,1)</f>
        <v>#VALUE!</v>
      </c>
      <c r="N13" t="str">
        <f t="shared" ref="N13:N37" si="3">IF(IFERROR(M13,0),UPPER(LEFT(C13,1))&amp;LOWER(MID(C13,2,M13-2))&amp;UPPER(MID(C13,M13+1,1))&amp;LOWER(MID(C13,M13+2,100)),UPPER(LEFT(C13,1))&amp;LOWER(MID(C13,2,100)))</f>
        <v>－</v>
      </c>
    </row>
    <row r="14" spans="2:14">
      <c r="B14" s="96">
        <v>2</v>
      </c>
      <c r="C14" s="143"/>
      <c r="D14" s="144"/>
      <c r="E14" s="144"/>
      <c r="F14" s="46" t="str">
        <f t="shared" si="0"/>
        <v/>
      </c>
      <c r="G14" s="46" t="str">
        <f t="shared" si="1"/>
        <v/>
      </c>
      <c r="H14" s="66" t="str">
        <f t="shared" ref="H14:H37" si="4">IF($D14&lt;&gt;"","ALERT_CH_"&amp;UPPER($D$6)&amp;IF($D$7=1,"","_"&amp;UPPER($C14)),"")</f>
        <v/>
      </c>
      <c r="I14" s="147" t="str">
        <f t="shared" ref="I14:I37" si="5">IF($D14&lt;&gt;"","ALERT_REQ_"&amp;UPPER($D$6)&amp;IF($D$7=1,"","_"&amp;UPPER($C14)),"")</f>
        <v/>
      </c>
      <c r="K14" t="s">
        <v>52</v>
      </c>
      <c r="L14" t="str">
        <f ca="1">"vd_g_Alert"&amp;UPPER(LEFT(D6,1))&amp;LOWER(MID(D6,2,100))&amp;"Init"</f>
        <v>vd_g_AlertS_adbzr_dmcInit</v>
      </c>
      <c r="M14" t="e">
        <f t="shared" si="2"/>
        <v>#VALUE!</v>
      </c>
      <c r="N14" t="str">
        <f t="shared" si="3"/>
        <v/>
      </c>
    </row>
    <row r="15" spans="2:14">
      <c r="B15" s="96">
        <v>3</v>
      </c>
      <c r="C15" s="143"/>
      <c r="D15" s="144"/>
      <c r="E15" s="144"/>
      <c r="F15" s="46" t="str">
        <f t="shared" si="0"/>
        <v/>
      </c>
      <c r="G15" s="46" t="str">
        <f t="shared" si="1"/>
        <v/>
      </c>
      <c r="H15" s="66" t="str">
        <f t="shared" si="4"/>
        <v/>
      </c>
      <c r="I15" s="147" t="str">
        <f t="shared" si="5"/>
        <v/>
      </c>
      <c r="K15" t="s">
        <v>128</v>
      </c>
      <c r="M15" t="e">
        <f t="shared" si="2"/>
        <v>#VALUE!</v>
      </c>
      <c r="N15" t="str">
        <f t="shared" si="3"/>
        <v/>
      </c>
    </row>
    <row r="16" spans="2:14">
      <c r="B16" s="96">
        <v>4</v>
      </c>
      <c r="C16" s="143"/>
      <c r="D16" s="144"/>
      <c r="E16" s="144"/>
      <c r="F16" s="46" t="str">
        <f t="shared" si="0"/>
        <v/>
      </c>
      <c r="G16" s="46" t="str">
        <f t="shared" si="1"/>
        <v/>
      </c>
      <c r="H16" s="66" t="str">
        <f t="shared" si="4"/>
        <v/>
      </c>
      <c r="I16" s="147" t="str">
        <f t="shared" si="5"/>
        <v/>
      </c>
      <c r="K16" t="s">
        <v>129</v>
      </c>
      <c r="M16" t="e">
        <f t="shared" si="2"/>
        <v>#VALUE!</v>
      </c>
      <c r="N16" t="str">
        <f t="shared" si="3"/>
        <v/>
      </c>
    </row>
    <row r="17" spans="2:14">
      <c r="B17" s="96">
        <v>5</v>
      </c>
      <c r="C17" s="143"/>
      <c r="D17" s="144"/>
      <c r="E17" s="144"/>
      <c r="F17" s="46" t="str">
        <f t="shared" si="0"/>
        <v/>
      </c>
      <c r="G17" s="46" t="str">
        <f t="shared" si="1"/>
        <v/>
      </c>
      <c r="H17" s="66" t="str">
        <f t="shared" si="4"/>
        <v/>
      </c>
      <c r="I17" s="147" t="str">
        <f t="shared" si="5"/>
        <v/>
      </c>
      <c r="K17" t="s">
        <v>53</v>
      </c>
      <c r="M17" t="e">
        <f t="shared" si="2"/>
        <v>#VALUE!</v>
      </c>
      <c r="N17" t="str">
        <f t="shared" si="3"/>
        <v/>
      </c>
    </row>
    <row r="18" spans="2:14">
      <c r="B18" s="96">
        <v>6</v>
      </c>
      <c r="C18" s="143"/>
      <c r="D18" s="144"/>
      <c r="E18" s="144"/>
      <c r="F18" s="46" t="str">
        <f t="shared" si="0"/>
        <v/>
      </c>
      <c r="G18" s="46" t="str">
        <f t="shared" si="1"/>
        <v/>
      </c>
      <c r="H18" s="66" t="str">
        <f t="shared" si="4"/>
        <v/>
      </c>
      <c r="I18" s="147" t="str">
        <f t="shared" si="5"/>
        <v/>
      </c>
      <c r="K18" t="s">
        <v>54</v>
      </c>
      <c r="M18" t="e">
        <f t="shared" si="2"/>
        <v>#VALUE!</v>
      </c>
      <c r="N18" t="str">
        <f t="shared" si="3"/>
        <v/>
      </c>
    </row>
    <row r="19" spans="2:14">
      <c r="B19" s="96">
        <v>7</v>
      </c>
      <c r="C19" s="143"/>
      <c r="D19" s="144"/>
      <c r="E19" s="144"/>
      <c r="F19" s="46" t="str">
        <f t="shared" si="0"/>
        <v/>
      </c>
      <c r="G19" s="46" t="str">
        <f t="shared" si="1"/>
        <v/>
      </c>
      <c r="H19" s="66" t="str">
        <f t="shared" si="4"/>
        <v/>
      </c>
      <c r="I19" s="147" t="str">
        <f t="shared" si="5"/>
        <v/>
      </c>
      <c r="K19" t="s">
        <v>54</v>
      </c>
      <c r="M19" t="e">
        <f t="shared" si="2"/>
        <v>#VALUE!</v>
      </c>
      <c r="N19" t="str">
        <f t="shared" si="3"/>
        <v/>
      </c>
    </row>
    <row r="20" spans="2:14">
      <c r="B20" s="96">
        <v>8</v>
      </c>
      <c r="C20" s="143"/>
      <c r="D20" s="144"/>
      <c r="E20" s="144"/>
      <c r="F20" s="46" t="str">
        <f t="shared" si="0"/>
        <v/>
      </c>
      <c r="G20" s="46" t="str">
        <f t="shared" si="1"/>
        <v/>
      </c>
      <c r="H20" s="66" t="str">
        <f t="shared" si="4"/>
        <v/>
      </c>
      <c r="I20" s="147" t="str">
        <f t="shared" si="5"/>
        <v/>
      </c>
      <c r="K20" t="s">
        <v>54</v>
      </c>
      <c r="M20" t="e">
        <f t="shared" si="2"/>
        <v>#VALUE!</v>
      </c>
      <c r="N20" t="str">
        <f t="shared" si="3"/>
        <v/>
      </c>
    </row>
    <row r="21" spans="2:14">
      <c r="B21" s="96">
        <v>9</v>
      </c>
      <c r="C21" s="143"/>
      <c r="D21" s="144"/>
      <c r="E21" s="144"/>
      <c r="F21" s="46" t="str">
        <f t="shared" si="0"/>
        <v/>
      </c>
      <c r="G21" s="46" t="str">
        <f t="shared" si="1"/>
        <v/>
      </c>
      <c r="H21" s="66" t="str">
        <f t="shared" si="4"/>
        <v/>
      </c>
      <c r="I21" s="147" t="str">
        <f t="shared" si="5"/>
        <v/>
      </c>
      <c r="K21" t="s">
        <v>54</v>
      </c>
      <c r="M21" t="e">
        <f t="shared" si="2"/>
        <v>#VALUE!</v>
      </c>
      <c r="N21" t="str">
        <f t="shared" si="3"/>
        <v/>
      </c>
    </row>
    <row r="22" spans="2:14">
      <c r="B22" s="96">
        <v>10</v>
      </c>
      <c r="C22" s="143"/>
      <c r="D22" s="144"/>
      <c r="E22" s="144"/>
      <c r="F22" s="46" t="str">
        <f t="shared" si="0"/>
        <v/>
      </c>
      <c r="G22" s="46" t="str">
        <f t="shared" si="1"/>
        <v/>
      </c>
      <c r="H22" s="66" t="str">
        <f t="shared" si="4"/>
        <v/>
      </c>
      <c r="I22" s="147" t="str">
        <f t="shared" si="5"/>
        <v/>
      </c>
      <c r="K22" t="s">
        <v>54</v>
      </c>
      <c r="M22" t="e">
        <f t="shared" si="2"/>
        <v>#VALUE!</v>
      </c>
      <c r="N22" t="str">
        <f t="shared" si="3"/>
        <v/>
      </c>
    </row>
    <row r="23" spans="2:14">
      <c r="B23" s="96">
        <v>11</v>
      </c>
      <c r="C23" s="143"/>
      <c r="D23" s="144"/>
      <c r="E23" s="144"/>
      <c r="F23" s="46" t="str">
        <f t="shared" si="0"/>
        <v/>
      </c>
      <c r="G23" s="46" t="str">
        <f t="shared" si="1"/>
        <v/>
      </c>
      <c r="H23" s="66" t="str">
        <f t="shared" si="4"/>
        <v/>
      </c>
      <c r="I23" s="147" t="str">
        <f t="shared" si="5"/>
        <v/>
      </c>
      <c r="K23" t="s">
        <v>54</v>
      </c>
      <c r="M23" t="e">
        <f t="shared" si="2"/>
        <v>#VALUE!</v>
      </c>
      <c r="N23" t="str">
        <f t="shared" si="3"/>
        <v/>
      </c>
    </row>
    <row r="24" spans="2:14">
      <c r="B24" s="96">
        <v>12</v>
      </c>
      <c r="C24" s="143"/>
      <c r="D24" s="144"/>
      <c r="E24" s="144"/>
      <c r="F24" s="46" t="str">
        <f t="shared" si="0"/>
        <v/>
      </c>
      <c r="G24" s="46" t="str">
        <f t="shared" si="1"/>
        <v/>
      </c>
      <c r="H24" s="66" t="str">
        <f t="shared" si="4"/>
        <v/>
      </c>
      <c r="I24" s="147" t="str">
        <f t="shared" si="5"/>
        <v/>
      </c>
      <c r="K24" t="s">
        <v>54</v>
      </c>
      <c r="M24" t="e">
        <f t="shared" si="2"/>
        <v>#VALUE!</v>
      </c>
      <c r="N24" t="str">
        <f t="shared" si="3"/>
        <v/>
      </c>
    </row>
    <row r="25" spans="2:14">
      <c r="B25" s="96">
        <v>13</v>
      </c>
      <c r="C25" s="143"/>
      <c r="D25" s="144"/>
      <c r="E25" s="144"/>
      <c r="F25" s="46" t="str">
        <f t="shared" si="0"/>
        <v/>
      </c>
      <c r="G25" s="46" t="str">
        <f t="shared" si="1"/>
        <v/>
      </c>
      <c r="H25" s="66" t="str">
        <f t="shared" si="4"/>
        <v/>
      </c>
      <c r="I25" s="147" t="str">
        <f t="shared" si="5"/>
        <v/>
      </c>
      <c r="K25" t="s">
        <v>54</v>
      </c>
      <c r="M25" t="e">
        <f t="shared" si="2"/>
        <v>#VALUE!</v>
      </c>
      <c r="N25" t="str">
        <f t="shared" si="3"/>
        <v/>
      </c>
    </row>
    <row r="26" spans="2:14">
      <c r="B26" s="96">
        <v>14</v>
      </c>
      <c r="C26" s="143"/>
      <c r="D26" s="144"/>
      <c r="E26" s="144"/>
      <c r="F26" s="46" t="str">
        <f t="shared" si="0"/>
        <v/>
      </c>
      <c r="G26" s="46" t="str">
        <f t="shared" si="1"/>
        <v/>
      </c>
      <c r="H26" s="66" t="str">
        <f t="shared" si="4"/>
        <v/>
      </c>
      <c r="I26" s="147" t="str">
        <f t="shared" si="5"/>
        <v/>
      </c>
      <c r="K26" t="s">
        <v>54</v>
      </c>
      <c r="M26" t="e">
        <f t="shared" si="2"/>
        <v>#VALUE!</v>
      </c>
      <c r="N26" t="str">
        <f t="shared" si="3"/>
        <v/>
      </c>
    </row>
    <row r="27" spans="2:14">
      <c r="B27" s="96">
        <v>15</v>
      </c>
      <c r="C27" s="143"/>
      <c r="D27" s="144"/>
      <c r="E27" s="144"/>
      <c r="F27" s="46" t="str">
        <f t="shared" si="0"/>
        <v/>
      </c>
      <c r="G27" s="46" t="str">
        <f t="shared" si="1"/>
        <v/>
      </c>
      <c r="H27" s="66" t="str">
        <f t="shared" si="4"/>
        <v/>
      </c>
      <c r="I27" s="147" t="str">
        <f t="shared" si="5"/>
        <v/>
      </c>
      <c r="K27" t="s">
        <v>54</v>
      </c>
      <c r="M27" t="e">
        <f t="shared" si="2"/>
        <v>#VALUE!</v>
      </c>
      <c r="N27" t="str">
        <f t="shared" si="3"/>
        <v/>
      </c>
    </row>
    <row r="28" spans="2:14">
      <c r="B28" s="96">
        <v>16</v>
      </c>
      <c r="C28" s="143"/>
      <c r="D28" s="144"/>
      <c r="E28" s="144"/>
      <c r="F28" s="46" t="str">
        <f t="shared" si="0"/>
        <v/>
      </c>
      <c r="G28" s="46" t="str">
        <f t="shared" si="1"/>
        <v/>
      </c>
      <c r="H28" s="66" t="str">
        <f t="shared" si="4"/>
        <v/>
      </c>
      <c r="I28" s="147" t="str">
        <f t="shared" si="5"/>
        <v/>
      </c>
      <c r="K28" t="s">
        <v>54</v>
      </c>
      <c r="M28" t="e">
        <f t="shared" si="2"/>
        <v>#VALUE!</v>
      </c>
      <c r="N28" t="str">
        <f t="shared" si="3"/>
        <v/>
      </c>
    </row>
    <row r="29" spans="2:14">
      <c r="B29" s="96">
        <v>17</v>
      </c>
      <c r="C29" s="143"/>
      <c r="D29" s="144"/>
      <c r="E29" s="144"/>
      <c r="F29" s="46" t="str">
        <f t="shared" si="0"/>
        <v/>
      </c>
      <c r="G29" s="46" t="str">
        <f t="shared" si="1"/>
        <v/>
      </c>
      <c r="H29" s="66" t="str">
        <f t="shared" si="4"/>
        <v/>
      </c>
      <c r="I29" s="147" t="str">
        <f t="shared" si="5"/>
        <v/>
      </c>
      <c r="K29" t="s">
        <v>54</v>
      </c>
      <c r="M29" t="e">
        <f t="shared" si="2"/>
        <v>#VALUE!</v>
      </c>
      <c r="N29" t="str">
        <f t="shared" si="3"/>
        <v/>
      </c>
    </row>
    <row r="30" spans="2:14">
      <c r="B30" s="96">
        <v>18</v>
      </c>
      <c r="C30" s="143"/>
      <c r="D30" s="144"/>
      <c r="E30" s="144"/>
      <c r="F30" s="46" t="str">
        <f t="shared" si="0"/>
        <v/>
      </c>
      <c r="G30" s="46" t="str">
        <f t="shared" si="1"/>
        <v/>
      </c>
      <c r="H30" s="66" t="str">
        <f t="shared" si="4"/>
        <v/>
      </c>
      <c r="I30" s="147" t="str">
        <f t="shared" si="5"/>
        <v/>
      </c>
      <c r="K30" t="s">
        <v>54</v>
      </c>
      <c r="M30" t="e">
        <f t="shared" si="2"/>
        <v>#VALUE!</v>
      </c>
      <c r="N30" t="str">
        <f t="shared" si="3"/>
        <v/>
      </c>
    </row>
    <row r="31" spans="2:14">
      <c r="B31" s="96">
        <v>19</v>
      </c>
      <c r="C31" s="143"/>
      <c r="D31" s="144"/>
      <c r="E31" s="144"/>
      <c r="F31" s="46" t="str">
        <f t="shared" si="0"/>
        <v/>
      </c>
      <c r="G31" s="46" t="str">
        <f t="shared" si="1"/>
        <v/>
      </c>
      <c r="H31" s="66" t="str">
        <f t="shared" si="4"/>
        <v/>
      </c>
      <c r="I31" s="147" t="str">
        <f t="shared" si="5"/>
        <v/>
      </c>
      <c r="K31" t="s">
        <v>54</v>
      </c>
      <c r="M31" t="e">
        <f t="shared" si="2"/>
        <v>#VALUE!</v>
      </c>
      <c r="N31" t="str">
        <f t="shared" si="3"/>
        <v/>
      </c>
    </row>
    <row r="32" spans="2:14">
      <c r="B32" s="96">
        <v>20</v>
      </c>
      <c r="C32" s="143"/>
      <c r="D32" s="144"/>
      <c r="E32" s="144"/>
      <c r="F32" s="46" t="str">
        <f t="shared" si="0"/>
        <v/>
      </c>
      <c r="G32" s="46" t="str">
        <f t="shared" si="1"/>
        <v/>
      </c>
      <c r="H32" s="66" t="str">
        <f t="shared" si="4"/>
        <v/>
      </c>
      <c r="I32" s="147" t="str">
        <f t="shared" si="5"/>
        <v/>
      </c>
      <c r="K32" t="s">
        <v>54</v>
      </c>
      <c r="M32" t="e">
        <f t="shared" si="2"/>
        <v>#VALUE!</v>
      </c>
      <c r="N32" t="str">
        <f t="shared" si="3"/>
        <v/>
      </c>
    </row>
    <row r="33" spans="2:14">
      <c r="B33" s="96">
        <v>21</v>
      </c>
      <c r="C33" s="143"/>
      <c r="D33" s="144"/>
      <c r="E33" s="144"/>
      <c r="F33" s="46" t="str">
        <f t="shared" si="0"/>
        <v/>
      </c>
      <c r="G33" s="46" t="str">
        <f t="shared" si="1"/>
        <v/>
      </c>
      <c r="H33" s="66" t="str">
        <f t="shared" si="4"/>
        <v/>
      </c>
      <c r="I33" s="147" t="str">
        <f t="shared" si="5"/>
        <v/>
      </c>
      <c r="K33" t="s">
        <v>54</v>
      </c>
      <c r="M33" t="e">
        <f t="shared" si="2"/>
        <v>#VALUE!</v>
      </c>
      <c r="N33" t="str">
        <f t="shared" si="3"/>
        <v/>
      </c>
    </row>
    <row r="34" spans="2:14">
      <c r="B34" s="96">
        <v>22</v>
      </c>
      <c r="C34" s="143"/>
      <c r="D34" s="144"/>
      <c r="E34" s="144"/>
      <c r="F34" s="46" t="str">
        <f t="shared" si="0"/>
        <v/>
      </c>
      <c r="G34" s="46" t="str">
        <f t="shared" si="1"/>
        <v/>
      </c>
      <c r="H34" s="66" t="str">
        <f t="shared" si="4"/>
        <v/>
      </c>
      <c r="I34" s="147" t="str">
        <f t="shared" si="5"/>
        <v/>
      </c>
      <c r="K34" t="s">
        <v>54</v>
      </c>
      <c r="M34" t="e">
        <f t="shared" si="2"/>
        <v>#VALUE!</v>
      </c>
      <c r="N34" t="str">
        <f t="shared" si="3"/>
        <v/>
      </c>
    </row>
    <row r="35" spans="2:14">
      <c r="B35" s="96">
        <v>23</v>
      </c>
      <c r="C35" s="143"/>
      <c r="D35" s="144"/>
      <c r="E35" s="144"/>
      <c r="F35" s="46" t="str">
        <f t="shared" si="0"/>
        <v/>
      </c>
      <c r="G35" s="46" t="str">
        <f t="shared" si="1"/>
        <v/>
      </c>
      <c r="H35" s="66" t="str">
        <f t="shared" si="4"/>
        <v/>
      </c>
      <c r="I35" s="147" t="str">
        <f t="shared" si="5"/>
        <v/>
      </c>
      <c r="K35" t="s">
        <v>54</v>
      </c>
      <c r="M35" t="e">
        <f t="shared" si="2"/>
        <v>#VALUE!</v>
      </c>
      <c r="N35" t="str">
        <f t="shared" si="3"/>
        <v/>
      </c>
    </row>
    <row r="36" spans="2:14">
      <c r="B36" s="96">
        <v>24</v>
      </c>
      <c r="C36" s="143"/>
      <c r="D36" s="144"/>
      <c r="E36" s="144"/>
      <c r="F36" s="46" t="str">
        <f t="shared" si="0"/>
        <v/>
      </c>
      <c r="G36" s="46" t="str">
        <f t="shared" si="1"/>
        <v/>
      </c>
      <c r="H36" s="66" t="str">
        <f t="shared" si="4"/>
        <v/>
      </c>
      <c r="I36" s="147" t="str">
        <f t="shared" si="5"/>
        <v/>
      </c>
      <c r="K36" t="s">
        <v>54</v>
      </c>
      <c r="M36" t="e">
        <f t="shared" si="2"/>
        <v>#VALUE!</v>
      </c>
      <c r="N36" t="str">
        <f t="shared" si="3"/>
        <v/>
      </c>
    </row>
    <row r="37" spans="2:14" ht="14.25" thickBot="1">
      <c r="B37" s="97">
        <v>25</v>
      </c>
      <c r="C37" s="141"/>
      <c r="D37" s="142"/>
      <c r="E37" s="142"/>
      <c r="F37" s="54" t="str">
        <f t="shared" si="0"/>
        <v/>
      </c>
      <c r="G37" s="54" t="str">
        <f t="shared" si="1"/>
        <v/>
      </c>
      <c r="H37" s="67" t="str">
        <f t="shared" si="4"/>
        <v/>
      </c>
      <c r="I37" s="148" t="str">
        <f t="shared" si="5"/>
        <v/>
      </c>
      <c r="K37" t="s">
        <v>54</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4:H4"/>
    <mergeCell ref="D6:H6"/>
    <mergeCell ref="D7:H7"/>
    <mergeCell ref="D2:H2"/>
    <mergeCell ref="D3:H3"/>
    <mergeCell ref="B2:C2"/>
    <mergeCell ref="B3:C3"/>
    <mergeCell ref="B4:C4"/>
    <mergeCell ref="B6:C6"/>
    <mergeCell ref="B7:C7"/>
  </mergeCells>
  <phoneticPr fontId="3"/>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210</v>
      </c>
      <c r="O2" t="s">
        <v>212</v>
      </c>
    </row>
    <row r="3" spans="2:18" ht="14.25" thickBot="1">
      <c r="B3" s="140" t="s">
        <v>39</v>
      </c>
      <c r="C3" s="104" t="s">
        <v>199</v>
      </c>
      <c r="D3" s="104" t="s">
        <v>205</v>
      </c>
      <c r="E3" s="105" t="s">
        <v>206</v>
      </c>
      <c r="F3" s="181" t="s">
        <v>201</v>
      </c>
      <c r="G3" s="178" t="s">
        <v>215</v>
      </c>
      <c r="O3" s="140" t="s">
        <v>39</v>
      </c>
      <c r="P3" s="177" t="s">
        <v>195</v>
      </c>
      <c r="Q3" s="177" t="s">
        <v>209</v>
      </c>
      <c r="R3" s="178" t="s">
        <v>201</v>
      </c>
    </row>
    <row r="4" spans="2:18" ht="14.25" hidden="1" thickTop="1">
      <c r="B4" s="169">
        <v>0</v>
      </c>
      <c r="C4" s="170" t="s">
        <v>185</v>
      </c>
      <c r="D4" s="170"/>
      <c r="E4" s="171"/>
      <c r="F4" s="182"/>
      <c r="G4" s="73"/>
      <c r="O4" s="179">
        <v>0</v>
      </c>
      <c r="P4" s="176" t="s">
        <v>185</v>
      </c>
      <c r="Q4" s="176" t="s">
        <v>185</v>
      </c>
      <c r="R4" s="134"/>
    </row>
    <row r="5" spans="2:18" ht="14.25" thickTop="1">
      <c r="B5" s="172">
        <v>1</v>
      </c>
      <c r="C5" s="144"/>
      <c r="D5" s="24"/>
      <c r="E5" s="66" t="str">
        <f>IF($C5&lt;&gt;"","ALERT_" &amp; D5 &amp; "_ID_"&amp;UPPER(Matrix!$D$6) &amp; "_" &amp; $C5,"")</f>
        <v/>
      </c>
      <c r="F5" s="114"/>
      <c r="G5" s="66" t="str">
        <f>IF(E5&lt;&gt;"",LEN(E5),"")</f>
        <v/>
      </c>
      <c r="O5" s="172">
        <v>1</v>
      </c>
      <c r="P5" s="144"/>
      <c r="Q5" s="144"/>
      <c r="R5" s="115"/>
    </row>
    <row r="6" spans="2:18">
      <c r="B6" s="172">
        <v>2</v>
      </c>
      <c r="C6" s="144"/>
      <c r="D6" s="24"/>
      <c r="E6" s="66" t="str">
        <f>IF($C6&lt;&gt;"","ALERT_" &amp; D6 &amp; "_ID_"&amp;UPPER(Matrix!$D$6) &amp; "_" &amp; $C6,"")</f>
        <v/>
      </c>
      <c r="F6" s="114"/>
      <c r="G6" s="66" t="str">
        <f t="shared" ref="G6:G29" si="0">IF(E6&lt;&gt;"",LEN(E6),"")</f>
        <v/>
      </c>
      <c r="O6" s="172">
        <v>2</v>
      </c>
      <c r="P6" s="144"/>
      <c r="Q6" s="144"/>
      <c r="R6" s="115"/>
    </row>
    <row r="7" spans="2:18">
      <c r="B7" s="172">
        <v>3</v>
      </c>
      <c r="C7" s="144"/>
      <c r="D7" s="24"/>
      <c r="E7" s="66" t="str">
        <f>IF($C7&lt;&gt;"","ALERT_" &amp; D7 &amp; "_ID_"&amp;UPPER(Matrix!$D$6) &amp; "_" &amp; $C7,"")</f>
        <v/>
      </c>
      <c r="F7" s="114"/>
      <c r="G7" s="66" t="str">
        <f t="shared" si="0"/>
        <v/>
      </c>
      <c r="O7" s="172">
        <v>3</v>
      </c>
      <c r="P7" s="144"/>
      <c r="Q7" s="144"/>
      <c r="R7" s="115"/>
    </row>
    <row r="8" spans="2:18">
      <c r="B8" s="172">
        <v>4</v>
      </c>
      <c r="C8" s="144"/>
      <c r="D8" s="24"/>
      <c r="E8" s="66" t="str">
        <f>IF($C8&lt;&gt;"","ALERT_" &amp; D8 &amp; "_ID_"&amp;UPPER(Matrix!$D$6) &amp; "_" &amp; $C8,"")</f>
        <v/>
      </c>
      <c r="F8" s="114"/>
      <c r="G8" s="66" t="str">
        <f t="shared" si="0"/>
        <v/>
      </c>
      <c r="O8" s="172">
        <v>4</v>
      </c>
      <c r="P8" s="144"/>
      <c r="Q8" s="144"/>
      <c r="R8" s="115"/>
    </row>
    <row r="9" spans="2:18">
      <c r="B9" s="172">
        <v>5</v>
      </c>
      <c r="C9" s="144"/>
      <c r="D9" s="24"/>
      <c r="E9" s="66" t="str">
        <f>IF($C9&lt;&gt;"","ALERT_" &amp; D9 &amp; "_ID_"&amp;UPPER(Matrix!$D$6) &amp; "_" &amp; $C9,"")</f>
        <v/>
      </c>
      <c r="F9" s="114"/>
      <c r="G9" s="66" t="str">
        <f t="shared" si="0"/>
        <v/>
      </c>
      <c r="O9" s="172">
        <v>5</v>
      </c>
      <c r="P9" s="144"/>
      <c r="Q9" s="144"/>
      <c r="R9" s="115"/>
    </row>
    <row r="10" spans="2:18">
      <c r="B10" s="172">
        <v>6</v>
      </c>
      <c r="C10" s="144"/>
      <c r="D10" s="24"/>
      <c r="E10" s="66" t="str">
        <f>IF($C10&lt;&gt;"","ALERT_" &amp; D10 &amp; "_ID_"&amp;UPPER(Matrix!$D$6) &amp; "_" &amp; $C10,"")</f>
        <v/>
      </c>
      <c r="F10" s="114"/>
      <c r="G10" s="66" t="str">
        <f t="shared" si="0"/>
        <v/>
      </c>
      <c r="O10" s="172">
        <v>6</v>
      </c>
      <c r="P10" s="144"/>
      <c r="Q10" s="144"/>
      <c r="R10" s="115"/>
    </row>
    <row r="11" spans="2:18">
      <c r="B11" s="172">
        <v>7</v>
      </c>
      <c r="C11" s="144"/>
      <c r="D11" s="24"/>
      <c r="E11" s="66" t="str">
        <f>IF($C11&lt;&gt;"","ALERT_" &amp; D11 &amp; "_ID_"&amp;UPPER(Matrix!$D$6) &amp; "_" &amp; $C11,"")</f>
        <v/>
      </c>
      <c r="F11" s="114"/>
      <c r="G11" s="66" t="str">
        <f t="shared" si="0"/>
        <v/>
      </c>
      <c r="O11" s="172">
        <v>7</v>
      </c>
      <c r="P11" s="144"/>
      <c r="Q11" s="144"/>
      <c r="R11" s="115"/>
    </row>
    <row r="12" spans="2:18">
      <c r="B12" s="172">
        <v>8</v>
      </c>
      <c r="C12" s="144"/>
      <c r="D12" s="24"/>
      <c r="E12" s="66" t="str">
        <f>IF($C12&lt;&gt;"","ALERT_" &amp; D12 &amp; "_ID_"&amp;UPPER(Matrix!$D$6) &amp; "_" &amp; $C12,"")</f>
        <v/>
      </c>
      <c r="F12" s="114"/>
      <c r="G12" s="66" t="str">
        <f t="shared" si="0"/>
        <v/>
      </c>
      <c r="O12" s="172">
        <v>8</v>
      </c>
      <c r="P12" s="144"/>
      <c r="Q12" s="144"/>
      <c r="R12" s="115"/>
    </row>
    <row r="13" spans="2:18">
      <c r="B13" s="172">
        <v>9</v>
      </c>
      <c r="C13" s="144"/>
      <c r="D13" s="24"/>
      <c r="E13" s="66" t="str">
        <f>IF($C13&lt;&gt;"","ALERT_" &amp; D13 &amp; "_ID_"&amp;UPPER(Matrix!$D$6) &amp; "_" &amp; $C13,"")</f>
        <v/>
      </c>
      <c r="F13" s="114"/>
      <c r="G13" s="66" t="str">
        <f t="shared" si="0"/>
        <v/>
      </c>
      <c r="O13" s="172">
        <v>9</v>
      </c>
      <c r="P13" s="144"/>
      <c r="Q13" s="144"/>
      <c r="R13" s="115"/>
    </row>
    <row r="14" spans="2:18">
      <c r="B14" s="172">
        <v>10</v>
      </c>
      <c r="C14" s="144"/>
      <c r="D14" s="24"/>
      <c r="E14" s="66" t="str">
        <f>IF($C14&lt;&gt;"","ALERT_" &amp; D14 &amp; "_ID_"&amp;UPPER(Matrix!$D$6) &amp; "_" &amp; $C14,"")</f>
        <v/>
      </c>
      <c r="F14" s="114"/>
      <c r="G14" s="66" t="str">
        <f t="shared" si="0"/>
        <v/>
      </c>
      <c r="O14" s="172">
        <v>10</v>
      </c>
      <c r="P14" s="144"/>
      <c r="Q14" s="144"/>
      <c r="R14" s="115"/>
    </row>
    <row r="15" spans="2:18">
      <c r="B15" s="172">
        <v>11</v>
      </c>
      <c r="C15" s="144"/>
      <c r="D15" s="24"/>
      <c r="E15" s="66" t="str">
        <f>IF($C15&lt;&gt;"","ALERT_" &amp; D15 &amp; "_ID_"&amp;UPPER(Matrix!$D$6) &amp; "_" &amp; $C15,"")</f>
        <v/>
      </c>
      <c r="F15" s="114"/>
      <c r="G15" s="66" t="str">
        <f t="shared" si="0"/>
        <v/>
      </c>
      <c r="O15" s="172">
        <v>11</v>
      </c>
      <c r="P15" s="144"/>
      <c r="Q15" s="144"/>
      <c r="R15" s="115"/>
    </row>
    <row r="16" spans="2:18">
      <c r="B16" s="172">
        <v>12</v>
      </c>
      <c r="C16" s="144"/>
      <c r="D16" s="24"/>
      <c r="E16" s="66" t="str">
        <f>IF($C16&lt;&gt;"","ALERT_" &amp; D16 &amp; "_ID_"&amp;UPPER(Matrix!$D$6) &amp; "_" &amp; $C16,"")</f>
        <v/>
      </c>
      <c r="F16" s="114"/>
      <c r="G16" s="66" t="str">
        <f t="shared" si="0"/>
        <v/>
      </c>
      <c r="O16" s="172">
        <v>12</v>
      </c>
      <c r="P16" s="144"/>
      <c r="Q16" s="144"/>
      <c r="R16" s="115"/>
    </row>
    <row r="17" spans="2:18">
      <c r="B17" s="172">
        <v>13</v>
      </c>
      <c r="C17" s="144"/>
      <c r="D17" s="24"/>
      <c r="E17" s="66" t="str">
        <f>IF($C17&lt;&gt;"","ALERT_" &amp; D17 &amp; "_ID_"&amp;UPPER(Matrix!$D$6) &amp; "_" &amp; $C17,"")</f>
        <v/>
      </c>
      <c r="F17" s="114"/>
      <c r="G17" s="66" t="str">
        <f t="shared" si="0"/>
        <v/>
      </c>
      <c r="O17" s="172">
        <v>13</v>
      </c>
      <c r="P17" s="144"/>
      <c r="Q17" s="144"/>
      <c r="R17" s="115"/>
    </row>
    <row r="18" spans="2:18">
      <c r="B18" s="172">
        <v>14</v>
      </c>
      <c r="C18" s="144"/>
      <c r="D18" s="24"/>
      <c r="E18" s="66" t="str">
        <f>IF($C18&lt;&gt;"","ALERT_" &amp; D18 &amp; "_ID_"&amp;UPPER(Matrix!$D$6) &amp; "_" &amp; $C18,"")</f>
        <v/>
      </c>
      <c r="F18" s="114"/>
      <c r="G18" s="66" t="str">
        <f t="shared" si="0"/>
        <v/>
      </c>
      <c r="O18" s="172">
        <v>14</v>
      </c>
      <c r="P18" s="144"/>
      <c r="Q18" s="144"/>
      <c r="R18" s="115"/>
    </row>
    <row r="19" spans="2:18">
      <c r="B19" s="172">
        <v>15</v>
      </c>
      <c r="C19" s="144"/>
      <c r="D19" s="24"/>
      <c r="E19" s="66" t="str">
        <f>IF($C19&lt;&gt;"","ALERT_" &amp; D19 &amp; "_ID_"&amp;UPPER(Matrix!$D$6) &amp; "_" &amp; $C19,"")</f>
        <v/>
      </c>
      <c r="F19" s="114"/>
      <c r="G19" s="66" t="str">
        <f t="shared" si="0"/>
        <v/>
      </c>
      <c r="O19" s="172">
        <v>15</v>
      </c>
      <c r="P19" s="144"/>
      <c r="Q19" s="144"/>
      <c r="R19" s="115"/>
    </row>
    <row r="20" spans="2:18">
      <c r="B20" s="172">
        <v>16</v>
      </c>
      <c r="C20" s="144"/>
      <c r="D20" s="24"/>
      <c r="E20" s="66" t="str">
        <f>IF($C20&lt;&gt;"","ALERT_" &amp; D20 &amp; "_ID_"&amp;UPPER(Matrix!$D$6) &amp; "_" &amp; $C20,"")</f>
        <v/>
      </c>
      <c r="F20" s="114"/>
      <c r="G20" s="66" t="str">
        <f t="shared" si="0"/>
        <v/>
      </c>
      <c r="O20" s="172">
        <v>16</v>
      </c>
      <c r="P20" s="144"/>
      <c r="Q20" s="144"/>
      <c r="R20" s="115"/>
    </row>
    <row r="21" spans="2:18">
      <c r="B21" s="172">
        <v>17</v>
      </c>
      <c r="C21" s="144"/>
      <c r="D21" s="24"/>
      <c r="E21" s="66" t="str">
        <f>IF($C21&lt;&gt;"","ALERT_" &amp; D21 &amp; "_ID_"&amp;UPPER(Matrix!$D$6) &amp; "_" &amp; $C21,"")</f>
        <v/>
      </c>
      <c r="F21" s="114"/>
      <c r="G21" s="66" t="str">
        <f t="shared" si="0"/>
        <v/>
      </c>
      <c r="O21" s="172">
        <v>17</v>
      </c>
      <c r="P21" s="144"/>
      <c r="Q21" s="144"/>
      <c r="R21" s="115"/>
    </row>
    <row r="22" spans="2:18">
      <c r="B22" s="172">
        <v>18</v>
      </c>
      <c r="C22" s="144"/>
      <c r="D22" s="24"/>
      <c r="E22" s="66" t="str">
        <f>IF($C22&lt;&gt;"","ALERT_" &amp; D22 &amp; "_ID_"&amp;UPPER(Matrix!$D$6) &amp; "_" &amp; $C22,"")</f>
        <v/>
      </c>
      <c r="F22" s="114"/>
      <c r="G22" s="66" t="str">
        <f t="shared" si="0"/>
        <v/>
      </c>
      <c r="O22" s="172">
        <v>18</v>
      </c>
      <c r="P22" s="144"/>
      <c r="Q22" s="144"/>
      <c r="R22" s="115"/>
    </row>
    <row r="23" spans="2:18">
      <c r="B23" s="172">
        <v>19</v>
      </c>
      <c r="C23" s="144"/>
      <c r="D23" s="24"/>
      <c r="E23" s="66" t="str">
        <f>IF($C23&lt;&gt;"","ALERT_" &amp; D23 &amp; "_ID_"&amp;UPPER(Matrix!$D$6) &amp; "_" &amp; $C23,"")</f>
        <v/>
      </c>
      <c r="F23" s="114"/>
      <c r="G23" s="66" t="str">
        <f t="shared" si="0"/>
        <v/>
      </c>
      <c r="O23" s="172">
        <v>19</v>
      </c>
      <c r="P23" s="144"/>
      <c r="Q23" s="144"/>
      <c r="R23" s="115"/>
    </row>
    <row r="24" spans="2:18">
      <c r="B24" s="172">
        <v>20</v>
      </c>
      <c r="C24" s="144"/>
      <c r="D24" s="24"/>
      <c r="E24" s="66" t="str">
        <f>IF($C24&lt;&gt;"","ALERT_" &amp; D24 &amp; "_ID_"&amp;UPPER(Matrix!$D$6) &amp; "_" &amp; $C24,"")</f>
        <v/>
      </c>
      <c r="F24" s="114"/>
      <c r="G24" s="66" t="str">
        <f t="shared" si="0"/>
        <v/>
      </c>
      <c r="O24" s="172">
        <v>20</v>
      </c>
      <c r="P24" s="144"/>
      <c r="Q24" s="144"/>
      <c r="R24" s="115"/>
    </row>
    <row r="25" spans="2:18">
      <c r="B25" s="172">
        <v>21</v>
      </c>
      <c r="C25" s="144"/>
      <c r="D25" s="24"/>
      <c r="E25" s="66" t="str">
        <f>IF($C25&lt;&gt;"","ALERT_" &amp; D25 &amp; "_ID_"&amp;UPPER(Matrix!$D$6) &amp; "_" &amp; $C25,"")</f>
        <v/>
      </c>
      <c r="F25" s="114"/>
      <c r="G25" s="66" t="str">
        <f t="shared" si="0"/>
        <v/>
      </c>
      <c r="O25" s="172">
        <v>21</v>
      </c>
      <c r="P25" s="144"/>
      <c r="Q25" s="144"/>
      <c r="R25" s="115"/>
    </row>
    <row r="26" spans="2:18">
      <c r="B26" s="172">
        <v>22</v>
      </c>
      <c r="C26" s="144"/>
      <c r="D26" s="24"/>
      <c r="E26" s="66" t="str">
        <f>IF($C26&lt;&gt;"","ALERT_" &amp; D26 &amp; "_ID_"&amp;UPPER(Matrix!$D$6) &amp; "_" &amp; $C26,"")</f>
        <v/>
      </c>
      <c r="F26" s="114"/>
      <c r="G26" s="66" t="str">
        <f t="shared" si="0"/>
        <v/>
      </c>
      <c r="O26" s="172">
        <v>22</v>
      </c>
      <c r="P26" s="144"/>
      <c r="Q26" s="144"/>
      <c r="R26" s="115"/>
    </row>
    <row r="27" spans="2:18">
      <c r="B27" s="172">
        <v>23</v>
      </c>
      <c r="C27" s="144"/>
      <c r="D27" s="24"/>
      <c r="E27" s="66" t="str">
        <f>IF($C27&lt;&gt;"","ALERT_" &amp; D27 &amp; "_ID_"&amp;UPPER(Matrix!$D$6) &amp; "_" &amp; $C27,"")</f>
        <v/>
      </c>
      <c r="F27" s="114"/>
      <c r="G27" s="66" t="str">
        <f t="shared" si="0"/>
        <v/>
      </c>
      <c r="O27" s="172">
        <v>23</v>
      </c>
      <c r="P27" s="144"/>
      <c r="Q27" s="144"/>
      <c r="R27" s="115"/>
    </row>
    <row r="28" spans="2:18">
      <c r="B28" s="172">
        <v>24</v>
      </c>
      <c r="C28" s="144"/>
      <c r="D28" s="24"/>
      <c r="E28" s="66" t="str">
        <f>IF($C28&lt;&gt;"","ALERT_" &amp; D28 &amp; "_ID_"&amp;UPPER(Matrix!$D$6) &amp; "_" &amp; $C28,"")</f>
        <v/>
      </c>
      <c r="F28" s="114"/>
      <c r="G28" s="66" t="str">
        <f t="shared" si="0"/>
        <v/>
      </c>
      <c r="O28" s="172">
        <v>24</v>
      </c>
      <c r="P28" s="144"/>
      <c r="Q28" s="144"/>
      <c r="R28" s="115"/>
    </row>
    <row r="29" spans="2:18" ht="14.25" thickBot="1">
      <c r="B29" s="173">
        <v>25</v>
      </c>
      <c r="C29" s="142"/>
      <c r="D29" s="53"/>
      <c r="E29" s="67" t="str">
        <f>IF($C29&lt;&gt;"","ALERT_" &amp; D29 &amp; "_ID_"&amp;UPPER(Matrix!$D$6) &amp; "_" &amp; $C29,"")</f>
        <v/>
      </c>
      <c r="F29" s="116"/>
      <c r="G29" s="67" t="str">
        <f t="shared" si="0"/>
        <v/>
      </c>
      <c r="O29" s="173">
        <v>25</v>
      </c>
      <c r="P29" s="142"/>
      <c r="Q29" s="142"/>
      <c r="R29" s="117"/>
    </row>
    <row r="32" spans="2:18" ht="14.25" thickBot="1">
      <c r="B32" t="s">
        <v>211</v>
      </c>
      <c r="O32" t="s">
        <v>208</v>
      </c>
    </row>
    <row r="33" spans="2:18" ht="14.25" thickBot="1">
      <c r="B33" s="140" t="s">
        <v>39</v>
      </c>
      <c r="C33" s="104" t="s">
        <v>199</v>
      </c>
      <c r="D33" s="104" t="s">
        <v>204</v>
      </c>
      <c r="E33" s="105" t="s">
        <v>202</v>
      </c>
      <c r="F33" s="178" t="s">
        <v>203</v>
      </c>
      <c r="G33" s="178" t="s">
        <v>215</v>
      </c>
      <c r="O33" s="140" t="s">
        <v>39</v>
      </c>
      <c r="P33" s="177" t="s">
        <v>196</v>
      </c>
      <c r="Q33" s="177" t="s">
        <v>213</v>
      </c>
      <c r="R33" s="178" t="s">
        <v>200</v>
      </c>
    </row>
    <row r="34" spans="2:18" ht="14.25" hidden="1" thickTop="1">
      <c r="B34" s="169">
        <v>0</v>
      </c>
      <c r="C34" s="170" t="s">
        <v>185</v>
      </c>
      <c r="D34" s="170"/>
      <c r="E34" s="171"/>
      <c r="F34" s="180" t="s">
        <v>185</v>
      </c>
      <c r="G34" s="73"/>
      <c r="O34" s="179">
        <v>0</v>
      </c>
      <c r="P34" s="176" t="s">
        <v>185</v>
      </c>
      <c r="Q34" s="176" t="s">
        <v>185</v>
      </c>
      <c r="R34" s="180" t="s">
        <v>185</v>
      </c>
    </row>
    <row r="35" spans="2:18" ht="14.25" thickTop="1">
      <c r="B35" s="172">
        <v>1</v>
      </c>
      <c r="C35" s="144"/>
      <c r="D35" s="24"/>
      <c r="E35" s="66" t="str">
        <f>IF($C35&lt;&gt;"","ALERT_" &amp; UPPER(Matrix!$D$6) &amp; "_" &amp; $C35,"")</f>
        <v/>
      </c>
      <c r="F35" s="174"/>
      <c r="G35" s="66" t="str">
        <f>IF(E35&lt;&gt;"",LEN(E35),"")</f>
        <v/>
      </c>
      <c r="O35" s="172">
        <v>1</v>
      </c>
      <c r="P35" s="144"/>
      <c r="Q35" s="144"/>
      <c r="R35" s="174"/>
    </row>
    <row r="36" spans="2:18">
      <c r="B36" s="172">
        <v>2</v>
      </c>
      <c r="C36" s="144"/>
      <c r="D36" s="24"/>
      <c r="E36" s="66" t="str">
        <f>IF($C36&lt;&gt;"","ALERT_" &amp; UPPER(Matrix!$D$6) &amp; "_" &amp; $C36,"")</f>
        <v/>
      </c>
      <c r="F36" s="174"/>
      <c r="G36" s="66" t="str">
        <f>IF(E36&lt;&gt;"",LEN(E36),"")</f>
        <v/>
      </c>
      <c r="O36" s="172">
        <v>2</v>
      </c>
      <c r="P36" s="144"/>
      <c r="Q36" s="144"/>
      <c r="R36" s="174"/>
    </row>
    <row r="37" spans="2:18">
      <c r="B37" s="172">
        <v>3</v>
      </c>
      <c r="C37" s="144"/>
      <c r="D37" s="24"/>
      <c r="E37" s="66" t="str">
        <f>IF($C37&lt;&gt;"","ALERT_" &amp; UPPER(Matrix!$D$6) &amp; "_" &amp; $C37,"")</f>
        <v/>
      </c>
      <c r="F37" s="174"/>
      <c r="G37" s="66" t="str">
        <f>IF(E37&lt;&gt;"",LEN(E37),"")</f>
        <v/>
      </c>
      <c r="O37" s="172">
        <v>3</v>
      </c>
      <c r="P37" s="144"/>
      <c r="Q37" s="144"/>
      <c r="R37" s="174"/>
    </row>
    <row r="38" spans="2:18">
      <c r="B38" s="172">
        <v>4</v>
      </c>
      <c r="C38" s="144"/>
      <c r="D38" s="24"/>
      <c r="E38" s="66" t="str">
        <f>IF($C38&lt;&gt;"","ALERT_" &amp; UPPER(Matrix!$D$6) &amp; "_" &amp; $C38,"")</f>
        <v/>
      </c>
      <c r="F38" s="174"/>
      <c r="G38" s="66" t="str">
        <f t="shared" ref="G38:G59" si="1">IF(E38&lt;&gt;"",LEN(E38),"")</f>
        <v/>
      </c>
      <c r="O38" s="172">
        <v>4</v>
      </c>
      <c r="P38" s="144"/>
      <c r="Q38" s="144"/>
      <c r="R38" s="174"/>
    </row>
    <row r="39" spans="2:18">
      <c r="B39" s="172">
        <v>5</v>
      </c>
      <c r="C39" s="144"/>
      <c r="D39" s="24"/>
      <c r="E39" s="66" t="str">
        <f>IF($C39&lt;&gt;"","ALERT_" &amp; UPPER(Matrix!$D$6) &amp; "_" &amp; $C39,"")</f>
        <v/>
      </c>
      <c r="F39" s="174"/>
      <c r="G39" s="66" t="str">
        <f t="shared" si="1"/>
        <v/>
      </c>
      <c r="O39" s="172">
        <v>5</v>
      </c>
      <c r="P39" s="144"/>
      <c r="Q39" s="144"/>
      <c r="R39" s="174"/>
    </row>
    <row r="40" spans="2:18">
      <c r="B40" s="172">
        <v>6</v>
      </c>
      <c r="C40" s="144"/>
      <c r="D40" s="24"/>
      <c r="E40" s="66" t="str">
        <f>IF($C40&lt;&gt;"","ALERT_" &amp; UPPER(Matrix!$D$6) &amp; "_" &amp; $C40,"")</f>
        <v/>
      </c>
      <c r="F40" s="174"/>
      <c r="G40" s="66" t="str">
        <f t="shared" si="1"/>
        <v/>
      </c>
      <c r="O40" s="172">
        <v>6</v>
      </c>
      <c r="P40" s="144"/>
      <c r="Q40" s="144"/>
      <c r="R40" s="174"/>
    </row>
    <row r="41" spans="2:18">
      <c r="B41" s="172">
        <v>7</v>
      </c>
      <c r="C41" s="144"/>
      <c r="D41" s="24"/>
      <c r="E41" s="66" t="str">
        <f>IF($C41&lt;&gt;"","ALERT_" &amp; UPPER(Matrix!$D$6) &amp; "_" &amp; $C41,"")</f>
        <v/>
      </c>
      <c r="F41" s="174"/>
      <c r="G41" s="66" t="str">
        <f t="shared" si="1"/>
        <v/>
      </c>
      <c r="O41" s="172">
        <v>7</v>
      </c>
      <c r="P41" s="144"/>
      <c r="Q41" s="144"/>
      <c r="R41" s="174"/>
    </row>
    <row r="42" spans="2:18">
      <c r="B42" s="172">
        <v>8</v>
      </c>
      <c r="C42" s="144"/>
      <c r="D42" s="24"/>
      <c r="E42" s="66" t="str">
        <f>IF($C42&lt;&gt;"","ALERT_" &amp; UPPER(Matrix!$D$6) &amp; "_" &amp; $C42,"")</f>
        <v/>
      </c>
      <c r="F42" s="174"/>
      <c r="G42" s="66" t="str">
        <f t="shared" si="1"/>
        <v/>
      </c>
      <c r="O42" s="172">
        <v>8</v>
      </c>
      <c r="P42" s="144"/>
      <c r="Q42" s="144"/>
      <c r="R42" s="174"/>
    </row>
    <row r="43" spans="2:18">
      <c r="B43" s="172">
        <v>9</v>
      </c>
      <c r="C43" s="144"/>
      <c r="D43" s="24"/>
      <c r="E43" s="66" t="str">
        <f>IF($C43&lt;&gt;"","ALERT_" &amp; UPPER(Matrix!$D$6) &amp; "_" &amp; $C43,"")</f>
        <v/>
      </c>
      <c r="F43" s="174"/>
      <c r="G43" s="66" t="str">
        <f t="shared" si="1"/>
        <v/>
      </c>
      <c r="O43" s="172">
        <v>9</v>
      </c>
      <c r="P43" s="144"/>
      <c r="Q43" s="144"/>
      <c r="R43" s="174"/>
    </row>
    <row r="44" spans="2:18">
      <c r="B44" s="172">
        <v>10</v>
      </c>
      <c r="C44" s="144"/>
      <c r="D44" s="24"/>
      <c r="E44" s="66" t="str">
        <f>IF($C44&lt;&gt;"","ALERT_" &amp; UPPER(Matrix!$D$6) &amp; "_" &amp; $C44,"")</f>
        <v/>
      </c>
      <c r="F44" s="174"/>
      <c r="G44" s="66" t="str">
        <f t="shared" si="1"/>
        <v/>
      </c>
      <c r="O44" s="172">
        <v>10</v>
      </c>
      <c r="P44" s="144"/>
      <c r="Q44" s="144"/>
      <c r="R44" s="174"/>
    </row>
    <row r="45" spans="2:18">
      <c r="B45" s="172">
        <v>11</v>
      </c>
      <c r="C45" s="144"/>
      <c r="D45" s="24"/>
      <c r="E45" s="66" t="str">
        <f>IF($C45&lt;&gt;"","ALERT_" &amp; UPPER(Matrix!$D$6) &amp; "_" &amp; $C45,"")</f>
        <v/>
      </c>
      <c r="F45" s="174"/>
      <c r="G45" s="66" t="str">
        <f t="shared" si="1"/>
        <v/>
      </c>
      <c r="O45" s="172">
        <v>11</v>
      </c>
      <c r="P45" s="144"/>
      <c r="Q45" s="144"/>
      <c r="R45" s="174"/>
    </row>
    <row r="46" spans="2:18">
      <c r="B46" s="172">
        <v>12</v>
      </c>
      <c r="C46" s="144"/>
      <c r="D46" s="24"/>
      <c r="E46" s="66" t="str">
        <f>IF($C46&lt;&gt;"","ALERT_" &amp; UPPER(Matrix!$D$6) &amp; "_" &amp; $C46,"")</f>
        <v/>
      </c>
      <c r="F46" s="174"/>
      <c r="G46" s="66" t="str">
        <f t="shared" si="1"/>
        <v/>
      </c>
      <c r="O46" s="172">
        <v>12</v>
      </c>
      <c r="P46" s="144"/>
      <c r="Q46" s="144"/>
      <c r="R46" s="174"/>
    </row>
    <row r="47" spans="2:18">
      <c r="B47" s="172">
        <v>13</v>
      </c>
      <c r="C47" s="144"/>
      <c r="D47" s="24"/>
      <c r="E47" s="66" t="str">
        <f>IF($C47&lt;&gt;"","ALERT_" &amp; UPPER(Matrix!$D$6) &amp; "_" &amp; $C47,"")</f>
        <v/>
      </c>
      <c r="F47" s="174"/>
      <c r="G47" s="66" t="str">
        <f t="shared" si="1"/>
        <v/>
      </c>
      <c r="O47" s="172">
        <v>13</v>
      </c>
      <c r="P47" s="144"/>
      <c r="Q47" s="144"/>
      <c r="R47" s="174"/>
    </row>
    <row r="48" spans="2:18">
      <c r="B48" s="172">
        <v>14</v>
      </c>
      <c r="C48" s="144"/>
      <c r="D48" s="24"/>
      <c r="E48" s="66" t="str">
        <f>IF($C48&lt;&gt;"","ALERT_" &amp; UPPER(Matrix!$D$6) &amp; "_" &amp; $C48,"")</f>
        <v/>
      </c>
      <c r="F48" s="174"/>
      <c r="G48" s="66" t="str">
        <f t="shared" si="1"/>
        <v/>
      </c>
      <c r="O48" s="172">
        <v>14</v>
      </c>
      <c r="P48" s="144"/>
      <c r="Q48" s="144"/>
      <c r="R48" s="174"/>
    </row>
    <row r="49" spans="2:18">
      <c r="B49" s="172">
        <v>15</v>
      </c>
      <c r="C49" s="144"/>
      <c r="D49" s="24"/>
      <c r="E49" s="66" t="str">
        <f>IF($C49&lt;&gt;"","ALERT_" &amp; UPPER(Matrix!$D$6) &amp; "_" &amp; $C49,"")</f>
        <v/>
      </c>
      <c r="F49" s="174"/>
      <c r="G49" s="66" t="str">
        <f t="shared" si="1"/>
        <v/>
      </c>
      <c r="O49" s="172">
        <v>15</v>
      </c>
      <c r="P49" s="144"/>
      <c r="Q49" s="144"/>
      <c r="R49" s="174"/>
    </row>
    <row r="50" spans="2:18">
      <c r="B50" s="172">
        <v>16</v>
      </c>
      <c r="C50" s="144"/>
      <c r="D50" s="24"/>
      <c r="E50" s="66" t="str">
        <f>IF($C50&lt;&gt;"","ALERT_" &amp; UPPER(Matrix!$D$6) &amp; "_" &amp; $C50,"")</f>
        <v/>
      </c>
      <c r="F50" s="174"/>
      <c r="G50" s="66" t="str">
        <f t="shared" si="1"/>
        <v/>
      </c>
      <c r="O50" s="172">
        <v>16</v>
      </c>
      <c r="P50" s="144"/>
      <c r="Q50" s="144"/>
      <c r="R50" s="174"/>
    </row>
    <row r="51" spans="2:18">
      <c r="B51" s="172">
        <v>17</v>
      </c>
      <c r="C51" s="144"/>
      <c r="D51" s="24"/>
      <c r="E51" s="66" t="str">
        <f>IF($C51&lt;&gt;"","ALERT_" &amp; UPPER(Matrix!$D$6) &amp; "_" &amp; $C51,"")</f>
        <v/>
      </c>
      <c r="F51" s="174"/>
      <c r="G51" s="66" t="str">
        <f t="shared" si="1"/>
        <v/>
      </c>
      <c r="O51" s="172">
        <v>17</v>
      </c>
      <c r="P51" s="144"/>
      <c r="Q51" s="144"/>
      <c r="R51" s="174"/>
    </row>
    <row r="52" spans="2:18">
      <c r="B52" s="172">
        <v>18</v>
      </c>
      <c r="C52" s="144"/>
      <c r="D52" s="24"/>
      <c r="E52" s="66" t="str">
        <f>IF($C52&lt;&gt;"","ALERT_" &amp; UPPER(Matrix!$D$6) &amp; "_" &amp; $C52,"")</f>
        <v/>
      </c>
      <c r="F52" s="174"/>
      <c r="G52" s="66" t="str">
        <f t="shared" si="1"/>
        <v/>
      </c>
      <c r="O52" s="172">
        <v>18</v>
      </c>
      <c r="P52" s="144"/>
      <c r="Q52" s="144"/>
      <c r="R52" s="174"/>
    </row>
    <row r="53" spans="2:18">
      <c r="B53" s="172">
        <v>19</v>
      </c>
      <c r="C53" s="144"/>
      <c r="D53" s="24"/>
      <c r="E53" s="66" t="str">
        <f>IF($C53&lt;&gt;"","ALERT_" &amp; UPPER(Matrix!$D$6) &amp; "_" &amp; $C53,"")</f>
        <v/>
      </c>
      <c r="F53" s="174"/>
      <c r="G53" s="66" t="str">
        <f t="shared" si="1"/>
        <v/>
      </c>
      <c r="O53" s="172">
        <v>19</v>
      </c>
      <c r="P53" s="144"/>
      <c r="Q53" s="144"/>
      <c r="R53" s="174"/>
    </row>
    <row r="54" spans="2:18">
      <c r="B54" s="172">
        <v>20</v>
      </c>
      <c r="C54" s="144"/>
      <c r="D54" s="24"/>
      <c r="E54" s="66" t="str">
        <f>IF($C54&lt;&gt;"","ALERT_" &amp; UPPER(Matrix!$D$6) &amp; "_" &amp; $C54,"")</f>
        <v/>
      </c>
      <c r="F54" s="174"/>
      <c r="G54" s="66" t="str">
        <f t="shared" si="1"/>
        <v/>
      </c>
      <c r="O54" s="172">
        <v>20</v>
      </c>
      <c r="P54" s="144"/>
      <c r="Q54" s="144"/>
      <c r="R54" s="174"/>
    </row>
    <row r="55" spans="2:18">
      <c r="B55" s="172">
        <v>21</v>
      </c>
      <c r="C55" s="144"/>
      <c r="D55" s="24"/>
      <c r="E55" s="66" t="str">
        <f>IF($C55&lt;&gt;"","ALERT_" &amp; UPPER(Matrix!$D$6) &amp; "_" &amp; $C55,"")</f>
        <v/>
      </c>
      <c r="F55" s="174"/>
      <c r="G55" s="66" t="str">
        <f t="shared" si="1"/>
        <v/>
      </c>
      <c r="O55" s="172">
        <v>21</v>
      </c>
      <c r="P55" s="144"/>
      <c r="Q55" s="144"/>
      <c r="R55" s="174"/>
    </row>
    <row r="56" spans="2:18">
      <c r="B56" s="172">
        <v>22</v>
      </c>
      <c r="C56" s="144"/>
      <c r="D56" s="24"/>
      <c r="E56" s="66" t="str">
        <f>IF($C56&lt;&gt;"","ALERT_" &amp; UPPER(Matrix!$D$6) &amp; "_" &amp; $C56,"")</f>
        <v/>
      </c>
      <c r="F56" s="174"/>
      <c r="G56" s="66" t="str">
        <f t="shared" si="1"/>
        <v/>
      </c>
      <c r="O56" s="172">
        <v>22</v>
      </c>
      <c r="P56" s="144"/>
      <c r="Q56" s="144"/>
      <c r="R56" s="174"/>
    </row>
    <row r="57" spans="2:18">
      <c r="B57" s="172">
        <v>23</v>
      </c>
      <c r="C57" s="144"/>
      <c r="D57" s="24"/>
      <c r="E57" s="66" t="str">
        <f>IF($C57&lt;&gt;"","ALERT_" &amp; UPPER(Matrix!$D$6) &amp; "_" &amp; $C57,"")</f>
        <v/>
      </c>
      <c r="F57" s="174"/>
      <c r="G57" s="66" t="str">
        <f t="shared" si="1"/>
        <v/>
      </c>
      <c r="O57" s="172">
        <v>23</v>
      </c>
      <c r="P57" s="144"/>
      <c r="Q57" s="144"/>
      <c r="R57" s="174"/>
    </row>
    <row r="58" spans="2:18">
      <c r="B58" s="172">
        <v>24</v>
      </c>
      <c r="C58" s="144"/>
      <c r="D58" s="24"/>
      <c r="E58" s="66" t="str">
        <f>IF($C58&lt;&gt;"","ALERT_" &amp; UPPER(Matrix!$D$6) &amp; "_" &amp; $C58,"")</f>
        <v/>
      </c>
      <c r="F58" s="174"/>
      <c r="G58" s="66" t="str">
        <f t="shared" si="1"/>
        <v/>
      </c>
      <c r="O58" s="172">
        <v>24</v>
      </c>
      <c r="P58" s="144"/>
      <c r="Q58" s="144"/>
      <c r="R58" s="174"/>
    </row>
    <row r="59" spans="2:18" ht="14.25" thickBot="1">
      <c r="B59" s="173">
        <v>25</v>
      </c>
      <c r="C59" s="142"/>
      <c r="D59" s="53"/>
      <c r="E59" s="67" t="str">
        <f>IF($C59&lt;&gt;"","ALERT_" &amp; UPPER(Matrix!$D$6) &amp; "_" &amp; $C59,"")</f>
        <v/>
      </c>
      <c r="F59" s="175"/>
      <c r="G59" s="67" t="str">
        <f t="shared" si="1"/>
        <v/>
      </c>
      <c r="O59" s="173">
        <v>25</v>
      </c>
      <c r="P59" s="142"/>
      <c r="Q59" s="142"/>
      <c r="R59" s="175"/>
    </row>
  </sheetData>
  <sheetProtection sheet="1" objects="1" scenarios="1"/>
  <protectedRanges>
    <protectedRange sqref="C5:D29 P5:R29 F5:F29 C35:D59 F35:F59 P35:R59" name="編集許可"/>
  </protectedRanges>
  <phoneticPr fontId="3"/>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tabSelected="1" zoomScaleNormal="100" workbookViewId="0">
      <pane ySplit="2" topLeftCell="A4" activePane="bottomLeft" state="frozen"/>
      <selection pane="bottomLeft" activeCell="I16" sqref="I16"/>
    </sheetView>
  </sheetViews>
  <sheetFormatPr defaultRowHeight="13.5"/>
  <cols>
    <col min="2" max="2" width="28.375" customWidth="1"/>
    <col min="3" max="3" width="15.875" customWidth="1"/>
    <col min="5" max="5" width="12.375" customWidth="1"/>
    <col min="6" max="6" width="16.125" customWidth="1"/>
    <col min="7" max="7" width="12.375" customWidth="1"/>
    <col min="8" max="8" width="29.625" bestFit="1" customWidth="1"/>
    <col min="9" max="9" width="12.375" customWidth="1"/>
    <col min="10" max="10" width="29.625" customWidth="1"/>
    <col min="11" max="11" width="12.375" customWidth="1"/>
    <col min="12" max="12" width="16.125" customWidth="1"/>
    <col min="14" max="14" width="30.125" bestFit="1" customWidth="1"/>
    <col min="15" max="15" width="57.125" hidden="1" customWidth="1"/>
    <col min="21" max="21" width="13" hidden="1" customWidth="1"/>
  </cols>
  <sheetData>
    <row r="1" spans="1:21" ht="14.25" thickBot="1">
      <c r="C1" s="90" t="s">
        <v>108</v>
      </c>
    </row>
    <row r="2" spans="1:21" ht="14.25" thickBot="1">
      <c r="B2" s="98" t="s">
        <v>63</v>
      </c>
      <c r="C2" s="99" t="s">
        <v>130</v>
      </c>
      <c r="D2" s="100" t="s">
        <v>57</v>
      </c>
      <c r="E2" s="101" t="s">
        <v>58</v>
      </c>
      <c r="F2" s="102" t="s">
        <v>24</v>
      </c>
      <c r="G2" s="101" t="s">
        <v>59</v>
      </c>
      <c r="H2" s="102" t="s">
        <v>26</v>
      </c>
      <c r="I2" s="101" t="s">
        <v>60</v>
      </c>
      <c r="J2" s="102" t="s">
        <v>181</v>
      </c>
      <c r="K2" s="101" t="s">
        <v>61</v>
      </c>
      <c r="L2" s="102" t="s">
        <v>27</v>
      </c>
      <c r="M2" s="99" t="s">
        <v>62</v>
      </c>
      <c r="N2" s="102" t="s">
        <v>125</v>
      </c>
      <c r="O2" s="118" t="s">
        <v>85</v>
      </c>
    </row>
    <row r="3" spans="1:21" ht="15" hidden="1" thickTop="1" thickBot="1">
      <c r="B3" s="25"/>
      <c r="C3" s="50" t="s">
        <v>112</v>
      </c>
      <c r="D3" s="111"/>
      <c r="E3" s="11"/>
      <c r="F3" s="13"/>
      <c r="G3" s="11"/>
      <c r="H3" s="13"/>
      <c r="I3" s="11"/>
      <c r="J3" s="13"/>
      <c r="K3" s="11"/>
      <c r="L3" s="13"/>
      <c r="M3" s="51"/>
      <c r="N3" s="107"/>
      <c r="O3" s="119"/>
      <c r="U3" s="94" t="s">
        <v>102</v>
      </c>
    </row>
    <row r="4" spans="1:21" ht="14.25" thickTop="1">
      <c r="A4" s="90" t="s">
        <v>279</v>
      </c>
      <c r="B4" s="216" t="s">
        <v>275</v>
      </c>
      <c r="C4" s="50" t="s">
        <v>139</v>
      </c>
      <c r="D4" s="111">
        <v>0</v>
      </c>
      <c r="E4" s="112" t="s">
        <v>136</v>
      </c>
      <c r="F4" s="113" t="s">
        <v>32</v>
      </c>
      <c r="G4" s="112" t="s">
        <v>136</v>
      </c>
      <c r="H4" s="215" t="s">
        <v>274</v>
      </c>
      <c r="I4" s="112" t="s">
        <v>136</v>
      </c>
      <c r="J4" s="113" t="s">
        <v>32</v>
      </c>
      <c r="K4" s="112" t="s">
        <v>136</v>
      </c>
      <c r="L4" s="113" t="s">
        <v>32</v>
      </c>
      <c r="M4" s="51">
        <f ca="1">LEN(N4)</f>
        <v>28</v>
      </c>
      <c r="N4" s="107" t="str">
        <f ca="1">VLOOKUP($B4,Matrix!$H$13:$I$37,2,FALSE)&amp;"_"&amp;C4</f>
        <v>ALERT_REQ_S_ADBZR_DMC_SINGLE</v>
      </c>
      <c r="O4" s="119" t="str">
        <f t="shared" ref="O4:O35" ca="1" si="0">"#define "&amp;N4&amp;REPT(" ",48-M4)&amp;"("&amp;D4&amp;"U)"</f>
        <v>#define ALERT_REQ_S_ADBZR_DMC_SINGLE                    (0U)</v>
      </c>
      <c r="U4" s="94" t="s">
        <v>102</v>
      </c>
    </row>
    <row r="5" spans="1:21">
      <c r="A5" s="90" t="s">
        <v>279</v>
      </c>
      <c r="B5" s="217" t="s">
        <v>275</v>
      </c>
      <c r="C5" s="24" t="s">
        <v>223</v>
      </c>
      <c r="D5" s="114">
        <v>1</v>
      </c>
      <c r="E5" s="25" t="s">
        <v>136</v>
      </c>
      <c r="F5" s="115" t="s">
        <v>32</v>
      </c>
      <c r="G5" s="25" t="s">
        <v>136</v>
      </c>
      <c r="H5" s="215" t="s">
        <v>273</v>
      </c>
      <c r="I5" s="25" t="s">
        <v>136</v>
      </c>
      <c r="J5" s="115" t="s">
        <v>32</v>
      </c>
      <c r="K5" s="25" t="s">
        <v>136</v>
      </c>
      <c r="L5" s="115" t="s">
        <v>32</v>
      </c>
      <c r="M5" s="46">
        <f t="shared" ref="M5:M68" ca="1" si="1">LEN(N5)</f>
        <v>27</v>
      </c>
      <c r="N5" s="107" t="str">
        <f ca="1">VLOOKUP($B5,Matrix!$H$13:$I$37,2,FALSE)&amp;"_"&amp;C5</f>
        <v>ALERT_REQ_S_ADBZR_DMC_CYCLE</v>
      </c>
      <c r="O5" s="120" t="str">
        <f t="shared" ca="1" si="0"/>
        <v>#define ALERT_REQ_S_ADBZR_DMC_CYCLE                     (1U)</v>
      </c>
      <c r="U5" s="92" t="s">
        <v>103</v>
      </c>
    </row>
    <row r="6" spans="1:21">
      <c r="B6" s="25"/>
      <c r="C6" s="50"/>
      <c r="D6" s="111"/>
      <c r="E6" s="25"/>
      <c r="F6" s="115"/>
      <c r="G6" s="25"/>
      <c r="H6" s="215"/>
      <c r="I6" s="25"/>
      <c r="J6" s="115"/>
      <c r="K6" s="25"/>
      <c r="L6" s="115"/>
      <c r="M6" s="46" t="e">
        <f t="shared" ca="1" si="1"/>
        <v>#N/A</v>
      </c>
      <c r="N6" s="107" t="e">
        <f ca="1">VLOOKUP($B6,Matrix!$H$13:$I$37,2,FALSE)&amp;"_"&amp;C6</f>
        <v>#N/A</v>
      </c>
      <c r="O6" s="120" t="e">
        <f t="shared" ca="1" si="0"/>
        <v>#N/A</v>
      </c>
      <c r="U6" s="31" t="s">
        <v>104</v>
      </c>
    </row>
    <row r="7" spans="1:21">
      <c r="B7" s="25"/>
      <c r="C7" s="24"/>
      <c r="D7" s="114"/>
      <c r="E7" s="25"/>
      <c r="F7" s="115"/>
      <c r="G7" s="25"/>
      <c r="H7" s="215"/>
      <c r="I7" s="25"/>
      <c r="J7" s="115"/>
      <c r="K7" s="25"/>
      <c r="L7" s="115"/>
      <c r="M7" s="46" t="e">
        <f t="shared" ca="1" si="1"/>
        <v>#N/A</v>
      </c>
      <c r="N7" s="107" t="e">
        <f ca="1">VLOOKUP($B7,Matrix!$H$13:$I$37,2,FALSE)&amp;"_"&amp;C7</f>
        <v>#N/A</v>
      </c>
      <c r="O7" s="120" t="e">
        <f t="shared" ca="1" si="0"/>
        <v>#N/A</v>
      </c>
      <c r="U7" s="31" t="s">
        <v>105</v>
      </c>
    </row>
    <row r="8" spans="1:21">
      <c r="B8" s="25"/>
      <c r="C8" s="24"/>
      <c r="D8" s="114"/>
      <c r="E8" s="25"/>
      <c r="F8" s="115"/>
      <c r="G8" s="25"/>
      <c r="H8" s="115"/>
      <c r="I8" s="25"/>
      <c r="J8" s="115"/>
      <c r="K8" s="25"/>
      <c r="L8" s="115"/>
      <c r="M8" s="46" t="e">
        <f t="shared" ca="1" si="1"/>
        <v>#N/A</v>
      </c>
      <c r="N8" s="107" t="e">
        <f ca="1">VLOOKUP($B8,Matrix!$H$13:$I$37,2,FALSE)&amp;"_"&amp;C8</f>
        <v>#N/A</v>
      </c>
      <c r="O8" s="120" t="e">
        <f t="shared" ca="1" si="0"/>
        <v>#N/A</v>
      </c>
      <c r="U8" s="31" t="s">
        <v>106</v>
      </c>
    </row>
    <row r="9" spans="1:21">
      <c r="B9" s="25"/>
      <c r="C9" s="24"/>
      <c r="D9" s="114"/>
      <c r="E9" s="25"/>
      <c r="F9" s="115"/>
      <c r="G9" s="25"/>
      <c r="H9" s="115"/>
      <c r="I9" s="25"/>
      <c r="J9" s="115"/>
      <c r="K9" s="25"/>
      <c r="L9" s="115"/>
      <c r="M9" s="46" t="e">
        <f t="shared" ca="1" si="1"/>
        <v>#N/A</v>
      </c>
      <c r="N9" s="107" t="e">
        <f ca="1">VLOOKUP($B9,Matrix!$H$13:$I$37,2,FALSE)&amp;"_"&amp;C9</f>
        <v>#N/A</v>
      </c>
      <c r="O9" s="120" t="e">
        <f t="shared" ca="1" si="0"/>
        <v>#N/A</v>
      </c>
      <c r="U9" s="31" t="s">
        <v>107</v>
      </c>
    </row>
    <row r="10" spans="1:21">
      <c r="B10" s="25"/>
      <c r="C10" s="24"/>
      <c r="D10" s="114"/>
      <c r="E10" s="25"/>
      <c r="F10" s="115"/>
      <c r="G10" s="25"/>
      <c r="H10" s="115"/>
      <c r="I10" s="25"/>
      <c r="J10" s="115"/>
      <c r="K10" s="25"/>
      <c r="L10" s="115"/>
      <c r="M10" s="46" t="e">
        <f t="shared" ca="1" si="1"/>
        <v>#N/A</v>
      </c>
      <c r="N10" s="107" t="e">
        <f ca="1">VLOOKUP($B10,Matrix!$H$13:$I$37,2,FALSE)&amp;"_"&amp;C10</f>
        <v>#N/A</v>
      </c>
      <c r="O10" s="120" t="e">
        <f t="shared" ca="1" si="0"/>
        <v>#N/A</v>
      </c>
      <c r="U10" s="31"/>
    </row>
    <row r="11" spans="1:21">
      <c r="B11" s="25"/>
      <c r="C11" s="24"/>
      <c r="D11" s="114"/>
      <c r="E11" s="25"/>
      <c r="F11" s="115"/>
      <c r="G11" s="25"/>
      <c r="H11" s="115"/>
      <c r="I11" s="25"/>
      <c r="J11" s="115"/>
      <c r="K11" s="25"/>
      <c r="L11" s="115"/>
      <c r="M11" s="46" t="e">
        <f t="shared" ca="1" si="1"/>
        <v>#N/A</v>
      </c>
      <c r="N11" s="107" t="e">
        <f ca="1">VLOOKUP($B11,Matrix!$H$13:$I$37,2,FALSE)&amp;"_"&amp;C11</f>
        <v>#N/A</v>
      </c>
      <c r="O11" s="120" t="e">
        <f t="shared" ca="1" si="0"/>
        <v>#N/A</v>
      </c>
      <c r="U11" s="31"/>
    </row>
    <row r="12" spans="1:21">
      <c r="B12" s="25"/>
      <c r="C12" s="24"/>
      <c r="D12" s="114"/>
      <c r="E12" s="25"/>
      <c r="F12" s="115"/>
      <c r="G12" s="25"/>
      <c r="H12" s="115"/>
      <c r="I12" s="25"/>
      <c r="J12" s="115"/>
      <c r="K12" s="25"/>
      <c r="L12" s="115"/>
      <c r="M12" s="46" t="e">
        <f t="shared" ca="1" si="1"/>
        <v>#N/A</v>
      </c>
      <c r="N12" s="107" t="e">
        <f ca="1">VLOOKUP($B12,Matrix!$H$13:$I$37,2,FALSE)&amp;"_"&amp;C12</f>
        <v>#N/A</v>
      </c>
      <c r="O12" s="120" t="e">
        <f t="shared" ca="1" si="0"/>
        <v>#N/A</v>
      </c>
      <c r="U12" s="31"/>
    </row>
    <row r="13" spans="1:21" ht="14.25" thickBot="1">
      <c r="B13" s="25"/>
      <c r="C13" s="24"/>
      <c r="D13" s="114"/>
      <c r="E13" s="25"/>
      <c r="F13" s="115"/>
      <c r="G13" s="25"/>
      <c r="H13" s="115"/>
      <c r="I13" s="25"/>
      <c r="J13" s="115"/>
      <c r="K13" s="25"/>
      <c r="L13" s="115"/>
      <c r="M13" s="46" t="e">
        <f t="shared" ca="1" si="1"/>
        <v>#N/A</v>
      </c>
      <c r="N13" s="107" t="e">
        <f ca="1">VLOOKUP($B13,Matrix!$H$13:$I$37,2,FALSE)&amp;"_"&amp;C13</f>
        <v>#N/A</v>
      </c>
      <c r="O13" s="120" t="e">
        <f t="shared" ca="1" si="0"/>
        <v>#N/A</v>
      </c>
      <c r="U13" s="93"/>
    </row>
    <row r="14" spans="1:21">
      <c r="B14" s="25"/>
      <c r="C14" s="24"/>
      <c r="D14" s="114"/>
      <c r="E14" s="25"/>
      <c r="F14" s="115"/>
      <c r="G14" s="25"/>
      <c r="H14" s="115"/>
      <c r="I14" s="25"/>
      <c r="J14" s="115"/>
      <c r="K14" s="25"/>
      <c r="L14" s="115"/>
      <c r="M14" s="46" t="e">
        <f t="shared" ca="1" si="1"/>
        <v>#N/A</v>
      </c>
      <c r="N14" s="107" t="e">
        <f ca="1">VLOOKUP($B14,Matrix!$H$13:$I$37,2,FALSE)&amp;"_"&amp;C14</f>
        <v>#N/A</v>
      </c>
      <c r="O14" s="120" t="e">
        <f t="shared" ca="1" si="0"/>
        <v>#N/A</v>
      </c>
    </row>
    <row r="15" spans="1:21">
      <c r="B15" s="25"/>
      <c r="C15" s="24"/>
      <c r="D15" s="114"/>
      <c r="E15" s="25"/>
      <c r="F15" s="115"/>
      <c r="G15" s="25"/>
      <c r="H15" s="115"/>
      <c r="I15" s="25"/>
      <c r="J15" s="115"/>
      <c r="K15" s="25"/>
      <c r="L15" s="115"/>
      <c r="M15" s="46" t="e">
        <f t="shared" ca="1" si="1"/>
        <v>#N/A</v>
      </c>
      <c r="N15" s="107" t="e">
        <f ca="1">VLOOKUP($B15,Matrix!$H$13:$I$37,2,FALSE)&amp;"_"&amp;C15</f>
        <v>#N/A</v>
      </c>
      <c r="O15" s="120" t="e">
        <f t="shared" ca="1" si="0"/>
        <v>#N/A</v>
      </c>
    </row>
    <row r="16" spans="1:21">
      <c r="B16" s="25"/>
      <c r="C16" s="24"/>
      <c r="D16" s="114"/>
      <c r="E16" s="25"/>
      <c r="F16" s="115"/>
      <c r="G16" s="25"/>
      <c r="H16" s="115"/>
      <c r="I16" s="25"/>
      <c r="J16" s="115"/>
      <c r="K16" s="25"/>
      <c r="L16" s="115"/>
      <c r="M16" s="46" t="e">
        <f t="shared" ca="1" si="1"/>
        <v>#N/A</v>
      </c>
      <c r="N16" s="107" t="e">
        <f ca="1">VLOOKUP($B16,Matrix!$H$13:$I$37,2,FALSE)&amp;"_"&amp;C16</f>
        <v>#N/A</v>
      </c>
      <c r="O16" s="120" t="e">
        <f t="shared" ca="1" si="0"/>
        <v>#N/A</v>
      </c>
    </row>
    <row r="17" spans="2:15">
      <c r="B17" s="25"/>
      <c r="C17" s="24"/>
      <c r="D17" s="114"/>
      <c r="E17" s="25"/>
      <c r="F17" s="115"/>
      <c r="G17" s="25"/>
      <c r="H17" s="115"/>
      <c r="I17" s="25"/>
      <c r="J17" s="115"/>
      <c r="K17" s="25"/>
      <c r="L17" s="115"/>
      <c r="M17" s="46" t="e">
        <f t="shared" ca="1" si="1"/>
        <v>#N/A</v>
      </c>
      <c r="N17" s="107" t="e">
        <f ca="1">VLOOKUP($B17,Matrix!$H$13:$I$37,2,FALSE)&amp;"_"&amp;C17</f>
        <v>#N/A</v>
      </c>
      <c r="O17" s="120" t="e">
        <f t="shared" ca="1" si="0"/>
        <v>#N/A</v>
      </c>
    </row>
    <row r="18" spans="2:15">
      <c r="B18" s="25"/>
      <c r="C18" s="24"/>
      <c r="D18" s="114"/>
      <c r="E18" s="25"/>
      <c r="F18" s="115"/>
      <c r="G18" s="25"/>
      <c r="H18" s="115"/>
      <c r="I18" s="25"/>
      <c r="J18" s="115"/>
      <c r="K18" s="25"/>
      <c r="L18" s="115"/>
      <c r="M18" s="46" t="e">
        <f t="shared" ca="1" si="1"/>
        <v>#N/A</v>
      </c>
      <c r="N18" s="107" t="e">
        <f ca="1">VLOOKUP($B18,Matrix!$H$13:$I$37,2,FALSE)&amp;"_"&amp;C18</f>
        <v>#N/A</v>
      </c>
      <c r="O18" s="120" t="e">
        <f t="shared" ca="1" si="0"/>
        <v>#N/A</v>
      </c>
    </row>
    <row r="19" spans="2:15">
      <c r="B19" s="25"/>
      <c r="C19" s="24"/>
      <c r="D19" s="114"/>
      <c r="E19" s="25"/>
      <c r="F19" s="115"/>
      <c r="G19" s="25"/>
      <c r="H19" s="115"/>
      <c r="I19" s="25"/>
      <c r="J19" s="115"/>
      <c r="K19" s="25"/>
      <c r="L19" s="115"/>
      <c r="M19" s="46" t="e">
        <f t="shared" ca="1" si="1"/>
        <v>#N/A</v>
      </c>
      <c r="N19" s="107" t="e">
        <f ca="1">VLOOKUP($B19,Matrix!$H$13:$I$37,2,FALSE)&amp;"_"&amp;C19</f>
        <v>#N/A</v>
      </c>
      <c r="O19" s="120" t="e">
        <f t="shared" ca="1" si="0"/>
        <v>#N/A</v>
      </c>
    </row>
    <row r="20" spans="2:15">
      <c r="B20" s="25"/>
      <c r="C20" s="24"/>
      <c r="D20" s="114"/>
      <c r="E20" s="25"/>
      <c r="F20" s="115"/>
      <c r="G20" s="25"/>
      <c r="H20" s="115"/>
      <c r="I20" s="25"/>
      <c r="J20" s="115"/>
      <c r="K20" s="25"/>
      <c r="L20" s="115"/>
      <c r="M20" s="46" t="e">
        <f t="shared" ca="1" si="1"/>
        <v>#N/A</v>
      </c>
      <c r="N20" s="107" t="e">
        <f ca="1">VLOOKUP($B20,Matrix!$H$13:$I$37,2,FALSE)&amp;"_"&amp;C20</f>
        <v>#N/A</v>
      </c>
      <c r="O20" s="120" t="e">
        <f t="shared" ca="1" si="0"/>
        <v>#N/A</v>
      </c>
    </row>
    <row r="21" spans="2:15">
      <c r="B21" s="25"/>
      <c r="C21" s="24"/>
      <c r="D21" s="114"/>
      <c r="E21" s="25"/>
      <c r="F21" s="115"/>
      <c r="G21" s="25"/>
      <c r="H21" s="115"/>
      <c r="I21" s="25"/>
      <c r="J21" s="115"/>
      <c r="K21" s="25"/>
      <c r="L21" s="115"/>
      <c r="M21" s="46" t="e">
        <f t="shared" ca="1" si="1"/>
        <v>#N/A</v>
      </c>
      <c r="N21" s="107" t="e">
        <f ca="1">VLOOKUP($B21,Matrix!$H$13:$I$37,2,FALSE)&amp;"_"&amp;C21</f>
        <v>#N/A</v>
      </c>
      <c r="O21" s="120" t="e">
        <f t="shared" ca="1" si="0"/>
        <v>#N/A</v>
      </c>
    </row>
    <row r="22" spans="2:15">
      <c r="B22" s="25"/>
      <c r="C22" s="24"/>
      <c r="D22" s="114"/>
      <c r="E22" s="25"/>
      <c r="F22" s="115"/>
      <c r="G22" s="25"/>
      <c r="H22" s="115"/>
      <c r="I22" s="25"/>
      <c r="J22" s="115"/>
      <c r="K22" s="25"/>
      <c r="L22" s="115"/>
      <c r="M22" s="46" t="e">
        <f t="shared" ca="1" si="1"/>
        <v>#N/A</v>
      </c>
      <c r="N22" s="107" t="e">
        <f ca="1">VLOOKUP($B22,Matrix!$H$13:$I$37,2,FALSE)&amp;"_"&amp;C22</f>
        <v>#N/A</v>
      </c>
      <c r="O22" s="120" t="e">
        <f t="shared" ca="1" si="0"/>
        <v>#N/A</v>
      </c>
    </row>
    <row r="23" spans="2:15">
      <c r="B23" s="25"/>
      <c r="C23" s="24"/>
      <c r="D23" s="114"/>
      <c r="E23" s="25"/>
      <c r="F23" s="115"/>
      <c r="G23" s="25"/>
      <c r="H23" s="115"/>
      <c r="I23" s="25"/>
      <c r="J23" s="115"/>
      <c r="K23" s="25"/>
      <c r="L23" s="115"/>
      <c r="M23" s="46" t="e">
        <f t="shared" ca="1" si="1"/>
        <v>#N/A</v>
      </c>
      <c r="N23" s="107" t="e">
        <f ca="1">VLOOKUP($B23,Matrix!$H$13:$I$37,2,FALSE)&amp;"_"&amp;C23</f>
        <v>#N/A</v>
      </c>
      <c r="O23" s="120" t="e">
        <f t="shared" ca="1" si="0"/>
        <v>#N/A</v>
      </c>
    </row>
    <row r="24" spans="2:15">
      <c r="B24" s="25"/>
      <c r="C24" s="24"/>
      <c r="D24" s="114"/>
      <c r="E24" s="25"/>
      <c r="F24" s="115"/>
      <c r="G24" s="25"/>
      <c r="H24" s="115"/>
      <c r="I24" s="25"/>
      <c r="J24" s="115"/>
      <c r="K24" s="25"/>
      <c r="L24" s="115"/>
      <c r="M24" s="46" t="e">
        <f t="shared" ca="1" si="1"/>
        <v>#N/A</v>
      </c>
      <c r="N24" s="107" t="e">
        <f ca="1">VLOOKUP($B24,Matrix!$H$13:$I$37,2,FALSE)&amp;"_"&amp;C24</f>
        <v>#N/A</v>
      </c>
      <c r="O24" s="120" t="e">
        <f t="shared" ca="1" si="0"/>
        <v>#N/A</v>
      </c>
    </row>
    <row r="25" spans="2:15">
      <c r="B25" s="25"/>
      <c r="C25" s="24"/>
      <c r="D25" s="114"/>
      <c r="E25" s="25"/>
      <c r="F25" s="115"/>
      <c r="G25" s="25"/>
      <c r="H25" s="115"/>
      <c r="I25" s="25"/>
      <c r="J25" s="115"/>
      <c r="K25" s="25"/>
      <c r="L25" s="115"/>
      <c r="M25" s="46" t="e">
        <f t="shared" ca="1" si="1"/>
        <v>#N/A</v>
      </c>
      <c r="N25" s="107" t="e">
        <f ca="1">VLOOKUP($B25,Matrix!$H$13:$I$37,2,FALSE)&amp;"_"&amp;C25</f>
        <v>#N/A</v>
      </c>
      <c r="O25" s="120" t="e">
        <f t="shared" ca="1" si="0"/>
        <v>#N/A</v>
      </c>
    </row>
    <row r="26" spans="2:15">
      <c r="B26" s="25"/>
      <c r="C26" s="24"/>
      <c r="D26" s="114"/>
      <c r="E26" s="25"/>
      <c r="F26" s="115"/>
      <c r="G26" s="25"/>
      <c r="H26" s="115"/>
      <c r="I26" s="25"/>
      <c r="J26" s="115"/>
      <c r="K26" s="25"/>
      <c r="L26" s="115"/>
      <c r="M26" s="46" t="e">
        <f t="shared" ca="1" si="1"/>
        <v>#N/A</v>
      </c>
      <c r="N26" s="107" t="e">
        <f ca="1">VLOOKUP($B26,Matrix!$H$13:$I$37,2,FALSE)&amp;"_"&amp;C26</f>
        <v>#N/A</v>
      </c>
      <c r="O26" s="120" t="e">
        <f t="shared" ca="1" si="0"/>
        <v>#N/A</v>
      </c>
    </row>
    <row r="27" spans="2:15">
      <c r="B27" s="25"/>
      <c r="C27" s="24"/>
      <c r="D27" s="114"/>
      <c r="E27" s="25"/>
      <c r="F27" s="115"/>
      <c r="G27" s="25"/>
      <c r="H27" s="115"/>
      <c r="I27" s="25"/>
      <c r="J27" s="115"/>
      <c r="K27" s="25"/>
      <c r="L27" s="115"/>
      <c r="M27" s="46" t="e">
        <f t="shared" ca="1" si="1"/>
        <v>#N/A</v>
      </c>
      <c r="N27" s="107" t="e">
        <f ca="1">VLOOKUP($B27,Matrix!$H$13:$I$37,2,FALSE)&amp;"_"&amp;C27</f>
        <v>#N/A</v>
      </c>
      <c r="O27" s="120" t="e">
        <f t="shared" ca="1" si="0"/>
        <v>#N/A</v>
      </c>
    </row>
    <row r="28" spans="2:15">
      <c r="B28" s="25"/>
      <c r="C28" s="24"/>
      <c r="D28" s="114"/>
      <c r="E28" s="25"/>
      <c r="F28" s="115"/>
      <c r="G28" s="25"/>
      <c r="H28" s="115"/>
      <c r="I28" s="25"/>
      <c r="J28" s="115"/>
      <c r="K28" s="25"/>
      <c r="L28" s="115"/>
      <c r="M28" s="46" t="e">
        <f t="shared" ca="1" si="1"/>
        <v>#N/A</v>
      </c>
      <c r="N28" s="107" t="e">
        <f ca="1">VLOOKUP($B28,Matrix!$H$13:$I$37,2,FALSE)&amp;"_"&amp;C28</f>
        <v>#N/A</v>
      </c>
      <c r="O28" s="120" t="e">
        <f t="shared" ca="1" si="0"/>
        <v>#N/A</v>
      </c>
    </row>
    <row r="29" spans="2:15">
      <c r="B29" s="25"/>
      <c r="C29" s="24"/>
      <c r="D29" s="114"/>
      <c r="E29" s="25"/>
      <c r="F29" s="115"/>
      <c r="G29" s="25"/>
      <c r="H29" s="115"/>
      <c r="I29" s="25"/>
      <c r="J29" s="115"/>
      <c r="K29" s="25"/>
      <c r="L29" s="115"/>
      <c r="M29" s="46" t="e">
        <f t="shared" ca="1" si="1"/>
        <v>#N/A</v>
      </c>
      <c r="N29" s="107" t="e">
        <f ca="1">VLOOKUP($B29,Matrix!$H$13:$I$37,2,FALSE)&amp;"_"&amp;C29</f>
        <v>#N/A</v>
      </c>
      <c r="O29" s="120" t="e">
        <f t="shared" ca="1" si="0"/>
        <v>#N/A</v>
      </c>
    </row>
    <row r="30" spans="2:15">
      <c r="B30" s="25"/>
      <c r="C30" s="24"/>
      <c r="D30" s="114"/>
      <c r="E30" s="25"/>
      <c r="F30" s="115"/>
      <c r="G30" s="25"/>
      <c r="H30" s="115"/>
      <c r="I30" s="25"/>
      <c r="J30" s="115"/>
      <c r="K30" s="25"/>
      <c r="L30" s="115"/>
      <c r="M30" s="46" t="e">
        <f t="shared" ca="1" si="1"/>
        <v>#N/A</v>
      </c>
      <c r="N30" s="107" t="e">
        <f ca="1">VLOOKUP($B30,Matrix!$H$13:$I$37,2,FALSE)&amp;"_"&amp;C30</f>
        <v>#N/A</v>
      </c>
      <c r="O30" s="120" t="e">
        <f t="shared" ca="1" si="0"/>
        <v>#N/A</v>
      </c>
    </row>
    <row r="31" spans="2:15">
      <c r="B31" s="25"/>
      <c r="C31" s="24"/>
      <c r="D31" s="114"/>
      <c r="E31" s="25"/>
      <c r="F31" s="115"/>
      <c r="G31" s="25"/>
      <c r="H31" s="115"/>
      <c r="I31" s="25"/>
      <c r="J31" s="115"/>
      <c r="K31" s="25"/>
      <c r="L31" s="115"/>
      <c r="M31" s="46" t="e">
        <f t="shared" ca="1" si="1"/>
        <v>#N/A</v>
      </c>
      <c r="N31" s="107" t="e">
        <f ca="1">VLOOKUP($B31,Matrix!$H$13:$I$37,2,FALSE)&amp;"_"&amp;C31</f>
        <v>#N/A</v>
      </c>
      <c r="O31" s="120" t="e">
        <f t="shared" ca="1" si="0"/>
        <v>#N/A</v>
      </c>
    </row>
    <row r="32" spans="2:15">
      <c r="B32" s="25"/>
      <c r="C32" s="24"/>
      <c r="D32" s="114"/>
      <c r="E32" s="25"/>
      <c r="F32" s="115"/>
      <c r="G32" s="25"/>
      <c r="H32" s="115"/>
      <c r="I32" s="25"/>
      <c r="J32" s="115"/>
      <c r="K32" s="25"/>
      <c r="L32" s="115"/>
      <c r="M32" s="46" t="e">
        <f t="shared" ca="1" si="1"/>
        <v>#N/A</v>
      </c>
      <c r="N32" s="107" t="e">
        <f ca="1">VLOOKUP($B32,Matrix!$H$13:$I$37,2,FALSE)&amp;"_"&amp;C32</f>
        <v>#N/A</v>
      </c>
      <c r="O32" s="120" t="e">
        <f t="shared" ca="1" si="0"/>
        <v>#N/A</v>
      </c>
    </row>
    <row r="33" spans="2:15">
      <c r="B33" s="25"/>
      <c r="C33" s="24"/>
      <c r="D33" s="114"/>
      <c r="E33" s="25"/>
      <c r="F33" s="115"/>
      <c r="G33" s="25"/>
      <c r="H33" s="115"/>
      <c r="I33" s="25"/>
      <c r="J33" s="115"/>
      <c r="K33" s="25"/>
      <c r="L33" s="115"/>
      <c r="M33" s="46" t="e">
        <f t="shared" ca="1" si="1"/>
        <v>#N/A</v>
      </c>
      <c r="N33" s="107" t="e">
        <f ca="1">VLOOKUP($B33,Matrix!$H$13:$I$37,2,FALSE)&amp;"_"&amp;C33</f>
        <v>#N/A</v>
      </c>
      <c r="O33" s="120" t="e">
        <f t="shared" ca="1" si="0"/>
        <v>#N/A</v>
      </c>
    </row>
    <row r="34" spans="2:15">
      <c r="B34" s="25"/>
      <c r="C34" s="24"/>
      <c r="D34" s="114"/>
      <c r="E34" s="25"/>
      <c r="F34" s="115"/>
      <c r="G34" s="25"/>
      <c r="H34" s="115"/>
      <c r="I34" s="25"/>
      <c r="J34" s="115"/>
      <c r="K34" s="25"/>
      <c r="L34" s="115"/>
      <c r="M34" s="46" t="e">
        <f t="shared" ca="1" si="1"/>
        <v>#N/A</v>
      </c>
      <c r="N34" s="107" t="e">
        <f ca="1">VLOOKUP($B34,Matrix!$H$13:$I$37,2,FALSE)&amp;"_"&amp;C34</f>
        <v>#N/A</v>
      </c>
      <c r="O34" s="120" t="e">
        <f t="shared" ca="1" si="0"/>
        <v>#N/A</v>
      </c>
    </row>
    <row r="35" spans="2:15">
      <c r="B35" s="25"/>
      <c r="C35" s="24"/>
      <c r="D35" s="114"/>
      <c r="E35" s="25"/>
      <c r="F35" s="115"/>
      <c r="G35" s="25"/>
      <c r="H35" s="115"/>
      <c r="I35" s="25"/>
      <c r="J35" s="115"/>
      <c r="K35" s="25"/>
      <c r="L35" s="115"/>
      <c r="M35" s="46" t="e">
        <f t="shared" ca="1" si="1"/>
        <v>#N/A</v>
      </c>
      <c r="N35" s="107" t="e">
        <f ca="1">VLOOKUP($B35,Matrix!$H$13:$I$37,2,FALSE)&amp;"_"&amp;C35</f>
        <v>#N/A</v>
      </c>
      <c r="O35" s="120" t="e">
        <f t="shared" ca="1" si="0"/>
        <v>#N/A</v>
      </c>
    </row>
    <row r="36" spans="2:15">
      <c r="B36" s="25"/>
      <c r="C36" s="24"/>
      <c r="D36" s="114"/>
      <c r="E36" s="25"/>
      <c r="F36" s="115"/>
      <c r="G36" s="25"/>
      <c r="H36" s="115"/>
      <c r="I36" s="25"/>
      <c r="J36" s="115"/>
      <c r="K36" s="25"/>
      <c r="L36" s="115"/>
      <c r="M36" s="46" t="e">
        <f t="shared" ca="1" si="1"/>
        <v>#N/A</v>
      </c>
      <c r="N36" s="107" t="e">
        <f ca="1">VLOOKUP($B36,Matrix!$H$13:$I$37,2,FALSE)&amp;"_"&amp;C36</f>
        <v>#N/A</v>
      </c>
      <c r="O36" s="120" t="e">
        <f t="shared" ref="O36:O67" ca="1" si="2">"#define "&amp;N36&amp;REPT(" ",48-M36)&amp;"("&amp;D36&amp;"U)"</f>
        <v>#N/A</v>
      </c>
    </row>
    <row r="37" spans="2:15">
      <c r="B37" s="25"/>
      <c r="C37" s="24"/>
      <c r="D37" s="114"/>
      <c r="E37" s="25"/>
      <c r="F37" s="115"/>
      <c r="G37" s="25"/>
      <c r="H37" s="115"/>
      <c r="I37" s="25"/>
      <c r="J37" s="115"/>
      <c r="K37" s="25"/>
      <c r="L37" s="115"/>
      <c r="M37" s="46" t="e">
        <f t="shared" ca="1" si="1"/>
        <v>#N/A</v>
      </c>
      <c r="N37" s="107" t="e">
        <f ca="1">VLOOKUP($B37,Matrix!$H$13:$I$37,2,FALSE)&amp;"_"&amp;C37</f>
        <v>#N/A</v>
      </c>
      <c r="O37" s="120" t="e">
        <f t="shared" ca="1" si="2"/>
        <v>#N/A</v>
      </c>
    </row>
    <row r="38" spans="2:15">
      <c r="B38" s="25"/>
      <c r="C38" s="24"/>
      <c r="D38" s="114"/>
      <c r="E38" s="25"/>
      <c r="F38" s="115"/>
      <c r="G38" s="25"/>
      <c r="H38" s="115"/>
      <c r="I38" s="25"/>
      <c r="J38" s="115"/>
      <c r="K38" s="25"/>
      <c r="L38" s="115"/>
      <c r="M38" s="46" t="e">
        <f t="shared" ca="1" si="1"/>
        <v>#N/A</v>
      </c>
      <c r="N38" s="107" t="e">
        <f ca="1">VLOOKUP($B38,Matrix!$H$13:$I$37,2,FALSE)&amp;"_"&amp;C38</f>
        <v>#N/A</v>
      </c>
      <c r="O38" s="120" t="e">
        <f t="shared" ca="1" si="2"/>
        <v>#N/A</v>
      </c>
    </row>
    <row r="39" spans="2:15">
      <c r="B39" s="25"/>
      <c r="C39" s="24"/>
      <c r="D39" s="114"/>
      <c r="E39" s="25"/>
      <c r="F39" s="115"/>
      <c r="G39" s="25"/>
      <c r="H39" s="115"/>
      <c r="I39" s="25"/>
      <c r="J39" s="115"/>
      <c r="K39" s="25"/>
      <c r="L39" s="115"/>
      <c r="M39" s="46" t="e">
        <f t="shared" ca="1" si="1"/>
        <v>#N/A</v>
      </c>
      <c r="N39" s="107" t="e">
        <f ca="1">VLOOKUP($B39,Matrix!$H$13:$I$37,2,FALSE)&amp;"_"&amp;C39</f>
        <v>#N/A</v>
      </c>
      <c r="O39" s="120" t="e">
        <f t="shared" ca="1" si="2"/>
        <v>#N/A</v>
      </c>
    </row>
    <row r="40" spans="2:15">
      <c r="B40" s="25"/>
      <c r="C40" s="24"/>
      <c r="D40" s="114"/>
      <c r="E40" s="25"/>
      <c r="F40" s="115"/>
      <c r="G40" s="25"/>
      <c r="H40" s="115"/>
      <c r="I40" s="25"/>
      <c r="J40" s="115"/>
      <c r="K40" s="25"/>
      <c r="L40" s="115"/>
      <c r="M40" s="46" t="e">
        <f t="shared" ca="1" si="1"/>
        <v>#N/A</v>
      </c>
      <c r="N40" s="107" t="e">
        <f ca="1">VLOOKUP($B40,Matrix!$H$13:$I$37,2,FALSE)&amp;"_"&amp;C40</f>
        <v>#N/A</v>
      </c>
      <c r="O40" s="120" t="e">
        <f t="shared" ca="1" si="2"/>
        <v>#N/A</v>
      </c>
    </row>
    <row r="41" spans="2:15">
      <c r="B41" s="25"/>
      <c r="C41" s="24"/>
      <c r="D41" s="114"/>
      <c r="E41" s="25"/>
      <c r="F41" s="115"/>
      <c r="G41" s="25"/>
      <c r="H41" s="115"/>
      <c r="I41" s="25"/>
      <c r="J41" s="115"/>
      <c r="K41" s="25"/>
      <c r="L41" s="115"/>
      <c r="M41" s="46" t="e">
        <f t="shared" ca="1" si="1"/>
        <v>#N/A</v>
      </c>
      <c r="N41" s="107" t="e">
        <f ca="1">VLOOKUP($B41,Matrix!$H$13:$I$37,2,FALSE)&amp;"_"&amp;C41</f>
        <v>#N/A</v>
      </c>
      <c r="O41" s="120" t="e">
        <f t="shared" ca="1" si="2"/>
        <v>#N/A</v>
      </c>
    </row>
    <row r="42" spans="2:15">
      <c r="B42" s="25"/>
      <c r="C42" s="24"/>
      <c r="D42" s="114"/>
      <c r="E42" s="25"/>
      <c r="F42" s="115"/>
      <c r="G42" s="25"/>
      <c r="H42" s="115"/>
      <c r="I42" s="25"/>
      <c r="J42" s="115"/>
      <c r="K42" s="25"/>
      <c r="L42" s="115"/>
      <c r="M42" s="46" t="e">
        <f t="shared" ca="1" si="1"/>
        <v>#N/A</v>
      </c>
      <c r="N42" s="107" t="e">
        <f ca="1">VLOOKUP($B42,Matrix!$H$13:$I$37,2,FALSE)&amp;"_"&amp;C42</f>
        <v>#N/A</v>
      </c>
      <c r="O42" s="120" t="e">
        <f t="shared" ca="1" si="2"/>
        <v>#N/A</v>
      </c>
    </row>
    <row r="43" spans="2:15">
      <c r="B43" s="25"/>
      <c r="C43" s="24"/>
      <c r="D43" s="114"/>
      <c r="E43" s="25"/>
      <c r="F43" s="115"/>
      <c r="G43" s="25"/>
      <c r="H43" s="115"/>
      <c r="I43" s="25"/>
      <c r="J43" s="115"/>
      <c r="K43" s="25"/>
      <c r="L43" s="115"/>
      <c r="M43" s="46" t="e">
        <f t="shared" ca="1" si="1"/>
        <v>#N/A</v>
      </c>
      <c r="N43" s="107" t="e">
        <f ca="1">VLOOKUP($B43,Matrix!$H$13:$I$37,2,FALSE)&amp;"_"&amp;C43</f>
        <v>#N/A</v>
      </c>
      <c r="O43" s="120" t="e">
        <f t="shared" ca="1" si="2"/>
        <v>#N/A</v>
      </c>
    </row>
    <row r="44" spans="2:15">
      <c r="B44" s="25"/>
      <c r="C44" s="24"/>
      <c r="D44" s="114"/>
      <c r="E44" s="25"/>
      <c r="F44" s="115"/>
      <c r="G44" s="25"/>
      <c r="H44" s="115"/>
      <c r="I44" s="25"/>
      <c r="J44" s="115"/>
      <c r="K44" s="25"/>
      <c r="L44" s="115"/>
      <c r="M44" s="46" t="e">
        <f t="shared" ca="1" si="1"/>
        <v>#N/A</v>
      </c>
      <c r="N44" s="107" t="e">
        <f ca="1">VLOOKUP($B44,Matrix!$H$13:$I$37,2,FALSE)&amp;"_"&amp;C44</f>
        <v>#N/A</v>
      </c>
      <c r="O44" s="120" t="e">
        <f t="shared" ca="1" si="2"/>
        <v>#N/A</v>
      </c>
    </row>
    <row r="45" spans="2:15">
      <c r="B45" s="25"/>
      <c r="C45" s="24"/>
      <c r="D45" s="114"/>
      <c r="E45" s="25"/>
      <c r="F45" s="115"/>
      <c r="G45" s="25"/>
      <c r="H45" s="115"/>
      <c r="I45" s="25"/>
      <c r="J45" s="115"/>
      <c r="K45" s="25"/>
      <c r="L45" s="115"/>
      <c r="M45" s="46" t="e">
        <f t="shared" ca="1" si="1"/>
        <v>#N/A</v>
      </c>
      <c r="N45" s="107" t="e">
        <f ca="1">VLOOKUP($B45,Matrix!$H$13:$I$37,2,FALSE)&amp;"_"&amp;C45</f>
        <v>#N/A</v>
      </c>
      <c r="O45" s="120" t="e">
        <f t="shared" ca="1" si="2"/>
        <v>#N/A</v>
      </c>
    </row>
    <row r="46" spans="2:15">
      <c r="B46" s="25"/>
      <c r="C46" s="24"/>
      <c r="D46" s="114"/>
      <c r="E46" s="25"/>
      <c r="F46" s="115"/>
      <c r="G46" s="25"/>
      <c r="H46" s="115"/>
      <c r="I46" s="25"/>
      <c r="J46" s="115"/>
      <c r="K46" s="25"/>
      <c r="L46" s="115"/>
      <c r="M46" s="46" t="e">
        <f t="shared" ca="1" si="1"/>
        <v>#N/A</v>
      </c>
      <c r="N46" s="107" t="e">
        <f ca="1">VLOOKUP($B46,Matrix!$H$13:$I$37,2,FALSE)&amp;"_"&amp;C46</f>
        <v>#N/A</v>
      </c>
      <c r="O46" s="120" t="e">
        <f t="shared" ca="1" si="2"/>
        <v>#N/A</v>
      </c>
    </row>
    <row r="47" spans="2:15">
      <c r="B47" s="25"/>
      <c r="C47" s="24"/>
      <c r="D47" s="114"/>
      <c r="E47" s="25"/>
      <c r="F47" s="115"/>
      <c r="G47" s="25"/>
      <c r="H47" s="115"/>
      <c r="I47" s="25"/>
      <c r="J47" s="115"/>
      <c r="K47" s="25"/>
      <c r="L47" s="115"/>
      <c r="M47" s="46" t="e">
        <f t="shared" ca="1" si="1"/>
        <v>#N/A</v>
      </c>
      <c r="N47" s="107" t="e">
        <f ca="1">VLOOKUP($B47,Matrix!$H$13:$I$37,2,FALSE)&amp;"_"&amp;C47</f>
        <v>#N/A</v>
      </c>
      <c r="O47" s="120" t="e">
        <f t="shared" ca="1" si="2"/>
        <v>#N/A</v>
      </c>
    </row>
    <row r="48" spans="2:15">
      <c r="B48" s="25"/>
      <c r="C48" s="24"/>
      <c r="D48" s="114"/>
      <c r="E48" s="25"/>
      <c r="F48" s="115"/>
      <c r="G48" s="25"/>
      <c r="H48" s="115"/>
      <c r="I48" s="25"/>
      <c r="J48" s="115"/>
      <c r="K48" s="25"/>
      <c r="L48" s="115"/>
      <c r="M48" s="46" t="e">
        <f t="shared" ca="1" si="1"/>
        <v>#N/A</v>
      </c>
      <c r="N48" s="107" t="e">
        <f ca="1">VLOOKUP($B48,Matrix!$H$13:$I$37,2,FALSE)&amp;"_"&amp;C48</f>
        <v>#N/A</v>
      </c>
      <c r="O48" s="120" t="e">
        <f t="shared" ca="1" si="2"/>
        <v>#N/A</v>
      </c>
    </row>
    <row r="49" spans="2:15">
      <c r="B49" s="25"/>
      <c r="C49" s="24"/>
      <c r="D49" s="114"/>
      <c r="E49" s="25"/>
      <c r="F49" s="115"/>
      <c r="G49" s="25"/>
      <c r="H49" s="115"/>
      <c r="I49" s="25"/>
      <c r="J49" s="115"/>
      <c r="K49" s="25"/>
      <c r="L49" s="115"/>
      <c r="M49" s="46" t="e">
        <f t="shared" ca="1" si="1"/>
        <v>#N/A</v>
      </c>
      <c r="N49" s="107" t="e">
        <f ca="1">VLOOKUP($B49,Matrix!$H$13:$I$37,2,FALSE)&amp;"_"&amp;C49</f>
        <v>#N/A</v>
      </c>
      <c r="O49" s="120" t="e">
        <f t="shared" ca="1" si="2"/>
        <v>#N/A</v>
      </c>
    </row>
    <row r="50" spans="2:15">
      <c r="B50" s="25"/>
      <c r="C50" s="24"/>
      <c r="D50" s="114"/>
      <c r="E50" s="25"/>
      <c r="F50" s="115"/>
      <c r="G50" s="25"/>
      <c r="H50" s="115"/>
      <c r="I50" s="25"/>
      <c r="J50" s="115"/>
      <c r="K50" s="25"/>
      <c r="L50" s="115"/>
      <c r="M50" s="46" t="e">
        <f t="shared" ca="1" si="1"/>
        <v>#N/A</v>
      </c>
      <c r="N50" s="107" t="e">
        <f ca="1">VLOOKUP($B50,Matrix!$H$13:$I$37,2,FALSE)&amp;"_"&amp;C50</f>
        <v>#N/A</v>
      </c>
      <c r="O50" s="120" t="e">
        <f t="shared" ca="1" si="2"/>
        <v>#N/A</v>
      </c>
    </row>
    <row r="51" spans="2:15">
      <c r="B51" s="25"/>
      <c r="C51" s="24"/>
      <c r="D51" s="114"/>
      <c r="E51" s="25"/>
      <c r="F51" s="115"/>
      <c r="G51" s="25"/>
      <c r="H51" s="115"/>
      <c r="I51" s="25"/>
      <c r="J51" s="115"/>
      <c r="K51" s="25"/>
      <c r="L51" s="115"/>
      <c r="M51" s="46" t="e">
        <f t="shared" ca="1" si="1"/>
        <v>#N/A</v>
      </c>
      <c r="N51" s="107" t="e">
        <f ca="1">VLOOKUP($B51,Matrix!$H$13:$I$37,2,FALSE)&amp;"_"&amp;C51</f>
        <v>#N/A</v>
      </c>
      <c r="O51" s="120" t="e">
        <f t="shared" ca="1" si="2"/>
        <v>#N/A</v>
      </c>
    </row>
    <row r="52" spans="2:15">
      <c r="B52" s="25"/>
      <c r="C52" s="24"/>
      <c r="D52" s="114"/>
      <c r="E52" s="25"/>
      <c r="F52" s="115"/>
      <c r="G52" s="25"/>
      <c r="H52" s="115"/>
      <c r="I52" s="25"/>
      <c r="J52" s="115"/>
      <c r="K52" s="25"/>
      <c r="L52" s="115"/>
      <c r="M52" s="46" t="e">
        <f t="shared" ca="1" si="1"/>
        <v>#N/A</v>
      </c>
      <c r="N52" s="107" t="e">
        <f ca="1">VLOOKUP($B52,Matrix!$H$13:$I$37,2,FALSE)&amp;"_"&amp;C52</f>
        <v>#N/A</v>
      </c>
      <c r="O52" s="120" t="e">
        <f t="shared" ca="1" si="2"/>
        <v>#N/A</v>
      </c>
    </row>
    <row r="53" spans="2:15">
      <c r="B53" s="25"/>
      <c r="C53" s="24"/>
      <c r="D53" s="114"/>
      <c r="E53" s="25"/>
      <c r="F53" s="115"/>
      <c r="G53" s="25"/>
      <c r="H53" s="115"/>
      <c r="I53" s="25"/>
      <c r="J53" s="115"/>
      <c r="K53" s="25"/>
      <c r="L53" s="115"/>
      <c r="M53" s="46" t="e">
        <f t="shared" ca="1" si="1"/>
        <v>#N/A</v>
      </c>
      <c r="N53" s="107" t="e">
        <f ca="1">VLOOKUP($B53,Matrix!$H$13:$I$37,2,FALSE)&amp;"_"&amp;C53</f>
        <v>#N/A</v>
      </c>
      <c r="O53" s="120" t="e">
        <f t="shared" ca="1" si="2"/>
        <v>#N/A</v>
      </c>
    </row>
    <row r="54" spans="2:15">
      <c r="B54" s="25"/>
      <c r="C54" s="24"/>
      <c r="D54" s="114"/>
      <c r="E54" s="25"/>
      <c r="F54" s="115"/>
      <c r="G54" s="25"/>
      <c r="H54" s="115"/>
      <c r="I54" s="25"/>
      <c r="J54" s="115"/>
      <c r="K54" s="25"/>
      <c r="L54" s="115"/>
      <c r="M54" s="46" t="e">
        <f t="shared" ca="1" si="1"/>
        <v>#N/A</v>
      </c>
      <c r="N54" s="107" t="e">
        <f ca="1">VLOOKUP($B54,Matrix!$H$13:$I$37,2,FALSE)&amp;"_"&amp;C54</f>
        <v>#N/A</v>
      </c>
      <c r="O54" s="120" t="e">
        <f t="shared" ca="1" si="2"/>
        <v>#N/A</v>
      </c>
    </row>
    <row r="55" spans="2:15">
      <c r="B55" s="25"/>
      <c r="C55" s="24"/>
      <c r="D55" s="114"/>
      <c r="E55" s="25"/>
      <c r="F55" s="115"/>
      <c r="G55" s="25"/>
      <c r="H55" s="115"/>
      <c r="I55" s="25"/>
      <c r="J55" s="115"/>
      <c r="K55" s="25"/>
      <c r="L55" s="115"/>
      <c r="M55" s="46" t="e">
        <f t="shared" ca="1" si="1"/>
        <v>#N/A</v>
      </c>
      <c r="N55" s="107" t="e">
        <f ca="1">VLOOKUP($B55,Matrix!$H$13:$I$37,2,FALSE)&amp;"_"&amp;C55</f>
        <v>#N/A</v>
      </c>
      <c r="O55" s="120" t="e">
        <f t="shared" ca="1" si="2"/>
        <v>#N/A</v>
      </c>
    </row>
    <row r="56" spans="2:15">
      <c r="B56" s="25"/>
      <c r="C56" s="24"/>
      <c r="D56" s="114"/>
      <c r="E56" s="25"/>
      <c r="F56" s="115"/>
      <c r="G56" s="25"/>
      <c r="H56" s="115"/>
      <c r="I56" s="25"/>
      <c r="J56" s="115"/>
      <c r="K56" s="25"/>
      <c r="L56" s="115"/>
      <c r="M56" s="46" t="e">
        <f t="shared" ca="1" si="1"/>
        <v>#N/A</v>
      </c>
      <c r="N56" s="107" t="e">
        <f ca="1">VLOOKUP($B56,Matrix!$H$13:$I$37,2,FALSE)&amp;"_"&amp;C56</f>
        <v>#N/A</v>
      </c>
      <c r="O56" s="120" t="e">
        <f t="shared" ca="1" si="2"/>
        <v>#N/A</v>
      </c>
    </row>
    <row r="57" spans="2:15">
      <c r="B57" s="25"/>
      <c r="C57" s="24"/>
      <c r="D57" s="114"/>
      <c r="E57" s="25"/>
      <c r="F57" s="115"/>
      <c r="G57" s="25"/>
      <c r="H57" s="115"/>
      <c r="I57" s="25"/>
      <c r="J57" s="115"/>
      <c r="K57" s="25"/>
      <c r="L57" s="115"/>
      <c r="M57" s="46" t="e">
        <f t="shared" ca="1" si="1"/>
        <v>#N/A</v>
      </c>
      <c r="N57" s="107" t="e">
        <f ca="1">VLOOKUP($B57,Matrix!$H$13:$I$37,2,FALSE)&amp;"_"&amp;C57</f>
        <v>#N/A</v>
      </c>
      <c r="O57" s="120" t="e">
        <f t="shared" ca="1" si="2"/>
        <v>#N/A</v>
      </c>
    </row>
    <row r="58" spans="2:15">
      <c r="B58" s="25"/>
      <c r="C58" s="24"/>
      <c r="D58" s="114"/>
      <c r="E58" s="25"/>
      <c r="F58" s="115"/>
      <c r="G58" s="25"/>
      <c r="H58" s="115"/>
      <c r="I58" s="25"/>
      <c r="J58" s="115"/>
      <c r="K58" s="25"/>
      <c r="L58" s="115"/>
      <c r="M58" s="46" t="e">
        <f t="shared" ca="1" si="1"/>
        <v>#N/A</v>
      </c>
      <c r="N58" s="107" t="e">
        <f ca="1">VLOOKUP($B58,Matrix!$H$13:$I$37,2,FALSE)&amp;"_"&amp;C58</f>
        <v>#N/A</v>
      </c>
      <c r="O58" s="120" t="e">
        <f t="shared" ca="1" si="2"/>
        <v>#N/A</v>
      </c>
    </row>
    <row r="59" spans="2:15">
      <c r="B59" s="25"/>
      <c r="C59" s="24"/>
      <c r="D59" s="114"/>
      <c r="E59" s="25"/>
      <c r="F59" s="115"/>
      <c r="G59" s="25"/>
      <c r="H59" s="115"/>
      <c r="I59" s="25"/>
      <c r="J59" s="115"/>
      <c r="K59" s="25"/>
      <c r="L59" s="115"/>
      <c r="M59" s="46" t="e">
        <f t="shared" ca="1" si="1"/>
        <v>#N/A</v>
      </c>
      <c r="N59" s="107" t="e">
        <f ca="1">VLOOKUP($B59,Matrix!$H$13:$I$37,2,FALSE)&amp;"_"&amp;C59</f>
        <v>#N/A</v>
      </c>
      <c r="O59" s="120" t="e">
        <f t="shared" ca="1" si="2"/>
        <v>#N/A</v>
      </c>
    </row>
    <row r="60" spans="2:15">
      <c r="B60" s="25"/>
      <c r="C60" s="24"/>
      <c r="D60" s="114"/>
      <c r="E60" s="25"/>
      <c r="F60" s="115"/>
      <c r="G60" s="25"/>
      <c r="H60" s="115"/>
      <c r="I60" s="25"/>
      <c r="J60" s="115"/>
      <c r="K60" s="25"/>
      <c r="L60" s="115"/>
      <c r="M60" s="46" t="e">
        <f t="shared" ca="1" si="1"/>
        <v>#N/A</v>
      </c>
      <c r="N60" s="107" t="e">
        <f ca="1">VLOOKUP($B60,Matrix!$H$13:$I$37,2,FALSE)&amp;"_"&amp;C60</f>
        <v>#N/A</v>
      </c>
      <c r="O60" s="120" t="e">
        <f t="shared" ca="1" si="2"/>
        <v>#N/A</v>
      </c>
    </row>
    <row r="61" spans="2:15">
      <c r="B61" s="25"/>
      <c r="C61" s="24"/>
      <c r="D61" s="114"/>
      <c r="E61" s="25"/>
      <c r="F61" s="115"/>
      <c r="G61" s="25"/>
      <c r="H61" s="115"/>
      <c r="I61" s="25"/>
      <c r="J61" s="115"/>
      <c r="K61" s="25"/>
      <c r="L61" s="115"/>
      <c r="M61" s="46" t="e">
        <f t="shared" ca="1" si="1"/>
        <v>#N/A</v>
      </c>
      <c r="N61" s="107" t="e">
        <f ca="1">VLOOKUP($B61,Matrix!$H$13:$I$37,2,FALSE)&amp;"_"&amp;C61</f>
        <v>#N/A</v>
      </c>
      <c r="O61" s="120" t="e">
        <f t="shared" ca="1" si="2"/>
        <v>#N/A</v>
      </c>
    </row>
    <row r="62" spans="2:15">
      <c r="B62" s="25"/>
      <c r="C62" s="24"/>
      <c r="D62" s="114"/>
      <c r="E62" s="25"/>
      <c r="F62" s="115"/>
      <c r="G62" s="25"/>
      <c r="H62" s="115"/>
      <c r="I62" s="25"/>
      <c r="J62" s="115"/>
      <c r="K62" s="25"/>
      <c r="L62" s="115"/>
      <c r="M62" s="46" t="e">
        <f t="shared" ca="1" si="1"/>
        <v>#N/A</v>
      </c>
      <c r="N62" s="107" t="e">
        <f ca="1">VLOOKUP($B62,Matrix!$H$13:$I$37,2,FALSE)&amp;"_"&amp;C62</f>
        <v>#N/A</v>
      </c>
      <c r="O62" s="120" t="e">
        <f t="shared" ca="1" si="2"/>
        <v>#N/A</v>
      </c>
    </row>
    <row r="63" spans="2:15">
      <c r="B63" s="25"/>
      <c r="C63" s="24"/>
      <c r="D63" s="114"/>
      <c r="E63" s="25"/>
      <c r="F63" s="115"/>
      <c r="G63" s="25"/>
      <c r="H63" s="115"/>
      <c r="I63" s="25"/>
      <c r="J63" s="115"/>
      <c r="K63" s="25"/>
      <c r="L63" s="115"/>
      <c r="M63" s="46" t="e">
        <f t="shared" ca="1" si="1"/>
        <v>#N/A</v>
      </c>
      <c r="N63" s="107" t="e">
        <f ca="1">VLOOKUP($B63,Matrix!$H$13:$I$37,2,FALSE)&amp;"_"&amp;C63</f>
        <v>#N/A</v>
      </c>
      <c r="O63" s="120" t="e">
        <f t="shared" ca="1" si="2"/>
        <v>#N/A</v>
      </c>
    </row>
    <row r="64" spans="2:15">
      <c r="B64" s="25"/>
      <c r="C64" s="24"/>
      <c r="D64" s="114"/>
      <c r="E64" s="25"/>
      <c r="F64" s="115"/>
      <c r="G64" s="25"/>
      <c r="H64" s="115"/>
      <c r="I64" s="25"/>
      <c r="J64" s="115"/>
      <c r="K64" s="25"/>
      <c r="L64" s="115"/>
      <c r="M64" s="46" t="e">
        <f t="shared" ca="1" si="1"/>
        <v>#N/A</v>
      </c>
      <c r="N64" s="107" t="e">
        <f ca="1">VLOOKUP($B64,Matrix!$H$13:$I$37,2,FALSE)&amp;"_"&amp;C64</f>
        <v>#N/A</v>
      </c>
      <c r="O64" s="120" t="e">
        <f t="shared" ca="1" si="2"/>
        <v>#N/A</v>
      </c>
    </row>
    <row r="65" spans="2:15">
      <c r="B65" s="25"/>
      <c r="C65" s="24"/>
      <c r="D65" s="114"/>
      <c r="E65" s="25"/>
      <c r="F65" s="115"/>
      <c r="G65" s="25"/>
      <c r="H65" s="115"/>
      <c r="I65" s="25"/>
      <c r="J65" s="115"/>
      <c r="K65" s="25"/>
      <c r="L65" s="115"/>
      <c r="M65" s="46" t="e">
        <f t="shared" ca="1" si="1"/>
        <v>#N/A</v>
      </c>
      <c r="N65" s="107" t="e">
        <f ca="1">VLOOKUP($B65,Matrix!$H$13:$I$37,2,FALSE)&amp;"_"&amp;C65</f>
        <v>#N/A</v>
      </c>
      <c r="O65" s="120" t="e">
        <f t="shared" ca="1" si="2"/>
        <v>#N/A</v>
      </c>
    </row>
    <row r="66" spans="2:15">
      <c r="B66" s="25"/>
      <c r="C66" s="24"/>
      <c r="D66" s="114"/>
      <c r="E66" s="25"/>
      <c r="F66" s="115"/>
      <c r="G66" s="25"/>
      <c r="H66" s="115"/>
      <c r="I66" s="25"/>
      <c r="J66" s="115"/>
      <c r="K66" s="25"/>
      <c r="L66" s="115"/>
      <c r="M66" s="46" t="e">
        <f t="shared" ca="1" si="1"/>
        <v>#N/A</v>
      </c>
      <c r="N66" s="107" t="e">
        <f ca="1">VLOOKUP($B66,Matrix!$H$13:$I$37,2,FALSE)&amp;"_"&amp;C66</f>
        <v>#N/A</v>
      </c>
      <c r="O66" s="120" t="e">
        <f t="shared" ca="1" si="2"/>
        <v>#N/A</v>
      </c>
    </row>
    <row r="67" spans="2:15">
      <c r="B67" s="25"/>
      <c r="C67" s="24"/>
      <c r="D67" s="114"/>
      <c r="E67" s="25"/>
      <c r="F67" s="115"/>
      <c r="G67" s="25"/>
      <c r="H67" s="115"/>
      <c r="I67" s="25"/>
      <c r="J67" s="115"/>
      <c r="K67" s="25"/>
      <c r="L67" s="115"/>
      <c r="M67" s="46" t="e">
        <f t="shared" ca="1" si="1"/>
        <v>#N/A</v>
      </c>
      <c r="N67" s="107" t="e">
        <f ca="1">VLOOKUP($B67,Matrix!$H$13:$I$37,2,FALSE)&amp;"_"&amp;C67</f>
        <v>#N/A</v>
      </c>
      <c r="O67" s="120" t="e">
        <f t="shared" ca="1" si="2"/>
        <v>#N/A</v>
      </c>
    </row>
    <row r="68" spans="2:15">
      <c r="B68" s="25"/>
      <c r="C68" s="24"/>
      <c r="D68" s="114"/>
      <c r="E68" s="25"/>
      <c r="F68" s="115"/>
      <c r="G68" s="25"/>
      <c r="H68" s="115"/>
      <c r="I68" s="25"/>
      <c r="J68" s="115"/>
      <c r="K68" s="25"/>
      <c r="L68" s="115"/>
      <c r="M68" s="46" t="e">
        <f t="shared" ca="1" si="1"/>
        <v>#N/A</v>
      </c>
      <c r="N68" s="107" t="e">
        <f ca="1">VLOOKUP($B68,Matrix!$H$13:$I$37,2,FALSE)&amp;"_"&amp;C68</f>
        <v>#N/A</v>
      </c>
      <c r="O68" s="120" t="e">
        <f t="shared" ref="O68:O99" ca="1" si="3">"#define "&amp;N68&amp;REPT(" ",48-M68)&amp;"("&amp;D68&amp;"U)"</f>
        <v>#N/A</v>
      </c>
    </row>
    <row r="69" spans="2:15">
      <c r="B69" s="25"/>
      <c r="C69" s="24"/>
      <c r="D69" s="114"/>
      <c r="E69" s="25"/>
      <c r="F69" s="115"/>
      <c r="G69" s="25"/>
      <c r="H69" s="115"/>
      <c r="I69" s="25"/>
      <c r="J69" s="115"/>
      <c r="K69" s="25"/>
      <c r="L69" s="115"/>
      <c r="M69" s="46" t="e">
        <f t="shared" ref="M69:M103" ca="1" si="4">LEN(N69)</f>
        <v>#N/A</v>
      </c>
      <c r="N69" s="107" t="e">
        <f ca="1">VLOOKUP($B69,Matrix!$H$13:$I$37,2,FALSE)&amp;"_"&amp;C69</f>
        <v>#N/A</v>
      </c>
      <c r="O69" s="120" t="e">
        <f t="shared" ca="1" si="3"/>
        <v>#N/A</v>
      </c>
    </row>
    <row r="70" spans="2:15">
      <c r="B70" s="25"/>
      <c r="C70" s="24"/>
      <c r="D70" s="114"/>
      <c r="E70" s="25"/>
      <c r="F70" s="115"/>
      <c r="G70" s="25"/>
      <c r="H70" s="115"/>
      <c r="I70" s="25"/>
      <c r="J70" s="115"/>
      <c r="K70" s="25"/>
      <c r="L70" s="115"/>
      <c r="M70" s="46" t="e">
        <f t="shared" ca="1" si="4"/>
        <v>#N/A</v>
      </c>
      <c r="N70" s="107" t="e">
        <f ca="1">VLOOKUP($B70,Matrix!$H$13:$I$37,2,FALSE)&amp;"_"&amp;C70</f>
        <v>#N/A</v>
      </c>
      <c r="O70" s="120" t="e">
        <f t="shared" ca="1" si="3"/>
        <v>#N/A</v>
      </c>
    </row>
    <row r="71" spans="2:15">
      <c r="B71" s="25"/>
      <c r="C71" s="24"/>
      <c r="D71" s="114"/>
      <c r="E71" s="25"/>
      <c r="F71" s="115"/>
      <c r="G71" s="25"/>
      <c r="H71" s="115"/>
      <c r="I71" s="25"/>
      <c r="J71" s="115"/>
      <c r="K71" s="25"/>
      <c r="L71" s="115"/>
      <c r="M71" s="46" t="e">
        <f t="shared" ca="1" si="4"/>
        <v>#N/A</v>
      </c>
      <c r="N71" s="107" t="e">
        <f ca="1">VLOOKUP($B71,Matrix!$H$13:$I$37,2,FALSE)&amp;"_"&amp;C71</f>
        <v>#N/A</v>
      </c>
      <c r="O71" s="120" t="e">
        <f t="shared" ca="1" si="3"/>
        <v>#N/A</v>
      </c>
    </row>
    <row r="72" spans="2:15">
      <c r="B72" s="25"/>
      <c r="C72" s="24"/>
      <c r="D72" s="114"/>
      <c r="E72" s="25"/>
      <c r="F72" s="115"/>
      <c r="G72" s="25"/>
      <c r="H72" s="115"/>
      <c r="I72" s="25"/>
      <c r="J72" s="115"/>
      <c r="K72" s="25"/>
      <c r="L72" s="115"/>
      <c r="M72" s="46" t="e">
        <f t="shared" ca="1" si="4"/>
        <v>#N/A</v>
      </c>
      <c r="N72" s="107" t="e">
        <f ca="1">VLOOKUP($B72,Matrix!$H$13:$I$37,2,FALSE)&amp;"_"&amp;C72</f>
        <v>#N/A</v>
      </c>
      <c r="O72" s="120" t="e">
        <f t="shared" ca="1" si="3"/>
        <v>#N/A</v>
      </c>
    </row>
    <row r="73" spans="2:15">
      <c r="B73" s="25"/>
      <c r="C73" s="24"/>
      <c r="D73" s="114"/>
      <c r="E73" s="25"/>
      <c r="F73" s="115"/>
      <c r="G73" s="25"/>
      <c r="H73" s="115"/>
      <c r="I73" s="25"/>
      <c r="J73" s="115"/>
      <c r="K73" s="25"/>
      <c r="L73" s="115"/>
      <c r="M73" s="46" t="e">
        <f t="shared" ca="1" si="4"/>
        <v>#N/A</v>
      </c>
      <c r="N73" s="107" t="e">
        <f ca="1">VLOOKUP($B73,Matrix!$H$13:$I$37,2,FALSE)&amp;"_"&amp;C73</f>
        <v>#N/A</v>
      </c>
      <c r="O73" s="120" t="e">
        <f t="shared" ca="1" si="3"/>
        <v>#N/A</v>
      </c>
    </row>
    <row r="74" spans="2:15">
      <c r="B74" s="25"/>
      <c r="C74" s="24"/>
      <c r="D74" s="114"/>
      <c r="E74" s="25"/>
      <c r="F74" s="115"/>
      <c r="G74" s="25"/>
      <c r="H74" s="115"/>
      <c r="I74" s="25"/>
      <c r="J74" s="115"/>
      <c r="K74" s="25"/>
      <c r="L74" s="115"/>
      <c r="M74" s="46" t="e">
        <f t="shared" ca="1" si="4"/>
        <v>#N/A</v>
      </c>
      <c r="N74" s="107" t="e">
        <f ca="1">VLOOKUP($B74,Matrix!$H$13:$I$37,2,FALSE)&amp;"_"&amp;C74</f>
        <v>#N/A</v>
      </c>
      <c r="O74" s="120" t="e">
        <f t="shared" ca="1" si="3"/>
        <v>#N/A</v>
      </c>
    </row>
    <row r="75" spans="2:15">
      <c r="B75" s="25"/>
      <c r="C75" s="24"/>
      <c r="D75" s="114"/>
      <c r="E75" s="25"/>
      <c r="F75" s="115"/>
      <c r="G75" s="25"/>
      <c r="H75" s="115"/>
      <c r="I75" s="25"/>
      <c r="J75" s="115"/>
      <c r="K75" s="25"/>
      <c r="L75" s="115"/>
      <c r="M75" s="46" t="e">
        <f t="shared" ca="1" si="4"/>
        <v>#N/A</v>
      </c>
      <c r="N75" s="107" t="e">
        <f ca="1">VLOOKUP($B75,Matrix!$H$13:$I$37,2,FALSE)&amp;"_"&amp;C75</f>
        <v>#N/A</v>
      </c>
      <c r="O75" s="120" t="e">
        <f t="shared" ca="1" si="3"/>
        <v>#N/A</v>
      </c>
    </row>
    <row r="76" spans="2:15">
      <c r="B76" s="25"/>
      <c r="C76" s="24"/>
      <c r="D76" s="114"/>
      <c r="E76" s="25"/>
      <c r="F76" s="115"/>
      <c r="G76" s="25"/>
      <c r="H76" s="115"/>
      <c r="I76" s="25"/>
      <c r="J76" s="115"/>
      <c r="K76" s="25"/>
      <c r="L76" s="115"/>
      <c r="M76" s="46" t="e">
        <f t="shared" ca="1" si="4"/>
        <v>#N/A</v>
      </c>
      <c r="N76" s="107" t="e">
        <f ca="1">VLOOKUP($B76,Matrix!$H$13:$I$37,2,FALSE)&amp;"_"&amp;C76</f>
        <v>#N/A</v>
      </c>
      <c r="O76" s="120" t="e">
        <f t="shared" ca="1" si="3"/>
        <v>#N/A</v>
      </c>
    </row>
    <row r="77" spans="2:15">
      <c r="B77" s="25"/>
      <c r="C77" s="24"/>
      <c r="D77" s="114"/>
      <c r="E77" s="25"/>
      <c r="F77" s="115"/>
      <c r="G77" s="25"/>
      <c r="H77" s="115"/>
      <c r="I77" s="25"/>
      <c r="J77" s="115"/>
      <c r="K77" s="25"/>
      <c r="L77" s="115"/>
      <c r="M77" s="46" t="e">
        <f t="shared" ca="1" si="4"/>
        <v>#N/A</v>
      </c>
      <c r="N77" s="107" t="e">
        <f ca="1">VLOOKUP($B77,Matrix!$H$13:$I$37,2,FALSE)&amp;"_"&amp;C77</f>
        <v>#N/A</v>
      </c>
      <c r="O77" s="120" t="e">
        <f t="shared" ca="1" si="3"/>
        <v>#N/A</v>
      </c>
    </row>
    <row r="78" spans="2:15">
      <c r="B78" s="25"/>
      <c r="C78" s="24"/>
      <c r="D78" s="114"/>
      <c r="E78" s="25"/>
      <c r="F78" s="115"/>
      <c r="G78" s="25"/>
      <c r="H78" s="115"/>
      <c r="I78" s="25"/>
      <c r="J78" s="115"/>
      <c r="K78" s="25"/>
      <c r="L78" s="115"/>
      <c r="M78" s="46" t="e">
        <f t="shared" ca="1" si="4"/>
        <v>#N/A</v>
      </c>
      <c r="N78" s="107" t="e">
        <f ca="1">VLOOKUP($B78,Matrix!$H$13:$I$37,2,FALSE)&amp;"_"&amp;C78</f>
        <v>#N/A</v>
      </c>
      <c r="O78" s="120" t="e">
        <f t="shared" ca="1" si="3"/>
        <v>#N/A</v>
      </c>
    </row>
    <row r="79" spans="2:15">
      <c r="B79" s="25"/>
      <c r="C79" s="24"/>
      <c r="D79" s="114"/>
      <c r="E79" s="25"/>
      <c r="F79" s="115"/>
      <c r="G79" s="25"/>
      <c r="H79" s="115"/>
      <c r="I79" s="25"/>
      <c r="J79" s="115"/>
      <c r="K79" s="25"/>
      <c r="L79" s="115"/>
      <c r="M79" s="46" t="e">
        <f t="shared" ca="1" si="4"/>
        <v>#N/A</v>
      </c>
      <c r="N79" s="107" t="e">
        <f ca="1">VLOOKUP($B79,Matrix!$H$13:$I$37,2,FALSE)&amp;"_"&amp;C79</f>
        <v>#N/A</v>
      </c>
      <c r="O79" s="120" t="e">
        <f t="shared" ca="1" si="3"/>
        <v>#N/A</v>
      </c>
    </row>
    <row r="80" spans="2:15">
      <c r="B80" s="25"/>
      <c r="C80" s="24"/>
      <c r="D80" s="114"/>
      <c r="E80" s="25"/>
      <c r="F80" s="115"/>
      <c r="G80" s="25"/>
      <c r="H80" s="115"/>
      <c r="I80" s="25"/>
      <c r="J80" s="115"/>
      <c r="K80" s="25"/>
      <c r="L80" s="115"/>
      <c r="M80" s="46" t="e">
        <f t="shared" ca="1" si="4"/>
        <v>#N/A</v>
      </c>
      <c r="N80" s="107" t="e">
        <f ca="1">VLOOKUP($B80,Matrix!$H$13:$I$37,2,FALSE)&amp;"_"&amp;C80</f>
        <v>#N/A</v>
      </c>
      <c r="O80" s="120" t="e">
        <f t="shared" ca="1" si="3"/>
        <v>#N/A</v>
      </c>
    </row>
    <row r="81" spans="2:15">
      <c r="B81" s="25"/>
      <c r="C81" s="24"/>
      <c r="D81" s="114"/>
      <c r="E81" s="25"/>
      <c r="F81" s="115"/>
      <c r="G81" s="25"/>
      <c r="H81" s="115"/>
      <c r="I81" s="25"/>
      <c r="J81" s="115"/>
      <c r="K81" s="25"/>
      <c r="L81" s="115"/>
      <c r="M81" s="46" t="e">
        <f t="shared" ca="1" si="4"/>
        <v>#N/A</v>
      </c>
      <c r="N81" s="107" t="e">
        <f ca="1">VLOOKUP($B81,Matrix!$H$13:$I$37,2,FALSE)&amp;"_"&amp;C81</f>
        <v>#N/A</v>
      </c>
      <c r="O81" s="120" t="e">
        <f t="shared" ca="1" si="3"/>
        <v>#N/A</v>
      </c>
    </row>
    <row r="82" spans="2:15">
      <c r="B82" s="25"/>
      <c r="C82" s="24"/>
      <c r="D82" s="114"/>
      <c r="E82" s="25"/>
      <c r="F82" s="115"/>
      <c r="G82" s="25"/>
      <c r="H82" s="115"/>
      <c r="I82" s="25"/>
      <c r="J82" s="115"/>
      <c r="K82" s="25"/>
      <c r="L82" s="115"/>
      <c r="M82" s="46" t="e">
        <f t="shared" ca="1" si="4"/>
        <v>#N/A</v>
      </c>
      <c r="N82" s="107" t="e">
        <f ca="1">VLOOKUP($B82,Matrix!$H$13:$I$37,2,FALSE)&amp;"_"&amp;C82</f>
        <v>#N/A</v>
      </c>
      <c r="O82" s="120" t="e">
        <f t="shared" ca="1" si="3"/>
        <v>#N/A</v>
      </c>
    </row>
    <row r="83" spans="2:15">
      <c r="B83" s="25"/>
      <c r="C83" s="24"/>
      <c r="D83" s="114"/>
      <c r="E83" s="25"/>
      <c r="F83" s="115"/>
      <c r="G83" s="25"/>
      <c r="H83" s="115"/>
      <c r="I83" s="25"/>
      <c r="J83" s="115"/>
      <c r="K83" s="25"/>
      <c r="L83" s="115"/>
      <c r="M83" s="46" t="e">
        <f t="shared" ca="1" si="4"/>
        <v>#N/A</v>
      </c>
      <c r="N83" s="107" t="e">
        <f ca="1">VLOOKUP($B83,Matrix!$H$13:$I$37,2,FALSE)&amp;"_"&amp;C83</f>
        <v>#N/A</v>
      </c>
      <c r="O83" s="120" t="e">
        <f t="shared" ca="1" si="3"/>
        <v>#N/A</v>
      </c>
    </row>
    <row r="84" spans="2:15">
      <c r="B84" s="25"/>
      <c r="C84" s="24"/>
      <c r="D84" s="114"/>
      <c r="E84" s="25"/>
      <c r="F84" s="115"/>
      <c r="G84" s="25"/>
      <c r="H84" s="115"/>
      <c r="I84" s="25"/>
      <c r="J84" s="115"/>
      <c r="K84" s="25"/>
      <c r="L84" s="115"/>
      <c r="M84" s="46" t="e">
        <f t="shared" ca="1" si="4"/>
        <v>#N/A</v>
      </c>
      <c r="N84" s="107" t="e">
        <f ca="1">VLOOKUP($B84,Matrix!$H$13:$I$37,2,FALSE)&amp;"_"&amp;C84</f>
        <v>#N/A</v>
      </c>
      <c r="O84" s="120" t="e">
        <f t="shared" ca="1" si="3"/>
        <v>#N/A</v>
      </c>
    </row>
    <row r="85" spans="2:15">
      <c r="B85" s="25"/>
      <c r="C85" s="24"/>
      <c r="D85" s="114"/>
      <c r="E85" s="25"/>
      <c r="F85" s="115"/>
      <c r="G85" s="25"/>
      <c r="H85" s="115"/>
      <c r="I85" s="25"/>
      <c r="J85" s="115"/>
      <c r="K85" s="25"/>
      <c r="L85" s="115"/>
      <c r="M85" s="46" t="e">
        <f t="shared" ca="1" si="4"/>
        <v>#N/A</v>
      </c>
      <c r="N85" s="107" t="e">
        <f ca="1">VLOOKUP($B85,Matrix!$H$13:$I$37,2,FALSE)&amp;"_"&amp;C85</f>
        <v>#N/A</v>
      </c>
      <c r="O85" s="120" t="e">
        <f t="shared" ca="1" si="3"/>
        <v>#N/A</v>
      </c>
    </row>
    <row r="86" spans="2:15">
      <c r="B86" s="25"/>
      <c r="C86" s="24"/>
      <c r="D86" s="114"/>
      <c r="E86" s="25"/>
      <c r="F86" s="115"/>
      <c r="G86" s="25"/>
      <c r="H86" s="115"/>
      <c r="I86" s="25"/>
      <c r="J86" s="115"/>
      <c r="K86" s="25"/>
      <c r="L86" s="115"/>
      <c r="M86" s="46" t="e">
        <f t="shared" ca="1" si="4"/>
        <v>#N/A</v>
      </c>
      <c r="N86" s="107" t="e">
        <f ca="1">VLOOKUP($B86,Matrix!$H$13:$I$37,2,FALSE)&amp;"_"&amp;C86</f>
        <v>#N/A</v>
      </c>
      <c r="O86" s="120" t="e">
        <f t="shared" ca="1" si="3"/>
        <v>#N/A</v>
      </c>
    </row>
    <row r="87" spans="2:15">
      <c r="B87" s="25"/>
      <c r="C87" s="24"/>
      <c r="D87" s="114"/>
      <c r="E87" s="25"/>
      <c r="F87" s="115"/>
      <c r="G87" s="25"/>
      <c r="H87" s="115"/>
      <c r="I87" s="25"/>
      <c r="J87" s="115"/>
      <c r="K87" s="25"/>
      <c r="L87" s="115"/>
      <c r="M87" s="46" t="e">
        <f t="shared" ca="1" si="4"/>
        <v>#N/A</v>
      </c>
      <c r="N87" s="66" t="e">
        <f ca="1">VLOOKUP($B87,Matrix!$H$13:$I$37,2,FALSE)&amp;"_"&amp;C87</f>
        <v>#N/A</v>
      </c>
      <c r="O87" s="120" t="e">
        <f t="shared" ca="1" si="3"/>
        <v>#N/A</v>
      </c>
    </row>
    <row r="88" spans="2:15">
      <c r="B88" s="25"/>
      <c r="C88" s="24"/>
      <c r="D88" s="114"/>
      <c r="E88" s="25"/>
      <c r="F88" s="115"/>
      <c r="G88" s="25"/>
      <c r="H88" s="115"/>
      <c r="I88" s="25"/>
      <c r="J88" s="115"/>
      <c r="K88" s="25"/>
      <c r="L88" s="115"/>
      <c r="M88" s="46" t="e">
        <f t="shared" ca="1" si="4"/>
        <v>#N/A</v>
      </c>
      <c r="N88" s="66" t="e">
        <f ca="1">VLOOKUP($B88,Matrix!$H$13:$I$37,2,FALSE)&amp;"_"&amp;C88</f>
        <v>#N/A</v>
      </c>
      <c r="O88" s="120" t="e">
        <f t="shared" ca="1" si="3"/>
        <v>#N/A</v>
      </c>
    </row>
    <row r="89" spans="2:15">
      <c r="B89" s="25"/>
      <c r="C89" s="24"/>
      <c r="D89" s="114"/>
      <c r="E89" s="25"/>
      <c r="F89" s="115"/>
      <c r="G89" s="25"/>
      <c r="H89" s="115"/>
      <c r="I89" s="25"/>
      <c r="J89" s="115"/>
      <c r="K89" s="25"/>
      <c r="L89" s="115"/>
      <c r="M89" s="46" t="e">
        <f t="shared" ca="1" si="4"/>
        <v>#N/A</v>
      </c>
      <c r="N89" s="66" t="e">
        <f ca="1">VLOOKUP($B89,Matrix!$H$13:$I$37,2,FALSE)&amp;"_"&amp;C89</f>
        <v>#N/A</v>
      </c>
      <c r="O89" s="120" t="e">
        <f t="shared" ca="1" si="3"/>
        <v>#N/A</v>
      </c>
    </row>
    <row r="90" spans="2:15">
      <c r="B90" s="25"/>
      <c r="C90" s="24"/>
      <c r="D90" s="114"/>
      <c r="E90" s="25"/>
      <c r="F90" s="115"/>
      <c r="G90" s="25"/>
      <c r="H90" s="115"/>
      <c r="I90" s="25"/>
      <c r="J90" s="115"/>
      <c r="K90" s="25"/>
      <c r="L90" s="115"/>
      <c r="M90" s="46" t="e">
        <f t="shared" ca="1" si="4"/>
        <v>#N/A</v>
      </c>
      <c r="N90" s="66" t="e">
        <f ca="1">VLOOKUP($B90,Matrix!$H$13:$I$37,2,FALSE)&amp;"_"&amp;C90</f>
        <v>#N/A</v>
      </c>
      <c r="O90" s="120" t="e">
        <f t="shared" ca="1" si="3"/>
        <v>#N/A</v>
      </c>
    </row>
    <row r="91" spans="2:15">
      <c r="B91" s="25"/>
      <c r="C91" s="24"/>
      <c r="D91" s="114"/>
      <c r="E91" s="25"/>
      <c r="F91" s="115"/>
      <c r="G91" s="25"/>
      <c r="H91" s="115"/>
      <c r="I91" s="25"/>
      <c r="J91" s="115"/>
      <c r="K91" s="25"/>
      <c r="L91" s="115"/>
      <c r="M91" s="46" t="e">
        <f t="shared" ca="1" si="4"/>
        <v>#N/A</v>
      </c>
      <c r="N91" s="66" t="e">
        <f ca="1">VLOOKUP($B91,Matrix!$H$13:$I$37,2,FALSE)&amp;"_"&amp;C91</f>
        <v>#N/A</v>
      </c>
      <c r="O91" s="120" t="e">
        <f t="shared" ca="1" si="3"/>
        <v>#N/A</v>
      </c>
    </row>
    <row r="92" spans="2:15">
      <c r="B92" s="25"/>
      <c r="C92" s="24"/>
      <c r="D92" s="114"/>
      <c r="E92" s="25"/>
      <c r="F92" s="115"/>
      <c r="G92" s="25"/>
      <c r="H92" s="115"/>
      <c r="I92" s="25"/>
      <c r="J92" s="115"/>
      <c r="K92" s="25"/>
      <c r="L92" s="115"/>
      <c r="M92" s="46" t="e">
        <f t="shared" ca="1" si="4"/>
        <v>#N/A</v>
      </c>
      <c r="N92" s="66" t="e">
        <f ca="1">VLOOKUP($B92,Matrix!$H$13:$I$37,2,FALSE)&amp;"_"&amp;C92</f>
        <v>#N/A</v>
      </c>
      <c r="O92" s="120" t="e">
        <f t="shared" ca="1" si="3"/>
        <v>#N/A</v>
      </c>
    </row>
    <row r="93" spans="2:15">
      <c r="B93" s="25"/>
      <c r="C93" s="24"/>
      <c r="D93" s="114"/>
      <c r="E93" s="25"/>
      <c r="F93" s="115"/>
      <c r="G93" s="25"/>
      <c r="H93" s="115"/>
      <c r="I93" s="25"/>
      <c r="J93" s="115"/>
      <c r="K93" s="25"/>
      <c r="L93" s="115"/>
      <c r="M93" s="46" t="e">
        <f t="shared" ca="1" si="4"/>
        <v>#N/A</v>
      </c>
      <c r="N93" s="66" t="e">
        <f ca="1">VLOOKUP($B93,Matrix!$H$13:$I$37,2,FALSE)&amp;"_"&amp;C93</f>
        <v>#N/A</v>
      </c>
      <c r="O93" s="120" t="e">
        <f t="shared" ca="1" si="3"/>
        <v>#N/A</v>
      </c>
    </row>
    <row r="94" spans="2:15">
      <c r="B94" s="25"/>
      <c r="C94" s="24"/>
      <c r="D94" s="114"/>
      <c r="E94" s="25"/>
      <c r="F94" s="115"/>
      <c r="G94" s="25"/>
      <c r="H94" s="115"/>
      <c r="I94" s="25"/>
      <c r="J94" s="115"/>
      <c r="K94" s="25"/>
      <c r="L94" s="115"/>
      <c r="M94" s="46" t="e">
        <f t="shared" ca="1" si="4"/>
        <v>#N/A</v>
      </c>
      <c r="N94" s="66" t="e">
        <f ca="1">VLOOKUP($B94,Matrix!$H$13:$I$37,2,FALSE)&amp;"_"&amp;C94</f>
        <v>#N/A</v>
      </c>
      <c r="O94" s="120" t="e">
        <f t="shared" ca="1" si="3"/>
        <v>#N/A</v>
      </c>
    </row>
    <row r="95" spans="2:15">
      <c r="B95" s="25"/>
      <c r="C95" s="24"/>
      <c r="D95" s="114"/>
      <c r="E95" s="25"/>
      <c r="F95" s="115"/>
      <c r="G95" s="25"/>
      <c r="H95" s="115"/>
      <c r="I95" s="25"/>
      <c r="J95" s="115"/>
      <c r="K95" s="25"/>
      <c r="L95" s="115"/>
      <c r="M95" s="46" t="e">
        <f t="shared" ca="1" si="4"/>
        <v>#N/A</v>
      </c>
      <c r="N95" s="66" t="e">
        <f ca="1">VLOOKUP($B95,Matrix!$H$13:$I$37,2,FALSE)&amp;"_"&amp;C95</f>
        <v>#N/A</v>
      </c>
      <c r="O95" s="120" t="e">
        <f t="shared" ca="1" si="3"/>
        <v>#N/A</v>
      </c>
    </row>
    <row r="96" spans="2:15">
      <c r="B96" s="25"/>
      <c r="C96" s="24"/>
      <c r="D96" s="114"/>
      <c r="E96" s="25"/>
      <c r="F96" s="115"/>
      <c r="G96" s="25"/>
      <c r="H96" s="115"/>
      <c r="I96" s="25"/>
      <c r="J96" s="115"/>
      <c r="K96" s="25"/>
      <c r="L96" s="115"/>
      <c r="M96" s="46" t="e">
        <f t="shared" ca="1" si="4"/>
        <v>#N/A</v>
      </c>
      <c r="N96" s="66" t="e">
        <f ca="1">VLOOKUP($B96,Matrix!$H$13:$I$37,2,FALSE)&amp;"_"&amp;C96</f>
        <v>#N/A</v>
      </c>
      <c r="O96" s="120" t="e">
        <f t="shared" ca="1" si="3"/>
        <v>#N/A</v>
      </c>
    </row>
    <row r="97" spans="2:15">
      <c r="B97" s="25"/>
      <c r="C97" s="24"/>
      <c r="D97" s="114"/>
      <c r="E97" s="25"/>
      <c r="F97" s="115"/>
      <c r="G97" s="25"/>
      <c r="H97" s="115"/>
      <c r="I97" s="25"/>
      <c r="J97" s="115"/>
      <c r="K97" s="25"/>
      <c r="L97" s="115"/>
      <c r="M97" s="46" t="e">
        <f t="shared" ca="1" si="4"/>
        <v>#N/A</v>
      </c>
      <c r="N97" s="66" t="e">
        <f ca="1">VLOOKUP($B97,Matrix!$H$13:$I$37,2,FALSE)&amp;"_"&amp;C97</f>
        <v>#N/A</v>
      </c>
      <c r="O97" s="120" t="e">
        <f t="shared" ca="1" si="3"/>
        <v>#N/A</v>
      </c>
    </row>
    <row r="98" spans="2:15">
      <c r="B98" s="25"/>
      <c r="C98" s="24"/>
      <c r="D98" s="114"/>
      <c r="E98" s="25"/>
      <c r="F98" s="115"/>
      <c r="G98" s="25"/>
      <c r="H98" s="115"/>
      <c r="I98" s="25"/>
      <c r="J98" s="115"/>
      <c r="K98" s="25"/>
      <c r="L98" s="115"/>
      <c r="M98" s="46" t="e">
        <f t="shared" ca="1" si="4"/>
        <v>#N/A</v>
      </c>
      <c r="N98" s="66" t="e">
        <f ca="1">VLOOKUP($B98,Matrix!$H$13:$I$37,2,FALSE)&amp;"_"&amp;C98</f>
        <v>#N/A</v>
      </c>
      <c r="O98" s="120" t="e">
        <f t="shared" ca="1" si="3"/>
        <v>#N/A</v>
      </c>
    </row>
    <row r="99" spans="2:15">
      <c r="B99" s="25"/>
      <c r="C99" s="24"/>
      <c r="D99" s="114"/>
      <c r="E99" s="25"/>
      <c r="F99" s="115"/>
      <c r="G99" s="25"/>
      <c r="H99" s="115"/>
      <c r="I99" s="25"/>
      <c r="J99" s="115"/>
      <c r="K99" s="25"/>
      <c r="L99" s="115"/>
      <c r="M99" s="46" t="e">
        <f t="shared" ca="1" si="4"/>
        <v>#N/A</v>
      </c>
      <c r="N99" s="66" t="e">
        <f ca="1">VLOOKUP($B99,Matrix!$H$13:$I$37,2,FALSE)&amp;"_"&amp;C99</f>
        <v>#N/A</v>
      </c>
      <c r="O99" s="120" t="e">
        <f t="shared" ca="1" si="3"/>
        <v>#N/A</v>
      </c>
    </row>
    <row r="100" spans="2:15">
      <c r="B100" s="25"/>
      <c r="C100" s="24"/>
      <c r="D100" s="114"/>
      <c r="E100" s="25"/>
      <c r="F100" s="115"/>
      <c r="G100" s="25"/>
      <c r="H100" s="115"/>
      <c r="I100" s="25"/>
      <c r="J100" s="115"/>
      <c r="K100" s="25"/>
      <c r="L100" s="115"/>
      <c r="M100" s="46" t="e">
        <f t="shared" ca="1" si="4"/>
        <v>#N/A</v>
      </c>
      <c r="N100" s="66" t="e">
        <f ca="1">VLOOKUP($B100,Matrix!$H$13:$I$37,2,FALSE)&amp;"_"&amp;C100</f>
        <v>#N/A</v>
      </c>
      <c r="O100" s="120" t="e">
        <f t="shared" ref="O100:O103" ca="1" si="5">"#define "&amp;N100&amp;REPT(" ",48-M100)&amp;"("&amp;D100&amp;"U)"</f>
        <v>#N/A</v>
      </c>
    </row>
    <row r="101" spans="2:15">
      <c r="B101" s="25"/>
      <c r="C101" s="24"/>
      <c r="D101" s="114"/>
      <c r="E101" s="25"/>
      <c r="F101" s="115"/>
      <c r="G101" s="25"/>
      <c r="H101" s="115"/>
      <c r="I101" s="25"/>
      <c r="J101" s="115"/>
      <c r="K101" s="25"/>
      <c r="L101" s="115"/>
      <c r="M101" s="46" t="e">
        <f t="shared" ca="1" si="4"/>
        <v>#N/A</v>
      </c>
      <c r="N101" s="66" t="e">
        <f ca="1">VLOOKUP($B101,Matrix!$H$13:$I$37,2,FALSE)&amp;"_"&amp;C101</f>
        <v>#N/A</v>
      </c>
      <c r="O101" s="120" t="e">
        <f t="shared" ca="1" si="5"/>
        <v>#N/A</v>
      </c>
    </row>
    <row r="102" spans="2:15">
      <c r="B102" s="25"/>
      <c r="C102" s="24"/>
      <c r="D102" s="114"/>
      <c r="E102" s="25"/>
      <c r="F102" s="115"/>
      <c r="G102" s="25"/>
      <c r="H102" s="115"/>
      <c r="I102" s="25"/>
      <c r="J102" s="115"/>
      <c r="K102" s="25"/>
      <c r="L102" s="115"/>
      <c r="M102" s="46" t="e">
        <f t="shared" ca="1" si="4"/>
        <v>#N/A</v>
      </c>
      <c r="N102" s="66" t="e">
        <f ca="1">VLOOKUP($B102,Matrix!$H$13:$I$37,2,FALSE)&amp;"_"&amp;C102</f>
        <v>#N/A</v>
      </c>
      <c r="O102" s="120" t="e">
        <f t="shared" ca="1" si="5"/>
        <v>#N/A</v>
      </c>
    </row>
    <row r="103" spans="2:15" ht="14.25" thickBot="1">
      <c r="B103" s="52"/>
      <c r="C103" s="53"/>
      <c r="D103" s="116"/>
      <c r="E103" s="52"/>
      <c r="F103" s="117"/>
      <c r="G103" s="52"/>
      <c r="H103" s="117"/>
      <c r="I103" s="52"/>
      <c r="J103" s="117"/>
      <c r="K103" s="52"/>
      <c r="L103" s="117"/>
      <c r="M103" s="54" t="e">
        <f t="shared" ca="1" si="4"/>
        <v>#N/A</v>
      </c>
      <c r="N103" s="67" t="e">
        <f ca="1">VLOOKUP($B103,Matrix!$H$13:$I$37,2,FALSE)&amp;"_"&amp;C103</f>
        <v>#N/A</v>
      </c>
      <c r="O103" s="121" t="e">
        <f t="shared" ca="1" si="5"/>
        <v>#N/A</v>
      </c>
    </row>
  </sheetData>
  <protectedRanges>
    <protectedRange sqref="B4:L103" name="範囲1"/>
  </protectedRanges>
  <phoneticPr fontId="3"/>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64</v>
      </c>
      <c r="AI1" t="s">
        <v>65</v>
      </c>
    </row>
    <row r="2" spans="1:49">
      <c r="B2" s="122" t="s">
        <v>131</v>
      </c>
      <c r="C2" s="292" t="s">
        <v>86</v>
      </c>
      <c r="D2" s="57">
        <v>31</v>
      </c>
      <c r="E2" s="57">
        <v>30</v>
      </c>
      <c r="F2" s="57">
        <v>29</v>
      </c>
      <c r="G2" s="57">
        <v>28</v>
      </c>
      <c r="H2" s="57">
        <v>27</v>
      </c>
      <c r="I2" s="57">
        <v>26</v>
      </c>
      <c r="J2" s="57">
        <v>25</v>
      </c>
      <c r="K2" s="57">
        <v>24</v>
      </c>
      <c r="L2" s="57">
        <v>23</v>
      </c>
      <c r="M2" s="57">
        <v>22</v>
      </c>
      <c r="N2" s="57">
        <v>21</v>
      </c>
      <c r="O2" s="57">
        <v>20</v>
      </c>
      <c r="P2" s="57">
        <v>19</v>
      </c>
      <c r="Q2" s="57">
        <v>18</v>
      </c>
      <c r="R2" s="57">
        <v>17</v>
      </c>
      <c r="S2" s="57">
        <v>16</v>
      </c>
      <c r="T2" s="57">
        <v>15</v>
      </c>
      <c r="U2" s="57">
        <v>14</v>
      </c>
      <c r="V2" s="57">
        <v>13</v>
      </c>
      <c r="W2" s="57">
        <v>12</v>
      </c>
      <c r="X2" s="57">
        <v>11</v>
      </c>
      <c r="Y2" s="57">
        <v>10</v>
      </c>
      <c r="Z2" s="57">
        <v>9</v>
      </c>
      <c r="AA2" s="57">
        <v>8</v>
      </c>
      <c r="AB2" s="57">
        <v>7</v>
      </c>
      <c r="AC2" s="57">
        <v>6</v>
      </c>
      <c r="AD2" s="57">
        <v>5</v>
      </c>
      <c r="AE2" s="57">
        <v>4</v>
      </c>
      <c r="AF2" s="57">
        <v>3</v>
      </c>
      <c r="AG2" s="57">
        <v>2</v>
      </c>
      <c r="AH2" s="57">
        <v>1</v>
      </c>
      <c r="AI2" s="57">
        <v>0</v>
      </c>
      <c r="AJ2" s="294" t="s">
        <v>167</v>
      </c>
    </row>
    <row r="3" spans="1:49" ht="213" customHeight="1" thickBot="1">
      <c r="B3" s="183" t="str">
        <f>IF(OR(IF(COUNTIF(D6:AC69,"0")&lt;&gt;0,TRUE,FALSE),IF(COUNTIF(D6:AC69,"1")&lt;&gt;0,TRUE,FALSE)),"Search Table","Index Table")</f>
        <v>Index Table</v>
      </c>
      <c r="C3" s="293"/>
      <c r="D3" s="124" t="s">
        <v>66</v>
      </c>
      <c r="E3" s="124" t="s">
        <v>71</v>
      </c>
      <c r="F3" s="124" t="s">
        <v>54</v>
      </c>
      <c r="G3" s="124" t="s">
        <v>53</v>
      </c>
      <c r="H3" s="124" t="s">
        <v>129</v>
      </c>
      <c r="I3" s="124" t="s">
        <v>128</v>
      </c>
      <c r="J3" s="124" t="s">
        <v>133</v>
      </c>
      <c r="K3" s="124" t="s">
        <v>132</v>
      </c>
      <c r="L3" s="125" t="s">
        <v>71</v>
      </c>
      <c r="M3" s="125" t="s">
        <v>67</v>
      </c>
      <c r="N3" s="125" t="s">
        <v>67</v>
      </c>
      <c r="O3" s="125" t="s">
        <v>67</v>
      </c>
      <c r="P3" s="125" t="s">
        <v>67</v>
      </c>
      <c r="Q3" s="125" t="s">
        <v>67</v>
      </c>
      <c r="R3" s="125" t="s">
        <v>218</v>
      </c>
      <c r="S3" s="125" t="s">
        <v>67</v>
      </c>
      <c r="T3" s="125" t="s">
        <v>67</v>
      </c>
      <c r="U3" s="125" t="s">
        <v>67</v>
      </c>
      <c r="V3" s="125" t="s">
        <v>67</v>
      </c>
      <c r="W3" s="125" t="s">
        <v>67</v>
      </c>
      <c r="X3" s="125" t="s">
        <v>67</v>
      </c>
      <c r="Y3" s="125" t="s">
        <v>67</v>
      </c>
      <c r="Z3" s="125" t="s">
        <v>67</v>
      </c>
      <c r="AA3" s="125" t="s">
        <v>67</v>
      </c>
      <c r="AB3" s="125" t="s">
        <v>169</v>
      </c>
      <c r="AC3" s="125" t="s">
        <v>67</v>
      </c>
      <c r="AD3" s="125" t="s">
        <v>169</v>
      </c>
      <c r="AE3" s="125" t="s">
        <v>67</v>
      </c>
      <c r="AF3" s="300" t="s">
        <v>256</v>
      </c>
      <c r="AG3" s="301"/>
      <c r="AH3" s="300" t="s">
        <v>255</v>
      </c>
      <c r="AI3" s="301"/>
      <c r="AJ3" s="295"/>
      <c r="AR3" s="91" t="s">
        <v>100</v>
      </c>
    </row>
    <row r="4" spans="1:49" ht="14.25" thickBot="1">
      <c r="A4" s="296" t="s">
        <v>68</v>
      </c>
      <c r="B4" s="297"/>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26"/>
      <c r="AR4" s="79" t="s">
        <v>84</v>
      </c>
      <c r="AS4" s="80"/>
      <c r="AT4" s="80"/>
      <c r="AU4" s="80"/>
      <c r="AV4" s="80"/>
      <c r="AW4" s="81"/>
    </row>
    <row r="5" spans="1:49" ht="14.25" thickBot="1">
      <c r="A5" s="298"/>
      <c r="B5" s="299"/>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27"/>
      <c r="AR5" s="82" t="str">
        <f ca="1">"static const U4  "&amp;AW8&amp;"["&amp;AW10&amp;"]"&amp;" = {"</f>
        <v>static const U4  u4_sp_ALERT_S_ADBZR_DMC_CRIT[ALERT_S_ADBZR_DMC_NUM_DST] = {</v>
      </c>
      <c r="AS5" s="82" t="str">
        <f ca="1">"static const U4  "&amp;$AW$9&amp;"["&amp;$AW$10&amp;"] = {"</f>
        <v>static const U4  u4_sp_ALERT_S_ADBZR_DMC_MASK[ALERT_S_ADBZR_DMC_NUM_DST] = {</v>
      </c>
      <c r="AT5" s="82" t="str">
        <f ca="1">"static const U1  "&amp;$AW$11&amp;"["&amp;$AW$10&amp;"] = {"</f>
        <v>static const U1  u1_sp_ALERT_S_ADBZR_DMC_DST[ALERT_S_ADBZR_DMC_NUM_DST] = {</v>
      </c>
      <c r="AU5" s="82" t="str">
        <f ca="1">"const ST_ALERT_MTRX "&amp;$AW$12&amp;" = {"</f>
        <v>const ST_ALERT_MTRX st_gp_ALERT_S_ADBZR_DMC_MTRX[1] = {</v>
      </c>
      <c r="AV5" s="63" t="str">
        <f ca="1">"#define "&amp;AW10&amp;REPT(" ",41-LEN(AW10))&amp;"("&amp;AW13&amp;"U)"</f>
        <v>#define ALERT_S_ADBZR_DMC_NUM_DST                (16U)</v>
      </c>
      <c r="AW5" s="64"/>
    </row>
    <row r="6" spans="1:49">
      <c r="B6" s="129" t="str">
        <f ca="1">"Table "&amp;$AW$6</f>
        <v>Table S_ADBZR_DMC</v>
      </c>
      <c r="C6" s="51">
        <f>ROW()-ROW($C$6)</f>
        <v>0</v>
      </c>
      <c r="D6" s="34" t="s">
        <v>72</v>
      </c>
      <c r="E6" s="34" t="s">
        <v>72</v>
      </c>
      <c r="F6" s="34" t="s">
        <v>72</v>
      </c>
      <c r="G6" s="34" t="s">
        <v>72</v>
      </c>
      <c r="H6" s="34" t="s">
        <v>72</v>
      </c>
      <c r="I6" s="34" t="s">
        <v>72</v>
      </c>
      <c r="J6" s="34" t="s">
        <v>72</v>
      </c>
      <c r="K6" s="34" t="s">
        <v>72</v>
      </c>
      <c r="L6" s="34" t="s">
        <v>72</v>
      </c>
      <c r="M6" s="34" t="s">
        <v>72</v>
      </c>
      <c r="N6" s="34" t="s">
        <v>72</v>
      </c>
      <c r="O6" s="34" t="s">
        <v>72</v>
      </c>
      <c r="P6" s="34" t="s">
        <v>72</v>
      </c>
      <c r="Q6" s="34" t="s">
        <v>72</v>
      </c>
      <c r="R6" s="34" t="s">
        <v>72</v>
      </c>
      <c r="S6" s="34" t="s">
        <v>72</v>
      </c>
      <c r="T6" s="34" t="s">
        <v>72</v>
      </c>
      <c r="U6" s="34" t="s">
        <v>72</v>
      </c>
      <c r="V6" s="34" t="s">
        <v>72</v>
      </c>
      <c r="W6" s="34" t="s">
        <v>72</v>
      </c>
      <c r="X6" s="34" t="s">
        <v>72</v>
      </c>
      <c r="Y6" s="34" t="s">
        <v>72</v>
      </c>
      <c r="Z6" s="34" t="s">
        <v>72</v>
      </c>
      <c r="AA6" s="34" t="s">
        <v>72</v>
      </c>
      <c r="AB6" s="34" t="s">
        <v>72</v>
      </c>
      <c r="AC6" s="34" t="s">
        <v>72</v>
      </c>
      <c r="AD6" s="34" t="s">
        <v>72</v>
      </c>
      <c r="AE6" s="34" t="s">
        <v>72</v>
      </c>
      <c r="AF6" s="60">
        <v>0</v>
      </c>
      <c r="AG6" s="60">
        <v>0</v>
      </c>
      <c r="AH6" s="60">
        <v>0</v>
      </c>
      <c r="AI6" s="60">
        <v>0</v>
      </c>
      <c r="AJ6" s="50" t="s">
        <v>34</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(U4)0x0000000FU,                                                           /* 00 UNKNOWN                                         */</v>
      </c>
      <c r="AT6" s="61" t="str">
        <f t="shared" ref="AT6:AT69" si="1">IF(AJ6&lt;&gt;"",AL6&amp;IF(AJ7&lt;&gt;"",","," ")&amp;REPT(" ",78-LEN(AL6))&amp;"/* "&amp;IF(C6&lt;10,"0"&amp;C6,C6)&amp;" "&amp;AJ6&amp;REPT(" ",48-LEN(AJ6))&amp;"*/",IF(AJ5&lt;&gt;"","};",""))</f>
        <v xml:space="preserve">    (U1)ALERT_REQ_UNKNOWN,                                                     /* 00 UNKNOWN                                         */</v>
      </c>
      <c r="AU6" s="61" t="s">
        <v>248</v>
      </c>
      <c r="AV6" s="47" t="s">
        <v>73</v>
      </c>
      <c r="AW6" s="65" t="str">
        <f ca="1">UPPER(RIGHT(CELL("filename",A1),LEN(CELL("filename",A1))-FIND("]",CELL("filename",A1))))</f>
        <v>S_ADBZR_DMC</v>
      </c>
    </row>
    <row r="7" spans="1:49">
      <c r="B7" s="129"/>
      <c r="C7" s="46">
        <f t="shared" ref="C7:C69" si="2">ROW()-ROW($C$6)</f>
        <v>1</v>
      </c>
      <c r="D7" s="60" t="s">
        <v>72</v>
      </c>
      <c r="E7" s="60" t="s">
        <v>72</v>
      </c>
      <c r="F7" s="60" t="s">
        <v>72</v>
      </c>
      <c r="G7" s="60" t="s">
        <v>72</v>
      </c>
      <c r="H7" s="60" t="s">
        <v>72</v>
      </c>
      <c r="I7" s="60" t="s">
        <v>72</v>
      </c>
      <c r="J7" s="60" t="s">
        <v>72</v>
      </c>
      <c r="K7" s="34" t="s">
        <v>72</v>
      </c>
      <c r="L7" s="60" t="s">
        <v>72</v>
      </c>
      <c r="M7" s="60" t="s">
        <v>72</v>
      </c>
      <c r="N7" s="60" t="s">
        <v>72</v>
      </c>
      <c r="O7" s="60" t="s">
        <v>72</v>
      </c>
      <c r="P7" s="60" t="s">
        <v>72</v>
      </c>
      <c r="Q7" s="60" t="s">
        <v>72</v>
      </c>
      <c r="R7" s="60" t="s">
        <v>72</v>
      </c>
      <c r="S7" s="60" t="s">
        <v>72</v>
      </c>
      <c r="T7" s="60" t="s">
        <v>72</v>
      </c>
      <c r="U7" s="60" t="s">
        <v>72</v>
      </c>
      <c r="V7" s="60" t="s">
        <v>72</v>
      </c>
      <c r="W7" s="60" t="s">
        <v>72</v>
      </c>
      <c r="X7" s="60" t="s">
        <v>72</v>
      </c>
      <c r="Y7" s="60" t="s">
        <v>72</v>
      </c>
      <c r="Z7" s="60" t="s">
        <v>72</v>
      </c>
      <c r="AA7" s="60" t="s">
        <v>72</v>
      </c>
      <c r="AB7" s="60" t="s">
        <v>72</v>
      </c>
      <c r="AC7" s="60" t="s">
        <v>72</v>
      </c>
      <c r="AD7" s="34" t="s">
        <v>72</v>
      </c>
      <c r="AE7" s="34" t="s">
        <v>72</v>
      </c>
      <c r="AF7" s="60">
        <v>0</v>
      </c>
      <c r="AG7" s="60">
        <v>0</v>
      </c>
      <c r="AH7" s="60">
        <v>0</v>
      </c>
      <c r="AI7" s="60">
        <v>1</v>
      </c>
      <c r="AJ7" s="24" t="s">
        <v>139</v>
      </c>
      <c r="AL7" t="str">
        <f t="shared" ca="1" si="0"/>
        <v xml:space="preserve">    (U1)ALERT_REQ_S_ADBZR_DMC_SINGLE</v>
      </c>
      <c r="AR7" s="61" t="str">
        <f t="shared" ref="AR7:AR70" si="3">IF(AQ72&lt;&gt;"",AQ72,IF(AQ71&lt;&gt;"","};",""))</f>
        <v xml:space="preserve">    (U4)0x00000001U,                                                           /* 01 SINGLE                                          */</v>
      </c>
      <c r="AS7" s="61" t="str">
        <f t="shared" ref="AS7:AS70" si="4">IF(AQ137&lt;&gt;"",AQ137,IF(AQ136&lt;&gt;"","};",""))</f>
        <v xml:space="preserve">    (U4)0x0000000FU,                                                           /* 01 SINGLE                                          */</v>
      </c>
      <c r="AT7" s="61" t="str">
        <f t="shared" ca="1" si="1"/>
        <v xml:space="preserve">    (U1)ALERT_REQ_S_ADBZR_DMC_SINGLE,                                          /* 01 SINGLE                                          */</v>
      </c>
      <c r="AU7" s="61" t="str">
        <f ca="1">"        &amp;"&amp;$AW$14&amp;","&amp;REPT(" ",69-LEN($AW$14))&amp;"/* fp_u4_SRC_CHK                                      */"</f>
        <v xml:space="preserve">        &amp;u4_s_AlertS_adbzr_dmcSrcchk,                                          /* fp_u4_SRC_CHK                                      */</v>
      </c>
      <c r="AV7" s="48" t="s">
        <v>74</v>
      </c>
      <c r="AW7" s="128">
        <f>IF(B3="Search Table",1,0)</f>
        <v>0</v>
      </c>
    </row>
    <row r="8" spans="1:49">
      <c r="B8" s="129"/>
      <c r="C8" s="46">
        <f t="shared" si="2"/>
        <v>2</v>
      </c>
      <c r="D8" s="60" t="s">
        <v>72</v>
      </c>
      <c r="E8" s="60" t="s">
        <v>72</v>
      </c>
      <c r="F8" s="60" t="s">
        <v>72</v>
      </c>
      <c r="G8" s="60" t="s">
        <v>72</v>
      </c>
      <c r="H8" s="60" t="s">
        <v>72</v>
      </c>
      <c r="I8" s="60" t="s">
        <v>72</v>
      </c>
      <c r="J8" s="60" t="s">
        <v>72</v>
      </c>
      <c r="K8" s="60" t="s">
        <v>72</v>
      </c>
      <c r="L8" s="60" t="s">
        <v>72</v>
      </c>
      <c r="M8" s="60" t="s">
        <v>72</v>
      </c>
      <c r="N8" s="60" t="s">
        <v>72</v>
      </c>
      <c r="O8" s="60" t="s">
        <v>72</v>
      </c>
      <c r="P8" s="60" t="s">
        <v>72</v>
      </c>
      <c r="Q8" s="60" t="s">
        <v>72</v>
      </c>
      <c r="R8" s="60" t="s">
        <v>72</v>
      </c>
      <c r="S8" s="60" t="s">
        <v>72</v>
      </c>
      <c r="T8" s="60" t="s">
        <v>72</v>
      </c>
      <c r="U8" s="60" t="s">
        <v>72</v>
      </c>
      <c r="V8" s="60" t="s">
        <v>72</v>
      </c>
      <c r="W8" s="60" t="s">
        <v>72</v>
      </c>
      <c r="X8" s="60" t="s">
        <v>72</v>
      </c>
      <c r="Y8" s="60" t="s">
        <v>72</v>
      </c>
      <c r="Z8" s="60" t="s">
        <v>72</v>
      </c>
      <c r="AA8" s="60" t="s">
        <v>72</v>
      </c>
      <c r="AB8" s="60" t="s">
        <v>72</v>
      </c>
      <c r="AC8" s="60" t="s">
        <v>72</v>
      </c>
      <c r="AD8" s="60" t="s">
        <v>72</v>
      </c>
      <c r="AE8" s="60" t="s">
        <v>72</v>
      </c>
      <c r="AF8" s="60">
        <v>0</v>
      </c>
      <c r="AG8" s="60">
        <v>0</v>
      </c>
      <c r="AH8" s="60">
        <v>1</v>
      </c>
      <c r="AI8" s="60">
        <v>0</v>
      </c>
      <c r="AJ8" s="24" t="s">
        <v>223</v>
      </c>
      <c r="AL8" t="str">
        <f t="shared" ca="1" si="0"/>
        <v xml:space="preserve">    (U1)ALERT_REQ_S_ADBZR_DMC_CYCLE</v>
      </c>
      <c r="AR8" s="61" t="str">
        <f t="shared" si="3"/>
        <v xml:space="preserve">    (U4)0x00000002U,                                                           /* 02 CYCLE                                           */</v>
      </c>
      <c r="AS8" s="61" t="str">
        <f t="shared" si="4"/>
        <v xml:space="preserve">    (U4)0x0000000FU,                                                           /* 02 CYCLE                                           */</v>
      </c>
      <c r="AT8" s="61" t="str">
        <f ca="1">IF(AJ8&lt;&gt;"",AL8&amp;IF(AJ9&lt;&gt;"",","," ")&amp;REPT(" ",78-LEN(AL8))&amp;"/* "&amp;IF(C8&lt;10,"0"&amp;C8,C8)&amp;" "&amp;AJ8&amp;REPT(" ",48-LEN(AJ8))&amp;"*/",IF(AJ7&lt;&gt;"","};",""))</f>
        <v xml:space="preserve">    (U1)ALERT_REQ_S_ADBZR_DMC_CYCLE,                                           /* 02 CYCLE                                           */</v>
      </c>
      <c r="AU8" s="61" t="str">
        <f ca="1">IF($AW$15&lt;&gt;"NULL","        &amp;"&amp;$AW$15&amp;","&amp;REPT(" ",69-LEN($AW$15))&amp;"/* fp_vd_XDST                                         */","        vdp_PTR_NA,                                                            /* fp_vd_XDST                                         */")</f>
        <v xml:space="preserve">        vdp_PTR_NA,                                                            /* fp_vd_XDST                                         */</v>
      </c>
      <c r="AV8" s="48" t="s">
        <v>75</v>
      </c>
      <c r="AW8" s="66" t="str">
        <f ca="1">"u4_sp_ALERT_"&amp;IF(AW6&lt;&gt;AW17,$AW$17&amp;"_"&amp;$AW$6,AW17)&amp;"_CRIT"</f>
        <v>u4_sp_ALERT_S_ADBZR_DMC_CRIT</v>
      </c>
    </row>
    <row r="9" spans="1:49">
      <c r="B9" s="129"/>
      <c r="C9" s="46">
        <f t="shared" si="2"/>
        <v>3</v>
      </c>
      <c r="D9" s="60" t="s">
        <v>72</v>
      </c>
      <c r="E9" s="60" t="s">
        <v>72</v>
      </c>
      <c r="F9" s="60" t="s">
        <v>72</v>
      </c>
      <c r="G9" s="60" t="s">
        <v>72</v>
      </c>
      <c r="H9" s="60" t="s">
        <v>72</v>
      </c>
      <c r="I9" s="60" t="s">
        <v>72</v>
      </c>
      <c r="J9" s="60" t="s">
        <v>72</v>
      </c>
      <c r="K9" s="60" t="s">
        <v>72</v>
      </c>
      <c r="L9" s="60" t="s">
        <v>72</v>
      </c>
      <c r="M9" s="60" t="s">
        <v>72</v>
      </c>
      <c r="N9" s="60" t="s">
        <v>72</v>
      </c>
      <c r="O9" s="60" t="s">
        <v>72</v>
      </c>
      <c r="P9" s="60" t="s">
        <v>72</v>
      </c>
      <c r="Q9" s="60" t="s">
        <v>72</v>
      </c>
      <c r="R9" s="60" t="s">
        <v>72</v>
      </c>
      <c r="S9" s="60" t="s">
        <v>72</v>
      </c>
      <c r="T9" s="60" t="s">
        <v>72</v>
      </c>
      <c r="U9" s="60" t="s">
        <v>72</v>
      </c>
      <c r="V9" s="60" t="s">
        <v>72</v>
      </c>
      <c r="W9" s="60" t="s">
        <v>72</v>
      </c>
      <c r="X9" s="60" t="s">
        <v>72</v>
      </c>
      <c r="Y9" s="60" t="s">
        <v>72</v>
      </c>
      <c r="Z9" s="60" t="s">
        <v>72</v>
      </c>
      <c r="AA9" s="60" t="s">
        <v>72</v>
      </c>
      <c r="AB9" s="60" t="s">
        <v>72</v>
      </c>
      <c r="AC9" s="60" t="s">
        <v>72</v>
      </c>
      <c r="AD9" s="60" t="s">
        <v>72</v>
      </c>
      <c r="AE9" s="60" t="s">
        <v>72</v>
      </c>
      <c r="AF9" s="60">
        <v>0</v>
      </c>
      <c r="AG9" s="60">
        <v>0</v>
      </c>
      <c r="AH9" s="60">
        <v>1</v>
      </c>
      <c r="AI9" s="60">
        <v>1</v>
      </c>
      <c r="AJ9" s="24" t="s">
        <v>34</v>
      </c>
      <c r="AL9" t="str">
        <f t="shared" si="0"/>
        <v xml:space="preserve">    (U1)ALERT_REQ_UNKNOWN</v>
      </c>
      <c r="AR9" s="61" t="str">
        <f t="shared" si="3"/>
        <v xml:space="preserve">    (U4)0x00000003U,                                                           /* 03 UNKNOWN                                         */</v>
      </c>
      <c r="AS9" s="61" t="str">
        <f t="shared" si="4"/>
        <v xml:space="preserve">    (U4)0x0000000FU,                                                           /* 03 UNKNOWN                                         */</v>
      </c>
      <c r="AT9" s="61" t="str">
        <f t="shared" si="1"/>
        <v xml:space="preserve">    (U1)ALERT_REQ_UNKNOWN,                                                     /* 03 UNKNOWN                                         */</v>
      </c>
      <c r="AU9" s="61"/>
      <c r="AV9" s="48" t="s">
        <v>76</v>
      </c>
      <c r="AW9" s="66" t="str">
        <f ca="1">"u4_sp_ALERT_"&amp;IF(AW6&lt;&gt;AW17,$AW$17&amp;"_"&amp;$AW$6,AW17)&amp;"_MASK"</f>
        <v>u4_sp_ALERT_S_ADBZR_DMC_MASK</v>
      </c>
    </row>
    <row r="10" spans="1:49">
      <c r="B10" s="129"/>
      <c r="C10" s="46">
        <f t="shared" si="2"/>
        <v>4</v>
      </c>
      <c r="D10" s="60" t="s">
        <v>72</v>
      </c>
      <c r="E10" s="60" t="s">
        <v>72</v>
      </c>
      <c r="F10" s="60" t="s">
        <v>72</v>
      </c>
      <c r="G10" s="60" t="s">
        <v>72</v>
      </c>
      <c r="H10" s="60" t="s">
        <v>72</v>
      </c>
      <c r="I10" s="60" t="s">
        <v>72</v>
      </c>
      <c r="J10" s="60" t="s">
        <v>72</v>
      </c>
      <c r="K10" s="60" t="s">
        <v>72</v>
      </c>
      <c r="L10" s="60" t="s">
        <v>72</v>
      </c>
      <c r="M10" s="60" t="s">
        <v>72</v>
      </c>
      <c r="N10" s="60" t="s">
        <v>72</v>
      </c>
      <c r="O10" s="60" t="s">
        <v>72</v>
      </c>
      <c r="P10" s="60" t="s">
        <v>72</v>
      </c>
      <c r="Q10" s="60" t="s">
        <v>72</v>
      </c>
      <c r="R10" s="60" t="s">
        <v>72</v>
      </c>
      <c r="S10" s="60" t="s">
        <v>72</v>
      </c>
      <c r="T10" s="60" t="s">
        <v>72</v>
      </c>
      <c r="U10" s="60" t="s">
        <v>72</v>
      </c>
      <c r="V10" s="60" t="s">
        <v>72</v>
      </c>
      <c r="W10" s="60" t="s">
        <v>72</v>
      </c>
      <c r="X10" s="60" t="s">
        <v>72</v>
      </c>
      <c r="Y10" s="60" t="s">
        <v>72</v>
      </c>
      <c r="Z10" s="60" t="s">
        <v>72</v>
      </c>
      <c r="AA10" s="60" t="s">
        <v>72</v>
      </c>
      <c r="AB10" s="60" t="s">
        <v>72</v>
      </c>
      <c r="AC10" s="60" t="s">
        <v>72</v>
      </c>
      <c r="AD10" s="60" t="s">
        <v>72</v>
      </c>
      <c r="AE10" s="60" t="s">
        <v>72</v>
      </c>
      <c r="AF10" s="60">
        <v>0</v>
      </c>
      <c r="AG10" s="60">
        <v>1</v>
      </c>
      <c r="AH10" s="60">
        <v>0</v>
      </c>
      <c r="AI10" s="60">
        <v>0</v>
      </c>
      <c r="AJ10" s="24" t="s">
        <v>34</v>
      </c>
      <c r="AL10" t="str">
        <f t="shared" si="0"/>
        <v xml:space="preserve">    (U1)ALERT_REQ_UNKNOWN</v>
      </c>
      <c r="AR10" s="61" t="str">
        <f t="shared" si="3"/>
        <v xml:space="preserve">    (U4)0x00000004U,                                                           /* 04 UNKNOWN                                         */</v>
      </c>
      <c r="AS10" s="61" t="str">
        <f t="shared" si="4"/>
        <v xml:space="preserve">    (U4)0x0000000FU,                                                           /* 04 UNKNOWN                                         */</v>
      </c>
      <c r="AT10" s="61" t="str">
        <f t="shared" si="1"/>
        <v xml:space="preserve">    (U1)ALERT_REQ_UNKNOWN,                                                     /* 04 UNKNOWN                                         */</v>
      </c>
      <c r="AU10" s="61" t="str">
        <f>IF($AW$7=1,"        &amp;"&amp;$AW$9&amp;"[0],"&amp;REPT(" ",66-LEN($AW$9))&amp;"/* u4p_MASK                                           */","        (const U4 *)vdp_PTR_NA,                                                /* u4p_MASK                                           */")</f>
        <v xml:space="preserve">        (const U4 *)vdp_PTR_NA,                                                /* u4p_MASK                                           */</v>
      </c>
      <c r="AV10" s="48" t="s">
        <v>77</v>
      </c>
      <c r="AW10" s="66" t="str">
        <f ca="1">"ALERT_"&amp;IF(AW6&lt;&gt;AW17,$AW$17&amp;"_"&amp;$AW$6,AW17)&amp;"_NUM_DST"</f>
        <v>ALERT_S_ADBZR_DMC_NUM_DST</v>
      </c>
    </row>
    <row r="11" spans="1:49">
      <c r="B11" s="129"/>
      <c r="C11" s="46">
        <f t="shared" si="2"/>
        <v>5</v>
      </c>
      <c r="D11" s="60" t="s">
        <v>72</v>
      </c>
      <c r="E11" s="60" t="s">
        <v>72</v>
      </c>
      <c r="F11" s="60" t="s">
        <v>72</v>
      </c>
      <c r="G11" s="60" t="s">
        <v>72</v>
      </c>
      <c r="H11" s="60" t="s">
        <v>72</v>
      </c>
      <c r="I11" s="60" t="s">
        <v>72</v>
      </c>
      <c r="J11" s="60" t="s">
        <v>72</v>
      </c>
      <c r="K11" s="60" t="s">
        <v>72</v>
      </c>
      <c r="L11" s="60" t="s">
        <v>72</v>
      </c>
      <c r="M11" s="60" t="s">
        <v>72</v>
      </c>
      <c r="N11" s="60" t="s">
        <v>72</v>
      </c>
      <c r="O11" s="60" t="s">
        <v>72</v>
      </c>
      <c r="P11" s="60" t="s">
        <v>72</v>
      </c>
      <c r="Q11" s="60" t="s">
        <v>72</v>
      </c>
      <c r="R11" s="60" t="s">
        <v>72</v>
      </c>
      <c r="S11" s="60" t="s">
        <v>72</v>
      </c>
      <c r="T11" s="60" t="s">
        <v>72</v>
      </c>
      <c r="U11" s="60" t="s">
        <v>72</v>
      </c>
      <c r="V11" s="60" t="s">
        <v>72</v>
      </c>
      <c r="W11" s="60" t="s">
        <v>72</v>
      </c>
      <c r="X11" s="60" t="s">
        <v>72</v>
      </c>
      <c r="Y11" s="60" t="s">
        <v>72</v>
      </c>
      <c r="Z11" s="60" t="s">
        <v>72</v>
      </c>
      <c r="AA11" s="60" t="s">
        <v>72</v>
      </c>
      <c r="AB11" s="60" t="s">
        <v>72</v>
      </c>
      <c r="AC11" s="60" t="s">
        <v>72</v>
      </c>
      <c r="AD11" s="60" t="s">
        <v>72</v>
      </c>
      <c r="AE11" s="60" t="s">
        <v>72</v>
      </c>
      <c r="AF11" s="60">
        <v>0</v>
      </c>
      <c r="AG11" s="60">
        <v>1</v>
      </c>
      <c r="AH11" s="60">
        <v>0</v>
      </c>
      <c r="AI11" s="60">
        <v>1</v>
      </c>
      <c r="AJ11" s="24" t="s">
        <v>34</v>
      </c>
      <c r="AL11" t="str">
        <f t="shared" si="0"/>
        <v xml:space="preserve">    (U1)ALERT_REQ_UNKNOWN</v>
      </c>
      <c r="AR11" s="61" t="str">
        <f t="shared" si="3"/>
        <v xml:space="preserve">    (U4)0x00000005U,                                                           /* 05 UNKNOWN                                         */</v>
      </c>
      <c r="AS11" s="61" t="str">
        <f t="shared" si="4"/>
        <v xml:space="preserve">    (U4)0x0000000FU,                                                           /* 05 UNKNOWN                                         */</v>
      </c>
      <c r="AT11" s="61" t="str">
        <f t="shared" si="1"/>
        <v xml:space="preserve">    (U1)ALERT_REQ_UNKNOWN,                                                     /* 05 UNKNOWN                                         */</v>
      </c>
      <c r="AU11" s="61" t="str">
        <f>IF($AW$7=1,"        &amp;"&amp;$AW$8&amp;"[0],"&amp;REPT(" ",66-LEN($AW$8))&amp;"/* u4p_CRIT                                           */","        (const U4 *)vdp_PTR_NA,                                                /* u4p_CRIT                                           */")</f>
        <v xml:space="preserve">        (const U4 *)vdp_PTR_NA,                                                /* u4p_CRIT                                           */</v>
      </c>
      <c r="AV11" s="48" t="s">
        <v>78</v>
      </c>
      <c r="AW11" s="66" t="str">
        <f ca="1">"u1_sp_ALERT_"&amp;IF(AW6&lt;&gt;AW17,$AW$17&amp;"_"&amp;$AW$6,AW17)&amp;"_DST"</f>
        <v>u1_sp_ALERT_S_ADBZR_DMC_DST</v>
      </c>
    </row>
    <row r="12" spans="1:49">
      <c r="B12" s="129"/>
      <c r="C12" s="46">
        <f t="shared" si="2"/>
        <v>6</v>
      </c>
      <c r="D12" s="60" t="s">
        <v>72</v>
      </c>
      <c r="E12" s="60" t="s">
        <v>72</v>
      </c>
      <c r="F12" s="60" t="s">
        <v>72</v>
      </c>
      <c r="G12" s="60" t="s">
        <v>72</v>
      </c>
      <c r="H12" s="60" t="s">
        <v>72</v>
      </c>
      <c r="I12" s="60" t="s">
        <v>72</v>
      </c>
      <c r="J12" s="60" t="s">
        <v>72</v>
      </c>
      <c r="K12" s="60" t="s">
        <v>72</v>
      </c>
      <c r="L12" s="60" t="s">
        <v>72</v>
      </c>
      <c r="M12" s="60" t="s">
        <v>72</v>
      </c>
      <c r="N12" s="60" t="s">
        <v>72</v>
      </c>
      <c r="O12" s="60" t="s">
        <v>72</v>
      </c>
      <c r="P12" s="60" t="s">
        <v>72</v>
      </c>
      <c r="Q12" s="60" t="s">
        <v>72</v>
      </c>
      <c r="R12" s="60" t="s">
        <v>72</v>
      </c>
      <c r="S12" s="60" t="s">
        <v>72</v>
      </c>
      <c r="T12" s="60" t="s">
        <v>72</v>
      </c>
      <c r="U12" s="60" t="s">
        <v>72</v>
      </c>
      <c r="V12" s="60" t="s">
        <v>72</v>
      </c>
      <c r="W12" s="60" t="s">
        <v>72</v>
      </c>
      <c r="X12" s="60" t="s">
        <v>72</v>
      </c>
      <c r="Y12" s="60" t="s">
        <v>72</v>
      </c>
      <c r="Z12" s="60" t="s">
        <v>72</v>
      </c>
      <c r="AA12" s="60" t="s">
        <v>72</v>
      </c>
      <c r="AB12" s="60" t="s">
        <v>72</v>
      </c>
      <c r="AC12" s="60" t="s">
        <v>72</v>
      </c>
      <c r="AD12" s="60" t="s">
        <v>72</v>
      </c>
      <c r="AE12" s="34" t="s">
        <v>72</v>
      </c>
      <c r="AF12" s="60">
        <v>0</v>
      </c>
      <c r="AG12" s="60">
        <v>1</v>
      </c>
      <c r="AH12" s="60">
        <v>1</v>
      </c>
      <c r="AI12" s="60">
        <v>0</v>
      </c>
      <c r="AJ12" s="24" t="s">
        <v>34</v>
      </c>
      <c r="AL12" t="str">
        <f t="shared" si="0"/>
        <v xml:space="preserve">    (U1)ALERT_REQ_UNKNOWN</v>
      </c>
      <c r="AR12" s="61" t="str">
        <f t="shared" si="3"/>
        <v xml:space="preserve">    (U4)0x00000006U,                                                           /* 06 UNKNOWN                                         */</v>
      </c>
      <c r="AS12" s="61" t="str">
        <f t="shared" si="4"/>
        <v xml:space="preserve">    (U4)0x0000000FU,                                                           /* 06 UNKNOWN                                         */</v>
      </c>
      <c r="AT12" s="61" t="str">
        <f t="shared" si="1"/>
        <v xml:space="preserve">    (U1)ALERT_REQ_UNKNOWN,                                                     /* 06 UNKNOWN                                         */</v>
      </c>
      <c r="AU12" s="61"/>
      <c r="AV12" s="48" t="s">
        <v>91</v>
      </c>
      <c r="AW12" s="66" t="str">
        <f ca="1">Matrix!D8&amp;"["&amp;Matrix!D7&amp;"]"</f>
        <v>st_gp_ALERT_S_ADBZR_DMC_MTRX[1]</v>
      </c>
    </row>
    <row r="13" spans="1:49">
      <c r="B13" s="129"/>
      <c r="C13" s="46">
        <f t="shared" si="2"/>
        <v>7</v>
      </c>
      <c r="D13" s="60" t="s">
        <v>72</v>
      </c>
      <c r="E13" s="60" t="s">
        <v>72</v>
      </c>
      <c r="F13" s="60" t="s">
        <v>72</v>
      </c>
      <c r="G13" s="60" t="s">
        <v>72</v>
      </c>
      <c r="H13" s="60" t="s">
        <v>72</v>
      </c>
      <c r="I13" s="60" t="s">
        <v>72</v>
      </c>
      <c r="J13" s="60" t="s">
        <v>72</v>
      </c>
      <c r="K13" s="60" t="s">
        <v>72</v>
      </c>
      <c r="L13" s="60" t="s">
        <v>72</v>
      </c>
      <c r="M13" s="60" t="s">
        <v>72</v>
      </c>
      <c r="N13" s="60" t="s">
        <v>72</v>
      </c>
      <c r="O13" s="60" t="s">
        <v>72</v>
      </c>
      <c r="P13" s="60" t="s">
        <v>72</v>
      </c>
      <c r="Q13" s="60" t="s">
        <v>72</v>
      </c>
      <c r="R13" s="60" t="s">
        <v>72</v>
      </c>
      <c r="S13" s="60" t="s">
        <v>72</v>
      </c>
      <c r="T13" s="60" t="s">
        <v>72</v>
      </c>
      <c r="U13" s="60" t="s">
        <v>72</v>
      </c>
      <c r="V13" s="60" t="s">
        <v>72</v>
      </c>
      <c r="W13" s="60" t="s">
        <v>72</v>
      </c>
      <c r="X13" s="60" t="s">
        <v>72</v>
      </c>
      <c r="Y13" s="60" t="s">
        <v>72</v>
      </c>
      <c r="Z13" s="60" t="s">
        <v>72</v>
      </c>
      <c r="AA13" s="60" t="s">
        <v>72</v>
      </c>
      <c r="AB13" s="60" t="s">
        <v>72</v>
      </c>
      <c r="AC13" s="60" t="s">
        <v>72</v>
      </c>
      <c r="AD13" s="60" t="s">
        <v>72</v>
      </c>
      <c r="AE13" s="60" t="s">
        <v>72</v>
      </c>
      <c r="AF13" s="60">
        <v>0</v>
      </c>
      <c r="AG13" s="60">
        <v>1</v>
      </c>
      <c r="AH13" s="60">
        <v>1</v>
      </c>
      <c r="AI13" s="60">
        <v>1</v>
      </c>
      <c r="AJ13" s="24" t="s">
        <v>34</v>
      </c>
      <c r="AL13" t="str">
        <f t="shared" si="0"/>
        <v xml:space="preserve">    (U1)ALERT_REQ_UNKNOWN</v>
      </c>
      <c r="AR13" s="61" t="str">
        <f t="shared" si="3"/>
        <v xml:space="preserve">    (U4)0x00000007U,                                                           /* 07 UNKNOWN                                         */</v>
      </c>
      <c r="AS13" s="61" t="str">
        <f t="shared" si="4"/>
        <v xml:space="preserve">    (U4)0x0000000FU,                                                           /* 07 UNKNOWN                                         */</v>
      </c>
      <c r="AT13" s="61" t="str">
        <f t="shared" si="1"/>
        <v xml:space="preserve">    (U1)ALERT_REQ_UNKNOWN,                                                     /* 07 UNKNOWN                                         */</v>
      </c>
      <c r="AU13" s="61" t="str">
        <f ca="1">"        &amp;"&amp;$AW$11&amp;"[0],"&amp;REPT(" ",66-LEN($AW$11))&amp;"/* u1p_DST                                            */"</f>
        <v xml:space="preserve">        &amp;u1_sp_ALERT_S_ADBZR_DMC_DST[0],                                       /* u1p_DST                                            */</v>
      </c>
      <c r="AV13" s="48" t="s">
        <v>79</v>
      </c>
      <c r="AW13" s="128">
        <f>COUNTA($AJ$6:$AJ$69)</f>
        <v>16</v>
      </c>
    </row>
    <row r="14" spans="1:49">
      <c r="B14" s="129"/>
      <c r="C14" s="46">
        <f t="shared" si="2"/>
        <v>8</v>
      </c>
      <c r="D14" s="60" t="s">
        <v>72</v>
      </c>
      <c r="E14" s="60" t="s">
        <v>72</v>
      </c>
      <c r="F14" s="60" t="s">
        <v>72</v>
      </c>
      <c r="G14" s="60" t="s">
        <v>72</v>
      </c>
      <c r="H14" s="60" t="s">
        <v>72</v>
      </c>
      <c r="I14" s="60" t="s">
        <v>72</v>
      </c>
      <c r="J14" s="60" t="s">
        <v>72</v>
      </c>
      <c r="K14" s="60" t="s">
        <v>72</v>
      </c>
      <c r="L14" s="60" t="s">
        <v>72</v>
      </c>
      <c r="M14" s="60" t="s">
        <v>72</v>
      </c>
      <c r="N14" s="60" t="s">
        <v>72</v>
      </c>
      <c r="O14" s="60" t="s">
        <v>72</v>
      </c>
      <c r="P14" s="60" t="s">
        <v>72</v>
      </c>
      <c r="Q14" s="60" t="s">
        <v>72</v>
      </c>
      <c r="R14" s="60" t="s">
        <v>72</v>
      </c>
      <c r="S14" s="60" t="s">
        <v>72</v>
      </c>
      <c r="T14" s="60" t="s">
        <v>72</v>
      </c>
      <c r="U14" s="60" t="s">
        <v>72</v>
      </c>
      <c r="V14" s="60" t="s">
        <v>72</v>
      </c>
      <c r="W14" s="60" t="s">
        <v>72</v>
      </c>
      <c r="X14" s="60" t="s">
        <v>72</v>
      </c>
      <c r="Y14" s="60" t="s">
        <v>72</v>
      </c>
      <c r="Z14" s="60" t="s">
        <v>72</v>
      </c>
      <c r="AA14" s="60" t="s">
        <v>72</v>
      </c>
      <c r="AB14" s="60" t="s">
        <v>72</v>
      </c>
      <c r="AC14" s="60" t="s">
        <v>72</v>
      </c>
      <c r="AD14" s="60" t="s">
        <v>72</v>
      </c>
      <c r="AE14" s="60" t="s">
        <v>72</v>
      </c>
      <c r="AF14" s="60">
        <v>1</v>
      </c>
      <c r="AG14" s="60">
        <v>0</v>
      </c>
      <c r="AH14" s="60">
        <v>0</v>
      </c>
      <c r="AI14" s="60">
        <v>0</v>
      </c>
      <c r="AJ14" s="24" t="s">
        <v>34</v>
      </c>
      <c r="AL14" t="str">
        <f t="shared" si="0"/>
        <v xml:space="preserve">    (U1)ALERT_REQ_UNKNOWN</v>
      </c>
      <c r="AR14" s="61" t="str">
        <f t="shared" si="3"/>
        <v xml:space="preserve">    (U4)0x00000008U,                                                           /* 08 UNKNOWN                                         */</v>
      </c>
      <c r="AS14" s="61" t="str">
        <f t="shared" si="4"/>
        <v xml:space="preserve">    (U4)0x0000000FU,                                                           /* 08 UNKNOWN                                         */</v>
      </c>
      <c r="AT14" s="61" t="str">
        <f t="shared" si="1"/>
        <v xml:space="preserve">    (U1)ALERT_REQ_UNKNOWN,                                                     /* 08 UNKNOWN                                         */</v>
      </c>
      <c r="AU14" s="61" t="str">
        <f ca="1">"        (U2)"&amp;$AW$10&amp;","&amp;REPT(" ",66-LEN($AW$10))&amp;"/* u2_num_srch                                        */"</f>
        <v xml:space="preserve">        (U2)ALERT_S_ADBZR_DMC_NUM_DST,                                         /* u2_num_srch                                        */</v>
      </c>
      <c r="AV14" s="48" t="s">
        <v>80</v>
      </c>
      <c r="AW14" s="66" t="str">
        <f ca="1">IF(AW6&lt;&gt;AW17,VLOOKUP(AW6,Matrix!$C$13:$G$37,4,FALSE),Matrix!F13)</f>
        <v>u4_s_AlertS_adbzr_dmcSrcchk</v>
      </c>
    </row>
    <row r="15" spans="1:49">
      <c r="B15" s="129"/>
      <c r="C15" s="46">
        <f t="shared" si="2"/>
        <v>9</v>
      </c>
      <c r="D15" s="60" t="s">
        <v>72</v>
      </c>
      <c r="E15" s="60" t="s">
        <v>72</v>
      </c>
      <c r="F15" s="60" t="s">
        <v>72</v>
      </c>
      <c r="G15" s="60" t="s">
        <v>72</v>
      </c>
      <c r="H15" s="60" t="s">
        <v>72</v>
      </c>
      <c r="I15" s="60" t="s">
        <v>72</v>
      </c>
      <c r="J15" s="60" t="s">
        <v>72</v>
      </c>
      <c r="K15" s="60" t="s">
        <v>72</v>
      </c>
      <c r="L15" s="60" t="s">
        <v>72</v>
      </c>
      <c r="M15" s="60" t="s">
        <v>72</v>
      </c>
      <c r="N15" s="60" t="s">
        <v>72</v>
      </c>
      <c r="O15" s="60" t="s">
        <v>72</v>
      </c>
      <c r="P15" s="60" t="s">
        <v>72</v>
      </c>
      <c r="Q15" s="60" t="s">
        <v>72</v>
      </c>
      <c r="R15" s="60" t="s">
        <v>72</v>
      </c>
      <c r="S15" s="60" t="s">
        <v>72</v>
      </c>
      <c r="T15" s="60" t="s">
        <v>72</v>
      </c>
      <c r="U15" s="60" t="s">
        <v>72</v>
      </c>
      <c r="V15" s="60" t="s">
        <v>72</v>
      </c>
      <c r="W15" s="60" t="s">
        <v>72</v>
      </c>
      <c r="X15" s="60" t="s">
        <v>72</v>
      </c>
      <c r="Y15" s="60" t="s">
        <v>72</v>
      </c>
      <c r="Z15" s="60" t="s">
        <v>72</v>
      </c>
      <c r="AA15" s="60" t="s">
        <v>72</v>
      </c>
      <c r="AB15" s="60" t="s">
        <v>72</v>
      </c>
      <c r="AC15" s="60" t="s">
        <v>72</v>
      </c>
      <c r="AD15" s="60" t="s">
        <v>72</v>
      </c>
      <c r="AE15" s="60" t="s">
        <v>72</v>
      </c>
      <c r="AF15" s="60">
        <v>1</v>
      </c>
      <c r="AG15" s="60">
        <v>0</v>
      </c>
      <c r="AH15" s="60">
        <v>0</v>
      </c>
      <c r="AI15" s="60">
        <v>1</v>
      </c>
      <c r="AJ15" s="24" t="s">
        <v>34</v>
      </c>
      <c r="AL15" t="str">
        <f t="shared" si="0"/>
        <v xml:space="preserve">    (U1)ALERT_REQ_UNKNOWN</v>
      </c>
      <c r="AR15" s="61" t="str">
        <f t="shared" si="3"/>
        <v xml:space="preserve">    (U4)0x00000009U,                                                           /* 09 UNKNOWN                                         */</v>
      </c>
      <c r="AS15" s="61" t="str">
        <f t="shared" si="4"/>
        <v xml:space="preserve">    (U4)0x0000000FU,                                                           /* 09 UNKNOWN                                         */</v>
      </c>
      <c r="AT15" s="61" t="str">
        <f t="shared" si="1"/>
        <v xml:space="preserve">    (U1)ALERT_REQ_UNKNOWN,                                                     /* 09 UNKNOWN                                         */</v>
      </c>
      <c r="AU15" s="61" t="str">
        <f ca="1">"        (U1)"&amp;$AW$16&amp;REPT(" ",67-LEN($AW$16))&amp;"/* u1_vom_act                                         */"</f>
        <v xml:space="preserve">        (U1)ALERT_VOM_IGN_ON                                                   /* u1_vom_act                                         */</v>
      </c>
      <c r="AV15" s="48" t="s">
        <v>83</v>
      </c>
      <c r="AW15" s="66" t="str">
        <f ca="1">IF(AW6&lt;&gt;AW17,VLOOKUP(AW6,Matrix!$C$13:$G$37,5,FALSE),Matrix!G13)</f>
        <v>NULL</v>
      </c>
    </row>
    <row r="16" spans="1:49">
      <c r="B16" s="129"/>
      <c r="C16" s="46">
        <f t="shared" si="2"/>
        <v>10</v>
      </c>
      <c r="D16" s="60" t="s">
        <v>72</v>
      </c>
      <c r="E16" s="60" t="s">
        <v>72</v>
      </c>
      <c r="F16" s="60" t="s">
        <v>72</v>
      </c>
      <c r="G16" s="60" t="s">
        <v>72</v>
      </c>
      <c r="H16" s="60" t="s">
        <v>72</v>
      </c>
      <c r="I16" s="60" t="s">
        <v>72</v>
      </c>
      <c r="J16" s="60" t="s">
        <v>72</v>
      </c>
      <c r="K16" s="60" t="s">
        <v>72</v>
      </c>
      <c r="L16" s="60" t="s">
        <v>72</v>
      </c>
      <c r="M16" s="60" t="s">
        <v>72</v>
      </c>
      <c r="N16" s="60" t="s">
        <v>72</v>
      </c>
      <c r="O16" s="60" t="s">
        <v>72</v>
      </c>
      <c r="P16" s="60" t="s">
        <v>72</v>
      </c>
      <c r="Q16" s="60" t="s">
        <v>72</v>
      </c>
      <c r="R16" s="60" t="s">
        <v>72</v>
      </c>
      <c r="S16" s="60" t="s">
        <v>72</v>
      </c>
      <c r="T16" s="60" t="s">
        <v>72</v>
      </c>
      <c r="U16" s="60" t="s">
        <v>72</v>
      </c>
      <c r="V16" s="60" t="s">
        <v>72</v>
      </c>
      <c r="W16" s="60" t="s">
        <v>72</v>
      </c>
      <c r="X16" s="60" t="s">
        <v>72</v>
      </c>
      <c r="Y16" s="60" t="s">
        <v>72</v>
      </c>
      <c r="Z16" s="60" t="s">
        <v>72</v>
      </c>
      <c r="AA16" s="60" t="s">
        <v>72</v>
      </c>
      <c r="AB16" s="60" t="s">
        <v>72</v>
      </c>
      <c r="AC16" s="60" t="s">
        <v>72</v>
      </c>
      <c r="AD16" s="60" t="s">
        <v>72</v>
      </c>
      <c r="AE16" s="60" t="s">
        <v>72</v>
      </c>
      <c r="AF16" s="60">
        <v>1</v>
      </c>
      <c r="AG16" s="60">
        <v>0</v>
      </c>
      <c r="AH16" s="60">
        <v>1</v>
      </c>
      <c r="AI16" s="60">
        <v>0</v>
      </c>
      <c r="AJ16" s="24" t="s">
        <v>34</v>
      </c>
      <c r="AL16" t="str">
        <f t="shared" si="0"/>
        <v xml:space="preserve">    (U1)ALERT_REQ_UNKNOWN</v>
      </c>
      <c r="AR16" s="61" t="str">
        <f t="shared" si="3"/>
        <v xml:space="preserve">    (U4)0x0000000AU,                                                           /* 10 UNKNOWN                                         */</v>
      </c>
      <c r="AS16" s="61" t="str">
        <f t="shared" si="4"/>
        <v xml:space="preserve">    (U4)0x0000000FU,                                                           /* 10 UNKNOWN                                         */</v>
      </c>
      <c r="AT16" s="61" t="str">
        <f t="shared" si="1"/>
        <v xml:space="preserve">    (U1)ALERT_REQ_UNKNOWN,                                                     /* 10 UNKNOWN                                         */</v>
      </c>
      <c r="AU16" s="61" t="s">
        <v>249</v>
      </c>
      <c r="AV16" s="48" t="s">
        <v>81</v>
      </c>
      <c r="AW16" s="66" t="str">
        <f ca="1">IF(AW6&lt;&gt;AW17,VLOOKUP(AW6,Matrix!$C$13:$G$37,2,FALSE),Matrix!D13)</f>
        <v>ALERT_VOM_IGN_ON</v>
      </c>
    </row>
    <row r="17" spans="2:49" ht="14.25" thickBot="1">
      <c r="B17" s="129"/>
      <c r="C17" s="46">
        <f t="shared" si="2"/>
        <v>11</v>
      </c>
      <c r="D17" s="60" t="s">
        <v>72</v>
      </c>
      <c r="E17" s="60" t="s">
        <v>72</v>
      </c>
      <c r="F17" s="60" t="s">
        <v>72</v>
      </c>
      <c r="G17" s="60" t="s">
        <v>72</v>
      </c>
      <c r="H17" s="60" t="s">
        <v>72</v>
      </c>
      <c r="I17" s="60" t="s">
        <v>72</v>
      </c>
      <c r="J17" s="60" t="s">
        <v>72</v>
      </c>
      <c r="K17" s="60" t="s">
        <v>72</v>
      </c>
      <c r="L17" s="60" t="s">
        <v>72</v>
      </c>
      <c r="M17" s="60" t="s">
        <v>72</v>
      </c>
      <c r="N17" s="60" t="s">
        <v>72</v>
      </c>
      <c r="O17" s="60" t="s">
        <v>72</v>
      </c>
      <c r="P17" s="60" t="s">
        <v>72</v>
      </c>
      <c r="Q17" s="60" t="s">
        <v>72</v>
      </c>
      <c r="R17" s="60" t="s">
        <v>72</v>
      </c>
      <c r="S17" s="60" t="s">
        <v>72</v>
      </c>
      <c r="T17" s="60" t="s">
        <v>72</v>
      </c>
      <c r="U17" s="60" t="s">
        <v>72</v>
      </c>
      <c r="V17" s="60" t="s">
        <v>72</v>
      </c>
      <c r="W17" s="60" t="s">
        <v>72</v>
      </c>
      <c r="X17" s="60" t="s">
        <v>72</v>
      </c>
      <c r="Y17" s="60" t="s">
        <v>72</v>
      </c>
      <c r="Z17" s="60" t="s">
        <v>72</v>
      </c>
      <c r="AA17" s="60" t="s">
        <v>72</v>
      </c>
      <c r="AB17" s="60" t="s">
        <v>72</v>
      </c>
      <c r="AC17" s="60" t="s">
        <v>72</v>
      </c>
      <c r="AD17" s="60" t="s">
        <v>72</v>
      </c>
      <c r="AE17" s="60" t="s">
        <v>72</v>
      </c>
      <c r="AF17" s="60">
        <v>1</v>
      </c>
      <c r="AG17" s="60">
        <v>0</v>
      </c>
      <c r="AH17" s="60">
        <v>1</v>
      </c>
      <c r="AI17" s="60">
        <v>1</v>
      </c>
      <c r="AJ17" s="24" t="s">
        <v>34</v>
      </c>
      <c r="AL17" t="str">
        <f t="shared" si="0"/>
        <v xml:space="preserve">    (U1)ALERT_REQ_UNKNOWN</v>
      </c>
      <c r="AR17" s="61" t="str">
        <f t="shared" si="3"/>
        <v xml:space="preserve">    (U4)0x0000000BU,                                                           /* 11 UNKNOWN                                         */</v>
      </c>
      <c r="AS17" s="61" t="str">
        <f t="shared" si="4"/>
        <v xml:space="preserve">    (U4)0x0000000FU,                                                           /* 11 UNKNOWN                                         */</v>
      </c>
      <c r="AT17" s="61" t="str">
        <f t="shared" si="1"/>
        <v xml:space="preserve">    (U1)ALERT_REQ_UNKNOWN,                                                     /* 11 UNKNOWN                                         */</v>
      </c>
      <c r="AU17" s="62" t="s">
        <v>250</v>
      </c>
      <c r="AV17" s="49" t="s">
        <v>82</v>
      </c>
      <c r="AW17" s="67" t="str">
        <f ca="1">UPPER(Matrix!$D$6)</f>
        <v>S_ADBZR_DMC</v>
      </c>
    </row>
    <row r="18" spans="2:49">
      <c r="B18" s="129"/>
      <c r="C18" s="46">
        <f t="shared" si="2"/>
        <v>12</v>
      </c>
      <c r="D18" s="60" t="s">
        <v>72</v>
      </c>
      <c r="E18" s="60" t="s">
        <v>72</v>
      </c>
      <c r="F18" s="60" t="s">
        <v>72</v>
      </c>
      <c r="G18" s="60" t="s">
        <v>72</v>
      </c>
      <c r="H18" s="60" t="s">
        <v>72</v>
      </c>
      <c r="I18" s="60" t="s">
        <v>72</v>
      </c>
      <c r="J18" s="60" t="s">
        <v>72</v>
      </c>
      <c r="K18" s="60" t="s">
        <v>72</v>
      </c>
      <c r="L18" s="60" t="s">
        <v>72</v>
      </c>
      <c r="M18" s="60" t="s">
        <v>72</v>
      </c>
      <c r="N18" s="60" t="s">
        <v>72</v>
      </c>
      <c r="O18" s="60" t="s">
        <v>72</v>
      </c>
      <c r="P18" s="60" t="s">
        <v>72</v>
      </c>
      <c r="Q18" s="60" t="s">
        <v>72</v>
      </c>
      <c r="R18" s="60" t="s">
        <v>72</v>
      </c>
      <c r="S18" s="60" t="s">
        <v>72</v>
      </c>
      <c r="T18" s="60" t="s">
        <v>72</v>
      </c>
      <c r="U18" s="60" t="s">
        <v>72</v>
      </c>
      <c r="V18" s="60" t="s">
        <v>72</v>
      </c>
      <c r="W18" s="60" t="s">
        <v>72</v>
      </c>
      <c r="X18" s="60" t="s">
        <v>72</v>
      </c>
      <c r="Y18" s="60" t="s">
        <v>72</v>
      </c>
      <c r="Z18" s="60" t="s">
        <v>72</v>
      </c>
      <c r="AA18" s="60" t="s">
        <v>72</v>
      </c>
      <c r="AB18" s="60" t="s">
        <v>72</v>
      </c>
      <c r="AC18" s="60" t="s">
        <v>72</v>
      </c>
      <c r="AD18" s="60" t="s">
        <v>72</v>
      </c>
      <c r="AE18" s="60" t="s">
        <v>72</v>
      </c>
      <c r="AF18" s="60">
        <v>1</v>
      </c>
      <c r="AG18" s="60">
        <v>1</v>
      </c>
      <c r="AH18" s="60">
        <v>0</v>
      </c>
      <c r="AI18" s="60">
        <v>0</v>
      </c>
      <c r="AJ18" s="24" t="s">
        <v>34</v>
      </c>
      <c r="AL18" t="str">
        <f t="shared" si="0"/>
        <v xml:space="preserve">    (U1)ALERT_REQ_UNKNOWN</v>
      </c>
      <c r="AR18" s="61" t="str">
        <f t="shared" si="3"/>
        <v xml:space="preserve">    (U4)0x0000000CU,                                                           /* 12 UNKNOWN                                         */</v>
      </c>
      <c r="AS18" s="61" t="str">
        <f t="shared" si="4"/>
        <v xml:space="preserve">    (U4)0x0000000FU,                                                           /* 12 UNKNOWN                                         */</v>
      </c>
      <c r="AT18" s="61" t="str">
        <f t="shared" si="1"/>
        <v xml:space="preserve">    (U1)ALERT_REQ_UNKNOWN,                                                     /* 12 UNKNOWN                                         */</v>
      </c>
    </row>
    <row r="19" spans="2:49">
      <c r="B19" s="129"/>
      <c r="C19" s="46">
        <f t="shared" si="2"/>
        <v>13</v>
      </c>
      <c r="D19" s="60" t="s">
        <v>72</v>
      </c>
      <c r="E19" s="60" t="s">
        <v>72</v>
      </c>
      <c r="F19" s="60" t="s">
        <v>72</v>
      </c>
      <c r="G19" s="60" t="s">
        <v>72</v>
      </c>
      <c r="H19" s="60" t="s">
        <v>72</v>
      </c>
      <c r="I19" s="60" t="s">
        <v>72</v>
      </c>
      <c r="J19" s="60" t="s">
        <v>72</v>
      </c>
      <c r="K19" s="60" t="s">
        <v>72</v>
      </c>
      <c r="L19" s="60" t="s">
        <v>72</v>
      </c>
      <c r="M19" s="60" t="s">
        <v>72</v>
      </c>
      <c r="N19" s="60" t="s">
        <v>72</v>
      </c>
      <c r="O19" s="60" t="s">
        <v>72</v>
      </c>
      <c r="P19" s="60" t="s">
        <v>72</v>
      </c>
      <c r="Q19" s="60" t="s">
        <v>72</v>
      </c>
      <c r="R19" s="60" t="s">
        <v>72</v>
      </c>
      <c r="S19" s="60" t="s">
        <v>72</v>
      </c>
      <c r="T19" s="60" t="s">
        <v>72</v>
      </c>
      <c r="U19" s="60" t="s">
        <v>72</v>
      </c>
      <c r="V19" s="60" t="s">
        <v>72</v>
      </c>
      <c r="W19" s="60" t="s">
        <v>72</v>
      </c>
      <c r="X19" s="60" t="s">
        <v>72</v>
      </c>
      <c r="Y19" s="60" t="s">
        <v>72</v>
      </c>
      <c r="Z19" s="60" t="s">
        <v>72</v>
      </c>
      <c r="AA19" s="60" t="s">
        <v>72</v>
      </c>
      <c r="AB19" s="60" t="s">
        <v>72</v>
      </c>
      <c r="AC19" s="60" t="s">
        <v>72</v>
      </c>
      <c r="AD19" s="60" t="s">
        <v>72</v>
      </c>
      <c r="AE19" s="60" t="s">
        <v>72</v>
      </c>
      <c r="AF19" s="60">
        <v>1</v>
      </c>
      <c r="AG19" s="60">
        <v>1</v>
      </c>
      <c r="AH19" s="60">
        <v>0</v>
      </c>
      <c r="AI19" s="60">
        <v>1</v>
      </c>
      <c r="AJ19" s="24" t="s">
        <v>34</v>
      </c>
      <c r="AL19" t="str">
        <f t="shared" si="0"/>
        <v xml:space="preserve">    (U1)ALERT_REQ_UNKNOWN</v>
      </c>
      <c r="AR19" s="61" t="str">
        <f t="shared" si="3"/>
        <v xml:space="preserve">    (U4)0x0000000DU,                                                           /* 13 UNKNOWN                                         */</v>
      </c>
      <c r="AS19" s="61" t="str">
        <f t="shared" si="4"/>
        <v xml:space="preserve">    (U4)0x0000000FU,                                                           /* 13 UNKNOWN                                         */</v>
      </c>
      <c r="AT19" s="61" t="str">
        <f t="shared" si="1"/>
        <v xml:space="preserve">    (U1)ALERT_REQ_UNKNOWN,                                                     /* 13 UNKNOWN                                         */</v>
      </c>
    </row>
    <row r="20" spans="2:49">
      <c r="B20" s="129"/>
      <c r="C20" s="46">
        <f t="shared" si="2"/>
        <v>14</v>
      </c>
      <c r="D20" s="60" t="s">
        <v>72</v>
      </c>
      <c r="E20" s="60" t="s">
        <v>72</v>
      </c>
      <c r="F20" s="60" t="s">
        <v>72</v>
      </c>
      <c r="G20" s="60" t="s">
        <v>72</v>
      </c>
      <c r="H20" s="60" t="s">
        <v>72</v>
      </c>
      <c r="I20" s="60" t="s">
        <v>72</v>
      </c>
      <c r="J20" s="60" t="s">
        <v>72</v>
      </c>
      <c r="K20" s="60" t="s">
        <v>72</v>
      </c>
      <c r="L20" s="60" t="s">
        <v>72</v>
      </c>
      <c r="M20" s="60" t="s">
        <v>72</v>
      </c>
      <c r="N20" s="60" t="s">
        <v>72</v>
      </c>
      <c r="O20" s="60" t="s">
        <v>72</v>
      </c>
      <c r="P20" s="60" t="s">
        <v>72</v>
      </c>
      <c r="Q20" s="60" t="s">
        <v>72</v>
      </c>
      <c r="R20" s="60" t="s">
        <v>72</v>
      </c>
      <c r="S20" s="60" t="s">
        <v>72</v>
      </c>
      <c r="T20" s="60" t="s">
        <v>72</v>
      </c>
      <c r="U20" s="60" t="s">
        <v>72</v>
      </c>
      <c r="V20" s="60" t="s">
        <v>72</v>
      </c>
      <c r="W20" s="60" t="s">
        <v>72</v>
      </c>
      <c r="X20" s="60" t="s">
        <v>72</v>
      </c>
      <c r="Y20" s="60" t="s">
        <v>72</v>
      </c>
      <c r="Z20" s="60" t="s">
        <v>72</v>
      </c>
      <c r="AA20" s="60" t="s">
        <v>72</v>
      </c>
      <c r="AB20" s="60" t="s">
        <v>72</v>
      </c>
      <c r="AC20" s="60" t="s">
        <v>72</v>
      </c>
      <c r="AD20" s="60" t="s">
        <v>72</v>
      </c>
      <c r="AE20" s="60" t="s">
        <v>72</v>
      </c>
      <c r="AF20" s="60">
        <v>1</v>
      </c>
      <c r="AG20" s="60">
        <v>1</v>
      </c>
      <c r="AH20" s="60">
        <v>1</v>
      </c>
      <c r="AI20" s="60">
        <v>0</v>
      </c>
      <c r="AJ20" s="24" t="s">
        <v>34</v>
      </c>
      <c r="AL20" t="str">
        <f t="shared" si="0"/>
        <v xml:space="preserve">    (U1)ALERT_REQ_UNKNOWN</v>
      </c>
      <c r="AR20" s="61" t="str">
        <f t="shared" si="3"/>
        <v xml:space="preserve">    (U4)0x0000000EU,                                                           /* 14 UNKNOWN                                         */</v>
      </c>
      <c r="AS20" s="61" t="str">
        <f t="shared" si="4"/>
        <v xml:space="preserve">    (U4)0x0000000FU,                                                           /* 14 UNKNOWN                                         */</v>
      </c>
      <c r="AT20" s="61" t="str">
        <f t="shared" si="1"/>
        <v xml:space="preserve">    (U1)ALERT_REQ_UNKNOWN,                                                     /* 14 UNKNOWN                                         */</v>
      </c>
    </row>
    <row r="21" spans="2:49">
      <c r="B21" s="129"/>
      <c r="C21" s="46">
        <f t="shared" si="2"/>
        <v>15</v>
      </c>
      <c r="D21" s="60" t="s">
        <v>72</v>
      </c>
      <c r="E21" s="60" t="s">
        <v>72</v>
      </c>
      <c r="F21" s="60" t="s">
        <v>72</v>
      </c>
      <c r="G21" s="60" t="s">
        <v>72</v>
      </c>
      <c r="H21" s="60" t="s">
        <v>72</v>
      </c>
      <c r="I21" s="60" t="s">
        <v>72</v>
      </c>
      <c r="J21" s="60" t="s">
        <v>72</v>
      </c>
      <c r="K21" s="60" t="s">
        <v>72</v>
      </c>
      <c r="L21" s="60" t="s">
        <v>72</v>
      </c>
      <c r="M21" s="60" t="s">
        <v>72</v>
      </c>
      <c r="N21" s="60" t="s">
        <v>72</v>
      </c>
      <c r="O21" s="60" t="s">
        <v>72</v>
      </c>
      <c r="P21" s="60" t="s">
        <v>72</v>
      </c>
      <c r="Q21" s="60" t="s">
        <v>72</v>
      </c>
      <c r="R21" s="60" t="s">
        <v>72</v>
      </c>
      <c r="S21" s="60" t="s">
        <v>72</v>
      </c>
      <c r="T21" s="60" t="s">
        <v>72</v>
      </c>
      <c r="U21" s="60" t="s">
        <v>72</v>
      </c>
      <c r="V21" s="60" t="s">
        <v>72</v>
      </c>
      <c r="W21" s="60" t="s">
        <v>72</v>
      </c>
      <c r="X21" s="60" t="s">
        <v>72</v>
      </c>
      <c r="Y21" s="60" t="s">
        <v>72</v>
      </c>
      <c r="Z21" s="60" t="s">
        <v>72</v>
      </c>
      <c r="AA21" s="60" t="s">
        <v>72</v>
      </c>
      <c r="AB21" s="60" t="s">
        <v>72</v>
      </c>
      <c r="AC21" s="60" t="s">
        <v>72</v>
      </c>
      <c r="AD21" s="60" t="s">
        <v>72</v>
      </c>
      <c r="AE21" s="60" t="s">
        <v>72</v>
      </c>
      <c r="AF21" s="60">
        <v>1</v>
      </c>
      <c r="AG21" s="60">
        <v>1</v>
      </c>
      <c r="AH21" s="60">
        <v>1</v>
      </c>
      <c r="AI21" s="60">
        <v>1</v>
      </c>
      <c r="AJ21" s="24" t="s">
        <v>34</v>
      </c>
      <c r="AL21" t="str">
        <f t="shared" si="0"/>
        <v xml:space="preserve">    (U1)ALERT_REQ_UNKNOWN</v>
      </c>
      <c r="AR21" s="61" t="str">
        <f t="shared" si="3"/>
        <v xml:space="preserve">    (U4)0x0000000FU                                                            /* 15 UNKNOWN                                         */</v>
      </c>
      <c r="AS21" s="61" t="str">
        <f t="shared" si="4"/>
        <v xml:space="preserve">    (U4)0x0000000FU                                                            /* 15 UNKNOWN                                         */</v>
      </c>
      <c r="AT21" s="61" t="str">
        <f t="shared" si="1"/>
        <v xml:space="preserve">    (U1)ALERT_REQ_UNKNOWN                                                      /* 15 UNKNOWN                                         */</v>
      </c>
    </row>
    <row r="22" spans="2:49">
      <c r="B22" s="129"/>
      <c r="C22" s="46">
        <f t="shared" si="2"/>
        <v>16</v>
      </c>
      <c r="D22" s="60" t="s">
        <v>72</v>
      </c>
      <c r="E22" s="60" t="s">
        <v>72</v>
      </c>
      <c r="F22" s="60" t="s">
        <v>72</v>
      </c>
      <c r="G22" s="60" t="s">
        <v>72</v>
      </c>
      <c r="H22" s="60" t="s">
        <v>72</v>
      </c>
      <c r="I22" s="60" t="s">
        <v>72</v>
      </c>
      <c r="J22" s="60" t="s">
        <v>72</v>
      </c>
      <c r="K22" s="60" t="s">
        <v>72</v>
      </c>
      <c r="L22" s="60" t="s">
        <v>72</v>
      </c>
      <c r="M22" s="60" t="s">
        <v>72</v>
      </c>
      <c r="N22" s="60" t="s">
        <v>72</v>
      </c>
      <c r="O22" s="60" t="s">
        <v>72</v>
      </c>
      <c r="P22" s="60" t="s">
        <v>72</v>
      </c>
      <c r="Q22" s="60" t="s">
        <v>72</v>
      </c>
      <c r="R22" s="60" t="s">
        <v>72</v>
      </c>
      <c r="S22" s="60" t="s">
        <v>72</v>
      </c>
      <c r="T22" s="60" t="s">
        <v>72</v>
      </c>
      <c r="U22" s="60" t="s">
        <v>72</v>
      </c>
      <c r="V22" s="60" t="s">
        <v>72</v>
      </c>
      <c r="W22" s="60" t="s">
        <v>72</v>
      </c>
      <c r="X22" s="60" t="s">
        <v>72</v>
      </c>
      <c r="Y22" s="60" t="s">
        <v>72</v>
      </c>
      <c r="Z22" s="60" t="s">
        <v>72</v>
      </c>
      <c r="AA22" s="60" t="s">
        <v>72</v>
      </c>
      <c r="AB22" s="60" t="s">
        <v>72</v>
      </c>
      <c r="AC22" s="60" t="s">
        <v>72</v>
      </c>
      <c r="AD22" s="60" t="s">
        <v>72</v>
      </c>
      <c r="AE22" s="60" t="s">
        <v>72</v>
      </c>
      <c r="AF22" s="60" t="s">
        <v>72</v>
      </c>
      <c r="AG22" s="60" t="s">
        <v>72</v>
      </c>
      <c r="AH22" s="60" t="s">
        <v>72</v>
      </c>
      <c r="AI22" s="60" t="s">
        <v>72</v>
      </c>
      <c r="AJ22" s="24"/>
      <c r="AL22" t="str">
        <f t="shared" ca="1" si="0"/>
        <v xml:space="preserve">    (U1)ALERT_REQ_S_ADBZR_DMC_</v>
      </c>
      <c r="AR22" s="61" t="str">
        <f t="shared" si="3"/>
        <v>};</v>
      </c>
      <c r="AS22" s="61" t="str">
        <f t="shared" si="4"/>
        <v>};</v>
      </c>
      <c r="AT22" s="61" t="str">
        <f t="shared" si="1"/>
        <v>};</v>
      </c>
    </row>
    <row r="23" spans="2:49">
      <c r="B23" s="129"/>
      <c r="C23" s="46">
        <f t="shared" si="2"/>
        <v>17</v>
      </c>
      <c r="D23" s="60" t="s">
        <v>72</v>
      </c>
      <c r="E23" s="60" t="s">
        <v>72</v>
      </c>
      <c r="F23" s="60" t="s">
        <v>72</v>
      </c>
      <c r="G23" s="60" t="s">
        <v>72</v>
      </c>
      <c r="H23" s="60" t="s">
        <v>72</v>
      </c>
      <c r="I23" s="60" t="s">
        <v>72</v>
      </c>
      <c r="J23" s="60" t="s">
        <v>72</v>
      </c>
      <c r="K23" s="60" t="s">
        <v>72</v>
      </c>
      <c r="L23" s="60" t="s">
        <v>72</v>
      </c>
      <c r="M23" s="60" t="s">
        <v>72</v>
      </c>
      <c r="N23" s="60" t="s">
        <v>72</v>
      </c>
      <c r="O23" s="60" t="s">
        <v>72</v>
      </c>
      <c r="P23" s="60" t="s">
        <v>72</v>
      </c>
      <c r="Q23" s="60" t="s">
        <v>72</v>
      </c>
      <c r="R23" s="60" t="s">
        <v>72</v>
      </c>
      <c r="S23" s="60" t="s">
        <v>72</v>
      </c>
      <c r="T23" s="60" t="s">
        <v>72</v>
      </c>
      <c r="U23" s="60" t="s">
        <v>72</v>
      </c>
      <c r="V23" s="60" t="s">
        <v>72</v>
      </c>
      <c r="W23" s="60" t="s">
        <v>72</v>
      </c>
      <c r="X23" s="60" t="s">
        <v>72</v>
      </c>
      <c r="Y23" s="60" t="s">
        <v>72</v>
      </c>
      <c r="Z23" s="60" t="s">
        <v>72</v>
      </c>
      <c r="AA23" s="60" t="s">
        <v>72</v>
      </c>
      <c r="AB23" s="60" t="s">
        <v>72</v>
      </c>
      <c r="AC23" s="60" t="s">
        <v>72</v>
      </c>
      <c r="AD23" s="60" t="s">
        <v>72</v>
      </c>
      <c r="AE23" s="60" t="s">
        <v>72</v>
      </c>
      <c r="AF23" s="60" t="s">
        <v>72</v>
      </c>
      <c r="AG23" s="60" t="s">
        <v>72</v>
      </c>
      <c r="AH23" s="60" t="s">
        <v>72</v>
      </c>
      <c r="AI23" s="60" t="s">
        <v>72</v>
      </c>
      <c r="AJ23" s="24"/>
      <c r="AL23" t="str">
        <f t="shared" ca="1" si="0"/>
        <v xml:space="preserve">    (U1)ALERT_REQ_S_ADBZR_DMC_</v>
      </c>
      <c r="AR23" s="61" t="str">
        <f t="shared" si="3"/>
        <v/>
      </c>
      <c r="AS23" s="61" t="str">
        <f t="shared" si="4"/>
        <v/>
      </c>
      <c r="AT23" s="61" t="str">
        <f t="shared" si="1"/>
        <v/>
      </c>
    </row>
    <row r="24" spans="2:49">
      <c r="B24" s="129"/>
      <c r="C24" s="46">
        <f t="shared" si="2"/>
        <v>18</v>
      </c>
      <c r="D24" s="60" t="s">
        <v>72</v>
      </c>
      <c r="E24" s="60" t="s">
        <v>72</v>
      </c>
      <c r="F24" s="60" t="s">
        <v>72</v>
      </c>
      <c r="G24" s="60" t="s">
        <v>72</v>
      </c>
      <c r="H24" s="60" t="s">
        <v>72</v>
      </c>
      <c r="I24" s="60" t="s">
        <v>72</v>
      </c>
      <c r="J24" s="60" t="s">
        <v>72</v>
      </c>
      <c r="K24" s="60" t="s">
        <v>72</v>
      </c>
      <c r="L24" s="60" t="s">
        <v>72</v>
      </c>
      <c r="M24" s="60" t="s">
        <v>72</v>
      </c>
      <c r="N24" s="60" t="s">
        <v>72</v>
      </c>
      <c r="O24" s="60" t="s">
        <v>72</v>
      </c>
      <c r="P24" s="60" t="s">
        <v>72</v>
      </c>
      <c r="Q24" s="60" t="s">
        <v>72</v>
      </c>
      <c r="R24" s="60" t="s">
        <v>72</v>
      </c>
      <c r="S24" s="60" t="s">
        <v>72</v>
      </c>
      <c r="T24" s="60" t="s">
        <v>72</v>
      </c>
      <c r="U24" s="60" t="s">
        <v>72</v>
      </c>
      <c r="V24" s="60" t="s">
        <v>72</v>
      </c>
      <c r="W24" s="60" t="s">
        <v>72</v>
      </c>
      <c r="X24" s="60" t="s">
        <v>72</v>
      </c>
      <c r="Y24" s="60" t="s">
        <v>72</v>
      </c>
      <c r="Z24" s="60" t="s">
        <v>72</v>
      </c>
      <c r="AA24" s="60" t="s">
        <v>72</v>
      </c>
      <c r="AB24" s="60" t="s">
        <v>72</v>
      </c>
      <c r="AC24" s="60" t="s">
        <v>72</v>
      </c>
      <c r="AD24" s="60" t="s">
        <v>72</v>
      </c>
      <c r="AE24" s="60" t="s">
        <v>72</v>
      </c>
      <c r="AF24" s="60" t="s">
        <v>72</v>
      </c>
      <c r="AG24" s="60" t="s">
        <v>72</v>
      </c>
      <c r="AH24" s="60" t="s">
        <v>72</v>
      </c>
      <c r="AI24" s="60" t="s">
        <v>72</v>
      </c>
      <c r="AJ24" s="24"/>
      <c r="AL24" t="str">
        <f t="shared" ca="1" si="0"/>
        <v xml:space="preserve">    (U1)ALERT_REQ_S_ADBZR_DMC_</v>
      </c>
      <c r="AR24" s="61" t="str">
        <f t="shared" si="3"/>
        <v/>
      </c>
      <c r="AS24" s="61" t="str">
        <f t="shared" si="4"/>
        <v/>
      </c>
      <c r="AT24" s="61" t="str">
        <f t="shared" si="1"/>
        <v/>
      </c>
    </row>
    <row r="25" spans="2:49">
      <c r="B25" s="129"/>
      <c r="C25" s="46">
        <f t="shared" si="2"/>
        <v>19</v>
      </c>
      <c r="D25" s="60" t="s">
        <v>72</v>
      </c>
      <c r="E25" s="60" t="s">
        <v>72</v>
      </c>
      <c r="F25" s="60" t="s">
        <v>72</v>
      </c>
      <c r="G25" s="60" t="s">
        <v>72</v>
      </c>
      <c r="H25" s="60" t="s">
        <v>72</v>
      </c>
      <c r="I25" s="60" t="s">
        <v>72</v>
      </c>
      <c r="J25" s="60" t="s">
        <v>72</v>
      </c>
      <c r="K25" s="60" t="s">
        <v>72</v>
      </c>
      <c r="L25" s="60" t="s">
        <v>72</v>
      </c>
      <c r="M25" s="60" t="s">
        <v>72</v>
      </c>
      <c r="N25" s="60" t="s">
        <v>72</v>
      </c>
      <c r="O25" s="60" t="s">
        <v>72</v>
      </c>
      <c r="P25" s="60" t="s">
        <v>72</v>
      </c>
      <c r="Q25" s="60" t="s">
        <v>72</v>
      </c>
      <c r="R25" s="60" t="s">
        <v>72</v>
      </c>
      <c r="S25" s="60" t="s">
        <v>72</v>
      </c>
      <c r="T25" s="60" t="s">
        <v>72</v>
      </c>
      <c r="U25" s="60" t="s">
        <v>72</v>
      </c>
      <c r="V25" s="60" t="s">
        <v>72</v>
      </c>
      <c r="W25" s="60" t="s">
        <v>72</v>
      </c>
      <c r="X25" s="60" t="s">
        <v>72</v>
      </c>
      <c r="Y25" s="60" t="s">
        <v>72</v>
      </c>
      <c r="Z25" s="60" t="s">
        <v>72</v>
      </c>
      <c r="AA25" s="60" t="s">
        <v>72</v>
      </c>
      <c r="AB25" s="60" t="s">
        <v>72</v>
      </c>
      <c r="AC25" s="60" t="s">
        <v>72</v>
      </c>
      <c r="AD25" s="60" t="s">
        <v>72</v>
      </c>
      <c r="AE25" s="60" t="s">
        <v>72</v>
      </c>
      <c r="AF25" s="60" t="s">
        <v>72</v>
      </c>
      <c r="AG25" s="60" t="s">
        <v>72</v>
      </c>
      <c r="AH25" s="60" t="s">
        <v>72</v>
      </c>
      <c r="AI25" s="60" t="s">
        <v>72</v>
      </c>
      <c r="AJ25" s="24"/>
      <c r="AL25" t="str">
        <f t="shared" ca="1" si="0"/>
        <v xml:space="preserve">    (U1)ALERT_REQ_S_ADBZR_DMC_</v>
      </c>
      <c r="AR25" s="61" t="str">
        <f t="shared" si="3"/>
        <v/>
      </c>
      <c r="AS25" s="61" t="str">
        <f t="shared" si="4"/>
        <v/>
      </c>
      <c r="AT25" s="61" t="str">
        <f t="shared" si="1"/>
        <v/>
      </c>
    </row>
    <row r="26" spans="2:49">
      <c r="B26" s="129"/>
      <c r="C26" s="46">
        <f t="shared" si="2"/>
        <v>20</v>
      </c>
      <c r="D26" s="60" t="s">
        <v>72</v>
      </c>
      <c r="E26" s="60" t="s">
        <v>72</v>
      </c>
      <c r="F26" s="60" t="s">
        <v>72</v>
      </c>
      <c r="G26" s="60" t="s">
        <v>72</v>
      </c>
      <c r="H26" s="60" t="s">
        <v>72</v>
      </c>
      <c r="I26" s="60" t="s">
        <v>72</v>
      </c>
      <c r="J26" s="60" t="s">
        <v>72</v>
      </c>
      <c r="K26" s="60" t="s">
        <v>72</v>
      </c>
      <c r="L26" s="60" t="s">
        <v>72</v>
      </c>
      <c r="M26" s="60" t="s">
        <v>72</v>
      </c>
      <c r="N26" s="60" t="s">
        <v>72</v>
      </c>
      <c r="O26" s="60" t="s">
        <v>72</v>
      </c>
      <c r="P26" s="60" t="s">
        <v>72</v>
      </c>
      <c r="Q26" s="60" t="s">
        <v>72</v>
      </c>
      <c r="R26" s="60" t="s">
        <v>72</v>
      </c>
      <c r="S26" s="60" t="s">
        <v>72</v>
      </c>
      <c r="T26" s="60" t="s">
        <v>72</v>
      </c>
      <c r="U26" s="60" t="s">
        <v>72</v>
      </c>
      <c r="V26" s="60" t="s">
        <v>72</v>
      </c>
      <c r="W26" s="60" t="s">
        <v>72</v>
      </c>
      <c r="X26" s="60" t="s">
        <v>72</v>
      </c>
      <c r="Y26" s="60" t="s">
        <v>72</v>
      </c>
      <c r="Z26" s="60" t="s">
        <v>72</v>
      </c>
      <c r="AA26" s="60" t="s">
        <v>72</v>
      </c>
      <c r="AB26" s="60" t="s">
        <v>72</v>
      </c>
      <c r="AC26" s="60" t="s">
        <v>72</v>
      </c>
      <c r="AD26" s="60" t="s">
        <v>72</v>
      </c>
      <c r="AE26" s="60" t="s">
        <v>72</v>
      </c>
      <c r="AF26" s="60" t="s">
        <v>72</v>
      </c>
      <c r="AG26" s="60" t="s">
        <v>72</v>
      </c>
      <c r="AH26" s="60" t="s">
        <v>72</v>
      </c>
      <c r="AI26" s="60" t="s">
        <v>72</v>
      </c>
      <c r="AJ26" s="24"/>
      <c r="AL26" t="str">
        <f t="shared" ca="1" si="0"/>
        <v xml:space="preserve">    (U1)ALERT_REQ_S_ADBZR_DMC_</v>
      </c>
      <c r="AR26" s="61" t="str">
        <f t="shared" si="3"/>
        <v/>
      </c>
      <c r="AS26" s="61" t="str">
        <f t="shared" si="4"/>
        <v/>
      </c>
      <c r="AT26" s="61" t="str">
        <f t="shared" si="1"/>
        <v/>
      </c>
    </row>
    <row r="27" spans="2:49">
      <c r="B27" s="129"/>
      <c r="C27" s="46">
        <f t="shared" si="2"/>
        <v>21</v>
      </c>
      <c r="D27" s="60" t="s">
        <v>72</v>
      </c>
      <c r="E27" s="60" t="s">
        <v>72</v>
      </c>
      <c r="F27" s="60" t="s">
        <v>72</v>
      </c>
      <c r="G27" s="60" t="s">
        <v>72</v>
      </c>
      <c r="H27" s="60" t="s">
        <v>72</v>
      </c>
      <c r="I27" s="60" t="s">
        <v>72</v>
      </c>
      <c r="J27" s="60" t="s">
        <v>72</v>
      </c>
      <c r="K27" s="60" t="s">
        <v>72</v>
      </c>
      <c r="L27" s="60" t="s">
        <v>72</v>
      </c>
      <c r="M27" s="60" t="s">
        <v>72</v>
      </c>
      <c r="N27" s="60" t="s">
        <v>72</v>
      </c>
      <c r="O27" s="60" t="s">
        <v>72</v>
      </c>
      <c r="P27" s="60" t="s">
        <v>72</v>
      </c>
      <c r="Q27" s="60" t="s">
        <v>72</v>
      </c>
      <c r="R27" s="60" t="s">
        <v>72</v>
      </c>
      <c r="S27" s="60" t="s">
        <v>72</v>
      </c>
      <c r="T27" s="60" t="s">
        <v>72</v>
      </c>
      <c r="U27" s="60" t="s">
        <v>72</v>
      </c>
      <c r="V27" s="60" t="s">
        <v>72</v>
      </c>
      <c r="W27" s="60" t="s">
        <v>72</v>
      </c>
      <c r="X27" s="60" t="s">
        <v>72</v>
      </c>
      <c r="Y27" s="60" t="s">
        <v>72</v>
      </c>
      <c r="Z27" s="60" t="s">
        <v>72</v>
      </c>
      <c r="AA27" s="60" t="s">
        <v>72</v>
      </c>
      <c r="AB27" s="60" t="s">
        <v>72</v>
      </c>
      <c r="AC27" s="60" t="s">
        <v>72</v>
      </c>
      <c r="AD27" s="60" t="s">
        <v>72</v>
      </c>
      <c r="AE27" s="60" t="s">
        <v>72</v>
      </c>
      <c r="AF27" s="60" t="s">
        <v>72</v>
      </c>
      <c r="AG27" s="60" t="s">
        <v>72</v>
      </c>
      <c r="AH27" s="60" t="s">
        <v>72</v>
      </c>
      <c r="AI27" s="60" t="s">
        <v>72</v>
      </c>
      <c r="AJ27" s="24"/>
      <c r="AL27" t="str">
        <f t="shared" ca="1" si="0"/>
        <v xml:space="preserve">    (U1)ALERT_REQ_S_ADBZR_DMC_</v>
      </c>
      <c r="AR27" s="61" t="str">
        <f t="shared" si="3"/>
        <v/>
      </c>
      <c r="AS27" s="61" t="str">
        <f t="shared" si="4"/>
        <v/>
      </c>
      <c r="AT27" s="61" t="str">
        <f t="shared" si="1"/>
        <v/>
      </c>
    </row>
    <row r="28" spans="2:49">
      <c r="B28" s="129"/>
      <c r="C28" s="46">
        <f t="shared" si="2"/>
        <v>22</v>
      </c>
      <c r="D28" s="60" t="s">
        <v>72</v>
      </c>
      <c r="E28" s="60" t="s">
        <v>72</v>
      </c>
      <c r="F28" s="60" t="s">
        <v>72</v>
      </c>
      <c r="G28" s="60" t="s">
        <v>72</v>
      </c>
      <c r="H28" s="60" t="s">
        <v>72</v>
      </c>
      <c r="I28" s="60" t="s">
        <v>72</v>
      </c>
      <c r="J28" s="60" t="s">
        <v>72</v>
      </c>
      <c r="K28" s="60" t="s">
        <v>72</v>
      </c>
      <c r="L28" s="60" t="s">
        <v>72</v>
      </c>
      <c r="M28" s="60" t="s">
        <v>72</v>
      </c>
      <c r="N28" s="60" t="s">
        <v>72</v>
      </c>
      <c r="O28" s="60" t="s">
        <v>72</v>
      </c>
      <c r="P28" s="60" t="s">
        <v>72</v>
      </c>
      <c r="Q28" s="60" t="s">
        <v>72</v>
      </c>
      <c r="R28" s="60" t="s">
        <v>72</v>
      </c>
      <c r="S28" s="60" t="s">
        <v>72</v>
      </c>
      <c r="T28" s="60" t="s">
        <v>72</v>
      </c>
      <c r="U28" s="60" t="s">
        <v>72</v>
      </c>
      <c r="V28" s="60" t="s">
        <v>72</v>
      </c>
      <c r="W28" s="60" t="s">
        <v>72</v>
      </c>
      <c r="X28" s="60" t="s">
        <v>72</v>
      </c>
      <c r="Y28" s="60" t="s">
        <v>72</v>
      </c>
      <c r="Z28" s="60" t="s">
        <v>72</v>
      </c>
      <c r="AA28" s="60" t="s">
        <v>72</v>
      </c>
      <c r="AB28" s="60" t="s">
        <v>72</v>
      </c>
      <c r="AC28" s="60" t="s">
        <v>72</v>
      </c>
      <c r="AD28" s="60" t="s">
        <v>72</v>
      </c>
      <c r="AE28" s="60" t="s">
        <v>72</v>
      </c>
      <c r="AF28" s="60" t="s">
        <v>72</v>
      </c>
      <c r="AG28" s="60" t="s">
        <v>72</v>
      </c>
      <c r="AH28" s="60" t="s">
        <v>72</v>
      </c>
      <c r="AI28" s="60" t="s">
        <v>72</v>
      </c>
      <c r="AJ28" s="24"/>
      <c r="AL28" t="str">
        <f t="shared" ca="1" si="0"/>
        <v xml:space="preserve">    (U1)ALERT_REQ_S_ADBZR_DMC_</v>
      </c>
      <c r="AR28" s="61" t="str">
        <f t="shared" si="3"/>
        <v/>
      </c>
      <c r="AS28" s="61" t="str">
        <f t="shared" si="4"/>
        <v/>
      </c>
      <c r="AT28" s="61" t="str">
        <f t="shared" si="1"/>
        <v/>
      </c>
    </row>
    <row r="29" spans="2:49">
      <c r="B29" s="129"/>
      <c r="C29" s="46">
        <f t="shared" si="2"/>
        <v>23</v>
      </c>
      <c r="D29" s="60" t="s">
        <v>72</v>
      </c>
      <c r="E29" s="60" t="s">
        <v>72</v>
      </c>
      <c r="F29" s="60" t="s">
        <v>72</v>
      </c>
      <c r="G29" s="60" t="s">
        <v>72</v>
      </c>
      <c r="H29" s="60" t="s">
        <v>72</v>
      </c>
      <c r="I29" s="60" t="s">
        <v>72</v>
      </c>
      <c r="J29" s="60" t="s">
        <v>72</v>
      </c>
      <c r="K29" s="60" t="s">
        <v>72</v>
      </c>
      <c r="L29" s="60" t="s">
        <v>72</v>
      </c>
      <c r="M29" s="60" t="s">
        <v>72</v>
      </c>
      <c r="N29" s="60" t="s">
        <v>72</v>
      </c>
      <c r="O29" s="60" t="s">
        <v>72</v>
      </c>
      <c r="P29" s="60" t="s">
        <v>72</v>
      </c>
      <c r="Q29" s="60" t="s">
        <v>72</v>
      </c>
      <c r="R29" s="60" t="s">
        <v>72</v>
      </c>
      <c r="S29" s="60" t="s">
        <v>72</v>
      </c>
      <c r="T29" s="60" t="s">
        <v>72</v>
      </c>
      <c r="U29" s="60" t="s">
        <v>72</v>
      </c>
      <c r="V29" s="60" t="s">
        <v>72</v>
      </c>
      <c r="W29" s="60" t="s">
        <v>72</v>
      </c>
      <c r="X29" s="60" t="s">
        <v>72</v>
      </c>
      <c r="Y29" s="60" t="s">
        <v>72</v>
      </c>
      <c r="Z29" s="60" t="s">
        <v>72</v>
      </c>
      <c r="AA29" s="60" t="s">
        <v>72</v>
      </c>
      <c r="AB29" s="60" t="s">
        <v>72</v>
      </c>
      <c r="AC29" s="60" t="s">
        <v>72</v>
      </c>
      <c r="AD29" s="60" t="s">
        <v>72</v>
      </c>
      <c r="AE29" s="60" t="s">
        <v>72</v>
      </c>
      <c r="AF29" s="60" t="s">
        <v>72</v>
      </c>
      <c r="AG29" s="60" t="s">
        <v>72</v>
      </c>
      <c r="AH29" s="60" t="s">
        <v>72</v>
      </c>
      <c r="AI29" s="60" t="s">
        <v>72</v>
      </c>
      <c r="AJ29" s="24"/>
      <c r="AL29" t="str">
        <f t="shared" ca="1" si="0"/>
        <v xml:space="preserve">    (U1)ALERT_REQ_S_ADBZR_DMC_</v>
      </c>
      <c r="AR29" s="61" t="str">
        <f t="shared" si="3"/>
        <v/>
      </c>
      <c r="AS29" s="61" t="str">
        <f t="shared" si="4"/>
        <v/>
      </c>
      <c r="AT29" s="61" t="str">
        <f t="shared" si="1"/>
        <v/>
      </c>
    </row>
    <row r="30" spans="2:49">
      <c r="B30" s="129"/>
      <c r="C30" s="46">
        <f t="shared" si="2"/>
        <v>24</v>
      </c>
      <c r="D30" s="60" t="s">
        <v>72</v>
      </c>
      <c r="E30" s="60" t="s">
        <v>72</v>
      </c>
      <c r="F30" s="60" t="s">
        <v>72</v>
      </c>
      <c r="G30" s="60" t="s">
        <v>72</v>
      </c>
      <c r="H30" s="60" t="s">
        <v>72</v>
      </c>
      <c r="I30" s="60" t="s">
        <v>72</v>
      </c>
      <c r="J30" s="60" t="s">
        <v>72</v>
      </c>
      <c r="K30" s="60" t="s">
        <v>72</v>
      </c>
      <c r="L30" s="60" t="s">
        <v>72</v>
      </c>
      <c r="M30" s="60" t="s">
        <v>72</v>
      </c>
      <c r="N30" s="60" t="s">
        <v>72</v>
      </c>
      <c r="O30" s="60" t="s">
        <v>72</v>
      </c>
      <c r="P30" s="60" t="s">
        <v>72</v>
      </c>
      <c r="Q30" s="60" t="s">
        <v>72</v>
      </c>
      <c r="R30" s="60" t="s">
        <v>72</v>
      </c>
      <c r="S30" s="60" t="s">
        <v>72</v>
      </c>
      <c r="T30" s="60" t="s">
        <v>72</v>
      </c>
      <c r="U30" s="60" t="s">
        <v>72</v>
      </c>
      <c r="V30" s="60" t="s">
        <v>72</v>
      </c>
      <c r="W30" s="60" t="s">
        <v>72</v>
      </c>
      <c r="X30" s="60" t="s">
        <v>72</v>
      </c>
      <c r="Y30" s="60" t="s">
        <v>72</v>
      </c>
      <c r="Z30" s="60" t="s">
        <v>72</v>
      </c>
      <c r="AA30" s="60" t="s">
        <v>72</v>
      </c>
      <c r="AB30" s="60" t="s">
        <v>72</v>
      </c>
      <c r="AC30" s="60" t="s">
        <v>72</v>
      </c>
      <c r="AD30" s="60" t="s">
        <v>72</v>
      </c>
      <c r="AE30" s="60" t="s">
        <v>72</v>
      </c>
      <c r="AF30" s="60" t="s">
        <v>72</v>
      </c>
      <c r="AG30" s="60" t="s">
        <v>72</v>
      </c>
      <c r="AH30" s="60" t="s">
        <v>72</v>
      </c>
      <c r="AI30" s="60" t="s">
        <v>72</v>
      </c>
      <c r="AJ30" s="24"/>
      <c r="AL30" t="str">
        <f t="shared" ca="1" si="0"/>
        <v xml:space="preserve">    (U1)ALERT_REQ_S_ADBZR_DMC_</v>
      </c>
      <c r="AR30" s="61" t="str">
        <f t="shared" si="3"/>
        <v/>
      </c>
      <c r="AS30" s="61" t="str">
        <f t="shared" si="4"/>
        <v/>
      </c>
      <c r="AT30" s="61" t="str">
        <f t="shared" si="1"/>
        <v/>
      </c>
    </row>
    <row r="31" spans="2:49">
      <c r="B31" s="129"/>
      <c r="C31" s="46">
        <f t="shared" si="2"/>
        <v>25</v>
      </c>
      <c r="D31" s="60" t="s">
        <v>72</v>
      </c>
      <c r="E31" s="60" t="s">
        <v>72</v>
      </c>
      <c r="F31" s="60" t="s">
        <v>72</v>
      </c>
      <c r="G31" s="60" t="s">
        <v>72</v>
      </c>
      <c r="H31" s="60" t="s">
        <v>72</v>
      </c>
      <c r="I31" s="60" t="s">
        <v>72</v>
      </c>
      <c r="J31" s="60" t="s">
        <v>72</v>
      </c>
      <c r="K31" s="60" t="s">
        <v>72</v>
      </c>
      <c r="L31" s="60" t="s">
        <v>72</v>
      </c>
      <c r="M31" s="60" t="s">
        <v>72</v>
      </c>
      <c r="N31" s="60" t="s">
        <v>72</v>
      </c>
      <c r="O31" s="60" t="s">
        <v>72</v>
      </c>
      <c r="P31" s="60" t="s">
        <v>72</v>
      </c>
      <c r="Q31" s="60" t="s">
        <v>72</v>
      </c>
      <c r="R31" s="60" t="s">
        <v>72</v>
      </c>
      <c r="S31" s="60" t="s">
        <v>72</v>
      </c>
      <c r="T31" s="60" t="s">
        <v>72</v>
      </c>
      <c r="U31" s="60" t="s">
        <v>72</v>
      </c>
      <c r="V31" s="60" t="s">
        <v>72</v>
      </c>
      <c r="W31" s="60" t="s">
        <v>72</v>
      </c>
      <c r="X31" s="60" t="s">
        <v>72</v>
      </c>
      <c r="Y31" s="60" t="s">
        <v>72</v>
      </c>
      <c r="Z31" s="60" t="s">
        <v>72</v>
      </c>
      <c r="AA31" s="60" t="s">
        <v>72</v>
      </c>
      <c r="AB31" s="60" t="s">
        <v>72</v>
      </c>
      <c r="AC31" s="60" t="s">
        <v>72</v>
      </c>
      <c r="AD31" s="60" t="s">
        <v>72</v>
      </c>
      <c r="AE31" s="60" t="s">
        <v>72</v>
      </c>
      <c r="AF31" s="60" t="s">
        <v>72</v>
      </c>
      <c r="AG31" s="60" t="s">
        <v>72</v>
      </c>
      <c r="AH31" s="60" t="s">
        <v>72</v>
      </c>
      <c r="AI31" s="60" t="s">
        <v>72</v>
      </c>
      <c r="AJ31" s="24"/>
      <c r="AL31" t="str">
        <f t="shared" ca="1" si="0"/>
        <v xml:space="preserve">    (U1)ALERT_REQ_S_ADBZR_DMC_</v>
      </c>
      <c r="AR31" s="61" t="str">
        <f t="shared" si="3"/>
        <v/>
      </c>
      <c r="AS31" s="61" t="str">
        <f t="shared" si="4"/>
        <v/>
      </c>
      <c r="AT31" s="61" t="str">
        <f t="shared" si="1"/>
        <v/>
      </c>
    </row>
    <row r="32" spans="2:49">
      <c r="B32" s="129"/>
      <c r="C32" s="46">
        <f t="shared" si="2"/>
        <v>26</v>
      </c>
      <c r="D32" s="60" t="s">
        <v>72</v>
      </c>
      <c r="E32" s="60" t="s">
        <v>72</v>
      </c>
      <c r="F32" s="60" t="s">
        <v>72</v>
      </c>
      <c r="G32" s="60" t="s">
        <v>72</v>
      </c>
      <c r="H32" s="60" t="s">
        <v>72</v>
      </c>
      <c r="I32" s="60" t="s">
        <v>72</v>
      </c>
      <c r="J32" s="60" t="s">
        <v>72</v>
      </c>
      <c r="K32" s="60" t="s">
        <v>72</v>
      </c>
      <c r="L32" s="60" t="s">
        <v>72</v>
      </c>
      <c r="M32" s="60" t="s">
        <v>72</v>
      </c>
      <c r="N32" s="60" t="s">
        <v>72</v>
      </c>
      <c r="O32" s="60" t="s">
        <v>72</v>
      </c>
      <c r="P32" s="60" t="s">
        <v>72</v>
      </c>
      <c r="Q32" s="60" t="s">
        <v>72</v>
      </c>
      <c r="R32" s="60" t="s">
        <v>72</v>
      </c>
      <c r="S32" s="60" t="s">
        <v>72</v>
      </c>
      <c r="T32" s="60" t="s">
        <v>72</v>
      </c>
      <c r="U32" s="60" t="s">
        <v>72</v>
      </c>
      <c r="V32" s="60" t="s">
        <v>72</v>
      </c>
      <c r="W32" s="60" t="s">
        <v>72</v>
      </c>
      <c r="X32" s="60" t="s">
        <v>72</v>
      </c>
      <c r="Y32" s="60" t="s">
        <v>72</v>
      </c>
      <c r="Z32" s="60" t="s">
        <v>72</v>
      </c>
      <c r="AA32" s="60" t="s">
        <v>72</v>
      </c>
      <c r="AB32" s="60" t="s">
        <v>72</v>
      </c>
      <c r="AC32" s="60" t="s">
        <v>72</v>
      </c>
      <c r="AD32" s="60" t="s">
        <v>72</v>
      </c>
      <c r="AE32" s="60" t="s">
        <v>72</v>
      </c>
      <c r="AF32" s="60" t="s">
        <v>72</v>
      </c>
      <c r="AG32" s="60" t="s">
        <v>72</v>
      </c>
      <c r="AH32" s="60" t="s">
        <v>72</v>
      </c>
      <c r="AI32" s="60" t="s">
        <v>72</v>
      </c>
      <c r="AJ32" s="24"/>
      <c r="AL32" t="str">
        <f t="shared" ca="1" si="0"/>
        <v xml:space="preserve">    (U1)ALERT_REQ_S_ADBZR_DMC_</v>
      </c>
      <c r="AR32" s="61" t="str">
        <f t="shared" si="3"/>
        <v/>
      </c>
      <c r="AS32" s="61" t="str">
        <f t="shared" si="4"/>
        <v/>
      </c>
      <c r="AT32" s="61" t="str">
        <f t="shared" si="1"/>
        <v/>
      </c>
    </row>
    <row r="33" spans="2:46">
      <c r="B33" s="129"/>
      <c r="C33" s="46">
        <f t="shared" si="2"/>
        <v>27</v>
      </c>
      <c r="D33" s="60" t="s">
        <v>72</v>
      </c>
      <c r="E33" s="60" t="s">
        <v>72</v>
      </c>
      <c r="F33" s="60" t="s">
        <v>72</v>
      </c>
      <c r="G33" s="60" t="s">
        <v>72</v>
      </c>
      <c r="H33" s="60" t="s">
        <v>72</v>
      </c>
      <c r="I33" s="60" t="s">
        <v>72</v>
      </c>
      <c r="J33" s="60" t="s">
        <v>72</v>
      </c>
      <c r="K33" s="60" t="s">
        <v>72</v>
      </c>
      <c r="L33" s="60" t="s">
        <v>72</v>
      </c>
      <c r="M33" s="60" t="s">
        <v>72</v>
      </c>
      <c r="N33" s="60" t="s">
        <v>72</v>
      </c>
      <c r="O33" s="60" t="s">
        <v>72</v>
      </c>
      <c r="P33" s="60" t="s">
        <v>72</v>
      </c>
      <c r="Q33" s="60" t="s">
        <v>72</v>
      </c>
      <c r="R33" s="60" t="s">
        <v>72</v>
      </c>
      <c r="S33" s="60" t="s">
        <v>72</v>
      </c>
      <c r="T33" s="60" t="s">
        <v>72</v>
      </c>
      <c r="U33" s="60" t="s">
        <v>72</v>
      </c>
      <c r="V33" s="60" t="s">
        <v>72</v>
      </c>
      <c r="W33" s="60" t="s">
        <v>72</v>
      </c>
      <c r="X33" s="60" t="s">
        <v>72</v>
      </c>
      <c r="Y33" s="60" t="s">
        <v>72</v>
      </c>
      <c r="Z33" s="60" t="s">
        <v>72</v>
      </c>
      <c r="AA33" s="60" t="s">
        <v>72</v>
      </c>
      <c r="AB33" s="60" t="s">
        <v>72</v>
      </c>
      <c r="AC33" s="60" t="s">
        <v>72</v>
      </c>
      <c r="AD33" s="60" t="s">
        <v>72</v>
      </c>
      <c r="AE33" s="60" t="s">
        <v>72</v>
      </c>
      <c r="AF33" s="60" t="s">
        <v>72</v>
      </c>
      <c r="AG33" s="60" t="s">
        <v>72</v>
      </c>
      <c r="AH33" s="60" t="s">
        <v>72</v>
      </c>
      <c r="AI33" s="60" t="s">
        <v>72</v>
      </c>
      <c r="AJ33" s="24"/>
      <c r="AL33" t="str">
        <f t="shared" ca="1" si="0"/>
        <v xml:space="preserve">    (U1)ALERT_REQ_S_ADBZR_DMC_</v>
      </c>
      <c r="AR33" s="61" t="str">
        <f t="shared" si="3"/>
        <v/>
      </c>
      <c r="AS33" s="61" t="str">
        <f t="shared" si="4"/>
        <v/>
      </c>
      <c r="AT33" s="61" t="str">
        <f t="shared" si="1"/>
        <v/>
      </c>
    </row>
    <row r="34" spans="2:46">
      <c r="B34" s="129"/>
      <c r="C34" s="46">
        <f t="shared" si="2"/>
        <v>28</v>
      </c>
      <c r="D34" s="60" t="s">
        <v>72</v>
      </c>
      <c r="E34" s="60" t="s">
        <v>72</v>
      </c>
      <c r="F34" s="60" t="s">
        <v>72</v>
      </c>
      <c r="G34" s="60" t="s">
        <v>72</v>
      </c>
      <c r="H34" s="60" t="s">
        <v>72</v>
      </c>
      <c r="I34" s="60" t="s">
        <v>72</v>
      </c>
      <c r="J34" s="60" t="s">
        <v>72</v>
      </c>
      <c r="K34" s="60" t="s">
        <v>72</v>
      </c>
      <c r="L34" s="60" t="s">
        <v>72</v>
      </c>
      <c r="M34" s="60" t="s">
        <v>72</v>
      </c>
      <c r="N34" s="60" t="s">
        <v>72</v>
      </c>
      <c r="O34" s="60" t="s">
        <v>72</v>
      </c>
      <c r="P34" s="60" t="s">
        <v>72</v>
      </c>
      <c r="Q34" s="60" t="s">
        <v>72</v>
      </c>
      <c r="R34" s="60" t="s">
        <v>72</v>
      </c>
      <c r="S34" s="60" t="s">
        <v>72</v>
      </c>
      <c r="T34" s="60" t="s">
        <v>72</v>
      </c>
      <c r="U34" s="60" t="s">
        <v>72</v>
      </c>
      <c r="V34" s="60" t="s">
        <v>72</v>
      </c>
      <c r="W34" s="60" t="s">
        <v>72</v>
      </c>
      <c r="X34" s="60" t="s">
        <v>72</v>
      </c>
      <c r="Y34" s="60" t="s">
        <v>72</v>
      </c>
      <c r="Z34" s="60" t="s">
        <v>72</v>
      </c>
      <c r="AA34" s="60" t="s">
        <v>72</v>
      </c>
      <c r="AB34" s="60" t="s">
        <v>72</v>
      </c>
      <c r="AC34" s="60" t="s">
        <v>72</v>
      </c>
      <c r="AD34" s="60" t="s">
        <v>72</v>
      </c>
      <c r="AE34" s="60" t="s">
        <v>72</v>
      </c>
      <c r="AF34" s="60" t="s">
        <v>72</v>
      </c>
      <c r="AG34" s="60" t="s">
        <v>72</v>
      </c>
      <c r="AH34" s="60" t="s">
        <v>72</v>
      </c>
      <c r="AI34" s="60" t="s">
        <v>72</v>
      </c>
      <c r="AJ34" s="24"/>
      <c r="AL34" t="str">
        <f t="shared" ca="1" si="0"/>
        <v xml:space="preserve">    (U1)ALERT_REQ_S_ADBZR_DMC_</v>
      </c>
      <c r="AR34" s="61" t="str">
        <f t="shared" si="3"/>
        <v/>
      </c>
      <c r="AS34" s="61" t="str">
        <f t="shared" si="4"/>
        <v/>
      </c>
      <c r="AT34" s="61" t="str">
        <f t="shared" si="1"/>
        <v/>
      </c>
    </row>
    <row r="35" spans="2:46">
      <c r="B35" s="129"/>
      <c r="C35" s="46">
        <f t="shared" si="2"/>
        <v>29</v>
      </c>
      <c r="D35" s="60" t="s">
        <v>72</v>
      </c>
      <c r="E35" s="60" t="s">
        <v>72</v>
      </c>
      <c r="F35" s="60" t="s">
        <v>72</v>
      </c>
      <c r="G35" s="60" t="s">
        <v>72</v>
      </c>
      <c r="H35" s="60" t="s">
        <v>72</v>
      </c>
      <c r="I35" s="60" t="s">
        <v>72</v>
      </c>
      <c r="J35" s="60" t="s">
        <v>72</v>
      </c>
      <c r="K35" s="60" t="s">
        <v>72</v>
      </c>
      <c r="L35" s="60" t="s">
        <v>72</v>
      </c>
      <c r="M35" s="60" t="s">
        <v>72</v>
      </c>
      <c r="N35" s="60" t="s">
        <v>72</v>
      </c>
      <c r="O35" s="60" t="s">
        <v>72</v>
      </c>
      <c r="P35" s="60" t="s">
        <v>72</v>
      </c>
      <c r="Q35" s="60" t="s">
        <v>72</v>
      </c>
      <c r="R35" s="60" t="s">
        <v>72</v>
      </c>
      <c r="S35" s="60" t="s">
        <v>72</v>
      </c>
      <c r="T35" s="60" t="s">
        <v>72</v>
      </c>
      <c r="U35" s="60" t="s">
        <v>72</v>
      </c>
      <c r="V35" s="60" t="s">
        <v>72</v>
      </c>
      <c r="W35" s="60" t="s">
        <v>72</v>
      </c>
      <c r="X35" s="60" t="s">
        <v>72</v>
      </c>
      <c r="Y35" s="60" t="s">
        <v>72</v>
      </c>
      <c r="Z35" s="60" t="s">
        <v>72</v>
      </c>
      <c r="AA35" s="60" t="s">
        <v>72</v>
      </c>
      <c r="AB35" s="60" t="s">
        <v>72</v>
      </c>
      <c r="AC35" s="60" t="s">
        <v>72</v>
      </c>
      <c r="AD35" s="60" t="s">
        <v>72</v>
      </c>
      <c r="AE35" s="60" t="s">
        <v>72</v>
      </c>
      <c r="AF35" s="60" t="s">
        <v>72</v>
      </c>
      <c r="AG35" s="60" t="s">
        <v>72</v>
      </c>
      <c r="AH35" s="60" t="s">
        <v>72</v>
      </c>
      <c r="AI35" s="60" t="s">
        <v>72</v>
      </c>
      <c r="AJ35" s="24"/>
      <c r="AL35" t="str">
        <f t="shared" ca="1" si="0"/>
        <v xml:space="preserve">    (U1)ALERT_REQ_S_ADBZR_DMC_</v>
      </c>
      <c r="AR35" s="61" t="str">
        <f t="shared" si="3"/>
        <v/>
      </c>
      <c r="AS35" s="61" t="str">
        <f t="shared" si="4"/>
        <v/>
      </c>
      <c r="AT35" s="61" t="str">
        <f t="shared" si="1"/>
        <v/>
      </c>
    </row>
    <row r="36" spans="2:46">
      <c r="B36" s="129"/>
      <c r="C36" s="46">
        <f t="shared" si="2"/>
        <v>30</v>
      </c>
      <c r="D36" s="60" t="s">
        <v>72</v>
      </c>
      <c r="E36" s="60" t="s">
        <v>72</v>
      </c>
      <c r="F36" s="60" t="s">
        <v>72</v>
      </c>
      <c r="G36" s="60" t="s">
        <v>72</v>
      </c>
      <c r="H36" s="60" t="s">
        <v>72</v>
      </c>
      <c r="I36" s="60" t="s">
        <v>72</v>
      </c>
      <c r="J36" s="60" t="s">
        <v>72</v>
      </c>
      <c r="K36" s="60" t="s">
        <v>72</v>
      </c>
      <c r="L36" s="60" t="s">
        <v>72</v>
      </c>
      <c r="M36" s="60" t="s">
        <v>72</v>
      </c>
      <c r="N36" s="60" t="s">
        <v>72</v>
      </c>
      <c r="O36" s="60" t="s">
        <v>72</v>
      </c>
      <c r="P36" s="60" t="s">
        <v>72</v>
      </c>
      <c r="Q36" s="60" t="s">
        <v>72</v>
      </c>
      <c r="R36" s="60" t="s">
        <v>72</v>
      </c>
      <c r="S36" s="60" t="s">
        <v>72</v>
      </c>
      <c r="T36" s="60" t="s">
        <v>72</v>
      </c>
      <c r="U36" s="60" t="s">
        <v>72</v>
      </c>
      <c r="V36" s="60" t="s">
        <v>72</v>
      </c>
      <c r="W36" s="60" t="s">
        <v>72</v>
      </c>
      <c r="X36" s="60" t="s">
        <v>72</v>
      </c>
      <c r="Y36" s="60" t="s">
        <v>72</v>
      </c>
      <c r="Z36" s="60" t="s">
        <v>72</v>
      </c>
      <c r="AA36" s="60" t="s">
        <v>72</v>
      </c>
      <c r="AB36" s="60" t="s">
        <v>72</v>
      </c>
      <c r="AC36" s="60" t="s">
        <v>72</v>
      </c>
      <c r="AD36" s="60" t="s">
        <v>72</v>
      </c>
      <c r="AE36" s="60" t="s">
        <v>72</v>
      </c>
      <c r="AF36" s="60" t="s">
        <v>72</v>
      </c>
      <c r="AG36" s="60" t="s">
        <v>72</v>
      </c>
      <c r="AH36" s="60" t="s">
        <v>72</v>
      </c>
      <c r="AI36" s="60" t="s">
        <v>72</v>
      </c>
      <c r="AJ36" s="24"/>
      <c r="AL36" t="str">
        <f t="shared" ca="1" si="0"/>
        <v xml:space="preserve">    (U1)ALERT_REQ_S_ADBZR_DMC_</v>
      </c>
      <c r="AR36" s="61" t="str">
        <f t="shared" si="3"/>
        <v/>
      </c>
      <c r="AS36" s="61" t="str">
        <f t="shared" si="4"/>
        <v/>
      </c>
      <c r="AT36" s="61" t="str">
        <f t="shared" si="1"/>
        <v/>
      </c>
    </row>
    <row r="37" spans="2:46">
      <c r="B37" s="129"/>
      <c r="C37" s="46">
        <f t="shared" si="2"/>
        <v>31</v>
      </c>
      <c r="D37" s="60" t="s">
        <v>72</v>
      </c>
      <c r="E37" s="60" t="s">
        <v>72</v>
      </c>
      <c r="F37" s="60" t="s">
        <v>72</v>
      </c>
      <c r="G37" s="60" t="s">
        <v>72</v>
      </c>
      <c r="H37" s="60" t="s">
        <v>72</v>
      </c>
      <c r="I37" s="60" t="s">
        <v>72</v>
      </c>
      <c r="J37" s="60" t="s">
        <v>72</v>
      </c>
      <c r="K37" s="60" t="s">
        <v>72</v>
      </c>
      <c r="L37" s="60" t="s">
        <v>72</v>
      </c>
      <c r="M37" s="60" t="s">
        <v>72</v>
      </c>
      <c r="N37" s="60" t="s">
        <v>72</v>
      </c>
      <c r="O37" s="60" t="s">
        <v>72</v>
      </c>
      <c r="P37" s="60" t="s">
        <v>72</v>
      </c>
      <c r="Q37" s="60" t="s">
        <v>72</v>
      </c>
      <c r="R37" s="60" t="s">
        <v>72</v>
      </c>
      <c r="S37" s="60" t="s">
        <v>72</v>
      </c>
      <c r="T37" s="60" t="s">
        <v>72</v>
      </c>
      <c r="U37" s="60" t="s">
        <v>72</v>
      </c>
      <c r="V37" s="60" t="s">
        <v>72</v>
      </c>
      <c r="W37" s="60" t="s">
        <v>72</v>
      </c>
      <c r="X37" s="60" t="s">
        <v>72</v>
      </c>
      <c r="Y37" s="60" t="s">
        <v>72</v>
      </c>
      <c r="Z37" s="60" t="s">
        <v>72</v>
      </c>
      <c r="AA37" s="60" t="s">
        <v>72</v>
      </c>
      <c r="AB37" s="60" t="s">
        <v>72</v>
      </c>
      <c r="AC37" s="60" t="s">
        <v>72</v>
      </c>
      <c r="AD37" s="60" t="s">
        <v>72</v>
      </c>
      <c r="AE37" s="60" t="s">
        <v>72</v>
      </c>
      <c r="AF37" s="60" t="s">
        <v>72</v>
      </c>
      <c r="AG37" s="60" t="s">
        <v>72</v>
      </c>
      <c r="AH37" s="60" t="s">
        <v>72</v>
      </c>
      <c r="AI37" s="60" t="s">
        <v>72</v>
      </c>
      <c r="AJ37" s="24"/>
      <c r="AL37" t="str">
        <f t="shared" ca="1" si="0"/>
        <v xml:space="preserve">    (U1)ALERT_REQ_S_ADBZR_DMC_</v>
      </c>
      <c r="AR37" s="61" t="str">
        <f t="shared" si="3"/>
        <v/>
      </c>
      <c r="AS37" s="61" t="str">
        <f t="shared" si="4"/>
        <v/>
      </c>
      <c r="AT37" s="61" t="str">
        <f t="shared" si="1"/>
        <v/>
      </c>
    </row>
    <row r="38" spans="2:46">
      <c r="B38" s="129"/>
      <c r="C38" s="46">
        <f t="shared" si="2"/>
        <v>32</v>
      </c>
      <c r="D38" s="60" t="s">
        <v>72</v>
      </c>
      <c r="E38" s="60" t="s">
        <v>72</v>
      </c>
      <c r="F38" s="60" t="s">
        <v>72</v>
      </c>
      <c r="G38" s="60" t="s">
        <v>72</v>
      </c>
      <c r="H38" s="60" t="s">
        <v>72</v>
      </c>
      <c r="I38" s="60" t="s">
        <v>72</v>
      </c>
      <c r="J38" s="60" t="s">
        <v>72</v>
      </c>
      <c r="K38" s="60" t="s">
        <v>72</v>
      </c>
      <c r="L38" s="60" t="s">
        <v>72</v>
      </c>
      <c r="M38" s="60" t="s">
        <v>72</v>
      </c>
      <c r="N38" s="60" t="s">
        <v>72</v>
      </c>
      <c r="O38" s="60" t="s">
        <v>72</v>
      </c>
      <c r="P38" s="60" t="s">
        <v>72</v>
      </c>
      <c r="Q38" s="60" t="s">
        <v>72</v>
      </c>
      <c r="R38" s="60" t="s">
        <v>72</v>
      </c>
      <c r="S38" s="60" t="s">
        <v>72</v>
      </c>
      <c r="T38" s="60" t="s">
        <v>72</v>
      </c>
      <c r="U38" s="60" t="s">
        <v>72</v>
      </c>
      <c r="V38" s="60" t="s">
        <v>72</v>
      </c>
      <c r="W38" s="60" t="s">
        <v>72</v>
      </c>
      <c r="X38" s="60" t="s">
        <v>72</v>
      </c>
      <c r="Y38" s="60" t="s">
        <v>72</v>
      </c>
      <c r="Z38" s="60" t="s">
        <v>72</v>
      </c>
      <c r="AA38" s="60" t="s">
        <v>72</v>
      </c>
      <c r="AB38" s="60" t="s">
        <v>72</v>
      </c>
      <c r="AC38" s="60" t="s">
        <v>72</v>
      </c>
      <c r="AD38" s="60" t="s">
        <v>72</v>
      </c>
      <c r="AE38" s="60" t="s">
        <v>72</v>
      </c>
      <c r="AF38" s="60" t="s">
        <v>72</v>
      </c>
      <c r="AG38" s="60" t="s">
        <v>72</v>
      </c>
      <c r="AH38" s="60" t="s">
        <v>72</v>
      </c>
      <c r="AI38" s="60" t="s">
        <v>72</v>
      </c>
      <c r="AJ38" s="24"/>
      <c r="AL38" t="str">
        <f t="shared" ca="1" si="0"/>
        <v xml:space="preserve">    (U1)ALERT_REQ_S_ADBZR_DMC_</v>
      </c>
      <c r="AR38" s="61" t="str">
        <f t="shared" si="3"/>
        <v/>
      </c>
      <c r="AS38" s="61" t="str">
        <f t="shared" si="4"/>
        <v/>
      </c>
      <c r="AT38" s="61" t="str">
        <f t="shared" si="1"/>
        <v/>
      </c>
    </row>
    <row r="39" spans="2:46">
      <c r="B39" s="129"/>
      <c r="C39" s="46">
        <f t="shared" si="2"/>
        <v>33</v>
      </c>
      <c r="D39" s="60" t="s">
        <v>72</v>
      </c>
      <c r="E39" s="60" t="s">
        <v>72</v>
      </c>
      <c r="F39" s="60" t="s">
        <v>72</v>
      </c>
      <c r="G39" s="60" t="s">
        <v>72</v>
      </c>
      <c r="H39" s="60" t="s">
        <v>72</v>
      </c>
      <c r="I39" s="60" t="s">
        <v>72</v>
      </c>
      <c r="J39" s="60" t="s">
        <v>72</v>
      </c>
      <c r="K39" s="60" t="s">
        <v>72</v>
      </c>
      <c r="L39" s="60" t="s">
        <v>72</v>
      </c>
      <c r="M39" s="60" t="s">
        <v>72</v>
      </c>
      <c r="N39" s="60" t="s">
        <v>72</v>
      </c>
      <c r="O39" s="60" t="s">
        <v>72</v>
      </c>
      <c r="P39" s="60" t="s">
        <v>72</v>
      </c>
      <c r="Q39" s="60" t="s">
        <v>72</v>
      </c>
      <c r="R39" s="60" t="s">
        <v>72</v>
      </c>
      <c r="S39" s="60" t="s">
        <v>72</v>
      </c>
      <c r="T39" s="60" t="s">
        <v>72</v>
      </c>
      <c r="U39" s="60" t="s">
        <v>72</v>
      </c>
      <c r="V39" s="60" t="s">
        <v>72</v>
      </c>
      <c r="W39" s="60" t="s">
        <v>72</v>
      </c>
      <c r="X39" s="60" t="s">
        <v>72</v>
      </c>
      <c r="Y39" s="60" t="s">
        <v>72</v>
      </c>
      <c r="Z39" s="60" t="s">
        <v>72</v>
      </c>
      <c r="AA39" s="60" t="s">
        <v>72</v>
      </c>
      <c r="AB39" s="60" t="s">
        <v>72</v>
      </c>
      <c r="AC39" s="60" t="s">
        <v>72</v>
      </c>
      <c r="AD39" s="60" t="s">
        <v>72</v>
      </c>
      <c r="AE39" s="60" t="s">
        <v>72</v>
      </c>
      <c r="AF39" s="60" t="s">
        <v>72</v>
      </c>
      <c r="AG39" s="60" t="s">
        <v>72</v>
      </c>
      <c r="AH39" s="60" t="s">
        <v>72</v>
      </c>
      <c r="AI39" s="60" t="s">
        <v>72</v>
      </c>
      <c r="AJ39" s="24"/>
      <c r="AL39" t="str">
        <f t="shared" ca="1" si="0"/>
        <v xml:space="preserve">    (U1)ALERT_REQ_S_ADBZR_DMC_</v>
      </c>
      <c r="AR39" s="61" t="str">
        <f t="shared" si="3"/>
        <v/>
      </c>
      <c r="AS39" s="61" t="str">
        <f t="shared" si="4"/>
        <v/>
      </c>
      <c r="AT39" s="61" t="str">
        <f t="shared" si="1"/>
        <v/>
      </c>
    </row>
    <row r="40" spans="2:46">
      <c r="B40" s="129"/>
      <c r="C40" s="46">
        <f t="shared" si="2"/>
        <v>34</v>
      </c>
      <c r="D40" s="60" t="s">
        <v>72</v>
      </c>
      <c r="E40" s="60" t="s">
        <v>72</v>
      </c>
      <c r="F40" s="60" t="s">
        <v>72</v>
      </c>
      <c r="G40" s="60" t="s">
        <v>72</v>
      </c>
      <c r="H40" s="60" t="s">
        <v>72</v>
      </c>
      <c r="I40" s="60" t="s">
        <v>72</v>
      </c>
      <c r="J40" s="60" t="s">
        <v>72</v>
      </c>
      <c r="K40" s="60" t="s">
        <v>72</v>
      </c>
      <c r="L40" s="60" t="s">
        <v>72</v>
      </c>
      <c r="M40" s="60" t="s">
        <v>72</v>
      </c>
      <c r="N40" s="60" t="s">
        <v>72</v>
      </c>
      <c r="O40" s="60" t="s">
        <v>72</v>
      </c>
      <c r="P40" s="60" t="s">
        <v>72</v>
      </c>
      <c r="Q40" s="60" t="s">
        <v>72</v>
      </c>
      <c r="R40" s="60" t="s">
        <v>72</v>
      </c>
      <c r="S40" s="60" t="s">
        <v>72</v>
      </c>
      <c r="T40" s="60" t="s">
        <v>72</v>
      </c>
      <c r="U40" s="60" t="s">
        <v>72</v>
      </c>
      <c r="V40" s="60" t="s">
        <v>72</v>
      </c>
      <c r="W40" s="60" t="s">
        <v>72</v>
      </c>
      <c r="X40" s="60" t="s">
        <v>72</v>
      </c>
      <c r="Y40" s="60" t="s">
        <v>72</v>
      </c>
      <c r="Z40" s="60" t="s">
        <v>72</v>
      </c>
      <c r="AA40" s="60" t="s">
        <v>72</v>
      </c>
      <c r="AB40" s="60" t="s">
        <v>72</v>
      </c>
      <c r="AC40" s="60" t="s">
        <v>72</v>
      </c>
      <c r="AD40" s="60" t="s">
        <v>72</v>
      </c>
      <c r="AE40" s="60" t="s">
        <v>72</v>
      </c>
      <c r="AF40" s="60" t="s">
        <v>72</v>
      </c>
      <c r="AG40" s="60" t="s">
        <v>72</v>
      </c>
      <c r="AH40" s="60" t="s">
        <v>72</v>
      </c>
      <c r="AI40" s="60" t="s">
        <v>72</v>
      </c>
      <c r="AJ40" s="24"/>
      <c r="AL40" t="str">
        <f t="shared" ca="1" si="0"/>
        <v xml:space="preserve">    (U1)ALERT_REQ_S_ADBZR_DMC_</v>
      </c>
      <c r="AR40" s="61" t="str">
        <f t="shared" si="3"/>
        <v/>
      </c>
      <c r="AS40" s="61" t="str">
        <f t="shared" si="4"/>
        <v/>
      </c>
      <c r="AT40" s="61" t="str">
        <f t="shared" si="1"/>
        <v/>
      </c>
    </row>
    <row r="41" spans="2:46">
      <c r="B41" s="129"/>
      <c r="C41" s="46">
        <f t="shared" si="2"/>
        <v>35</v>
      </c>
      <c r="D41" s="60" t="s">
        <v>72</v>
      </c>
      <c r="E41" s="60" t="s">
        <v>72</v>
      </c>
      <c r="F41" s="60" t="s">
        <v>72</v>
      </c>
      <c r="G41" s="60" t="s">
        <v>72</v>
      </c>
      <c r="H41" s="60" t="s">
        <v>72</v>
      </c>
      <c r="I41" s="60" t="s">
        <v>72</v>
      </c>
      <c r="J41" s="60" t="s">
        <v>72</v>
      </c>
      <c r="K41" s="60" t="s">
        <v>72</v>
      </c>
      <c r="L41" s="60" t="s">
        <v>72</v>
      </c>
      <c r="M41" s="60" t="s">
        <v>72</v>
      </c>
      <c r="N41" s="60" t="s">
        <v>72</v>
      </c>
      <c r="O41" s="60" t="s">
        <v>72</v>
      </c>
      <c r="P41" s="60" t="s">
        <v>72</v>
      </c>
      <c r="Q41" s="60" t="s">
        <v>72</v>
      </c>
      <c r="R41" s="60" t="s">
        <v>72</v>
      </c>
      <c r="S41" s="60" t="s">
        <v>72</v>
      </c>
      <c r="T41" s="60" t="s">
        <v>72</v>
      </c>
      <c r="U41" s="60" t="s">
        <v>72</v>
      </c>
      <c r="V41" s="60" t="s">
        <v>72</v>
      </c>
      <c r="W41" s="60" t="s">
        <v>72</v>
      </c>
      <c r="X41" s="60" t="s">
        <v>72</v>
      </c>
      <c r="Y41" s="60" t="s">
        <v>72</v>
      </c>
      <c r="Z41" s="60" t="s">
        <v>72</v>
      </c>
      <c r="AA41" s="60" t="s">
        <v>72</v>
      </c>
      <c r="AB41" s="60" t="s">
        <v>72</v>
      </c>
      <c r="AC41" s="60" t="s">
        <v>72</v>
      </c>
      <c r="AD41" s="60" t="s">
        <v>72</v>
      </c>
      <c r="AE41" s="60" t="s">
        <v>72</v>
      </c>
      <c r="AF41" s="60" t="s">
        <v>72</v>
      </c>
      <c r="AG41" s="60" t="s">
        <v>72</v>
      </c>
      <c r="AH41" s="60" t="s">
        <v>72</v>
      </c>
      <c r="AI41" s="60" t="s">
        <v>72</v>
      </c>
      <c r="AJ41" s="24"/>
      <c r="AL41" t="str">
        <f t="shared" ca="1" si="0"/>
        <v xml:space="preserve">    (U1)ALERT_REQ_S_ADBZR_DMC_</v>
      </c>
      <c r="AR41" s="61" t="str">
        <f t="shared" si="3"/>
        <v/>
      </c>
      <c r="AS41" s="61" t="str">
        <f t="shared" si="4"/>
        <v/>
      </c>
      <c r="AT41" s="61" t="str">
        <f t="shared" si="1"/>
        <v/>
      </c>
    </row>
    <row r="42" spans="2:46">
      <c r="B42" s="129"/>
      <c r="C42" s="46">
        <f t="shared" si="2"/>
        <v>36</v>
      </c>
      <c r="D42" s="60" t="s">
        <v>72</v>
      </c>
      <c r="E42" s="60" t="s">
        <v>72</v>
      </c>
      <c r="F42" s="60" t="s">
        <v>72</v>
      </c>
      <c r="G42" s="60" t="s">
        <v>72</v>
      </c>
      <c r="H42" s="60" t="s">
        <v>72</v>
      </c>
      <c r="I42" s="60" t="s">
        <v>72</v>
      </c>
      <c r="J42" s="60" t="s">
        <v>72</v>
      </c>
      <c r="K42" s="60" t="s">
        <v>72</v>
      </c>
      <c r="L42" s="60" t="s">
        <v>72</v>
      </c>
      <c r="M42" s="60" t="s">
        <v>72</v>
      </c>
      <c r="N42" s="60" t="s">
        <v>72</v>
      </c>
      <c r="O42" s="60" t="s">
        <v>72</v>
      </c>
      <c r="P42" s="60" t="s">
        <v>72</v>
      </c>
      <c r="Q42" s="60" t="s">
        <v>72</v>
      </c>
      <c r="R42" s="60" t="s">
        <v>72</v>
      </c>
      <c r="S42" s="60" t="s">
        <v>72</v>
      </c>
      <c r="T42" s="60" t="s">
        <v>72</v>
      </c>
      <c r="U42" s="60" t="s">
        <v>72</v>
      </c>
      <c r="V42" s="60" t="s">
        <v>72</v>
      </c>
      <c r="W42" s="60" t="s">
        <v>72</v>
      </c>
      <c r="X42" s="60" t="s">
        <v>72</v>
      </c>
      <c r="Y42" s="60" t="s">
        <v>72</v>
      </c>
      <c r="Z42" s="60" t="s">
        <v>72</v>
      </c>
      <c r="AA42" s="60" t="s">
        <v>72</v>
      </c>
      <c r="AB42" s="60" t="s">
        <v>72</v>
      </c>
      <c r="AC42" s="60" t="s">
        <v>72</v>
      </c>
      <c r="AD42" s="60" t="s">
        <v>72</v>
      </c>
      <c r="AE42" s="60" t="s">
        <v>72</v>
      </c>
      <c r="AF42" s="60" t="s">
        <v>72</v>
      </c>
      <c r="AG42" s="60" t="s">
        <v>72</v>
      </c>
      <c r="AH42" s="60" t="s">
        <v>72</v>
      </c>
      <c r="AI42" s="60" t="s">
        <v>72</v>
      </c>
      <c r="AJ42" s="24"/>
      <c r="AL42" t="str">
        <f t="shared" ca="1" si="0"/>
        <v xml:space="preserve">    (U1)ALERT_REQ_S_ADBZR_DMC_</v>
      </c>
      <c r="AR42" s="61" t="str">
        <f t="shared" si="3"/>
        <v/>
      </c>
      <c r="AS42" s="61" t="str">
        <f t="shared" si="4"/>
        <v/>
      </c>
      <c r="AT42" s="61" t="str">
        <f t="shared" si="1"/>
        <v/>
      </c>
    </row>
    <row r="43" spans="2:46">
      <c r="B43" s="129"/>
      <c r="C43" s="46">
        <f t="shared" si="2"/>
        <v>37</v>
      </c>
      <c r="D43" s="60" t="s">
        <v>72</v>
      </c>
      <c r="E43" s="60" t="s">
        <v>72</v>
      </c>
      <c r="F43" s="60" t="s">
        <v>72</v>
      </c>
      <c r="G43" s="60" t="s">
        <v>72</v>
      </c>
      <c r="H43" s="60" t="s">
        <v>72</v>
      </c>
      <c r="I43" s="60" t="s">
        <v>72</v>
      </c>
      <c r="J43" s="60" t="s">
        <v>72</v>
      </c>
      <c r="K43" s="60" t="s">
        <v>72</v>
      </c>
      <c r="L43" s="60" t="s">
        <v>72</v>
      </c>
      <c r="M43" s="60" t="s">
        <v>72</v>
      </c>
      <c r="N43" s="60" t="s">
        <v>72</v>
      </c>
      <c r="O43" s="60" t="s">
        <v>72</v>
      </c>
      <c r="P43" s="60" t="s">
        <v>72</v>
      </c>
      <c r="Q43" s="60" t="s">
        <v>72</v>
      </c>
      <c r="R43" s="60" t="s">
        <v>72</v>
      </c>
      <c r="S43" s="60" t="s">
        <v>72</v>
      </c>
      <c r="T43" s="60" t="s">
        <v>72</v>
      </c>
      <c r="U43" s="60" t="s">
        <v>72</v>
      </c>
      <c r="V43" s="60" t="s">
        <v>72</v>
      </c>
      <c r="W43" s="60" t="s">
        <v>72</v>
      </c>
      <c r="X43" s="60" t="s">
        <v>72</v>
      </c>
      <c r="Y43" s="60" t="s">
        <v>72</v>
      </c>
      <c r="Z43" s="60" t="s">
        <v>72</v>
      </c>
      <c r="AA43" s="60" t="s">
        <v>72</v>
      </c>
      <c r="AB43" s="60" t="s">
        <v>72</v>
      </c>
      <c r="AC43" s="60" t="s">
        <v>72</v>
      </c>
      <c r="AD43" s="60" t="s">
        <v>72</v>
      </c>
      <c r="AE43" s="60" t="s">
        <v>72</v>
      </c>
      <c r="AF43" s="60" t="s">
        <v>72</v>
      </c>
      <c r="AG43" s="60" t="s">
        <v>72</v>
      </c>
      <c r="AH43" s="60" t="s">
        <v>72</v>
      </c>
      <c r="AI43" s="60" t="s">
        <v>72</v>
      </c>
      <c r="AJ43" s="24"/>
      <c r="AL43" t="str">
        <f t="shared" ca="1" si="0"/>
        <v xml:space="preserve">    (U1)ALERT_REQ_S_ADBZR_DMC_</v>
      </c>
      <c r="AR43" s="61" t="str">
        <f t="shared" si="3"/>
        <v/>
      </c>
      <c r="AS43" s="61" t="str">
        <f t="shared" si="4"/>
        <v/>
      </c>
      <c r="AT43" s="61" t="str">
        <f t="shared" si="1"/>
        <v/>
      </c>
    </row>
    <row r="44" spans="2:46">
      <c r="B44" s="129"/>
      <c r="C44" s="46">
        <f t="shared" si="2"/>
        <v>38</v>
      </c>
      <c r="D44" s="60" t="s">
        <v>72</v>
      </c>
      <c r="E44" s="60" t="s">
        <v>72</v>
      </c>
      <c r="F44" s="60" t="s">
        <v>72</v>
      </c>
      <c r="G44" s="60" t="s">
        <v>72</v>
      </c>
      <c r="H44" s="60" t="s">
        <v>72</v>
      </c>
      <c r="I44" s="60" t="s">
        <v>72</v>
      </c>
      <c r="J44" s="60" t="s">
        <v>72</v>
      </c>
      <c r="K44" s="60" t="s">
        <v>72</v>
      </c>
      <c r="L44" s="60" t="s">
        <v>72</v>
      </c>
      <c r="M44" s="60" t="s">
        <v>72</v>
      </c>
      <c r="N44" s="60" t="s">
        <v>72</v>
      </c>
      <c r="O44" s="60" t="s">
        <v>72</v>
      </c>
      <c r="P44" s="60" t="s">
        <v>72</v>
      </c>
      <c r="Q44" s="60" t="s">
        <v>72</v>
      </c>
      <c r="R44" s="60" t="s">
        <v>72</v>
      </c>
      <c r="S44" s="60" t="s">
        <v>72</v>
      </c>
      <c r="T44" s="60" t="s">
        <v>72</v>
      </c>
      <c r="U44" s="60" t="s">
        <v>72</v>
      </c>
      <c r="V44" s="60" t="s">
        <v>72</v>
      </c>
      <c r="W44" s="60" t="s">
        <v>72</v>
      </c>
      <c r="X44" s="60" t="s">
        <v>72</v>
      </c>
      <c r="Y44" s="60" t="s">
        <v>72</v>
      </c>
      <c r="Z44" s="60" t="s">
        <v>72</v>
      </c>
      <c r="AA44" s="60" t="s">
        <v>72</v>
      </c>
      <c r="AB44" s="60" t="s">
        <v>72</v>
      </c>
      <c r="AC44" s="60" t="s">
        <v>72</v>
      </c>
      <c r="AD44" s="60" t="s">
        <v>72</v>
      </c>
      <c r="AE44" s="60" t="s">
        <v>72</v>
      </c>
      <c r="AF44" s="60" t="s">
        <v>72</v>
      </c>
      <c r="AG44" s="60" t="s">
        <v>72</v>
      </c>
      <c r="AH44" s="60" t="s">
        <v>72</v>
      </c>
      <c r="AI44" s="60" t="s">
        <v>72</v>
      </c>
      <c r="AJ44" s="24"/>
      <c r="AL44" t="str">
        <f t="shared" ca="1" si="0"/>
        <v xml:space="preserve">    (U1)ALERT_REQ_S_ADBZR_DMC_</v>
      </c>
      <c r="AR44" s="61" t="str">
        <f t="shared" si="3"/>
        <v/>
      </c>
      <c r="AS44" s="61" t="str">
        <f t="shared" si="4"/>
        <v/>
      </c>
      <c r="AT44" s="61" t="str">
        <f t="shared" si="1"/>
        <v/>
      </c>
    </row>
    <row r="45" spans="2:46">
      <c r="B45" s="129"/>
      <c r="C45" s="46">
        <f t="shared" si="2"/>
        <v>39</v>
      </c>
      <c r="D45" s="60" t="s">
        <v>72</v>
      </c>
      <c r="E45" s="60" t="s">
        <v>72</v>
      </c>
      <c r="F45" s="60" t="s">
        <v>72</v>
      </c>
      <c r="G45" s="60" t="s">
        <v>72</v>
      </c>
      <c r="H45" s="60" t="s">
        <v>72</v>
      </c>
      <c r="I45" s="60" t="s">
        <v>72</v>
      </c>
      <c r="J45" s="60" t="s">
        <v>72</v>
      </c>
      <c r="K45" s="60" t="s">
        <v>72</v>
      </c>
      <c r="L45" s="60" t="s">
        <v>72</v>
      </c>
      <c r="M45" s="60" t="s">
        <v>72</v>
      </c>
      <c r="N45" s="60" t="s">
        <v>72</v>
      </c>
      <c r="O45" s="60" t="s">
        <v>72</v>
      </c>
      <c r="P45" s="60" t="s">
        <v>72</v>
      </c>
      <c r="Q45" s="60" t="s">
        <v>72</v>
      </c>
      <c r="R45" s="60" t="s">
        <v>72</v>
      </c>
      <c r="S45" s="60" t="s">
        <v>72</v>
      </c>
      <c r="T45" s="60" t="s">
        <v>72</v>
      </c>
      <c r="U45" s="60" t="s">
        <v>72</v>
      </c>
      <c r="V45" s="60" t="s">
        <v>72</v>
      </c>
      <c r="W45" s="60" t="s">
        <v>72</v>
      </c>
      <c r="X45" s="60" t="s">
        <v>72</v>
      </c>
      <c r="Y45" s="60" t="s">
        <v>72</v>
      </c>
      <c r="Z45" s="60" t="s">
        <v>72</v>
      </c>
      <c r="AA45" s="60" t="s">
        <v>72</v>
      </c>
      <c r="AB45" s="60" t="s">
        <v>72</v>
      </c>
      <c r="AC45" s="60" t="s">
        <v>72</v>
      </c>
      <c r="AD45" s="60" t="s">
        <v>72</v>
      </c>
      <c r="AE45" s="60" t="s">
        <v>72</v>
      </c>
      <c r="AF45" s="60" t="s">
        <v>72</v>
      </c>
      <c r="AG45" s="60" t="s">
        <v>72</v>
      </c>
      <c r="AH45" s="60" t="s">
        <v>72</v>
      </c>
      <c r="AI45" s="60" t="s">
        <v>72</v>
      </c>
      <c r="AJ45" s="24"/>
      <c r="AL45" t="str">
        <f t="shared" ca="1" si="0"/>
        <v xml:space="preserve">    (U1)ALERT_REQ_S_ADBZR_DMC_</v>
      </c>
      <c r="AR45" s="61" t="str">
        <f t="shared" si="3"/>
        <v/>
      </c>
      <c r="AS45" s="61" t="str">
        <f t="shared" si="4"/>
        <v/>
      </c>
      <c r="AT45" s="61" t="str">
        <f t="shared" si="1"/>
        <v/>
      </c>
    </row>
    <row r="46" spans="2:46">
      <c r="B46" s="129"/>
      <c r="C46" s="46">
        <f t="shared" si="2"/>
        <v>40</v>
      </c>
      <c r="D46" s="60" t="s">
        <v>72</v>
      </c>
      <c r="E46" s="60" t="s">
        <v>72</v>
      </c>
      <c r="F46" s="60" t="s">
        <v>72</v>
      </c>
      <c r="G46" s="60" t="s">
        <v>72</v>
      </c>
      <c r="H46" s="60" t="s">
        <v>72</v>
      </c>
      <c r="I46" s="60" t="s">
        <v>72</v>
      </c>
      <c r="J46" s="60" t="s">
        <v>72</v>
      </c>
      <c r="K46" s="60" t="s">
        <v>72</v>
      </c>
      <c r="L46" s="60" t="s">
        <v>72</v>
      </c>
      <c r="M46" s="60" t="s">
        <v>72</v>
      </c>
      <c r="N46" s="60" t="s">
        <v>72</v>
      </c>
      <c r="O46" s="60" t="s">
        <v>72</v>
      </c>
      <c r="P46" s="60" t="s">
        <v>72</v>
      </c>
      <c r="Q46" s="60" t="s">
        <v>72</v>
      </c>
      <c r="R46" s="60" t="s">
        <v>72</v>
      </c>
      <c r="S46" s="60" t="s">
        <v>72</v>
      </c>
      <c r="T46" s="60" t="s">
        <v>72</v>
      </c>
      <c r="U46" s="60" t="s">
        <v>72</v>
      </c>
      <c r="V46" s="60" t="s">
        <v>72</v>
      </c>
      <c r="W46" s="60" t="s">
        <v>72</v>
      </c>
      <c r="X46" s="60" t="s">
        <v>72</v>
      </c>
      <c r="Y46" s="60" t="s">
        <v>72</v>
      </c>
      <c r="Z46" s="60" t="s">
        <v>72</v>
      </c>
      <c r="AA46" s="60" t="s">
        <v>72</v>
      </c>
      <c r="AB46" s="60" t="s">
        <v>72</v>
      </c>
      <c r="AC46" s="60" t="s">
        <v>72</v>
      </c>
      <c r="AD46" s="60" t="s">
        <v>72</v>
      </c>
      <c r="AE46" s="60" t="s">
        <v>72</v>
      </c>
      <c r="AF46" s="60" t="s">
        <v>72</v>
      </c>
      <c r="AG46" s="60" t="s">
        <v>72</v>
      </c>
      <c r="AH46" s="60" t="s">
        <v>72</v>
      </c>
      <c r="AI46" s="60" t="s">
        <v>72</v>
      </c>
      <c r="AJ46" s="24"/>
      <c r="AL46" t="str">
        <f t="shared" ca="1" si="0"/>
        <v xml:space="preserve">    (U1)ALERT_REQ_S_ADBZR_DMC_</v>
      </c>
      <c r="AR46" s="61" t="str">
        <f t="shared" si="3"/>
        <v/>
      </c>
      <c r="AS46" s="61" t="str">
        <f t="shared" si="4"/>
        <v/>
      </c>
      <c r="AT46" s="61" t="str">
        <f t="shared" si="1"/>
        <v/>
      </c>
    </row>
    <row r="47" spans="2:46">
      <c r="B47" s="129"/>
      <c r="C47" s="46">
        <f t="shared" si="2"/>
        <v>41</v>
      </c>
      <c r="D47" s="60" t="s">
        <v>72</v>
      </c>
      <c r="E47" s="60" t="s">
        <v>72</v>
      </c>
      <c r="F47" s="60" t="s">
        <v>72</v>
      </c>
      <c r="G47" s="60" t="s">
        <v>72</v>
      </c>
      <c r="H47" s="60" t="s">
        <v>72</v>
      </c>
      <c r="I47" s="60" t="s">
        <v>72</v>
      </c>
      <c r="J47" s="60" t="s">
        <v>72</v>
      </c>
      <c r="K47" s="60" t="s">
        <v>72</v>
      </c>
      <c r="L47" s="60" t="s">
        <v>72</v>
      </c>
      <c r="M47" s="60" t="s">
        <v>72</v>
      </c>
      <c r="N47" s="60" t="s">
        <v>72</v>
      </c>
      <c r="O47" s="60" t="s">
        <v>72</v>
      </c>
      <c r="P47" s="60" t="s">
        <v>72</v>
      </c>
      <c r="Q47" s="60" t="s">
        <v>72</v>
      </c>
      <c r="R47" s="60" t="s">
        <v>72</v>
      </c>
      <c r="S47" s="60" t="s">
        <v>72</v>
      </c>
      <c r="T47" s="60" t="s">
        <v>72</v>
      </c>
      <c r="U47" s="60" t="s">
        <v>72</v>
      </c>
      <c r="V47" s="60" t="s">
        <v>72</v>
      </c>
      <c r="W47" s="60" t="s">
        <v>72</v>
      </c>
      <c r="X47" s="60" t="s">
        <v>72</v>
      </c>
      <c r="Y47" s="60" t="s">
        <v>72</v>
      </c>
      <c r="Z47" s="60" t="s">
        <v>72</v>
      </c>
      <c r="AA47" s="60" t="s">
        <v>72</v>
      </c>
      <c r="AB47" s="60" t="s">
        <v>72</v>
      </c>
      <c r="AC47" s="60" t="s">
        <v>72</v>
      </c>
      <c r="AD47" s="60" t="s">
        <v>72</v>
      </c>
      <c r="AE47" s="60" t="s">
        <v>72</v>
      </c>
      <c r="AF47" s="60" t="s">
        <v>72</v>
      </c>
      <c r="AG47" s="60" t="s">
        <v>72</v>
      </c>
      <c r="AH47" s="60" t="s">
        <v>72</v>
      </c>
      <c r="AI47" s="60" t="s">
        <v>72</v>
      </c>
      <c r="AJ47" s="24"/>
      <c r="AL47" t="str">
        <f t="shared" ca="1" si="0"/>
        <v xml:space="preserve">    (U1)ALERT_REQ_S_ADBZR_DMC_</v>
      </c>
      <c r="AR47" s="61" t="str">
        <f t="shared" si="3"/>
        <v/>
      </c>
      <c r="AS47" s="61" t="str">
        <f t="shared" si="4"/>
        <v/>
      </c>
      <c r="AT47" s="61" t="str">
        <f t="shared" si="1"/>
        <v/>
      </c>
    </row>
    <row r="48" spans="2:46">
      <c r="B48" s="129"/>
      <c r="C48" s="46">
        <f t="shared" si="2"/>
        <v>42</v>
      </c>
      <c r="D48" s="60" t="s">
        <v>72</v>
      </c>
      <c r="E48" s="60" t="s">
        <v>72</v>
      </c>
      <c r="F48" s="60" t="s">
        <v>72</v>
      </c>
      <c r="G48" s="60" t="s">
        <v>72</v>
      </c>
      <c r="H48" s="60" t="s">
        <v>72</v>
      </c>
      <c r="I48" s="60" t="s">
        <v>72</v>
      </c>
      <c r="J48" s="60" t="s">
        <v>72</v>
      </c>
      <c r="K48" s="60" t="s">
        <v>72</v>
      </c>
      <c r="L48" s="60" t="s">
        <v>72</v>
      </c>
      <c r="M48" s="60" t="s">
        <v>72</v>
      </c>
      <c r="N48" s="60" t="s">
        <v>72</v>
      </c>
      <c r="O48" s="60" t="s">
        <v>72</v>
      </c>
      <c r="P48" s="60" t="s">
        <v>72</v>
      </c>
      <c r="Q48" s="60" t="s">
        <v>72</v>
      </c>
      <c r="R48" s="60" t="s">
        <v>72</v>
      </c>
      <c r="S48" s="60" t="s">
        <v>72</v>
      </c>
      <c r="T48" s="60" t="s">
        <v>72</v>
      </c>
      <c r="U48" s="60" t="s">
        <v>72</v>
      </c>
      <c r="V48" s="60" t="s">
        <v>72</v>
      </c>
      <c r="W48" s="60" t="s">
        <v>72</v>
      </c>
      <c r="X48" s="60" t="s">
        <v>72</v>
      </c>
      <c r="Y48" s="60" t="s">
        <v>72</v>
      </c>
      <c r="Z48" s="60" t="s">
        <v>72</v>
      </c>
      <c r="AA48" s="60" t="s">
        <v>72</v>
      </c>
      <c r="AB48" s="60" t="s">
        <v>72</v>
      </c>
      <c r="AC48" s="60" t="s">
        <v>72</v>
      </c>
      <c r="AD48" s="60" t="s">
        <v>72</v>
      </c>
      <c r="AE48" s="60" t="s">
        <v>72</v>
      </c>
      <c r="AF48" s="60" t="s">
        <v>72</v>
      </c>
      <c r="AG48" s="60" t="s">
        <v>72</v>
      </c>
      <c r="AH48" s="60" t="s">
        <v>72</v>
      </c>
      <c r="AI48" s="60" t="s">
        <v>72</v>
      </c>
      <c r="AJ48" s="24"/>
      <c r="AL48" t="str">
        <f t="shared" ca="1" si="0"/>
        <v xml:space="preserve">    (U1)ALERT_REQ_S_ADBZR_DMC_</v>
      </c>
      <c r="AR48" s="61" t="str">
        <f t="shared" si="3"/>
        <v/>
      </c>
      <c r="AS48" s="61" t="str">
        <f t="shared" si="4"/>
        <v/>
      </c>
      <c r="AT48" s="61" t="str">
        <f t="shared" si="1"/>
        <v/>
      </c>
    </row>
    <row r="49" spans="2:46">
      <c r="B49" s="129"/>
      <c r="C49" s="46">
        <f t="shared" si="2"/>
        <v>43</v>
      </c>
      <c r="D49" s="60" t="s">
        <v>72</v>
      </c>
      <c r="E49" s="60" t="s">
        <v>72</v>
      </c>
      <c r="F49" s="60" t="s">
        <v>72</v>
      </c>
      <c r="G49" s="60" t="s">
        <v>72</v>
      </c>
      <c r="H49" s="60" t="s">
        <v>72</v>
      </c>
      <c r="I49" s="60" t="s">
        <v>72</v>
      </c>
      <c r="J49" s="60" t="s">
        <v>72</v>
      </c>
      <c r="K49" s="60" t="s">
        <v>72</v>
      </c>
      <c r="L49" s="60" t="s">
        <v>72</v>
      </c>
      <c r="M49" s="60" t="s">
        <v>72</v>
      </c>
      <c r="N49" s="60" t="s">
        <v>72</v>
      </c>
      <c r="O49" s="60" t="s">
        <v>72</v>
      </c>
      <c r="P49" s="60" t="s">
        <v>72</v>
      </c>
      <c r="Q49" s="60" t="s">
        <v>72</v>
      </c>
      <c r="R49" s="60" t="s">
        <v>72</v>
      </c>
      <c r="S49" s="60" t="s">
        <v>72</v>
      </c>
      <c r="T49" s="60" t="s">
        <v>72</v>
      </c>
      <c r="U49" s="60" t="s">
        <v>72</v>
      </c>
      <c r="V49" s="60" t="s">
        <v>72</v>
      </c>
      <c r="W49" s="60" t="s">
        <v>72</v>
      </c>
      <c r="X49" s="60" t="s">
        <v>72</v>
      </c>
      <c r="Y49" s="60" t="s">
        <v>72</v>
      </c>
      <c r="Z49" s="60" t="s">
        <v>72</v>
      </c>
      <c r="AA49" s="60" t="s">
        <v>72</v>
      </c>
      <c r="AB49" s="60" t="s">
        <v>72</v>
      </c>
      <c r="AC49" s="60" t="s">
        <v>72</v>
      </c>
      <c r="AD49" s="60" t="s">
        <v>72</v>
      </c>
      <c r="AE49" s="60" t="s">
        <v>72</v>
      </c>
      <c r="AF49" s="60" t="s">
        <v>72</v>
      </c>
      <c r="AG49" s="60" t="s">
        <v>72</v>
      </c>
      <c r="AH49" s="60" t="s">
        <v>72</v>
      </c>
      <c r="AI49" s="60" t="s">
        <v>72</v>
      </c>
      <c r="AJ49" s="24"/>
      <c r="AL49" t="str">
        <f t="shared" ca="1" si="0"/>
        <v xml:space="preserve">    (U1)ALERT_REQ_S_ADBZR_DMC_</v>
      </c>
      <c r="AR49" s="61" t="str">
        <f t="shared" si="3"/>
        <v/>
      </c>
      <c r="AS49" s="61" t="str">
        <f t="shared" si="4"/>
        <v/>
      </c>
      <c r="AT49" s="61" t="str">
        <f t="shared" si="1"/>
        <v/>
      </c>
    </row>
    <row r="50" spans="2:46">
      <c r="B50" s="129"/>
      <c r="C50" s="46">
        <f t="shared" si="2"/>
        <v>44</v>
      </c>
      <c r="D50" s="60" t="s">
        <v>72</v>
      </c>
      <c r="E50" s="60" t="s">
        <v>72</v>
      </c>
      <c r="F50" s="60" t="s">
        <v>72</v>
      </c>
      <c r="G50" s="60" t="s">
        <v>72</v>
      </c>
      <c r="H50" s="60" t="s">
        <v>72</v>
      </c>
      <c r="I50" s="60" t="s">
        <v>72</v>
      </c>
      <c r="J50" s="60" t="s">
        <v>72</v>
      </c>
      <c r="K50" s="60" t="s">
        <v>72</v>
      </c>
      <c r="L50" s="60" t="s">
        <v>72</v>
      </c>
      <c r="M50" s="60" t="s">
        <v>72</v>
      </c>
      <c r="N50" s="60" t="s">
        <v>72</v>
      </c>
      <c r="O50" s="60" t="s">
        <v>72</v>
      </c>
      <c r="P50" s="60" t="s">
        <v>72</v>
      </c>
      <c r="Q50" s="60" t="s">
        <v>72</v>
      </c>
      <c r="R50" s="60" t="s">
        <v>72</v>
      </c>
      <c r="S50" s="60" t="s">
        <v>72</v>
      </c>
      <c r="T50" s="60" t="s">
        <v>72</v>
      </c>
      <c r="U50" s="60" t="s">
        <v>72</v>
      </c>
      <c r="V50" s="60" t="s">
        <v>72</v>
      </c>
      <c r="W50" s="60" t="s">
        <v>72</v>
      </c>
      <c r="X50" s="60" t="s">
        <v>72</v>
      </c>
      <c r="Y50" s="60" t="s">
        <v>72</v>
      </c>
      <c r="Z50" s="60" t="s">
        <v>72</v>
      </c>
      <c r="AA50" s="60" t="s">
        <v>72</v>
      </c>
      <c r="AB50" s="60" t="s">
        <v>72</v>
      </c>
      <c r="AC50" s="60" t="s">
        <v>72</v>
      </c>
      <c r="AD50" s="60" t="s">
        <v>72</v>
      </c>
      <c r="AE50" s="60" t="s">
        <v>72</v>
      </c>
      <c r="AF50" s="60" t="s">
        <v>72</v>
      </c>
      <c r="AG50" s="60" t="s">
        <v>72</v>
      </c>
      <c r="AH50" s="60" t="s">
        <v>72</v>
      </c>
      <c r="AI50" s="60" t="s">
        <v>72</v>
      </c>
      <c r="AJ50" s="24"/>
      <c r="AL50" t="str">
        <f t="shared" ca="1" si="0"/>
        <v xml:space="preserve">    (U1)ALERT_REQ_S_ADBZR_DMC_</v>
      </c>
      <c r="AR50" s="61" t="str">
        <f t="shared" si="3"/>
        <v/>
      </c>
      <c r="AS50" s="61" t="str">
        <f t="shared" si="4"/>
        <v/>
      </c>
      <c r="AT50" s="61" t="str">
        <f t="shared" si="1"/>
        <v/>
      </c>
    </row>
    <row r="51" spans="2:46">
      <c r="B51" s="129"/>
      <c r="C51" s="46">
        <f t="shared" si="2"/>
        <v>45</v>
      </c>
      <c r="D51" s="60" t="s">
        <v>72</v>
      </c>
      <c r="E51" s="60" t="s">
        <v>72</v>
      </c>
      <c r="F51" s="60" t="s">
        <v>72</v>
      </c>
      <c r="G51" s="60" t="s">
        <v>72</v>
      </c>
      <c r="H51" s="60" t="s">
        <v>72</v>
      </c>
      <c r="I51" s="60" t="s">
        <v>72</v>
      </c>
      <c r="J51" s="60" t="s">
        <v>72</v>
      </c>
      <c r="K51" s="60" t="s">
        <v>72</v>
      </c>
      <c r="L51" s="60" t="s">
        <v>72</v>
      </c>
      <c r="M51" s="60" t="s">
        <v>72</v>
      </c>
      <c r="N51" s="60" t="s">
        <v>72</v>
      </c>
      <c r="O51" s="60" t="s">
        <v>72</v>
      </c>
      <c r="P51" s="60" t="s">
        <v>72</v>
      </c>
      <c r="Q51" s="60" t="s">
        <v>72</v>
      </c>
      <c r="R51" s="60" t="s">
        <v>72</v>
      </c>
      <c r="S51" s="60" t="s">
        <v>72</v>
      </c>
      <c r="T51" s="60" t="s">
        <v>72</v>
      </c>
      <c r="U51" s="60" t="s">
        <v>72</v>
      </c>
      <c r="V51" s="60" t="s">
        <v>72</v>
      </c>
      <c r="W51" s="60" t="s">
        <v>72</v>
      </c>
      <c r="X51" s="60" t="s">
        <v>72</v>
      </c>
      <c r="Y51" s="60" t="s">
        <v>72</v>
      </c>
      <c r="Z51" s="60" t="s">
        <v>72</v>
      </c>
      <c r="AA51" s="60" t="s">
        <v>72</v>
      </c>
      <c r="AB51" s="60" t="s">
        <v>72</v>
      </c>
      <c r="AC51" s="60" t="s">
        <v>72</v>
      </c>
      <c r="AD51" s="60" t="s">
        <v>72</v>
      </c>
      <c r="AE51" s="60" t="s">
        <v>72</v>
      </c>
      <c r="AF51" s="60" t="s">
        <v>72</v>
      </c>
      <c r="AG51" s="60" t="s">
        <v>72</v>
      </c>
      <c r="AH51" s="60" t="s">
        <v>72</v>
      </c>
      <c r="AI51" s="60" t="s">
        <v>72</v>
      </c>
      <c r="AJ51" s="24"/>
      <c r="AL51" t="str">
        <f t="shared" ca="1" si="0"/>
        <v xml:space="preserve">    (U1)ALERT_REQ_S_ADBZR_DMC_</v>
      </c>
      <c r="AR51" s="61" t="str">
        <f t="shared" si="3"/>
        <v/>
      </c>
      <c r="AS51" s="61" t="str">
        <f t="shared" si="4"/>
        <v/>
      </c>
      <c r="AT51" s="61" t="str">
        <f t="shared" si="1"/>
        <v/>
      </c>
    </row>
    <row r="52" spans="2:46">
      <c r="B52" s="129"/>
      <c r="C52" s="46">
        <f t="shared" si="2"/>
        <v>46</v>
      </c>
      <c r="D52" s="60" t="s">
        <v>72</v>
      </c>
      <c r="E52" s="60" t="s">
        <v>72</v>
      </c>
      <c r="F52" s="60" t="s">
        <v>72</v>
      </c>
      <c r="G52" s="60" t="s">
        <v>72</v>
      </c>
      <c r="H52" s="60" t="s">
        <v>72</v>
      </c>
      <c r="I52" s="60" t="s">
        <v>72</v>
      </c>
      <c r="J52" s="60" t="s">
        <v>72</v>
      </c>
      <c r="K52" s="60" t="s">
        <v>72</v>
      </c>
      <c r="L52" s="60" t="s">
        <v>72</v>
      </c>
      <c r="M52" s="60" t="s">
        <v>72</v>
      </c>
      <c r="N52" s="60" t="s">
        <v>72</v>
      </c>
      <c r="O52" s="60" t="s">
        <v>72</v>
      </c>
      <c r="P52" s="60" t="s">
        <v>72</v>
      </c>
      <c r="Q52" s="60" t="s">
        <v>72</v>
      </c>
      <c r="R52" s="60" t="s">
        <v>72</v>
      </c>
      <c r="S52" s="60" t="s">
        <v>72</v>
      </c>
      <c r="T52" s="60" t="s">
        <v>72</v>
      </c>
      <c r="U52" s="60" t="s">
        <v>72</v>
      </c>
      <c r="V52" s="60" t="s">
        <v>72</v>
      </c>
      <c r="W52" s="60" t="s">
        <v>72</v>
      </c>
      <c r="X52" s="60" t="s">
        <v>72</v>
      </c>
      <c r="Y52" s="60" t="s">
        <v>72</v>
      </c>
      <c r="Z52" s="60" t="s">
        <v>72</v>
      </c>
      <c r="AA52" s="60" t="s">
        <v>72</v>
      </c>
      <c r="AB52" s="60" t="s">
        <v>72</v>
      </c>
      <c r="AC52" s="60" t="s">
        <v>72</v>
      </c>
      <c r="AD52" s="60" t="s">
        <v>72</v>
      </c>
      <c r="AE52" s="60" t="s">
        <v>72</v>
      </c>
      <c r="AF52" s="60" t="s">
        <v>72</v>
      </c>
      <c r="AG52" s="60" t="s">
        <v>72</v>
      </c>
      <c r="AH52" s="60" t="s">
        <v>72</v>
      </c>
      <c r="AI52" s="60" t="s">
        <v>72</v>
      </c>
      <c r="AJ52" s="24"/>
      <c r="AL52" t="str">
        <f t="shared" ca="1" si="0"/>
        <v xml:space="preserve">    (U1)ALERT_REQ_S_ADBZR_DMC_</v>
      </c>
      <c r="AR52" s="61" t="str">
        <f t="shared" si="3"/>
        <v/>
      </c>
      <c r="AS52" s="61" t="str">
        <f t="shared" si="4"/>
        <v/>
      </c>
      <c r="AT52" s="61" t="str">
        <f t="shared" si="1"/>
        <v/>
      </c>
    </row>
    <row r="53" spans="2:46">
      <c r="B53" s="129"/>
      <c r="C53" s="46">
        <f t="shared" si="2"/>
        <v>47</v>
      </c>
      <c r="D53" s="60" t="s">
        <v>72</v>
      </c>
      <c r="E53" s="60" t="s">
        <v>72</v>
      </c>
      <c r="F53" s="60" t="s">
        <v>72</v>
      </c>
      <c r="G53" s="60" t="s">
        <v>72</v>
      </c>
      <c r="H53" s="60" t="s">
        <v>72</v>
      </c>
      <c r="I53" s="60" t="s">
        <v>72</v>
      </c>
      <c r="J53" s="60" t="s">
        <v>72</v>
      </c>
      <c r="K53" s="60" t="s">
        <v>72</v>
      </c>
      <c r="L53" s="60" t="s">
        <v>72</v>
      </c>
      <c r="M53" s="60" t="s">
        <v>72</v>
      </c>
      <c r="N53" s="60" t="s">
        <v>72</v>
      </c>
      <c r="O53" s="60" t="s">
        <v>72</v>
      </c>
      <c r="P53" s="60" t="s">
        <v>72</v>
      </c>
      <c r="Q53" s="60" t="s">
        <v>72</v>
      </c>
      <c r="R53" s="60" t="s">
        <v>72</v>
      </c>
      <c r="S53" s="60" t="s">
        <v>72</v>
      </c>
      <c r="T53" s="60" t="s">
        <v>72</v>
      </c>
      <c r="U53" s="60" t="s">
        <v>72</v>
      </c>
      <c r="V53" s="60" t="s">
        <v>72</v>
      </c>
      <c r="W53" s="60" t="s">
        <v>72</v>
      </c>
      <c r="X53" s="60" t="s">
        <v>72</v>
      </c>
      <c r="Y53" s="60" t="s">
        <v>72</v>
      </c>
      <c r="Z53" s="60" t="s">
        <v>72</v>
      </c>
      <c r="AA53" s="60" t="s">
        <v>72</v>
      </c>
      <c r="AB53" s="60" t="s">
        <v>72</v>
      </c>
      <c r="AC53" s="60" t="s">
        <v>72</v>
      </c>
      <c r="AD53" s="60" t="s">
        <v>72</v>
      </c>
      <c r="AE53" s="60" t="s">
        <v>72</v>
      </c>
      <c r="AF53" s="60" t="s">
        <v>72</v>
      </c>
      <c r="AG53" s="60" t="s">
        <v>72</v>
      </c>
      <c r="AH53" s="60" t="s">
        <v>72</v>
      </c>
      <c r="AI53" s="60" t="s">
        <v>72</v>
      </c>
      <c r="AJ53" s="24"/>
      <c r="AL53" t="str">
        <f t="shared" ca="1" si="0"/>
        <v xml:space="preserve">    (U1)ALERT_REQ_S_ADBZR_DMC_</v>
      </c>
      <c r="AR53" s="61" t="str">
        <f t="shared" si="3"/>
        <v/>
      </c>
      <c r="AS53" s="61" t="str">
        <f t="shared" si="4"/>
        <v/>
      </c>
      <c r="AT53" s="61" t="str">
        <f t="shared" si="1"/>
        <v/>
      </c>
    </row>
    <row r="54" spans="2:46">
      <c r="B54" s="129"/>
      <c r="C54" s="46">
        <f t="shared" si="2"/>
        <v>48</v>
      </c>
      <c r="D54" s="60" t="s">
        <v>72</v>
      </c>
      <c r="E54" s="60" t="s">
        <v>72</v>
      </c>
      <c r="F54" s="60" t="s">
        <v>72</v>
      </c>
      <c r="G54" s="60" t="s">
        <v>72</v>
      </c>
      <c r="H54" s="60" t="s">
        <v>72</v>
      </c>
      <c r="I54" s="60" t="s">
        <v>72</v>
      </c>
      <c r="J54" s="60" t="s">
        <v>72</v>
      </c>
      <c r="K54" s="60" t="s">
        <v>72</v>
      </c>
      <c r="L54" s="60" t="s">
        <v>72</v>
      </c>
      <c r="M54" s="60" t="s">
        <v>72</v>
      </c>
      <c r="N54" s="60" t="s">
        <v>72</v>
      </c>
      <c r="O54" s="60" t="s">
        <v>72</v>
      </c>
      <c r="P54" s="60" t="s">
        <v>72</v>
      </c>
      <c r="Q54" s="60" t="s">
        <v>72</v>
      </c>
      <c r="R54" s="60" t="s">
        <v>72</v>
      </c>
      <c r="S54" s="60" t="s">
        <v>72</v>
      </c>
      <c r="T54" s="60" t="s">
        <v>72</v>
      </c>
      <c r="U54" s="60" t="s">
        <v>72</v>
      </c>
      <c r="V54" s="60" t="s">
        <v>72</v>
      </c>
      <c r="W54" s="60" t="s">
        <v>72</v>
      </c>
      <c r="X54" s="60" t="s">
        <v>72</v>
      </c>
      <c r="Y54" s="60" t="s">
        <v>72</v>
      </c>
      <c r="Z54" s="60" t="s">
        <v>72</v>
      </c>
      <c r="AA54" s="60" t="s">
        <v>72</v>
      </c>
      <c r="AB54" s="60" t="s">
        <v>72</v>
      </c>
      <c r="AC54" s="60" t="s">
        <v>72</v>
      </c>
      <c r="AD54" s="60" t="s">
        <v>72</v>
      </c>
      <c r="AE54" s="60" t="s">
        <v>72</v>
      </c>
      <c r="AF54" s="60" t="s">
        <v>72</v>
      </c>
      <c r="AG54" s="60" t="s">
        <v>72</v>
      </c>
      <c r="AH54" s="60" t="s">
        <v>72</v>
      </c>
      <c r="AI54" s="60" t="s">
        <v>72</v>
      </c>
      <c r="AJ54" s="24"/>
      <c r="AL54" t="str">
        <f t="shared" ca="1" si="0"/>
        <v xml:space="preserve">    (U1)ALERT_REQ_S_ADBZR_DMC_</v>
      </c>
      <c r="AR54" s="61" t="str">
        <f t="shared" si="3"/>
        <v/>
      </c>
      <c r="AS54" s="61" t="str">
        <f t="shared" si="4"/>
        <v/>
      </c>
      <c r="AT54" s="61" t="str">
        <f t="shared" si="1"/>
        <v/>
      </c>
    </row>
    <row r="55" spans="2:46">
      <c r="B55" s="129"/>
      <c r="C55" s="46">
        <f t="shared" si="2"/>
        <v>49</v>
      </c>
      <c r="D55" s="60" t="s">
        <v>72</v>
      </c>
      <c r="E55" s="60" t="s">
        <v>72</v>
      </c>
      <c r="F55" s="60" t="s">
        <v>72</v>
      </c>
      <c r="G55" s="60" t="s">
        <v>72</v>
      </c>
      <c r="H55" s="60" t="s">
        <v>72</v>
      </c>
      <c r="I55" s="60" t="s">
        <v>72</v>
      </c>
      <c r="J55" s="60" t="s">
        <v>72</v>
      </c>
      <c r="K55" s="60" t="s">
        <v>72</v>
      </c>
      <c r="L55" s="60" t="s">
        <v>72</v>
      </c>
      <c r="M55" s="60" t="s">
        <v>72</v>
      </c>
      <c r="N55" s="60" t="s">
        <v>72</v>
      </c>
      <c r="O55" s="60" t="s">
        <v>72</v>
      </c>
      <c r="P55" s="60" t="s">
        <v>72</v>
      </c>
      <c r="Q55" s="60" t="s">
        <v>72</v>
      </c>
      <c r="R55" s="60" t="s">
        <v>72</v>
      </c>
      <c r="S55" s="60" t="s">
        <v>72</v>
      </c>
      <c r="T55" s="60" t="s">
        <v>72</v>
      </c>
      <c r="U55" s="60" t="s">
        <v>72</v>
      </c>
      <c r="V55" s="60" t="s">
        <v>72</v>
      </c>
      <c r="W55" s="60" t="s">
        <v>72</v>
      </c>
      <c r="X55" s="60" t="s">
        <v>72</v>
      </c>
      <c r="Y55" s="60" t="s">
        <v>72</v>
      </c>
      <c r="Z55" s="60" t="s">
        <v>72</v>
      </c>
      <c r="AA55" s="60" t="s">
        <v>72</v>
      </c>
      <c r="AB55" s="60" t="s">
        <v>72</v>
      </c>
      <c r="AC55" s="60" t="s">
        <v>72</v>
      </c>
      <c r="AD55" s="60" t="s">
        <v>72</v>
      </c>
      <c r="AE55" s="60" t="s">
        <v>72</v>
      </c>
      <c r="AF55" s="60" t="s">
        <v>72</v>
      </c>
      <c r="AG55" s="60" t="s">
        <v>72</v>
      </c>
      <c r="AH55" s="60" t="s">
        <v>72</v>
      </c>
      <c r="AI55" s="60" t="s">
        <v>72</v>
      </c>
      <c r="AJ55" s="24"/>
      <c r="AL55" t="str">
        <f t="shared" ca="1" si="0"/>
        <v xml:space="preserve">    (U1)ALERT_REQ_S_ADBZR_DMC_</v>
      </c>
      <c r="AR55" s="61" t="str">
        <f t="shared" si="3"/>
        <v/>
      </c>
      <c r="AS55" s="61" t="str">
        <f t="shared" si="4"/>
        <v/>
      </c>
      <c r="AT55" s="61" t="str">
        <f t="shared" si="1"/>
        <v/>
      </c>
    </row>
    <row r="56" spans="2:46">
      <c r="B56" s="129"/>
      <c r="C56" s="46">
        <f t="shared" si="2"/>
        <v>50</v>
      </c>
      <c r="D56" s="60" t="s">
        <v>72</v>
      </c>
      <c r="E56" s="60" t="s">
        <v>72</v>
      </c>
      <c r="F56" s="60" t="s">
        <v>72</v>
      </c>
      <c r="G56" s="60" t="s">
        <v>72</v>
      </c>
      <c r="H56" s="60" t="s">
        <v>72</v>
      </c>
      <c r="I56" s="60" t="s">
        <v>72</v>
      </c>
      <c r="J56" s="60" t="s">
        <v>72</v>
      </c>
      <c r="K56" s="60" t="s">
        <v>72</v>
      </c>
      <c r="L56" s="60" t="s">
        <v>72</v>
      </c>
      <c r="M56" s="60" t="s">
        <v>72</v>
      </c>
      <c r="N56" s="60" t="s">
        <v>72</v>
      </c>
      <c r="O56" s="60" t="s">
        <v>72</v>
      </c>
      <c r="P56" s="60" t="s">
        <v>72</v>
      </c>
      <c r="Q56" s="60" t="s">
        <v>72</v>
      </c>
      <c r="R56" s="60" t="s">
        <v>72</v>
      </c>
      <c r="S56" s="60" t="s">
        <v>72</v>
      </c>
      <c r="T56" s="60" t="s">
        <v>72</v>
      </c>
      <c r="U56" s="60" t="s">
        <v>72</v>
      </c>
      <c r="V56" s="60" t="s">
        <v>72</v>
      </c>
      <c r="W56" s="60" t="s">
        <v>72</v>
      </c>
      <c r="X56" s="60" t="s">
        <v>72</v>
      </c>
      <c r="Y56" s="60" t="s">
        <v>72</v>
      </c>
      <c r="Z56" s="60" t="s">
        <v>72</v>
      </c>
      <c r="AA56" s="60" t="s">
        <v>72</v>
      </c>
      <c r="AB56" s="60" t="s">
        <v>72</v>
      </c>
      <c r="AC56" s="60" t="s">
        <v>72</v>
      </c>
      <c r="AD56" s="60" t="s">
        <v>72</v>
      </c>
      <c r="AE56" s="60" t="s">
        <v>72</v>
      </c>
      <c r="AF56" s="60" t="s">
        <v>72</v>
      </c>
      <c r="AG56" s="60" t="s">
        <v>72</v>
      </c>
      <c r="AH56" s="60" t="s">
        <v>72</v>
      </c>
      <c r="AI56" s="60" t="s">
        <v>72</v>
      </c>
      <c r="AJ56" s="24"/>
      <c r="AL56" t="str">
        <f t="shared" ca="1" si="0"/>
        <v xml:space="preserve">    (U1)ALERT_REQ_S_ADBZR_DMC_</v>
      </c>
      <c r="AR56" s="61" t="str">
        <f t="shared" si="3"/>
        <v/>
      </c>
      <c r="AS56" s="61" t="str">
        <f t="shared" si="4"/>
        <v/>
      </c>
      <c r="AT56" s="61" t="str">
        <f t="shared" si="1"/>
        <v/>
      </c>
    </row>
    <row r="57" spans="2:46">
      <c r="B57" s="129"/>
      <c r="C57" s="46">
        <f t="shared" si="2"/>
        <v>51</v>
      </c>
      <c r="D57" s="60" t="s">
        <v>72</v>
      </c>
      <c r="E57" s="60" t="s">
        <v>72</v>
      </c>
      <c r="F57" s="60" t="s">
        <v>72</v>
      </c>
      <c r="G57" s="60" t="s">
        <v>72</v>
      </c>
      <c r="H57" s="60" t="s">
        <v>72</v>
      </c>
      <c r="I57" s="60" t="s">
        <v>72</v>
      </c>
      <c r="J57" s="60" t="s">
        <v>72</v>
      </c>
      <c r="K57" s="60" t="s">
        <v>72</v>
      </c>
      <c r="L57" s="60" t="s">
        <v>72</v>
      </c>
      <c r="M57" s="60" t="s">
        <v>72</v>
      </c>
      <c r="N57" s="60" t="s">
        <v>72</v>
      </c>
      <c r="O57" s="60" t="s">
        <v>72</v>
      </c>
      <c r="P57" s="60" t="s">
        <v>72</v>
      </c>
      <c r="Q57" s="60" t="s">
        <v>72</v>
      </c>
      <c r="R57" s="60" t="s">
        <v>72</v>
      </c>
      <c r="S57" s="60" t="s">
        <v>72</v>
      </c>
      <c r="T57" s="60" t="s">
        <v>72</v>
      </c>
      <c r="U57" s="60" t="s">
        <v>72</v>
      </c>
      <c r="V57" s="60" t="s">
        <v>72</v>
      </c>
      <c r="W57" s="60" t="s">
        <v>72</v>
      </c>
      <c r="X57" s="60" t="s">
        <v>72</v>
      </c>
      <c r="Y57" s="60" t="s">
        <v>72</v>
      </c>
      <c r="Z57" s="60" t="s">
        <v>72</v>
      </c>
      <c r="AA57" s="60" t="s">
        <v>72</v>
      </c>
      <c r="AB57" s="60" t="s">
        <v>72</v>
      </c>
      <c r="AC57" s="60" t="s">
        <v>72</v>
      </c>
      <c r="AD57" s="60" t="s">
        <v>72</v>
      </c>
      <c r="AE57" s="60" t="s">
        <v>72</v>
      </c>
      <c r="AF57" s="60" t="s">
        <v>72</v>
      </c>
      <c r="AG57" s="60" t="s">
        <v>72</v>
      </c>
      <c r="AH57" s="60" t="s">
        <v>72</v>
      </c>
      <c r="AI57" s="60" t="s">
        <v>72</v>
      </c>
      <c r="AJ57" s="24"/>
      <c r="AL57" t="str">
        <f t="shared" ca="1" si="0"/>
        <v xml:space="preserve">    (U1)ALERT_REQ_S_ADBZR_DMC_</v>
      </c>
      <c r="AR57" s="61" t="str">
        <f t="shared" si="3"/>
        <v/>
      </c>
      <c r="AS57" s="61" t="str">
        <f t="shared" si="4"/>
        <v/>
      </c>
      <c r="AT57" s="61" t="str">
        <f t="shared" si="1"/>
        <v/>
      </c>
    </row>
    <row r="58" spans="2:46">
      <c r="B58" s="129"/>
      <c r="C58" s="46">
        <f t="shared" si="2"/>
        <v>52</v>
      </c>
      <c r="D58" s="60" t="s">
        <v>72</v>
      </c>
      <c r="E58" s="60" t="s">
        <v>72</v>
      </c>
      <c r="F58" s="60" t="s">
        <v>72</v>
      </c>
      <c r="G58" s="60" t="s">
        <v>72</v>
      </c>
      <c r="H58" s="60" t="s">
        <v>72</v>
      </c>
      <c r="I58" s="60" t="s">
        <v>72</v>
      </c>
      <c r="J58" s="60" t="s">
        <v>72</v>
      </c>
      <c r="K58" s="60" t="s">
        <v>72</v>
      </c>
      <c r="L58" s="60" t="s">
        <v>72</v>
      </c>
      <c r="M58" s="60" t="s">
        <v>72</v>
      </c>
      <c r="N58" s="60" t="s">
        <v>72</v>
      </c>
      <c r="O58" s="60" t="s">
        <v>72</v>
      </c>
      <c r="P58" s="60" t="s">
        <v>72</v>
      </c>
      <c r="Q58" s="60" t="s">
        <v>72</v>
      </c>
      <c r="R58" s="60" t="s">
        <v>72</v>
      </c>
      <c r="S58" s="60" t="s">
        <v>72</v>
      </c>
      <c r="T58" s="60" t="s">
        <v>72</v>
      </c>
      <c r="U58" s="60" t="s">
        <v>72</v>
      </c>
      <c r="V58" s="60" t="s">
        <v>72</v>
      </c>
      <c r="W58" s="60" t="s">
        <v>72</v>
      </c>
      <c r="X58" s="60" t="s">
        <v>72</v>
      </c>
      <c r="Y58" s="60" t="s">
        <v>72</v>
      </c>
      <c r="Z58" s="60" t="s">
        <v>72</v>
      </c>
      <c r="AA58" s="60" t="s">
        <v>72</v>
      </c>
      <c r="AB58" s="60" t="s">
        <v>72</v>
      </c>
      <c r="AC58" s="60" t="s">
        <v>72</v>
      </c>
      <c r="AD58" s="60" t="s">
        <v>72</v>
      </c>
      <c r="AE58" s="60" t="s">
        <v>72</v>
      </c>
      <c r="AF58" s="60" t="s">
        <v>72</v>
      </c>
      <c r="AG58" s="60" t="s">
        <v>72</v>
      </c>
      <c r="AH58" s="60" t="s">
        <v>72</v>
      </c>
      <c r="AI58" s="60" t="s">
        <v>72</v>
      </c>
      <c r="AJ58" s="24"/>
      <c r="AL58" t="str">
        <f t="shared" ca="1" si="0"/>
        <v xml:space="preserve">    (U1)ALERT_REQ_S_ADBZR_DMC_</v>
      </c>
      <c r="AR58" s="61" t="str">
        <f t="shared" si="3"/>
        <v/>
      </c>
      <c r="AS58" s="61" t="str">
        <f t="shared" si="4"/>
        <v/>
      </c>
      <c r="AT58" s="61" t="str">
        <f t="shared" si="1"/>
        <v/>
      </c>
    </row>
    <row r="59" spans="2:46">
      <c r="B59" s="129"/>
      <c r="C59" s="46">
        <f t="shared" si="2"/>
        <v>53</v>
      </c>
      <c r="D59" s="60" t="s">
        <v>72</v>
      </c>
      <c r="E59" s="60" t="s">
        <v>72</v>
      </c>
      <c r="F59" s="60" t="s">
        <v>72</v>
      </c>
      <c r="G59" s="60" t="s">
        <v>72</v>
      </c>
      <c r="H59" s="60" t="s">
        <v>72</v>
      </c>
      <c r="I59" s="60" t="s">
        <v>72</v>
      </c>
      <c r="J59" s="60" t="s">
        <v>72</v>
      </c>
      <c r="K59" s="60" t="s">
        <v>72</v>
      </c>
      <c r="L59" s="60" t="s">
        <v>72</v>
      </c>
      <c r="M59" s="60" t="s">
        <v>72</v>
      </c>
      <c r="N59" s="60" t="s">
        <v>72</v>
      </c>
      <c r="O59" s="60" t="s">
        <v>72</v>
      </c>
      <c r="P59" s="60" t="s">
        <v>72</v>
      </c>
      <c r="Q59" s="60" t="s">
        <v>72</v>
      </c>
      <c r="R59" s="60" t="s">
        <v>72</v>
      </c>
      <c r="S59" s="60" t="s">
        <v>72</v>
      </c>
      <c r="T59" s="60" t="s">
        <v>72</v>
      </c>
      <c r="U59" s="60" t="s">
        <v>72</v>
      </c>
      <c r="V59" s="60" t="s">
        <v>72</v>
      </c>
      <c r="W59" s="60" t="s">
        <v>72</v>
      </c>
      <c r="X59" s="60" t="s">
        <v>72</v>
      </c>
      <c r="Y59" s="60" t="s">
        <v>72</v>
      </c>
      <c r="Z59" s="60" t="s">
        <v>72</v>
      </c>
      <c r="AA59" s="60" t="s">
        <v>72</v>
      </c>
      <c r="AB59" s="60" t="s">
        <v>72</v>
      </c>
      <c r="AC59" s="60" t="s">
        <v>72</v>
      </c>
      <c r="AD59" s="60" t="s">
        <v>72</v>
      </c>
      <c r="AE59" s="60" t="s">
        <v>72</v>
      </c>
      <c r="AF59" s="60" t="s">
        <v>72</v>
      </c>
      <c r="AG59" s="60" t="s">
        <v>72</v>
      </c>
      <c r="AH59" s="60" t="s">
        <v>72</v>
      </c>
      <c r="AI59" s="60" t="s">
        <v>72</v>
      </c>
      <c r="AJ59" s="24"/>
      <c r="AL59" t="str">
        <f t="shared" ca="1" si="0"/>
        <v xml:space="preserve">    (U1)ALERT_REQ_S_ADBZR_DMC_</v>
      </c>
      <c r="AR59" s="61" t="str">
        <f t="shared" si="3"/>
        <v/>
      </c>
      <c r="AS59" s="61" t="str">
        <f t="shared" si="4"/>
        <v/>
      </c>
      <c r="AT59" s="61" t="str">
        <f t="shared" si="1"/>
        <v/>
      </c>
    </row>
    <row r="60" spans="2:46">
      <c r="B60" s="129"/>
      <c r="C60" s="46">
        <f t="shared" si="2"/>
        <v>54</v>
      </c>
      <c r="D60" s="60" t="s">
        <v>72</v>
      </c>
      <c r="E60" s="60" t="s">
        <v>72</v>
      </c>
      <c r="F60" s="60" t="s">
        <v>72</v>
      </c>
      <c r="G60" s="60" t="s">
        <v>72</v>
      </c>
      <c r="H60" s="60" t="s">
        <v>72</v>
      </c>
      <c r="I60" s="60" t="s">
        <v>72</v>
      </c>
      <c r="J60" s="60" t="s">
        <v>72</v>
      </c>
      <c r="K60" s="60" t="s">
        <v>72</v>
      </c>
      <c r="L60" s="60" t="s">
        <v>72</v>
      </c>
      <c r="M60" s="60" t="s">
        <v>72</v>
      </c>
      <c r="N60" s="60" t="s">
        <v>72</v>
      </c>
      <c r="O60" s="60" t="s">
        <v>72</v>
      </c>
      <c r="P60" s="60" t="s">
        <v>72</v>
      </c>
      <c r="Q60" s="60" t="s">
        <v>72</v>
      </c>
      <c r="R60" s="60" t="s">
        <v>72</v>
      </c>
      <c r="S60" s="60" t="s">
        <v>72</v>
      </c>
      <c r="T60" s="60" t="s">
        <v>72</v>
      </c>
      <c r="U60" s="60" t="s">
        <v>72</v>
      </c>
      <c r="V60" s="60" t="s">
        <v>72</v>
      </c>
      <c r="W60" s="60" t="s">
        <v>72</v>
      </c>
      <c r="X60" s="60" t="s">
        <v>72</v>
      </c>
      <c r="Y60" s="60" t="s">
        <v>72</v>
      </c>
      <c r="Z60" s="60" t="s">
        <v>72</v>
      </c>
      <c r="AA60" s="60" t="s">
        <v>72</v>
      </c>
      <c r="AB60" s="60" t="s">
        <v>72</v>
      </c>
      <c r="AC60" s="60" t="s">
        <v>72</v>
      </c>
      <c r="AD60" s="60" t="s">
        <v>72</v>
      </c>
      <c r="AE60" s="60" t="s">
        <v>72</v>
      </c>
      <c r="AF60" s="60" t="s">
        <v>72</v>
      </c>
      <c r="AG60" s="60" t="s">
        <v>72</v>
      </c>
      <c r="AH60" s="60" t="s">
        <v>72</v>
      </c>
      <c r="AI60" s="60" t="s">
        <v>72</v>
      </c>
      <c r="AJ60" s="24"/>
      <c r="AL60" t="str">
        <f t="shared" ca="1" si="0"/>
        <v xml:space="preserve">    (U1)ALERT_REQ_S_ADBZR_DMC_</v>
      </c>
      <c r="AR60" s="61" t="str">
        <f t="shared" si="3"/>
        <v/>
      </c>
      <c r="AS60" s="61" t="str">
        <f t="shared" si="4"/>
        <v/>
      </c>
      <c r="AT60" s="61" t="str">
        <f t="shared" si="1"/>
        <v/>
      </c>
    </row>
    <row r="61" spans="2:46">
      <c r="B61" s="129"/>
      <c r="C61" s="46">
        <f t="shared" si="2"/>
        <v>55</v>
      </c>
      <c r="D61" s="60" t="s">
        <v>72</v>
      </c>
      <c r="E61" s="60" t="s">
        <v>72</v>
      </c>
      <c r="F61" s="60" t="s">
        <v>72</v>
      </c>
      <c r="G61" s="60" t="s">
        <v>72</v>
      </c>
      <c r="H61" s="60" t="s">
        <v>72</v>
      </c>
      <c r="I61" s="60" t="s">
        <v>72</v>
      </c>
      <c r="J61" s="60" t="s">
        <v>72</v>
      </c>
      <c r="K61" s="60" t="s">
        <v>72</v>
      </c>
      <c r="L61" s="60" t="s">
        <v>72</v>
      </c>
      <c r="M61" s="60" t="s">
        <v>72</v>
      </c>
      <c r="N61" s="60" t="s">
        <v>72</v>
      </c>
      <c r="O61" s="60" t="s">
        <v>72</v>
      </c>
      <c r="P61" s="60" t="s">
        <v>72</v>
      </c>
      <c r="Q61" s="60" t="s">
        <v>72</v>
      </c>
      <c r="R61" s="60" t="s">
        <v>72</v>
      </c>
      <c r="S61" s="60" t="s">
        <v>72</v>
      </c>
      <c r="T61" s="60" t="s">
        <v>72</v>
      </c>
      <c r="U61" s="60" t="s">
        <v>72</v>
      </c>
      <c r="V61" s="60" t="s">
        <v>72</v>
      </c>
      <c r="W61" s="60" t="s">
        <v>72</v>
      </c>
      <c r="X61" s="60" t="s">
        <v>72</v>
      </c>
      <c r="Y61" s="60" t="s">
        <v>72</v>
      </c>
      <c r="Z61" s="60" t="s">
        <v>72</v>
      </c>
      <c r="AA61" s="60" t="s">
        <v>72</v>
      </c>
      <c r="AB61" s="60" t="s">
        <v>72</v>
      </c>
      <c r="AC61" s="60" t="s">
        <v>72</v>
      </c>
      <c r="AD61" s="60" t="s">
        <v>72</v>
      </c>
      <c r="AE61" s="60" t="s">
        <v>72</v>
      </c>
      <c r="AF61" s="60" t="s">
        <v>72</v>
      </c>
      <c r="AG61" s="60" t="s">
        <v>72</v>
      </c>
      <c r="AH61" s="60" t="s">
        <v>72</v>
      </c>
      <c r="AI61" s="60" t="s">
        <v>72</v>
      </c>
      <c r="AJ61" s="24"/>
      <c r="AL61" t="str">
        <f t="shared" ca="1" si="0"/>
        <v xml:space="preserve">    (U1)ALERT_REQ_S_ADBZR_DMC_</v>
      </c>
      <c r="AR61" s="61" t="str">
        <f t="shared" si="3"/>
        <v/>
      </c>
      <c r="AS61" s="61" t="str">
        <f t="shared" si="4"/>
        <v/>
      </c>
      <c r="AT61" s="61" t="str">
        <f t="shared" si="1"/>
        <v/>
      </c>
    </row>
    <row r="62" spans="2:46">
      <c r="B62" s="129"/>
      <c r="C62" s="46">
        <f t="shared" si="2"/>
        <v>56</v>
      </c>
      <c r="D62" s="60" t="s">
        <v>72</v>
      </c>
      <c r="E62" s="60" t="s">
        <v>72</v>
      </c>
      <c r="F62" s="60" t="s">
        <v>72</v>
      </c>
      <c r="G62" s="60" t="s">
        <v>72</v>
      </c>
      <c r="H62" s="60" t="s">
        <v>72</v>
      </c>
      <c r="I62" s="60" t="s">
        <v>72</v>
      </c>
      <c r="J62" s="60" t="s">
        <v>72</v>
      </c>
      <c r="K62" s="60" t="s">
        <v>72</v>
      </c>
      <c r="L62" s="60" t="s">
        <v>72</v>
      </c>
      <c r="M62" s="60" t="s">
        <v>72</v>
      </c>
      <c r="N62" s="60" t="s">
        <v>72</v>
      </c>
      <c r="O62" s="60" t="s">
        <v>72</v>
      </c>
      <c r="P62" s="60" t="s">
        <v>72</v>
      </c>
      <c r="Q62" s="60" t="s">
        <v>72</v>
      </c>
      <c r="R62" s="60" t="s">
        <v>72</v>
      </c>
      <c r="S62" s="60" t="s">
        <v>72</v>
      </c>
      <c r="T62" s="60" t="s">
        <v>72</v>
      </c>
      <c r="U62" s="60" t="s">
        <v>72</v>
      </c>
      <c r="V62" s="60" t="s">
        <v>72</v>
      </c>
      <c r="W62" s="60" t="s">
        <v>72</v>
      </c>
      <c r="X62" s="60" t="s">
        <v>72</v>
      </c>
      <c r="Y62" s="60" t="s">
        <v>72</v>
      </c>
      <c r="Z62" s="60" t="s">
        <v>72</v>
      </c>
      <c r="AA62" s="60" t="s">
        <v>72</v>
      </c>
      <c r="AB62" s="60" t="s">
        <v>72</v>
      </c>
      <c r="AC62" s="60" t="s">
        <v>72</v>
      </c>
      <c r="AD62" s="60" t="s">
        <v>72</v>
      </c>
      <c r="AE62" s="60" t="s">
        <v>72</v>
      </c>
      <c r="AF62" s="60" t="s">
        <v>72</v>
      </c>
      <c r="AG62" s="60" t="s">
        <v>72</v>
      </c>
      <c r="AH62" s="60" t="s">
        <v>72</v>
      </c>
      <c r="AI62" s="60" t="s">
        <v>72</v>
      </c>
      <c r="AJ62" s="24"/>
      <c r="AL62" t="str">
        <f t="shared" ca="1" si="0"/>
        <v xml:space="preserve">    (U1)ALERT_REQ_S_ADBZR_DMC_</v>
      </c>
      <c r="AR62" s="61" t="str">
        <f t="shared" si="3"/>
        <v/>
      </c>
      <c r="AS62" s="61" t="str">
        <f t="shared" si="4"/>
        <v/>
      </c>
      <c r="AT62" s="61" t="str">
        <f t="shared" si="1"/>
        <v/>
      </c>
    </row>
    <row r="63" spans="2:46">
      <c r="B63" s="129"/>
      <c r="C63" s="46">
        <f t="shared" si="2"/>
        <v>57</v>
      </c>
      <c r="D63" s="60" t="s">
        <v>72</v>
      </c>
      <c r="E63" s="60" t="s">
        <v>72</v>
      </c>
      <c r="F63" s="60" t="s">
        <v>72</v>
      </c>
      <c r="G63" s="60" t="s">
        <v>72</v>
      </c>
      <c r="H63" s="60" t="s">
        <v>72</v>
      </c>
      <c r="I63" s="60" t="s">
        <v>72</v>
      </c>
      <c r="J63" s="60" t="s">
        <v>72</v>
      </c>
      <c r="K63" s="60" t="s">
        <v>72</v>
      </c>
      <c r="L63" s="60" t="s">
        <v>72</v>
      </c>
      <c r="M63" s="60" t="s">
        <v>72</v>
      </c>
      <c r="N63" s="60" t="s">
        <v>72</v>
      </c>
      <c r="O63" s="60" t="s">
        <v>72</v>
      </c>
      <c r="P63" s="60" t="s">
        <v>72</v>
      </c>
      <c r="Q63" s="60" t="s">
        <v>72</v>
      </c>
      <c r="R63" s="60" t="s">
        <v>72</v>
      </c>
      <c r="S63" s="60" t="s">
        <v>72</v>
      </c>
      <c r="T63" s="60" t="s">
        <v>72</v>
      </c>
      <c r="U63" s="60" t="s">
        <v>72</v>
      </c>
      <c r="V63" s="60" t="s">
        <v>72</v>
      </c>
      <c r="W63" s="60" t="s">
        <v>72</v>
      </c>
      <c r="X63" s="60" t="s">
        <v>72</v>
      </c>
      <c r="Y63" s="60" t="s">
        <v>72</v>
      </c>
      <c r="Z63" s="60" t="s">
        <v>72</v>
      </c>
      <c r="AA63" s="60" t="s">
        <v>72</v>
      </c>
      <c r="AB63" s="60" t="s">
        <v>72</v>
      </c>
      <c r="AC63" s="60" t="s">
        <v>72</v>
      </c>
      <c r="AD63" s="60" t="s">
        <v>72</v>
      </c>
      <c r="AE63" s="60" t="s">
        <v>72</v>
      </c>
      <c r="AF63" s="60" t="s">
        <v>72</v>
      </c>
      <c r="AG63" s="60" t="s">
        <v>72</v>
      </c>
      <c r="AH63" s="60" t="s">
        <v>72</v>
      </c>
      <c r="AI63" s="60" t="s">
        <v>72</v>
      </c>
      <c r="AJ63" s="24"/>
      <c r="AL63" t="str">
        <f t="shared" ca="1" si="0"/>
        <v xml:space="preserve">    (U1)ALERT_REQ_S_ADBZR_DMC_</v>
      </c>
      <c r="AR63" s="61" t="str">
        <f t="shared" si="3"/>
        <v/>
      </c>
      <c r="AS63" s="61" t="str">
        <f t="shared" si="4"/>
        <v/>
      </c>
      <c r="AT63" s="61" t="str">
        <f t="shared" si="1"/>
        <v/>
      </c>
    </row>
    <row r="64" spans="2:46">
      <c r="B64" s="129"/>
      <c r="C64" s="46">
        <f t="shared" si="2"/>
        <v>58</v>
      </c>
      <c r="D64" s="60" t="s">
        <v>72</v>
      </c>
      <c r="E64" s="60" t="s">
        <v>72</v>
      </c>
      <c r="F64" s="60" t="s">
        <v>72</v>
      </c>
      <c r="G64" s="60" t="s">
        <v>72</v>
      </c>
      <c r="H64" s="60" t="s">
        <v>72</v>
      </c>
      <c r="I64" s="60" t="s">
        <v>72</v>
      </c>
      <c r="J64" s="60" t="s">
        <v>72</v>
      </c>
      <c r="K64" s="60" t="s">
        <v>72</v>
      </c>
      <c r="L64" s="60" t="s">
        <v>72</v>
      </c>
      <c r="M64" s="60" t="s">
        <v>72</v>
      </c>
      <c r="N64" s="60" t="s">
        <v>72</v>
      </c>
      <c r="O64" s="60" t="s">
        <v>72</v>
      </c>
      <c r="P64" s="60" t="s">
        <v>72</v>
      </c>
      <c r="Q64" s="60" t="s">
        <v>72</v>
      </c>
      <c r="R64" s="60" t="s">
        <v>72</v>
      </c>
      <c r="S64" s="60" t="s">
        <v>72</v>
      </c>
      <c r="T64" s="60" t="s">
        <v>72</v>
      </c>
      <c r="U64" s="60" t="s">
        <v>72</v>
      </c>
      <c r="V64" s="60" t="s">
        <v>72</v>
      </c>
      <c r="W64" s="60" t="s">
        <v>72</v>
      </c>
      <c r="X64" s="60" t="s">
        <v>72</v>
      </c>
      <c r="Y64" s="60" t="s">
        <v>72</v>
      </c>
      <c r="Z64" s="60" t="s">
        <v>72</v>
      </c>
      <c r="AA64" s="60" t="s">
        <v>72</v>
      </c>
      <c r="AB64" s="60" t="s">
        <v>72</v>
      </c>
      <c r="AC64" s="60" t="s">
        <v>72</v>
      </c>
      <c r="AD64" s="60" t="s">
        <v>72</v>
      </c>
      <c r="AE64" s="60" t="s">
        <v>72</v>
      </c>
      <c r="AF64" s="60" t="s">
        <v>72</v>
      </c>
      <c r="AG64" s="60" t="s">
        <v>72</v>
      </c>
      <c r="AH64" s="60" t="s">
        <v>72</v>
      </c>
      <c r="AI64" s="60" t="s">
        <v>72</v>
      </c>
      <c r="AJ64" s="24"/>
      <c r="AL64" t="str">
        <f t="shared" ca="1" si="0"/>
        <v xml:space="preserve">    (U1)ALERT_REQ_S_ADBZR_DMC_</v>
      </c>
      <c r="AR64" s="61" t="str">
        <f t="shared" si="3"/>
        <v/>
      </c>
      <c r="AS64" s="61" t="str">
        <f t="shared" si="4"/>
        <v/>
      </c>
      <c r="AT64" s="61" t="str">
        <f t="shared" si="1"/>
        <v/>
      </c>
    </row>
    <row r="65" spans="1:46">
      <c r="B65" s="129"/>
      <c r="C65" s="46">
        <f t="shared" si="2"/>
        <v>59</v>
      </c>
      <c r="D65" s="60" t="s">
        <v>72</v>
      </c>
      <c r="E65" s="60" t="s">
        <v>72</v>
      </c>
      <c r="F65" s="60" t="s">
        <v>72</v>
      </c>
      <c r="G65" s="60" t="s">
        <v>72</v>
      </c>
      <c r="H65" s="60" t="s">
        <v>72</v>
      </c>
      <c r="I65" s="60" t="s">
        <v>72</v>
      </c>
      <c r="J65" s="60" t="s">
        <v>72</v>
      </c>
      <c r="K65" s="60" t="s">
        <v>72</v>
      </c>
      <c r="L65" s="60" t="s">
        <v>72</v>
      </c>
      <c r="M65" s="60" t="s">
        <v>72</v>
      </c>
      <c r="N65" s="60" t="s">
        <v>72</v>
      </c>
      <c r="O65" s="60" t="s">
        <v>72</v>
      </c>
      <c r="P65" s="60" t="s">
        <v>72</v>
      </c>
      <c r="Q65" s="60" t="s">
        <v>72</v>
      </c>
      <c r="R65" s="60" t="s">
        <v>72</v>
      </c>
      <c r="S65" s="60" t="s">
        <v>72</v>
      </c>
      <c r="T65" s="60" t="s">
        <v>72</v>
      </c>
      <c r="U65" s="60" t="s">
        <v>72</v>
      </c>
      <c r="V65" s="60" t="s">
        <v>72</v>
      </c>
      <c r="W65" s="60" t="s">
        <v>72</v>
      </c>
      <c r="X65" s="60" t="s">
        <v>72</v>
      </c>
      <c r="Y65" s="60" t="s">
        <v>72</v>
      </c>
      <c r="Z65" s="60" t="s">
        <v>72</v>
      </c>
      <c r="AA65" s="60" t="s">
        <v>72</v>
      </c>
      <c r="AB65" s="60" t="s">
        <v>72</v>
      </c>
      <c r="AC65" s="60" t="s">
        <v>72</v>
      </c>
      <c r="AD65" s="60" t="s">
        <v>72</v>
      </c>
      <c r="AE65" s="60" t="s">
        <v>72</v>
      </c>
      <c r="AF65" s="60" t="s">
        <v>72</v>
      </c>
      <c r="AG65" s="60" t="s">
        <v>72</v>
      </c>
      <c r="AH65" s="60" t="s">
        <v>72</v>
      </c>
      <c r="AI65" s="60" t="s">
        <v>72</v>
      </c>
      <c r="AJ65" s="24"/>
      <c r="AL65" t="str">
        <f t="shared" ca="1" si="0"/>
        <v xml:space="preserve">    (U1)ALERT_REQ_S_ADBZR_DMC_</v>
      </c>
      <c r="AR65" s="61" t="str">
        <f t="shared" si="3"/>
        <v/>
      </c>
      <c r="AS65" s="61" t="str">
        <f t="shared" si="4"/>
        <v/>
      </c>
      <c r="AT65" s="61" t="str">
        <f t="shared" si="1"/>
        <v/>
      </c>
    </row>
    <row r="66" spans="1:46">
      <c r="B66" s="129"/>
      <c r="C66" s="46">
        <f t="shared" si="2"/>
        <v>60</v>
      </c>
      <c r="D66" s="60" t="s">
        <v>72</v>
      </c>
      <c r="E66" s="60" t="s">
        <v>72</v>
      </c>
      <c r="F66" s="60" t="s">
        <v>72</v>
      </c>
      <c r="G66" s="60" t="s">
        <v>72</v>
      </c>
      <c r="H66" s="60" t="s">
        <v>72</v>
      </c>
      <c r="I66" s="60" t="s">
        <v>72</v>
      </c>
      <c r="J66" s="60" t="s">
        <v>72</v>
      </c>
      <c r="K66" s="60" t="s">
        <v>72</v>
      </c>
      <c r="L66" s="60" t="s">
        <v>72</v>
      </c>
      <c r="M66" s="60" t="s">
        <v>72</v>
      </c>
      <c r="N66" s="60" t="s">
        <v>72</v>
      </c>
      <c r="O66" s="60" t="s">
        <v>72</v>
      </c>
      <c r="P66" s="60" t="s">
        <v>72</v>
      </c>
      <c r="Q66" s="60" t="s">
        <v>72</v>
      </c>
      <c r="R66" s="60" t="s">
        <v>72</v>
      </c>
      <c r="S66" s="60" t="s">
        <v>72</v>
      </c>
      <c r="T66" s="60" t="s">
        <v>72</v>
      </c>
      <c r="U66" s="60" t="s">
        <v>72</v>
      </c>
      <c r="V66" s="60" t="s">
        <v>72</v>
      </c>
      <c r="W66" s="60" t="s">
        <v>72</v>
      </c>
      <c r="X66" s="60" t="s">
        <v>72</v>
      </c>
      <c r="Y66" s="60" t="s">
        <v>72</v>
      </c>
      <c r="Z66" s="60" t="s">
        <v>72</v>
      </c>
      <c r="AA66" s="60" t="s">
        <v>72</v>
      </c>
      <c r="AB66" s="60" t="s">
        <v>72</v>
      </c>
      <c r="AC66" s="60" t="s">
        <v>72</v>
      </c>
      <c r="AD66" s="60" t="s">
        <v>72</v>
      </c>
      <c r="AE66" s="60" t="s">
        <v>72</v>
      </c>
      <c r="AF66" s="60" t="s">
        <v>72</v>
      </c>
      <c r="AG66" s="60" t="s">
        <v>72</v>
      </c>
      <c r="AH66" s="60" t="s">
        <v>72</v>
      </c>
      <c r="AI66" s="60" t="s">
        <v>72</v>
      </c>
      <c r="AJ66" s="24"/>
      <c r="AL66" t="str">
        <f t="shared" ca="1" si="0"/>
        <v xml:space="preserve">    (U1)ALERT_REQ_S_ADBZR_DMC_</v>
      </c>
      <c r="AR66" s="61" t="str">
        <f t="shared" si="3"/>
        <v/>
      </c>
      <c r="AS66" s="61" t="str">
        <f t="shared" si="4"/>
        <v/>
      </c>
      <c r="AT66" s="61" t="str">
        <f t="shared" si="1"/>
        <v/>
      </c>
    </row>
    <row r="67" spans="1:46">
      <c r="B67" s="129"/>
      <c r="C67" s="46">
        <f t="shared" si="2"/>
        <v>61</v>
      </c>
      <c r="D67" s="60" t="s">
        <v>72</v>
      </c>
      <c r="E67" s="60" t="s">
        <v>72</v>
      </c>
      <c r="F67" s="60" t="s">
        <v>72</v>
      </c>
      <c r="G67" s="60" t="s">
        <v>72</v>
      </c>
      <c r="H67" s="60" t="s">
        <v>72</v>
      </c>
      <c r="I67" s="60" t="s">
        <v>72</v>
      </c>
      <c r="J67" s="60" t="s">
        <v>72</v>
      </c>
      <c r="K67" s="60" t="s">
        <v>72</v>
      </c>
      <c r="L67" s="60" t="s">
        <v>72</v>
      </c>
      <c r="M67" s="60" t="s">
        <v>72</v>
      </c>
      <c r="N67" s="60" t="s">
        <v>72</v>
      </c>
      <c r="O67" s="60" t="s">
        <v>72</v>
      </c>
      <c r="P67" s="60" t="s">
        <v>72</v>
      </c>
      <c r="Q67" s="60" t="s">
        <v>72</v>
      </c>
      <c r="R67" s="60" t="s">
        <v>72</v>
      </c>
      <c r="S67" s="60" t="s">
        <v>72</v>
      </c>
      <c r="T67" s="60" t="s">
        <v>72</v>
      </c>
      <c r="U67" s="60" t="s">
        <v>72</v>
      </c>
      <c r="V67" s="60" t="s">
        <v>72</v>
      </c>
      <c r="W67" s="60" t="s">
        <v>72</v>
      </c>
      <c r="X67" s="60" t="s">
        <v>72</v>
      </c>
      <c r="Y67" s="60" t="s">
        <v>72</v>
      </c>
      <c r="Z67" s="60" t="s">
        <v>72</v>
      </c>
      <c r="AA67" s="60" t="s">
        <v>72</v>
      </c>
      <c r="AB67" s="60" t="s">
        <v>72</v>
      </c>
      <c r="AC67" s="60" t="s">
        <v>72</v>
      </c>
      <c r="AD67" s="60" t="s">
        <v>72</v>
      </c>
      <c r="AE67" s="60" t="s">
        <v>72</v>
      </c>
      <c r="AF67" s="60" t="s">
        <v>72</v>
      </c>
      <c r="AG67" s="60" t="s">
        <v>72</v>
      </c>
      <c r="AH67" s="60" t="s">
        <v>72</v>
      </c>
      <c r="AI67" s="60" t="s">
        <v>72</v>
      </c>
      <c r="AJ67" s="24"/>
      <c r="AL67" t="str">
        <f t="shared" ca="1" si="0"/>
        <v xml:space="preserve">    (U1)ALERT_REQ_S_ADBZR_DMC_</v>
      </c>
      <c r="AR67" s="61" t="str">
        <f t="shared" si="3"/>
        <v/>
      </c>
      <c r="AS67" s="61" t="str">
        <f t="shared" si="4"/>
        <v/>
      </c>
      <c r="AT67" s="61" t="str">
        <f t="shared" si="1"/>
        <v/>
      </c>
    </row>
    <row r="68" spans="1:46">
      <c r="B68" s="129"/>
      <c r="C68" s="46">
        <f t="shared" si="2"/>
        <v>62</v>
      </c>
      <c r="D68" s="60" t="s">
        <v>72</v>
      </c>
      <c r="E68" s="60" t="s">
        <v>72</v>
      </c>
      <c r="F68" s="60" t="s">
        <v>72</v>
      </c>
      <c r="G68" s="60" t="s">
        <v>72</v>
      </c>
      <c r="H68" s="60" t="s">
        <v>72</v>
      </c>
      <c r="I68" s="60" t="s">
        <v>72</v>
      </c>
      <c r="J68" s="60" t="s">
        <v>72</v>
      </c>
      <c r="K68" s="60" t="s">
        <v>72</v>
      </c>
      <c r="L68" s="60" t="s">
        <v>72</v>
      </c>
      <c r="M68" s="60" t="s">
        <v>72</v>
      </c>
      <c r="N68" s="60" t="s">
        <v>72</v>
      </c>
      <c r="O68" s="60" t="s">
        <v>72</v>
      </c>
      <c r="P68" s="60" t="s">
        <v>72</v>
      </c>
      <c r="Q68" s="60" t="s">
        <v>72</v>
      </c>
      <c r="R68" s="60" t="s">
        <v>72</v>
      </c>
      <c r="S68" s="60" t="s">
        <v>72</v>
      </c>
      <c r="T68" s="60" t="s">
        <v>72</v>
      </c>
      <c r="U68" s="60" t="s">
        <v>72</v>
      </c>
      <c r="V68" s="60" t="s">
        <v>72</v>
      </c>
      <c r="W68" s="60" t="s">
        <v>72</v>
      </c>
      <c r="X68" s="60" t="s">
        <v>72</v>
      </c>
      <c r="Y68" s="60" t="s">
        <v>72</v>
      </c>
      <c r="Z68" s="60" t="s">
        <v>72</v>
      </c>
      <c r="AA68" s="60" t="s">
        <v>72</v>
      </c>
      <c r="AB68" s="60" t="s">
        <v>72</v>
      </c>
      <c r="AC68" s="60" t="s">
        <v>72</v>
      </c>
      <c r="AD68" s="60" t="s">
        <v>72</v>
      </c>
      <c r="AE68" s="60" t="s">
        <v>72</v>
      </c>
      <c r="AF68" s="60" t="s">
        <v>72</v>
      </c>
      <c r="AG68" s="60" t="s">
        <v>72</v>
      </c>
      <c r="AH68" s="60" t="s">
        <v>72</v>
      </c>
      <c r="AI68" s="60" t="s">
        <v>72</v>
      </c>
      <c r="AJ68" s="24"/>
      <c r="AL68" t="str">
        <f t="shared" ca="1" si="0"/>
        <v xml:space="preserve">    (U1)ALERT_REQ_S_ADBZR_DMC_</v>
      </c>
      <c r="AR68" s="61" t="str">
        <f t="shared" si="3"/>
        <v/>
      </c>
      <c r="AS68" s="61" t="str">
        <f t="shared" si="4"/>
        <v/>
      </c>
      <c r="AT68" s="61" t="str">
        <f t="shared" si="1"/>
        <v/>
      </c>
    </row>
    <row r="69" spans="1:46">
      <c r="B69" s="130"/>
      <c r="C69" s="46">
        <f t="shared" si="2"/>
        <v>63</v>
      </c>
      <c r="D69" s="60" t="s">
        <v>72</v>
      </c>
      <c r="E69" s="60" t="s">
        <v>72</v>
      </c>
      <c r="F69" s="60" t="s">
        <v>72</v>
      </c>
      <c r="G69" s="60" t="s">
        <v>72</v>
      </c>
      <c r="H69" s="60" t="s">
        <v>72</v>
      </c>
      <c r="I69" s="60" t="s">
        <v>72</v>
      </c>
      <c r="J69" s="60" t="s">
        <v>72</v>
      </c>
      <c r="K69" s="60" t="s">
        <v>72</v>
      </c>
      <c r="L69" s="60" t="s">
        <v>72</v>
      </c>
      <c r="M69" s="60" t="s">
        <v>72</v>
      </c>
      <c r="N69" s="60" t="s">
        <v>72</v>
      </c>
      <c r="O69" s="60" t="s">
        <v>72</v>
      </c>
      <c r="P69" s="60" t="s">
        <v>72</v>
      </c>
      <c r="Q69" s="60" t="s">
        <v>72</v>
      </c>
      <c r="R69" s="60" t="s">
        <v>72</v>
      </c>
      <c r="S69" s="60" t="s">
        <v>72</v>
      </c>
      <c r="T69" s="60" t="s">
        <v>72</v>
      </c>
      <c r="U69" s="60" t="s">
        <v>72</v>
      </c>
      <c r="V69" s="60" t="s">
        <v>72</v>
      </c>
      <c r="W69" s="60" t="s">
        <v>72</v>
      </c>
      <c r="X69" s="60" t="s">
        <v>72</v>
      </c>
      <c r="Y69" s="60" t="s">
        <v>72</v>
      </c>
      <c r="Z69" s="60" t="s">
        <v>72</v>
      </c>
      <c r="AA69" s="60" t="s">
        <v>72</v>
      </c>
      <c r="AB69" s="60" t="s">
        <v>72</v>
      </c>
      <c r="AC69" s="60" t="s">
        <v>72</v>
      </c>
      <c r="AD69" s="60" t="s">
        <v>72</v>
      </c>
      <c r="AE69" s="60" t="s">
        <v>72</v>
      </c>
      <c r="AF69" s="60" t="s">
        <v>72</v>
      </c>
      <c r="AG69" s="60" t="s">
        <v>72</v>
      </c>
      <c r="AH69" s="60" t="s">
        <v>72</v>
      </c>
      <c r="AI69" s="60" t="s">
        <v>72</v>
      </c>
      <c r="AJ69" s="24"/>
      <c r="AL69" t="str">
        <f t="shared" ca="1" si="0"/>
        <v xml:space="preserve">    (U1)ALERT_REQ_S_ADBZR_DMC_</v>
      </c>
      <c r="AR69" s="61" t="str">
        <f t="shared" si="3"/>
        <v/>
      </c>
      <c r="AS69" s="61" t="str">
        <f t="shared" si="4"/>
        <v/>
      </c>
      <c r="AT69" s="61" t="str">
        <f t="shared" si="1"/>
        <v/>
      </c>
    </row>
    <row r="70" spans="1:46" ht="14.25" thickBot="1">
      <c r="A70" s="55" t="s">
        <v>69</v>
      </c>
      <c r="B70" s="56"/>
      <c r="C70" s="56"/>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6"/>
      <c r="AR70" s="62" t="str">
        <f t="shared" si="3"/>
        <v/>
      </c>
      <c r="AS70" s="62" t="str">
        <f t="shared" si="4"/>
        <v/>
      </c>
      <c r="AT70" s="62" t="str">
        <f t="shared" ref="AT70" si="5">IF(AJ70&lt;&gt;"",AL70&amp;IF(AJ71&lt;&gt;"",","," ")&amp;REPT(" ",78-LEN(AL70))&amp;"/* "&amp;IF(C70&lt;10,"0"&amp;C70,C70)&amp;" "&amp;AJ70&amp;REPT(" ",48-LEN(AJ70))&amp;"*/",IF(AJ69&lt;&gt;"","};",""))</f>
        <v/>
      </c>
    </row>
    <row r="71" spans="1:46">
      <c r="B71" s="131" t="str">
        <f ca="1">IF(B6&lt;&gt;"",B6,"")</f>
        <v>Table S_ADBZR_DMC</v>
      </c>
      <c r="C71" s="46">
        <f>IF(C6&lt;&gt;"",C6,"")</f>
        <v>0</v>
      </c>
      <c r="D71" s="123">
        <f t="shared" ref="D71:AI78" si="6">IF(D6=1,1,0)</f>
        <v>0</v>
      </c>
      <c r="E71" s="123">
        <f t="shared" si="6"/>
        <v>0</v>
      </c>
      <c r="F71" s="123">
        <f t="shared" si="6"/>
        <v>0</v>
      </c>
      <c r="G71" s="123">
        <f t="shared" si="6"/>
        <v>0</v>
      </c>
      <c r="H71" s="123">
        <f t="shared" si="6"/>
        <v>0</v>
      </c>
      <c r="I71" s="123">
        <f t="shared" si="6"/>
        <v>0</v>
      </c>
      <c r="J71" s="123">
        <f>IF(J6=1,1,0)</f>
        <v>0</v>
      </c>
      <c r="K71" s="123">
        <f>IF(K6=1,1,0)</f>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IF(AA6=1,1,0)</f>
        <v>0</v>
      </c>
      <c r="AB71" s="123">
        <f>IF(AB6=1,1,0)</f>
        <v>0</v>
      </c>
      <c r="AC71" s="123">
        <f t="shared" si="6"/>
        <v>0</v>
      </c>
      <c r="AD71" s="123">
        <f t="shared" si="6"/>
        <v>0</v>
      </c>
      <c r="AE71" s="123">
        <f t="shared" si="6"/>
        <v>0</v>
      </c>
      <c r="AF71" s="123">
        <f t="shared" si="6"/>
        <v>0</v>
      </c>
      <c r="AG71" s="123">
        <f t="shared" si="6"/>
        <v>0</v>
      </c>
      <c r="AH71" s="123">
        <f t="shared" si="6"/>
        <v>0</v>
      </c>
      <c r="AI71" s="123">
        <f t="shared" si="6"/>
        <v>0</v>
      </c>
      <c r="AJ71" s="46" t="str">
        <f t="shared" ref="AJ71:AJ134" si="7">IF(AJ6&lt;&gt;"",AJ6,"")</f>
        <v>UNKNOWN</v>
      </c>
      <c r="AK71" s="59"/>
      <c r="AL71" s="59"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46">
        <f t="shared" ref="C72:C134" si="9">IF(C7&lt;&gt;"",C7,"")</f>
        <v>1</v>
      </c>
      <c r="D72" s="123">
        <f t="shared" si="6"/>
        <v>0</v>
      </c>
      <c r="E72" s="123">
        <f t="shared" si="6"/>
        <v>0</v>
      </c>
      <c r="F72" s="123">
        <f t="shared" si="6"/>
        <v>0</v>
      </c>
      <c r="G72" s="123">
        <f t="shared" si="6"/>
        <v>0</v>
      </c>
      <c r="H72" s="123">
        <f t="shared" si="6"/>
        <v>0</v>
      </c>
      <c r="I72" s="123">
        <f t="shared" si="6"/>
        <v>0</v>
      </c>
      <c r="J72" s="123">
        <f>IF(J7=1,1,0)</f>
        <v>0</v>
      </c>
      <c r="K72" s="123">
        <f>IF(K7=1,1,0)</f>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IF(AA7=1,1,0)</f>
        <v>0</v>
      </c>
      <c r="AB72" s="123">
        <f>IF(AB7=1,1,0)</f>
        <v>0</v>
      </c>
      <c r="AC72" s="123">
        <f t="shared" si="6"/>
        <v>0</v>
      </c>
      <c r="AD72" s="123">
        <f t="shared" si="6"/>
        <v>0</v>
      </c>
      <c r="AE72" s="123">
        <f t="shared" si="6"/>
        <v>0</v>
      </c>
      <c r="AF72" s="123">
        <f t="shared" si="6"/>
        <v>0</v>
      </c>
      <c r="AG72" s="123">
        <f t="shared" si="6"/>
        <v>0</v>
      </c>
      <c r="AH72" s="123">
        <f t="shared" si="6"/>
        <v>0</v>
      </c>
      <c r="AI72" s="123">
        <f t="shared" si="6"/>
        <v>1</v>
      </c>
      <c r="AJ72" s="46" t="str">
        <f t="shared" si="7"/>
        <v>SINGLE</v>
      </c>
      <c r="AK72" s="59"/>
      <c r="AL72" s="59"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SINGLE                                          */</v>
      </c>
    </row>
    <row r="73" spans="1:46">
      <c r="B73" s="129"/>
      <c r="C73" s="46">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6" t="str">
        <f t="shared" si="7"/>
        <v>CYCLE</v>
      </c>
      <c r="AK73" s="59"/>
      <c r="AL73" s="59" t="str">
        <f t="shared" si="10"/>
        <v>02</v>
      </c>
      <c r="AM73" s="59" t="str">
        <f t="shared" si="11"/>
        <v>00</v>
      </c>
      <c r="AN73" s="59" t="str">
        <f t="shared" si="12"/>
        <v>00</v>
      </c>
      <c r="AO73" s="59" t="str">
        <f t="shared" si="13"/>
        <v>00</v>
      </c>
      <c r="AQ73" t="str">
        <f t="shared" si="8"/>
        <v xml:space="preserve">    (U4)0x00000002U,                                                           /* 02 CYCLE                                           */</v>
      </c>
    </row>
    <row r="74" spans="1:46">
      <c r="B74" s="129"/>
      <c r="C74" s="46">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6" t="str">
        <f t="shared" si="7"/>
        <v>UNKNOWN</v>
      </c>
      <c r="AK74" s="59"/>
      <c r="AL74" s="59" t="str">
        <f t="shared" si="10"/>
        <v>03</v>
      </c>
      <c r="AM74" s="59" t="str">
        <f t="shared" si="11"/>
        <v>00</v>
      </c>
      <c r="AN74" s="59" t="str">
        <f t="shared" si="12"/>
        <v>00</v>
      </c>
      <c r="AO74" s="59" t="str">
        <f t="shared" si="13"/>
        <v>00</v>
      </c>
      <c r="AQ74" t="str">
        <f t="shared" si="8"/>
        <v xml:space="preserve">    (U4)0x00000003U,                                                           /* 03 UNKNOWN                                         */</v>
      </c>
    </row>
    <row r="75" spans="1:46">
      <c r="B75" s="129"/>
      <c r="C75" s="46">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6" t="str">
        <f t="shared" si="7"/>
        <v>UNKNOWN</v>
      </c>
      <c r="AK75" s="59"/>
      <c r="AL75" s="59" t="str">
        <f t="shared" si="10"/>
        <v>04</v>
      </c>
      <c r="AM75" s="59" t="str">
        <f t="shared" si="11"/>
        <v>00</v>
      </c>
      <c r="AN75" s="59" t="str">
        <f t="shared" si="12"/>
        <v>00</v>
      </c>
      <c r="AO75" s="59" t="str">
        <f t="shared" si="13"/>
        <v>00</v>
      </c>
      <c r="AQ75" t="str">
        <f t="shared" si="8"/>
        <v xml:space="preserve">    (U4)0x00000004U,                                                           /* 04 UNKNOWN                                         */</v>
      </c>
    </row>
    <row r="76" spans="1:46">
      <c r="B76" s="129"/>
      <c r="C76" s="46">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6" t="str">
        <f t="shared" si="7"/>
        <v>UNKNOWN</v>
      </c>
      <c r="AK76" s="59"/>
      <c r="AL76" s="59" t="str">
        <f t="shared" si="10"/>
        <v>05</v>
      </c>
      <c r="AM76" s="59" t="str">
        <f t="shared" si="11"/>
        <v>00</v>
      </c>
      <c r="AN76" s="59" t="str">
        <f t="shared" si="12"/>
        <v>00</v>
      </c>
      <c r="AO76" s="59" t="str">
        <f t="shared" si="13"/>
        <v>00</v>
      </c>
      <c r="AQ76" t="str">
        <f t="shared" si="8"/>
        <v xml:space="preserve">    (U4)0x00000005U,                                                           /* 05 UNKNOWN                                         */</v>
      </c>
    </row>
    <row r="77" spans="1:46">
      <c r="B77" s="129"/>
      <c r="C77" s="46">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6" t="str">
        <f t="shared" si="7"/>
        <v>UNKNOWN</v>
      </c>
      <c r="AK77" s="59"/>
      <c r="AL77" s="59" t="str">
        <f t="shared" si="10"/>
        <v>06</v>
      </c>
      <c r="AM77" s="59" t="str">
        <f t="shared" si="11"/>
        <v>00</v>
      </c>
      <c r="AN77" s="59" t="str">
        <f t="shared" si="12"/>
        <v>00</v>
      </c>
      <c r="AO77" s="59" t="str">
        <f t="shared" si="13"/>
        <v>00</v>
      </c>
      <c r="AQ77" t="str">
        <f t="shared" si="8"/>
        <v xml:space="preserve">    (U4)0x00000006U,                                                           /* 06 UNKNOWN                                         */</v>
      </c>
    </row>
    <row r="78" spans="1:46">
      <c r="B78" s="129"/>
      <c r="C78" s="46">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6" t="str">
        <f t="shared" si="7"/>
        <v>UNKNOWN</v>
      </c>
      <c r="AK78" s="59"/>
      <c r="AL78" s="59" t="str">
        <f t="shared" si="10"/>
        <v>07</v>
      </c>
      <c r="AM78" s="59" t="str">
        <f t="shared" si="11"/>
        <v>00</v>
      </c>
      <c r="AN78" s="59" t="str">
        <f t="shared" si="12"/>
        <v>00</v>
      </c>
      <c r="AO78" s="59" t="str">
        <f t="shared" si="13"/>
        <v>00</v>
      </c>
      <c r="AQ78" t="str">
        <f t="shared" si="8"/>
        <v xml:space="preserve">    (U4)0x00000007U,                                                           /* 07 UNKNOWN                                         */</v>
      </c>
    </row>
    <row r="79" spans="1:46">
      <c r="B79" s="129"/>
      <c r="C79" s="46">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1</v>
      </c>
      <c r="AG79" s="123">
        <f t="shared" si="15"/>
        <v>0</v>
      </c>
      <c r="AH79" s="123">
        <f t="shared" si="15"/>
        <v>0</v>
      </c>
      <c r="AI79" s="123">
        <f t="shared" si="15"/>
        <v>0</v>
      </c>
      <c r="AJ79" s="46" t="str">
        <f t="shared" si="7"/>
        <v>UNKNOWN</v>
      </c>
      <c r="AK79" s="59"/>
      <c r="AL79" s="59" t="str">
        <f t="shared" si="10"/>
        <v>08</v>
      </c>
      <c r="AM79" s="59" t="str">
        <f t="shared" si="11"/>
        <v>00</v>
      </c>
      <c r="AN79" s="59" t="str">
        <f t="shared" si="12"/>
        <v>00</v>
      </c>
      <c r="AO79" s="59" t="str">
        <f t="shared" si="13"/>
        <v>00</v>
      </c>
      <c r="AQ79" t="str">
        <f t="shared" si="8"/>
        <v xml:space="preserve">    (U4)0x00000008U,                                                           /* 08 UNKNOWN                                         */</v>
      </c>
    </row>
    <row r="80" spans="1:46">
      <c r="B80" s="129"/>
      <c r="C80" s="46">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1</v>
      </c>
      <c r="AG80" s="123">
        <f t="shared" si="15"/>
        <v>0</v>
      </c>
      <c r="AH80" s="123">
        <f t="shared" si="15"/>
        <v>0</v>
      </c>
      <c r="AI80" s="123">
        <f t="shared" si="15"/>
        <v>1</v>
      </c>
      <c r="AJ80" s="46" t="str">
        <f t="shared" si="7"/>
        <v>UNKNOWN</v>
      </c>
      <c r="AK80" s="59"/>
      <c r="AL80" s="59" t="str">
        <f t="shared" si="10"/>
        <v>09</v>
      </c>
      <c r="AM80" s="59" t="str">
        <f t="shared" si="11"/>
        <v>00</v>
      </c>
      <c r="AN80" s="59" t="str">
        <f t="shared" si="12"/>
        <v>00</v>
      </c>
      <c r="AO80" s="59" t="str">
        <f t="shared" si="13"/>
        <v>00</v>
      </c>
      <c r="AQ80" t="str">
        <f t="shared" si="8"/>
        <v xml:space="preserve">    (U4)0x00000009U,                                                           /* 09 UNKNOWN                                         */</v>
      </c>
    </row>
    <row r="81" spans="2:43">
      <c r="B81" s="129"/>
      <c r="C81" s="46">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1</v>
      </c>
      <c r="AG81" s="123">
        <f t="shared" si="15"/>
        <v>0</v>
      </c>
      <c r="AH81" s="123">
        <f t="shared" si="15"/>
        <v>1</v>
      </c>
      <c r="AI81" s="123">
        <f t="shared" si="15"/>
        <v>0</v>
      </c>
      <c r="AJ81" s="46" t="str">
        <f t="shared" si="7"/>
        <v>UNKNOWN</v>
      </c>
      <c r="AK81" s="59"/>
      <c r="AL81" s="59" t="str">
        <f t="shared" si="10"/>
        <v>0A</v>
      </c>
      <c r="AM81" s="59" t="str">
        <f t="shared" si="11"/>
        <v>00</v>
      </c>
      <c r="AN81" s="59" t="str">
        <f t="shared" si="12"/>
        <v>00</v>
      </c>
      <c r="AO81" s="59" t="str">
        <f t="shared" si="13"/>
        <v>00</v>
      </c>
      <c r="AQ81" t="str">
        <f t="shared" si="8"/>
        <v xml:space="preserve">    (U4)0x0000000AU,                                                           /* 10 UNKNOWN                                         */</v>
      </c>
    </row>
    <row r="82" spans="2:43">
      <c r="B82" s="129"/>
      <c r="C82" s="46">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1</v>
      </c>
      <c r="AG82" s="123">
        <f t="shared" si="15"/>
        <v>0</v>
      </c>
      <c r="AH82" s="123">
        <f t="shared" si="15"/>
        <v>1</v>
      </c>
      <c r="AI82" s="123">
        <f t="shared" si="15"/>
        <v>1</v>
      </c>
      <c r="AJ82" s="46" t="str">
        <f t="shared" si="7"/>
        <v>UNKNOWN</v>
      </c>
      <c r="AK82" s="59"/>
      <c r="AL82" s="59" t="str">
        <f t="shared" si="10"/>
        <v>0B</v>
      </c>
      <c r="AM82" s="59" t="str">
        <f t="shared" si="11"/>
        <v>00</v>
      </c>
      <c r="AN82" s="59" t="str">
        <f t="shared" si="12"/>
        <v>00</v>
      </c>
      <c r="AO82" s="59" t="str">
        <f t="shared" si="13"/>
        <v>00</v>
      </c>
      <c r="AQ82" t="str">
        <f t="shared" si="8"/>
        <v xml:space="preserve">    (U4)0x0000000BU,                                                           /* 11 UNKNOWN                                         */</v>
      </c>
    </row>
    <row r="83" spans="2:43">
      <c r="B83" s="129"/>
      <c r="C83" s="46">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1</v>
      </c>
      <c r="AG83" s="123">
        <f t="shared" si="15"/>
        <v>1</v>
      </c>
      <c r="AH83" s="123">
        <f t="shared" si="15"/>
        <v>0</v>
      </c>
      <c r="AI83" s="123">
        <f t="shared" si="15"/>
        <v>0</v>
      </c>
      <c r="AJ83" s="46" t="str">
        <f t="shared" si="7"/>
        <v>UNKNOWN</v>
      </c>
      <c r="AK83" s="59"/>
      <c r="AL83" s="59" t="str">
        <f t="shared" si="10"/>
        <v>0C</v>
      </c>
      <c r="AM83" s="59" t="str">
        <f t="shared" si="11"/>
        <v>00</v>
      </c>
      <c r="AN83" s="59" t="str">
        <f t="shared" si="12"/>
        <v>00</v>
      </c>
      <c r="AO83" s="59" t="str">
        <f t="shared" si="13"/>
        <v>00</v>
      </c>
      <c r="AQ83" t="str">
        <f t="shared" si="8"/>
        <v xml:space="preserve">    (U4)0x0000000CU,                                                           /* 12 UNKNOWN                                         */</v>
      </c>
    </row>
    <row r="84" spans="2:43">
      <c r="B84" s="129"/>
      <c r="C84" s="46">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1</v>
      </c>
      <c r="AG84" s="123">
        <f t="shared" si="15"/>
        <v>1</v>
      </c>
      <c r="AH84" s="123">
        <f t="shared" si="15"/>
        <v>0</v>
      </c>
      <c r="AI84" s="123">
        <f t="shared" si="15"/>
        <v>1</v>
      </c>
      <c r="AJ84" s="46" t="str">
        <f t="shared" si="7"/>
        <v>UNKNOWN</v>
      </c>
      <c r="AK84" s="59"/>
      <c r="AL84" s="59" t="str">
        <f t="shared" si="10"/>
        <v>0D</v>
      </c>
      <c r="AM84" s="59" t="str">
        <f t="shared" si="11"/>
        <v>00</v>
      </c>
      <c r="AN84" s="59" t="str">
        <f t="shared" si="12"/>
        <v>00</v>
      </c>
      <c r="AO84" s="59" t="str">
        <f t="shared" si="13"/>
        <v>00</v>
      </c>
      <c r="AQ84" t="str">
        <f t="shared" si="8"/>
        <v xml:space="preserve">    (U4)0x0000000DU,                                                           /* 13 UNKNOWN                                         */</v>
      </c>
    </row>
    <row r="85" spans="2:43">
      <c r="B85" s="129"/>
      <c r="C85" s="46">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1</v>
      </c>
      <c r="AG85" s="123">
        <f t="shared" si="15"/>
        <v>1</v>
      </c>
      <c r="AH85" s="123">
        <f t="shared" si="15"/>
        <v>1</v>
      </c>
      <c r="AI85" s="123">
        <f t="shared" si="15"/>
        <v>0</v>
      </c>
      <c r="AJ85" s="46" t="str">
        <f t="shared" si="7"/>
        <v>UNKNOWN</v>
      </c>
      <c r="AK85" s="59"/>
      <c r="AL85" s="59" t="str">
        <f t="shared" si="10"/>
        <v>0E</v>
      </c>
      <c r="AM85" s="59" t="str">
        <f t="shared" si="11"/>
        <v>00</v>
      </c>
      <c r="AN85" s="59" t="str">
        <f t="shared" si="12"/>
        <v>00</v>
      </c>
      <c r="AO85" s="59" t="str">
        <f t="shared" si="13"/>
        <v>00</v>
      </c>
      <c r="AQ85" t="str">
        <f t="shared" si="8"/>
        <v xml:space="preserve">    (U4)0x0000000EU,                                                           /* 14 UNKNOWN                                         */</v>
      </c>
    </row>
    <row r="86" spans="2:43">
      <c r="B86" s="129"/>
      <c r="C86" s="46">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1</v>
      </c>
      <c r="AG86" s="123">
        <f t="shared" si="15"/>
        <v>1</v>
      </c>
      <c r="AH86" s="123">
        <f t="shared" si="15"/>
        <v>1</v>
      </c>
      <c r="AI86" s="123">
        <f t="shared" ref="AI86" si="16">IF(AI21=1,1,0)</f>
        <v>1</v>
      </c>
      <c r="AJ86" s="46" t="str">
        <f t="shared" si="7"/>
        <v>UNKNOWN</v>
      </c>
      <c r="AK86" s="59"/>
      <c r="AL86" s="59" t="str">
        <f t="shared" si="10"/>
        <v>0F</v>
      </c>
      <c r="AM86" s="59" t="str">
        <f t="shared" si="11"/>
        <v>00</v>
      </c>
      <c r="AN86" s="59" t="str">
        <f t="shared" si="12"/>
        <v>00</v>
      </c>
      <c r="AO86" s="59" t="str">
        <f t="shared" si="13"/>
        <v>00</v>
      </c>
      <c r="AQ86" t="str">
        <f t="shared" si="8"/>
        <v xml:space="preserve">    (U4)0x0000000FU                                                            /* 15 UNKNOWN                                         */</v>
      </c>
    </row>
    <row r="87" spans="2:43">
      <c r="B87" s="129"/>
      <c r="C87" s="46">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6" t="str">
        <f t="shared" si="7"/>
        <v/>
      </c>
      <c r="AK87" s="59"/>
      <c r="AL87" s="59" t="str">
        <f t="shared" si="10"/>
        <v>00</v>
      </c>
      <c r="AM87" s="59" t="str">
        <f t="shared" si="11"/>
        <v>00</v>
      </c>
      <c r="AN87" s="59" t="str">
        <f t="shared" si="12"/>
        <v>00</v>
      </c>
      <c r="AO87" s="59" t="str">
        <f t="shared" si="13"/>
        <v>00</v>
      </c>
      <c r="AQ87" t="str">
        <f t="shared" si="8"/>
        <v/>
      </c>
    </row>
    <row r="88" spans="2:43">
      <c r="B88" s="129"/>
      <c r="C88" s="46">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6" t="str">
        <f t="shared" si="7"/>
        <v/>
      </c>
      <c r="AK88" s="59"/>
      <c r="AL88" s="59" t="str">
        <f t="shared" si="10"/>
        <v>00</v>
      </c>
      <c r="AM88" s="59" t="str">
        <f t="shared" si="11"/>
        <v>00</v>
      </c>
      <c r="AN88" s="59" t="str">
        <f t="shared" si="12"/>
        <v>00</v>
      </c>
      <c r="AO88" s="59" t="str">
        <f t="shared" si="13"/>
        <v>00</v>
      </c>
      <c r="AQ88" t="str">
        <f t="shared" si="8"/>
        <v/>
      </c>
    </row>
    <row r="89" spans="2:43">
      <c r="B89" s="129"/>
      <c r="C89" s="46">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6" t="str">
        <f t="shared" si="7"/>
        <v/>
      </c>
      <c r="AK89" s="59"/>
      <c r="AL89" s="59" t="str">
        <f t="shared" si="10"/>
        <v>00</v>
      </c>
      <c r="AM89" s="59" t="str">
        <f t="shared" si="11"/>
        <v>00</v>
      </c>
      <c r="AN89" s="59" t="str">
        <f t="shared" si="12"/>
        <v>00</v>
      </c>
      <c r="AO89" s="59" t="str">
        <f t="shared" si="13"/>
        <v>00</v>
      </c>
      <c r="AQ89" t="str">
        <f t="shared" si="8"/>
        <v/>
      </c>
    </row>
    <row r="90" spans="2:43">
      <c r="B90" s="129"/>
      <c r="C90" s="46">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6" t="str">
        <f t="shared" si="7"/>
        <v/>
      </c>
      <c r="AK90" s="59"/>
      <c r="AL90" s="59" t="str">
        <f t="shared" si="10"/>
        <v>00</v>
      </c>
      <c r="AM90" s="59" t="str">
        <f t="shared" si="11"/>
        <v>00</v>
      </c>
      <c r="AN90" s="59" t="str">
        <f t="shared" si="12"/>
        <v>00</v>
      </c>
      <c r="AO90" s="59" t="str">
        <f t="shared" si="13"/>
        <v>00</v>
      </c>
      <c r="AQ90" t="str">
        <f t="shared" si="8"/>
        <v/>
      </c>
    </row>
    <row r="91" spans="2:43">
      <c r="B91" s="129"/>
      <c r="C91" s="46">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6" t="str">
        <f t="shared" si="7"/>
        <v/>
      </c>
      <c r="AK91" s="59"/>
      <c r="AL91" s="59" t="str">
        <f t="shared" si="10"/>
        <v>00</v>
      </c>
      <c r="AM91" s="59" t="str">
        <f t="shared" si="11"/>
        <v>00</v>
      </c>
      <c r="AN91" s="59" t="str">
        <f t="shared" si="12"/>
        <v>00</v>
      </c>
      <c r="AO91" s="59" t="str">
        <f t="shared" si="13"/>
        <v>00</v>
      </c>
      <c r="AQ91" t="str">
        <f t="shared" si="8"/>
        <v/>
      </c>
    </row>
    <row r="92" spans="2:43">
      <c r="B92" s="129"/>
      <c r="C92" s="46">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6" t="str">
        <f t="shared" si="7"/>
        <v/>
      </c>
      <c r="AK92" s="59"/>
      <c r="AL92" s="59" t="str">
        <f t="shared" si="10"/>
        <v>00</v>
      </c>
      <c r="AM92" s="59" t="str">
        <f t="shared" si="11"/>
        <v>00</v>
      </c>
      <c r="AN92" s="59" t="str">
        <f t="shared" si="12"/>
        <v>00</v>
      </c>
      <c r="AO92" s="59" t="str">
        <f t="shared" si="13"/>
        <v>00</v>
      </c>
      <c r="AQ92" t="str">
        <f t="shared" si="8"/>
        <v/>
      </c>
    </row>
    <row r="93" spans="2:43">
      <c r="B93" s="129"/>
      <c r="C93" s="46">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6" t="str">
        <f t="shared" si="7"/>
        <v/>
      </c>
      <c r="AK93" s="59"/>
      <c r="AL93" s="59" t="str">
        <f t="shared" si="10"/>
        <v>00</v>
      </c>
      <c r="AM93" s="59" t="str">
        <f t="shared" si="11"/>
        <v>00</v>
      </c>
      <c r="AN93" s="59" t="str">
        <f t="shared" si="12"/>
        <v>00</v>
      </c>
      <c r="AO93" s="59" t="str">
        <f t="shared" si="13"/>
        <v>00</v>
      </c>
      <c r="AQ93" t="str">
        <f t="shared" si="8"/>
        <v/>
      </c>
    </row>
    <row r="94" spans="2:43">
      <c r="B94" s="129"/>
      <c r="C94" s="46">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6" t="str">
        <f t="shared" si="7"/>
        <v/>
      </c>
      <c r="AK94" s="59"/>
      <c r="AL94" s="59" t="str">
        <f t="shared" si="10"/>
        <v>00</v>
      </c>
      <c r="AM94" s="59" t="str">
        <f t="shared" si="11"/>
        <v>00</v>
      </c>
      <c r="AN94" s="59" t="str">
        <f t="shared" si="12"/>
        <v>00</v>
      </c>
      <c r="AO94" s="59" t="str">
        <f t="shared" si="13"/>
        <v>00</v>
      </c>
      <c r="AQ94" t="str">
        <f t="shared" si="8"/>
        <v/>
      </c>
    </row>
    <row r="95" spans="2:43">
      <c r="B95" s="129"/>
      <c r="C95" s="46">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6" t="str">
        <f t="shared" si="7"/>
        <v/>
      </c>
      <c r="AK95" s="59"/>
      <c r="AL95" s="59" t="str">
        <f t="shared" si="10"/>
        <v>00</v>
      </c>
      <c r="AM95" s="59" t="str">
        <f t="shared" si="11"/>
        <v>00</v>
      </c>
      <c r="AN95" s="59" t="str">
        <f t="shared" si="12"/>
        <v>00</v>
      </c>
      <c r="AO95" s="59" t="str">
        <f t="shared" si="13"/>
        <v>00</v>
      </c>
      <c r="AQ95" t="str">
        <f t="shared" si="8"/>
        <v/>
      </c>
    </row>
    <row r="96" spans="2:43">
      <c r="B96" s="129"/>
      <c r="C96" s="46">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6" t="str">
        <f t="shared" si="7"/>
        <v/>
      </c>
      <c r="AK96" s="59"/>
      <c r="AL96" s="59" t="str">
        <f t="shared" si="10"/>
        <v>00</v>
      </c>
      <c r="AM96" s="59" t="str">
        <f t="shared" si="11"/>
        <v>00</v>
      </c>
      <c r="AN96" s="59" t="str">
        <f t="shared" si="12"/>
        <v>00</v>
      </c>
      <c r="AO96" s="59" t="str">
        <f t="shared" si="13"/>
        <v>00</v>
      </c>
      <c r="AQ96" t="str">
        <f t="shared" si="8"/>
        <v/>
      </c>
    </row>
    <row r="97" spans="2:43">
      <c r="B97" s="129"/>
      <c r="C97" s="46">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6" t="str">
        <f t="shared" si="7"/>
        <v/>
      </c>
      <c r="AK97" s="59"/>
      <c r="AL97" s="59" t="str">
        <f t="shared" si="10"/>
        <v>00</v>
      </c>
      <c r="AM97" s="59" t="str">
        <f t="shared" si="11"/>
        <v>00</v>
      </c>
      <c r="AN97" s="59" t="str">
        <f t="shared" si="12"/>
        <v>00</v>
      </c>
      <c r="AO97" s="59" t="str">
        <f t="shared" si="13"/>
        <v>00</v>
      </c>
      <c r="AQ97" t="str">
        <f t="shared" si="8"/>
        <v/>
      </c>
    </row>
    <row r="98" spans="2:43">
      <c r="B98" s="129"/>
      <c r="C98" s="46">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6" t="str">
        <f t="shared" si="7"/>
        <v/>
      </c>
      <c r="AK98" s="59"/>
      <c r="AL98" s="59" t="str">
        <f t="shared" si="10"/>
        <v>00</v>
      </c>
      <c r="AM98" s="59" t="str">
        <f t="shared" si="11"/>
        <v>00</v>
      </c>
      <c r="AN98" s="59" t="str">
        <f t="shared" si="12"/>
        <v>00</v>
      </c>
      <c r="AO98" s="59" t="str">
        <f t="shared" si="13"/>
        <v>00</v>
      </c>
      <c r="AQ98" t="str">
        <f t="shared" si="8"/>
        <v/>
      </c>
    </row>
    <row r="99" spans="2:43">
      <c r="B99" s="129"/>
      <c r="C99" s="46">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6" t="str">
        <f t="shared" si="7"/>
        <v/>
      </c>
      <c r="AK99" s="59"/>
      <c r="AL99" s="59" t="str">
        <f t="shared" si="10"/>
        <v>00</v>
      </c>
      <c r="AM99" s="59" t="str">
        <f t="shared" si="11"/>
        <v>00</v>
      </c>
      <c r="AN99" s="59" t="str">
        <f t="shared" si="12"/>
        <v>00</v>
      </c>
      <c r="AO99" s="59" t="str">
        <f t="shared" si="13"/>
        <v>00</v>
      </c>
      <c r="AQ99" t="str">
        <f t="shared" si="8"/>
        <v/>
      </c>
    </row>
    <row r="100" spans="2:43">
      <c r="B100" s="129"/>
      <c r="C100" s="46">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6" t="str">
        <f t="shared" si="7"/>
        <v/>
      </c>
      <c r="AK100" s="59"/>
      <c r="AL100" s="59" t="str">
        <f t="shared" si="10"/>
        <v>00</v>
      </c>
      <c r="AM100" s="59" t="str">
        <f t="shared" si="11"/>
        <v>00</v>
      </c>
      <c r="AN100" s="59" t="str">
        <f t="shared" si="12"/>
        <v>00</v>
      </c>
      <c r="AO100" s="59" t="str">
        <f t="shared" si="13"/>
        <v>00</v>
      </c>
      <c r="AQ100" t="str">
        <f t="shared" si="8"/>
        <v/>
      </c>
    </row>
    <row r="101" spans="2:43">
      <c r="B101" s="129"/>
      <c r="C101" s="46">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6" t="str">
        <f t="shared" si="7"/>
        <v/>
      </c>
      <c r="AK101" s="59"/>
      <c r="AL101" s="59" t="str">
        <f t="shared" si="10"/>
        <v>00</v>
      </c>
      <c r="AM101" s="59" t="str">
        <f t="shared" si="11"/>
        <v>00</v>
      </c>
      <c r="AN101" s="59" t="str">
        <f t="shared" si="12"/>
        <v>00</v>
      </c>
      <c r="AO101" s="59" t="str">
        <f t="shared" si="13"/>
        <v>00</v>
      </c>
      <c r="AQ101" t="str">
        <f t="shared" si="8"/>
        <v/>
      </c>
    </row>
    <row r="102" spans="2:43">
      <c r="B102" s="129"/>
      <c r="C102" s="46">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6" t="str">
        <f t="shared" si="7"/>
        <v/>
      </c>
      <c r="AK102" s="59"/>
      <c r="AL102" s="59" t="str">
        <f t="shared" si="10"/>
        <v>00</v>
      </c>
      <c r="AM102" s="59" t="str">
        <f t="shared" si="11"/>
        <v>00</v>
      </c>
      <c r="AN102" s="59" t="str">
        <f t="shared" si="12"/>
        <v>00</v>
      </c>
      <c r="AO102" s="59" t="str">
        <f t="shared" si="13"/>
        <v>00</v>
      </c>
      <c r="AQ102" t="str">
        <f t="shared" si="8"/>
        <v/>
      </c>
    </row>
    <row r="103" spans="2:43">
      <c r="B103" s="129"/>
      <c r="C103" s="46">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6" t="str">
        <f t="shared" si="7"/>
        <v/>
      </c>
      <c r="AK103" s="59"/>
      <c r="AL103" s="59" t="str">
        <f t="shared" si="10"/>
        <v>00</v>
      </c>
      <c r="AM103" s="59" t="str">
        <f t="shared" si="11"/>
        <v>00</v>
      </c>
      <c r="AN103" s="59" t="str">
        <f t="shared" si="12"/>
        <v>00</v>
      </c>
      <c r="AO103" s="59" t="str">
        <f t="shared" si="13"/>
        <v>00</v>
      </c>
      <c r="AQ103" t="str">
        <f t="shared" si="8"/>
        <v/>
      </c>
    </row>
    <row r="104" spans="2:43">
      <c r="B104" s="129"/>
      <c r="C104" s="46">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6" t="str">
        <f t="shared" si="7"/>
        <v/>
      </c>
      <c r="AK104" s="59"/>
      <c r="AL104" s="59" t="str">
        <f t="shared" si="10"/>
        <v>00</v>
      </c>
      <c r="AM104" s="59" t="str">
        <f t="shared" si="11"/>
        <v>00</v>
      </c>
      <c r="AN104" s="59" t="str">
        <f t="shared" si="12"/>
        <v>00</v>
      </c>
      <c r="AO104" s="59" t="str">
        <f t="shared" si="13"/>
        <v>00</v>
      </c>
      <c r="AQ104" t="str">
        <f t="shared" si="8"/>
        <v/>
      </c>
    </row>
    <row r="105" spans="2:43">
      <c r="B105" s="129"/>
      <c r="C105" s="46">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6" t="str">
        <f t="shared" si="7"/>
        <v/>
      </c>
      <c r="AK105" s="59"/>
      <c r="AL105" s="59" t="str">
        <f t="shared" si="10"/>
        <v>00</v>
      </c>
      <c r="AM105" s="59" t="str">
        <f t="shared" si="11"/>
        <v>00</v>
      </c>
      <c r="AN105" s="59" t="str">
        <f t="shared" si="12"/>
        <v>00</v>
      </c>
      <c r="AO105" s="59" t="str">
        <f t="shared" si="13"/>
        <v>00</v>
      </c>
      <c r="AQ105" t="str">
        <f t="shared" si="8"/>
        <v/>
      </c>
    </row>
    <row r="106" spans="2:43">
      <c r="B106" s="129"/>
      <c r="C106" s="46">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6" t="str">
        <f t="shared" si="7"/>
        <v/>
      </c>
      <c r="AK106" s="59"/>
      <c r="AL106" s="59" t="str">
        <f t="shared" si="10"/>
        <v>00</v>
      </c>
      <c r="AM106" s="59" t="str">
        <f t="shared" si="11"/>
        <v>00</v>
      </c>
      <c r="AN106" s="59" t="str">
        <f t="shared" si="12"/>
        <v>00</v>
      </c>
      <c r="AO106" s="59" t="str">
        <f t="shared" si="13"/>
        <v>00</v>
      </c>
      <c r="AQ106" t="str">
        <f t="shared" si="8"/>
        <v/>
      </c>
    </row>
    <row r="107" spans="2:43">
      <c r="B107" s="129"/>
      <c r="C107" s="46">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6" t="str">
        <f t="shared" si="7"/>
        <v/>
      </c>
      <c r="AK107" s="59"/>
      <c r="AL107" s="59" t="str">
        <f t="shared" si="10"/>
        <v>00</v>
      </c>
      <c r="AM107" s="59" t="str">
        <f t="shared" si="11"/>
        <v>00</v>
      </c>
      <c r="AN107" s="59" t="str">
        <f t="shared" si="12"/>
        <v>00</v>
      </c>
      <c r="AO107" s="59" t="str">
        <f t="shared" si="13"/>
        <v>00</v>
      </c>
      <c r="AQ107" t="str">
        <f t="shared" si="8"/>
        <v/>
      </c>
    </row>
    <row r="108" spans="2:43">
      <c r="B108" s="129"/>
      <c r="C108" s="46">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6" t="str">
        <f t="shared" si="7"/>
        <v/>
      </c>
      <c r="AK108" s="59"/>
      <c r="AL108" s="59" t="str">
        <f t="shared" si="10"/>
        <v>00</v>
      </c>
      <c r="AM108" s="59" t="str">
        <f t="shared" si="11"/>
        <v>00</v>
      </c>
      <c r="AN108" s="59" t="str">
        <f t="shared" si="12"/>
        <v>00</v>
      </c>
      <c r="AO108" s="59" t="str">
        <f t="shared" si="13"/>
        <v>00</v>
      </c>
      <c r="AQ108" t="str">
        <f t="shared" si="8"/>
        <v/>
      </c>
    </row>
    <row r="109" spans="2:43">
      <c r="B109" s="129"/>
      <c r="C109" s="46">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6" t="str">
        <f t="shared" si="7"/>
        <v/>
      </c>
      <c r="AK109" s="59"/>
      <c r="AL109" s="59" t="str">
        <f t="shared" si="10"/>
        <v>00</v>
      </c>
      <c r="AM109" s="59" t="str">
        <f t="shared" si="11"/>
        <v>00</v>
      </c>
      <c r="AN109" s="59" t="str">
        <f t="shared" si="12"/>
        <v>00</v>
      </c>
      <c r="AO109" s="59" t="str">
        <f t="shared" si="13"/>
        <v>00</v>
      </c>
      <c r="AQ109" t="str">
        <f t="shared" si="8"/>
        <v/>
      </c>
    </row>
    <row r="110" spans="2:43">
      <c r="B110" s="129"/>
      <c r="C110" s="46">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6" t="str">
        <f t="shared" si="7"/>
        <v/>
      </c>
      <c r="AK110" s="59"/>
      <c r="AL110" s="59" t="str">
        <f t="shared" si="10"/>
        <v>00</v>
      </c>
      <c r="AM110" s="59" t="str">
        <f t="shared" si="11"/>
        <v>00</v>
      </c>
      <c r="AN110" s="59" t="str">
        <f t="shared" si="12"/>
        <v>00</v>
      </c>
      <c r="AO110" s="59" t="str">
        <f t="shared" si="13"/>
        <v>00</v>
      </c>
      <c r="AQ110" t="str">
        <f t="shared" si="8"/>
        <v/>
      </c>
    </row>
    <row r="111" spans="2:43">
      <c r="B111" s="129"/>
      <c r="C111" s="46">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6" t="str">
        <f t="shared" si="7"/>
        <v/>
      </c>
      <c r="AK111" s="59"/>
      <c r="AL111" s="59" t="str">
        <f t="shared" si="10"/>
        <v>00</v>
      </c>
      <c r="AM111" s="59" t="str">
        <f t="shared" si="11"/>
        <v>00</v>
      </c>
      <c r="AN111" s="59" t="str">
        <f t="shared" si="12"/>
        <v>00</v>
      </c>
      <c r="AO111" s="59" t="str">
        <f t="shared" si="13"/>
        <v>00</v>
      </c>
      <c r="AQ111" t="str">
        <f t="shared" si="8"/>
        <v/>
      </c>
    </row>
    <row r="112" spans="2:43">
      <c r="B112" s="129"/>
      <c r="C112" s="46">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6" t="str">
        <f t="shared" si="7"/>
        <v/>
      </c>
      <c r="AK112" s="59"/>
      <c r="AL112" s="59" t="str">
        <f t="shared" si="10"/>
        <v>00</v>
      </c>
      <c r="AM112" s="59" t="str">
        <f t="shared" si="11"/>
        <v>00</v>
      </c>
      <c r="AN112" s="59" t="str">
        <f t="shared" si="12"/>
        <v>00</v>
      </c>
      <c r="AO112" s="59" t="str">
        <f t="shared" si="13"/>
        <v>00</v>
      </c>
      <c r="AQ112" t="str">
        <f t="shared" si="8"/>
        <v/>
      </c>
    </row>
    <row r="113" spans="2:43">
      <c r="B113" s="129"/>
      <c r="C113" s="46">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6" t="str">
        <f t="shared" si="7"/>
        <v/>
      </c>
      <c r="AK113" s="59"/>
      <c r="AL113" s="59" t="str">
        <f t="shared" si="10"/>
        <v>00</v>
      </c>
      <c r="AM113" s="59" t="str">
        <f t="shared" si="11"/>
        <v>00</v>
      </c>
      <c r="AN113" s="59" t="str">
        <f t="shared" si="12"/>
        <v>00</v>
      </c>
      <c r="AO113" s="59" t="str">
        <f t="shared" si="13"/>
        <v>00</v>
      </c>
      <c r="AQ113" t="str">
        <f t="shared" si="8"/>
        <v/>
      </c>
    </row>
    <row r="114" spans="2:43">
      <c r="B114" s="129"/>
      <c r="C114" s="46">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6" t="str">
        <f t="shared" si="7"/>
        <v/>
      </c>
      <c r="AK114" s="59"/>
      <c r="AL114" s="59" t="str">
        <f t="shared" si="10"/>
        <v>00</v>
      </c>
      <c r="AM114" s="59" t="str">
        <f t="shared" si="11"/>
        <v>00</v>
      </c>
      <c r="AN114" s="59" t="str">
        <f t="shared" si="12"/>
        <v>00</v>
      </c>
      <c r="AO114" s="59" t="str">
        <f t="shared" si="13"/>
        <v>00</v>
      </c>
      <c r="AQ114" t="str">
        <f t="shared" si="8"/>
        <v/>
      </c>
    </row>
    <row r="115" spans="2:43">
      <c r="B115" s="129"/>
      <c r="C115" s="46">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6" t="str">
        <f t="shared" si="7"/>
        <v/>
      </c>
      <c r="AK115" s="59"/>
      <c r="AL115" s="59" t="str">
        <f t="shared" si="10"/>
        <v>00</v>
      </c>
      <c r="AM115" s="59" t="str">
        <f t="shared" si="11"/>
        <v>00</v>
      </c>
      <c r="AN115" s="59" t="str">
        <f t="shared" si="12"/>
        <v>00</v>
      </c>
      <c r="AO115" s="59" t="str">
        <f t="shared" si="13"/>
        <v>00</v>
      </c>
      <c r="AQ115" t="str">
        <f t="shared" si="8"/>
        <v/>
      </c>
    </row>
    <row r="116" spans="2:43">
      <c r="B116" s="129"/>
      <c r="C116" s="46">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6" t="str">
        <f t="shared" si="7"/>
        <v/>
      </c>
      <c r="AK116" s="59"/>
      <c r="AL116" s="59" t="str">
        <f t="shared" si="10"/>
        <v>00</v>
      </c>
      <c r="AM116" s="59" t="str">
        <f t="shared" si="11"/>
        <v>00</v>
      </c>
      <c r="AN116" s="59" t="str">
        <f t="shared" si="12"/>
        <v>00</v>
      </c>
      <c r="AO116" s="59" t="str">
        <f t="shared" si="13"/>
        <v>00</v>
      </c>
      <c r="AQ116" t="str">
        <f t="shared" si="8"/>
        <v/>
      </c>
    </row>
    <row r="117" spans="2:43">
      <c r="B117" s="129"/>
      <c r="C117" s="46">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6" t="str">
        <f t="shared" si="7"/>
        <v/>
      </c>
      <c r="AK117" s="59"/>
      <c r="AL117" s="59" t="str">
        <f t="shared" si="10"/>
        <v>00</v>
      </c>
      <c r="AM117" s="59" t="str">
        <f t="shared" si="11"/>
        <v>00</v>
      </c>
      <c r="AN117" s="59" t="str">
        <f t="shared" si="12"/>
        <v>00</v>
      </c>
      <c r="AO117" s="59" t="str">
        <f t="shared" si="13"/>
        <v>00</v>
      </c>
      <c r="AQ117" t="str">
        <f t="shared" si="8"/>
        <v/>
      </c>
    </row>
    <row r="118" spans="2:43">
      <c r="B118" s="129"/>
      <c r="C118" s="46">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6" t="str">
        <f t="shared" si="7"/>
        <v/>
      </c>
      <c r="AK118" s="59"/>
      <c r="AL118" s="59" t="str">
        <f t="shared" si="10"/>
        <v>00</v>
      </c>
      <c r="AM118" s="59" t="str">
        <f t="shared" si="11"/>
        <v>00</v>
      </c>
      <c r="AN118" s="59" t="str">
        <f t="shared" si="12"/>
        <v>00</v>
      </c>
      <c r="AO118" s="59" t="str">
        <f t="shared" si="13"/>
        <v>00</v>
      </c>
      <c r="AQ118" t="str">
        <f t="shared" si="8"/>
        <v/>
      </c>
    </row>
    <row r="119" spans="2:43">
      <c r="B119" s="129"/>
      <c r="C119" s="46">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6" t="str">
        <f t="shared" si="7"/>
        <v/>
      </c>
      <c r="AK119" s="59"/>
      <c r="AL119" s="59" t="str">
        <f t="shared" si="10"/>
        <v>00</v>
      </c>
      <c r="AM119" s="59" t="str">
        <f t="shared" si="11"/>
        <v>00</v>
      </c>
      <c r="AN119" s="59" t="str">
        <f t="shared" si="12"/>
        <v>00</v>
      </c>
      <c r="AO119" s="59" t="str">
        <f t="shared" si="13"/>
        <v>00</v>
      </c>
      <c r="AQ119" t="str">
        <f t="shared" si="8"/>
        <v/>
      </c>
    </row>
    <row r="120" spans="2:43">
      <c r="B120" s="129"/>
      <c r="C120" s="46">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6" t="str">
        <f t="shared" si="7"/>
        <v/>
      </c>
      <c r="AK120" s="59"/>
      <c r="AL120" s="59" t="str">
        <f t="shared" si="10"/>
        <v>00</v>
      </c>
      <c r="AM120" s="59" t="str">
        <f t="shared" si="11"/>
        <v>00</v>
      </c>
      <c r="AN120" s="59" t="str">
        <f t="shared" si="12"/>
        <v>00</v>
      </c>
      <c r="AO120" s="59" t="str">
        <f t="shared" si="13"/>
        <v>00</v>
      </c>
      <c r="AQ120" t="str">
        <f t="shared" si="8"/>
        <v/>
      </c>
    </row>
    <row r="121" spans="2:43">
      <c r="B121" s="129"/>
      <c r="C121" s="46">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6" t="str">
        <f t="shared" si="7"/>
        <v/>
      </c>
      <c r="AK121" s="59"/>
      <c r="AL121" s="59" t="str">
        <f t="shared" si="10"/>
        <v>00</v>
      </c>
      <c r="AM121" s="59" t="str">
        <f t="shared" si="11"/>
        <v>00</v>
      </c>
      <c r="AN121" s="59" t="str">
        <f t="shared" si="12"/>
        <v>00</v>
      </c>
      <c r="AO121" s="59" t="str">
        <f t="shared" si="13"/>
        <v>00</v>
      </c>
      <c r="AQ121" t="str">
        <f t="shared" si="8"/>
        <v/>
      </c>
    </row>
    <row r="122" spans="2:43">
      <c r="B122" s="129"/>
      <c r="C122" s="46">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6" t="str">
        <f t="shared" si="7"/>
        <v/>
      </c>
      <c r="AK122" s="59"/>
      <c r="AL122" s="59" t="str">
        <f t="shared" si="10"/>
        <v>00</v>
      </c>
      <c r="AM122" s="59" t="str">
        <f t="shared" si="11"/>
        <v>00</v>
      </c>
      <c r="AN122" s="59" t="str">
        <f t="shared" si="12"/>
        <v>00</v>
      </c>
      <c r="AO122" s="59" t="str">
        <f t="shared" si="13"/>
        <v>00</v>
      </c>
      <c r="AQ122" t="str">
        <f t="shared" si="8"/>
        <v/>
      </c>
    </row>
    <row r="123" spans="2:43">
      <c r="B123" s="129"/>
      <c r="C123" s="46">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6" t="str">
        <f t="shared" si="7"/>
        <v/>
      </c>
      <c r="AK123" s="59"/>
      <c r="AL123" s="59" t="str">
        <f t="shared" si="10"/>
        <v>00</v>
      </c>
      <c r="AM123" s="59" t="str">
        <f t="shared" si="11"/>
        <v>00</v>
      </c>
      <c r="AN123" s="59" t="str">
        <f t="shared" si="12"/>
        <v>00</v>
      </c>
      <c r="AO123" s="59" t="str">
        <f t="shared" si="13"/>
        <v>00</v>
      </c>
      <c r="AQ123" t="str">
        <f t="shared" si="8"/>
        <v/>
      </c>
    </row>
    <row r="124" spans="2:43">
      <c r="B124" s="129"/>
      <c r="C124" s="46">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6" t="str">
        <f t="shared" si="7"/>
        <v/>
      </c>
      <c r="AK124" s="59"/>
      <c r="AL124" s="59" t="str">
        <f t="shared" si="10"/>
        <v>00</v>
      </c>
      <c r="AM124" s="59" t="str">
        <f t="shared" si="11"/>
        <v>00</v>
      </c>
      <c r="AN124" s="59" t="str">
        <f t="shared" si="12"/>
        <v>00</v>
      </c>
      <c r="AO124" s="59" t="str">
        <f t="shared" si="13"/>
        <v>00</v>
      </c>
      <c r="AQ124" t="str">
        <f t="shared" si="8"/>
        <v/>
      </c>
    </row>
    <row r="125" spans="2:43">
      <c r="B125" s="129"/>
      <c r="C125" s="46">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6" t="str">
        <f t="shared" si="7"/>
        <v/>
      </c>
      <c r="AK125" s="59"/>
      <c r="AL125" s="59" t="str">
        <f t="shared" si="10"/>
        <v>00</v>
      </c>
      <c r="AM125" s="59" t="str">
        <f t="shared" si="11"/>
        <v>00</v>
      </c>
      <c r="AN125" s="59" t="str">
        <f t="shared" si="12"/>
        <v>00</v>
      </c>
      <c r="AO125" s="59" t="str">
        <f t="shared" si="13"/>
        <v>00</v>
      </c>
      <c r="AQ125" t="str">
        <f t="shared" si="8"/>
        <v/>
      </c>
    </row>
    <row r="126" spans="2:43">
      <c r="B126" s="129"/>
      <c r="C126" s="46">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6" t="str">
        <f t="shared" si="7"/>
        <v/>
      </c>
      <c r="AK126" s="59"/>
      <c r="AL126" s="59" t="str">
        <f t="shared" si="10"/>
        <v>00</v>
      </c>
      <c r="AM126" s="59" t="str">
        <f t="shared" si="11"/>
        <v>00</v>
      </c>
      <c r="AN126" s="59" t="str">
        <f t="shared" si="12"/>
        <v>00</v>
      </c>
      <c r="AO126" s="59" t="str">
        <f t="shared" si="13"/>
        <v>00</v>
      </c>
      <c r="AQ126" t="str">
        <f t="shared" si="8"/>
        <v/>
      </c>
    </row>
    <row r="127" spans="2:43">
      <c r="B127" s="129"/>
      <c r="C127" s="46">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6" t="str">
        <f t="shared" si="7"/>
        <v/>
      </c>
      <c r="AK127" s="59"/>
      <c r="AL127" s="59" t="str">
        <f t="shared" si="10"/>
        <v>00</v>
      </c>
      <c r="AM127" s="59" t="str">
        <f t="shared" si="11"/>
        <v>00</v>
      </c>
      <c r="AN127" s="59" t="str">
        <f t="shared" si="12"/>
        <v>00</v>
      </c>
      <c r="AO127" s="59" t="str">
        <f t="shared" si="13"/>
        <v>00</v>
      </c>
      <c r="AQ127" t="str">
        <f t="shared" si="8"/>
        <v/>
      </c>
    </row>
    <row r="128" spans="2:43">
      <c r="B128" s="129"/>
      <c r="C128" s="46">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6" t="str">
        <f t="shared" si="7"/>
        <v/>
      </c>
      <c r="AK128" s="59"/>
      <c r="AL128" s="59" t="str">
        <f t="shared" si="10"/>
        <v>00</v>
      </c>
      <c r="AM128" s="59" t="str">
        <f t="shared" si="11"/>
        <v>00</v>
      </c>
      <c r="AN128" s="59" t="str">
        <f t="shared" si="12"/>
        <v>00</v>
      </c>
      <c r="AO128" s="59" t="str">
        <f t="shared" si="13"/>
        <v>00</v>
      </c>
      <c r="AQ128" t="str">
        <f t="shared" si="8"/>
        <v/>
      </c>
    </row>
    <row r="129" spans="1:43">
      <c r="B129" s="129"/>
      <c r="C129" s="46">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6" t="str">
        <f t="shared" si="7"/>
        <v/>
      </c>
      <c r="AK129" s="59"/>
      <c r="AL129" s="59" t="str">
        <f t="shared" si="10"/>
        <v>00</v>
      </c>
      <c r="AM129" s="59" t="str">
        <f t="shared" si="11"/>
        <v>00</v>
      </c>
      <c r="AN129" s="59" t="str">
        <f t="shared" si="12"/>
        <v>00</v>
      </c>
      <c r="AO129" s="59" t="str">
        <f t="shared" si="13"/>
        <v>00</v>
      </c>
      <c r="AQ129" t="str">
        <f t="shared" si="8"/>
        <v/>
      </c>
    </row>
    <row r="130" spans="1:43">
      <c r="B130" s="129"/>
      <c r="C130" s="46">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6" t="str">
        <f t="shared" si="7"/>
        <v/>
      </c>
      <c r="AK130" s="59"/>
      <c r="AL130" s="59" t="str">
        <f t="shared" si="10"/>
        <v>00</v>
      </c>
      <c r="AM130" s="59" t="str">
        <f t="shared" si="11"/>
        <v>00</v>
      </c>
      <c r="AN130" s="59" t="str">
        <f t="shared" si="12"/>
        <v>00</v>
      </c>
      <c r="AO130" s="59" t="str">
        <f t="shared" si="13"/>
        <v>00</v>
      </c>
      <c r="AQ130" t="str">
        <f t="shared" si="8"/>
        <v/>
      </c>
    </row>
    <row r="131" spans="1:43">
      <c r="B131" s="129"/>
      <c r="C131" s="46">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6" t="str">
        <f t="shared" si="7"/>
        <v/>
      </c>
      <c r="AK131" s="59"/>
      <c r="AL131" s="59" t="str">
        <f t="shared" si="10"/>
        <v>00</v>
      </c>
      <c r="AM131" s="59" t="str">
        <f t="shared" si="11"/>
        <v>00</v>
      </c>
      <c r="AN131" s="59" t="str">
        <f t="shared" si="12"/>
        <v>00</v>
      </c>
      <c r="AO131" s="59" t="str">
        <f t="shared" si="13"/>
        <v>00</v>
      </c>
      <c r="AQ131" t="str">
        <f t="shared" si="8"/>
        <v/>
      </c>
    </row>
    <row r="132" spans="1:43">
      <c r="B132" s="129"/>
      <c r="C132" s="46">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6" t="str">
        <f t="shared" si="7"/>
        <v/>
      </c>
      <c r="AK132" s="59"/>
      <c r="AL132" s="59" t="str">
        <f t="shared" si="10"/>
        <v>00</v>
      </c>
      <c r="AM132" s="59" t="str">
        <f t="shared" si="11"/>
        <v>00</v>
      </c>
      <c r="AN132" s="59" t="str">
        <f t="shared" si="12"/>
        <v>00</v>
      </c>
      <c r="AO132" s="59" t="str">
        <f t="shared" si="13"/>
        <v>00</v>
      </c>
      <c r="AQ132" t="str">
        <f t="shared" si="8"/>
        <v/>
      </c>
    </row>
    <row r="133" spans="1:43">
      <c r="B133" s="129"/>
      <c r="C133" s="46">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6" t="str">
        <f t="shared" si="7"/>
        <v/>
      </c>
      <c r="AK133" s="59"/>
      <c r="AL133" s="59" t="str">
        <f t="shared" si="10"/>
        <v>00</v>
      </c>
      <c r="AM133" s="59" t="str">
        <f t="shared" si="11"/>
        <v>00</v>
      </c>
      <c r="AN133" s="59" t="str">
        <f t="shared" si="12"/>
        <v>00</v>
      </c>
      <c r="AO133" s="59" t="str">
        <f t="shared" si="13"/>
        <v>00</v>
      </c>
      <c r="AQ133" t="str">
        <f t="shared" si="8"/>
        <v/>
      </c>
    </row>
    <row r="134" spans="1:43">
      <c r="B134" s="130"/>
      <c r="C134" s="46">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6" t="str">
        <f t="shared" si="7"/>
        <v/>
      </c>
      <c r="AK134" s="59"/>
      <c r="AL134" s="59" t="str">
        <f t="shared" si="10"/>
        <v>00</v>
      </c>
      <c r="AM134" s="59" t="str">
        <f t="shared" si="11"/>
        <v>00</v>
      </c>
      <c r="AN134" s="59" t="str">
        <f t="shared" si="12"/>
        <v>00</v>
      </c>
      <c r="AO134" s="59" t="str">
        <f t="shared" si="13"/>
        <v>00</v>
      </c>
      <c r="AQ134" t="str">
        <f t="shared" si="8"/>
        <v/>
      </c>
    </row>
    <row r="135" spans="1:43">
      <c r="A135" s="55" t="s">
        <v>70</v>
      </c>
      <c r="B135" s="56"/>
      <c r="C135" s="56"/>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6"/>
    </row>
    <row r="136" spans="1:43">
      <c r="B136" s="131" t="str">
        <f ca="1">IF(B6&lt;&gt;"",B6,"")</f>
        <v>Table S_ADBZR_DMC</v>
      </c>
      <c r="C136" s="46">
        <f>IF(C6&lt;&gt;"",C6,"")</f>
        <v>0</v>
      </c>
      <c r="D136" s="123">
        <f t="shared" ref="D136:AI143" si="29">IF(OR(D6=0,D6=1),1,0)</f>
        <v>0</v>
      </c>
      <c r="E136" s="123">
        <f t="shared" si="29"/>
        <v>0</v>
      </c>
      <c r="F136" s="123">
        <f t="shared" si="29"/>
        <v>0</v>
      </c>
      <c r="G136" s="123">
        <f t="shared" si="29"/>
        <v>0</v>
      </c>
      <c r="H136" s="123">
        <f t="shared" si="29"/>
        <v>0</v>
      </c>
      <c r="I136" s="123">
        <f t="shared" si="29"/>
        <v>0</v>
      </c>
      <c r="J136" s="123">
        <f>IF(OR(J6=0,J6=1),1,0)</f>
        <v>0</v>
      </c>
      <c r="K136" s="123">
        <f>IF(OR(K6=0,K6=1),1,0)</f>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IF(OR(AA6=0,AA6=1),1,0)</f>
        <v>0</v>
      </c>
      <c r="AB136" s="123">
        <f>IF(OR(AB6=0,AB6=1),1,0)</f>
        <v>0</v>
      </c>
      <c r="AC136" s="123">
        <f t="shared" si="29"/>
        <v>0</v>
      </c>
      <c r="AD136" s="123">
        <f t="shared" si="29"/>
        <v>0</v>
      </c>
      <c r="AE136" s="123">
        <f t="shared" si="29"/>
        <v>0</v>
      </c>
      <c r="AF136" s="123">
        <f t="shared" si="29"/>
        <v>1</v>
      </c>
      <c r="AG136" s="123">
        <f t="shared" si="29"/>
        <v>1</v>
      </c>
      <c r="AH136" s="123">
        <f t="shared" si="29"/>
        <v>1</v>
      </c>
      <c r="AI136" s="123">
        <f t="shared" si="29"/>
        <v>1</v>
      </c>
      <c r="AJ136" s="46" t="str">
        <f t="shared" ref="AJ136:AJ199" si="30">IF(AJ6&lt;&gt;"",AJ6,"")</f>
        <v>UNKNOWN</v>
      </c>
      <c r="AK136" s="59"/>
      <c r="AL136" s="59" t="str">
        <f>BIN2HEX(AB136&amp;AC136&amp;AD136&amp;AE136&amp;AF136&amp;AG136&amp;AH136&amp;AI136,2)</f>
        <v>0F</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9"/>
      <c r="C137" s="46">
        <f t="shared" ref="C137:C199" si="32">IF(C7&lt;&gt;"",C7,"")</f>
        <v>1</v>
      </c>
      <c r="D137" s="123">
        <f t="shared" si="29"/>
        <v>0</v>
      </c>
      <c r="E137" s="123">
        <f t="shared" si="29"/>
        <v>0</v>
      </c>
      <c r="F137" s="123">
        <f t="shared" si="29"/>
        <v>0</v>
      </c>
      <c r="G137" s="123">
        <f t="shared" si="29"/>
        <v>0</v>
      </c>
      <c r="H137" s="123">
        <f t="shared" si="29"/>
        <v>0</v>
      </c>
      <c r="I137" s="123">
        <f t="shared" si="29"/>
        <v>0</v>
      </c>
      <c r="J137" s="123">
        <f>IF(OR(J7=0,J7=1),1,0)</f>
        <v>0</v>
      </c>
      <c r="K137" s="123">
        <f>IF(OR(K7=0,K7=1),1,0)</f>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IF(OR(AA7=0,AA7=1),1,0)</f>
        <v>0</v>
      </c>
      <c r="AB137" s="123">
        <f>IF(OR(AB7=0,AB7=1),1,0)</f>
        <v>0</v>
      </c>
      <c r="AC137" s="123">
        <f t="shared" si="29"/>
        <v>0</v>
      </c>
      <c r="AD137" s="123">
        <f t="shared" si="29"/>
        <v>0</v>
      </c>
      <c r="AE137" s="123">
        <f t="shared" si="29"/>
        <v>0</v>
      </c>
      <c r="AF137" s="123">
        <f t="shared" si="29"/>
        <v>1</v>
      </c>
      <c r="AG137" s="123">
        <f t="shared" si="29"/>
        <v>1</v>
      </c>
      <c r="AH137" s="123">
        <f t="shared" si="29"/>
        <v>1</v>
      </c>
      <c r="AI137" s="123">
        <f t="shared" si="29"/>
        <v>1</v>
      </c>
      <c r="AJ137" s="46" t="str">
        <f t="shared" si="30"/>
        <v>SINGLE</v>
      </c>
      <c r="AK137" s="59"/>
      <c r="AL137" s="59" t="str">
        <f t="shared" ref="AL137:AL199" si="33">BIN2HEX(AB137&amp;AC137&amp;AD137&amp;AE137&amp;AF137&amp;AG137&amp;AH137&amp;AI137,2)</f>
        <v>0F</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(U4)0x0000000FU,                                                           /* 01 SINGLE                                          */</v>
      </c>
    </row>
    <row r="138" spans="1:43">
      <c r="B138" s="129"/>
      <c r="C138" s="46">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1</v>
      </c>
      <c r="AG138" s="123">
        <f t="shared" si="29"/>
        <v>1</v>
      </c>
      <c r="AH138" s="123">
        <f t="shared" si="29"/>
        <v>1</v>
      </c>
      <c r="AI138" s="123">
        <f t="shared" si="29"/>
        <v>1</v>
      </c>
      <c r="AJ138" s="46" t="str">
        <f t="shared" si="30"/>
        <v>CYCLE</v>
      </c>
      <c r="AK138" s="59"/>
      <c r="AL138" s="59" t="str">
        <f t="shared" si="33"/>
        <v>0F</v>
      </c>
      <c r="AM138" s="59" t="str">
        <f t="shared" si="34"/>
        <v>00</v>
      </c>
      <c r="AN138" s="59" t="str">
        <f t="shared" si="35"/>
        <v>00</v>
      </c>
      <c r="AO138" s="59" t="str">
        <f t="shared" si="36"/>
        <v>00</v>
      </c>
      <c r="AQ138" t="str">
        <f t="shared" si="31"/>
        <v xml:space="preserve">    (U4)0x0000000FU,                                                           /* 02 CYCLE                                           */</v>
      </c>
    </row>
    <row r="139" spans="1:43">
      <c r="B139" s="129"/>
      <c r="C139" s="46">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1</v>
      </c>
      <c r="AG139" s="123">
        <f t="shared" si="29"/>
        <v>1</v>
      </c>
      <c r="AH139" s="123">
        <f t="shared" si="29"/>
        <v>1</v>
      </c>
      <c r="AI139" s="123">
        <f t="shared" si="29"/>
        <v>1</v>
      </c>
      <c r="AJ139" s="46" t="str">
        <f t="shared" si="30"/>
        <v>UNKNOWN</v>
      </c>
      <c r="AK139" s="59"/>
      <c r="AL139" s="59" t="str">
        <f t="shared" si="33"/>
        <v>0F</v>
      </c>
      <c r="AM139" s="59" t="str">
        <f t="shared" si="34"/>
        <v>00</v>
      </c>
      <c r="AN139" s="59" t="str">
        <f t="shared" si="35"/>
        <v>00</v>
      </c>
      <c r="AO139" s="59" t="str">
        <f t="shared" si="36"/>
        <v>00</v>
      </c>
      <c r="AQ139" t="str">
        <f t="shared" si="31"/>
        <v xml:space="preserve">    (U4)0x0000000FU,                                                           /* 03 UNKNOWN                                         */</v>
      </c>
    </row>
    <row r="140" spans="1:43">
      <c r="B140" s="129"/>
      <c r="C140" s="46">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1</v>
      </c>
      <c r="AG140" s="123">
        <f t="shared" si="29"/>
        <v>1</v>
      </c>
      <c r="AH140" s="123">
        <f t="shared" si="29"/>
        <v>1</v>
      </c>
      <c r="AI140" s="123">
        <f t="shared" si="29"/>
        <v>1</v>
      </c>
      <c r="AJ140" s="46" t="str">
        <f t="shared" si="30"/>
        <v>UNKNOWN</v>
      </c>
      <c r="AK140" s="59"/>
      <c r="AL140" s="59" t="str">
        <f t="shared" si="33"/>
        <v>0F</v>
      </c>
      <c r="AM140" s="59" t="str">
        <f t="shared" si="34"/>
        <v>00</v>
      </c>
      <c r="AN140" s="59" t="str">
        <f t="shared" si="35"/>
        <v>00</v>
      </c>
      <c r="AO140" s="59" t="str">
        <f t="shared" si="36"/>
        <v>00</v>
      </c>
      <c r="AQ140" t="str">
        <f t="shared" si="31"/>
        <v xml:space="preserve">    (U4)0x0000000FU,                                                           /* 04 UNKNOWN                                         */</v>
      </c>
    </row>
    <row r="141" spans="1:43">
      <c r="B141" s="129"/>
      <c r="C141" s="46">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1</v>
      </c>
      <c r="AG141" s="123">
        <f t="shared" si="29"/>
        <v>1</v>
      </c>
      <c r="AH141" s="123">
        <f t="shared" si="29"/>
        <v>1</v>
      </c>
      <c r="AI141" s="123">
        <f t="shared" si="29"/>
        <v>1</v>
      </c>
      <c r="AJ141" s="46" t="str">
        <f t="shared" si="30"/>
        <v>UNKNOWN</v>
      </c>
      <c r="AK141" s="59"/>
      <c r="AL141" s="59" t="str">
        <f t="shared" si="33"/>
        <v>0F</v>
      </c>
      <c r="AM141" s="59" t="str">
        <f t="shared" si="34"/>
        <v>00</v>
      </c>
      <c r="AN141" s="59" t="str">
        <f t="shared" si="35"/>
        <v>00</v>
      </c>
      <c r="AO141" s="59" t="str">
        <f t="shared" si="36"/>
        <v>00</v>
      </c>
      <c r="AQ141" t="str">
        <f t="shared" si="31"/>
        <v xml:space="preserve">    (U4)0x0000000FU,                                                           /* 05 UNKNOWN                                         */</v>
      </c>
    </row>
    <row r="142" spans="1:43">
      <c r="B142" s="129"/>
      <c r="C142" s="46">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1</v>
      </c>
      <c r="AG142" s="123">
        <f t="shared" si="29"/>
        <v>1</v>
      </c>
      <c r="AH142" s="123">
        <f t="shared" si="29"/>
        <v>1</v>
      </c>
      <c r="AI142" s="123">
        <f t="shared" si="29"/>
        <v>1</v>
      </c>
      <c r="AJ142" s="46" t="str">
        <f t="shared" si="30"/>
        <v>UNKNOWN</v>
      </c>
      <c r="AK142" s="59"/>
      <c r="AL142" s="59" t="str">
        <f t="shared" si="33"/>
        <v>0F</v>
      </c>
      <c r="AM142" s="59" t="str">
        <f t="shared" si="34"/>
        <v>00</v>
      </c>
      <c r="AN142" s="59" t="str">
        <f t="shared" si="35"/>
        <v>00</v>
      </c>
      <c r="AO142" s="59" t="str">
        <f t="shared" si="36"/>
        <v>00</v>
      </c>
      <c r="AQ142" t="str">
        <f t="shared" si="31"/>
        <v xml:space="preserve">    (U4)0x0000000FU,                                                           /* 06 UNKNOWN                                         */</v>
      </c>
    </row>
    <row r="143" spans="1:43">
      <c r="B143" s="129"/>
      <c r="C143" s="46">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1</v>
      </c>
      <c r="AG143" s="123">
        <f t="shared" si="29"/>
        <v>1</v>
      </c>
      <c r="AH143" s="123">
        <f t="shared" si="29"/>
        <v>1</v>
      </c>
      <c r="AI143" s="123">
        <f t="shared" ref="AI143" si="37">IF(OR(AI13=0,AI13=1),1,0)</f>
        <v>1</v>
      </c>
      <c r="AJ143" s="46" t="str">
        <f t="shared" si="30"/>
        <v>UNKNOWN</v>
      </c>
      <c r="AK143" s="59"/>
      <c r="AL143" s="59" t="str">
        <f t="shared" si="33"/>
        <v>0F</v>
      </c>
      <c r="AM143" s="59" t="str">
        <f t="shared" si="34"/>
        <v>00</v>
      </c>
      <c r="AN143" s="59" t="str">
        <f t="shared" si="35"/>
        <v>00</v>
      </c>
      <c r="AO143" s="59" t="str">
        <f t="shared" si="36"/>
        <v>00</v>
      </c>
      <c r="AQ143" t="str">
        <f t="shared" si="31"/>
        <v xml:space="preserve">    (U4)0x0000000FU,                                                           /* 07 UNKNOWN                                         */</v>
      </c>
    </row>
    <row r="144" spans="1:43">
      <c r="B144" s="129"/>
      <c r="C144" s="46">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1</v>
      </c>
      <c r="AG144" s="123">
        <f t="shared" si="38"/>
        <v>1</v>
      </c>
      <c r="AH144" s="123">
        <f t="shared" si="38"/>
        <v>1</v>
      </c>
      <c r="AI144" s="123">
        <f t="shared" si="38"/>
        <v>1</v>
      </c>
      <c r="AJ144" s="46" t="str">
        <f t="shared" si="30"/>
        <v>UNKNOWN</v>
      </c>
      <c r="AK144" s="59"/>
      <c r="AL144" s="59" t="str">
        <f t="shared" si="33"/>
        <v>0F</v>
      </c>
      <c r="AM144" s="59" t="str">
        <f t="shared" si="34"/>
        <v>00</v>
      </c>
      <c r="AN144" s="59" t="str">
        <f t="shared" si="35"/>
        <v>00</v>
      </c>
      <c r="AO144" s="59" t="str">
        <f t="shared" si="36"/>
        <v>00</v>
      </c>
      <c r="AQ144" t="str">
        <f t="shared" si="31"/>
        <v xml:space="preserve">    (U4)0x0000000FU,                                                           /* 08 UNKNOWN                                         */</v>
      </c>
    </row>
    <row r="145" spans="2:43">
      <c r="B145" s="129"/>
      <c r="C145" s="46">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1</v>
      </c>
      <c r="AG145" s="123">
        <f t="shared" si="38"/>
        <v>1</v>
      </c>
      <c r="AH145" s="123">
        <f t="shared" si="38"/>
        <v>1</v>
      </c>
      <c r="AI145" s="123">
        <f t="shared" si="38"/>
        <v>1</v>
      </c>
      <c r="AJ145" s="46" t="str">
        <f t="shared" si="30"/>
        <v>UNKNOWN</v>
      </c>
      <c r="AK145" s="59"/>
      <c r="AL145" s="59" t="str">
        <f t="shared" si="33"/>
        <v>0F</v>
      </c>
      <c r="AM145" s="59" t="str">
        <f t="shared" si="34"/>
        <v>00</v>
      </c>
      <c r="AN145" s="59" t="str">
        <f t="shared" si="35"/>
        <v>00</v>
      </c>
      <c r="AO145" s="59" t="str">
        <f t="shared" si="36"/>
        <v>00</v>
      </c>
      <c r="AQ145" t="str">
        <f t="shared" si="31"/>
        <v xml:space="preserve">    (U4)0x0000000FU,                                                           /* 09 UNKNOWN                                         */</v>
      </c>
    </row>
    <row r="146" spans="2:43">
      <c r="B146" s="129"/>
      <c r="C146" s="46">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1</v>
      </c>
      <c r="AG146" s="123">
        <f t="shared" si="38"/>
        <v>1</v>
      </c>
      <c r="AH146" s="123">
        <f t="shared" si="38"/>
        <v>1</v>
      </c>
      <c r="AI146" s="123">
        <f t="shared" si="38"/>
        <v>1</v>
      </c>
      <c r="AJ146" s="46" t="str">
        <f t="shared" si="30"/>
        <v>UNKNOWN</v>
      </c>
      <c r="AK146" s="59"/>
      <c r="AL146" s="59" t="str">
        <f t="shared" si="33"/>
        <v>0F</v>
      </c>
      <c r="AM146" s="59" t="str">
        <f t="shared" si="34"/>
        <v>00</v>
      </c>
      <c r="AN146" s="59" t="str">
        <f t="shared" si="35"/>
        <v>00</v>
      </c>
      <c r="AO146" s="59" t="str">
        <f t="shared" si="36"/>
        <v>00</v>
      </c>
      <c r="AQ146" t="str">
        <f t="shared" si="31"/>
        <v xml:space="preserve">    (U4)0x0000000FU,                                                           /* 10 UNKNOWN                                         */</v>
      </c>
    </row>
    <row r="147" spans="2:43">
      <c r="B147" s="129"/>
      <c r="C147" s="46">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1</v>
      </c>
      <c r="AG147" s="123">
        <f t="shared" si="38"/>
        <v>1</v>
      </c>
      <c r="AH147" s="123">
        <f t="shared" si="38"/>
        <v>1</v>
      </c>
      <c r="AI147" s="123">
        <f t="shared" si="38"/>
        <v>1</v>
      </c>
      <c r="AJ147" s="46" t="str">
        <f t="shared" si="30"/>
        <v>UNKNOWN</v>
      </c>
      <c r="AK147" s="59"/>
      <c r="AL147" s="59" t="str">
        <f t="shared" si="33"/>
        <v>0F</v>
      </c>
      <c r="AM147" s="59" t="str">
        <f t="shared" si="34"/>
        <v>00</v>
      </c>
      <c r="AN147" s="59" t="str">
        <f t="shared" si="35"/>
        <v>00</v>
      </c>
      <c r="AO147" s="59" t="str">
        <f t="shared" si="36"/>
        <v>00</v>
      </c>
      <c r="AQ147" t="str">
        <f t="shared" si="31"/>
        <v xml:space="preserve">    (U4)0x0000000FU,                                                           /* 11 UNKNOWN                                         */</v>
      </c>
    </row>
    <row r="148" spans="2:43">
      <c r="B148" s="129"/>
      <c r="C148" s="46">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1</v>
      </c>
      <c r="AG148" s="123">
        <f t="shared" si="38"/>
        <v>1</v>
      </c>
      <c r="AH148" s="123">
        <f t="shared" si="38"/>
        <v>1</v>
      </c>
      <c r="AI148" s="123">
        <f t="shared" si="38"/>
        <v>1</v>
      </c>
      <c r="AJ148" s="46" t="str">
        <f t="shared" si="30"/>
        <v>UNKNOWN</v>
      </c>
      <c r="AK148" s="59"/>
      <c r="AL148" s="59" t="str">
        <f t="shared" si="33"/>
        <v>0F</v>
      </c>
      <c r="AM148" s="59" t="str">
        <f t="shared" si="34"/>
        <v>00</v>
      </c>
      <c r="AN148" s="59" t="str">
        <f t="shared" si="35"/>
        <v>00</v>
      </c>
      <c r="AO148" s="59" t="str">
        <f t="shared" si="36"/>
        <v>00</v>
      </c>
      <c r="AQ148" t="str">
        <f t="shared" si="31"/>
        <v xml:space="preserve">    (U4)0x0000000FU,                                                           /* 12 UNKNOWN                                         */</v>
      </c>
    </row>
    <row r="149" spans="2:43">
      <c r="B149" s="129"/>
      <c r="C149" s="46">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1</v>
      </c>
      <c r="AG149" s="123">
        <f t="shared" si="38"/>
        <v>1</v>
      </c>
      <c r="AH149" s="123">
        <f t="shared" si="38"/>
        <v>1</v>
      </c>
      <c r="AI149" s="123">
        <f t="shared" si="38"/>
        <v>1</v>
      </c>
      <c r="AJ149" s="46" t="str">
        <f t="shared" si="30"/>
        <v>UNKNOWN</v>
      </c>
      <c r="AK149" s="59"/>
      <c r="AL149" s="59" t="str">
        <f t="shared" si="33"/>
        <v>0F</v>
      </c>
      <c r="AM149" s="59" t="str">
        <f t="shared" si="34"/>
        <v>00</v>
      </c>
      <c r="AN149" s="59" t="str">
        <f t="shared" si="35"/>
        <v>00</v>
      </c>
      <c r="AO149" s="59" t="str">
        <f t="shared" si="36"/>
        <v>00</v>
      </c>
      <c r="AQ149" t="str">
        <f t="shared" si="31"/>
        <v xml:space="preserve">    (U4)0x0000000FU,                                                           /* 13 UNKNOWN                                         */</v>
      </c>
    </row>
    <row r="150" spans="2:43">
      <c r="B150" s="129"/>
      <c r="C150" s="46">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1</v>
      </c>
      <c r="AG150" s="123">
        <f t="shared" si="38"/>
        <v>1</v>
      </c>
      <c r="AH150" s="123">
        <f t="shared" si="38"/>
        <v>1</v>
      </c>
      <c r="AI150" s="123">
        <f t="shared" si="38"/>
        <v>1</v>
      </c>
      <c r="AJ150" s="46" t="str">
        <f t="shared" si="30"/>
        <v>UNKNOWN</v>
      </c>
      <c r="AK150" s="59"/>
      <c r="AL150" s="59" t="str">
        <f t="shared" si="33"/>
        <v>0F</v>
      </c>
      <c r="AM150" s="59" t="str">
        <f t="shared" si="34"/>
        <v>00</v>
      </c>
      <c r="AN150" s="59" t="str">
        <f t="shared" si="35"/>
        <v>00</v>
      </c>
      <c r="AO150" s="59" t="str">
        <f t="shared" si="36"/>
        <v>00</v>
      </c>
      <c r="AQ150" t="str">
        <f t="shared" si="31"/>
        <v xml:space="preserve">    (U4)0x0000000FU,                                                           /* 14 UNKNOWN                                         */</v>
      </c>
    </row>
    <row r="151" spans="2:43">
      <c r="B151" s="129"/>
      <c r="C151" s="46">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1</v>
      </c>
      <c r="AG151" s="123">
        <f t="shared" si="38"/>
        <v>1</v>
      </c>
      <c r="AH151" s="123">
        <f t="shared" si="38"/>
        <v>1</v>
      </c>
      <c r="AI151" s="123">
        <f t="shared" ref="AI151" si="39">IF(OR(AI21=0,AI21=1),1,0)</f>
        <v>1</v>
      </c>
      <c r="AJ151" s="46" t="str">
        <f t="shared" si="30"/>
        <v>UNKNOWN</v>
      </c>
      <c r="AK151" s="59"/>
      <c r="AL151" s="59" t="str">
        <f t="shared" si="33"/>
        <v>0F</v>
      </c>
      <c r="AM151" s="59" t="str">
        <f t="shared" si="34"/>
        <v>00</v>
      </c>
      <c r="AN151" s="59" t="str">
        <f t="shared" si="35"/>
        <v>00</v>
      </c>
      <c r="AO151" s="59" t="str">
        <f t="shared" si="36"/>
        <v>00</v>
      </c>
      <c r="AQ151" t="str">
        <f t="shared" si="31"/>
        <v xml:space="preserve">    (U4)0x0000000FU                                                            /* 15 UNKNOWN                                         */</v>
      </c>
    </row>
    <row r="152" spans="2:43">
      <c r="B152" s="129"/>
      <c r="C152" s="46">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6" t="str">
        <f t="shared" si="30"/>
        <v/>
      </c>
      <c r="AK152" s="59"/>
      <c r="AL152" s="59" t="str">
        <f t="shared" si="33"/>
        <v>00</v>
      </c>
      <c r="AM152" s="59" t="str">
        <f t="shared" si="34"/>
        <v>00</v>
      </c>
      <c r="AN152" s="59" t="str">
        <f t="shared" si="35"/>
        <v>00</v>
      </c>
      <c r="AO152" s="59" t="str">
        <f t="shared" si="36"/>
        <v>00</v>
      </c>
      <c r="AQ152" t="str">
        <f t="shared" si="31"/>
        <v/>
      </c>
    </row>
    <row r="153" spans="2:43">
      <c r="B153" s="129"/>
      <c r="C153" s="46">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6" t="str">
        <f t="shared" si="30"/>
        <v/>
      </c>
      <c r="AK153" s="59"/>
      <c r="AL153" s="59" t="str">
        <f t="shared" si="33"/>
        <v>00</v>
      </c>
      <c r="AM153" s="59" t="str">
        <f t="shared" si="34"/>
        <v>00</v>
      </c>
      <c r="AN153" s="59" t="str">
        <f t="shared" si="35"/>
        <v>00</v>
      </c>
      <c r="AO153" s="59" t="str">
        <f t="shared" si="36"/>
        <v>00</v>
      </c>
      <c r="AQ153" t="str">
        <f t="shared" si="31"/>
        <v/>
      </c>
    </row>
    <row r="154" spans="2:43">
      <c r="B154" s="129"/>
      <c r="C154" s="46">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6" t="str">
        <f t="shared" si="30"/>
        <v/>
      </c>
      <c r="AK154" s="59"/>
      <c r="AL154" s="59" t="str">
        <f t="shared" si="33"/>
        <v>00</v>
      </c>
      <c r="AM154" s="59" t="str">
        <f t="shared" si="34"/>
        <v>00</v>
      </c>
      <c r="AN154" s="59" t="str">
        <f t="shared" si="35"/>
        <v>00</v>
      </c>
      <c r="AO154" s="59" t="str">
        <f t="shared" si="36"/>
        <v>00</v>
      </c>
      <c r="AQ154" t="str">
        <f t="shared" si="31"/>
        <v/>
      </c>
    </row>
    <row r="155" spans="2:43">
      <c r="B155" s="129"/>
      <c r="C155" s="46">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6" t="str">
        <f t="shared" si="30"/>
        <v/>
      </c>
      <c r="AK155" s="59"/>
      <c r="AL155" s="59" t="str">
        <f t="shared" si="33"/>
        <v>00</v>
      </c>
      <c r="AM155" s="59" t="str">
        <f t="shared" si="34"/>
        <v>00</v>
      </c>
      <c r="AN155" s="59" t="str">
        <f t="shared" si="35"/>
        <v>00</v>
      </c>
      <c r="AO155" s="59" t="str">
        <f t="shared" si="36"/>
        <v>00</v>
      </c>
      <c r="AQ155" t="str">
        <f t="shared" si="31"/>
        <v/>
      </c>
    </row>
    <row r="156" spans="2:43">
      <c r="B156" s="129"/>
      <c r="C156" s="46">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6" t="str">
        <f t="shared" si="30"/>
        <v/>
      </c>
      <c r="AK156" s="59"/>
      <c r="AL156" s="59" t="str">
        <f t="shared" si="33"/>
        <v>00</v>
      </c>
      <c r="AM156" s="59" t="str">
        <f t="shared" si="34"/>
        <v>00</v>
      </c>
      <c r="AN156" s="59" t="str">
        <f t="shared" si="35"/>
        <v>00</v>
      </c>
      <c r="AO156" s="59" t="str">
        <f t="shared" si="36"/>
        <v>00</v>
      </c>
      <c r="AQ156" t="str">
        <f t="shared" si="31"/>
        <v/>
      </c>
    </row>
    <row r="157" spans="2:43">
      <c r="B157" s="129"/>
      <c r="C157" s="46">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6" t="str">
        <f t="shared" si="30"/>
        <v/>
      </c>
      <c r="AK157" s="59"/>
      <c r="AL157" s="59" t="str">
        <f t="shared" si="33"/>
        <v>00</v>
      </c>
      <c r="AM157" s="59" t="str">
        <f t="shared" si="34"/>
        <v>00</v>
      </c>
      <c r="AN157" s="59" t="str">
        <f t="shared" si="35"/>
        <v>00</v>
      </c>
      <c r="AO157" s="59" t="str">
        <f t="shared" si="36"/>
        <v>00</v>
      </c>
      <c r="AQ157" t="str">
        <f t="shared" si="31"/>
        <v/>
      </c>
    </row>
    <row r="158" spans="2:43">
      <c r="B158" s="129"/>
      <c r="C158" s="46">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6" t="str">
        <f t="shared" si="30"/>
        <v/>
      </c>
      <c r="AK158" s="59"/>
      <c r="AL158" s="59" t="str">
        <f t="shared" si="33"/>
        <v>00</v>
      </c>
      <c r="AM158" s="59" t="str">
        <f t="shared" si="34"/>
        <v>00</v>
      </c>
      <c r="AN158" s="59" t="str">
        <f t="shared" si="35"/>
        <v>00</v>
      </c>
      <c r="AO158" s="59" t="str">
        <f t="shared" si="36"/>
        <v>00</v>
      </c>
      <c r="AQ158" t="str">
        <f t="shared" si="31"/>
        <v/>
      </c>
    </row>
    <row r="159" spans="2:43">
      <c r="B159" s="129"/>
      <c r="C159" s="46">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6" t="str">
        <f t="shared" si="30"/>
        <v/>
      </c>
      <c r="AK159" s="59"/>
      <c r="AL159" s="59" t="str">
        <f t="shared" si="33"/>
        <v>00</v>
      </c>
      <c r="AM159" s="59" t="str">
        <f t="shared" si="34"/>
        <v>00</v>
      </c>
      <c r="AN159" s="59" t="str">
        <f t="shared" si="35"/>
        <v>00</v>
      </c>
      <c r="AO159" s="59" t="str">
        <f t="shared" si="36"/>
        <v>00</v>
      </c>
      <c r="AQ159" t="str">
        <f t="shared" si="31"/>
        <v/>
      </c>
    </row>
    <row r="160" spans="2:43">
      <c r="B160" s="129"/>
      <c r="C160" s="46">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6" t="str">
        <f t="shared" si="30"/>
        <v/>
      </c>
      <c r="AK160" s="59"/>
      <c r="AL160" s="59" t="str">
        <f t="shared" si="33"/>
        <v>00</v>
      </c>
      <c r="AM160" s="59" t="str">
        <f t="shared" si="34"/>
        <v>00</v>
      </c>
      <c r="AN160" s="59" t="str">
        <f t="shared" si="35"/>
        <v>00</v>
      </c>
      <c r="AO160" s="59" t="str">
        <f t="shared" si="36"/>
        <v>00</v>
      </c>
      <c r="AQ160" t="str">
        <f t="shared" si="31"/>
        <v/>
      </c>
    </row>
    <row r="161" spans="2:43">
      <c r="B161" s="129"/>
      <c r="C161" s="46">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6" t="str">
        <f t="shared" si="30"/>
        <v/>
      </c>
      <c r="AK161" s="59"/>
      <c r="AL161" s="59" t="str">
        <f t="shared" si="33"/>
        <v>00</v>
      </c>
      <c r="AM161" s="59" t="str">
        <f t="shared" si="34"/>
        <v>00</v>
      </c>
      <c r="AN161" s="59" t="str">
        <f t="shared" si="35"/>
        <v>00</v>
      </c>
      <c r="AO161" s="59" t="str">
        <f t="shared" si="36"/>
        <v>00</v>
      </c>
      <c r="AQ161" t="str">
        <f t="shared" si="31"/>
        <v/>
      </c>
    </row>
    <row r="162" spans="2:43">
      <c r="B162" s="129"/>
      <c r="C162" s="46">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6" t="str">
        <f t="shared" si="30"/>
        <v/>
      </c>
      <c r="AK162" s="59"/>
      <c r="AL162" s="59" t="str">
        <f t="shared" si="33"/>
        <v>00</v>
      </c>
      <c r="AM162" s="59" t="str">
        <f t="shared" si="34"/>
        <v>00</v>
      </c>
      <c r="AN162" s="59" t="str">
        <f t="shared" si="35"/>
        <v>00</v>
      </c>
      <c r="AO162" s="59" t="str">
        <f t="shared" si="36"/>
        <v>00</v>
      </c>
      <c r="AQ162" t="str">
        <f t="shared" si="31"/>
        <v/>
      </c>
    </row>
    <row r="163" spans="2:43">
      <c r="B163" s="129"/>
      <c r="C163" s="46">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6" t="str">
        <f t="shared" si="30"/>
        <v/>
      </c>
      <c r="AK163" s="59"/>
      <c r="AL163" s="59" t="str">
        <f t="shared" si="33"/>
        <v>00</v>
      </c>
      <c r="AM163" s="59" t="str">
        <f t="shared" si="34"/>
        <v>00</v>
      </c>
      <c r="AN163" s="59" t="str">
        <f t="shared" si="35"/>
        <v>00</v>
      </c>
      <c r="AO163" s="59" t="str">
        <f t="shared" si="36"/>
        <v>00</v>
      </c>
      <c r="AQ163" t="str">
        <f t="shared" si="31"/>
        <v/>
      </c>
    </row>
    <row r="164" spans="2:43">
      <c r="B164" s="129"/>
      <c r="C164" s="46">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6" t="str">
        <f t="shared" si="30"/>
        <v/>
      </c>
      <c r="AK164" s="59"/>
      <c r="AL164" s="59" t="str">
        <f t="shared" si="33"/>
        <v>00</v>
      </c>
      <c r="AM164" s="59" t="str">
        <f t="shared" si="34"/>
        <v>00</v>
      </c>
      <c r="AN164" s="59" t="str">
        <f t="shared" si="35"/>
        <v>00</v>
      </c>
      <c r="AO164" s="59" t="str">
        <f t="shared" si="36"/>
        <v>00</v>
      </c>
      <c r="AQ164" t="str">
        <f t="shared" si="31"/>
        <v/>
      </c>
    </row>
    <row r="165" spans="2:43">
      <c r="B165" s="129"/>
      <c r="C165" s="46">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6" t="str">
        <f t="shared" si="30"/>
        <v/>
      </c>
      <c r="AK165" s="59"/>
      <c r="AL165" s="59" t="str">
        <f t="shared" si="33"/>
        <v>00</v>
      </c>
      <c r="AM165" s="59" t="str">
        <f t="shared" si="34"/>
        <v>00</v>
      </c>
      <c r="AN165" s="59" t="str">
        <f t="shared" si="35"/>
        <v>00</v>
      </c>
      <c r="AO165" s="59" t="str">
        <f t="shared" si="36"/>
        <v>00</v>
      </c>
      <c r="AQ165" t="str">
        <f t="shared" si="31"/>
        <v/>
      </c>
    </row>
    <row r="166" spans="2:43">
      <c r="B166" s="129"/>
      <c r="C166" s="46">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6" t="str">
        <f t="shared" si="30"/>
        <v/>
      </c>
      <c r="AK166" s="59"/>
      <c r="AL166" s="59" t="str">
        <f t="shared" si="33"/>
        <v>00</v>
      </c>
      <c r="AM166" s="59" t="str">
        <f t="shared" si="34"/>
        <v>00</v>
      </c>
      <c r="AN166" s="59" t="str">
        <f t="shared" si="35"/>
        <v>00</v>
      </c>
      <c r="AO166" s="59" t="str">
        <f t="shared" si="36"/>
        <v>00</v>
      </c>
      <c r="AQ166" t="str">
        <f t="shared" si="31"/>
        <v/>
      </c>
    </row>
    <row r="167" spans="2:43">
      <c r="B167" s="129"/>
      <c r="C167" s="46">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6" t="str">
        <f t="shared" si="30"/>
        <v/>
      </c>
      <c r="AK167" s="59"/>
      <c r="AL167" s="59" t="str">
        <f t="shared" si="33"/>
        <v>00</v>
      </c>
      <c r="AM167" s="59" t="str">
        <f t="shared" si="34"/>
        <v>00</v>
      </c>
      <c r="AN167" s="59" t="str">
        <f t="shared" si="35"/>
        <v>00</v>
      </c>
      <c r="AO167" s="59" t="str">
        <f t="shared" si="36"/>
        <v>00</v>
      </c>
      <c r="AQ167" t="str">
        <f t="shared" si="31"/>
        <v/>
      </c>
    </row>
    <row r="168" spans="2:43">
      <c r="B168" s="129"/>
      <c r="C168" s="46">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6" t="str">
        <f t="shared" si="30"/>
        <v/>
      </c>
      <c r="AK168" s="59"/>
      <c r="AL168" s="59" t="str">
        <f t="shared" si="33"/>
        <v>00</v>
      </c>
      <c r="AM168" s="59" t="str">
        <f t="shared" si="34"/>
        <v>00</v>
      </c>
      <c r="AN168" s="59" t="str">
        <f t="shared" si="35"/>
        <v>00</v>
      </c>
      <c r="AO168" s="59" t="str">
        <f t="shared" si="36"/>
        <v>00</v>
      </c>
      <c r="AQ168" t="str">
        <f t="shared" si="31"/>
        <v/>
      </c>
    </row>
    <row r="169" spans="2:43">
      <c r="B169" s="129"/>
      <c r="C169" s="46">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6" t="str">
        <f t="shared" si="30"/>
        <v/>
      </c>
      <c r="AK169" s="59"/>
      <c r="AL169" s="59" t="str">
        <f t="shared" si="33"/>
        <v>00</v>
      </c>
      <c r="AM169" s="59" t="str">
        <f t="shared" si="34"/>
        <v>00</v>
      </c>
      <c r="AN169" s="59" t="str">
        <f t="shared" si="35"/>
        <v>00</v>
      </c>
      <c r="AO169" s="59" t="str">
        <f t="shared" si="36"/>
        <v>00</v>
      </c>
      <c r="AQ169" t="str">
        <f t="shared" si="31"/>
        <v/>
      </c>
    </row>
    <row r="170" spans="2:43">
      <c r="B170" s="129"/>
      <c r="C170" s="46">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6" t="str">
        <f t="shared" si="30"/>
        <v/>
      </c>
      <c r="AK170" s="59"/>
      <c r="AL170" s="59" t="str">
        <f t="shared" si="33"/>
        <v>00</v>
      </c>
      <c r="AM170" s="59" t="str">
        <f t="shared" si="34"/>
        <v>00</v>
      </c>
      <c r="AN170" s="59" t="str">
        <f t="shared" si="35"/>
        <v>00</v>
      </c>
      <c r="AO170" s="59" t="str">
        <f t="shared" si="36"/>
        <v>00</v>
      </c>
      <c r="AQ170" t="str">
        <f t="shared" si="31"/>
        <v/>
      </c>
    </row>
    <row r="171" spans="2:43">
      <c r="B171" s="129"/>
      <c r="C171" s="46">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6" t="str">
        <f t="shared" si="30"/>
        <v/>
      </c>
      <c r="AK171" s="59"/>
      <c r="AL171" s="59" t="str">
        <f t="shared" si="33"/>
        <v>00</v>
      </c>
      <c r="AM171" s="59" t="str">
        <f t="shared" si="34"/>
        <v>00</v>
      </c>
      <c r="AN171" s="59" t="str">
        <f t="shared" si="35"/>
        <v>00</v>
      </c>
      <c r="AO171" s="59" t="str">
        <f t="shared" si="36"/>
        <v>00</v>
      </c>
      <c r="AQ171" t="str">
        <f t="shared" si="31"/>
        <v/>
      </c>
    </row>
    <row r="172" spans="2:43">
      <c r="B172" s="129"/>
      <c r="C172" s="46">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6" t="str">
        <f t="shared" si="30"/>
        <v/>
      </c>
      <c r="AK172" s="59"/>
      <c r="AL172" s="59" t="str">
        <f t="shared" si="33"/>
        <v>00</v>
      </c>
      <c r="AM172" s="59" t="str">
        <f t="shared" si="34"/>
        <v>00</v>
      </c>
      <c r="AN172" s="59" t="str">
        <f t="shared" si="35"/>
        <v>00</v>
      </c>
      <c r="AO172" s="59" t="str">
        <f t="shared" si="36"/>
        <v>00</v>
      </c>
      <c r="AQ172" t="str">
        <f t="shared" si="31"/>
        <v/>
      </c>
    </row>
    <row r="173" spans="2:43">
      <c r="B173" s="129"/>
      <c r="C173" s="46">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6" t="str">
        <f t="shared" si="30"/>
        <v/>
      </c>
      <c r="AK173" s="59"/>
      <c r="AL173" s="59" t="str">
        <f t="shared" si="33"/>
        <v>00</v>
      </c>
      <c r="AM173" s="59" t="str">
        <f t="shared" si="34"/>
        <v>00</v>
      </c>
      <c r="AN173" s="59" t="str">
        <f t="shared" si="35"/>
        <v>00</v>
      </c>
      <c r="AO173" s="59" t="str">
        <f t="shared" si="36"/>
        <v>00</v>
      </c>
      <c r="AQ173" t="str">
        <f t="shared" si="31"/>
        <v/>
      </c>
    </row>
    <row r="174" spans="2:43">
      <c r="B174" s="129"/>
      <c r="C174" s="46">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6" t="str">
        <f t="shared" si="30"/>
        <v/>
      </c>
      <c r="AK174" s="59"/>
      <c r="AL174" s="59" t="str">
        <f t="shared" si="33"/>
        <v>00</v>
      </c>
      <c r="AM174" s="59" t="str">
        <f t="shared" si="34"/>
        <v>00</v>
      </c>
      <c r="AN174" s="59" t="str">
        <f t="shared" si="35"/>
        <v>00</v>
      </c>
      <c r="AO174" s="59" t="str">
        <f t="shared" si="36"/>
        <v>00</v>
      </c>
      <c r="AQ174" t="str">
        <f t="shared" si="31"/>
        <v/>
      </c>
    </row>
    <row r="175" spans="2:43">
      <c r="B175" s="129"/>
      <c r="C175" s="46">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6" t="str">
        <f t="shared" si="30"/>
        <v/>
      </c>
      <c r="AK175" s="59"/>
      <c r="AL175" s="59" t="str">
        <f t="shared" si="33"/>
        <v>00</v>
      </c>
      <c r="AM175" s="59" t="str">
        <f t="shared" si="34"/>
        <v>00</v>
      </c>
      <c r="AN175" s="59" t="str">
        <f t="shared" si="35"/>
        <v>00</v>
      </c>
      <c r="AO175" s="59" t="str">
        <f t="shared" si="36"/>
        <v>00</v>
      </c>
      <c r="AQ175" t="str">
        <f t="shared" si="31"/>
        <v/>
      </c>
    </row>
    <row r="176" spans="2:43">
      <c r="B176" s="129"/>
      <c r="C176" s="46">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6" t="str">
        <f t="shared" si="30"/>
        <v/>
      </c>
      <c r="AK176" s="59"/>
      <c r="AL176" s="59" t="str">
        <f t="shared" si="33"/>
        <v>00</v>
      </c>
      <c r="AM176" s="59" t="str">
        <f t="shared" si="34"/>
        <v>00</v>
      </c>
      <c r="AN176" s="59" t="str">
        <f t="shared" si="35"/>
        <v>00</v>
      </c>
      <c r="AO176" s="59" t="str">
        <f t="shared" si="36"/>
        <v>00</v>
      </c>
      <c r="AQ176" t="str">
        <f t="shared" si="31"/>
        <v/>
      </c>
    </row>
    <row r="177" spans="2:43">
      <c r="B177" s="129"/>
      <c r="C177" s="46">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6" t="str">
        <f t="shared" si="30"/>
        <v/>
      </c>
      <c r="AK177" s="59"/>
      <c r="AL177" s="59" t="str">
        <f t="shared" si="33"/>
        <v>00</v>
      </c>
      <c r="AM177" s="59" t="str">
        <f t="shared" si="34"/>
        <v>00</v>
      </c>
      <c r="AN177" s="59" t="str">
        <f t="shared" si="35"/>
        <v>00</v>
      </c>
      <c r="AO177" s="59" t="str">
        <f t="shared" si="36"/>
        <v>00</v>
      </c>
      <c r="AQ177" t="str">
        <f t="shared" si="31"/>
        <v/>
      </c>
    </row>
    <row r="178" spans="2:43">
      <c r="B178" s="129"/>
      <c r="C178" s="46">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6" t="str">
        <f t="shared" si="30"/>
        <v/>
      </c>
      <c r="AK178" s="59"/>
      <c r="AL178" s="59" t="str">
        <f t="shared" si="33"/>
        <v>00</v>
      </c>
      <c r="AM178" s="59" t="str">
        <f t="shared" si="34"/>
        <v>00</v>
      </c>
      <c r="AN178" s="59" t="str">
        <f t="shared" si="35"/>
        <v>00</v>
      </c>
      <c r="AO178" s="59" t="str">
        <f t="shared" si="36"/>
        <v>00</v>
      </c>
      <c r="AQ178" t="str">
        <f t="shared" si="31"/>
        <v/>
      </c>
    </row>
    <row r="179" spans="2:43">
      <c r="B179" s="129"/>
      <c r="C179" s="46">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6" t="str">
        <f t="shared" si="30"/>
        <v/>
      </c>
      <c r="AK179" s="59"/>
      <c r="AL179" s="59" t="str">
        <f t="shared" si="33"/>
        <v>00</v>
      </c>
      <c r="AM179" s="59" t="str">
        <f t="shared" si="34"/>
        <v>00</v>
      </c>
      <c r="AN179" s="59" t="str">
        <f t="shared" si="35"/>
        <v>00</v>
      </c>
      <c r="AO179" s="59" t="str">
        <f t="shared" si="36"/>
        <v>00</v>
      </c>
      <c r="AQ179" t="str">
        <f t="shared" si="31"/>
        <v/>
      </c>
    </row>
    <row r="180" spans="2:43">
      <c r="B180" s="129"/>
      <c r="C180" s="46">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6" t="str">
        <f t="shared" si="30"/>
        <v/>
      </c>
      <c r="AK180" s="59"/>
      <c r="AL180" s="59" t="str">
        <f t="shared" si="33"/>
        <v>00</v>
      </c>
      <c r="AM180" s="59" t="str">
        <f t="shared" si="34"/>
        <v>00</v>
      </c>
      <c r="AN180" s="59" t="str">
        <f t="shared" si="35"/>
        <v>00</v>
      </c>
      <c r="AO180" s="59" t="str">
        <f t="shared" si="36"/>
        <v>00</v>
      </c>
      <c r="AQ180" t="str">
        <f t="shared" si="31"/>
        <v/>
      </c>
    </row>
    <row r="181" spans="2:43">
      <c r="B181" s="129"/>
      <c r="C181" s="46">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6" t="str">
        <f t="shared" si="30"/>
        <v/>
      </c>
      <c r="AK181" s="59"/>
      <c r="AL181" s="59" t="str">
        <f t="shared" si="33"/>
        <v>00</v>
      </c>
      <c r="AM181" s="59" t="str">
        <f t="shared" si="34"/>
        <v>00</v>
      </c>
      <c r="AN181" s="59" t="str">
        <f t="shared" si="35"/>
        <v>00</v>
      </c>
      <c r="AO181" s="59" t="str">
        <f t="shared" si="36"/>
        <v>00</v>
      </c>
      <c r="AQ181" t="str">
        <f t="shared" si="31"/>
        <v/>
      </c>
    </row>
    <row r="182" spans="2:43">
      <c r="B182" s="129"/>
      <c r="C182" s="46">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6" t="str">
        <f t="shared" si="30"/>
        <v/>
      </c>
      <c r="AK182" s="59"/>
      <c r="AL182" s="59" t="str">
        <f t="shared" si="33"/>
        <v>00</v>
      </c>
      <c r="AM182" s="59" t="str">
        <f t="shared" si="34"/>
        <v>00</v>
      </c>
      <c r="AN182" s="59" t="str">
        <f t="shared" si="35"/>
        <v>00</v>
      </c>
      <c r="AO182" s="59" t="str">
        <f t="shared" si="36"/>
        <v>00</v>
      </c>
      <c r="AQ182" t="str">
        <f t="shared" si="31"/>
        <v/>
      </c>
    </row>
    <row r="183" spans="2:43">
      <c r="B183" s="129"/>
      <c r="C183" s="46">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6" t="str">
        <f t="shared" si="30"/>
        <v/>
      </c>
      <c r="AK183" s="59"/>
      <c r="AL183" s="59" t="str">
        <f t="shared" si="33"/>
        <v>00</v>
      </c>
      <c r="AM183" s="59" t="str">
        <f t="shared" si="34"/>
        <v>00</v>
      </c>
      <c r="AN183" s="59" t="str">
        <f t="shared" si="35"/>
        <v>00</v>
      </c>
      <c r="AO183" s="59" t="str">
        <f t="shared" si="36"/>
        <v>00</v>
      </c>
      <c r="AQ183" t="str">
        <f t="shared" si="31"/>
        <v/>
      </c>
    </row>
    <row r="184" spans="2:43">
      <c r="B184" s="129"/>
      <c r="C184" s="46">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6" t="str">
        <f t="shared" si="30"/>
        <v/>
      </c>
      <c r="AK184" s="59"/>
      <c r="AL184" s="59" t="str">
        <f t="shared" si="33"/>
        <v>00</v>
      </c>
      <c r="AM184" s="59" t="str">
        <f t="shared" si="34"/>
        <v>00</v>
      </c>
      <c r="AN184" s="59" t="str">
        <f t="shared" si="35"/>
        <v>00</v>
      </c>
      <c r="AO184" s="59" t="str">
        <f t="shared" si="36"/>
        <v>00</v>
      </c>
      <c r="AQ184" t="str">
        <f t="shared" si="31"/>
        <v/>
      </c>
    </row>
    <row r="185" spans="2:43">
      <c r="B185" s="129"/>
      <c r="C185" s="46">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6" t="str">
        <f t="shared" si="30"/>
        <v/>
      </c>
      <c r="AK185" s="59"/>
      <c r="AL185" s="59" t="str">
        <f t="shared" si="33"/>
        <v>00</v>
      </c>
      <c r="AM185" s="59" t="str">
        <f t="shared" si="34"/>
        <v>00</v>
      </c>
      <c r="AN185" s="59" t="str">
        <f t="shared" si="35"/>
        <v>00</v>
      </c>
      <c r="AO185" s="59" t="str">
        <f t="shared" si="36"/>
        <v>00</v>
      </c>
      <c r="AQ185" t="str">
        <f t="shared" si="31"/>
        <v/>
      </c>
    </row>
    <row r="186" spans="2:43">
      <c r="B186" s="129"/>
      <c r="C186" s="46">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6" t="str">
        <f t="shared" si="30"/>
        <v/>
      </c>
      <c r="AK186" s="59"/>
      <c r="AL186" s="59" t="str">
        <f t="shared" si="33"/>
        <v>00</v>
      </c>
      <c r="AM186" s="59" t="str">
        <f t="shared" si="34"/>
        <v>00</v>
      </c>
      <c r="AN186" s="59" t="str">
        <f t="shared" si="35"/>
        <v>00</v>
      </c>
      <c r="AO186" s="59" t="str">
        <f t="shared" si="36"/>
        <v>00</v>
      </c>
      <c r="AQ186" t="str">
        <f t="shared" si="31"/>
        <v/>
      </c>
    </row>
    <row r="187" spans="2:43">
      <c r="B187" s="129"/>
      <c r="C187" s="46">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6" t="str">
        <f t="shared" si="30"/>
        <v/>
      </c>
      <c r="AK187" s="59"/>
      <c r="AL187" s="59" t="str">
        <f t="shared" si="33"/>
        <v>00</v>
      </c>
      <c r="AM187" s="59" t="str">
        <f t="shared" si="34"/>
        <v>00</v>
      </c>
      <c r="AN187" s="59" t="str">
        <f t="shared" si="35"/>
        <v>00</v>
      </c>
      <c r="AO187" s="59" t="str">
        <f t="shared" si="36"/>
        <v>00</v>
      </c>
      <c r="AQ187" t="str">
        <f t="shared" si="31"/>
        <v/>
      </c>
    </row>
    <row r="188" spans="2:43">
      <c r="B188" s="129"/>
      <c r="C188" s="46">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6" t="str">
        <f t="shared" si="30"/>
        <v/>
      </c>
      <c r="AK188" s="59"/>
      <c r="AL188" s="59" t="str">
        <f t="shared" si="33"/>
        <v>00</v>
      </c>
      <c r="AM188" s="59" t="str">
        <f t="shared" si="34"/>
        <v>00</v>
      </c>
      <c r="AN188" s="59" t="str">
        <f t="shared" si="35"/>
        <v>00</v>
      </c>
      <c r="AO188" s="59" t="str">
        <f t="shared" si="36"/>
        <v>00</v>
      </c>
      <c r="AQ188" t="str">
        <f t="shared" si="31"/>
        <v/>
      </c>
    </row>
    <row r="189" spans="2:43">
      <c r="B189" s="129"/>
      <c r="C189" s="46">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6" t="str">
        <f t="shared" si="30"/>
        <v/>
      </c>
      <c r="AK189" s="59"/>
      <c r="AL189" s="59" t="str">
        <f t="shared" si="33"/>
        <v>00</v>
      </c>
      <c r="AM189" s="59" t="str">
        <f t="shared" si="34"/>
        <v>00</v>
      </c>
      <c r="AN189" s="59" t="str">
        <f t="shared" si="35"/>
        <v>00</v>
      </c>
      <c r="AO189" s="59" t="str">
        <f t="shared" si="36"/>
        <v>00</v>
      </c>
      <c r="AQ189" t="str">
        <f t="shared" si="31"/>
        <v/>
      </c>
    </row>
    <row r="190" spans="2:43">
      <c r="B190" s="129"/>
      <c r="C190" s="46">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6" t="str">
        <f t="shared" si="30"/>
        <v/>
      </c>
      <c r="AK190" s="59"/>
      <c r="AL190" s="59" t="str">
        <f t="shared" si="33"/>
        <v>00</v>
      </c>
      <c r="AM190" s="59" t="str">
        <f t="shared" si="34"/>
        <v>00</v>
      </c>
      <c r="AN190" s="59" t="str">
        <f t="shared" si="35"/>
        <v>00</v>
      </c>
      <c r="AO190" s="59" t="str">
        <f t="shared" si="36"/>
        <v>00</v>
      </c>
      <c r="AQ190" t="str">
        <f t="shared" si="31"/>
        <v/>
      </c>
    </row>
    <row r="191" spans="2:43">
      <c r="B191" s="129"/>
      <c r="C191" s="46">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6" t="str">
        <f t="shared" si="30"/>
        <v/>
      </c>
      <c r="AK191" s="59"/>
      <c r="AL191" s="59" t="str">
        <f t="shared" si="33"/>
        <v>00</v>
      </c>
      <c r="AM191" s="59" t="str">
        <f t="shared" si="34"/>
        <v>00</v>
      </c>
      <c r="AN191" s="59" t="str">
        <f t="shared" si="35"/>
        <v>00</v>
      </c>
      <c r="AO191" s="59" t="str">
        <f t="shared" si="36"/>
        <v>00</v>
      </c>
      <c r="AQ191" t="str">
        <f t="shared" si="31"/>
        <v/>
      </c>
    </row>
    <row r="192" spans="2:43">
      <c r="B192" s="129"/>
      <c r="C192" s="46">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6" t="str">
        <f t="shared" si="30"/>
        <v/>
      </c>
      <c r="AK192" s="59"/>
      <c r="AL192" s="59" t="str">
        <f t="shared" si="33"/>
        <v>00</v>
      </c>
      <c r="AM192" s="59" t="str">
        <f t="shared" si="34"/>
        <v>00</v>
      </c>
      <c r="AN192" s="59" t="str">
        <f t="shared" si="35"/>
        <v>00</v>
      </c>
      <c r="AO192" s="59" t="str">
        <f t="shared" si="36"/>
        <v>00</v>
      </c>
      <c r="AQ192" t="str">
        <f t="shared" si="31"/>
        <v/>
      </c>
    </row>
    <row r="193" spans="2:43">
      <c r="B193" s="129"/>
      <c r="C193" s="46">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6" t="str">
        <f t="shared" si="30"/>
        <v/>
      </c>
      <c r="AK193" s="59"/>
      <c r="AL193" s="59" t="str">
        <f t="shared" si="33"/>
        <v>00</v>
      </c>
      <c r="AM193" s="59" t="str">
        <f t="shared" si="34"/>
        <v>00</v>
      </c>
      <c r="AN193" s="59" t="str">
        <f t="shared" si="35"/>
        <v>00</v>
      </c>
      <c r="AO193" s="59" t="str">
        <f t="shared" si="36"/>
        <v>00</v>
      </c>
      <c r="AQ193" t="str">
        <f t="shared" si="31"/>
        <v/>
      </c>
    </row>
    <row r="194" spans="2:43">
      <c r="B194" s="129"/>
      <c r="C194" s="46">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6" t="str">
        <f t="shared" si="30"/>
        <v/>
      </c>
      <c r="AK194" s="59"/>
      <c r="AL194" s="59" t="str">
        <f t="shared" si="33"/>
        <v>00</v>
      </c>
      <c r="AM194" s="59" t="str">
        <f t="shared" si="34"/>
        <v>00</v>
      </c>
      <c r="AN194" s="59" t="str">
        <f t="shared" si="35"/>
        <v>00</v>
      </c>
      <c r="AO194" s="59" t="str">
        <f t="shared" si="36"/>
        <v>00</v>
      </c>
      <c r="AQ194" t="str">
        <f t="shared" si="31"/>
        <v/>
      </c>
    </row>
    <row r="195" spans="2:43">
      <c r="B195" s="129"/>
      <c r="C195" s="46">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6" t="str">
        <f t="shared" si="30"/>
        <v/>
      </c>
      <c r="AK195" s="59"/>
      <c r="AL195" s="59" t="str">
        <f t="shared" si="33"/>
        <v>00</v>
      </c>
      <c r="AM195" s="59" t="str">
        <f t="shared" si="34"/>
        <v>00</v>
      </c>
      <c r="AN195" s="59" t="str">
        <f t="shared" si="35"/>
        <v>00</v>
      </c>
      <c r="AO195" s="59" t="str">
        <f t="shared" si="36"/>
        <v>00</v>
      </c>
      <c r="AQ195" t="str">
        <f t="shared" si="31"/>
        <v/>
      </c>
    </row>
    <row r="196" spans="2:43">
      <c r="B196" s="129"/>
      <c r="C196" s="46">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6" t="str">
        <f t="shared" si="30"/>
        <v/>
      </c>
      <c r="AK196" s="59"/>
      <c r="AL196" s="59" t="str">
        <f t="shared" si="33"/>
        <v>00</v>
      </c>
      <c r="AM196" s="59" t="str">
        <f t="shared" si="34"/>
        <v>00</v>
      </c>
      <c r="AN196" s="59" t="str">
        <f t="shared" si="35"/>
        <v>00</v>
      </c>
      <c r="AO196" s="59" t="str">
        <f t="shared" si="36"/>
        <v>00</v>
      </c>
      <c r="AQ196" t="str">
        <f t="shared" si="31"/>
        <v/>
      </c>
    </row>
    <row r="197" spans="2:43">
      <c r="B197" s="129"/>
      <c r="C197" s="46">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6" t="str">
        <f t="shared" si="30"/>
        <v/>
      </c>
      <c r="AK197" s="59"/>
      <c r="AL197" s="59" t="str">
        <f t="shared" si="33"/>
        <v>00</v>
      </c>
      <c r="AM197" s="59" t="str">
        <f t="shared" si="34"/>
        <v>00</v>
      </c>
      <c r="AN197" s="59" t="str">
        <f t="shared" si="35"/>
        <v>00</v>
      </c>
      <c r="AO197" s="59" t="str">
        <f t="shared" si="36"/>
        <v>00</v>
      </c>
      <c r="AQ197" t="str">
        <f t="shared" si="31"/>
        <v/>
      </c>
    </row>
    <row r="198" spans="2:43">
      <c r="B198" s="129"/>
      <c r="C198" s="46">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6" t="str">
        <f t="shared" si="30"/>
        <v/>
      </c>
      <c r="AK198" s="59"/>
      <c r="AL198" s="59" t="str">
        <f t="shared" si="33"/>
        <v>00</v>
      </c>
      <c r="AM198" s="59" t="str">
        <f t="shared" si="34"/>
        <v>00</v>
      </c>
      <c r="AN198" s="59" t="str">
        <f t="shared" si="35"/>
        <v>00</v>
      </c>
      <c r="AO198" s="59" t="str">
        <f t="shared" si="36"/>
        <v>00</v>
      </c>
      <c r="AQ198" t="str">
        <f t="shared" si="31"/>
        <v/>
      </c>
    </row>
    <row r="199" spans="2:43">
      <c r="B199" s="130"/>
      <c r="C199" s="46">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6" t="str">
        <f t="shared" si="30"/>
        <v/>
      </c>
      <c r="AK199" s="59"/>
      <c r="AL199" s="59" t="str">
        <f t="shared" si="33"/>
        <v>00</v>
      </c>
      <c r="AM199" s="59" t="str">
        <f t="shared" si="34"/>
        <v>00</v>
      </c>
      <c r="AN199" s="59" t="str">
        <f t="shared" si="35"/>
        <v>00</v>
      </c>
      <c r="AO199" s="59" t="str">
        <f t="shared" si="36"/>
        <v>00</v>
      </c>
      <c r="AQ199" t="str">
        <f t="shared" si="31"/>
        <v/>
      </c>
    </row>
  </sheetData>
  <protectedRanges>
    <protectedRange sqref="B3 L3:AE3 D6:AJ69" name="Table作成編集範囲"/>
  </protectedRanges>
  <mergeCells count="5">
    <mergeCell ref="C2:C3"/>
    <mergeCell ref="AJ2:AJ3"/>
    <mergeCell ref="A4:B5"/>
    <mergeCell ref="AH3:AI3"/>
    <mergeCell ref="AF3:AG3"/>
  </mergeCells>
  <phoneticPr fontId="3"/>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4:BA299"/>
  <sheetViews>
    <sheetView topLeftCell="P13" zoomScale="70" zoomScaleNormal="70" workbookViewId="0">
      <selection activeCell="AI76" sqref="AI76"/>
    </sheetView>
  </sheetViews>
  <sheetFormatPr defaultRowHeight="13.5"/>
  <cols>
    <col min="2" max="2" width="48.375" bestFit="1" customWidth="1"/>
    <col min="3" max="10" width="3.375" customWidth="1"/>
    <col min="11" max="11" width="20.625" customWidth="1"/>
    <col min="12" max="12" width="34" customWidth="1"/>
    <col min="13" max="13" width="26.875" customWidth="1"/>
    <col min="14" max="14" width="24.625" customWidth="1"/>
    <col min="15" max="15" width="21" customWidth="1"/>
    <col min="16" max="16" width="23.625" bestFit="1" customWidth="1"/>
    <col min="17" max="17" width="10.875" customWidth="1"/>
    <col min="18" max="18" width="12.125" bestFit="1" customWidth="1"/>
    <col min="19" max="20" width="9" customWidth="1"/>
  </cols>
  <sheetData>
    <row r="34" spans="1:17">
      <c r="B34" s="206"/>
      <c r="C34" s="206"/>
      <c r="D34" s="206"/>
      <c r="E34" s="206"/>
      <c r="F34" s="206"/>
      <c r="G34" s="206"/>
      <c r="H34" s="206"/>
      <c r="I34" s="206"/>
      <c r="J34" s="206"/>
      <c r="K34" s="206"/>
      <c r="L34" s="206"/>
      <c r="M34" s="206"/>
      <c r="N34" s="206"/>
      <c r="O34" s="206"/>
      <c r="P34" s="206"/>
      <c r="Q34" s="206"/>
    </row>
    <row r="35" spans="1:17">
      <c r="B35" s="206"/>
      <c r="C35" s="206"/>
      <c r="D35" s="206"/>
      <c r="E35" s="206"/>
      <c r="F35" s="206"/>
      <c r="G35" s="206"/>
      <c r="H35" s="206"/>
      <c r="I35" s="206"/>
      <c r="J35" s="206"/>
      <c r="K35" s="206"/>
      <c r="L35" s="206"/>
      <c r="M35" s="206"/>
      <c r="N35" s="206"/>
      <c r="O35" s="206"/>
      <c r="P35" s="206"/>
      <c r="Q35" s="206"/>
    </row>
    <row r="36" spans="1:17">
      <c r="B36" s="206"/>
      <c r="C36" s="206"/>
      <c r="D36" s="206"/>
      <c r="E36" s="206"/>
      <c r="F36" s="206"/>
      <c r="G36" s="206"/>
      <c r="H36" s="206"/>
      <c r="I36" s="206"/>
      <c r="J36" s="206"/>
      <c r="K36" s="206"/>
      <c r="L36" s="206"/>
      <c r="M36" s="206"/>
      <c r="N36" s="206"/>
      <c r="O36" s="206"/>
      <c r="P36" s="206"/>
      <c r="Q36" s="206"/>
    </row>
    <row r="37" spans="1:17">
      <c r="B37" s="206"/>
      <c r="C37" s="206"/>
      <c r="D37" s="206"/>
      <c r="E37" s="206"/>
      <c r="F37" s="206"/>
      <c r="G37" s="206"/>
      <c r="H37" s="206"/>
      <c r="I37" s="206"/>
      <c r="J37" s="206"/>
      <c r="K37" s="206"/>
      <c r="L37" s="206"/>
      <c r="M37" s="206"/>
      <c r="N37" s="206"/>
      <c r="O37" s="206"/>
      <c r="P37" s="206"/>
      <c r="Q37" s="206"/>
    </row>
    <row r="47" spans="1:17" ht="15" thickBot="1">
      <c r="A47" s="90" t="s">
        <v>279</v>
      </c>
      <c r="B47" s="26" t="s">
        <v>294</v>
      </c>
    </row>
    <row r="48" spans="1:17" ht="15" thickBot="1">
      <c r="B48" s="95" t="s">
        <v>131</v>
      </c>
      <c r="C48" s="302" t="s">
        <v>224</v>
      </c>
      <c r="D48" s="303"/>
      <c r="E48" s="303"/>
      <c r="F48" s="303"/>
      <c r="G48" s="303"/>
      <c r="H48" s="303"/>
      <c r="I48" s="303"/>
      <c r="J48" s="304"/>
      <c r="K48" s="184"/>
      <c r="L48" s="184"/>
      <c r="M48" s="168"/>
      <c r="N48" s="166"/>
      <c r="O48" s="166"/>
      <c r="P48" s="166"/>
      <c r="Q48" s="167"/>
    </row>
    <row r="49" spans="1:17">
      <c r="A49" s="90"/>
      <c r="B49" s="68"/>
      <c r="C49" s="33" t="s">
        <v>171</v>
      </c>
      <c r="D49" s="33"/>
      <c r="E49" s="33"/>
      <c r="F49" s="33"/>
      <c r="G49" s="33"/>
      <c r="H49" s="33"/>
      <c r="I49" s="33"/>
      <c r="J49" s="33"/>
      <c r="K49" s="33"/>
      <c r="L49" s="33"/>
      <c r="M49" s="30" t="s">
        <v>56</v>
      </c>
      <c r="N49" s="43" t="s">
        <v>21</v>
      </c>
      <c r="O49" s="44"/>
      <c r="P49" s="44"/>
      <c r="Q49" s="45"/>
    </row>
    <row r="50" spans="1:17">
      <c r="A50" s="90" t="s">
        <v>279</v>
      </c>
      <c r="B50" s="69" t="s">
        <v>22</v>
      </c>
      <c r="C50" s="199" t="s">
        <v>188</v>
      </c>
      <c r="D50" s="197"/>
      <c r="E50" s="197"/>
      <c r="F50" s="197"/>
      <c r="G50" s="197"/>
      <c r="H50" s="197"/>
      <c r="I50" s="197"/>
      <c r="J50" s="198"/>
      <c r="K50" s="27" t="s">
        <v>23</v>
      </c>
      <c r="L50" s="27" t="s">
        <v>23</v>
      </c>
      <c r="M50" s="224" t="s">
        <v>275</v>
      </c>
      <c r="N50" s="75" t="s">
        <v>134</v>
      </c>
      <c r="O50" s="75" t="s">
        <v>25</v>
      </c>
      <c r="P50" s="29" t="s">
        <v>135</v>
      </c>
      <c r="Q50" s="134" t="s">
        <v>27</v>
      </c>
    </row>
    <row r="51" spans="1:17">
      <c r="B51" s="69" t="s">
        <v>38</v>
      </c>
      <c r="C51" s="161" t="s">
        <v>137</v>
      </c>
      <c r="D51" s="161" t="s">
        <v>137</v>
      </c>
      <c r="E51" s="161" t="s">
        <v>137</v>
      </c>
      <c r="F51" s="161" t="s">
        <v>137</v>
      </c>
      <c r="G51" s="161" t="s">
        <v>137</v>
      </c>
      <c r="H51" s="161" t="s">
        <v>137</v>
      </c>
      <c r="I51" s="161" t="s">
        <v>137</v>
      </c>
      <c r="J51" s="161" t="s">
        <v>137</v>
      </c>
      <c r="K51" s="27" t="s">
        <v>225</v>
      </c>
      <c r="L51" s="27" t="s">
        <v>225</v>
      </c>
      <c r="M51" s="31" t="s">
        <v>226</v>
      </c>
      <c r="N51" s="76"/>
      <c r="O51" s="76"/>
      <c r="P51" s="39"/>
      <c r="Q51" s="134"/>
    </row>
    <row r="52" spans="1:17" ht="27">
      <c r="B52" s="70" t="s">
        <v>28</v>
      </c>
      <c r="C52" s="196" t="s">
        <v>40</v>
      </c>
      <c r="D52" s="197"/>
      <c r="E52" s="197"/>
      <c r="F52" s="197"/>
      <c r="G52" s="197"/>
      <c r="H52" s="197"/>
      <c r="I52" s="197"/>
      <c r="J52" s="198"/>
      <c r="K52" s="27" t="s">
        <v>257</v>
      </c>
      <c r="L52" s="27" t="s">
        <v>257</v>
      </c>
      <c r="M52" s="32"/>
      <c r="N52" s="76"/>
      <c r="O52" s="76"/>
      <c r="P52" s="39"/>
      <c r="Q52" s="134"/>
    </row>
    <row r="53" spans="1:17" ht="64.5">
      <c r="B53" s="69" t="s">
        <v>29</v>
      </c>
      <c r="C53" s="185" t="s">
        <v>172</v>
      </c>
      <c r="D53" s="185" t="s">
        <v>67</v>
      </c>
      <c r="E53" s="185" t="s">
        <v>173</v>
      </c>
      <c r="F53" s="185" t="s">
        <v>174</v>
      </c>
      <c r="G53" s="185" t="s">
        <v>175</v>
      </c>
      <c r="H53" s="185" t="s">
        <v>176</v>
      </c>
      <c r="I53" s="185" t="s">
        <v>177</v>
      </c>
      <c r="J53" s="185" t="s">
        <v>178</v>
      </c>
      <c r="K53" s="27" t="s">
        <v>256</v>
      </c>
      <c r="L53" s="27" t="s">
        <v>255</v>
      </c>
      <c r="M53" s="31" t="s">
        <v>30</v>
      </c>
      <c r="N53" s="76"/>
      <c r="O53" s="76"/>
      <c r="P53" s="39"/>
      <c r="Q53" s="134"/>
    </row>
    <row r="54" spans="1:17" ht="54.75" thickBot="1">
      <c r="B54" s="71" t="s">
        <v>31</v>
      </c>
      <c r="C54" s="162" t="s">
        <v>180</v>
      </c>
      <c r="D54" s="162" t="s">
        <v>137</v>
      </c>
      <c r="E54" s="162" t="s">
        <v>180</v>
      </c>
      <c r="F54" s="162" t="s">
        <v>180</v>
      </c>
      <c r="G54" s="162" t="s">
        <v>180</v>
      </c>
      <c r="H54" s="162" t="s">
        <v>180</v>
      </c>
      <c r="I54" s="162" t="s">
        <v>180</v>
      </c>
      <c r="J54" s="162" t="s">
        <v>180</v>
      </c>
      <c r="K54" s="28" t="s">
        <v>261</v>
      </c>
      <c r="L54" s="28" t="s">
        <v>262</v>
      </c>
      <c r="M54" s="193" t="s">
        <v>260</v>
      </c>
      <c r="N54" s="74"/>
      <c r="O54" s="135"/>
      <c r="P54" s="194" t="s">
        <v>259</v>
      </c>
      <c r="Q54" s="136"/>
    </row>
    <row r="55" spans="1:17" ht="14.25" thickTop="1">
      <c r="B55" s="72" t="s">
        <v>227</v>
      </c>
      <c r="C55" s="163" t="s">
        <v>179</v>
      </c>
      <c r="D55" s="163" t="s">
        <v>179</v>
      </c>
      <c r="E55" s="186" t="s">
        <v>179</v>
      </c>
      <c r="F55" s="186" t="s">
        <v>179</v>
      </c>
      <c r="G55" s="163" t="s">
        <v>179</v>
      </c>
      <c r="H55" s="163" t="s">
        <v>179</v>
      </c>
      <c r="I55" s="163" t="s">
        <v>179</v>
      </c>
      <c r="J55" s="163" t="s">
        <v>179</v>
      </c>
      <c r="K55" s="34" t="s">
        <v>33</v>
      </c>
      <c r="L55" s="34" t="s">
        <v>33</v>
      </c>
      <c r="M55" s="35" t="s">
        <v>34</v>
      </c>
      <c r="N55" s="163"/>
      <c r="O55" s="40"/>
      <c r="P55" s="34" t="s">
        <v>137</v>
      </c>
      <c r="Q55" s="137"/>
    </row>
    <row r="56" spans="1:17">
      <c r="B56" s="21" t="s">
        <v>228</v>
      </c>
      <c r="C56" s="164" t="s">
        <v>179</v>
      </c>
      <c r="D56" s="164" t="s">
        <v>179</v>
      </c>
      <c r="E56" s="164" t="s">
        <v>179</v>
      </c>
      <c r="F56" s="164" t="s">
        <v>179</v>
      </c>
      <c r="G56" s="164" t="s">
        <v>179</v>
      </c>
      <c r="H56" s="164" t="s">
        <v>179</v>
      </c>
      <c r="I56" s="164" t="s">
        <v>179</v>
      </c>
      <c r="J56" s="164" t="s">
        <v>179</v>
      </c>
      <c r="K56" s="60" t="s">
        <v>33</v>
      </c>
      <c r="L56" s="60" t="s">
        <v>35</v>
      </c>
      <c r="M56" s="36" t="s">
        <v>138</v>
      </c>
      <c r="N56" s="164"/>
      <c r="O56" s="41"/>
      <c r="P56" s="60" t="s">
        <v>229</v>
      </c>
      <c r="Q56" s="138"/>
    </row>
    <row r="57" spans="1:17">
      <c r="B57" s="21" t="s">
        <v>230</v>
      </c>
      <c r="C57" s="164" t="s">
        <v>179</v>
      </c>
      <c r="D57" s="164" t="s">
        <v>179</v>
      </c>
      <c r="E57" s="164" t="s">
        <v>179</v>
      </c>
      <c r="F57" s="164" t="s">
        <v>179</v>
      </c>
      <c r="G57" s="164" t="s">
        <v>179</v>
      </c>
      <c r="H57" s="164" t="s">
        <v>179</v>
      </c>
      <c r="I57" s="164" t="s">
        <v>179</v>
      </c>
      <c r="J57" s="164" t="s">
        <v>179</v>
      </c>
      <c r="K57" s="60" t="s">
        <v>33</v>
      </c>
      <c r="L57" s="60" t="s">
        <v>36</v>
      </c>
      <c r="M57" s="36" t="s">
        <v>231</v>
      </c>
      <c r="N57" s="164"/>
      <c r="O57" s="41"/>
      <c r="P57" s="60" t="s">
        <v>232</v>
      </c>
      <c r="Q57" s="138"/>
    </row>
    <row r="58" spans="1:17">
      <c r="B58" s="21" t="s">
        <v>258</v>
      </c>
      <c r="C58" s="164" t="s">
        <v>179</v>
      </c>
      <c r="D58" s="164" t="s">
        <v>179</v>
      </c>
      <c r="E58" s="164" t="s">
        <v>179</v>
      </c>
      <c r="F58" s="164" t="s">
        <v>179</v>
      </c>
      <c r="G58" s="164" t="s">
        <v>179</v>
      </c>
      <c r="H58" s="164" t="s">
        <v>179</v>
      </c>
      <c r="I58" s="164" t="s">
        <v>179</v>
      </c>
      <c r="J58" s="164" t="s">
        <v>179</v>
      </c>
      <c r="K58" s="60" t="s">
        <v>33</v>
      </c>
      <c r="L58" s="60" t="s">
        <v>37</v>
      </c>
      <c r="M58" s="192" t="s">
        <v>34</v>
      </c>
      <c r="N58" s="164"/>
      <c r="O58" s="41"/>
      <c r="P58" s="60" t="s">
        <v>137</v>
      </c>
      <c r="Q58" s="138"/>
    </row>
    <row r="59" spans="1:17">
      <c r="B59" s="21" t="s">
        <v>233</v>
      </c>
      <c r="C59" s="164" t="s">
        <v>179</v>
      </c>
      <c r="D59" s="164" t="s">
        <v>179</v>
      </c>
      <c r="E59" s="164" t="s">
        <v>179</v>
      </c>
      <c r="F59" s="164" t="s">
        <v>179</v>
      </c>
      <c r="G59" s="164" t="s">
        <v>179</v>
      </c>
      <c r="H59" s="164" t="s">
        <v>179</v>
      </c>
      <c r="I59" s="164" t="s">
        <v>179</v>
      </c>
      <c r="J59" s="164" t="s">
        <v>179</v>
      </c>
      <c r="K59" s="60" t="s">
        <v>35</v>
      </c>
      <c r="L59" s="60" t="s">
        <v>182</v>
      </c>
      <c r="M59" s="36" t="s">
        <v>34</v>
      </c>
      <c r="N59" s="164"/>
      <c r="O59" s="41"/>
      <c r="P59" s="60" t="s">
        <v>137</v>
      </c>
      <c r="Q59" s="138"/>
    </row>
    <row r="60" spans="1:17">
      <c r="B60" s="21" t="s">
        <v>234</v>
      </c>
      <c r="C60" s="164" t="s">
        <v>179</v>
      </c>
      <c r="D60" s="164" t="s">
        <v>179</v>
      </c>
      <c r="E60" s="164" t="s">
        <v>179</v>
      </c>
      <c r="F60" s="164" t="s">
        <v>179</v>
      </c>
      <c r="G60" s="164" t="s">
        <v>179</v>
      </c>
      <c r="H60" s="164" t="s">
        <v>179</v>
      </c>
      <c r="I60" s="164" t="s">
        <v>179</v>
      </c>
      <c r="J60" s="164" t="s">
        <v>179</v>
      </c>
      <c r="K60" s="60" t="s">
        <v>36</v>
      </c>
      <c r="L60" s="60" t="s">
        <v>182</v>
      </c>
      <c r="M60" s="36" t="s">
        <v>34</v>
      </c>
      <c r="N60" s="164"/>
      <c r="O60" s="41"/>
      <c r="P60" s="60" t="s">
        <v>137</v>
      </c>
      <c r="Q60" s="138"/>
    </row>
    <row r="61" spans="1:17">
      <c r="B61" s="21" t="s">
        <v>235</v>
      </c>
      <c r="C61" s="164" t="s">
        <v>179</v>
      </c>
      <c r="D61" s="164" t="s">
        <v>179</v>
      </c>
      <c r="E61" s="164" t="s">
        <v>179</v>
      </c>
      <c r="F61" s="164" t="s">
        <v>179</v>
      </c>
      <c r="G61" s="164" t="s">
        <v>179</v>
      </c>
      <c r="H61" s="164" t="s">
        <v>179</v>
      </c>
      <c r="I61" s="164" t="s">
        <v>179</v>
      </c>
      <c r="J61" s="164" t="s">
        <v>179</v>
      </c>
      <c r="K61" s="60" t="s">
        <v>37</v>
      </c>
      <c r="L61" s="60" t="s">
        <v>182</v>
      </c>
      <c r="M61" s="36" t="s">
        <v>34</v>
      </c>
      <c r="N61" s="164"/>
      <c r="O61" s="41"/>
      <c r="P61" s="60" t="s">
        <v>137</v>
      </c>
      <c r="Q61" s="138"/>
    </row>
    <row r="62" spans="1:17" ht="14.25" thickBot="1">
      <c r="B62" s="22" t="s">
        <v>236</v>
      </c>
      <c r="C62" s="165" t="s">
        <v>179</v>
      </c>
      <c r="D62" s="165" t="s">
        <v>179</v>
      </c>
      <c r="E62" s="187" t="s">
        <v>179</v>
      </c>
      <c r="F62" s="187" t="s">
        <v>179</v>
      </c>
      <c r="G62" s="165" t="s">
        <v>179</v>
      </c>
      <c r="H62" s="165" t="s">
        <v>179</v>
      </c>
      <c r="I62" s="165" t="s">
        <v>179</v>
      </c>
      <c r="J62" s="165" t="s">
        <v>179</v>
      </c>
      <c r="K62" s="37" t="s">
        <v>182</v>
      </c>
      <c r="L62" s="37" t="s">
        <v>182</v>
      </c>
      <c r="M62" s="38" t="s">
        <v>34</v>
      </c>
      <c r="N62" s="165"/>
      <c r="O62" s="42"/>
      <c r="P62" s="37" t="s">
        <v>137</v>
      </c>
      <c r="Q62" s="139"/>
    </row>
    <row r="73" spans="1:17">
      <c r="B73" s="206"/>
      <c r="C73" s="206"/>
      <c r="D73" s="206"/>
      <c r="E73" s="206"/>
      <c r="F73" s="206"/>
      <c r="G73" s="206"/>
      <c r="H73" s="206"/>
      <c r="I73" s="206"/>
      <c r="J73" s="206"/>
      <c r="K73" s="206"/>
      <c r="L73" s="206"/>
      <c r="M73" s="206"/>
      <c r="N73" s="206"/>
      <c r="O73" s="206"/>
      <c r="P73" s="206"/>
      <c r="Q73" s="206"/>
    </row>
    <row r="74" spans="1:17">
      <c r="B74" s="206"/>
      <c r="C74" s="206"/>
      <c r="D74" s="206"/>
      <c r="E74" s="206"/>
      <c r="F74" s="206"/>
      <c r="G74" s="206"/>
      <c r="H74" s="206"/>
      <c r="I74" s="206"/>
      <c r="J74" s="206"/>
      <c r="K74" s="206"/>
      <c r="L74" s="206"/>
      <c r="M74" s="206"/>
      <c r="N74" s="206"/>
      <c r="O74" s="206"/>
      <c r="P74" s="206"/>
      <c r="Q74" s="206"/>
    </row>
    <row r="75" spans="1:17">
      <c r="B75" s="206"/>
      <c r="C75" s="206"/>
      <c r="D75" s="206"/>
      <c r="E75" s="206"/>
      <c r="F75" s="206"/>
      <c r="G75" s="206"/>
      <c r="H75" s="206"/>
      <c r="I75" s="206"/>
      <c r="J75" s="206"/>
      <c r="K75" s="206"/>
      <c r="L75" s="206"/>
      <c r="M75" s="206"/>
      <c r="N75" s="206"/>
      <c r="O75" s="206"/>
      <c r="P75" s="206"/>
      <c r="Q75" s="206"/>
    </row>
    <row r="76" spans="1:17">
      <c r="B76" s="206"/>
      <c r="C76" s="206"/>
      <c r="D76" s="206"/>
      <c r="E76" s="206"/>
      <c r="F76" s="206"/>
      <c r="G76" s="206"/>
      <c r="H76" s="206"/>
      <c r="I76" s="206"/>
      <c r="J76" s="206"/>
      <c r="K76" s="206"/>
      <c r="L76" s="206"/>
      <c r="M76" s="206"/>
      <c r="N76" s="206"/>
      <c r="O76" s="206"/>
      <c r="P76" s="206"/>
      <c r="Q76" s="206"/>
    </row>
    <row r="77" spans="1:17">
      <c r="A77" s="206"/>
      <c r="B77" s="206"/>
      <c r="C77" s="206"/>
      <c r="D77" s="206"/>
      <c r="E77" s="206"/>
      <c r="F77" s="206"/>
      <c r="G77" s="206"/>
      <c r="H77" s="206"/>
      <c r="I77" s="206"/>
      <c r="J77" s="206"/>
      <c r="K77" s="206"/>
      <c r="L77" s="206"/>
      <c r="M77" s="206"/>
      <c r="N77" s="206"/>
      <c r="O77" s="206"/>
      <c r="P77" s="206"/>
      <c r="Q77" s="206"/>
    </row>
    <row r="78" spans="1:17">
      <c r="A78" s="206"/>
      <c r="B78" s="206"/>
      <c r="C78" s="206"/>
      <c r="D78" s="206"/>
      <c r="E78" s="206"/>
      <c r="F78" s="206"/>
      <c r="G78" s="206"/>
      <c r="H78" s="206"/>
      <c r="I78" s="206"/>
      <c r="J78" s="206"/>
      <c r="K78" s="206"/>
      <c r="L78" s="206"/>
      <c r="M78" s="206"/>
      <c r="N78" s="206"/>
      <c r="O78" s="206"/>
      <c r="P78" s="206"/>
      <c r="Q78" s="206"/>
    </row>
    <row r="79" spans="1:17">
      <c r="A79" s="206"/>
      <c r="B79" s="206"/>
      <c r="C79" s="206"/>
      <c r="D79" s="206"/>
      <c r="E79" s="206"/>
      <c r="F79" s="206"/>
      <c r="G79" s="206"/>
      <c r="H79" s="206"/>
      <c r="I79" s="206"/>
      <c r="J79" s="206"/>
      <c r="K79" s="206"/>
      <c r="L79" s="206"/>
      <c r="M79" s="206"/>
      <c r="N79" s="206"/>
      <c r="O79" s="206"/>
      <c r="P79" s="206"/>
      <c r="Q79" s="206"/>
    </row>
    <row r="80" spans="1:17">
      <c r="A80" s="206"/>
      <c r="B80" s="206"/>
      <c r="C80" s="206"/>
      <c r="D80" s="206"/>
      <c r="E80" s="206"/>
      <c r="F80" s="206"/>
      <c r="G80" s="206"/>
      <c r="H80" s="206"/>
      <c r="I80" s="206"/>
      <c r="J80" s="206"/>
      <c r="K80" s="206"/>
      <c r="L80" s="206"/>
      <c r="M80" s="206"/>
      <c r="N80" s="206"/>
      <c r="O80" s="206"/>
      <c r="P80" s="206"/>
      <c r="Q80" s="206"/>
    </row>
    <row r="81" spans="1:18">
      <c r="A81" s="206"/>
      <c r="B81" s="206"/>
      <c r="C81" s="206"/>
      <c r="D81" s="206"/>
      <c r="E81" s="206"/>
      <c r="F81" s="206"/>
      <c r="G81" s="206"/>
      <c r="H81" s="206"/>
      <c r="I81" s="206"/>
      <c r="J81" s="206"/>
      <c r="K81" s="206"/>
      <c r="L81" s="206"/>
      <c r="M81" s="206"/>
      <c r="N81" s="206"/>
      <c r="O81" s="206"/>
      <c r="P81" s="206"/>
      <c r="Q81" s="206"/>
    </row>
    <row r="82" spans="1:18">
      <c r="A82" s="206"/>
      <c r="B82" s="206"/>
      <c r="C82" s="206"/>
      <c r="D82" s="206"/>
      <c r="E82" s="206"/>
      <c r="F82" s="206"/>
      <c r="G82" s="206"/>
      <c r="H82" s="206"/>
      <c r="I82" s="206"/>
      <c r="J82" s="206"/>
      <c r="K82" s="206"/>
      <c r="L82" s="206"/>
      <c r="M82" s="206"/>
      <c r="N82" s="206"/>
      <c r="O82" s="206"/>
      <c r="P82" s="206"/>
      <c r="Q82" s="206"/>
      <c r="R82" s="200"/>
    </row>
    <row r="83" spans="1:18">
      <c r="A83" s="206"/>
      <c r="B83" s="206"/>
      <c r="C83" s="206"/>
      <c r="D83" s="206"/>
      <c r="E83" s="206"/>
      <c r="F83" s="206"/>
      <c r="G83" s="206"/>
      <c r="H83" s="206"/>
      <c r="I83" s="206"/>
      <c r="J83" s="206"/>
      <c r="K83" s="206"/>
      <c r="L83" s="206"/>
      <c r="M83" s="206"/>
      <c r="N83" s="206"/>
      <c r="O83" s="206"/>
      <c r="P83" s="206"/>
      <c r="Q83" s="206"/>
    </row>
    <row r="84" spans="1:18">
      <c r="A84" s="206"/>
      <c r="B84" s="206"/>
      <c r="C84" s="206"/>
      <c r="D84" s="206"/>
      <c r="E84" s="206"/>
      <c r="F84" s="206"/>
      <c r="G84" s="206"/>
      <c r="H84" s="206"/>
      <c r="I84" s="206"/>
      <c r="J84" s="206"/>
      <c r="K84" s="206"/>
      <c r="L84" s="206"/>
      <c r="M84" s="206"/>
      <c r="N84" s="206"/>
      <c r="O84" s="206"/>
      <c r="P84" s="206"/>
      <c r="Q84" s="206"/>
    </row>
    <row r="85" spans="1:18">
      <c r="A85" s="206"/>
      <c r="B85" s="206"/>
      <c r="C85" s="206"/>
      <c r="D85" s="206"/>
      <c r="E85" s="206"/>
      <c r="F85" s="206"/>
      <c r="G85" s="206"/>
      <c r="H85" s="206"/>
      <c r="I85" s="206"/>
      <c r="J85" s="206"/>
      <c r="K85" s="206"/>
      <c r="L85" s="206"/>
      <c r="M85" s="206"/>
      <c r="N85" s="206"/>
      <c r="O85" s="206"/>
      <c r="P85" s="206"/>
      <c r="Q85" s="206"/>
    </row>
    <row r="86" spans="1:18">
      <c r="A86" s="206"/>
      <c r="B86" s="206"/>
      <c r="C86" s="206"/>
      <c r="D86" s="206"/>
      <c r="E86" s="206"/>
      <c r="F86" s="206"/>
      <c r="G86" s="206"/>
      <c r="H86" s="206"/>
      <c r="I86" s="206"/>
      <c r="J86" s="206"/>
      <c r="K86" s="206"/>
      <c r="L86" s="206"/>
      <c r="M86" s="206"/>
      <c r="N86" s="206"/>
      <c r="O86" s="206"/>
      <c r="P86" s="206"/>
      <c r="Q86" s="206"/>
    </row>
    <row r="87" spans="1:18">
      <c r="A87" s="206"/>
      <c r="B87" s="206"/>
      <c r="C87" s="206"/>
      <c r="D87" s="206"/>
      <c r="E87" s="206"/>
      <c r="F87" s="206"/>
      <c r="G87" s="206"/>
      <c r="H87" s="206"/>
      <c r="I87" s="206"/>
      <c r="J87" s="206"/>
      <c r="K87" s="206"/>
      <c r="L87" s="206"/>
      <c r="M87" s="206"/>
      <c r="N87" s="206"/>
      <c r="O87" s="206"/>
      <c r="P87" s="206"/>
      <c r="Q87" s="206"/>
    </row>
    <row r="88" spans="1:18">
      <c r="A88" s="206"/>
      <c r="B88" s="206"/>
      <c r="C88" s="206"/>
      <c r="D88" s="206"/>
      <c r="E88" s="206"/>
      <c r="F88" s="206"/>
      <c r="G88" s="206"/>
      <c r="H88" s="206"/>
      <c r="I88" s="206"/>
      <c r="J88" s="206"/>
      <c r="K88" s="206"/>
      <c r="L88" s="206"/>
      <c r="M88" s="206"/>
      <c r="N88" s="206"/>
      <c r="O88" s="206"/>
      <c r="P88" s="206"/>
      <c r="Q88" s="206"/>
    </row>
    <row r="89" spans="1:18">
      <c r="A89" s="206"/>
      <c r="B89" s="206"/>
      <c r="C89" s="206"/>
      <c r="D89" s="206"/>
      <c r="E89" s="206"/>
      <c r="F89" s="206"/>
      <c r="G89" s="206"/>
      <c r="H89" s="206"/>
      <c r="I89" s="206"/>
      <c r="J89" s="206"/>
      <c r="K89" s="206"/>
      <c r="L89" s="206"/>
      <c r="M89" s="206"/>
      <c r="N89" s="206"/>
      <c r="O89" s="206"/>
      <c r="P89" s="206"/>
      <c r="Q89" s="206"/>
    </row>
    <row r="90" spans="1:18">
      <c r="A90" s="206"/>
      <c r="B90" s="206"/>
      <c r="C90" s="206"/>
      <c r="D90" s="206"/>
      <c r="E90" s="206"/>
      <c r="F90" s="206"/>
      <c r="G90" s="206"/>
      <c r="H90" s="206"/>
      <c r="I90" s="206"/>
      <c r="J90" s="206"/>
      <c r="K90" s="206"/>
      <c r="L90" s="206"/>
      <c r="M90" s="206"/>
      <c r="N90" s="206"/>
      <c r="O90" s="206"/>
      <c r="P90" s="206"/>
      <c r="Q90" s="206"/>
    </row>
    <row r="91" spans="1:18">
      <c r="A91" s="206"/>
      <c r="B91" s="206"/>
      <c r="C91" s="206"/>
      <c r="D91" s="206"/>
      <c r="E91" s="206"/>
      <c r="F91" s="206"/>
      <c r="G91" s="206"/>
      <c r="H91" s="206"/>
      <c r="I91" s="206"/>
      <c r="J91" s="206"/>
      <c r="K91" s="206"/>
      <c r="L91" s="206"/>
      <c r="M91" s="206"/>
      <c r="N91" s="206"/>
      <c r="O91" s="206"/>
      <c r="P91" s="206"/>
      <c r="Q91" s="206"/>
    </row>
    <row r="92" spans="1:18">
      <c r="A92" s="206"/>
      <c r="B92" s="206"/>
      <c r="C92" s="206"/>
      <c r="D92" s="206"/>
      <c r="E92" s="206"/>
      <c r="F92" s="206"/>
      <c r="G92" s="206"/>
      <c r="H92" s="206"/>
      <c r="I92" s="206"/>
      <c r="J92" s="206"/>
      <c r="K92" s="206"/>
      <c r="L92" s="206"/>
      <c r="M92" s="206"/>
      <c r="N92" s="206"/>
      <c r="O92" s="206"/>
      <c r="P92" s="206"/>
      <c r="Q92" s="206"/>
    </row>
    <row r="93" spans="1:18">
      <c r="A93" s="206"/>
      <c r="B93" s="206"/>
      <c r="C93" s="206"/>
      <c r="D93" s="206"/>
      <c r="E93" s="206"/>
      <c r="F93" s="206"/>
      <c r="G93" s="206"/>
      <c r="H93" s="206"/>
      <c r="I93" s="206"/>
      <c r="J93" s="206"/>
      <c r="K93" s="206"/>
      <c r="L93" s="206"/>
      <c r="M93" s="206"/>
      <c r="N93" s="206"/>
      <c r="O93" s="206"/>
      <c r="P93" s="206"/>
      <c r="Q93" s="206"/>
    </row>
    <row r="94" spans="1:18">
      <c r="A94" s="206"/>
      <c r="B94" s="206"/>
      <c r="C94" s="206"/>
      <c r="D94" s="206"/>
      <c r="E94" s="206"/>
      <c r="F94" s="206"/>
      <c r="G94" s="206"/>
      <c r="H94" s="206"/>
      <c r="I94" s="206"/>
      <c r="J94" s="206"/>
      <c r="K94" s="206"/>
      <c r="L94" s="206"/>
      <c r="M94" s="206"/>
      <c r="N94" s="206"/>
      <c r="O94" s="206"/>
      <c r="P94" s="206"/>
      <c r="Q94" s="206"/>
    </row>
    <row r="95" spans="1:18">
      <c r="A95" s="206"/>
      <c r="B95" s="206"/>
      <c r="C95" s="206"/>
      <c r="D95" s="206"/>
      <c r="E95" s="206"/>
      <c r="F95" s="206"/>
      <c r="G95" s="206"/>
      <c r="H95" s="206"/>
      <c r="I95" s="206"/>
      <c r="J95" s="206"/>
      <c r="K95" s="206"/>
      <c r="L95" s="206"/>
      <c r="M95" s="206"/>
      <c r="N95" s="206"/>
      <c r="O95" s="206"/>
      <c r="P95" s="206"/>
      <c r="Q95" s="206"/>
    </row>
    <row r="96" spans="1:18">
      <c r="A96" s="206"/>
      <c r="B96" s="206"/>
      <c r="C96" s="206"/>
      <c r="D96" s="206"/>
      <c r="E96" s="206"/>
      <c r="F96" s="206"/>
      <c r="G96" s="206"/>
      <c r="H96" s="206"/>
      <c r="I96" s="206"/>
      <c r="J96" s="206"/>
      <c r="K96" s="206"/>
      <c r="L96" s="206"/>
      <c r="M96" s="206"/>
      <c r="N96" s="206"/>
      <c r="O96" s="206"/>
      <c r="P96" s="206"/>
      <c r="Q96" s="206"/>
    </row>
    <row r="97" spans="1:17">
      <c r="A97" s="206"/>
      <c r="B97" s="206"/>
      <c r="C97" s="206"/>
      <c r="D97" s="206"/>
      <c r="E97" s="206"/>
      <c r="F97" s="206"/>
      <c r="G97" s="206"/>
      <c r="H97" s="206"/>
      <c r="I97" s="206"/>
      <c r="J97" s="206"/>
      <c r="K97" s="206"/>
      <c r="L97" s="206"/>
      <c r="M97" s="206"/>
      <c r="N97" s="206"/>
      <c r="O97" s="206"/>
      <c r="P97" s="206"/>
      <c r="Q97" s="206"/>
    </row>
    <row r="98" spans="1:17">
      <c r="A98" s="206"/>
      <c r="B98" s="206"/>
      <c r="C98" s="206"/>
      <c r="D98" s="206"/>
      <c r="E98" s="206"/>
      <c r="F98" s="206"/>
      <c r="G98" s="206"/>
      <c r="H98" s="206"/>
      <c r="I98" s="206"/>
      <c r="J98" s="206"/>
      <c r="K98" s="206"/>
      <c r="L98" s="206"/>
      <c r="M98" s="206"/>
      <c r="N98" s="206"/>
      <c r="O98" s="206"/>
      <c r="P98" s="206"/>
      <c r="Q98" s="206"/>
    </row>
    <row r="99" spans="1:17">
      <c r="A99" s="206"/>
      <c r="B99" s="206"/>
      <c r="C99" s="206"/>
      <c r="D99" s="206"/>
      <c r="E99" s="206"/>
      <c r="F99" s="206"/>
      <c r="G99" s="206"/>
      <c r="H99" s="206"/>
      <c r="I99" s="206"/>
      <c r="J99" s="206"/>
      <c r="K99" s="206"/>
      <c r="L99" s="206"/>
      <c r="M99" s="206"/>
      <c r="N99" s="206"/>
      <c r="O99" s="206"/>
      <c r="P99" s="206"/>
      <c r="Q99" s="206"/>
    </row>
    <row r="100" spans="1:17">
      <c r="A100" s="206"/>
      <c r="B100" s="206"/>
      <c r="C100" s="206"/>
      <c r="D100" s="206"/>
      <c r="E100" s="206"/>
      <c r="F100" s="206"/>
      <c r="G100" s="206"/>
      <c r="H100" s="206"/>
      <c r="I100" s="206"/>
      <c r="J100" s="206"/>
      <c r="K100" s="206"/>
      <c r="L100" s="206"/>
      <c r="M100" s="206"/>
      <c r="N100" s="206"/>
      <c r="O100" s="206"/>
      <c r="P100" s="206"/>
      <c r="Q100" s="206"/>
    </row>
    <row r="101" spans="1:17">
      <c r="A101" s="206"/>
      <c r="B101" s="206"/>
      <c r="C101" s="206"/>
      <c r="D101" s="206"/>
      <c r="E101" s="206"/>
      <c r="F101" s="206"/>
      <c r="G101" s="206"/>
      <c r="H101" s="206"/>
      <c r="I101" s="206"/>
      <c r="J101" s="206"/>
      <c r="K101" s="206"/>
      <c r="L101" s="206"/>
      <c r="M101" s="206"/>
      <c r="N101" s="206"/>
      <c r="O101" s="206"/>
      <c r="P101" s="206"/>
      <c r="Q101" s="206"/>
    </row>
    <row r="102" spans="1:17">
      <c r="A102" s="206"/>
      <c r="B102" s="206"/>
      <c r="C102" s="206"/>
      <c r="D102" s="206"/>
      <c r="E102" s="206"/>
      <c r="F102" s="206"/>
      <c r="G102" s="206"/>
      <c r="H102" s="206"/>
      <c r="I102" s="206"/>
      <c r="J102" s="206"/>
      <c r="K102" s="206"/>
      <c r="L102" s="206"/>
      <c r="M102" s="206"/>
      <c r="N102" s="206"/>
      <c r="O102" s="206"/>
      <c r="P102" s="206"/>
      <c r="Q102" s="206"/>
    </row>
    <row r="103" spans="1:17">
      <c r="B103" s="206"/>
      <c r="C103" s="206"/>
      <c r="D103" s="206"/>
      <c r="E103" s="206"/>
      <c r="F103" s="206"/>
      <c r="G103" s="206"/>
      <c r="H103" s="206"/>
      <c r="I103" s="206"/>
      <c r="J103" s="206"/>
      <c r="K103" s="206"/>
      <c r="L103" s="206"/>
      <c r="M103" s="206"/>
      <c r="N103" s="206"/>
      <c r="O103" s="206"/>
      <c r="P103" s="206"/>
      <c r="Q103" s="206"/>
    </row>
    <row r="104" spans="1:17">
      <c r="B104" s="206"/>
      <c r="C104" s="206"/>
      <c r="D104" s="206"/>
      <c r="E104" s="206"/>
      <c r="F104" s="206"/>
      <c r="G104" s="206"/>
      <c r="H104" s="206"/>
      <c r="I104" s="206"/>
      <c r="J104" s="206"/>
      <c r="K104" s="206"/>
      <c r="L104" s="206"/>
      <c r="M104" s="206"/>
      <c r="N104" s="206"/>
      <c r="O104" s="206"/>
      <c r="P104" s="206"/>
      <c r="Q104" s="206"/>
    </row>
    <row r="105" spans="1:17">
      <c r="B105" s="206"/>
      <c r="C105" s="206"/>
      <c r="D105" s="206"/>
      <c r="E105" s="206"/>
      <c r="F105" s="206"/>
      <c r="G105" s="206"/>
      <c r="H105" s="206"/>
      <c r="I105" s="206"/>
      <c r="J105" s="206"/>
      <c r="K105" s="206"/>
      <c r="L105" s="206"/>
      <c r="M105" s="206"/>
      <c r="N105" s="206"/>
      <c r="O105" s="206"/>
      <c r="P105" s="206"/>
      <c r="Q105" s="206"/>
    </row>
    <row r="106" spans="1:17">
      <c r="B106" s="206"/>
      <c r="C106" s="206"/>
      <c r="D106" s="206"/>
      <c r="E106" s="206"/>
      <c r="F106" s="206"/>
      <c r="G106" s="206"/>
      <c r="H106" s="206"/>
      <c r="I106" s="206"/>
      <c r="J106" s="206"/>
      <c r="K106" s="206"/>
      <c r="L106" s="206"/>
      <c r="M106" s="206"/>
      <c r="N106" s="206"/>
      <c r="O106" s="206"/>
      <c r="P106" s="206"/>
      <c r="Q106" s="206"/>
    </row>
    <row r="107" spans="1:17">
      <c r="B107" s="204"/>
      <c r="C107" s="204"/>
      <c r="D107" s="204"/>
      <c r="E107" s="204"/>
      <c r="F107" s="204"/>
      <c r="G107" s="204"/>
      <c r="H107" s="204"/>
      <c r="I107" s="204"/>
      <c r="J107" s="204"/>
      <c r="K107" s="204"/>
      <c r="L107" s="204"/>
      <c r="M107" s="204"/>
      <c r="N107" s="204"/>
      <c r="O107" s="204"/>
      <c r="P107" s="204"/>
      <c r="Q107" s="204"/>
    </row>
    <row r="108" spans="1:17">
      <c r="B108" s="204"/>
      <c r="C108" s="204"/>
      <c r="D108" s="204"/>
      <c r="E108" s="204"/>
      <c r="F108" s="204"/>
      <c r="G108" s="204"/>
      <c r="H108" s="204"/>
      <c r="I108" s="204"/>
      <c r="J108" s="204"/>
      <c r="K108" s="204"/>
      <c r="L108" s="204"/>
      <c r="M108" s="204"/>
      <c r="N108" s="204"/>
      <c r="O108" s="204"/>
      <c r="P108" s="204"/>
      <c r="Q108" s="204"/>
    </row>
    <row r="109" spans="1:17">
      <c r="B109" s="204"/>
      <c r="C109" s="204"/>
      <c r="D109" s="204"/>
      <c r="E109" s="204"/>
      <c r="F109" s="204"/>
      <c r="G109" s="204"/>
      <c r="H109" s="204"/>
      <c r="I109" s="204"/>
      <c r="J109" s="204"/>
      <c r="K109" s="204"/>
      <c r="L109" s="204"/>
      <c r="M109" s="204"/>
      <c r="N109" s="204"/>
      <c r="O109" s="204"/>
      <c r="P109" s="204"/>
      <c r="Q109" s="204"/>
    </row>
    <row r="110" spans="1:17">
      <c r="B110" s="204"/>
      <c r="C110" s="204"/>
      <c r="D110" s="204"/>
      <c r="E110" s="204"/>
      <c r="F110" s="204"/>
      <c r="G110" s="204"/>
      <c r="H110" s="204"/>
      <c r="I110" s="204"/>
      <c r="J110" s="204"/>
      <c r="K110" s="204"/>
      <c r="L110" s="204"/>
      <c r="M110" s="204"/>
      <c r="N110" s="204"/>
      <c r="O110" s="204"/>
      <c r="P110" s="204"/>
      <c r="Q110" s="204"/>
    </row>
    <row r="111" spans="1:17">
      <c r="B111" s="204"/>
      <c r="C111" s="204"/>
      <c r="D111" s="204"/>
      <c r="E111" s="204"/>
      <c r="F111" s="204"/>
      <c r="G111" s="204"/>
      <c r="H111" s="204"/>
      <c r="I111" s="204"/>
      <c r="J111" s="204"/>
      <c r="K111" s="204"/>
      <c r="L111" s="204"/>
      <c r="M111" s="204"/>
      <c r="N111" s="204"/>
      <c r="O111" s="204"/>
      <c r="P111" s="204"/>
      <c r="Q111" s="204"/>
    </row>
    <row r="112" spans="1:17">
      <c r="B112" s="204"/>
      <c r="C112" s="204"/>
      <c r="D112" s="204"/>
      <c r="E112" s="204"/>
      <c r="F112" s="204"/>
      <c r="G112" s="204"/>
      <c r="H112" s="204"/>
      <c r="I112" s="204"/>
      <c r="J112" s="204"/>
      <c r="K112" s="204"/>
      <c r="L112" s="204"/>
      <c r="M112" s="204"/>
      <c r="N112" s="204"/>
      <c r="O112" s="204"/>
      <c r="P112" s="204"/>
      <c r="Q112" s="204"/>
    </row>
    <row r="113" spans="2:17">
      <c r="B113" s="204"/>
      <c r="C113" s="204"/>
      <c r="D113" s="204"/>
      <c r="E113" s="204"/>
      <c r="F113" s="204"/>
      <c r="G113" s="204"/>
      <c r="H113" s="204"/>
      <c r="I113" s="204"/>
      <c r="J113" s="204"/>
      <c r="K113" s="204"/>
      <c r="L113" s="204"/>
      <c r="M113" s="204"/>
      <c r="N113" s="204"/>
      <c r="O113" s="204"/>
      <c r="P113" s="204"/>
      <c r="Q113" s="204"/>
    </row>
    <row r="114" spans="2:17">
      <c r="B114" s="204"/>
      <c r="C114" s="204"/>
      <c r="D114" s="204"/>
      <c r="E114" s="204"/>
      <c r="F114" s="204"/>
      <c r="G114" s="204"/>
      <c r="H114" s="204"/>
      <c r="I114" s="204"/>
      <c r="J114" s="204"/>
      <c r="K114" s="204"/>
      <c r="L114" s="204"/>
      <c r="M114" s="204"/>
      <c r="N114" s="204"/>
      <c r="O114" s="204"/>
      <c r="P114" s="204"/>
      <c r="Q114" s="204"/>
    </row>
    <row r="115" spans="2:17">
      <c r="B115" s="204"/>
      <c r="C115" s="204"/>
      <c r="D115" s="204"/>
      <c r="E115" s="204"/>
      <c r="F115" s="204"/>
      <c r="G115" s="204"/>
      <c r="H115" s="204"/>
      <c r="I115" s="204"/>
      <c r="J115" s="204"/>
      <c r="K115" s="204"/>
      <c r="L115" s="204"/>
      <c r="M115" s="204"/>
      <c r="N115" s="204"/>
      <c r="O115" s="204"/>
      <c r="P115" s="204"/>
      <c r="Q115" s="204"/>
    </row>
    <row r="116" spans="2:17">
      <c r="B116" s="204"/>
      <c r="C116" s="204"/>
      <c r="D116" s="204"/>
      <c r="E116" s="204"/>
      <c r="F116" s="204"/>
      <c r="G116" s="204"/>
      <c r="H116" s="204"/>
      <c r="I116" s="204"/>
      <c r="J116" s="204"/>
      <c r="K116" s="204"/>
      <c r="L116" s="204"/>
      <c r="M116" s="204"/>
      <c r="N116" s="204"/>
      <c r="O116" s="204"/>
      <c r="P116" s="204"/>
      <c r="Q116" s="204"/>
    </row>
    <row r="117" spans="2:17">
      <c r="B117" s="204"/>
      <c r="C117" s="204"/>
      <c r="D117" s="204"/>
      <c r="E117" s="204"/>
      <c r="F117" s="204"/>
      <c r="G117" s="204"/>
      <c r="H117" s="204"/>
      <c r="I117" s="204"/>
      <c r="J117" s="204"/>
      <c r="K117" s="204"/>
      <c r="L117" s="204"/>
      <c r="M117" s="204"/>
      <c r="N117" s="204"/>
      <c r="O117" s="204"/>
      <c r="P117" s="204"/>
      <c r="Q117" s="204"/>
    </row>
    <row r="118" spans="2:17">
      <c r="B118" s="204"/>
      <c r="C118" s="204"/>
      <c r="D118" s="204"/>
      <c r="E118" s="204"/>
      <c r="F118" s="204"/>
      <c r="G118" s="204"/>
      <c r="H118" s="204"/>
      <c r="I118" s="204"/>
      <c r="J118" s="204"/>
      <c r="K118" s="204"/>
      <c r="L118" s="204"/>
      <c r="M118" s="204"/>
      <c r="N118" s="204"/>
      <c r="O118" s="204"/>
      <c r="P118" s="204"/>
      <c r="Q118" s="204"/>
    </row>
    <row r="119" spans="2:17">
      <c r="B119" s="204"/>
      <c r="C119" s="204"/>
      <c r="D119" s="204"/>
      <c r="E119" s="204"/>
      <c r="F119" s="204"/>
      <c r="G119" s="204"/>
      <c r="H119" s="204"/>
      <c r="I119" s="204"/>
      <c r="J119" s="204"/>
      <c r="K119" s="204"/>
      <c r="L119" s="204"/>
      <c r="M119" s="204"/>
      <c r="N119" s="204"/>
      <c r="O119" s="204"/>
      <c r="P119" s="204"/>
      <c r="Q119" s="204"/>
    </row>
    <row r="120" spans="2:17">
      <c r="B120" s="204"/>
      <c r="C120" s="204"/>
      <c r="D120" s="204"/>
      <c r="E120" s="204"/>
      <c r="F120" s="204"/>
      <c r="G120" s="204"/>
      <c r="H120" s="204"/>
      <c r="I120" s="204"/>
      <c r="J120" s="204"/>
      <c r="K120" s="204"/>
      <c r="L120" s="204"/>
      <c r="M120" s="204"/>
      <c r="N120" s="204"/>
      <c r="O120" s="204"/>
      <c r="P120" s="204"/>
      <c r="Q120" s="204"/>
    </row>
    <row r="121" spans="2:17">
      <c r="B121" s="204"/>
      <c r="C121" s="204"/>
      <c r="D121" s="204"/>
      <c r="E121" s="204"/>
      <c r="F121" s="204"/>
      <c r="G121" s="204"/>
      <c r="H121" s="204"/>
      <c r="I121" s="204"/>
      <c r="J121" s="204"/>
      <c r="K121" s="204"/>
      <c r="L121" s="204"/>
      <c r="M121" s="204"/>
      <c r="N121" s="204"/>
      <c r="O121" s="204"/>
      <c r="P121" s="204"/>
      <c r="Q121" s="204"/>
    </row>
    <row r="122" spans="2:17">
      <c r="B122" s="204"/>
      <c r="C122" s="204"/>
      <c r="D122" s="204"/>
      <c r="E122" s="204"/>
      <c r="F122" s="204"/>
      <c r="G122" s="204"/>
      <c r="H122" s="204"/>
      <c r="I122" s="204"/>
      <c r="J122" s="204"/>
      <c r="K122" s="204"/>
      <c r="L122" s="204"/>
      <c r="M122" s="204"/>
      <c r="N122" s="204"/>
      <c r="O122" s="204"/>
      <c r="P122" s="204"/>
      <c r="Q122" s="204"/>
    </row>
    <row r="123" spans="2:17">
      <c r="B123" s="204"/>
      <c r="C123" s="204"/>
      <c r="D123" s="204"/>
      <c r="E123" s="204"/>
      <c r="F123" s="204"/>
      <c r="G123" s="204"/>
      <c r="H123" s="204"/>
      <c r="I123" s="204"/>
      <c r="J123" s="204"/>
      <c r="K123" s="204"/>
      <c r="L123" s="204"/>
      <c r="M123" s="204"/>
      <c r="N123" s="204"/>
      <c r="O123" s="204"/>
      <c r="P123" s="204"/>
      <c r="Q123" s="204"/>
    </row>
    <row r="124" spans="2:17">
      <c r="B124" s="204"/>
      <c r="C124" s="204"/>
      <c r="D124" s="204"/>
      <c r="E124" s="204"/>
      <c r="F124" s="204"/>
      <c r="G124" s="204"/>
      <c r="H124" s="204"/>
      <c r="I124" s="204"/>
      <c r="J124" s="204"/>
      <c r="K124" s="204"/>
      <c r="L124" s="204"/>
      <c r="M124" s="204"/>
      <c r="N124" s="204"/>
      <c r="O124" s="204"/>
      <c r="P124" s="204"/>
      <c r="Q124" s="204"/>
    </row>
    <row r="125" spans="2:17">
      <c r="B125" s="204"/>
      <c r="C125" s="204"/>
      <c r="D125" s="204"/>
      <c r="E125" s="204"/>
      <c r="F125" s="204"/>
      <c r="G125" s="204"/>
      <c r="H125" s="204"/>
      <c r="I125" s="204"/>
      <c r="J125" s="204"/>
      <c r="K125" s="204"/>
      <c r="L125" s="204"/>
      <c r="M125" s="204"/>
      <c r="N125" s="204"/>
      <c r="O125" s="204"/>
      <c r="P125" s="204"/>
      <c r="Q125" s="204"/>
    </row>
    <row r="233" spans="48:53">
      <c r="AV233" s="191"/>
      <c r="BA233" s="191"/>
    </row>
    <row r="247" spans="37:37">
      <c r="AK247" s="190"/>
    </row>
    <row r="259" spans="23:23">
      <c r="W259" s="149"/>
    </row>
    <row r="273" spans="23:23">
      <c r="W273" s="195"/>
    </row>
    <row r="299" spans="23:23">
      <c r="W299" s="149"/>
    </row>
  </sheetData>
  <mergeCells count="1">
    <mergeCell ref="C48:J48"/>
  </mergeCells>
  <phoneticPr fontId="3"/>
  <dataValidations disablePrompts="1" count="1">
    <dataValidation type="list" allowBlank="1" showInputMessage="1" showErrorMessage="1" sqref="C48" xr:uid="{00000000-0002-0000-0A00-000000000000}">
      <formula1>"Index,Matrix Search"</formula1>
    </dataValidation>
  </dataValidation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D27"/>
  <sheetViews>
    <sheetView workbookViewId="0">
      <selection activeCell="D15" sqref="D15"/>
    </sheetView>
  </sheetViews>
  <sheetFormatPr defaultRowHeight="13.5"/>
  <cols>
    <col min="2" max="2" width="4.875" bestFit="1" customWidth="1"/>
    <col min="3" max="3" width="12.25" customWidth="1"/>
    <col min="4" max="4" width="86" customWidth="1"/>
  </cols>
  <sheetData>
    <row r="2" spans="2:4" ht="14.25" thickBot="1">
      <c r="B2" s="83" t="s">
        <v>89</v>
      </c>
      <c r="C2" s="84">
        <f>MAX(B4:B28)</f>
        <v>20</v>
      </c>
      <c r="D2" s="84"/>
    </row>
    <row r="3" spans="2:4" ht="14.25" thickBot="1">
      <c r="B3" s="77" t="s">
        <v>87</v>
      </c>
      <c r="C3" s="85" t="s">
        <v>92</v>
      </c>
      <c r="D3" s="78" t="s">
        <v>88</v>
      </c>
    </row>
    <row r="4" spans="2:4" ht="14.25" thickTop="1">
      <c r="B4" s="11">
        <v>0</v>
      </c>
      <c r="C4" s="86" t="s">
        <v>93</v>
      </c>
      <c r="D4" s="13" t="s">
        <v>20</v>
      </c>
    </row>
    <row r="5" spans="2:4" ht="40.5">
      <c r="B5" s="2">
        <v>1</v>
      </c>
      <c r="C5" s="87" t="s">
        <v>93</v>
      </c>
      <c r="D5" s="89" t="s">
        <v>94</v>
      </c>
    </row>
    <row r="6" spans="2:4" ht="27">
      <c r="B6" s="2">
        <v>2</v>
      </c>
      <c r="C6" s="87" t="s">
        <v>96</v>
      </c>
      <c r="D6" s="89" t="s">
        <v>97</v>
      </c>
    </row>
    <row r="7" spans="2:4" ht="54">
      <c r="B7" s="2">
        <v>3</v>
      </c>
      <c r="C7" s="87" t="s">
        <v>98</v>
      </c>
      <c r="D7" s="89" t="s">
        <v>101</v>
      </c>
    </row>
    <row r="8" spans="2:4" ht="81">
      <c r="B8" s="2">
        <v>4</v>
      </c>
      <c r="C8" s="87" t="s">
        <v>109</v>
      </c>
      <c r="D8" s="89" t="s">
        <v>117</v>
      </c>
    </row>
    <row r="9" spans="2:4" ht="41.25" customHeight="1">
      <c r="B9" s="2">
        <v>5</v>
      </c>
      <c r="C9" s="87" t="s">
        <v>110</v>
      </c>
      <c r="D9" s="89" t="s">
        <v>111</v>
      </c>
    </row>
    <row r="10" spans="2:4" ht="27">
      <c r="B10" s="2">
        <v>6</v>
      </c>
      <c r="C10" s="87" t="s">
        <v>93</v>
      </c>
      <c r="D10" s="89" t="s">
        <v>116</v>
      </c>
    </row>
    <row r="11" spans="2:4" ht="27">
      <c r="B11" s="2">
        <v>7</v>
      </c>
      <c r="C11" s="87" t="s">
        <v>113</v>
      </c>
      <c r="D11" s="89" t="s">
        <v>114</v>
      </c>
    </row>
    <row r="12" spans="2:4" ht="27">
      <c r="B12" s="2">
        <v>8</v>
      </c>
      <c r="C12" s="87" t="s">
        <v>115</v>
      </c>
      <c r="D12" s="89" t="s">
        <v>118</v>
      </c>
    </row>
    <row r="13" spans="2:4" ht="27">
      <c r="B13" s="2">
        <v>9</v>
      </c>
      <c r="C13" s="87" t="s">
        <v>119</v>
      </c>
      <c r="D13" s="89" t="s">
        <v>120</v>
      </c>
    </row>
    <row r="14" spans="2:4" ht="27">
      <c r="B14" s="2">
        <v>10</v>
      </c>
      <c r="C14" s="87" t="s">
        <v>121</v>
      </c>
      <c r="D14" s="89" t="s">
        <v>122</v>
      </c>
    </row>
    <row r="15" spans="2:4" ht="135">
      <c r="B15" s="2">
        <v>11</v>
      </c>
      <c r="C15" s="87" t="s">
        <v>124</v>
      </c>
      <c r="D15" s="89" t="s">
        <v>140</v>
      </c>
    </row>
    <row r="16" spans="2:4" ht="191.25" customHeight="1">
      <c r="B16" s="2">
        <v>12</v>
      </c>
      <c r="C16" s="87" t="s">
        <v>168</v>
      </c>
      <c r="D16" s="89" t="s">
        <v>186</v>
      </c>
    </row>
    <row r="17" spans="2:4" ht="27">
      <c r="B17" s="2">
        <v>13</v>
      </c>
      <c r="C17" s="87" t="s">
        <v>96</v>
      </c>
      <c r="D17" s="89" t="s">
        <v>189</v>
      </c>
    </row>
    <row r="18" spans="2:4" ht="67.5">
      <c r="B18" s="2">
        <v>14</v>
      </c>
      <c r="C18" s="87" t="s">
        <v>96</v>
      </c>
      <c r="D18" s="89" t="s">
        <v>191</v>
      </c>
    </row>
    <row r="19" spans="2:4" ht="40.5">
      <c r="B19" s="2">
        <v>15</v>
      </c>
      <c r="C19" s="87" t="s">
        <v>110</v>
      </c>
      <c r="D19" s="89" t="s">
        <v>194</v>
      </c>
    </row>
    <row r="20" spans="2:4" ht="64.5" customHeight="1">
      <c r="B20" s="2">
        <v>16</v>
      </c>
      <c r="C20" s="87" t="s">
        <v>110</v>
      </c>
      <c r="D20" s="89" t="s">
        <v>198</v>
      </c>
    </row>
    <row r="21" spans="2:4" ht="66.75" customHeight="1">
      <c r="B21" s="2">
        <v>17</v>
      </c>
      <c r="C21" s="87" t="s">
        <v>207</v>
      </c>
      <c r="D21" s="89" t="s">
        <v>214</v>
      </c>
    </row>
    <row r="22" spans="2:4" ht="27">
      <c r="B22" s="2">
        <v>18</v>
      </c>
      <c r="C22" s="87" t="s">
        <v>216</v>
      </c>
      <c r="D22" s="89" t="s">
        <v>217</v>
      </c>
    </row>
    <row r="23" spans="2:4" ht="27">
      <c r="B23" s="2">
        <v>19</v>
      </c>
      <c r="C23" s="87" t="s">
        <v>219</v>
      </c>
      <c r="D23" s="89" t="s">
        <v>220</v>
      </c>
    </row>
    <row r="24" spans="2:4" ht="94.5">
      <c r="B24" s="2">
        <v>20</v>
      </c>
      <c r="C24" s="87" t="s">
        <v>245</v>
      </c>
      <c r="D24" s="89" t="s">
        <v>246</v>
      </c>
    </row>
    <row r="25" spans="2:4">
      <c r="B25" s="2"/>
      <c r="C25" s="87"/>
      <c r="D25" s="73"/>
    </row>
    <row r="26" spans="2:4">
      <c r="B26" s="2"/>
      <c r="C26" s="87"/>
      <c r="D26" s="73"/>
    </row>
    <row r="27" spans="2:4" ht="14.25" thickBot="1">
      <c r="B27" s="3"/>
      <c r="C27" s="88"/>
      <c r="D27" s="4"/>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vt:i4>
      </vt:variant>
    </vt:vector>
  </HeadingPairs>
  <TitlesOfParts>
    <vt:vector size="10" baseType="lpstr">
      <vt:lpstr>表紙（承認欄）</vt:lpstr>
      <vt:lpstr>表紙</vt:lpstr>
      <vt:lpstr>はじめに</vt:lpstr>
      <vt:lpstr>Matrix</vt:lpstr>
      <vt:lpstr>Config_IF</vt:lpstr>
      <vt:lpstr>CH_Design</vt:lpstr>
      <vt:lpstr>S_ADBZR_DMC</vt:lpstr>
      <vt:lpstr>Reference</vt:lpstr>
      <vt:lpstr>History</vt:lpstr>
      <vt:lpstr>'表紙（承認欄）'!Print_Area</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Eunice Avelin (DTPH)</cp:lastModifiedBy>
  <dcterms:created xsi:type="dcterms:W3CDTF">2019-02-05T04:25:17Z</dcterms:created>
  <dcterms:modified xsi:type="dcterms:W3CDTF">2025-12-18T22:57:03Z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2024-02-19T06:01:59Z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1c58c5ed-997d-4659-a97e-cdfa4758e3ce</vt:lpwstr>
  </property>
  <property fmtid="{D5CDD505-2E9C-101B-9397-08002B2CF9AE}" pid="8" name="MSIP_Label_6add209e-37c4-4e15-ab1b-f9befe71def1_ContentBits">
    <vt:lpwstr>0</vt:lpwstr>
  </property>
</Properties>
</file>