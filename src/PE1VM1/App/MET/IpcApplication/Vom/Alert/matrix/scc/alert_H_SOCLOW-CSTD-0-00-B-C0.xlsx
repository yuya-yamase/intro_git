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B00C040-6A9A-4C01-A70F-E584BDC67662}"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TT_PD" sheetId="8" r:id="rId7"/>
    <sheet name="BC" sheetId="13" r:id="rId8"/>
    <sheet name="Reference" sheetId="15"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AU11" i="13"/>
  <c r="AU10" i="13"/>
  <c r="AU11" i="8"/>
  <c r="AU10" i="8"/>
  <c r="B13" i="1"/>
  <c r="B12" i="1"/>
  <c r="B11" i="1"/>
  <c r="B10" i="1"/>
  <c r="B9" i="1"/>
  <c r="C2" i="7"/>
  <c r="B3" i="13" l="1"/>
  <c r="B3" i="8"/>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S6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S6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S5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AN186" i="13" s="1"/>
  <c r="N186" i="13"/>
  <c r="M186" i="13"/>
  <c r="L186" i="13"/>
  <c r="K186" i="13"/>
  <c r="J186" i="13"/>
  <c r="I186" i="13"/>
  <c r="H186" i="13"/>
  <c r="G186" i="13"/>
  <c r="F186" i="13"/>
  <c r="E186" i="13"/>
  <c r="D186" i="13"/>
  <c r="AJ185" i="13"/>
  <c r="AQ185" i="13" s="1"/>
  <c r="AS56"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S5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S48"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S44"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6"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Q128" i="13"/>
  <c r="AR63" i="13" s="1"/>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2"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1"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59"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R57"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R56"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R48"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4"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R40"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AO97" i="13" s="1"/>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AS69" i="13"/>
  <c r="C69" i="13"/>
  <c r="C199" i="13" s="1"/>
  <c r="AT68" i="13"/>
  <c r="AS68" i="13"/>
  <c r="C68" i="13"/>
  <c r="C198" i="13" s="1"/>
  <c r="AT67" i="13"/>
  <c r="C67" i="13"/>
  <c r="AT66" i="13"/>
  <c r="AS66" i="13"/>
  <c r="C66" i="13"/>
  <c r="C196" i="13" s="1"/>
  <c r="AT65" i="13"/>
  <c r="AS65" i="13"/>
  <c r="AR65" i="13"/>
  <c r="C65" i="13"/>
  <c r="C195" i="13" s="1"/>
  <c r="AT64" i="13"/>
  <c r="C64" i="13"/>
  <c r="AT63" i="13"/>
  <c r="C63" i="13"/>
  <c r="C193" i="13" s="1"/>
  <c r="AT62" i="13"/>
  <c r="AS62" i="13"/>
  <c r="C62" i="13"/>
  <c r="C192" i="13" s="1"/>
  <c r="AT61" i="13"/>
  <c r="AS61" i="13"/>
  <c r="C61" i="13"/>
  <c r="AT60" i="13"/>
  <c r="C60" i="13"/>
  <c r="AT59" i="13"/>
  <c r="C59" i="13"/>
  <c r="C189" i="13" s="1"/>
  <c r="AT58" i="13"/>
  <c r="AS58" i="13"/>
  <c r="C58" i="13"/>
  <c r="AT57" i="13"/>
  <c r="AS57" i="13"/>
  <c r="C57" i="13"/>
  <c r="C187" i="13" s="1"/>
  <c r="AT56" i="13"/>
  <c r="C56" i="13"/>
  <c r="C186" i="13" s="1"/>
  <c r="AT55" i="13"/>
  <c r="C55" i="13"/>
  <c r="AT54" i="13"/>
  <c r="AS54" i="13"/>
  <c r="AR54" i="13"/>
  <c r="C54" i="13"/>
  <c r="AT53" i="13"/>
  <c r="AS53" i="13"/>
  <c r="AR53" i="13"/>
  <c r="C53" i="13"/>
  <c r="C183" i="13" s="1"/>
  <c r="AT52" i="13"/>
  <c r="C52" i="13"/>
  <c r="AT51" i="13"/>
  <c r="C51" i="13"/>
  <c r="C181" i="13" s="1"/>
  <c r="AT50" i="13"/>
  <c r="AS50" i="13"/>
  <c r="AR50" i="13"/>
  <c r="C50" i="13"/>
  <c r="C180" i="13" s="1"/>
  <c r="AT49" i="13"/>
  <c r="AS49" i="13"/>
  <c r="C49" i="13"/>
  <c r="AT48" i="13"/>
  <c r="C48" i="13"/>
  <c r="AT47" i="13"/>
  <c r="C47" i="13"/>
  <c r="AT46" i="13"/>
  <c r="AS46" i="13"/>
  <c r="C46" i="13"/>
  <c r="AT45" i="13"/>
  <c r="AS45" i="13"/>
  <c r="C45" i="13"/>
  <c r="AT44" i="13"/>
  <c r="C44" i="13"/>
  <c r="AT43" i="13"/>
  <c r="C43" i="13"/>
  <c r="AT42" i="13"/>
  <c r="AS42" i="13"/>
  <c r="C42" i="13"/>
  <c r="AT41" i="13"/>
  <c r="AS41" i="13"/>
  <c r="C41" i="13"/>
  <c r="AT40" i="13"/>
  <c r="AS40" i="13"/>
  <c r="C40" i="13"/>
  <c r="AT39" i="13"/>
  <c r="C39" i="13"/>
  <c r="AT38" i="13"/>
  <c r="C38" i="13"/>
  <c r="C37" i="13"/>
  <c r="C36" i="13"/>
  <c r="C35" i="13"/>
  <c r="C34" i="13"/>
  <c r="C99" i="13" s="1"/>
  <c r="C33" i="13"/>
  <c r="C32" i="13"/>
  <c r="C31" i="13"/>
  <c r="C30" i="13"/>
  <c r="C29" i="13"/>
  <c r="C28" i="13"/>
  <c r="C27" i="13"/>
  <c r="C26" i="13"/>
  <c r="C25" i="13"/>
  <c r="C24" i="13"/>
  <c r="C23" i="13"/>
  <c r="C22" i="13"/>
  <c r="C21" i="13"/>
  <c r="C20" i="13"/>
  <c r="C150" i="13" s="1"/>
  <c r="C19" i="13"/>
  <c r="C18" i="13"/>
  <c r="C17" i="13"/>
  <c r="C16" i="13"/>
  <c r="C81" i="13" s="1"/>
  <c r="C15" i="13"/>
  <c r="C14" i="13"/>
  <c r="C144" i="13" s="1"/>
  <c r="AW13" i="13"/>
  <c r="AL13" i="13"/>
  <c r="C13" i="13"/>
  <c r="AL12" i="13"/>
  <c r="C12" i="13"/>
  <c r="C142" i="13" s="1"/>
  <c r="AL11" i="13"/>
  <c r="C11" i="13"/>
  <c r="C76" i="13" s="1"/>
  <c r="C10" i="13"/>
  <c r="C140" i="13" s="1"/>
  <c r="C9" i="13"/>
  <c r="C8" i="13"/>
  <c r="AW7" i="13"/>
  <c r="C7" i="13"/>
  <c r="AW6" i="13"/>
  <c r="AL6" i="13"/>
  <c r="C6" i="13"/>
  <c r="C136" i="13" s="1"/>
  <c r="AN121" i="13" l="1"/>
  <c r="AO160" i="13"/>
  <c r="AL118" i="13"/>
  <c r="AO122" i="13"/>
  <c r="AL122" i="13"/>
  <c r="AM153" i="13"/>
  <c r="AM138" i="13"/>
  <c r="AO148" i="13"/>
  <c r="AO156" i="13"/>
  <c r="AN81" i="13"/>
  <c r="AS52" i="13"/>
  <c r="AS55" i="13"/>
  <c r="AR68" i="13"/>
  <c r="AM71" i="13"/>
  <c r="AM75" i="13"/>
  <c r="AM79" i="13"/>
  <c r="AM83" i="13"/>
  <c r="AM87" i="13"/>
  <c r="AM103" i="13"/>
  <c r="AN142" i="13"/>
  <c r="AS64" i="13"/>
  <c r="AR60" i="13"/>
  <c r="AO139" i="13"/>
  <c r="AN154" i="13"/>
  <c r="AN166" i="13"/>
  <c r="AN178" i="13"/>
  <c r="AN190" i="13"/>
  <c r="AO199" i="13"/>
  <c r="AL199" i="13"/>
  <c r="AN138" i="13"/>
  <c r="AM192" i="13"/>
  <c r="AN185" i="13"/>
  <c r="AN189" i="13"/>
  <c r="AN193" i="13"/>
  <c r="AN197" i="13"/>
  <c r="AT11" i="13"/>
  <c r="AN75" i="13"/>
  <c r="AR42" i="13"/>
  <c r="AR46" i="13"/>
  <c r="AO190" i="13"/>
  <c r="AN127" i="13"/>
  <c r="AM183" i="13"/>
  <c r="AM93" i="13"/>
  <c r="AM109" i="13"/>
  <c r="AO128" i="13"/>
  <c r="AL128" i="13"/>
  <c r="AN148" i="13"/>
  <c r="AN160" i="13"/>
  <c r="AS39" i="13"/>
  <c r="AN172" i="13"/>
  <c r="AN184" i="13"/>
  <c r="AN196" i="13"/>
  <c r="AO165" i="13"/>
  <c r="AO169" i="13"/>
  <c r="AL169" i="13"/>
  <c r="AO177" i="13"/>
  <c r="AL177" i="13"/>
  <c r="AO83" i="13"/>
  <c r="AM162" i="13"/>
  <c r="AT6" i="13"/>
  <c r="AM80" i="13"/>
  <c r="AM88" i="13"/>
  <c r="AM92" i="13"/>
  <c r="AM108" i="13"/>
  <c r="AN139" i="13"/>
  <c r="AN151" i="13"/>
  <c r="AN152" i="13"/>
  <c r="AN155" i="13"/>
  <c r="AN159" i="13"/>
  <c r="AN163" i="13"/>
  <c r="AR51" i="13"/>
  <c r="AR52" i="13"/>
  <c r="AR41" i="13"/>
  <c r="AR70" i="13"/>
  <c r="AR69" i="13"/>
  <c r="AL119" i="13"/>
  <c r="AR64" i="13"/>
  <c r="AN83" i="13"/>
  <c r="AR58" i="13"/>
  <c r="AL76" i="13"/>
  <c r="AO79" i="13"/>
  <c r="AL88" i="13"/>
  <c r="AM89" i="13"/>
  <c r="AO93" i="13"/>
  <c r="AO103" i="13"/>
  <c r="AO109" i="13"/>
  <c r="AN118" i="13"/>
  <c r="AN123" i="13"/>
  <c r="AO130" i="13"/>
  <c r="C134" i="13"/>
  <c r="AO145" i="13"/>
  <c r="AL145" i="13"/>
  <c r="AL154" i="13"/>
  <c r="AM159" i="13"/>
  <c r="AO162" i="13"/>
  <c r="AO166" i="13"/>
  <c r="AN169" i="13"/>
  <c r="AN170" i="13"/>
  <c r="AO183" i="13"/>
  <c r="AL183" i="13"/>
  <c r="AM94" i="13"/>
  <c r="AM99" i="13"/>
  <c r="AM104" i="13"/>
  <c r="AM110" i="13"/>
  <c r="C124" i="13"/>
  <c r="AO131" i="13"/>
  <c r="AO134" i="13"/>
  <c r="AL134" i="13"/>
  <c r="AO153" i="13"/>
  <c r="AN173" i="13"/>
  <c r="AN174" i="13"/>
  <c r="AN177" i="13"/>
  <c r="AM180" i="13"/>
  <c r="AO187" i="13"/>
  <c r="AL187" i="13"/>
  <c r="AO87" i="13"/>
  <c r="AL92" i="13"/>
  <c r="AL108" i="13"/>
  <c r="AL114" i="13"/>
  <c r="AN117" i="13"/>
  <c r="AO125" i="13"/>
  <c r="AL125" i="13"/>
  <c r="AN132" i="13"/>
  <c r="C133" i="13"/>
  <c r="AN147" i="13"/>
  <c r="AM150" i="13"/>
  <c r="AO157" i="13"/>
  <c r="AM171" i="13"/>
  <c r="AO174" i="13"/>
  <c r="AO178" i="13"/>
  <c r="AN181" i="13"/>
  <c r="AN182" i="13"/>
  <c r="AO195" i="13"/>
  <c r="AL195" i="13"/>
  <c r="AO119" i="13"/>
  <c r="AN126" i="13"/>
  <c r="AN143" i="13"/>
  <c r="AN164" i="13"/>
  <c r="AN198" i="13"/>
  <c r="C118" i="13"/>
  <c r="AO107" i="13"/>
  <c r="AT12" i="13"/>
  <c r="AS43" i="13"/>
  <c r="AS47" i="13"/>
  <c r="AO77" i="13"/>
  <c r="AO81" i="13"/>
  <c r="AM97" i="13"/>
  <c r="AM102" i="13"/>
  <c r="AL106" i="13"/>
  <c r="AL112" i="13"/>
  <c r="AO117" i="13"/>
  <c r="AO118" i="13"/>
  <c r="AM129" i="13"/>
  <c r="AL132" i="13"/>
  <c r="AM140" i="13"/>
  <c r="AO143" i="13"/>
  <c r="AL143" i="13"/>
  <c r="AO147" i="13"/>
  <c r="AN167" i="13"/>
  <c r="AN168" i="13"/>
  <c r="AN171" i="13"/>
  <c r="AM174" i="13"/>
  <c r="AO181" i="13"/>
  <c r="AL181" i="13"/>
  <c r="AM195" i="13"/>
  <c r="AO91" i="13"/>
  <c r="AO101" i="13"/>
  <c r="AO95" i="13"/>
  <c r="AM107" i="13"/>
  <c r="AL123" i="13"/>
  <c r="AN136" i="13"/>
  <c r="AM139" i="13"/>
  <c r="AO151" i="13"/>
  <c r="AM165" i="13"/>
  <c r="AO168" i="13"/>
  <c r="AO172" i="13"/>
  <c r="AN175" i="13"/>
  <c r="AN176" i="13"/>
  <c r="AO189" i="13"/>
  <c r="AL189" i="13"/>
  <c r="AL198" i="13"/>
  <c r="AO113" i="13"/>
  <c r="AN156" i="13"/>
  <c r="AL178" i="13"/>
  <c r="AO85" i="13"/>
  <c r="AT13" i="13"/>
  <c r="AS60" i="13"/>
  <c r="AM82" i="13"/>
  <c r="AM86" i="13"/>
  <c r="AM91" i="13"/>
  <c r="AM96" i="13"/>
  <c r="AL100" i="13"/>
  <c r="AM101" i="13"/>
  <c r="AO105" i="13"/>
  <c r="AO111" i="13"/>
  <c r="AO116" i="13"/>
  <c r="AL116" i="13"/>
  <c r="AM123" i="13"/>
  <c r="AN125" i="13"/>
  <c r="AO142" i="13"/>
  <c r="AN145" i="13"/>
  <c r="AN146" i="13"/>
  <c r="AO159" i="13"/>
  <c r="AN179" i="13"/>
  <c r="AN180" i="13"/>
  <c r="AN183" i="13"/>
  <c r="AM186" i="13"/>
  <c r="AO193" i="13"/>
  <c r="AL193" i="13"/>
  <c r="AL78" i="13"/>
  <c r="AM73" i="13"/>
  <c r="AO89" i="13"/>
  <c r="AM106" i="13"/>
  <c r="AM112" i="13"/>
  <c r="AL117" i="13"/>
  <c r="AN137" i="13"/>
  <c r="AN149" i="13"/>
  <c r="AN150" i="13"/>
  <c r="AN153" i="13"/>
  <c r="AM156" i="13"/>
  <c r="AO163" i="13"/>
  <c r="AL172" i="13"/>
  <c r="AM177" i="13"/>
  <c r="AO180" i="13"/>
  <c r="AO184" i="13"/>
  <c r="AN187" i="13"/>
  <c r="AN188" i="13"/>
  <c r="AN194" i="13"/>
  <c r="AM78" i="13"/>
  <c r="AN71" i="13"/>
  <c r="AM77" i="13"/>
  <c r="AN79" i="13"/>
  <c r="AM81" i="13"/>
  <c r="AM90" i="13"/>
  <c r="AL94" i="13"/>
  <c r="AM95" i="13"/>
  <c r="AO99" i="13"/>
  <c r="AL104" i="13"/>
  <c r="AL110" i="13"/>
  <c r="AM113" i="13"/>
  <c r="AN114" i="13"/>
  <c r="C115" i="13"/>
  <c r="AM117" i="13"/>
  <c r="AN119" i="13"/>
  <c r="AN124" i="13"/>
  <c r="AM143" i="13"/>
  <c r="AQ143" i="13" s="1"/>
  <c r="AM147" i="13"/>
  <c r="AO150" i="13"/>
  <c r="AO154" i="13"/>
  <c r="AN157" i="13"/>
  <c r="AN158" i="13"/>
  <c r="AO171" i="13"/>
  <c r="AL171" i="13"/>
  <c r="AN191" i="13"/>
  <c r="AN192" i="13"/>
  <c r="AN195" i="13"/>
  <c r="AM198" i="13"/>
  <c r="AN77" i="13"/>
  <c r="AO72" i="13"/>
  <c r="AM100" i="13"/>
  <c r="AM105" i="13"/>
  <c r="AM111" i="13"/>
  <c r="AL120" i="13"/>
  <c r="AM121" i="13"/>
  <c r="AL126" i="13"/>
  <c r="AL130" i="13"/>
  <c r="AN133" i="13"/>
  <c r="AO136" i="13"/>
  <c r="AN140" i="13"/>
  <c r="AN144" i="13"/>
  <c r="AN161" i="13"/>
  <c r="AN162" i="13"/>
  <c r="AN165" i="13"/>
  <c r="AM168" i="13"/>
  <c r="AO175" i="13"/>
  <c r="AL175" i="13"/>
  <c r="AM189" i="13"/>
  <c r="AO196" i="13"/>
  <c r="AN199" i="13"/>
  <c r="AL160" i="13"/>
  <c r="AL166" i="13"/>
  <c r="AL96" i="13"/>
  <c r="AL102" i="13"/>
  <c r="AL165" i="13"/>
  <c r="AL163" i="13"/>
  <c r="AL98" i="13"/>
  <c r="AL159" i="13"/>
  <c r="AL157" i="13"/>
  <c r="AL90" i="13"/>
  <c r="AL153" i="13"/>
  <c r="AL86" i="13"/>
  <c r="AL147" i="13"/>
  <c r="AL79" i="13"/>
  <c r="AL74" i="13"/>
  <c r="AL73" i="13"/>
  <c r="AL151" i="13"/>
  <c r="AL82" i="13"/>
  <c r="AL80" i="13"/>
  <c r="AL85" i="13"/>
  <c r="AL144" i="13"/>
  <c r="AL148" i="13"/>
  <c r="AL140" i="13"/>
  <c r="AL72" i="13"/>
  <c r="AL136" i="13"/>
  <c r="C105" i="13"/>
  <c r="C170" i="13"/>
  <c r="B6" i="13"/>
  <c r="C137" i="13"/>
  <c r="C72" i="13"/>
  <c r="C138" i="13"/>
  <c r="C73" i="13"/>
  <c r="C148" i="13"/>
  <c r="C83" i="13"/>
  <c r="C89" i="13"/>
  <c r="C154" i="13"/>
  <c r="C95" i="13"/>
  <c r="C160" i="13"/>
  <c r="C101" i="13"/>
  <c r="C166" i="13"/>
  <c r="C107" i="13"/>
  <c r="C172" i="13"/>
  <c r="C190" i="13"/>
  <c r="C125" i="13"/>
  <c r="AM72" i="13"/>
  <c r="AM76" i="13"/>
  <c r="AN85" i="13"/>
  <c r="AM85" i="13"/>
  <c r="AR49" i="13"/>
  <c r="AO124" i="13"/>
  <c r="AN131" i="13"/>
  <c r="AL131" i="13"/>
  <c r="C146" i="13"/>
  <c r="C184" i="13"/>
  <c r="C119" i="13"/>
  <c r="AL84" i="13"/>
  <c r="C141" i="13"/>
  <c r="C93" i="13"/>
  <c r="C158" i="13"/>
  <c r="AR39" i="13"/>
  <c r="C117" i="13"/>
  <c r="C182" i="13"/>
  <c r="C71" i="13"/>
  <c r="AM84" i="13"/>
  <c r="C131" i="13"/>
  <c r="C147" i="13"/>
  <c r="C82" i="13"/>
  <c r="C145" i="13"/>
  <c r="C80" i="13"/>
  <c r="AO71" i="13"/>
  <c r="AR45" i="13"/>
  <c r="C87" i="13"/>
  <c r="C152" i="13"/>
  <c r="C111" i="13"/>
  <c r="C176" i="13"/>
  <c r="C149" i="13"/>
  <c r="C84" i="13"/>
  <c r="C155" i="13"/>
  <c r="C90" i="13"/>
  <c r="C161" i="13"/>
  <c r="C96" i="13"/>
  <c r="C167" i="13"/>
  <c r="C102" i="13"/>
  <c r="C173" i="13"/>
  <c r="C108" i="13"/>
  <c r="C113" i="13"/>
  <c r="C178" i="13"/>
  <c r="C123" i="13"/>
  <c r="C188" i="13"/>
  <c r="C129" i="13"/>
  <c r="C194" i="13"/>
  <c r="AL71" i="13"/>
  <c r="AN73" i="13"/>
  <c r="AM74" i="13"/>
  <c r="AO75" i="13"/>
  <c r="AN115" i="13"/>
  <c r="AN120" i="13"/>
  <c r="AL129" i="13"/>
  <c r="C164" i="13"/>
  <c r="C139" i="13"/>
  <c r="C74" i="13"/>
  <c r="C153" i="13"/>
  <c r="C88" i="13"/>
  <c r="C159" i="13"/>
  <c r="C94" i="13"/>
  <c r="C165" i="13"/>
  <c r="C100" i="13"/>
  <c r="C171" i="13"/>
  <c r="C106" i="13"/>
  <c r="C177" i="13"/>
  <c r="C112" i="13"/>
  <c r="AO74" i="13"/>
  <c r="C75" i="13"/>
  <c r="AN78" i="13"/>
  <c r="AO80" i="13"/>
  <c r="AN84" i="13"/>
  <c r="AO86" i="13"/>
  <c r="AL87" i="13"/>
  <c r="AO88" i="13"/>
  <c r="AQ88" i="13" s="1"/>
  <c r="AR23" i="13" s="1"/>
  <c r="AL89" i="13"/>
  <c r="AO90" i="13"/>
  <c r="AL91" i="13"/>
  <c r="AO92" i="13"/>
  <c r="AL93" i="13"/>
  <c r="AO94" i="13"/>
  <c r="AQ94" i="13" s="1"/>
  <c r="AR29" i="13" s="1"/>
  <c r="AL95" i="13"/>
  <c r="AO96" i="13"/>
  <c r="AL97" i="13"/>
  <c r="AO98" i="13"/>
  <c r="AL99" i="13"/>
  <c r="AO100" i="13"/>
  <c r="AQ100" i="13" s="1"/>
  <c r="AR35" i="13" s="1"/>
  <c r="AL101" i="13"/>
  <c r="AO102" i="13"/>
  <c r="AL103" i="13"/>
  <c r="AO104" i="13"/>
  <c r="AL105" i="13"/>
  <c r="AO106" i="13"/>
  <c r="AL107" i="13"/>
  <c r="AO108" i="13"/>
  <c r="AL109" i="13"/>
  <c r="AO110" i="13"/>
  <c r="AL111" i="13"/>
  <c r="AO112" i="13"/>
  <c r="AL113" i="13"/>
  <c r="AO114" i="13"/>
  <c r="AO115" i="13"/>
  <c r="AL115" i="13"/>
  <c r="AN122" i="13"/>
  <c r="AM125" i="13"/>
  <c r="AM126" i="13"/>
  <c r="AM127" i="13"/>
  <c r="C128" i="13"/>
  <c r="C130" i="13"/>
  <c r="AO132" i="13"/>
  <c r="AO133" i="13"/>
  <c r="AL133" i="13"/>
  <c r="AL138" i="13"/>
  <c r="AL158" i="13"/>
  <c r="AL75" i="13"/>
  <c r="AL81" i="13"/>
  <c r="C127" i="13"/>
  <c r="AO129" i="13"/>
  <c r="C143" i="13"/>
  <c r="C78" i="13"/>
  <c r="C151" i="13"/>
  <c r="C86" i="13"/>
  <c r="C157" i="13"/>
  <c r="AQ157" i="13" s="1"/>
  <c r="C92" i="13"/>
  <c r="C163" i="13"/>
  <c r="C98" i="13"/>
  <c r="C169" i="13"/>
  <c r="C104" i="13"/>
  <c r="C175" i="13"/>
  <c r="C110" i="13"/>
  <c r="AN74" i="13"/>
  <c r="AO76" i="13"/>
  <c r="C77" i="13"/>
  <c r="AN80" i="13"/>
  <c r="AO82" i="13"/>
  <c r="AN86" i="13"/>
  <c r="AN88" i="13"/>
  <c r="AN90" i="13"/>
  <c r="AN92" i="13"/>
  <c r="AN94" i="13"/>
  <c r="AN96" i="13"/>
  <c r="AN98" i="13"/>
  <c r="AQ98" i="13" s="1"/>
  <c r="AR33" i="13" s="1"/>
  <c r="AN100" i="13"/>
  <c r="AN102" i="13"/>
  <c r="AN104" i="13"/>
  <c r="AN106" i="13"/>
  <c r="AN108" i="13"/>
  <c r="AN110" i="13"/>
  <c r="AN112" i="13"/>
  <c r="AN116" i="13"/>
  <c r="AM119" i="13"/>
  <c r="AM120" i="13"/>
  <c r="C122" i="13"/>
  <c r="AO126" i="13"/>
  <c r="AO127" i="13"/>
  <c r="AL127" i="13"/>
  <c r="AN134" i="13"/>
  <c r="AM137" i="13"/>
  <c r="AN141" i="13"/>
  <c r="AL146" i="13"/>
  <c r="C156" i="13"/>
  <c r="C91" i="13"/>
  <c r="C162" i="13"/>
  <c r="C97" i="13"/>
  <c r="C168" i="13"/>
  <c r="C103" i="13"/>
  <c r="C174" i="13"/>
  <c r="C109" i="13"/>
  <c r="AL77" i="13"/>
  <c r="AL83" i="13"/>
  <c r="AQ83" i="13" s="1"/>
  <c r="AR18" i="13" s="1"/>
  <c r="C121" i="13"/>
  <c r="AO123" i="13"/>
  <c r="AL124" i="13"/>
  <c r="AN129" i="13"/>
  <c r="AN130" i="13"/>
  <c r="AM136" i="13"/>
  <c r="C179" i="13"/>
  <c r="C114" i="13"/>
  <c r="C185" i="13"/>
  <c r="C120" i="13"/>
  <c r="C191" i="13"/>
  <c r="C126" i="13"/>
  <c r="C197" i="13"/>
  <c r="C132" i="13"/>
  <c r="AN72" i="13"/>
  <c r="AN76" i="13"/>
  <c r="AO78" i="13"/>
  <c r="C79" i="13"/>
  <c r="AN82" i="13"/>
  <c r="AO84" i="13"/>
  <c r="C85" i="13"/>
  <c r="AN87" i="13"/>
  <c r="AN89" i="13"/>
  <c r="AN91" i="13"/>
  <c r="AN93" i="13"/>
  <c r="AN95" i="13"/>
  <c r="AN97" i="13"/>
  <c r="AN99" i="13"/>
  <c r="AN101" i="13"/>
  <c r="AN103" i="13"/>
  <c r="AN105" i="13"/>
  <c r="AN107" i="13"/>
  <c r="AN109" i="13"/>
  <c r="AN111" i="13"/>
  <c r="AN113" i="13"/>
  <c r="AM114" i="13"/>
  <c r="AM115" i="13"/>
  <c r="C116" i="13"/>
  <c r="AO120" i="13"/>
  <c r="AO121" i="13"/>
  <c r="AL121" i="13"/>
  <c r="AN128" i="13"/>
  <c r="AM131" i="13"/>
  <c r="AM132" i="13"/>
  <c r="AM133" i="13"/>
  <c r="AO137" i="13"/>
  <c r="AL137" i="13"/>
  <c r="AL152" i="13"/>
  <c r="AO138" i="13"/>
  <c r="AO141" i="13"/>
  <c r="AL141" i="13"/>
  <c r="AM145" i="13"/>
  <c r="AO146" i="13"/>
  <c r="AM148" i="13"/>
  <c r="AO149" i="13"/>
  <c r="AL149" i="13"/>
  <c r="AL150" i="13"/>
  <c r="AM151" i="13"/>
  <c r="AO152" i="13"/>
  <c r="AM154" i="13"/>
  <c r="AO155" i="13"/>
  <c r="AL155" i="13"/>
  <c r="AL156" i="13"/>
  <c r="AM157" i="13"/>
  <c r="AO158" i="13"/>
  <c r="AM160" i="13"/>
  <c r="AO161" i="13"/>
  <c r="AL161" i="13"/>
  <c r="AL162" i="13"/>
  <c r="AM163" i="13"/>
  <c r="AO164" i="13"/>
  <c r="AM166" i="13"/>
  <c r="AQ166" i="13" s="1"/>
  <c r="AS36" i="13" s="1"/>
  <c r="AO167" i="13"/>
  <c r="AL167" i="13"/>
  <c r="AL168" i="13"/>
  <c r="AM169" i="13"/>
  <c r="AO170" i="13"/>
  <c r="AM172" i="13"/>
  <c r="AO173" i="13"/>
  <c r="AL173" i="13"/>
  <c r="AL174" i="13"/>
  <c r="AM175" i="13"/>
  <c r="AO176" i="13"/>
  <c r="AM178" i="13"/>
  <c r="AO179" i="13"/>
  <c r="AL179" i="13"/>
  <c r="AL180" i="13"/>
  <c r="AM181" i="13"/>
  <c r="AO182" i="13"/>
  <c r="AM184" i="13"/>
  <c r="AO185" i="13"/>
  <c r="AL185" i="13"/>
  <c r="AL186" i="13"/>
  <c r="AM187" i="13"/>
  <c r="AO188" i="13"/>
  <c r="AM190" i="13"/>
  <c r="AO191" i="13"/>
  <c r="AL191" i="13"/>
  <c r="AL192" i="13"/>
  <c r="AM193" i="13"/>
  <c r="AO194" i="13"/>
  <c r="AM196" i="13"/>
  <c r="AO197" i="13"/>
  <c r="AL197" i="13"/>
  <c r="AM199" i="13"/>
  <c r="AM118" i="13"/>
  <c r="AM124" i="13"/>
  <c r="AM130" i="13"/>
  <c r="AL139" i="13"/>
  <c r="AO140" i="13"/>
  <c r="AL142" i="13"/>
  <c r="AM144" i="13"/>
  <c r="AL164" i="13"/>
  <c r="AL170" i="13"/>
  <c r="AL176" i="13"/>
  <c r="AL182" i="13"/>
  <c r="AL188" i="13"/>
  <c r="AL194" i="13"/>
  <c r="AM116" i="13"/>
  <c r="AM122" i="13"/>
  <c r="AM128" i="13"/>
  <c r="AM134" i="13"/>
  <c r="AM142" i="13"/>
  <c r="AQ142" i="13" s="1"/>
  <c r="AS12" i="13" s="1"/>
  <c r="AO144" i="13"/>
  <c r="AM141" i="13"/>
  <c r="AM146" i="13"/>
  <c r="AM149" i="13"/>
  <c r="AM152" i="13"/>
  <c r="AM155" i="13"/>
  <c r="AM158" i="13"/>
  <c r="AM161" i="13"/>
  <c r="AM164" i="13"/>
  <c r="AM167" i="13"/>
  <c r="AM170" i="13"/>
  <c r="AM173" i="13"/>
  <c r="AM176" i="13"/>
  <c r="AM179" i="13"/>
  <c r="AM182" i="13"/>
  <c r="AL184" i="13"/>
  <c r="AM185" i="13"/>
  <c r="AO186" i="13"/>
  <c r="AM188" i="13"/>
  <c r="AL190" i="13"/>
  <c r="AM191" i="13"/>
  <c r="AO192" i="13"/>
  <c r="AM194" i="13"/>
  <c r="AL196" i="13"/>
  <c r="AM197" i="13"/>
  <c r="AO198" i="13"/>
  <c r="AQ160" i="13" l="1"/>
  <c r="AQ162" i="13"/>
  <c r="AS32" i="13" s="1"/>
  <c r="AQ89" i="13"/>
  <c r="AR24" i="13" s="1"/>
  <c r="AQ87" i="13"/>
  <c r="AR22" i="13" s="1"/>
  <c r="AQ99" i="13"/>
  <c r="AR34" i="13" s="1"/>
  <c r="AQ81" i="13"/>
  <c r="AR16" i="13" s="1"/>
  <c r="AQ165" i="13"/>
  <c r="AS35" i="13" s="1"/>
  <c r="AQ152" i="13"/>
  <c r="AQ154" i="13"/>
  <c r="AS24" i="13" s="1"/>
  <c r="AQ145" i="13"/>
  <c r="AS15" i="13" s="1"/>
  <c r="AQ163" i="13"/>
  <c r="AS33" i="13" s="1"/>
  <c r="AQ161" i="13"/>
  <c r="AS31" i="13" s="1"/>
  <c r="AQ97" i="13"/>
  <c r="AR32" i="13" s="1"/>
  <c r="AQ156" i="13"/>
  <c r="AQ102" i="13"/>
  <c r="AR37" i="13" s="1"/>
  <c r="AQ90" i="13"/>
  <c r="AR25" i="13" s="1"/>
  <c r="AQ164" i="13"/>
  <c r="AS34" i="13" s="1"/>
  <c r="AQ139" i="13"/>
  <c r="AS9" i="13" s="1"/>
  <c r="AQ167" i="13"/>
  <c r="AQ155" i="13"/>
  <c r="AS25" i="13" s="1"/>
  <c r="AQ146" i="13"/>
  <c r="AS16" i="13" s="1"/>
  <c r="AQ153" i="13"/>
  <c r="AS23" i="13" s="1"/>
  <c r="AQ93" i="13"/>
  <c r="AR28" i="13" s="1"/>
  <c r="AQ159" i="13"/>
  <c r="AS29" i="13" s="1"/>
  <c r="AQ158" i="13"/>
  <c r="AS28" i="13" s="1"/>
  <c r="AQ80" i="13"/>
  <c r="AR15" i="13" s="1"/>
  <c r="AQ91" i="13"/>
  <c r="AR26" i="13" s="1"/>
  <c r="AS27" i="13"/>
  <c r="AS26" i="13"/>
  <c r="AR38" i="13"/>
  <c r="AS37" i="13"/>
  <c r="AS38" i="13"/>
  <c r="AS30" i="13"/>
  <c r="AQ82" i="13"/>
  <c r="AR17" i="13" s="1"/>
  <c r="AQ151" i="13"/>
  <c r="AS22" i="13" s="1"/>
  <c r="AQ77" i="13"/>
  <c r="AR12" i="13" s="1"/>
  <c r="AQ73" i="13"/>
  <c r="AR8" i="13" s="1"/>
  <c r="AQ150" i="13"/>
  <c r="AS20" i="13" s="1"/>
  <c r="AQ149" i="13"/>
  <c r="AS19" i="13" s="1"/>
  <c r="AQ96" i="13"/>
  <c r="AR31" i="13" s="1"/>
  <c r="AQ71" i="13"/>
  <c r="AR6" i="13" s="1"/>
  <c r="AQ79" i="13"/>
  <c r="AR14" i="13" s="1"/>
  <c r="AQ95" i="13"/>
  <c r="AR30" i="13" s="1"/>
  <c r="AQ148" i="13"/>
  <c r="AS18" i="13" s="1"/>
  <c r="AQ147" i="13"/>
  <c r="AS17" i="13" s="1"/>
  <c r="AQ101" i="13"/>
  <c r="AR36" i="13" s="1"/>
  <c r="AQ78" i="13"/>
  <c r="AQ92" i="13"/>
  <c r="AR27" i="13" s="1"/>
  <c r="AQ144" i="13"/>
  <c r="AS14" i="13" s="1"/>
  <c r="AQ86" i="13"/>
  <c r="AR21" i="13" s="1"/>
  <c r="AQ84" i="13"/>
  <c r="AR19" i="13" s="1"/>
  <c r="AQ85" i="13"/>
  <c r="AR20" i="13" s="1"/>
  <c r="AQ138" i="13"/>
  <c r="AS8" i="13" s="1"/>
  <c r="AQ141" i="13"/>
  <c r="AS11" i="13" s="1"/>
  <c r="AQ140" i="13"/>
  <c r="AS10" i="13" s="1"/>
  <c r="AQ72" i="13"/>
  <c r="AR7" i="13" s="1"/>
  <c r="AQ136" i="13"/>
  <c r="AS6" i="13" s="1"/>
  <c r="AR13" i="13"/>
  <c r="AQ75" i="13"/>
  <c r="AR10" i="13" s="1"/>
  <c r="B136" i="13"/>
  <c r="B71" i="13"/>
  <c r="AS13" i="13"/>
  <c r="AQ137" i="13"/>
  <c r="AS7" i="13" s="1"/>
  <c r="AQ74" i="13"/>
  <c r="AR9" i="13" s="1"/>
  <c r="AQ76" i="13"/>
  <c r="AR11" i="13"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21" i="13" l="1"/>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Q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55" i="8" l="1"/>
  <c r="AR60" i="8"/>
  <c r="AS24" i="8"/>
  <c r="AR34" i="8"/>
  <c r="AR57" i="8"/>
  <c r="AM163" i="8"/>
  <c r="AL182" i="8"/>
  <c r="AM121" i="8"/>
  <c r="AN122" i="8"/>
  <c r="AO189" i="8"/>
  <c r="AR47" i="8"/>
  <c r="AS25" i="8"/>
  <c r="AS26" i="8"/>
  <c r="AS34"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1" i="8" l="1"/>
  <c r="AQ82" i="8"/>
  <c r="AQ148" i="8"/>
  <c r="AQ151" i="8"/>
  <c r="AQ143" i="8"/>
  <c r="AS13" i="8" s="1"/>
  <c r="AQ140" i="8"/>
  <c r="AQ142" i="8"/>
  <c r="AQ75" i="8"/>
  <c r="AQ76" i="8"/>
  <c r="AR11" i="8" s="1"/>
  <c r="AQ78" i="8"/>
  <c r="AQ81" i="8"/>
  <c r="AR16" i="8" s="1"/>
  <c r="AQ83" i="8"/>
  <c r="AR18" i="8" s="1"/>
  <c r="AQ85" i="8"/>
  <c r="AR20" i="8" s="1"/>
  <c r="AQ145" i="8"/>
  <c r="AQ150" i="8"/>
  <c r="AS20" i="8" s="1"/>
  <c r="AQ86" i="8"/>
  <c r="AR22" i="8" s="1"/>
  <c r="AQ84" i="8"/>
  <c r="AR19" i="8" s="1"/>
  <c r="AQ77" i="8"/>
  <c r="AR12" i="8" s="1"/>
  <c r="AQ147" i="8"/>
  <c r="AS17" i="8" s="1"/>
  <c r="AQ149" i="8"/>
  <c r="AS19" i="8" s="1"/>
  <c r="AS12" i="8"/>
  <c r="AR13" i="8"/>
  <c r="AS11" i="8"/>
  <c r="AQ74" i="8"/>
  <c r="AQ139" i="8"/>
  <c r="AS9" i="8" s="1"/>
  <c r="AQ138" i="8"/>
  <c r="AQ73" i="8"/>
  <c r="AR17" i="8"/>
  <c r="AS16" i="8"/>
  <c r="AS18" i="8"/>
  <c r="AS21" i="8"/>
  <c r="AS22" i="8"/>
  <c r="AQ79" i="8"/>
  <c r="AR14" i="8" s="1"/>
  <c r="AQ144" i="8"/>
  <c r="AS14" i="8" s="1"/>
  <c r="AQ137" i="8"/>
  <c r="AQ72" i="8"/>
  <c r="AQ71" i="8"/>
  <c r="AR6" i="8" s="1"/>
  <c r="AQ136" i="8"/>
  <c r="AS6" i="8" s="1"/>
  <c r="B136" i="8"/>
  <c r="B71" i="8"/>
  <c r="D7" i="4"/>
  <c r="M13" i="4"/>
  <c r="N13" i="4" s="1"/>
  <c r="AR21" i="8" l="1"/>
  <c r="AS7" i="8"/>
  <c r="AS8" i="8"/>
  <c r="AR9" i="8"/>
  <c r="AR10" i="8"/>
  <c r="AS10" i="8"/>
  <c r="AR8" i="8"/>
  <c r="AR15" i="8"/>
  <c r="AS15" i="8"/>
  <c r="AR7" i="8"/>
  <c r="D3" i="1"/>
  <c r="D5" i="4" s="1"/>
  <c r="D4" i="4" l="1"/>
  <c r="D6" i="4" s="1"/>
  <c r="AW17" i="13" s="1"/>
  <c r="AL8" i="13" l="1"/>
  <c r="AT8" i="13" s="1"/>
  <c r="AL10" i="13"/>
  <c r="AT10" i="13" s="1"/>
  <c r="AL68" i="13"/>
  <c r="AL62" i="13"/>
  <c r="AL56" i="13"/>
  <c r="AL50" i="13"/>
  <c r="AL44" i="13"/>
  <c r="AL69" i="13"/>
  <c r="AL63" i="13"/>
  <c r="AL57" i="13"/>
  <c r="AL51" i="13"/>
  <c r="AL45" i="13"/>
  <c r="AL39" i="13"/>
  <c r="AL33" i="13"/>
  <c r="AT33" i="13" s="1"/>
  <c r="AL27" i="13"/>
  <c r="AT27" i="13" s="1"/>
  <c r="AL21" i="13"/>
  <c r="AT21" i="13" s="1"/>
  <c r="AL64" i="13"/>
  <c r="AL58" i="13"/>
  <c r="AL52" i="13"/>
  <c r="AL46" i="13"/>
  <c r="AL40" i="13"/>
  <c r="AL34" i="13"/>
  <c r="AT34" i="13" s="1"/>
  <c r="AL28" i="13"/>
  <c r="AT28" i="13" s="1"/>
  <c r="AL22" i="13"/>
  <c r="AT22" i="13" s="1"/>
  <c r="AL66" i="13"/>
  <c r="AL60" i="13"/>
  <c r="AL54" i="13"/>
  <c r="AL48" i="13"/>
  <c r="AL42" i="13"/>
  <c r="AL36" i="13"/>
  <c r="AT36" i="13" s="1"/>
  <c r="AL30" i="13"/>
  <c r="AT30" i="13" s="1"/>
  <c r="AL24" i="13"/>
  <c r="AT24" i="13" s="1"/>
  <c r="AL18" i="13"/>
  <c r="AT18" i="13" s="1"/>
  <c r="AL17" i="13"/>
  <c r="AT17" i="13" s="1"/>
  <c r="AL16" i="13"/>
  <c r="AT16" i="13" s="1"/>
  <c r="AL55" i="13"/>
  <c r="AL15" i="13"/>
  <c r="AT15" i="13" s="1"/>
  <c r="AL49" i="13"/>
  <c r="AL41" i="13"/>
  <c r="AL38" i="13"/>
  <c r="AL35" i="13"/>
  <c r="AT35" i="13" s="1"/>
  <c r="AL23" i="13"/>
  <c r="AT23" i="13" s="1"/>
  <c r="AL20" i="13"/>
  <c r="AT20" i="13" s="1"/>
  <c r="AL9" i="13"/>
  <c r="AT9" i="13" s="1"/>
  <c r="AL53" i="13"/>
  <c r="AL7" i="13"/>
  <c r="AT7" i="13" s="1"/>
  <c r="AL61" i="13"/>
  <c r="AL31" i="13"/>
  <c r="AT31" i="13" s="1"/>
  <c r="AL65" i="13"/>
  <c r="AL59" i="13"/>
  <c r="AL32" i="13"/>
  <c r="AT32" i="13" s="1"/>
  <c r="AL29" i="13"/>
  <c r="AT29" i="13" s="1"/>
  <c r="AL26" i="13"/>
  <c r="AT26" i="13" s="1"/>
  <c r="AL47" i="13"/>
  <c r="AL43" i="13"/>
  <c r="AL25" i="13"/>
  <c r="AT25" i="13" s="1"/>
  <c r="AL37" i="13"/>
  <c r="AT37" i="13" s="1"/>
  <c r="AL19" i="13"/>
  <c r="AT19" i="13" s="1"/>
  <c r="AL67" i="13"/>
  <c r="AL14" i="13"/>
  <c r="AT14" i="13" s="1"/>
  <c r="AW8" i="13"/>
  <c r="AW9" i="13"/>
  <c r="AW11" i="13"/>
  <c r="AW16" i="13"/>
  <c r="AU15" i="13" s="1"/>
  <c r="AW10"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S5" i="13" l="1"/>
  <c r="AW12" i="8"/>
  <c r="AU5" i="8" s="1"/>
  <c r="AW12" i="13"/>
  <c r="AU5" i="13" s="1"/>
  <c r="AR5" i="13"/>
  <c r="AU14" i="13"/>
  <c r="AV5" i="13"/>
  <c r="AT5" i="13"/>
  <c r="AU13" i="13"/>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1"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4" authorId="1" shapeId="0" xr:uid="{00000000-0006-0000-0700-00000A000000}">
      <text>
        <r>
          <rPr>
            <b/>
            <sz val="9"/>
            <color indexed="81"/>
            <rFont val="MS P ゴシック"/>
            <family val="3"/>
            <charset val="128"/>
          </rPr>
          <t xml:space="preserve">リモート送信条件成立：IG ON 且つ PTS ONが15[s]以上
</t>
        </r>
      </text>
    </comment>
    <comment ref="E34" authorId="1" shapeId="0" xr:uid="{00000000-0006-0000-0700-00000B000000}">
      <text>
        <r>
          <rPr>
            <b/>
            <sz val="9"/>
            <color indexed="81"/>
            <rFont val="MS P ゴシック"/>
            <family val="3"/>
            <charset val="128"/>
          </rPr>
          <t xml:space="preserve">IG ON 且つ ST OFF
</t>
        </r>
      </text>
    </comment>
    <comment ref="F34" authorId="1" shapeId="0" xr:uid="{00000000-0006-0000-0700-00000C000000}">
      <text>
        <r>
          <rPr>
            <b/>
            <sz val="9"/>
            <color indexed="81"/>
            <rFont val="MS P ゴシック"/>
            <family val="3"/>
            <charset val="128"/>
          </rPr>
          <t>IG ON</t>
        </r>
      </text>
    </comment>
    <comment ref="G34" authorId="1" shapeId="0" xr:uid="{00000000-0006-0000-0700-00000D000000}">
      <text>
        <r>
          <rPr>
            <b/>
            <sz val="9"/>
            <color indexed="81"/>
            <rFont val="MS P ゴシック"/>
            <family val="3"/>
            <charset val="128"/>
          </rPr>
          <t xml:space="preserve">IG OFF 且つ IG OFF後25[m]未満
</t>
        </r>
      </text>
    </comment>
    <comment ref="H34" authorId="1" shapeId="0" xr:uid="{00000000-0006-0000-0700-00000E000000}">
      <text>
        <r>
          <rPr>
            <b/>
            <sz val="9"/>
            <color indexed="81"/>
            <rFont val="MS P ゴシック"/>
            <family val="3"/>
            <charset val="128"/>
          </rPr>
          <t xml:space="preserve">IG OFF
</t>
        </r>
      </text>
    </comment>
    <comment ref="I34" authorId="1" shapeId="0" xr:uid="{00000000-0006-0000-0700-00000F000000}">
      <text>
        <r>
          <rPr>
            <b/>
            <sz val="9"/>
            <color indexed="81"/>
            <rFont val="MS P ゴシック"/>
            <family val="3"/>
            <charset val="128"/>
          </rPr>
          <t xml:space="preserve">IG ON 又は IG OFF後25[m]未満
</t>
        </r>
      </text>
    </comment>
    <comment ref="J34"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<sst xmlns="http://schemas.openxmlformats.org/spreadsheetml/2006/main" count="4800" uniqueCount="366">
  <si>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</si>
  <si>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</si>
  <si>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</si>
  <si>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</si>
  <si>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</si>
  <si>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</si>
  <si>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</si>
  <si>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</si>
  <si>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</si>
  <si>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</si>
  <si>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</si>
  <si>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</si>
  <si>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</si>
  <si>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</si>
  <si>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</si>
  <si>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</si>
  <si>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</si>
  <si>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</si>
  <si>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</si>
  <si>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</si>
  <si>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</si>
  <si>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</si>
  <si>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</si>
  <si>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</si>
  <si>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</si>
  <si>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</si>
  <si>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</si>
  <si>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</si>
  <si>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</si>
  <si>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</si>
  <si>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</si>
  <si>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</si>
  <si>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</si>
  <si>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</si>
  <si>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</si>
  <si>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</si>
  <si>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</si>
  <si>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</si>
  <si>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</si>
  <si>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</si>
  <si>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</si>
  <si>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</si>
  <si>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</si>
  <si>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</si>
  <si>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</si>
  <si>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</si>
  <si>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</si>
  <si>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</si>
  <si>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</si>
  <si>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</si>
  <si>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</si>
  <si>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</si>
  <si>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</si>
  <si>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</si>
  <si>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</si>
  <si>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</si>
  <si>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</si>
  <si>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</si>
  <si>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</si>
  <si>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</si>
  <si>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</si>
  <si>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</si>
  <si>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</si>
  <si>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</si>
  <si>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</si>
  <si>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</si>
  <si>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</si>
  <si>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</si>
  <si>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</si>
  <si>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</si>
  <si>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</si>
  <si>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</si>
  <si>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</si>
  <si>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</si>
  <si>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</si>
  <si>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</si>
  <si>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</si>
  <si>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</si>
  <si>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</si>
  <si>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</si>
  <si>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</si>
  <si>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</si>
  <si>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</si>
  <si>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</si>
  <si>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</si>
  <si>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</si>
  <si>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</si>
  <si>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</si>
  <si>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</si>
  <si>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</si>
  <si>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</si>
  <si>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</si>
  <si>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</si>
  <si>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</si>
  <si>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</si>
  <si>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</si>
  <si>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</si>
  <si>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</si>
  <si>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</si>
  <si>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</si>
  <si>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</si>
  <si>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</si>
  <si>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</si>
  <si>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</si>
  <si>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</si>
  <si>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</si>
  <si>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</si>
  <si>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</si>
  <si>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</si>
  <si>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</si>
  <si>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</si>
  <si>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</si>
  <si>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</si>
  <si>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</si>
  <si>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</si>
  <si>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</si>
  <si>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</si>
  <si>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</si>
  <si>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</si>
  <si>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</si>
  <si>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</si>
  <si>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</si>
  <si>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</si>
  <si>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</si>
  <si>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</si>
  <si>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</si>
  <si>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</si>
  <si>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</si>
  <si>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</si>
  <si>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</si>
  <si>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</si>
  <si>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</si>
  <si>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</si>
  <si>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</si>
  <si>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</si>
  <si>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</si>
  <si>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</si>
  <si>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</si>
  <si>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</si>
  <si>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</si>
  <si>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</si>
  <si>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</si>
  <si>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</si>
  <si>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</si>
  <si>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</si>
  <si>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</si>
  <si>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</si>
  <si>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</si>
  <si>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</si>
  <si>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</si>
  <si>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</si>
  <si>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</si>
  <si>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</si>
  <si>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</si>
  <si>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</si>
  <si>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</si>
  <si>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</si>
  <si>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</si>
  <si>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</si>
  <si>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</si>
  <si>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</si>
  <si>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</si>
  <si>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</si>
  <si>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</si>
  <si>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</si>
  <si>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</si>
  <si>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</si>
  <si>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</si>
  <si>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</si>
  <si>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</si>
  <si>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</si>
  <si>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</si>
  <si>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</si>
  <si>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</si>
  <si>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</si>
  <si>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</si>
  <si>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</si>
  <si>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</si>
  <si>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</si>
  <si>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</si>
  <si>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</si>
  <si>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</si>
  <si>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</si>
  <si>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</si>
  <si>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</si>
  <si>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</si>
  <si>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</si>
  <si>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</si>
  <si>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</si>
  <si>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</si>
  <si>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</si>
  <si>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</si>
  <si>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</si>
  <si>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</si>
  <si>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</si>
  <si>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</si>
  <si>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</si>
  <si>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</si>
  <si>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</si>
  <si>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</si>
  <si>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</si>
  <si>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t>
    <phoneticPr fontId="2"/>
  </si>
  <si>
    <t>×</t>
    <phoneticPr fontId="2"/>
  </si>
  <si>
    <t>Table Type</t>
    <phoneticPr fontId="2"/>
  </si>
  <si>
    <t>入力</t>
    <phoneticPr fontId="2"/>
  </si>
  <si>
    <t>Vehicle Operation Mode</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</si>
  <si>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</si>
  <si>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</si>
  <si>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</si>
  <si>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</si>
  <si>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</si>
  <si>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</si>
  <si>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</si>
  <si>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</si>
  <si>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</si>
  <si>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0b</t>
    <phoneticPr fontId="2"/>
  </si>
  <si>
    <t>UNKNOWN</t>
    <phoneticPr fontId="2"/>
  </si>
  <si>
    <t>NULL</t>
  </si>
  <si>
    <t>PRIMARY</t>
  </si>
  <si>
    <t>PRIMARY</t>
    <phoneticPr fontId="2"/>
  </si>
  <si>
    <t>-</t>
    <phoneticPr fontId="2"/>
  </si>
  <si>
    <t>Index</t>
  </si>
  <si>
    <t>IG-ON</t>
    <phoneticPr fontId="2"/>
  </si>
  <si>
    <t>IG-ON</t>
    <phoneticPr fontId="2"/>
  </si>
  <si>
    <t>ALERT_VOM_IGN_ON</t>
    <phoneticPr fontId="2"/>
  </si>
  <si>
    <t>通常(0b)/
未受信(1b)</t>
    <rPh sb="0" eb="2">
      <t>ツウジョウ</t>
    </rPh>
    <phoneticPr fontId="2"/>
  </si>
  <si>
    <t>0b</t>
    <phoneticPr fontId="2"/>
  </si>
  <si>
    <t>0b</t>
    <phoneticPr fontId="2"/>
  </si>
  <si>
    <t>1b</t>
    <phoneticPr fontId="2"/>
  </si>
  <si>
    <t>*b</t>
    <phoneticPr fontId="2"/>
  </si>
  <si>
    <t>IG-ON + 通常 + 正常</t>
    <rPh sb="8" eb="10">
      <t>ツウジョウ</t>
    </rPh>
    <rPh sb="13" eb="15">
      <t>セイジョウ</t>
    </rPh>
    <phoneticPr fontId="2"/>
  </si>
  <si>
    <t>IG-ON + 通常 + バルブチェック</t>
    <rPh sb="8" eb="10">
      <t>ツウジョウ</t>
    </rPh>
    <phoneticPr fontId="2"/>
  </si>
  <si>
    <t>-</t>
    <phoneticPr fontId="2"/>
  </si>
  <si>
    <t>UNKNOWN</t>
    <phoneticPr fontId="2"/>
  </si>
  <si>
    <t>IG-ON + 通常 + 未定義</t>
    <rPh sb="8" eb="10">
      <t>ツウジョウ</t>
    </rPh>
    <rPh sb="13" eb="16">
      <t>ミテイギ</t>
    </rPh>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</si>
  <si>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</si>
  <si>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</si>
  <si>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</si>
  <si>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</si>
  <si>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</si>
  <si>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</si>
  <si>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</si>
  <si>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</si>
  <si>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***b</t>
    <phoneticPr fontId="2"/>
  </si>
  <si>
    <t>IG-ON + 通常 + 正常</t>
    <phoneticPr fontId="2"/>
  </si>
  <si>
    <t>IG-ON + 未受信 + *</t>
    <rPh sb="8" eb="9">
      <t>ミ</t>
    </rPh>
    <rPh sb="9" eb="11">
      <t>ジュシン</t>
    </rPh>
    <phoneticPr fontId="2"/>
  </si>
  <si>
    <t>IG-OFF + * + *</t>
    <phoneticPr fontId="2"/>
  </si>
  <si>
    <t>TT_PD</t>
    <phoneticPr fontId="2"/>
  </si>
  <si>
    <t>BC</t>
    <phoneticPr fontId="2"/>
  </si>
  <si>
    <t>ALERT_CH_H_SOCLOW_TT_PD</t>
  </si>
  <si>
    <t>ALERT_CH_H_SOCLOW_BC</t>
  </si>
  <si>
    <t>N_POS</t>
  </si>
  <si>
    <t>N_POS</t>
    <phoneticPr fontId="2"/>
  </si>
  <si>
    <t>HV_OFF</t>
  </si>
  <si>
    <t>HV_OFF</t>
    <phoneticPr fontId="2"/>
  </si>
  <si>
    <t>N_POS1</t>
  </si>
  <si>
    <t>N_POS1</t>
    <phoneticPr fontId="2"/>
  </si>
  <si>
    <t>N_POS2</t>
  </si>
  <si>
    <t>N_POS2</t>
    <phoneticPr fontId="2"/>
  </si>
  <si>
    <t>HV_OFF1</t>
  </si>
  <si>
    <t>HV_OFF1</t>
    <phoneticPr fontId="2"/>
  </si>
  <si>
    <t>HV_OFF2</t>
  </si>
  <si>
    <t>HV_OFF2</t>
    <phoneticPr fontId="2"/>
  </si>
  <si>
    <t>H_SOCLOW-CSTD-0-MEF01-REQ02</t>
    <phoneticPr fontId="2"/>
  </si>
  <si>
    <t>H_SOCLOW-CSTD-0-MEF01-REQ03</t>
    <phoneticPr fontId="2"/>
  </si>
  <si>
    <t>-</t>
    <phoneticPr fontId="2"/>
  </si>
  <si>
    <t>EHV1S94_STS</t>
    <phoneticPr fontId="2"/>
  </si>
  <si>
    <t>EHV1S94_STS</t>
    <phoneticPr fontId="2"/>
  </si>
  <si>
    <t>000b</t>
    <phoneticPr fontId="2"/>
  </si>
  <si>
    <t>010b</t>
    <phoneticPr fontId="2"/>
  </si>
  <si>
    <t>011b</t>
    <phoneticPr fontId="2"/>
  </si>
  <si>
    <t>100b</t>
    <phoneticPr fontId="2"/>
  </si>
  <si>
    <t>101b</t>
    <phoneticPr fontId="2"/>
  </si>
  <si>
    <t>110b</t>
    <phoneticPr fontId="2"/>
  </si>
  <si>
    <t>EHV1S94</t>
    <phoneticPr fontId="2"/>
  </si>
  <si>
    <t>ALERT_CH_H_SOCLOW_TT_PD</t>
    <phoneticPr fontId="2"/>
  </si>
  <si>
    <t>ALERT_VOM_IGN_ON</t>
    <phoneticPr fontId="2"/>
  </si>
  <si>
    <t>ALERT_CH_H_SOCLOW_BC</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</si>
  <si>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</si>
  <si>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</si>
  <si>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</si>
  <si>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00b</t>
    <phoneticPr fontId="2"/>
  </si>
  <si>
    <t>00b</t>
    <phoneticPr fontId="2"/>
  </si>
  <si>
    <t>01b</t>
    <phoneticPr fontId="2"/>
  </si>
  <si>
    <t>10b</t>
    <phoneticPr fontId="2"/>
  </si>
  <si>
    <t>11b</t>
    <phoneticPr fontId="2"/>
  </si>
  <si>
    <t>**b</t>
    <phoneticPr fontId="2"/>
  </si>
  <si>
    <t>正常(000b)/
Nレンジ使用中(001b)/
Nレンジ使用中(010b)/
HVシステム停止(011b)/
HVシステム停止(100b)/
未定義(101b)/
未定義(110b)/
未定義(111b)</t>
    <rPh sb="0" eb="2">
      <t>セイジョウ</t>
    </rPh>
    <rPh sb="14" eb="16">
      <t>シヨウ</t>
    </rPh>
    <rPh sb="16" eb="17">
      <t>チュウ</t>
    </rPh>
    <rPh sb="29" eb="31">
      <t>シヨウ</t>
    </rPh>
    <rPh sb="31" eb="32">
      <t>チュウ</t>
    </rPh>
    <rPh sb="72" eb="75">
      <t>ミテイギ</t>
    </rPh>
    <rPh sb="83" eb="86">
      <t>ミテイギ</t>
    </rPh>
    <rPh sb="94" eb="97">
      <t>ミテイギ</t>
    </rPh>
    <phoneticPr fontId="2"/>
  </si>
  <si>
    <t>正常(000b)/
Nレンジ使用中・HVシステム停止(001b)/
Nレンジ使用中(010b)/
HVシステム停止(011b)/
HVシステム停止(100b)/
バルブチェック(101b)/
未定義(110b)/
未定義(111b)</t>
    <rPh sb="0" eb="2">
      <t>セイジョウ</t>
    </rPh>
    <rPh sb="14" eb="16">
      <t>シヨウ</t>
    </rPh>
    <rPh sb="16" eb="17">
      <t>チュウ</t>
    </rPh>
    <rPh sb="38" eb="40">
      <t>シヨウ</t>
    </rPh>
    <rPh sb="40" eb="41">
      <t>チュウ</t>
    </rPh>
    <rPh sb="96" eb="99">
      <t>ミテイギ</t>
    </rPh>
    <rPh sb="107" eb="110">
      <t>ミテイギ</t>
    </rPh>
    <phoneticPr fontId="2"/>
  </si>
  <si>
    <t>N_POS1</t>
    <phoneticPr fontId="2"/>
  </si>
  <si>
    <t>N_POS2</t>
    <phoneticPr fontId="2"/>
  </si>
  <si>
    <t>HV_OFF1</t>
    <phoneticPr fontId="2"/>
  </si>
  <si>
    <t>UNKNOWN/
N_POS1/
N_POS2/
HV_OFF1/
HV_OFF1/
PRIMARY</t>
    <phoneticPr fontId="2"/>
  </si>
  <si>
    <t>HV_OFF1</t>
    <phoneticPr fontId="2"/>
  </si>
  <si>
    <t>PRIMARY</t>
    <phoneticPr fontId="2"/>
  </si>
  <si>
    <t>-</t>
    <phoneticPr fontId="2"/>
  </si>
  <si>
    <t>IG-ON + 通常 + Nレンジ使用中・HVシステム停止</t>
    <rPh sb="8" eb="10">
      <t>ツウジョウ</t>
    </rPh>
    <rPh sb="17" eb="20">
      <t>シヨウチュウ</t>
    </rPh>
    <rPh sb="27" eb="29">
      <t>テイシ</t>
    </rPh>
    <phoneticPr fontId="2"/>
  </si>
  <si>
    <t>IG-ON + 通常 + Nレンジ使用中</t>
    <rPh sb="8" eb="10">
      <t>ツウジョウ</t>
    </rPh>
    <rPh sb="17" eb="19">
      <t>シヨウ</t>
    </rPh>
    <rPh sb="19" eb="20">
      <t>チュウ</t>
    </rPh>
    <phoneticPr fontId="2"/>
  </si>
  <si>
    <t>IG-ON + 通常 + HVシステム停止</t>
    <rPh sb="8" eb="10">
      <t>ツウジョウ</t>
    </rPh>
    <phoneticPr fontId="2"/>
  </si>
  <si>
    <t>IG-ON + 通常 + HVシステム停止</t>
    <rPh sb="8" eb="10">
      <t>ツウジョウ</t>
    </rPh>
    <rPh sb="19" eb="21">
      <t>テイシ</t>
    </rPh>
    <phoneticPr fontId="2"/>
  </si>
  <si>
    <t>N_POS</t>
    <phoneticPr fontId="2"/>
  </si>
  <si>
    <t>N_POS</t>
    <phoneticPr fontId="2"/>
  </si>
  <si>
    <t>UNKNOWN/
N_POS/
HV_OFF</t>
    <phoneticPr fontId="2"/>
  </si>
  <si>
    <t>HV_OFF</t>
    <phoneticPr fontId="2"/>
  </si>
  <si>
    <t>HV_OFF</t>
    <phoneticPr fontId="2"/>
  </si>
  <si>
    <t>断続/
連続/
-</t>
    <rPh sb="0" eb="2">
      <t>ダンゾク</t>
    </rPh>
    <rPh sb="4" eb="6">
      <t>レンゾク</t>
    </rPh>
    <phoneticPr fontId="2"/>
  </si>
  <si>
    <t>断続</t>
    <rPh sb="0" eb="2">
      <t>ダンゾク</t>
    </rPh>
    <phoneticPr fontId="2"/>
  </si>
  <si>
    <t>連続</t>
    <rPh sb="0" eb="2">
      <t>レンゾク</t>
    </rPh>
    <phoneticPr fontId="2"/>
  </si>
  <si>
    <t>-</t>
    <phoneticPr fontId="2"/>
  </si>
  <si>
    <t>-</t>
    <phoneticPr fontId="2"/>
  </si>
  <si>
    <t>-</t>
    <phoneticPr fontId="2"/>
  </si>
  <si>
    <t>-</t>
    <phoneticPr fontId="2"/>
  </si>
  <si>
    <t>-</t>
    <phoneticPr fontId="2"/>
  </si>
  <si>
    <t>-</t>
    <phoneticPr fontId="2"/>
  </si>
  <si>
    <t>IG-ON + 通常 + Nレンジ使用中</t>
    <phoneticPr fontId="2"/>
  </si>
  <si>
    <t>H_SOCLOW-CSTD-0-MEF01-REQ02</t>
    <phoneticPr fontId="2"/>
  </si>
  <si>
    <t>-</t>
    <phoneticPr fontId="2"/>
  </si>
  <si>
    <t>-</t>
    <phoneticPr fontId="2"/>
  </si>
  <si>
    <t>H_SOCLOW-CSTD-0-MEF01-REQ02/
H_SOCLOW-CSTD-0-MEF01-REQ03/
-</t>
    <phoneticPr fontId="2"/>
  </si>
  <si>
    <t>駆動用電池残量低下警告灯</t>
    <phoneticPr fontId="2"/>
  </si>
  <si>
    <t>点滅/
点灯/
-</t>
    <rPh sb="0" eb="2">
      <t>テンメツ</t>
    </rPh>
    <rPh sb="4" eb="6">
      <t>テントウ</t>
    </rPh>
    <phoneticPr fontId="2"/>
  </si>
  <si>
    <t>点滅</t>
    <rPh sb="0" eb="2">
      <t>テンメツ</t>
    </rPh>
    <phoneticPr fontId="2"/>
  </si>
  <si>
    <t>点灯</t>
    <rPh sb="0" eb="2">
      <t>テントウ</t>
    </rPh>
    <phoneticPr fontId="2"/>
  </si>
  <si>
    <t>点滅/
-</t>
    <rPh sb="0" eb="2">
      <t>テンメツ</t>
    </rPh>
    <phoneticPr fontId="2"/>
  </si>
  <si>
    <t>-</t>
    <phoneticPr fontId="2"/>
  </si>
  <si>
    <t>-</t>
    <phoneticPr fontId="2"/>
  </si>
  <si>
    <t>点滅</t>
    <phoneticPr fontId="2"/>
  </si>
  <si>
    <t>REQ02</t>
    <phoneticPr fontId="2"/>
  </si>
  <si>
    <t>REQ03</t>
    <phoneticPr fontId="2"/>
  </si>
  <si>
    <t>Pポジション要求表示灯</t>
    <phoneticPr fontId="2"/>
  </si>
  <si>
    <t>駆動用電池残量低下警告灯：FLASH_500_D50_ON,Pポジション要求表示灯：FLASH_500_D50_ON</t>
    <phoneticPr fontId="2"/>
  </si>
  <si>
    <t>駆動用電池残量低下警告灯：FLASH_500_D50_ON,Pポジション要求表示灯：-</t>
    <phoneticPr fontId="2"/>
  </si>
  <si>
    <t>駆動用電池残量低下警告灯：ON,Pポジション要求表示灯：-</t>
    <phoneticPr fontId="2"/>
  </si>
  <si>
    <t>-</t>
    <phoneticPr fontId="2"/>
  </si>
  <si>
    <t>H_SOCLOW-CSTD-0-BZR01-REQ03</t>
    <phoneticPr fontId="2"/>
  </si>
  <si>
    <t>H_SOCLOW-CSTD-0-BZR01-REQ02</t>
    <phoneticPr fontId="2"/>
  </si>
  <si>
    <t>https://aip01.dndev.net/svn/met/toyota/std/rd/spec/個車/面企画/branches/00.Product/20210219_暫定リリース/MET</t>
    <phoneticPr fontId="2"/>
  </si>
  <si>
    <t>MET-H_SOCLOW-CSTD-0-00-B-C0.xlsm</t>
    <phoneticPr fontId="2"/>
  </si>
  <si>
    <t>長島</t>
    <rPh sb="0" eb="2">
      <t>ナガシマ</t>
    </rPh>
    <phoneticPr fontId="2"/>
  </si>
  <si>
    <t>新規作成(流用元：alert_H_SOCLOW-CSTD-0-00-A-C0.xlsx)
840B CV対応
[Matrix]シート
・対象仕様書変更
・ロケーション変更
[Reference]シート
・各キャプチャ画像を変更</t>
    <rPh sb="0" eb="2">
      <t>シンキ</t>
    </rPh>
    <rPh sb="2" eb="4">
      <t>サクセイ</t>
    </rPh>
    <rPh sb="5" eb="7">
      <t>リュウヨウ</t>
    </rPh>
    <rPh sb="7" eb="8">
      <t>モト</t>
    </rPh>
    <rPh sb="53" eb="55">
      <t>タイオウ</t>
    </rPh>
    <rPh sb="69" eb="71">
      <t>タイショウ</t>
    </rPh>
    <rPh sb="71" eb="74">
      <t>シヨウショ</t>
    </rPh>
    <rPh sb="74" eb="76">
      <t>ヘンコウ</t>
    </rPh>
    <rPh sb="84" eb="86">
      <t>ヘンコウ</t>
    </rPh>
    <rPh sb="103" eb="104">
      <t>カク</t>
    </rPh>
    <rPh sb="109" eb="111">
      <t>ガゾウ</t>
    </rPh>
    <rPh sb="112" eb="114">
      <t>ヘンコウ</t>
    </rPh>
    <phoneticPr fontId="2"/>
  </si>
  <si>
    <t>SOCLOWID_SIG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</si>
  <si>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</si>
  <si>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</si>
  <si>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</si>
  <si>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駆動用電池の残量警告 TT_PD判定</t>
    <rPh sb="16" eb="18">
      <t>ハンテイ</t>
    </rPh>
    <phoneticPr fontId="2"/>
  </si>
  <si>
    <t>駆動用電池の残量警告 BC判定</t>
    <rPh sb="13" eb="15">
      <t>ハンテイ</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</si>
  <si>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</si>
  <si>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</si>
  <si>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</si>
  <si>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</si>
  <si>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</si>
  <si>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</si>
  <si>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</si>
  <si>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</si>
  <si>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</si>
  <si>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</si>
  <si>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</si>
  <si>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</si>
  <si>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</si>
  <si>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</si>
  <si>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</si>
  <si>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</si>
  <si>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</si>
  <si>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</si>
  <si>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</si>
  <si>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[TT_PD]シート
・数式の変更(AU8、AU10、AU11)
[BC]シート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</si>
</sst>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0" tint="-0.24994659260841701"/>
        <bgColor indexed="64"/>
      </patternFill>
    </fill>
    <fill>
      <patternFill patternType="lightUp">
        <bgColor theme="0" tint="-0.24994659260841701"/>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double">
        <color indexed="64"/>
      </right>
      <top/>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3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2" xfId="0" applyFill="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24" borderId="2" xfId="0"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0" borderId="2" xfId="0" applyBorder="1" applyAlignment="1">
      <alignment vertical="center" wrapText="1"/>
    </xf>
    <xf numFmtId="0" fontId="0" fillId="0" borderId="27"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24" borderId="16" xfId="0" applyFill="1" applyBorder="1" applyAlignment="1">
      <alignment vertical="center" wrapText="1"/>
    </xf>
    <xf numFmtId="0" fontId="0" fillId="0" borderId="30" xfId="0" applyFill="1" applyBorder="1" applyAlignment="1">
      <alignment horizontal="center" vertical="center"/>
    </xf>
    <xf numFmtId="0" fontId="0" fillId="0" borderId="28" xfId="0" applyBorder="1" applyAlignment="1">
      <alignment horizontal="center" vertical="center"/>
    </xf>
    <xf numFmtId="0" fontId="0" fillId="24" borderId="62" xfId="0" applyFill="1" applyBorder="1" applyAlignment="1">
      <alignment vertical="center" wrapText="1"/>
    </xf>
    <xf numFmtId="0" fontId="0" fillId="15" borderId="71" xfId="0" applyFill="1" applyBorder="1" applyAlignment="1">
      <alignment vertical="center" wrapText="1"/>
    </xf>
    <xf numFmtId="0" fontId="0" fillId="0" borderId="25" xfId="0" applyFill="1" applyBorder="1" applyAlignment="1">
      <alignment horizontal="center" vertical="center"/>
    </xf>
    <xf numFmtId="0" fontId="0" fillId="15" borderId="30" xfId="0" applyFill="1" applyBorder="1" applyAlignment="1">
      <alignment horizontal="center" vertical="center" wrapText="1"/>
    </xf>
    <xf numFmtId="0" fontId="0" fillId="24" borderId="2"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24" borderId="9" xfId="0" applyFill="1" applyBorder="1" applyAlignment="1">
      <alignment horizontal="center" vertical="center"/>
    </xf>
    <xf numFmtId="0" fontId="0" fillId="15" borderId="10" xfId="0" applyFill="1" applyBorder="1" applyAlignment="1">
      <alignment horizontal="center" vertical="center"/>
    </xf>
    <xf numFmtId="0" fontId="0" fillId="0" borderId="0" xfId="0" applyAlignment="1">
      <alignment vertical="center"/>
    </xf>
    <xf numFmtId="0" fontId="1" fillId="19" borderId="65"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0" borderId="2" xfId="0" applyBorder="1" applyAlignment="1">
      <alignment horizontal="center" vertical="center"/>
    </xf>
    <xf numFmtId="0" fontId="0" fillId="0" borderId="30" xfId="0" applyFill="1" applyBorder="1">
      <alignment vertical="center"/>
    </xf>
    <xf numFmtId="0" fontId="0" fillId="0" borderId="31" xfId="0" applyFill="1" applyBorder="1" applyAlignment="1">
      <alignment vertical="center" wrapText="1"/>
    </xf>
    <xf numFmtId="0" fontId="0" fillId="0" borderId="30" xfId="0" applyFill="1" applyBorder="1" applyAlignment="1">
      <alignment horizontal="center" vertical="center" wrapText="1"/>
    </xf>
    <xf numFmtId="0" fontId="0" fillId="0" borderId="26" xfId="0" applyFill="1" applyBorder="1" applyAlignment="1">
      <alignment horizontal="center" vertical="center"/>
    </xf>
    <xf numFmtId="0" fontId="0" fillId="15" borderId="2" xfId="0" applyFill="1" applyBorder="1">
      <alignment vertical="center"/>
    </xf>
    <xf numFmtId="0" fontId="0" fillId="20" borderId="2" xfId="0" applyFill="1" applyBorder="1">
      <alignment vertical="center"/>
    </xf>
    <xf numFmtId="0" fontId="0" fillId="15" borderId="16" xfId="0" applyFill="1" applyBorder="1" applyAlignment="1">
      <alignment vertical="center" wrapText="1"/>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77" xfId="0" applyFill="1" applyBorder="1">
      <alignment vertical="center"/>
    </xf>
    <xf numFmtId="0" fontId="0" fillId="0" borderId="19" xfId="0" applyFill="1" applyBorder="1">
      <alignment vertical="center"/>
    </xf>
    <xf numFmtId="0" fontId="0" fillId="0" borderId="62" xfId="0" applyFill="1" applyBorder="1" applyAlignment="1">
      <alignment horizontal="center" vertical="center" wrapText="1"/>
    </xf>
    <xf numFmtId="0" fontId="0" fillId="0" borderId="78" xfId="0" applyFill="1" applyBorder="1" applyAlignment="1">
      <alignment horizontal="center" vertical="center" wrapText="1"/>
    </xf>
    <xf numFmtId="0" fontId="0" fillId="0" borderId="2"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5" borderId="79" xfId="0" applyFill="1" applyBorder="1" applyAlignment="1">
      <alignment vertical="center" wrapText="1"/>
    </xf>
    <xf numFmtId="0" fontId="0" fillId="15" borderId="30" xfId="0" applyFill="1" applyBorder="1" applyAlignment="1">
      <alignment vertical="center" wrapText="1"/>
    </xf>
    <xf numFmtId="0" fontId="0" fillId="0" borderId="32" xfId="0" applyFill="1" applyBorder="1" applyAlignment="1">
      <alignment horizontal="center" vertical="center" wrapText="1"/>
    </xf>
    <xf numFmtId="0" fontId="0" fillId="15" borderId="71" xfId="0" applyFill="1" applyBorder="1" applyAlignment="1">
      <alignment horizontal="center" vertical="center" wrapText="1"/>
    </xf>
    <xf numFmtId="0" fontId="0" fillId="15" borderId="7" xfId="0" applyFill="1" applyBorder="1" applyAlignment="1">
      <alignment horizontal="center" vertical="center" wrapText="1"/>
    </xf>
    <xf numFmtId="0" fontId="0" fillId="15" borderId="62" xfId="0" applyFill="1" applyBorder="1" applyAlignment="1">
      <alignment horizontal="center" vertical="center" wrapText="1"/>
    </xf>
    <xf numFmtId="0" fontId="0" fillId="15" borderId="2" xfId="0" applyFill="1" applyBorder="1" applyAlignment="1">
      <alignment horizontal="center" vertical="center" wrapText="1"/>
    </xf>
    <xf numFmtId="0" fontId="0" fillId="0" borderId="25" xfId="0" applyFill="1" applyBorder="1" applyAlignment="1">
      <alignment horizontal="center" vertical="center" wrapText="1"/>
    </xf>
    <xf numFmtId="0" fontId="0" fillId="0" borderId="12" xfId="0" applyFill="1" applyBorder="1">
      <alignment vertical="center"/>
    </xf>
    <xf numFmtId="14" fontId="0" fillId="0" borderId="7" xfId="0" applyNumberFormat="1" applyBorder="1">
      <alignment vertical="center"/>
    </xf>
    <xf numFmtId="0" fontId="16" fillId="7" borderId="61" xfId="0" applyFont="1" applyFill="1" applyBorder="1" applyAlignment="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7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0" xfId="0" applyBorder="1">
      <alignment vertical="center"/>
    </xf>
    <xf numFmtId="0" fontId="0" fillId="0" borderId="81" xfId="0" applyBorder="1" applyAlignment="1">
      <alignment vertical="center" wrapText="1"/>
    </xf>
    <xf numFmtId="0" fontId="0" fillId="0" borderId="81" xfId="0" applyBorder="1">
      <alignment vertical="center"/>
    </xf>
    <xf numFmtId="14" fontId="0" fillId="0" borderId="81"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27" xfId="0" applyFill="1" applyBorder="1" applyAlignment="1" applyProtection="1">
      <alignment horizontal="center" vertical="center" textRotation="90"/>
    </xf>
    <xf numFmtId="0" fontId="0" fillId="0" borderId="30" xfId="0" applyBorder="1" applyAlignment="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C09091F2-4FF5-43D9-9EDF-5C6EA0D4AE77}"/>
  </cellStyles>
  <dxfs count="18">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C2260F2-5993-4CAC-A1C8-214943715B1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CB442EE-FA44-4F26-AE71-3F634E030DEA}"/>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DC67240C-80EB-471A-83C6-4AE3BAE385FD}"/>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CAD55AB4-7672-4879-950D-A2ABDB47FBD4}"/>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10919C23-22BB-4744-C665-35C24712F8FF}"/>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225543</xdr:colOff>
      <xdr:row>0</xdr:row>
      <xdr:rowOff>57151</xdr:rowOff>
    </xdr:from>
    <xdr:to>
      <xdr:col>11</xdr:col>
      <xdr:colOff>1846729</xdr:colOff>
      <xdr:row>1</xdr:row>
      <xdr:rowOff>134472</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7370414" y="57151"/>
          <a:ext cx="3082433" cy="247650"/>
        </a:xfrm>
        <a:prstGeom prst="borderCallout1">
          <a:avLst>
            <a:gd name="adj1" fmla="val 38295"/>
            <a:gd name="adj2" fmla="val -1002"/>
            <a:gd name="adj3" fmla="val 121302"/>
            <a:gd name="adj4" fmla="val -115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3007179</xdr:colOff>
      <xdr:row>20</xdr:row>
      <xdr:rowOff>0</xdr:rowOff>
    </xdr:from>
    <xdr:to>
      <xdr:col>8</xdr:col>
      <xdr:colOff>21772</xdr:colOff>
      <xdr:row>24</xdr:row>
      <xdr:rowOff>21771</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3616779" y="6966857"/>
          <a:ext cx="3056164" cy="674914"/>
        </a:xfrm>
        <a:prstGeom prst="borderCallout1">
          <a:avLst>
            <a:gd name="adj1" fmla="val -2951"/>
            <a:gd name="adj2" fmla="val 90964"/>
            <a:gd name="adj3" fmla="val -23084"/>
            <a:gd name="adj4" fmla="val 94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993323</xdr:colOff>
      <xdr:row>20</xdr:row>
      <xdr:rowOff>29375</xdr:rowOff>
    </xdr:from>
    <xdr:to>
      <xdr:col>12</xdr:col>
      <xdr:colOff>348343</xdr:colOff>
      <xdr:row>23</xdr:row>
      <xdr:rowOff>163285</xdr:rowOff>
    </xdr:to>
    <xdr:sp macro="" textlink="">
      <xdr:nvSpPr>
        <xdr:cNvPr id="4" name="線吹き出し 1 (枠付き) 3">
          <a:extLst>
            <a:ext uri="{FF2B5EF4-FFF2-40B4-BE49-F238E27FC236}">
              <a16:creationId xmlns:a16="http://schemas.microsoft.com/office/drawing/2014/main" id="{00000000-0008-0000-0700-000004000000}"/>
            </a:ext>
          </a:extLst>
        </xdr:cNvPr>
        <xdr:cNvSpPr/>
      </xdr:nvSpPr>
      <xdr:spPr>
        <a:xfrm>
          <a:off x="8101694" y="6996232"/>
          <a:ext cx="4101192" cy="623767"/>
        </a:xfrm>
        <a:prstGeom prst="borderCallout1">
          <a:avLst>
            <a:gd name="adj1" fmla="val 4575"/>
            <a:gd name="adj2" fmla="val 6965"/>
            <a:gd name="adj3" fmla="val -36096"/>
            <a:gd name="adj4" fmla="val -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通信途絶時は前回値保持であり、通信ソフト側で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保持する内容を使用するため、未受信ビットのみ参照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508572</xdr:colOff>
      <xdr:row>24</xdr:row>
      <xdr:rowOff>97972</xdr:rowOff>
    </xdr:from>
    <xdr:to>
      <xdr:col>11</xdr:col>
      <xdr:colOff>2786743</xdr:colOff>
      <xdr:row>26</xdr:row>
      <xdr:rowOff>87086</xdr:rowOff>
    </xdr:to>
    <xdr:sp macro="" textlink="">
      <xdr:nvSpPr>
        <xdr:cNvPr id="5" name="線吹き出し 1 (枠付き) 4">
          <a:extLst>
            <a:ext uri="{FF2B5EF4-FFF2-40B4-BE49-F238E27FC236}">
              <a16:creationId xmlns:a16="http://schemas.microsoft.com/office/drawing/2014/main" id="{00000000-0008-0000-0700-000005000000}"/>
            </a:ext>
          </a:extLst>
        </xdr:cNvPr>
        <xdr:cNvSpPr/>
      </xdr:nvSpPr>
      <xdr:spPr>
        <a:xfrm>
          <a:off x="7616943" y="7717972"/>
          <a:ext cx="3736857" cy="315685"/>
        </a:xfrm>
        <a:prstGeom prst="borderCallout1">
          <a:avLst>
            <a:gd name="adj1" fmla="val 38295"/>
            <a:gd name="adj2" fmla="val -1002"/>
            <a:gd name="adj3" fmla="val 128486"/>
            <a:gd name="adj4" fmla="val -25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2993571</xdr:colOff>
      <xdr:row>46</xdr:row>
      <xdr:rowOff>166254</xdr:rowOff>
    </xdr:from>
    <xdr:to>
      <xdr:col>7</xdr:col>
      <xdr:colOff>124691</xdr:colOff>
      <xdr:row>51</xdr:row>
      <xdr:rowOff>119743</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3603171" y="14630399"/>
          <a:ext cx="2977738" cy="784762"/>
        </a:xfrm>
        <a:prstGeom prst="borderCallout1">
          <a:avLst>
            <a:gd name="adj1" fmla="val -2951"/>
            <a:gd name="adj2" fmla="val 90964"/>
            <a:gd name="adj3" fmla="val -22494"/>
            <a:gd name="adj4" fmla="val 96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19047</xdr:colOff>
      <xdr:row>127</xdr:row>
      <xdr:rowOff>39831</xdr:rowOff>
    </xdr:from>
    <xdr:to>
      <xdr:col>39</xdr:col>
      <xdr:colOff>267216</xdr:colOff>
      <xdr:row>159</xdr:row>
      <xdr:rowOff>19077</xdr:rowOff>
    </xdr:to>
    <xdr:pic>
      <xdr:nvPicPr>
        <xdr:cNvPr id="37" name="図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23483" y="27970595"/>
          <a:ext cx="10001769" cy="5299391"/>
        </a:xfrm>
        <a:prstGeom prst="rect">
          <a:avLst/>
        </a:prstGeom>
      </xdr:spPr>
    </xdr:pic>
    <xdr:clientData/>
  </xdr:twoCellAnchor>
  <xdr:twoCellAnchor editAs="oneCell">
    <xdr:from>
      <xdr:col>23</xdr:col>
      <xdr:colOff>0</xdr:colOff>
      <xdr:row>2</xdr:row>
      <xdr:rowOff>0</xdr:rowOff>
    </xdr:from>
    <xdr:to>
      <xdr:col>49</xdr:col>
      <xdr:colOff>350400</xdr:colOff>
      <xdr:row>23</xdr:row>
      <xdr:rowOff>75695</xdr:rowOff>
    </xdr:to>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037143" y="359229"/>
          <a:ext cx="16200000" cy="7173180"/>
        </a:xfrm>
        <a:prstGeom prst="rect">
          <a:avLst/>
        </a:prstGeom>
      </xdr:spPr>
    </xdr:pic>
    <xdr:clientData/>
  </xdr:twoCellAnchor>
  <xdr:twoCellAnchor editAs="oneCell">
    <xdr:from>
      <xdr:col>23</xdr:col>
      <xdr:colOff>0</xdr:colOff>
      <xdr:row>31</xdr:row>
      <xdr:rowOff>25035</xdr:rowOff>
    </xdr:from>
    <xdr:to>
      <xdr:col>49</xdr:col>
      <xdr:colOff>350400</xdr:colOff>
      <xdr:row>41</xdr:row>
      <xdr:rowOff>122901</xdr:rowOff>
    </xdr:to>
    <xdr:pic>
      <xdr:nvPicPr>
        <xdr:cNvPr id="57" name="図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5104436" y="8905799"/>
          <a:ext cx="16200000" cy="4836120"/>
        </a:xfrm>
        <a:prstGeom prst="rect">
          <a:avLst/>
        </a:prstGeom>
      </xdr:spPr>
    </xdr:pic>
    <xdr:clientData/>
  </xdr:twoCellAnchor>
  <xdr:twoCellAnchor editAs="oneCell">
    <xdr:from>
      <xdr:col>23</xdr:col>
      <xdr:colOff>0</xdr:colOff>
      <xdr:row>50</xdr:row>
      <xdr:rowOff>119743</xdr:rowOff>
    </xdr:from>
    <xdr:to>
      <xdr:col>49</xdr:col>
      <xdr:colOff>350400</xdr:colOff>
      <xdr:row>77</xdr:row>
      <xdr:rowOff>67578</xdr:rowOff>
    </xdr:to>
    <xdr:pic>
      <xdr:nvPicPr>
        <xdr:cNvPr id="58" name="図 57">
          <a:extLst>
            <a:ext uri="{FF2B5EF4-FFF2-40B4-BE49-F238E27FC236}">
              <a16:creationId xmlns:a16="http://schemas.microsoft.com/office/drawing/2014/main" id="{00000000-0008-0000-0700-00003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5037143" y="15142029"/>
          <a:ext cx="16200000" cy="4356549"/>
        </a:xfrm>
        <a:prstGeom prst="rect">
          <a:avLst/>
        </a:prstGeom>
      </xdr:spPr>
    </xdr:pic>
    <xdr:clientData/>
  </xdr:twoCellAnchor>
  <xdr:twoCellAnchor>
    <xdr:from>
      <xdr:col>32</xdr:col>
      <xdr:colOff>43558</xdr:colOff>
      <xdr:row>7</xdr:row>
      <xdr:rowOff>1355270</xdr:rowOff>
    </xdr:from>
    <xdr:to>
      <xdr:col>34</xdr:col>
      <xdr:colOff>54428</xdr:colOff>
      <xdr:row>14</xdr:row>
      <xdr:rowOff>65314</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30567101" y="3009899"/>
          <a:ext cx="1230070" cy="303167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419114</xdr:colOff>
      <xdr:row>7</xdr:row>
      <xdr:rowOff>1374320</xdr:rowOff>
    </xdr:from>
    <xdr:to>
      <xdr:col>40</xdr:col>
      <xdr:colOff>185057</xdr:colOff>
      <xdr:row>14</xdr:row>
      <xdr:rowOff>76200</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33990657" y="3028949"/>
          <a:ext cx="1594743" cy="30235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430000</xdr:colOff>
      <xdr:row>17</xdr:row>
      <xdr:rowOff>95249</xdr:rowOff>
    </xdr:from>
    <xdr:to>
      <xdr:col>40</xdr:col>
      <xdr:colOff>206828</xdr:colOff>
      <xdr:row>23</xdr:row>
      <xdr:rowOff>54428</xdr:rowOff>
    </xdr:to>
    <xdr:sp macro="" textlink="">
      <xdr:nvSpPr>
        <xdr:cNvPr id="69" name="正方形/長方形 68">
          <a:extLst>
            <a:ext uri="{FF2B5EF4-FFF2-40B4-BE49-F238E27FC236}">
              <a16:creationId xmlns:a16="http://schemas.microsoft.com/office/drawing/2014/main" id="{00000000-0008-0000-0700-000045000000}"/>
            </a:ext>
          </a:extLst>
        </xdr:cNvPr>
        <xdr:cNvSpPr/>
      </xdr:nvSpPr>
      <xdr:spPr>
        <a:xfrm>
          <a:off x="34001543" y="6561363"/>
          <a:ext cx="1605628" cy="949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97970</xdr:colOff>
      <xdr:row>7</xdr:row>
      <xdr:rowOff>889907</xdr:rowOff>
    </xdr:from>
    <xdr:to>
      <xdr:col>45</xdr:col>
      <xdr:colOff>465375</xdr:colOff>
      <xdr:row>7</xdr:row>
      <xdr:rowOff>1295400</xdr:rowOff>
    </xdr:to>
    <xdr:sp macro="" textlink="">
      <xdr:nvSpPr>
        <xdr:cNvPr id="70" name="線吹き出し 1 (枠付き) 69">
          <a:extLst>
            <a:ext uri="{FF2B5EF4-FFF2-40B4-BE49-F238E27FC236}">
              <a16:creationId xmlns:a16="http://schemas.microsoft.com/office/drawing/2014/main" id="{00000000-0008-0000-0700-000046000000}"/>
            </a:ext>
          </a:extLst>
        </xdr:cNvPr>
        <xdr:cNvSpPr/>
      </xdr:nvSpPr>
      <xdr:spPr>
        <a:xfrm>
          <a:off x="37327113" y="2544536"/>
          <a:ext cx="1586605" cy="405493"/>
        </a:xfrm>
        <a:prstGeom prst="borderCallout1">
          <a:avLst>
            <a:gd name="adj1" fmla="val 50084"/>
            <a:gd name="adj2" fmla="val -239"/>
            <a:gd name="adj3" fmla="val 115926"/>
            <a:gd name="adj4" fmla="val -1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389175</xdr:colOff>
      <xdr:row>7</xdr:row>
      <xdr:rowOff>857249</xdr:rowOff>
    </xdr:from>
    <xdr:to>
      <xdr:col>40</xdr:col>
      <xdr:colOff>587839</xdr:colOff>
      <xdr:row>7</xdr:row>
      <xdr:rowOff>1292679</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34570318" y="2511878"/>
          <a:ext cx="1417864" cy="435430"/>
        </a:xfrm>
        <a:prstGeom prst="borderCallout1">
          <a:avLst>
            <a:gd name="adj1" fmla="val 50084"/>
            <a:gd name="adj2" fmla="val -239"/>
            <a:gd name="adj3" fmla="val 108879"/>
            <a:gd name="adj4" fmla="val -17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89818</xdr:colOff>
      <xdr:row>7</xdr:row>
      <xdr:rowOff>873578</xdr:rowOff>
    </xdr:from>
    <xdr:to>
      <xdr:col>37</xdr:col>
      <xdr:colOff>141514</xdr:colOff>
      <xdr:row>7</xdr:row>
      <xdr:rowOff>1262743</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31832561" y="2528207"/>
          <a:ext cx="1880496" cy="389165"/>
        </a:xfrm>
        <a:prstGeom prst="borderCallout1">
          <a:avLst>
            <a:gd name="adj1" fmla="val 50084"/>
            <a:gd name="adj2" fmla="val -239"/>
            <a:gd name="adj3" fmla="val 117577"/>
            <a:gd name="adj4" fmla="val -13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39</xdr:col>
      <xdr:colOff>408227</xdr:colOff>
      <xdr:row>24</xdr:row>
      <xdr:rowOff>3263</xdr:rowOff>
    </xdr:from>
    <xdr:to>
      <xdr:col>44</xdr:col>
      <xdr:colOff>195943</xdr:colOff>
      <xdr:row>27</xdr:row>
      <xdr:rowOff>119743</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35198970" y="7623263"/>
          <a:ext cx="2835716" cy="638994"/>
        </a:xfrm>
        <a:prstGeom prst="borderCallout1">
          <a:avLst>
            <a:gd name="adj1" fmla="val 38295"/>
            <a:gd name="adj2" fmla="val -1002"/>
            <a:gd name="adj3" fmla="val -15502"/>
            <a:gd name="adj4" fmla="val -19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64241</xdr:colOff>
      <xdr:row>7</xdr:row>
      <xdr:rowOff>1363434</xdr:rowOff>
    </xdr:from>
    <xdr:to>
      <xdr:col>43</xdr:col>
      <xdr:colOff>337457</xdr:colOff>
      <xdr:row>14</xdr:row>
      <xdr:rowOff>65314</xdr:rowOff>
    </xdr:to>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36683784" y="3018063"/>
          <a:ext cx="882816" cy="30235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318414</xdr:colOff>
      <xdr:row>1</xdr:row>
      <xdr:rowOff>191985</xdr:rowOff>
    </xdr:from>
    <xdr:to>
      <xdr:col>56</xdr:col>
      <xdr:colOff>380994</xdr:colOff>
      <xdr:row>4</xdr:row>
      <xdr:rowOff>155369</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42491650" y="358240"/>
          <a:ext cx="3110580" cy="517565"/>
        </a:xfrm>
        <a:prstGeom prst="borderCallout1">
          <a:avLst>
            <a:gd name="adj1" fmla="val 50084"/>
            <a:gd name="adj2" fmla="val -239"/>
            <a:gd name="adj3" fmla="val 84103"/>
            <a:gd name="adj4" fmla="val -189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同一信号のため、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43542</xdr:colOff>
      <xdr:row>17</xdr:row>
      <xdr:rowOff>108858</xdr:rowOff>
    </xdr:from>
    <xdr:to>
      <xdr:col>37</xdr:col>
      <xdr:colOff>435427</xdr:colOff>
      <xdr:row>23</xdr:row>
      <xdr:rowOff>68037</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31786285" y="6574972"/>
          <a:ext cx="2220685" cy="949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xdr:colOff>
      <xdr:row>24</xdr:row>
      <xdr:rowOff>87084</xdr:rowOff>
    </xdr:from>
    <xdr:to>
      <xdr:col>36</xdr:col>
      <xdr:colOff>76200</xdr:colOff>
      <xdr:row>28</xdr:row>
      <xdr:rowOff>7621</xdr:rowOff>
    </xdr:to>
    <xdr:sp macro="" textlink="">
      <xdr:nvSpPr>
        <xdr:cNvPr id="77" name="線吹き出し 1 (枠付き) 76">
          <a:extLst>
            <a:ext uri="{FF2B5EF4-FFF2-40B4-BE49-F238E27FC236}">
              <a16:creationId xmlns:a16="http://schemas.microsoft.com/office/drawing/2014/main" id="{00000000-0008-0000-0700-00004D000000}"/>
            </a:ext>
          </a:extLst>
        </xdr:cNvPr>
        <xdr:cNvSpPr/>
      </xdr:nvSpPr>
      <xdr:spPr>
        <a:xfrm>
          <a:off x="31742744" y="7707084"/>
          <a:ext cx="1295399" cy="638994"/>
        </a:xfrm>
        <a:prstGeom prst="borderCallout1">
          <a:avLst>
            <a:gd name="adj1" fmla="val -887"/>
            <a:gd name="adj2" fmla="val 34292"/>
            <a:gd name="adj3" fmla="val -29131"/>
            <a:gd name="adj4" fmla="val 454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76196</xdr:colOff>
      <xdr:row>32</xdr:row>
      <xdr:rowOff>1260018</xdr:rowOff>
    </xdr:from>
    <xdr:to>
      <xdr:col>34</xdr:col>
      <xdr:colOff>43543</xdr:colOff>
      <xdr:row>33</xdr:row>
      <xdr:rowOff>1295399</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30599739" y="10425789"/>
          <a:ext cx="1186547" cy="17226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451752</xdr:colOff>
      <xdr:row>32</xdr:row>
      <xdr:rowOff>1279067</xdr:rowOff>
    </xdr:from>
    <xdr:to>
      <xdr:col>40</xdr:col>
      <xdr:colOff>195943</xdr:colOff>
      <xdr:row>33</xdr:row>
      <xdr:rowOff>1317811</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34060434" y="10548573"/>
          <a:ext cx="1572991" cy="173307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451752</xdr:colOff>
      <xdr:row>35</xdr:row>
      <xdr:rowOff>119736</xdr:rowOff>
    </xdr:from>
    <xdr:to>
      <xdr:col>40</xdr:col>
      <xdr:colOff>228580</xdr:colOff>
      <xdr:row>41</xdr:row>
      <xdr:rowOff>89800</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34023295" y="12681850"/>
          <a:ext cx="1605628" cy="949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130608</xdr:colOff>
      <xdr:row>32</xdr:row>
      <xdr:rowOff>794655</xdr:rowOff>
    </xdr:from>
    <xdr:to>
      <xdr:col>45</xdr:col>
      <xdr:colOff>498013</xdr:colOff>
      <xdr:row>32</xdr:row>
      <xdr:rowOff>1200148</xdr:rowOff>
    </xdr:to>
    <xdr:sp macro="" textlink="">
      <xdr:nvSpPr>
        <xdr:cNvPr id="81" name="線吹き出し 1 (枠付き) 80">
          <a:extLst>
            <a:ext uri="{FF2B5EF4-FFF2-40B4-BE49-F238E27FC236}">
              <a16:creationId xmlns:a16="http://schemas.microsoft.com/office/drawing/2014/main" id="{00000000-0008-0000-0700-000051000000}"/>
            </a:ext>
          </a:extLst>
        </xdr:cNvPr>
        <xdr:cNvSpPr/>
      </xdr:nvSpPr>
      <xdr:spPr>
        <a:xfrm>
          <a:off x="37359751" y="9960426"/>
          <a:ext cx="1586605" cy="405493"/>
        </a:xfrm>
        <a:prstGeom prst="borderCallout1">
          <a:avLst>
            <a:gd name="adj1" fmla="val 50084"/>
            <a:gd name="adj2" fmla="val -239"/>
            <a:gd name="adj3" fmla="val 115926"/>
            <a:gd name="adj4" fmla="val -1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421813</xdr:colOff>
      <xdr:row>32</xdr:row>
      <xdr:rowOff>761997</xdr:rowOff>
    </xdr:from>
    <xdr:to>
      <xdr:col>41</xdr:col>
      <xdr:colOff>10877</xdr:colOff>
      <xdr:row>32</xdr:row>
      <xdr:rowOff>1197427</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34602956" y="9927768"/>
          <a:ext cx="1417864" cy="435430"/>
        </a:xfrm>
        <a:prstGeom prst="borderCallout1">
          <a:avLst>
            <a:gd name="adj1" fmla="val 50084"/>
            <a:gd name="adj2" fmla="val -239"/>
            <a:gd name="adj3" fmla="val 108879"/>
            <a:gd name="adj4" fmla="val -17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122456</xdr:colOff>
      <xdr:row>32</xdr:row>
      <xdr:rowOff>778326</xdr:rowOff>
    </xdr:from>
    <xdr:to>
      <xdr:col>37</xdr:col>
      <xdr:colOff>174152</xdr:colOff>
      <xdr:row>32</xdr:row>
      <xdr:rowOff>1167491</xdr:rowOff>
    </xdr:to>
    <xdr:sp macro="" textlink="">
      <xdr:nvSpPr>
        <xdr:cNvPr id="83" name="線吹き出し 1 (枠付き) 82">
          <a:extLst>
            <a:ext uri="{FF2B5EF4-FFF2-40B4-BE49-F238E27FC236}">
              <a16:creationId xmlns:a16="http://schemas.microsoft.com/office/drawing/2014/main" id="{00000000-0008-0000-0700-000053000000}"/>
            </a:ext>
          </a:extLst>
        </xdr:cNvPr>
        <xdr:cNvSpPr/>
      </xdr:nvSpPr>
      <xdr:spPr>
        <a:xfrm>
          <a:off x="31865199" y="9944097"/>
          <a:ext cx="1880496" cy="389165"/>
        </a:xfrm>
        <a:prstGeom prst="borderCallout1">
          <a:avLst>
            <a:gd name="adj1" fmla="val 50084"/>
            <a:gd name="adj2" fmla="val -239"/>
            <a:gd name="adj3" fmla="val 117577"/>
            <a:gd name="adj4" fmla="val -13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39</xdr:col>
      <xdr:colOff>429979</xdr:colOff>
      <xdr:row>42</xdr:row>
      <xdr:rowOff>38636</xdr:rowOff>
    </xdr:from>
    <xdr:to>
      <xdr:col>44</xdr:col>
      <xdr:colOff>217695</xdr:colOff>
      <xdr:row>46</xdr:row>
      <xdr:rowOff>13601</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35220722" y="13743750"/>
          <a:ext cx="2835716" cy="638994"/>
        </a:xfrm>
        <a:prstGeom prst="borderCallout1">
          <a:avLst>
            <a:gd name="adj1" fmla="val 38295"/>
            <a:gd name="adj2" fmla="val -1002"/>
            <a:gd name="adj3" fmla="val -15502"/>
            <a:gd name="adj4" fmla="val -19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65314</xdr:colOff>
      <xdr:row>32</xdr:row>
      <xdr:rowOff>1268182</xdr:rowOff>
    </xdr:from>
    <xdr:to>
      <xdr:col>43</xdr:col>
      <xdr:colOff>370095</xdr:colOff>
      <xdr:row>33</xdr:row>
      <xdr:rowOff>1353671</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36721996" y="10537688"/>
          <a:ext cx="914381" cy="17798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65294</xdr:colOff>
      <xdr:row>35</xdr:row>
      <xdr:rowOff>133345</xdr:rowOff>
    </xdr:from>
    <xdr:to>
      <xdr:col>37</xdr:col>
      <xdr:colOff>457179</xdr:colOff>
      <xdr:row>41</xdr:row>
      <xdr:rowOff>103409</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31808037" y="12695459"/>
          <a:ext cx="2220685" cy="949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21753</xdr:colOff>
      <xdr:row>42</xdr:row>
      <xdr:rowOff>122457</xdr:rowOff>
    </xdr:from>
    <xdr:to>
      <xdr:col>36</xdr:col>
      <xdr:colOff>97952</xdr:colOff>
      <xdr:row>46</xdr:row>
      <xdr:rowOff>97422</xdr:rowOff>
    </xdr:to>
    <xdr:sp macro="" textlink="">
      <xdr:nvSpPr>
        <xdr:cNvPr id="87" name="線吹き出し 1 (枠付き) 86">
          <a:extLst>
            <a:ext uri="{FF2B5EF4-FFF2-40B4-BE49-F238E27FC236}">
              <a16:creationId xmlns:a16="http://schemas.microsoft.com/office/drawing/2014/main" id="{00000000-0008-0000-0700-000057000000}"/>
            </a:ext>
          </a:extLst>
        </xdr:cNvPr>
        <xdr:cNvSpPr/>
      </xdr:nvSpPr>
      <xdr:spPr>
        <a:xfrm>
          <a:off x="31764496" y="13827571"/>
          <a:ext cx="1295399" cy="638994"/>
        </a:xfrm>
        <a:prstGeom prst="borderCallout1">
          <a:avLst>
            <a:gd name="adj1" fmla="val -887"/>
            <a:gd name="adj2" fmla="val 34292"/>
            <a:gd name="adj3" fmla="val -29131"/>
            <a:gd name="adj4" fmla="val 454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390698</xdr:colOff>
      <xdr:row>1</xdr:row>
      <xdr:rowOff>69272</xdr:rowOff>
    </xdr:from>
    <xdr:to>
      <xdr:col>50</xdr:col>
      <xdr:colOff>304800</xdr:colOff>
      <xdr:row>48</xdr:row>
      <xdr:rowOff>13854</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24885534" y="235527"/>
          <a:ext cx="16982902" cy="145749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583869</xdr:colOff>
      <xdr:row>2</xdr:row>
      <xdr:rowOff>13855</xdr:rowOff>
    </xdr:from>
    <xdr:to>
      <xdr:col>28</xdr:col>
      <xdr:colOff>124691</xdr:colOff>
      <xdr:row>5</xdr:row>
      <xdr:rowOff>27709</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5078705" y="374073"/>
          <a:ext cx="3198422" cy="5403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471054</xdr:colOff>
      <xdr:row>2</xdr:row>
      <xdr:rowOff>172191</xdr:rowOff>
    </xdr:from>
    <xdr:to>
      <xdr:col>30</xdr:col>
      <xdr:colOff>547253</xdr:colOff>
      <xdr:row>5</xdr:row>
      <xdr:rowOff>286691</xdr:rowOff>
    </xdr:to>
    <xdr:sp macro="" textlink="">
      <xdr:nvSpPr>
        <xdr:cNvPr id="90" name="線吹き出し 1 (枠付き) 89">
          <a:extLst>
            <a:ext uri="{FF2B5EF4-FFF2-40B4-BE49-F238E27FC236}">
              <a16:creationId xmlns:a16="http://schemas.microsoft.com/office/drawing/2014/main" id="{00000000-0008-0000-0700-00005A000000}"/>
            </a:ext>
          </a:extLst>
        </xdr:cNvPr>
        <xdr:cNvSpPr/>
      </xdr:nvSpPr>
      <xdr:spPr>
        <a:xfrm>
          <a:off x="28623490" y="532409"/>
          <a:ext cx="1295399" cy="640973"/>
        </a:xfrm>
        <a:prstGeom prst="borderCallout1">
          <a:avLst>
            <a:gd name="adj1" fmla="val 42343"/>
            <a:gd name="adj2" fmla="val 1137"/>
            <a:gd name="adj3" fmla="val 33552"/>
            <a:gd name="adj4" fmla="val -240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228601</xdr:colOff>
      <xdr:row>56</xdr:row>
      <xdr:rowOff>84365</xdr:rowOff>
    </xdr:from>
    <xdr:to>
      <xdr:col>35</xdr:col>
      <xdr:colOff>206829</xdr:colOff>
      <xdr:row>69</xdr:row>
      <xdr:rowOff>21773</xdr:rowOff>
    </xdr:to>
    <xdr:sp macro="" textlink="">
      <xdr:nvSpPr>
        <xdr:cNvPr id="91" name="正方形/長方形 90">
          <a:extLst>
            <a:ext uri="{FF2B5EF4-FFF2-40B4-BE49-F238E27FC236}">
              <a16:creationId xmlns:a16="http://schemas.microsoft.com/office/drawing/2014/main" id="{00000000-0008-0000-0700-00005B000000}"/>
            </a:ext>
          </a:extLst>
        </xdr:cNvPr>
        <xdr:cNvSpPr/>
      </xdr:nvSpPr>
      <xdr:spPr>
        <a:xfrm>
          <a:off x="31361744" y="16086365"/>
          <a:ext cx="1197428" cy="20601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595450</xdr:colOff>
      <xdr:row>56</xdr:row>
      <xdr:rowOff>95250</xdr:rowOff>
    </xdr:from>
    <xdr:to>
      <xdr:col>40</xdr:col>
      <xdr:colOff>370114</xdr:colOff>
      <xdr:row>69</xdr:row>
      <xdr:rowOff>32658</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34166993" y="16097250"/>
          <a:ext cx="1603464" cy="20601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584562</xdr:colOff>
      <xdr:row>72</xdr:row>
      <xdr:rowOff>10885</xdr:rowOff>
    </xdr:from>
    <xdr:to>
      <xdr:col>40</xdr:col>
      <xdr:colOff>381000</xdr:colOff>
      <xdr:row>77</xdr:row>
      <xdr:rowOff>43543</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34156105" y="18625456"/>
          <a:ext cx="1625238" cy="84908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440321</xdr:colOff>
      <xdr:row>53</xdr:row>
      <xdr:rowOff>27215</xdr:rowOff>
    </xdr:from>
    <xdr:to>
      <xdr:col>42</xdr:col>
      <xdr:colOff>29386</xdr:colOff>
      <xdr:row>55</xdr:row>
      <xdr:rowOff>95253</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5231064" y="15539358"/>
          <a:ext cx="1417865" cy="394609"/>
        </a:xfrm>
        <a:prstGeom prst="borderCallout1">
          <a:avLst>
            <a:gd name="adj1" fmla="val 50084"/>
            <a:gd name="adj2" fmla="val -239"/>
            <a:gd name="adj3" fmla="val 142327"/>
            <a:gd name="adj4" fmla="val -26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363035</xdr:colOff>
      <xdr:row>52</xdr:row>
      <xdr:rowOff>133350</xdr:rowOff>
    </xdr:from>
    <xdr:to>
      <xdr:col>38</xdr:col>
      <xdr:colOff>424543</xdr:colOff>
      <xdr:row>55</xdr:row>
      <xdr:rowOff>89807</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32715378" y="15482207"/>
          <a:ext cx="1890308" cy="446314"/>
        </a:xfrm>
        <a:prstGeom prst="borderCallout1">
          <a:avLst>
            <a:gd name="adj1" fmla="val 50084"/>
            <a:gd name="adj2" fmla="val -239"/>
            <a:gd name="adj3" fmla="val 132050"/>
            <a:gd name="adj4" fmla="val -158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41</xdr:col>
      <xdr:colOff>10340</xdr:colOff>
      <xdr:row>78</xdr:row>
      <xdr:rowOff>108857</xdr:rowOff>
    </xdr:from>
    <xdr:to>
      <xdr:col>46</xdr:col>
      <xdr:colOff>359228</xdr:colOff>
      <xdr:row>85</xdr:row>
      <xdr:rowOff>119743</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6020283" y="19703143"/>
          <a:ext cx="3396888" cy="1153886"/>
        </a:xfrm>
        <a:prstGeom prst="borderCallout1">
          <a:avLst>
            <a:gd name="adj1" fmla="val 38295"/>
            <a:gd name="adj2" fmla="val -1002"/>
            <a:gd name="adj3" fmla="val -20487"/>
            <a:gd name="adj4" fmla="val -389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と同一信号であるが、途絶時のふるまいが異なるため別</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163284</xdr:colOff>
      <xdr:row>72</xdr:row>
      <xdr:rowOff>32659</xdr:rowOff>
    </xdr:from>
    <xdr:to>
      <xdr:col>37</xdr:col>
      <xdr:colOff>576943</xdr:colOff>
      <xdr:row>77</xdr:row>
      <xdr:rowOff>32658</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32515627" y="18647230"/>
          <a:ext cx="1632859" cy="8164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119743</xdr:colOff>
      <xdr:row>78</xdr:row>
      <xdr:rowOff>32655</xdr:rowOff>
    </xdr:from>
    <xdr:to>
      <xdr:col>37</xdr:col>
      <xdr:colOff>315686</xdr:colOff>
      <xdr:row>81</xdr:row>
      <xdr:rowOff>21771</xdr:rowOff>
    </xdr:to>
    <xdr:sp macro="" textlink="">
      <xdr:nvSpPr>
        <xdr:cNvPr id="98" name="線吹き出し 1 (枠付き) 97">
          <a:extLst>
            <a:ext uri="{FF2B5EF4-FFF2-40B4-BE49-F238E27FC236}">
              <a16:creationId xmlns:a16="http://schemas.microsoft.com/office/drawing/2014/main" id="{00000000-0008-0000-0700-000062000000}"/>
            </a:ext>
          </a:extLst>
        </xdr:cNvPr>
        <xdr:cNvSpPr/>
      </xdr:nvSpPr>
      <xdr:spPr>
        <a:xfrm>
          <a:off x="32472086" y="19626941"/>
          <a:ext cx="1415143" cy="478973"/>
        </a:xfrm>
        <a:prstGeom prst="borderCallout1">
          <a:avLst>
            <a:gd name="adj1" fmla="val -887"/>
            <a:gd name="adj2" fmla="val 34292"/>
            <a:gd name="adj3" fmla="val -29131"/>
            <a:gd name="adj4" fmla="val 454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370115</xdr:colOff>
      <xdr:row>75</xdr:row>
      <xdr:rowOff>141513</xdr:rowOff>
    </xdr:from>
    <xdr:to>
      <xdr:col>41</xdr:col>
      <xdr:colOff>587829</xdr:colOff>
      <xdr:row>77</xdr:row>
      <xdr:rowOff>32655</xdr:rowOff>
    </xdr:to>
    <xdr:sp macro="" textlink="">
      <xdr:nvSpPr>
        <xdr:cNvPr id="99" name="正方形/長方形 98">
          <a:extLst>
            <a:ext uri="{FF2B5EF4-FFF2-40B4-BE49-F238E27FC236}">
              <a16:creationId xmlns:a16="http://schemas.microsoft.com/office/drawing/2014/main" id="{00000000-0008-0000-0700-000063000000}"/>
            </a:ext>
          </a:extLst>
        </xdr:cNvPr>
        <xdr:cNvSpPr/>
      </xdr:nvSpPr>
      <xdr:spPr>
        <a:xfrm>
          <a:off x="35770458" y="19245942"/>
          <a:ext cx="827314" cy="21771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283029</xdr:colOff>
      <xdr:row>73</xdr:row>
      <xdr:rowOff>0</xdr:rowOff>
    </xdr:from>
    <xdr:to>
      <xdr:col>47</xdr:col>
      <xdr:colOff>337457</xdr:colOff>
      <xdr:row>75</xdr:row>
      <xdr:rowOff>152401</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38121772" y="18777857"/>
          <a:ext cx="1883228" cy="478973"/>
        </a:xfrm>
        <a:prstGeom prst="borderCallout1">
          <a:avLst>
            <a:gd name="adj1" fmla="val 44567"/>
            <a:gd name="adj2" fmla="val 766"/>
            <a:gd name="adj3" fmla="val 102687"/>
            <a:gd name="adj4" fmla="val -80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xdr:from>
      <xdr:col>23</xdr:col>
      <xdr:colOff>511629</xdr:colOff>
      <xdr:row>40</xdr:row>
      <xdr:rowOff>0</xdr:rowOff>
    </xdr:from>
    <xdr:to>
      <xdr:col>26</xdr:col>
      <xdr:colOff>152400</xdr:colOff>
      <xdr:row>41</xdr:row>
      <xdr:rowOff>108857</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25548772" y="13378543"/>
          <a:ext cx="1469571" cy="27214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500743</xdr:colOff>
      <xdr:row>21</xdr:row>
      <xdr:rowOff>130628</xdr:rowOff>
    </xdr:from>
    <xdr:to>
      <xdr:col>26</xdr:col>
      <xdr:colOff>141514</xdr:colOff>
      <xdr:row>23</xdr:row>
      <xdr:rowOff>76200</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25537886" y="7260771"/>
          <a:ext cx="1469571" cy="27214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424543</xdr:colOff>
      <xdr:row>75</xdr:row>
      <xdr:rowOff>130628</xdr:rowOff>
    </xdr:from>
    <xdr:to>
      <xdr:col>26</xdr:col>
      <xdr:colOff>435428</xdr:colOff>
      <xdr:row>77</xdr:row>
      <xdr:rowOff>65315</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25461686" y="19235057"/>
          <a:ext cx="1839685" cy="2612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598715</xdr:colOff>
      <xdr:row>50</xdr:row>
      <xdr:rowOff>119743</xdr:rowOff>
    </xdr:from>
    <xdr:to>
      <xdr:col>25</xdr:col>
      <xdr:colOff>195943</xdr:colOff>
      <xdr:row>53</xdr:row>
      <xdr:rowOff>108857</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25026258" y="15142029"/>
          <a:ext cx="1426028" cy="4789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28700</xdr:colOff>
      <xdr:row>49</xdr:row>
      <xdr:rowOff>103908</xdr:rowOff>
    </xdr:from>
    <xdr:to>
      <xdr:col>28</xdr:col>
      <xdr:colOff>104899</xdr:colOff>
      <xdr:row>53</xdr:row>
      <xdr:rowOff>87779</xdr:rowOff>
    </xdr:to>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26894643" y="14962908"/>
          <a:ext cx="1295399" cy="637014"/>
        </a:xfrm>
        <a:prstGeom prst="borderCallout1">
          <a:avLst>
            <a:gd name="adj1" fmla="val 42343"/>
            <a:gd name="adj2" fmla="val 1137"/>
            <a:gd name="adj3" fmla="val 67729"/>
            <a:gd name="adj4" fmla="val -316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88</xdr:row>
      <xdr:rowOff>0</xdr:rowOff>
    </xdr:from>
    <xdr:to>
      <xdr:col>49</xdr:col>
      <xdr:colOff>350400</xdr:colOff>
      <xdr:row>115</xdr:row>
      <xdr:rowOff>145159</xdr:rowOff>
    </xdr:to>
    <xdr:pic>
      <xdr:nvPicPr>
        <xdr:cNvPr id="106" name="図 105">
          <a:extLst>
            <a:ext uri="{FF2B5EF4-FFF2-40B4-BE49-F238E27FC236}">
              <a16:creationId xmlns:a16="http://schemas.microsoft.com/office/drawing/2014/main" id="{00000000-0008-0000-0700-00006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037143" y="21227143"/>
          <a:ext cx="16200000" cy="4553873"/>
        </a:xfrm>
        <a:prstGeom prst="rect">
          <a:avLst/>
        </a:prstGeom>
      </xdr:spPr>
    </xdr:pic>
    <xdr:clientData/>
  </xdr:twoCellAnchor>
  <xdr:twoCellAnchor>
    <xdr:from>
      <xdr:col>31</xdr:col>
      <xdr:colOff>522514</xdr:colOff>
      <xdr:row>93</xdr:row>
      <xdr:rowOff>29939</xdr:rowOff>
    </xdr:from>
    <xdr:to>
      <xdr:col>33</xdr:col>
      <xdr:colOff>272143</xdr:colOff>
      <xdr:row>108</xdr:row>
      <xdr:rowOff>43543</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30436457" y="22073510"/>
          <a:ext cx="968829" cy="24628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498023</xdr:colOff>
      <xdr:row>93</xdr:row>
      <xdr:rowOff>35384</xdr:rowOff>
    </xdr:from>
    <xdr:to>
      <xdr:col>37</xdr:col>
      <xdr:colOff>141515</xdr:colOff>
      <xdr:row>108</xdr:row>
      <xdr:rowOff>43544</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2850366" y="22078955"/>
          <a:ext cx="862692" cy="24574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253093</xdr:colOff>
      <xdr:row>110</xdr:row>
      <xdr:rowOff>160567</xdr:rowOff>
    </xdr:from>
    <xdr:to>
      <xdr:col>35</xdr:col>
      <xdr:colOff>511629</xdr:colOff>
      <xdr:row>115</xdr:row>
      <xdr:rowOff>130629</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31386236" y="24979996"/>
          <a:ext cx="1477736" cy="786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598709</xdr:colOff>
      <xdr:row>89</xdr:row>
      <xdr:rowOff>97975</xdr:rowOff>
    </xdr:from>
    <xdr:to>
      <xdr:col>46</xdr:col>
      <xdr:colOff>424543</xdr:colOff>
      <xdr:row>92</xdr:row>
      <xdr:rowOff>54431</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37827852" y="21488404"/>
          <a:ext cx="1654634" cy="446313"/>
        </a:xfrm>
        <a:prstGeom prst="borderCallout1">
          <a:avLst>
            <a:gd name="adj1" fmla="val 50084"/>
            <a:gd name="adj2" fmla="val -239"/>
            <a:gd name="adj3" fmla="val 132050"/>
            <a:gd name="adj4" fmla="val -122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155119</xdr:colOff>
      <xdr:row>90</xdr:row>
      <xdr:rowOff>49535</xdr:rowOff>
    </xdr:from>
    <xdr:to>
      <xdr:col>39</xdr:col>
      <xdr:colOff>424540</xdr:colOff>
      <xdr:row>92</xdr:row>
      <xdr:rowOff>114305</xdr:rowOff>
    </xdr:to>
    <xdr:sp macro="" textlink="">
      <xdr:nvSpPr>
        <xdr:cNvPr id="111" name="線吹き出し 1 (枠付き) 110">
          <a:extLst>
            <a:ext uri="{FF2B5EF4-FFF2-40B4-BE49-F238E27FC236}">
              <a16:creationId xmlns:a16="http://schemas.microsoft.com/office/drawing/2014/main" id="{00000000-0008-0000-0700-00006F000000}"/>
            </a:ext>
          </a:extLst>
        </xdr:cNvPr>
        <xdr:cNvSpPr/>
      </xdr:nvSpPr>
      <xdr:spPr>
        <a:xfrm>
          <a:off x="33726662" y="21603249"/>
          <a:ext cx="1488621" cy="391342"/>
        </a:xfrm>
        <a:prstGeom prst="borderCallout1">
          <a:avLst>
            <a:gd name="adj1" fmla="val 50084"/>
            <a:gd name="adj2" fmla="val -239"/>
            <a:gd name="adj3" fmla="val 119936"/>
            <a:gd name="adj4" fmla="val -30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323845</xdr:colOff>
      <xdr:row>90</xdr:row>
      <xdr:rowOff>21773</xdr:rowOff>
    </xdr:from>
    <xdr:to>
      <xdr:col>36</xdr:col>
      <xdr:colOff>261257</xdr:colOff>
      <xdr:row>92</xdr:row>
      <xdr:rowOff>130629</xdr:rowOff>
    </xdr:to>
    <xdr:sp macro="" textlink="">
      <xdr:nvSpPr>
        <xdr:cNvPr id="112" name="線吹き出し 1 (枠付き) 111">
          <a:extLst>
            <a:ext uri="{FF2B5EF4-FFF2-40B4-BE49-F238E27FC236}">
              <a16:creationId xmlns:a16="http://schemas.microsoft.com/office/drawing/2014/main" id="{00000000-0008-0000-0700-000070000000}"/>
            </a:ext>
          </a:extLst>
        </xdr:cNvPr>
        <xdr:cNvSpPr/>
      </xdr:nvSpPr>
      <xdr:spPr>
        <a:xfrm>
          <a:off x="31456988" y="21575487"/>
          <a:ext cx="1766212" cy="435428"/>
        </a:xfrm>
        <a:prstGeom prst="borderCallout1">
          <a:avLst>
            <a:gd name="adj1" fmla="val 50084"/>
            <a:gd name="adj2" fmla="val -239"/>
            <a:gd name="adj3" fmla="val 122427"/>
            <a:gd name="adj4" fmla="val -13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36</xdr:col>
      <xdr:colOff>10884</xdr:colOff>
      <xdr:row>117</xdr:row>
      <xdr:rowOff>27218</xdr:rowOff>
    </xdr:from>
    <xdr:to>
      <xdr:col>41</xdr:col>
      <xdr:colOff>413657</xdr:colOff>
      <xdr:row>125</xdr:row>
      <xdr:rowOff>10887</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32972827" y="25989647"/>
          <a:ext cx="3450773" cy="1289954"/>
        </a:xfrm>
        <a:prstGeom prst="borderCallout1">
          <a:avLst>
            <a:gd name="adj1" fmla="val 38295"/>
            <a:gd name="adj2" fmla="val -1002"/>
            <a:gd name="adj3" fmla="val -16361"/>
            <a:gd name="adj4" fmla="val -207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と同一信号で途絶時のふるまいも同じで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あるため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223158</xdr:colOff>
      <xdr:row>93</xdr:row>
      <xdr:rowOff>35382</xdr:rowOff>
    </xdr:from>
    <xdr:to>
      <xdr:col>44</xdr:col>
      <xdr:colOff>97971</xdr:colOff>
      <xdr:row>108</xdr:row>
      <xdr:rowOff>54429</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37452301" y="22078953"/>
          <a:ext cx="484413" cy="246833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522514</xdr:colOff>
      <xdr:row>110</xdr:row>
      <xdr:rowOff>152400</xdr:rowOff>
    </xdr:from>
    <xdr:to>
      <xdr:col>33</xdr:col>
      <xdr:colOff>261257</xdr:colOff>
      <xdr:row>115</xdr:row>
      <xdr:rowOff>122462</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0436457" y="24971829"/>
          <a:ext cx="957943" cy="786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10886</xdr:colOff>
      <xdr:row>116</xdr:row>
      <xdr:rowOff>108856</xdr:rowOff>
    </xdr:from>
    <xdr:to>
      <xdr:col>33</xdr:col>
      <xdr:colOff>206829</xdr:colOff>
      <xdr:row>119</xdr:row>
      <xdr:rowOff>97972</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29924829" y="25907999"/>
          <a:ext cx="1415143" cy="478973"/>
        </a:xfrm>
        <a:prstGeom prst="borderCallout1">
          <a:avLst>
            <a:gd name="adj1" fmla="val -887"/>
            <a:gd name="adj2" fmla="val 34292"/>
            <a:gd name="adj3" fmla="val -29131"/>
            <a:gd name="adj4" fmla="val 454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xdr:colOff>
      <xdr:row>87</xdr:row>
      <xdr:rowOff>163284</xdr:rowOff>
    </xdr:from>
    <xdr:to>
      <xdr:col>25</xdr:col>
      <xdr:colOff>522515</xdr:colOff>
      <xdr:row>90</xdr:row>
      <xdr:rowOff>97972</xdr:rowOff>
    </xdr:to>
    <xdr:sp macro="" textlink="">
      <xdr:nvSpPr>
        <xdr:cNvPr id="117" name="正方形/長方形 116">
          <a:extLst>
            <a:ext uri="{FF2B5EF4-FFF2-40B4-BE49-F238E27FC236}">
              <a16:creationId xmlns:a16="http://schemas.microsoft.com/office/drawing/2014/main" id="{00000000-0008-0000-0700-000075000000}"/>
            </a:ext>
          </a:extLst>
        </xdr:cNvPr>
        <xdr:cNvSpPr/>
      </xdr:nvSpPr>
      <xdr:spPr>
        <a:xfrm>
          <a:off x="25037144" y="21227141"/>
          <a:ext cx="1741714" cy="42454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370114</xdr:colOff>
      <xdr:row>86</xdr:row>
      <xdr:rowOff>130628</xdr:rowOff>
    </xdr:from>
    <xdr:to>
      <xdr:col>28</xdr:col>
      <xdr:colOff>446313</xdr:colOff>
      <xdr:row>90</xdr:row>
      <xdr:rowOff>114499</xdr:rowOff>
    </xdr:to>
    <xdr:sp macro="" textlink="">
      <xdr:nvSpPr>
        <xdr:cNvPr id="118" name="線吹き出し 1 (枠付き) 117">
          <a:extLst>
            <a:ext uri="{FF2B5EF4-FFF2-40B4-BE49-F238E27FC236}">
              <a16:creationId xmlns:a16="http://schemas.microsoft.com/office/drawing/2014/main" id="{00000000-0008-0000-0700-000076000000}"/>
            </a:ext>
          </a:extLst>
        </xdr:cNvPr>
        <xdr:cNvSpPr/>
      </xdr:nvSpPr>
      <xdr:spPr>
        <a:xfrm>
          <a:off x="27236057" y="21031199"/>
          <a:ext cx="1295399" cy="637014"/>
        </a:xfrm>
        <a:prstGeom prst="borderCallout1">
          <a:avLst>
            <a:gd name="adj1" fmla="val 42343"/>
            <a:gd name="adj2" fmla="val 1137"/>
            <a:gd name="adj3" fmla="val 67729"/>
            <a:gd name="adj4" fmla="val -316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401778</xdr:colOff>
      <xdr:row>114</xdr:row>
      <xdr:rowOff>69270</xdr:rowOff>
    </xdr:from>
    <xdr:to>
      <xdr:col>26</xdr:col>
      <xdr:colOff>180109</xdr:colOff>
      <xdr:row>115</xdr:row>
      <xdr:rowOff>138546</xdr:rowOff>
    </xdr:to>
    <xdr:sp macro="" textlink="">
      <xdr:nvSpPr>
        <xdr:cNvPr id="119" name="正方形/長方形 118">
          <a:extLst>
            <a:ext uri="{FF2B5EF4-FFF2-40B4-BE49-F238E27FC236}">
              <a16:creationId xmlns:a16="http://schemas.microsoft.com/office/drawing/2014/main" id="{00000000-0008-0000-0700-000077000000}"/>
            </a:ext>
          </a:extLst>
        </xdr:cNvPr>
        <xdr:cNvSpPr/>
      </xdr:nvSpPr>
      <xdr:spPr>
        <a:xfrm>
          <a:off x="25506214" y="25838725"/>
          <a:ext cx="1607131" cy="2355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26894</xdr:colOff>
      <xdr:row>143</xdr:row>
      <xdr:rowOff>35859</xdr:rowOff>
    </xdr:from>
    <xdr:to>
      <xdr:col>39</xdr:col>
      <xdr:colOff>268942</xdr:colOff>
      <xdr:row>145</xdr:row>
      <xdr:rowOff>8965</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5101176" y="31116494"/>
          <a:ext cx="9995648" cy="31376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473299</xdr:colOff>
      <xdr:row>34</xdr:row>
      <xdr:rowOff>33616</xdr:rowOff>
    </xdr:from>
    <xdr:to>
      <xdr:col>51</xdr:col>
      <xdr:colOff>251012</xdr:colOff>
      <xdr:row>40</xdr:row>
      <xdr:rowOff>125506</xdr:rowOff>
    </xdr:to>
    <xdr:sp macro="" textlink="">
      <xdr:nvSpPr>
        <xdr:cNvPr id="121" name="線吹き出し 1 (枠付き) 120">
          <a:extLst>
            <a:ext uri="{FF2B5EF4-FFF2-40B4-BE49-F238E27FC236}">
              <a16:creationId xmlns:a16="http://schemas.microsoft.com/office/drawing/2014/main" id="{00000000-0008-0000-0700-000079000000}"/>
            </a:ext>
          </a:extLst>
        </xdr:cNvPr>
        <xdr:cNvSpPr/>
      </xdr:nvSpPr>
      <xdr:spPr>
        <a:xfrm>
          <a:off x="38349181" y="12530416"/>
          <a:ext cx="4044913" cy="1122831"/>
        </a:xfrm>
        <a:prstGeom prst="borderCallout1">
          <a:avLst>
            <a:gd name="adj1" fmla="val 50084"/>
            <a:gd name="adj2" fmla="val -239"/>
            <a:gd name="adj3" fmla="val -18959"/>
            <a:gd name="adj4" fmla="val -1079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システム停止とする条件が他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TT,BC,PD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と相違している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が、制御仕様書通りの実装とする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確認済：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METHUD800B-6334</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76200</xdr:colOff>
      <xdr:row>33</xdr:row>
      <xdr:rowOff>781049</xdr:rowOff>
    </xdr:from>
    <xdr:to>
      <xdr:col>37</xdr:col>
      <xdr:colOff>430306</xdr:colOff>
      <xdr:row>33</xdr:row>
      <xdr:rowOff>1344706</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31856082" y="11744884"/>
          <a:ext cx="2182906" cy="56365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1389529</xdr:colOff>
      <xdr:row>54</xdr:row>
      <xdr:rowOff>26894</xdr:rowOff>
    </xdr:from>
    <xdr:to>
      <xdr:col>18</xdr:col>
      <xdr:colOff>582067</xdr:colOff>
      <xdr:row>62</xdr:row>
      <xdr:rowOff>10563</xdr:rowOff>
    </xdr:to>
    <xdr:sp macro="" textlink="">
      <xdr:nvSpPr>
        <xdr:cNvPr id="123" name="線吹き出し 1 (枠付き) 122">
          <a:extLst>
            <a:ext uri="{FF2B5EF4-FFF2-40B4-BE49-F238E27FC236}">
              <a16:creationId xmlns:a16="http://schemas.microsoft.com/office/drawing/2014/main" id="{00000000-0008-0000-0700-00007B000000}"/>
            </a:ext>
          </a:extLst>
        </xdr:cNvPr>
        <xdr:cNvSpPr/>
      </xdr:nvSpPr>
      <xdr:spPr>
        <a:xfrm>
          <a:off x="19157576" y="15948212"/>
          <a:ext cx="3450773" cy="1346304"/>
        </a:xfrm>
        <a:prstGeom prst="borderCallout1">
          <a:avLst>
            <a:gd name="adj1" fmla="val 59603"/>
            <a:gd name="adj2" fmla="val 99536"/>
            <a:gd name="adj3" fmla="val 1137601"/>
            <a:gd name="adj4" fmla="val 171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RW_</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送信信号対応表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(MET-M_REMWAR-CSTD-1-03-B-C0.xlsx)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に記載がないため、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送信無しと判断</a:t>
          </a:r>
          <a:endParaRPr kumimoji="1" lang="en-US" altLang="ja-JP" sz="14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582067</xdr:colOff>
      <xdr:row>40</xdr:row>
      <xdr:rowOff>137556</xdr:rowOff>
    </xdr:from>
    <xdr:to>
      <xdr:col>23</xdr:col>
      <xdr:colOff>511629</xdr:colOff>
      <xdr:row>58</xdr:row>
      <xdr:rowOff>18729</xdr:rowOff>
    </xdr:to>
    <xdr:cxnSp macro="">
      <xdr:nvCxnSpPr>
        <xdr:cNvPr id="125" name="直線コネクタ 124">
          <a:extLst>
            <a:ext uri="{FF2B5EF4-FFF2-40B4-BE49-F238E27FC236}">
              <a16:creationId xmlns:a16="http://schemas.microsoft.com/office/drawing/2014/main" id="{00000000-0008-0000-0700-00007D000000}"/>
            </a:ext>
          </a:extLst>
        </xdr:cNvPr>
        <xdr:cNvCxnSpPr>
          <a:stCxn id="123" idx="0"/>
          <a:endCxn id="101" idx="1"/>
        </xdr:cNvCxnSpPr>
      </xdr:nvCxnSpPr>
      <xdr:spPr>
        <a:xfrm flipV="1">
          <a:off x="22638503" y="13590320"/>
          <a:ext cx="2977562" cy="28876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582067</xdr:colOff>
      <xdr:row>22</xdr:row>
      <xdr:rowOff>103414</xdr:rowOff>
    </xdr:from>
    <xdr:to>
      <xdr:col>23</xdr:col>
      <xdr:colOff>500743</xdr:colOff>
      <xdr:row>58</xdr:row>
      <xdr:rowOff>18729</xdr:rowOff>
    </xdr:to>
    <xdr:cxnSp macro="">
      <xdr:nvCxnSpPr>
        <xdr:cNvPr id="128" name="直線コネクタ 127">
          <a:extLst>
            <a:ext uri="{FF2B5EF4-FFF2-40B4-BE49-F238E27FC236}">
              <a16:creationId xmlns:a16="http://schemas.microsoft.com/office/drawing/2014/main" id="{00000000-0008-0000-0700-000080000000}"/>
            </a:ext>
          </a:extLst>
        </xdr:cNvPr>
        <xdr:cNvCxnSpPr>
          <a:stCxn id="123" idx="0"/>
          <a:endCxn id="102" idx="1"/>
        </xdr:cNvCxnSpPr>
      </xdr:nvCxnSpPr>
      <xdr:spPr>
        <a:xfrm flipV="1">
          <a:off x="22638503" y="7432469"/>
          <a:ext cx="2966676" cy="904546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582067</xdr:colOff>
      <xdr:row>58</xdr:row>
      <xdr:rowOff>18729</xdr:rowOff>
    </xdr:from>
    <xdr:to>
      <xdr:col>23</xdr:col>
      <xdr:colOff>424543</xdr:colOff>
      <xdr:row>76</xdr:row>
      <xdr:rowOff>97971</xdr:rowOff>
    </xdr:to>
    <xdr:cxnSp macro="">
      <xdr:nvCxnSpPr>
        <xdr:cNvPr id="131" name="直線コネクタ 130">
          <a:extLst>
            <a:ext uri="{FF2B5EF4-FFF2-40B4-BE49-F238E27FC236}">
              <a16:creationId xmlns:a16="http://schemas.microsoft.com/office/drawing/2014/main" id="{00000000-0008-0000-0700-000083000000}"/>
            </a:ext>
          </a:extLst>
        </xdr:cNvPr>
        <xdr:cNvCxnSpPr>
          <a:stCxn id="103" idx="1"/>
          <a:endCxn id="123" idx="0"/>
        </xdr:cNvCxnSpPr>
      </xdr:nvCxnSpPr>
      <xdr:spPr>
        <a:xfrm flipH="1" flipV="1">
          <a:off x="22638503" y="16477929"/>
          <a:ext cx="2890476" cy="307182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582067</xdr:colOff>
      <xdr:row>58</xdr:row>
      <xdr:rowOff>18729</xdr:rowOff>
    </xdr:from>
    <xdr:to>
      <xdr:col>23</xdr:col>
      <xdr:colOff>401778</xdr:colOff>
      <xdr:row>115</xdr:row>
      <xdr:rowOff>20781</xdr:rowOff>
    </xdr:to>
    <xdr:cxnSp macro="">
      <xdr:nvCxnSpPr>
        <xdr:cNvPr id="135" name="直線コネクタ 134">
          <a:extLst>
            <a:ext uri="{FF2B5EF4-FFF2-40B4-BE49-F238E27FC236}">
              <a16:creationId xmlns:a16="http://schemas.microsoft.com/office/drawing/2014/main" id="{00000000-0008-0000-0700-000087000000}"/>
            </a:ext>
          </a:extLst>
        </xdr:cNvPr>
        <xdr:cNvCxnSpPr>
          <a:stCxn id="119" idx="1"/>
          <a:endCxn id="123" idx="0"/>
        </xdr:cNvCxnSpPr>
      </xdr:nvCxnSpPr>
      <xdr:spPr>
        <a:xfrm flipH="1" flipV="1">
          <a:off x="22638503" y="16477929"/>
          <a:ext cx="2867711" cy="947856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160</xdr:row>
      <xdr:rowOff>163285</xdr:rowOff>
    </xdr:from>
    <xdr:to>
      <xdr:col>25</xdr:col>
      <xdr:colOff>373518</xdr:colOff>
      <xdr:row>163</xdr:row>
      <xdr:rowOff>54461</xdr:rowOff>
    </xdr:to>
    <xdr:pic>
      <xdr:nvPicPr>
        <xdr:cNvPr id="138" name="図 137">
          <a:extLst>
            <a:ext uri="{FF2B5EF4-FFF2-40B4-BE49-F238E27FC236}">
              <a16:creationId xmlns:a16="http://schemas.microsoft.com/office/drawing/2014/main" id="{00000000-0008-0000-0700-00008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037143" y="33146999"/>
          <a:ext cx="1592718" cy="381033"/>
        </a:xfrm>
        <a:prstGeom prst="rect">
          <a:avLst/>
        </a:prstGeom>
      </xdr:spPr>
    </xdr:pic>
    <xdr:clientData/>
  </xdr:twoCellAnchor>
  <xdr:twoCellAnchor>
    <xdr:from>
      <xdr:col>22</xdr:col>
      <xdr:colOff>587829</xdr:colOff>
      <xdr:row>160</xdr:row>
      <xdr:rowOff>141513</xdr:rowOff>
    </xdr:from>
    <xdr:to>
      <xdr:col>25</xdr:col>
      <xdr:colOff>435428</xdr:colOff>
      <xdr:row>163</xdr:row>
      <xdr:rowOff>54429</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25015372" y="33125227"/>
          <a:ext cx="1676399" cy="40277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293913</xdr:colOff>
      <xdr:row>161</xdr:row>
      <xdr:rowOff>10886</xdr:rowOff>
    </xdr:from>
    <xdr:to>
      <xdr:col>28</xdr:col>
      <xdr:colOff>370112</xdr:colOff>
      <xdr:row>164</xdr:row>
      <xdr:rowOff>158043</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27159856" y="33157886"/>
          <a:ext cx="1295399" cy="637014"/>
        </a:xfrm>
        <a:prstGeom prst="borderCallout1">
          <a:avLst>
            <a:gd name="adj1" fmla="val 42343"/>
            <a:gd name="adj2" fmla="val 1137"/>
            <a:gd name="adj3" fmla="val 26716"/>
            <a:gd name="adj4" fmla="val -358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10886</xdr:colOff>
      <xdr:row>166</xdr:row>
      <xdr:rowOff>21771</xdr:rowOff>
    </xdr:from>
    <xdr:to>
      <xdr:col>27</xdr:col>
      <xdr:colOff>446314</xdr:colOff>
      <xdr:row>171</xdr:row>
      <xdr:rowOff>0</xdr:rowOff>
    </xdr:to>
    <xdr:sp macro="" textlink="">
      <xdr:nvSpPr>
        <xdr:cNvPr id="141" name="正方形/長方形 140">
          <a:extLst>
            <a:ext uri="{FF2B5EF4-FFF2-40B4-BE49-F238E27FC236}">
              <a16:creationId xmlns:a16="http://schemas.microsoft.com/office/drawing/2014/main" id="{00000000-0008-0000-0700-00008D000000}"/>
            </a:ext>
          </a:extLst>
        </xdr:cNvPr>
        <xdr:cNvSpPr/>
      </xdr:nvSpPr>
      <xdr:spPr>
        <a:xfrm>
          <a:off x="25048029" y="33985200"/>
          <a:ext cx="2873828" cy="79465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rPr>
            <a:t>について、制御仕様に記載が無い為、</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要求無しと判断</a:t>
          </a:r>
        </a:p>
      </xdr:txBody>
    </xdr:sp>
    <xdr:clientData/>
  </xdr:twoCellAnchor>
  <xdr:twoCellAnchor editAs="oneCell">
    <xdr:from>
      <xdr:col>58</xdr:col>
      <xdr:colOff>0</xdr:colOff>
      <xdr:row>2</xdr:row>
      <xdr:rowOff>0</xdr:rowOff>
    </xdr:from>
    <xdr:to>
      <xdr:col>84</xdr:col>
      <xdr:colOff>350400</xdr:colOff>
      <xdr:row>32</xdr:row>
      <xdr:rowOff>948483</xdr:rowOff>
    </xdr:to>
    <xdr:pic>
      <xdr:nvPicPr>
        <xdr:cNvPr id="143" name="図 142">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6367700" y="361950"/>
          <a:ext cx="16200000" cy="9901983"/>
        </a:xfrm>
        <a:prstGeom prst="rect">
          <a:avLst/>
        </a:prstGeom>
      </xdr:spPr>
    </xdr:pic>
    <xdr:clientData/>
  </xdr:twoCellAnchor>
  <xdr:twoCellAnchor editAs="oneCell">
    <xdr:from>
      <xdr:col>58</xdr:col>
      <xdr:colOff>-1</xdr:colOff>
      <xdr:row>33</xdr:row>
      <xdr:rowOff>-1</xdr:rowOff>
    </xdr:from>
    <xdr:to>
      <xdr:col>84</xdr:col>
      <xdr:colOff>350399</xdr:colOff>
      <xdr:row>80</xdr:row>
      <xdr:rowOff>73533</xdr:rowOff>
    </xdr:to>
    <xdr:pic>
      <xdr:nvPicPr>
        <xdr:cNvPr id="144" name="図 143">
          <a:extLst>
            <a:ext uri="{FF2B5EF4-FFF2-40B4-BE49-F238E27FC236}">
              <a16:creationId xmlns:a16="http://schemas.microsoft.com/office/drawing/2014/main" id="{00000000-0008-0000-0700-00009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6367699" y="11010899"/>
          <a:ext cx="16200000" cy="9484234"/>
        </a:xfrm>
        <a:prstGeom prst="rect">
          <a:avLst/>
        </a:prstGeom>
      </xdr:spPr>
    </xdr:pic>
    <xdr:clientData/>
  </xdr:twoCellAnchor>
  <xdr:twoCellAnchor editAs="oneCell">
    <xdr:from>
      <xdr:col>58</xdr:col>
      <xdr:colOff>0</xdr:colOff>
      <xdr:row>83</xdr:row>
      <xdr:rowOff>0</xdr:rowOff>
    </xdr:from>
    <xdr:to>
      <xdr:col>84</xdr:col>
      <xdr:colOff>350400</xdr:colOff>
      <xdr:row>139</xdr:row>
      <xdr:rowOff>51001</xdr:rowOff>
    </xdr:to>
    <xdr:pic>
      <xdr:nvPicPr>
        <xdr:cNvPr id="145" name="図 144">
          <a:extLst>
            <a:ext uri="{FF2B5EF4-FFF2-40B4-BE49-F238E27FC236}">
              <a16:creationId xmlns:a16="http://schemas.microsoft.com/office/drawing/2014/main" id="{00000000-0008-0000-0700-00009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6367700" y="20935950"/>
          <a:ext cx="16200000" cy="9652201"/>
        </a:xfrm>
        <a:prstGeom prst="rect">
          <a:avLst/>
        </a:prstGeom>
      </xdr:spPr>
    </xdr:pic>
    <xdr:clientData/>
  </xdr:twoCellAnchor>
  <xdr:twoCellAnchor editAs="oneCell">
    <xdr:from>
      <xdr:col>58</xdr:col>
      <xdr:colOff>0</xdr:colOff>
      <xdr:row>141</xdr:row>
      <xdr:rowOff>-1</xdr:rowOff>
    </xdr:from>
    <xdr:to>
      <xdr:col>84</xdr:col>
      <xdr:colOff>350400</xdr:colOff>
      <xdr:row>188</xdr:row>
      <xdr:rowOff>77531</xdr:rowOff>
    </xdr:to>
    <xdr:pic>
      <xdr:nvPicPr>
        <xdr:cNvPr id="146" name="図 145">
          <a:extLst>
            <a:ext uri="{FF2B5EF4-FFF2-40B4-BE49-F238E27FC236}">
              <a16:creationId xmlns:a16="http://schemas.microsoft.com/office/drawing/2014/main" id="{00000000-0008-0000-0700-00009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6367700" y="30880049"/>
          <a:ext cx="16200000" cy="8135682"/>
        </a:xfrm>
        <a:prstGeom prst="rect">
          <a:avLst/>
        </a:prstGeom>
      </xdr:spPr>
    </xdr:pic>
    <xdr:clientData/>
  </xdr:twoCellAnchor>
  <xdr:twoCellAnchor>
    <xdr:from>
      <xdr:col>70</xdr:col>
      <xdr:colOff>552450</xdr:colOff>
      <xdr:row>5</xdr:row>
      <xdr:rowOff>133350</xdr:rowOff>
    </xdr:from>
    <xdr:to>
      <xdr:col>84</xdr:col>
      <xdr:colOff>342900</xdr:colOff>
      <xdr:row>32</xdr:row>
      <xdr:rowOff>933450</xdr:rowOff>
    </xdr:to>
    <xdr:sp macro="" textlink="">
      <xdr:nvSpPr>
        <xdr:cNvPr id="147" name="正方形/長方形 146">
          <a:extLst>
            <a:ext uri="{FF2B5EF4-FFF2-40B4-BE49-F238E27FC236}">
              <a16:creationId xmlns:a16="http://schemas.microsoft.com/office/drawing/2014/main" id="{00000000-0008-0000-0700-000093000000}"/>
            </a:ext>
          </a:extLst>
        </xdr:cNvPr>
        <xdr:cNvSpPr/>
      </xdr:nvSpPr>
      <xdr:spPr>
        <a:xfrm>
          <a:off x="54235350" y="1028700"/>
          <a:ext cx="8324850" cy="9220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571500</xdr:colOff>
      <xdr:row>33</xdr:row>
      <xdr:rowOff>228600</xdr:rowOff>
    </xdr:from>
    <xdr:to>
      <xdr:col>84</xdr:col>
      <xdr:colOff>361950</xdr:colOff>
      <xdr:row>80</xdr:row>
      <xdr:rowOff>38100</xdr:rowOff>
    </xdr:to>
    <xdr:sp macro="" textlink="">
      <xdr:nvSpPr>
        <xdr:cNvPr id="148" name="正方形/長方形 147">
          <a:extLst>
            <a:ext uri="{FF2B5EF4-FFF2-40B4-BE49-F238E27FC236}">
              <a16:creationId xmlns:a16="http://schemas.microsoft.com/office/drawing/2014/main" id="{00000000-0008-0000-0700-000094000000}"/>
            </a:ext>
          </a:extLst>
        </xdr:cNvPr>
        <xdr:cNvSpPr/>
      </xdr:nvSpPr>
      <xdr:spPr>
        <a:xfrm>
          <a:off x="54254400" y="11239500"/>
          <a:ext cx="8324850" cy="9220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552450</xdr:colOff>
      <xdr:row>84</xdr:row>
      <xdr:rowOff>19050</xdr:rowOff>
    </xdr:from>
    <xdr:to>
      <xdr:col>84</xdr:col>
      <xdr:colOff>342900</xdr:colOff>
      <xdr:row>139</xdr:row>
      <xdr:rowOff>57150</xdr:rowOff>
    </xdr:to>
    <xdr:sp macro="" textlink="">
      <xdr:nvSpPr>
        <xdr:cNvPr id="149" name="正方形/長方形 148">
          <a:extLst>
            <a:ext uri="{FF2B5EF4-FFF2-40B4-BE49-F238E27FC236}">
              <a16:creationId xmlns:a16="http://schemas.microsoft.com/office/drawing/2014/main" id="{00000000-0008-0000-0700-000095000000}"/>
            </a:ext>
          </a:extLst>
        </xdr:cNvPr>
        <xdr:cNvSpPr/>
      </xdr:nvSpPr>
      <xdr:spPr>
        <a:xfrm>
          <a:off x="54235350" y="21126450"/>
          <a:ext cx="8324850" cy="94678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552450</xdr:colOff>
      <xdr:row>142</xdr:row>
      <xdr:rowOff>57150</xdr:rowOff>
    </xdr:from>
    <xdr:to>
      <xdr:col>84</xdr:col>
      <xdr:colOff>342900</xdr:colOff>
      <xdr:row>188</xdr:row>
      <xdr:rowOff>19050</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54235350" y="31108650"/>
          <a:ext cx="8324850" cy="7848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152400</xdr:colOff>
      <xdr:row>108</xdr:row>
      <xdr:rowOff>76200</xdr:rowOff>
    </xdr:from>
    <xdr:to>
      <xdr:col>70</xdr:col>
      <xdr:colOff>495301</xdr:colOff>
      <xdr:row>144</xdr:row>
      <xdr:rowOff>0</xdr:rowOff>
    </xdr:to>
    <xdr:cxnSp macro="">
      <xdr:nvCxnSpPr>
        <xdr:cNvPr id="151" name="直線コネクタ 150">
          <a:extLst>
            <a:ext uri="{FF2B5EF4-FFF2-40B4-BE49-F238E27FC236}">
              <a16:creationId xmlns:a16="http://schemas.microsoft.com/office/drawing/2014/main" id="{00000000-0008-0000-0700-000097000000}"/>
            </a:ext>
          </a:extLst>
        </xdr:cNvPr>
        <xdr:cNvCxnSpPr/>
      </xdr:nvCxnSpPr>
      <xdr:spPr>
        <a:xfrm flipH="1" flipV="1">
          <a:off x="33718500" y="25298400"/>
          <a:ext cx="20459701" cy="60960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400050</xdr:colOff>
      <xdr:row>63</xdr:row>
      <xdr:rowOff>0</xdr:rowOff>
    </xdr:from>
    <xdr:to>
      <xdr:col>70</xdr:col>
      <xdr:colOff>533400</xdr:colOff>
      <xdr:row>84</xdr:row>
      <xdr:rowOff>133350</xdr:rowOff>
    </xdr:to>
    <xdr:cxnSp macro="">
      <xdr:nvCxnSpPr>
        <xdr:cNvPr id="154" name="直線コネクタ 153">
          <a:extLst>
            <a:ext uri="{FF2B5EF4-FFF2-40B4-BE49-F238E27FC236}">
              <a16:creationId xmlns:a16="http://schemas.microsoft.com/office/drawing/2014/main" id="{00000000-0008-0000-0700-00009A000000}"/>
            </a:ext>
          </a:extLst>
        </xdr:cNvPr>
        <xdr:cNvCxnSpPr/>
      </xdr:nvCxnSpPr>
      <xdr:spPr>
        <a:xfrm flipH="1" flipV="1">
          <a:off x="35794950" y="17506950"/>
          <a:ext cx="18421350" cy="37338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190500</xdr:colOff>
      <xdr:row>32</xdr:row>
      <xdr:rowOff>1619250</xdr:rowOff>
    </xdr:from>
    <xdr:to>
      <xdr:col>70</xdr:col>
      <xdr:colOff>533400</xdr:colOff>
      <xdr:row>40</xdr:row>
      <xdr:rowOff>114300</xdr:rowOff>
    </xdr:to>
    <xdr:cxnSp macro="">
      <xdr:nvCxnSpPr>
        <xdr:cNvPr id="157" name="直線コネクタ 156">
          <a:extLst>
            <a:ext uri="{FF2B5EF4-FFF2-40B4-BE49-F238E27FC236}">
              <a16:creationId xmlns:a16="http://schemas.microsoft.com/office/drawing/2014/main" id="{00000000-0008-0000-0700-00009D000000}"/>
            </a:ext>
          </a:extLst>
        </xdr:cNvPr>
        <xdr:cNvCxnSpPr/>
      </xdr:nvCxnSpPr>
      <xdr:spPr>
        <a:xfrm flipH="1" flipV="1">
          <a:off x="35585400" y="10934700"/>
          <a:ext cx="18630900" cy="27432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266700</xdr:colOff>
      <xdr:row>14</xdr:row>
      <xdr:rowOff>133350</xdr:rowOff>
    </xdr:from>
    <xdr:to>
      <xdr:col>70</xdr:col>
      <xdr:colOff>552450</xdr:colOff>
      <xdr:row>32</xdr:row>
      <xdr:rowOff>171450</xdr:rowOff>
    </xdr:to>
    <xdr:cxnSp macro="">
      <xdr:nvCxnSpPr>
        <xdr:cNvPr id="160" name="直線コネクタ 159">
          <a:extLst>
            <a:ext uri="{FF2B5EF4-FFF2-40B4-BE49-F238E27FC236}">
              <a16:creationId xmlns:a16="http://schemas.microsoft.com/office/drawing/2014/main" id="{00000000-0008-0000-0700-0000A0000000}"/>
            </a:ext>
          </a:extLst>
        </xdr:cNvPr>
        <xdr:cNvCxnSpPr/>
      </xdr:nvCxnSpPr>
      <xdr:spPr>
        <a:xfrm flipH="1" flipV="1">
          <a:off x="35052000" y="6153150"/>
          <a:ext cx="19183350" cy="33337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060A-D3DE-4153-A3F9-03715BF9D1BA}">
  <sheetPr>
    <tabColor theme="5"/>
  </sheetPr>
  <dimension ref="C1:AM57"/>
  <sheetViews>
    <sheetView showGridLines="0" tabSelected="1" view="pageBreakPreview" zoomScale="85" zoomScaleNormal="100" zoomScaleSheetLayoutView="85" workbookViewId="0">
      <selection activeCell="AX11" sqref="AX11"/>
    </sheetView>
  </sheetViews>
  <sheetFormatPr defaultColWidth="8.125" defaultRowHeight="15.75"/>
  <cols>
    <col min="1" max="52" width="2.125" style="243" customWidth="1"/>
    <col min="53" max="16384" width="8.125" style="24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44"/>
    </row>
    <row r="11" spans="6:20" ht="13.15" customHeight="1"/>
    <row r="12" spans="6:20" ht="13.15" customHeight="1"/>
    <row r="13" spans="6:20" ht="13.15" customHeight="1">
      <c r="T13" s="245" t="str">
        <f ca="1">MID(CELL("filename",A1),FIND("[",CELL("filename",A1))+1,FIND("]",CELL("filename",A1))-FIND("[",CELL("filename",A1))-1)</f>
        <v>alert_H_SOCLOW-CSTD-0-00-B-C0.xlsx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46"/>
      <c r="V32" s="246"/>
    </row>
    <row r="33" spans="3:39" ht="13.15" customHeight="1">
      <c r="M33" s="247"/>
      <c r="N33" s="247"/>
      <c r="O33" s="247"/>
      <c r="P33" s="247"/>
      <c r="Q33" s="247"/>
      <c r="AF33" s="247"/>
      <c r="AG33" s="247"/>
      <c r="AH33" s="247"/>
      <c r="AI33" s="247"/>
      <c r="AJ33" s="247"/>
    </row>
    <row r="34" spans="3:39" ht="13.15" customHeight="1">
      <c r="Y34" s="246" t="s">
        <v>346</v>
      </c>
    </row>
    <row r="35" spans="3:39" ht="13.15" customHeight="1">
      <c r="Y35" s="268" t="s">
        <v>347</v>
      </c>
      <c r="Z35" s="269"/>
      <c r="AA35" s="269"/>
      <c r="AB35" s="269"/>
      <c r="AC35" s="270"/>
      <c r="AD35" s="268" t="s">
        <v>348</v>
      </c>
      <c r="AE35" s="269"/>
      <c r="AF35" s="269"/>
      <c r="AG35" s="269"/>
      <c r="AH35" s="270"/>
      <c r="AI35" s="268" t="s">
        <v>349</v>
      </c>
      <c r="AJ35" s="269"/>
      <c r="AK35" s="269"/>
      <c r="AL35" s="269"/>
      <c r="AM35" s="270"/>
    </row>
    <row r="36" spans="3:39" ht="13.15" customHeight="1">
      <c r="D36" s="247"/>
      <c r="E36" s="248"/>
      <c r="F36" s="247"/>
      <c r="G36" s="247"/>
      <c r="I36" s="247"/>
      <c r="J36" s="248"/>
      <c r="K36" s="247"/>
      <c r="L36" s="247"/>
      <c r="M36" s="247"/>
      <c r="N36" s="247"/>
      <c r="O36" s="248"/>
      <c r="P36" s="247"/>
      <c r="Q36" s="247"/>
      <c r="W36" s="247"/>
      <c r="X36" s="248"/>
      <c r="Y36" s="249"/>
      <c r="Z36" s="250"/>
      <c r="AA36" s="250"/>
      <c r="AB36" s="250"/>
      <c r="AC36" s="251"/>
      <c r="AD36" s="249"/>
      <c r="AE36" s="250"/>
      <c r="AF36" s="250"/>
      <c r="AG36" s="250"/>
      <c r="AH36" s="251"/>
      <c r="AI36" s="249"/>
      <c r="AJ36" s="250"/>
      <c r="AK36" s="250"/>
      <c r="AL36" s="250"/>
      <c r="AM36" s="251"/>
    </row>
    <row r="37" spans="3:39" ht="13.15" customHeight="1">
      <c r="Y37" s="252"/>
      <c r="AC37" s="253"/>
      <c r="AD37" s="252"/>
      <c r="AH37" s="253"/>
      <c r="AI37" s="252"/>
      <c r="AM37" s="253"/>
    </row>
    <row r="38" spans="3:39" ht="13.15" customHeight="1">
      <c r="Y38" s="252"/>
      <c r="Z38" s="247"/>
      <c r="AA38" s="248" t="s">
        <v>350</v>
      </c>
      <c r="AB38" s="247"/>
      <c r="AC38" s="254"/>
      <c r="AD38" s="252"/>
      <c r="AE38" s="247"/>
      <c r="AF38" s="248" t="s">
        <v>351</v>
      </c>
      <c r="AG38" s="247"/>
      <c r="AH38" s="254"/>
      <c r="AI38" s="255"/>
      <c r="AJ38" s="247"/>
      <c r="AK38" s="248" t="s">
        <v>352</v>
      </c>
      <c r="AL38" s="247"/>
      <c r="AM38" s="254"/>
    </row>
    <row r="39" spans="3:39" ht="13.15" customHeight="1">
      <c r="Y39" s="252"/>
      <c r="AC39" s="253"/>
      <c r="AD39" s="252"/>
      <c r="AH39" s="253"/>
      <c r="AI39" s="252"/>
      <c r="AM39" s="253"/>
    </row>
    <row r="40" spans="3:39" ht="13.15" customHeight="1">
      <c r="C40" s="246"/>
      <c r="V40" s="246"/>
      <c r="Y40" s="256"/>
      <c r="Z40" s="257"/>
      <c r="AA40" s="257"/>
      <c r="AB40" s="257"/>
      <c r="AC40" s="258"/>
      <c r="AD40" s="256"/>
      <c r="AE40" s="257"/>
      <c r="AF40" s="257"/>
      <c r="AG40" s="257"/>
      <c r="AH40" s="258"/>
      <c r="AI40" s="256"/>
      <c r="AJ40" s="257"/>
      <c r="AK40" s="257"/>
      <c r="AL40" s="257"/>
      <c r="AM40" s="258"/>
    </row>
    <row r="41" spans="3:39" ht="13.15" customHeight="1"/>
    <row r="42" spans="3:39" ht="13.15" customHeight="1">
      <c r="Y42" s="246" t="s">
        <v>353</v>
      </c>
    </row>
    <row r="43" spans="3:39" ht="13.15" customHeight="1">
      <c r="Y43" s="268" t="s">
        <v>347</v>
      </c>
      <c r="Z43" s="269"/>
      <c r="AA43" s="269"/>
      <c r="AB43" s="269"/>
      <c r="AC43" s="270"/>
      <c r="AD43" s="268" t="s">
        <v>348</v>
      </c>
      <c r="AE43" s="269"/>
      <c r="AF43" s="269"/>
      <c r="AG43" s="269"/>
      <c r="AH43" s="270"/>
      <c r="AI43" s="268" t="s">
        <v>349</v>
      </c>
      <c r="AJ43" s="269"/>
      <c r="AK43" s="269"/>
      <c r="AL43" s="269"/>
      <c r="AM43" s="270"/>
    </row>
    <row r="44" spans="3:39" ht="13.15" customHeight="1">
      <c r="D44" s="247"/>
      <c r="E44" s="248"/>
      <c r="F44" s="247"/>
      <c r="G44" s="247"/>
      <c r="H44" s="247"/>
      <c r="I44" s="247"/>
      <c r="J44" s="248"/>
      <c r="K44" s="247"/>
      <c r="L44" s="247"/>
      <c r="M44" s="247"/>
      <c r="N44" s="247"/>
      <c r="O44" s="248"/>
      <c r="P44" s="247"/>
      <c r="Q44" s="247"/>
      <c r="W44" s="247"/>
      <c r="X44" s="248"/>
      <c r="Y44" s="249"/>
      <c r="Z44" s="250"/>
      <c r="AA44" s="250"/>
      <c r="AB44" s="250"/>
      <c r="AC44" s="251"/>
      <c r="AD44" s="250"/>
      <c r="AE44" s="250"/>
      <c r="AF44" s="250"/>
      <c r="AG44" s="250"/>
      <c r="AH44" s="251"/>
      <c r="AI44" s="249"/>
      <c r="AJ44" s="250"/>
      <c r="AK44" s="250"/>
      <c r="AL44" s="250"/>
      <c r="AM44" s="251"/>
    </row>
    <row r="45" spans="3:39" ht="13.15" customHeight="1">
      <c r="Y45" s="252"/>
      <c r="AC45" s="253"/>
      <c r="AH45" s="253"/>
      <c r="AI45" s="252"/>
      <c r="AM45" s="253"/>
    </row>
    <row r="46" spans="3:39" ht="13.15" customHeight="1">
      <c r="Y46" s="252"/>
      <c r="Z46" s="247"/>
      <c r="AA46" s="248" t="s">
        <v>354</v>
      </c>
      <c r="AB46" s="247"/>
      <c r="AC46" s="254"/>
      <c r="AD46" s="247"/>
      <c r="AE46" s="247"/>
      <c r="AF46" s="248" t="s">
        <v>355</v>
      </c>
      <c r="AG46" s="247"/>
      <c r="AH46" s="254"/>
      <c r="AI46" s="255"/>
      <c r="AJ46" s="247"/>
      <c r="AK46" s="248" t="s">
        <v>356</v>
      </c>
      <c r="AL46" s="247"/>
      <c r="AM46" s="254"/>
    </row>
    <row r="47" spans="3:39" ht="13.15" customHeight="1">
      <c r="Y47" s="252"/>
      <c r="AC47" s="253"/>
      <c r="AH47" s="253"/>
      <c r="AI47" s="252"/>
      <c r="AM47" s="253"/>
    </row>
    <row r="48" spans="3:39" ht="13.15" customHeight="1">
      <c r="C48" s="246"/>
      <c r="V48" s="246"/>
      <c r="Y48" s="256"/>
      <c r="Z48" s="257"/>
      <c r="AA48" s="257"/>
      <c r="AB48" s="257"/>
      <c r="AC48" s="258"/>
      <c r="AD48" s="257"/>
      <c r="AE48" s="257"/>
      <c r="AF48" s="257"/>
      <c r="AG48" s="257"/>
      <c r="AH48" s="258"/>
      <c r="AI48" s="256"/>
      <c r="AJ48" s="257"/>
      <c r="AK48" s="257"/>
      <c r="AL48" s="257"/>
      <c r="AM48" s="258"/>
    </row>
    <row r="49" spans="4:39" ht="13.15" customHeight="1"/>
    <row r="50" spans="4:39" ht="13.15" customHeight="1">
      <c r="Y50" s="246" t="s">
        <v>357</v>
      </c>
    </row>
    <row r="51" spans="4:39" ht="13.15" customHeight="1">
      <c r="Y51" s="268" t="s">
        <v>347</v>
      </c>
      <c r="Z51" s="269"/>
      <c r="AA51" s="269"/>
      <c r="AB51" s="269"/>
      <c r="AC51" s="270"/>
      <c r="AD51" s="268" t="s">
        <v>348</v>
      </c>
      <c r="AE51" s="269"/>
      <c r="AF51" s="269"/>
      <c r="AG51" s="269"/>
      <c r="AH51" s="270"/>
      <c r="AI51" s="268" t="s">
        <v>349</v>
      </c>
      <c r="AJ51" s="269"/>
      <c r="AK51" s="269"/>
      <c r="AL51" s="269"/>
      <c r="AM51" s="270"/>
    </row>
    <row r="52" spans="4:39" ht="13.15" customHeight="1">
      <c r="D52" s="247"/>
      <c r="E52" s="248"/>
      <c r="F52" s="247"/>
      <c r="G52" s="247"/>
      <c r="H52" s="247"/>
      <c r="I52" s="247"/>
      <c r="J52" s="248"/>
      <c r="K52" s="247"/>
      <c r="L52" s="247"/>
      <c r="M52" s="247"/>
      <c r="N52" s="247"/>
      <c r="O52" s="248"/>
      <c r="P52" s="247"/>
      <c r="Q52" s="247"/>
      <c r="W52" s="247"/>
      <c r="X52" s="248"/>
      <c r="Y52" s="249"/>
      <c r="Z52" s="250"/>
      <c r="AA52" s="250"/>
      <c r="AB52" s="250"/>
      <c r="AC52" s="251"/>
      <c r="AD52" s="250"/>
      <c r="AE52" s="250"/>
      <c r="AF52" s="250"/>
      <c r="AG52" s="250"/>
      <c r="AH52" s="251"/>
      <c r="AI52" s="249"/>
      <c r="AJ52" s="250"/>
      <c r="AK52" s="250"/>
      <c r="AL52" s="250"/>
      <c r="AM52" s="251"/>
    </row>
    <row r="53" spans="4:39" ht="13.15" customHeight="1">
      <c r="Y53" s="252"/>
      <c r="AC53" s="253"/>
      <c r="AH53" s="253"/>
      <c r="AI53" s="252"/>
      <c r="AM53" s="253"/>
    </row>
    <row r="54" spans="4:39" ht="13.15" customHeight="1">
      <c r="Y54" s="252"/>
      <c r="Z54" s="247"/>
      <c r="AA54" s="248" t="s">
        <v>358</v>
      </c>
      <c r="AB54" s="247"/>
      <c r="AC54" s="254"/>
      <c r="AD54" s="247"/>
      <c r="AE54" s="247"/>
      <c r="AF54" s="248" t="s">
        <v>359</v>
      </c>
      <c r="AG54" s="247"/>
      <c r="AH54" s="254"/>
      <c r="AI54" s="255"/>
      <c r="AJ54" s="247"/>
      <c r="AK54" s="248" t="s">
        <v>352</v>
      </c>
      <c r="AL54" s="247"/>
      <c r="AM54" s="254"/>
    </row>
    <row r="55" spans="4:39" ht="13.15" customHeight="1">
      <c r="Y55" s="252"/>
      <c r="AC55" s="253"/>
      <c r="AH55" s="253"/>
      <c r="AI55" s="252"/>
      <c r="AM55" s="253"/>
    </row>
    <row r="56" spans="4:39" ht="13.15" customHeight="1">
      <c r="Y56" s="256"/>
      <c r="Z56" s="257"/>
      <c r="AA56" s="257"/>
      <c r="AB56" s="257"/>
      <c r="AC56" s="258"/>
      <c r="AD56" s="257"/>
      <c r="AE56" s="257"/>
      <c r="AF56" s="257"/>
      <c r="AG56" s="257"/>
      <c r="AH56" s="258"/>
      <c r="AI56" s="256"/>
      <c r="AJ56" s="257"/>
      <c r="AK56" s="257"/>
      <c r="AL56" s="257"/>
      <c r="AM56" s="258"/>
    </row>
    <row r="57" spans="4:39" ht="13.15" customHeight="1">
      <c r="AK57" s="243" t="s">
        <v>360</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X8" sqref="X8"/>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1" t="s">
        <v>14</v>
      </c>
      <c r="J2" s="271"/>
      <c r="K2" s="271"/>
      <c r="L2" s="271"/>
      <c r="M2" s="271"/>
      <c r="N2" s="271"/>
      <c r="O2" s="271"/>
      <c r="P2" s="271"/>
      <c r="Q2" s="271"/>
      <c r="R2" s="271"/>
    </row>
    <row r="3" spans="2:24" ht="25.5" customHeight="1">
      <c r="C3" s="6"/>
      <c r="D3" s="10" t="str">
        <f ca="1">REPLACE(LEFT(CELL("filename",$B$1),FIND(".xls",CELL("filename",$B$1))-1),1,FIND("[",CELL("filename",$B$1)),)</f>
        <v>alert_H_SOCLOW-CSTD-0-00-B-C0</v>
      </c>
      <c r="E3" s="6"/>
      <c r="F3" s="6"/>
      <c r="H3" s="8" t="s">
        <v>173</v>
      </c>
      <c r="I3" s="272" t="s">
        <v>197</v>
      </c>
      <c r="J3" s="273"/>
      <c r="K3" s="273"/>
      <c r="L3" s="273"/>
      <c r="M3" s="273"/>
      <c r="N3" s="273"/>
      <c r="O3" s="273"/>
      <c r="P3" s="273"/>
      <c r="Q3" s="273"/>
      <c r="R3" s="273"/>
    </row>
    <row r="4" spans="2:24" ht="25.5" customHeight="1">
      <c r="C4" s="6"/>
      <c r="D4" s="6"/>
      <c r="E4" s="21" t="str">
        <f>DGET(B8:C14,"Ver.",H4:H5)</f>
        <v>1.0.1</v>
      </c>
      <c r="F4" s="6"/>
      <c r="H4" s="9" t="s">
        <v>16</v>
      </c>
    </row>
    <row r="5" spans="2:24" ht="25.5" customHeight="1">
      <c r="C5" s="6"/>
      <c r="D5" s="6"/>
      <c r="E5" s="6"/>
      <c r="F5" s="6"/>
      <c r="H5" s="11">
        <f>MAX(B9:B14)</f>
        <v>2</v>
      </c>
    </row>
    <row r="6" spans="2:24" ht="14.25" thickBot="1"/>
    <row r="7" spans="2:24">
      <c r="C7" s="276" t="s">
        <v>0</v>
      </c>
      <c r="D7" s="277"/>
      <c r="E7" s="278" t="s">
        <v>2</v>
      </c>
      <c r="F7" s="278"/>
      <c r="G7" s="279" t="s">
        <v>5</v>
      </c>
      <c r="H7" s="279"/>
      <c r="I7" s="279"/>
      <c r="J7" s="279"/>
      <c r="K7" s="279"/>
      <c r="L7" s="279"/>
      <c r="M7" s="280" t="s">
        <v>12</v>
      </c>
      <c r="N7" s="280"/>
      <c r="O7" s="280"/>
      <c r="P7" s="280"/>
      <c r="Q7" s="280"/>
      <c r="R7" s="281"/>
      <c r="S7" s="274" t="s">
        <v>361</v>
      </c>
      <c r="T7" s="274"/>
      <c r="U7" s="274"/>
      <c r="V7" s="274"/>
      <c r="W7" s="274"/>
      <c r="X7" s="275"/>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59" t="s">
        <v>11</v>
      </c>
      <c r="S8" s="15" t="s">
        <v>362</v>
      </c>
      <c r="T8" s="15" t="s">
        <v>7</v>
      </c>
      <c r="U8" s="15" t="s">
        <v>8</v>
      </c>
      <c r="V8" s="15" t="s">
        <v>9</v>
      </c>
      <c r="W8" s="15" t="s">
        <v>10</v>
      </c>
      <c r="X8" s="260" t="s">
        <v>11</v>
      </c>
    </row>
    <row r="9" spans="2:24" ht="108.75" thickTop="1">
      <c r="B9" s="9">
        <f>IF(C9=0,0,ROW()-ROW($B$8))</f>
        <v>1</v>
      </c>
      <c r="C9" s="264" t="s">
        <v>15</v>
      </c>
      <c r="D9" s="265" t="s">
        <v>339</v>
      </c>
      <c r="E9" s="266" t="s">
        <v>32</v>
      </c>
      <c r="F9" s="266" t="s">
        <v>196</v>
      </c>
      <c r="G9" s="266" t="s">
        <v>32</v>
      </c>
      <c r="H9" s="266" t="s">
        <v>32</v>
      </c>
      <c r="I9" s="266" t="s">
        <v>32</v>
      </c>
      <c r="J9" s="266" t="s">
        <v>32</v>
      </c>
      <c r="K9" s="266" t="s">
        <v>32</v>
      </c>
      <c r="L9" s="266" t="s">
        <v>32</v>
      </c>
      <c r="M9" s="266"/>
      <c r="N9" s="267"/>
      <c r="O9" s="266"/>
      <c r="P9" s="267"/>
      <c r="Q9" s="266" t="s">
        <v>338</v>
      </c>
      <c r="R9" s="267">
        <v>44279</v>
      </c>
      <c r="S9" s="263" t="s">
        <v>32</v>
      </c>
      <c r="T9" s="261" t="s">
        <v>32</v>
      </c>
      <c r="U9" s="1" t="s">
        <v>32</v>
      </c>
      <c r="V9" s="261" t="s">
        <v>32</v>
      </c>
      <c r="W9" s="1" t="s">
        <v>32</v>
      </c>
      <c r="X9" s="241" t="s">
        <v>32</v>
      </c>
    </row>
    <row r="10" spans="2:24" ht="67.5">
      <c r="B10" s="9">
        <f t="shared" ref="B10:B13" si="0">IF(C10=0,0,ROW()-ROW($B$8))</f>
        <v>2</v>
      </c>
      <c r="C10" s="2" t="s">
        <v>363</v>
      </c>
      <c r="D10" s="189" t="s">
        <v>365</v>
      </c>
      <c r="E10" s="1" t="s">
        <v>32</v>
      </c>
      <c r="F10" s="1" t="s">
        <v>32</v>
      </c>
      <c r="G10" s="1" t="s">
        <v>32</v>
      </c>
      <c r="H10" s="1" t="s">
        <v>32</v>
      </c>
      <c r="I10" s="1" t="s">
        <v>32</v>
      </c>
      <c r="J10" s="1" t="s">
        <v>32</v>
      </c>
      <c r="K10" s="1" t="s">
        <v>32</v>
      </c>
      <c r="L10" s="1" t="s">
        <v>32</v>
      </c>
      <c r="M10" s="1"/>
      <c r="N10" s="1"/>
      <c r="O10" s="1"/>
      <c r="P10" s="1"/>
      <c r="Q10" s="1"/>
      <c r="R10" s="1"/>
      <c r="S10" s="1"/>
      <c r="T10" s="1"/>
      <c r="U10" s="1"/>
      <c r="V10" s="261"/>
      <c r="W10" s="1" t="s">
        <v>364</v>
      </c>
      <c r="X10" s="241">
        <v>45811</v>
      </c>
    </row>
    <row r="11" spans="2:24">
      <c r="B11" s="9">
        <f t="shared" si="0"/>
        <v>0</v>
      </c>
      <c r="C11" s="2"/>
      <c r="D11" s="1"/>
      <c r="E11" s="1"/>
      <c r="F11" s="1"/>
      <c r="G11" s="1"/>
      <c r="H11" s="1"/>
      <c r="I11" s="1"/>
      <c r="J11" s="1"/>
      <c r="K11" s="1"/>
      <c r="L11" s="1"/>
      <c r="M11" s="1"/>
      <c r="N11" s="1"/>
      <c r="O11" s="1"/>
      <c r="P11" s="1"/>
      <c r="Q11" s="1"/>
      <c r="R11" s="1"/>
      <c r="S11" s="1"/>
      <c r="T11" s="261"/>
      <c r="U11" s="1"/>
      <c r="V11" s="261"/>
      <c r="W11" s="1"/>
      <c r="X11" s="241"/>
    </row>
    <row r="12" spans="2:24">
      <c r="B12" s="9">
        <f t="shared" si="0"/>
        <v>0</v>
      </c>
      <c r="C12" s="2"/>
      <c r="D12" s="1"/>
      <c r="E12" s="1"/>
      <c r="F12" s="1"/>
      <c r="G12" s="1"/>
      <c r="H12" s="1"/>
      <c r="I12" s="1"/>
      <c r="J12" s="1"/>
      <c r="K12" s="1"/>
      <c r="L12" s="1"/>
      <c r="M12" s="1"/>
      <c r="N12" s="1"/>
      <c r="O12" s="1"/>
      <c r="P12" s="1"/>
      <c r="Q12" s="1"/>
      <c r="R12" s="1"/>
      <c r="S12" s="1"/>
      <c r="T12" s="261"/>
      <c r="U12" s="1"/>
      <c r="V12" s="261"/>
      <c r="W12" s="1"/>
      <c r="X12" s="241"/>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6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2" t="s">
        <v>129</v>
      </c>
    </row>
    <row r="3" spans="2:5">
      <c r="C3" t="s">
        <v>139</v>
      </c>
    </row>
    <row r="6" spans="2:5" ht="14.25" thickBot="1">
      <c r="B6" s="142" t="s">
        <v>130</v>
      </c>
      <c r="C6" s="142"/>
    </row>
    <row r="7" spans="2:5" ht="14.25" thickBot="1">
      <c r="C7" s="68" t="s">
        <v>132</v>
      </c>
      <c r="D7" s="76"/>
      <c r="E7" s="69" t="s">
        <v>140</v>
      </c>
    </row>
    <row r="8" spans="2:5" ht="20.25" customHeight="1" thickTop="1">
      <c r="C8" s="146">
        <v>0</v>
      </c>
      <c r="D8" s="77" t="s">
        <v>141</v>
      </c>
      <c r="E8" s="145" t="s">
        <v>142</v>
      </c>
    </row>
    <row r="9" spans="2:5" ht="27">
      <c r="C9" s="152">
        <v>1</v>
      </c>
      <c r="D9" s="154" t="s">
        <v>160</v>
      </c>
      <c r="E9" s="153" t="s">
        <v>159</v>
      </c>
    </row>
    <row r="10" spans="2:5" ht="14.25" thickBot="1">
      <c r="C10" s="150"/>
      <c r="D10" s="79"/>
      <c r="E10" s="5"/>
    </row>
    <row r="11" spans="2:5">
      <c r="C11" s="148"/>
    </row>
    <row r="12" spans="2:5" ht="14.25" thickBot="1">
      <c r="B12" s="143" t="s">
        <v>131</v>
      </c>
      <c r="C12" s="75"/>
      <c r="D12" s="75"/>
    </row>
    <row r="13" spans="2:5" ht="14.25" thickBot="1">
      <c r="B13" s="144"/>
      <c r="C13" s="149" t="s">
        <v>132</v>
      </c>
      <c r="D13" s="76" t="s">
        <v>133</v>
      </c>
      <c r="E13" s="69" t="s">
        <v>134</v>
      </c>
    </row>
    <row r="14" spans="2:5" ht="14.25" thickTop="1">
      <c r="C14" s="146">
        <v>0</v>
      </c>
      <c r="D14" s="77" t="s">
        <v>147</v>
      </c>
      <c r="E14" s="151" t="s">
        <v>148</v>
      </c>
    </row>
    <row r="15" spans="2:5">
      <c r="C15" s="147">
        <v>1</v>
      </c>
      <c r="D15" s="78" t="s">
        <v>24</v>
      </c>
      <c r="E15" s="67" t="s">
        <v>135</v>
      </c>
    </row>
    <row r="16" spans="2:5">
      <c r="C16" s="147">
        <v>2</v>
      </c>
      <c r="D16" s="78" t="s">
        <v>25</v>
      </c>
      <c r="E16" s="67" t="s">
        <v>136</v>
      </c>
    </row>
    <row r="17" spans="2:5">
      <c r="C17" s="147">
        <v>3</v>
      </c>
      <c r="D17" s="78" t="s">
        <v>26</v>
      </c>
      <c r="E17" s="67" t="s">
        <v>137</v>
      </c>
    </row>
    <row r="18" spans="2:5">
      <c r="C18" s="147">
        <v>4</v>
      </c>
      <c r="D18" s="78" t="s">
        <v>27</v>
      </c>
      <c r="E18" s="67" t="s">
        <v>138</v>
      </c>
    </row>
    <row r="19" spans="2:5">
      <c r="C19" s="147">
        <v>5</v>
      </c>
      <c r="D19" s="78" t="s">
        <v>149</v>
      </c>
      <c r="E19" s="67" t="s">
        <v>151</v>
      </c>
    </row>
    <row r="20" spans="2:5">
      <c r="C20" s="147">
        <v>6</v>
      </c>
      <c r="D20" s="78" t="s">
        <v>155</v>
      </c>
      <c r="E20" s="67" t="s">
        <v>168</v>
      </c>
    </row>
    <row r="21" spans="2:5" ht="14.25" thickBot="1">
      <c r="C21" s="150"/>
      <c r="D21" s="79"/>
      <c r="E21" s="5"/>
    </row>
    <row r="24" spans="2:5" ht="14.25" thickBot="1">
      <c r="B24" s="142" t="s">
        <v>143</v>
      </c>
    </row>
    <row r="25" spans="2:5" ht="14.25" thickBot="1">
      <c r="C25" s="149" t="s">
        <v>132</v>
      </c>
      <c r="D25" s="76" t="s">
        <v>133</v>
      </c>
      <c r="E25" s="69" t="s">
        <v>134</v>
      </c>
    </row>
    <row r="26" spans="2:5" ht="30.75" customHeight="1" thickTop="1">
      <c r="C26" s="146">
        <v>0</v>
      </c>
      <c r="D26" s="77" t="s">
        <v>144</v>
      </c>
      <c r="E26" s="151" t="s">
        <v>152</v>
      </c>
    </row>
    <row r="27" spans="2:5" ht="120" customHeight="1">
      <c r="C27" s="147">
        <v>1</v>
      </c>
      <c r="D27" s="78" t="s">
        <v>170</v>
      </c>
      <c r="E27" s="80" t="s">
        <v>172</v>
      </c>
    </row>
    <row r="28" spans="2:5" ht="81" customHeight="1">
      <c r="C28" s="147">
        <v>2</v>
      </c>
      <c r="D28" s="78" t="s">
        <v>167</v>
      </c>
      <c r="E28" s="80" t="s">
        <v>177</v>
      </c>
    </row>
    <row r="29" spans="2:5" ht="45" customHeight="1">
      <c r="C29" s="147">
        <v>3</v>
      </c>
      <c r="D29" s="78" t="s">
        <v>150</v>
      </c>
      <c r="E29" s="80" t="s">
        <v>153</v>
      </c>
    </row>
    <row r="30" spans="2:5" ht="16.5" customHeight="1">
      <c r="C30" s="147">
        <v>4</v>
      </c>
      <c r="D30" s="78" t="s">
        <v>145</v>
      </c>
      <c r="E30" s="67" t="s">
        <v>158</v>
      </c>
    </row>
    <row r="31" spans="2:5" ht="16.5" customHeight="1">
      <c r="C31" s="147">
        <v>5</v>
      </c>
      <c r="D31" s="78" t="s">
        <v>146</v>
      </c>
      <c r="E31" s="67" t="s">
        <v>154</v>
      </c>
    </row>
    <row r="32" spans="2:5">
      <c r="C32" s="147"/>
      <c r="D32" s="78"/>
      <c r="E32" s="67"/>
    </row>
    <row r="33" spans="2:5">
      <c r="C33" s="147"/>
      <c r="D33" s="78"/>
      <c r="E33" s="67"/>
    </row>
    <row r="34" spans="2:5" ht="14.25" thickBot="1">
      <c r="C34" s="150"/>
      <c r="D34" s="79"/>
      <c r="E34" s="5"/>
    </row>
    <row r="37" spans="2:5" ht="14.25" thickBot="1">
      <c r="B37" s="142" t="s">
        <v>164</v>
      </c>
    </row>
    <row r="38" spans="2:5">
      <c r="C38" s="282"/>
      <c r="D38" s="283"/>
      <c r="E38" s="104" t="s">
        <v>118</v>
      </c>
    </row>
    <row r="39" spans="2:5" ht="14.25" thickBot="1">
      <c r="C39" s="284"/>
      <c r="D39" s="285"/>
      <c r="E39" s="5" t="s">
        <v>119</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1" t="s">
        <v>19</v>
      </c>
      <c r="C2" s="312"/>
      <c r="D2" s="299" t="s">
        <v>337</v>
      </c>
      <c r="E2" s="300"/>
      <c r="F2" s="300"/>
      <c r="G2" s="300"/>
      <c r="H2" s="301"/>
    </row>
    <row r="3" spans="2:14">
      <c r="B3" s="286" t="s">
        <v>116</v>
      </c>
      <c r="C3" s="287"/>
      <c r="D3" s="302" t="s">
        <v>336</v>
      </c>
      <c r="E3" s="303"/>
      <c r="F3" s="303"/>
      <c r="G3" s="303"/>
      <c r="H3" s="304"/>
    </row>
    <row r="4" spans="2:14" ht="14.25" thickBot="1">
      <c r="B4" s="297" t="s">
        <v>18</v>
      </c>
      <c r="C4" s="298"/>
      <c r="D4" s="305" t="str">
        <f ca="1">表紙!D3&amp;".c"</f>
        <v>alert_H_SOCLOW-CSTD-0-00-B-C0.c</v>
      </c>
      <c r="E4" s="306"/>
      <c r="F4" s="306"/>
      <c r="G4" s="306"/>
      <c r="H4" s="30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1" t="s">
        <v>37</v>
      </c>
      <c r="C6" s="312"/>
      <c r="D6" s="308" t="str">
        <f ca="1">MID(D4, LEN("alert_") + 1, FIND("-",D4,1) - LEN("alert_") - 1)</f>
        <v>H_SOCLOW</v>
      </c>
      <c r="E6" s="309"/>
      <c r="F6" s="309"/>
      <c r="G6" s="309"/>
      <c r="H6" s="310"/>
    </row>
    <row r="7" spans="2:14">
      <c r="B7" s="286" t="s">
        <v>38</v>
      </c>
      <c r="C7" s="287"/>
      <c r="D7" s="288">
        <f>COUNTA($D$13:$D$37)</f>
        <v>2</v>
      </c>
      <c r="E7" s="289"/>
      <c r="F7" s="289"/>
      <c r="G7" s="289"/>
      <c r="H7" s="290"/>
    </row>
    <row r="8" spans="2:14">
      <c r="B8" s="286" t="s">
        <v>95</v>
      </c>
      <c r="C8" s="287"/>
      <c r="D8" s="288" t="str">
        <f ca="1">"st_gp_ALERT_"&amp;UPPER(D6)&amp;"_MTRX"</f>
        <v>st_gp_ALERT_H_SOCLOW_MTRX</v>
      </c>
      <c r="E8" s="289"/>
      <c r="F8" s="289"/>
      <c r="G8" s="289"/>
      <c r="H8" s="290"/>
    </row>
    <row r="9" spans="2:14">
      <c r="B9" s="286" t="s">
        <v>39</v>
      </c>
      <c r="C9" s="287"/>
      <c r="D9" s="291" t="s">
        <v>217</v>
      </c>
      <c r="E9" s="292"/>
      <c r="F9" s="292"/>
      <c r="G9" s="292"/>
      <c r="H9" s="293"/>
    </row>
    <row r="10" spans="2:14" ht="14.25" thickBot="1">
      <c r="B10" s="297" t="s">
        <v>45</v>
      </c>
      <c r="C10" s="298"/>
      <c r="D10" s="294"/>
      <c r="E10" s="295"/>
      <c r="F10" s="295"/>
      <c r="G10" s="295"/>
      <c r="H10" s="296"/>
    </row>
    <row r="11" spans="2:14" ht="14.25" thickBot="1"/>
    <row r="12" spans="2:14" ht="14.25" thickBot="1">
      <c r="B12" s="133" t="s">
        <v>35</v>
      </c>
      <c r="C12" s="94" t="s">
        <v>44</v>
      </c>
      <c r="D12" s="95" t="s">
        <v>36</v>
      </c>
      <c r="E12" s="95" t="s">
        <v>40</v>
      </c>
      <c r="F12" s="95" t="s">
        <v>41</v>
      </c>
      <c r="G12" s="95" t="s">
        <v>42</v>
      </c>
      <c r="H12" s="96" t="s">
        <v>43</v>
      </c>
      <c r="I12" s="138" t="s">
        <v>52</v>
      </c>
      <c r="K12" s="38" t="s">
        <v>46</v>
      </c>
      <c r="L12" s="38" t="s">
        <v>39</v>
      </c>
      <c r="M12" t="s">
        <v>88</v>
      </c>
    </row>
    <row r="13" spans="2:14" ht="14.25" thickTop="1">
      <c r="B13" s="97">
        <v>1</v>
      </c>
      <c r="C13" s="102" t="s">
        <v>247</v>
      </c>
      <c r="D13" s="103" t="s">
        <v>49</v>
      </c>
      <c r="E13" s="103" t="s">
        <v>163</v>
      </c>
      <c r="F13" s="44" t="str">
        <f t="shared" ref="F13:F37" ca="1" si="0">IF($D13&lt;&gt;"","u4_s_Alert"&amp;UPPER(LEFT($D$6,1))&amp;LOWER(MID($D$6,2,100))&amp;IF($D$7=1,"",N13)&amp;"Srcchk","")</f>
        <v>u4_s_AlertH_soclowTtPdSrcchk</v>
      </c>
      <c r="G13" s="44" t="str">
        <f t="shared" ref="G13:G37" si="1">IF($D13&lt;&gt;"",IF($E13="○","vd_s_Alert"&amp;UPPER(LEFT($D$6,1))&amp;LOWER(MID($D$6,2,100))&amp;IF($D$7=1,"",N13)&amp;"RwTx","NULL"),"")</f>
        <v>NULL</v>
      </c>
      <c r="H13" s="101" t="str">
        <f ca="1">IF($D13&lt;&gt;"","ALERT_CH_"&amp;UPPER($D$6)&amp;IF($D$7=1,"","_"&amp;UPPER($C13)),"")</f>
        <v>ALERT_CH_H_SOCLOW_TT_PD</v>
      </c>
      <c r="I13" s="139" t="str">
        <f ca="1">IF($D13&lt;&gt;"","ALERT_REQ_"&amp;UPPER($D$6)&amp;IF($D$7=1,"","_"&amp;UPPER($C13)),"")</f>
        <v>ALERT_REQ_H_SOCLOW_TT_PD</v>
      </c>
      <c r="K13" t="s">
        <v>47</v>
      </c>
      <c r="L13" t="s">
        <v>51</v>
      </c>
      <c r="M13">
        <f t="shared" ref="M13:M37" si="2">FIND("_",C13,1)</f>
        <v>3</v>
      </c>
      <c r="N13" t="str">
        <f t="shared" ref="N13:N37" si="3">IF(IFERROR(M13,0),UPPER(LEFT(C13,1))&amp;LOWER(MID(C13,2,M13-2))&amp;UPPER(MID(C13,M13+1,1))&amp;LOWER(MID(C13,M13+2,100)),UPPER(LEFT(C13,1))&amp;LOWER(MID(C13,2,100)))</f>
        <v>TtPd</v>
      </c>
    </row>
    <row r="14" spans="2:14">
      <c r="B14" s="87">
        <v>2</v>
      </c>
      <c r="C14" s="136" t="s">
        <v>248</v>
      </c>
      <c r="D14" s="137" t="s">
        <v>49</v>
      </c>
      <c r="E14" s="137" t="s">
        <v>163</v>
      </c>
      <c r="F14" s="39" t="str">
        <f t="shared" ca="1" si="0"/>
        <v>u4_s_AlertH_soclowBcSrcchk</v>
      </c>
      <c r="G14" s="39" t="str">
        <f t="shared" si="1"/>
        <v>NULL</v>
      </c>
      <c r="H14" s="60" t="str">
        <f t="shared" ref="H14:H37" ca="1" si="4">IF($D14&lt;&gt;"","ALERT_CH_"&amp;UPPER($D$6)&amp;IF($D$7=1,"","_"&amp;UPPER($C14)),"")</f>
        <v>ALERT_CH_H_SOCLOW_BC</v>
      </c>
      <c r="I14" s="140" t="str">
        <f t="shared" ref="I14:I37" ca="1" si="5">IF($D14&lt;&gt;"","ALERT_REQ_"&amp;UPPER($D$6)&amp;IF($D$7=1,"","_"&amp;UPPER($C14)),"")</f>
        <v>ALERT_REQ_H_SOCLOW_BC</v>
      </c>
      <c r="K14" t="s">
        <v>48</v>
      </c>
      <c r="L14" t="str">
        <f ca="1">"vd_g_Alert"&amp;UPPER(LEFT(D6,1))&amp;LOWER(MID(D6,2,100))&amp;"Init"</f>
        <v>vd_g_AlertH_soclowInit</v>
      </c>
      <c r="M14" t="e">
        <f t="shared" si="2"/>
        <v>#VALUE!</v>
      </c>
      <c r="N14" t="str">
        <f t="shared" si="3"/>
        <v>Bc</v>
      </c>
    </row>
    <row r="15" spans="2:14">
      <c r="B15" s="87">
        <v>3</v>
      </c>
      <c r="C15" s="136"/>
      <c r="D15" s="137"/>
      <c r="E15" s="137"/>
      <c r="F15" s="39" t="str">
        <f t="shared" si="0"/>
        <v/>
      </c>
      <c r="G15" s="39" t="str">
        <f t="shared" si="1"/>
        <v/>
      </c>
      <c r="H15" s="60" t="str">
        <f t="shared" si="4"/>
        <v/>
      </c>
      <c r="I15" s="140" t="str">
        <f t="shared" si="5"/>
        <v/>
      </c>
      <c r="K15" t="s">
        <v>120</v>
      </c>
      <c r="M15" t="e">
        <f t="shared" si="2"/>
        <v>#VALUE!</v>
      </c>
      <c r="N15" t="str">
        <f t="shared" si="3"/>
        <v/>
      </c>
    </row>
    <row r="16" spans="2:14">
      <c r="B16" s="87">
        <v>4</v>
      </c>
      <c r="C16" s="136"/>
      <c r="D16" s="137"/>
      <c r="E16" s="137"/>
      <c r="F16" s="39" t="str">
        <f t="shared" si="0"/>
        <v/>
      </c>
      <c r="G16" s="39" t="str">
        <f t="shared" si="1"/>
        <v/>
      </c>
      <c r="H16" s="60" t="str">
        <f t="shared" si="4"/>
        <v/>
      </c>
      <c r="I16" s="140" t="str">
        <f t="shared" si="5"/>
        <v/>
      </c>
      <c r="K16" t="s">
        <v>121</v>
      </c>
      <c r="M16" t="e">
        <f t="shared" si="2"/>
        <v>#VALUE!</v>
      </c>
      <c r="N16" t="str">
        <f t="shared" si="3"/>
        <v/>
      </c>
    </row>
    <row r="17" spans="2:14">
      <c r="B17" s="87">
        <v>5</v>
      </c>
      <c r="C17" s="136"/>
      <c r="D17" s="137"/>
      <c r="E17" s="137"/>
      <c r="F17" s="39" t="str">
        <f t="shared" si="0"/>
        <v/>
      </c>
      <c r="G17" s="39" t="str">
        <f t="shared" si="1"/>
        <v/>
      </c>
      <c r="H17" s="60" t="str">
        <f t="shared" si="4"/>
        <v/>
      </c>
      <c r="I17" s="140" t="str">
        <f t="shared" si="5"/>
        <v/>
      </c>
      <c r="K17" t="s">
        <v>49</v>
      </c>
      <c r="M17" t="e">
        <f t="shared" si="2"/>
        <v>#VALUE!</v>
      </c>
      <c r="N17" t="str">
        <f t="shared" si="3"/>
        <v/>
      </c>
    </row>
    <row r="18" spans="2:14">
      <c r="B18" s="87">
        <v>6</v>
      </c>
      <c r="C18" s="136"/>
      <c r="D18" s="137"/>
      <c r="E18" s="137"/>
      <c r="F18" s="39" t="str">
        <f t="shared" si="0"/>
        <v/>
      </c>
      <c r="G18" s="39" t="str">
        <f t="shared" si="1"/>
        <v/>
      </c>
      <c r="H18" s="60" t="str">
        <f t="shared" si="4"/>
        <v/>
      </c>
      <c r="I18" s="140" t="str">
        <f t="shared" si="5"/>
        <v/>
      </c>
      <c r="K18" t="s">
        <v>50</v>
      </c>
      <c r="M18" t="e">
        <f t="shared" si="2"/>
        <v>#VALUE!</v>
      </c>
      <c r="N18" t="str">
        <f t="shared" si="3"/>
        <v/>
      </c>
    </row>
    <row r="19" spans="2:14">
      <c r="B19" s="87">
        <v>7</v>
      </c>
      <c r="C19" s="136"/>
      <c r="D19" s="137"/>
      <c r="E19" s="137"/>
      <c r="F19" s="39" t="str">
        <f t="shared" si="0"/>
        <v/>
      </c>
      <c r="G19" s="39" t="str">
        <f t="shared" si="1"/>
        <v/>
      </c>
      <c r="H19" s="60" t="str">
        <f t="shared" si="4"/>
        <v/>
      </c>
      <c r="I19" s="140" t="str">
        <f t="shared" si="5"/>
        <v/>
      </c>
      <c r="K19" t="s">
        <v>50</v>
      </c>
      <c r="M19" t="e">
        <f t="shared" si="2"/>
        <v>#VALUE!</v>
      </c>
      <c r="N19" t="str">
        <f t="shared" si="3"/>
        <v/>
      </c>
    </row>
    <row r="20" spans="2:14">
      <c r="B20" s="87">
        <v>8</v>
      </c>
      <c r="C20" s="136"/>
      <c r="D20" s="137"/>
      <c r="E20" s="137"/>
      <c r="F20" s="39" t="str">
        <f t="shared" si="0"/>
        <v/>
      </c>
      <c r="G20" s="39" t="str">
        <f t="shared" si="1"/>
        <v/>
      </c>
      <c r="H20" s="60" t="str">
        <f t="shared" si="4"/>
        <v/>
      </c>
      <c r="I20" s="140" t="str">
        <f t="shared" si="5"/>
        <v/>
      </c>
      <c r="K20" t="s">
        <v>50</v>
      </c>
      <c r="M20" t="e">
        <f t="shared" si="2"/>
        <v>#VALUE!</v>
      </c>
      <c r="N20" t="str">
        <f t="shared" si="3"/>
        <v/>
      </c>
    </row>
    <row r="21" spans="2:14">
      <c r="B21" s="87">
        <v>9</v>
      </c>
      <c r="C21" s="136"/>
      <c r="D21" s="137"/>
      <c r="E21" s="137"/>
      <c r="F21" s="39" t="str">
        <f t="shared" si="0"/>
        <v/>
      </c>
      <c r="G21" s="39" t="str">
        <f t="shared" si="1"/>
        <v/>
      </c>
      <c r="H21" s="60" t="str">
        <f t="shared" si="4"/>
        <v/>
      </c>
      <c r="I21" s="140" t="str">
        <f t="shared" si="5"/>
        <v/>
      </c>
      <c r="K21" t="s">
        <v>50</v>
      </c>
      <c r="M21" t="e">
        <f t="shared" si="2"/>
        <v>#VALUE!</v>
      </c>
      <c r="N21" t="str">
        <f t="shared" si="3"/>
        <v/>
      </c>
    </row>
    <row r="22" spans="2:14">
      <c r="B22" s="87">
        <v>10</v>
      </c>
      <c r="C22" s="136"/>
      <c r="D22" s="137"/>
      <c r="E22" s="137"/>
      <c r="F22" s="39" t="str">
        <f t="shared" si="0"/>
        <v/>
      </c>
      <c r="G22" s="39" t="str">
        <f t="shared" si="1"/>
        <v/>
      </c>
      <c r="H22" s="60" t="str">
        <f t="shared" si="4"/>
        <v/>
      </c>
      <c r="I22" s="140" t="str">
        <f t="shared" si="5"/>
        <v/>
      </c>
      <c r="K22" t="s">
        <v>50</v>
      </c>
      <c r="M22" t="e">
        <f t="shared" si="2"/>
        <v>#VALUE!</v>
      </c>
      <c r="N22" t="str">
        <f t="shared" si="3"/>
        <v/>
      </c>
    </row>
    <row r="23" spans="2:14">
      <c r="B23" s="87">
        <v>11</v>
      </c>
      <c r="C23" s="136"/>
      <c r="D23" s="137"/>
      <c r="E23" s="137"/>
      <c r="F23" s="39" t="str">
        <f t="shared" si="0"/>
        <v/>
      </c>
      <c r="G23" s="39" t="str">
        <f t="shared" si="1"/>
        <v/>
      </c>
      <c r="H23" s="60" t="str">
        <f t="shared" si="4"/>
        <v/>
      </c>
      <c r="I23" s="140" t="str">
        <f t="shared" si="5"/>
        <v/>
      </c>
      <c r="K23" t="s">
        <v>50</v>
      </c>
      <c r="M23" t="e">
        <f t="shared" si="2"/>
        <v>#VALUE!</v>
      </c>
      <c r="N23" t="str">
        <f t="shared" si="3"/>
        <v/>
      </c>
    </row>
    <row r="24" spans="2:14">
      <c r="B24" s="87">
        <v>12</v>
      </c>
      <c r="C24" s="136"/>
      <c r="D24" s="137"/>
      <c r="E24" s="137"/>
      <c r="F24" s="39" t="str">
        <f t="shared" si="0"/>
        <v/>
      </c>
      <c r="G24" s="39" t="str">
        <f t="shared" si="1"/>
        <v/>
      </c>
      <c r="H24" s="60" t="str">
        <f t="shared" si="4"/>
        <v/>
      </c>
      <c r="I24" s="140" t="str">
        <f t="shared" si="5"/>
        <v/>
      </c>
      <c r="K24" t="s">
        <v>50</v>
      </c>
      <c r="M24" t="e">
        <f t="shared" si="2"/>
        <v>#VALUE!</v>
      </c>
      <c r="N24" t="str">
        <f t="shared" si="3"/>
        <v/>
      </c>
    </row>
    <row r="25" spans="2:14">
      <c r="B25" s="87">
        <v>13</v>
      </c>
      <c r="C25" s="136"/>
      <c r="D25" s="137"/>
      <c r="E25" s="137"/>
      <c r="F25" s="39" t="str">
        <f t="shared" si="0"/>
        <v/>
      </c>
      <c r="G25" s="39" t="str">
        <f t="shared" si="1"/>
        <v/>
      </c>
      <c r="H25" s="60" t="str">
        <f t="shared" si="4"/>
        <v/>
      </c>
      <c r="I25" s="140" t="str">
        <f t="shared" si="5"/>
        <v/>
      </c>
      <c r="K25" t="s">
        <v>50</v>
      </c>
      <c r="M25" t="e">
        <f t="shared" si="2"/>
        <v>#VALUE!</v>
      </c>
      <c r="N25" t="str">
        <f t="shared" si="3"/>
        <v/>
      </c>
    </row>
    <row r="26" spans="2:14">
      <c r="B26" s="87">
        <v>14</v>
      </c>
      <c r="C26" s="136"/>
      <c r="D26" s="137"/>
      <c r="E26" s="137"/>
      <c r="F26" s="39" t="str">
        <f t="shared" si="0"/>
        <v/>
      </c>
      <c r="G26" s="39" t="str">
        <f t="shared" si="1"/>
        <v/>
      </c>
      <c r="H26" s="60" t="str">
        <f t="shared" si="4"/>
        <v/>
      </c>
      <c r="I26" s="140" t="str">
        <f t="shared" si="5"/>
        <v/>
      </c>
      <c r="K26" t="s">
        <v>50</v>
      </c>
      <c r="M26" t="e">
        <f t="shared" si="2"/>
        <v>#VALUE!</v>
      </c>
      <c r="N26" t="str">
        <f t="shared" si="3"/>
        <v/>
      </c>
    </row>
    <row r="27" spans="2:14">
      <c r="B27" s="87">
        <v>15</v>
      </c>
      <c r="C27" s="136"/>
      <c r="D27" s="137"/>
      <c r="E27" s="137"/>
      <c r="F27" s="39" t="str">
        <f t="shared" si="0"/>
        <v/>
      </c>
      <c r="G27" s="39" t="str">
        <f t="shared" si="1"/>
        <v/>
      </c>
      <c r="H27" s="60" t="str">
        <f t="shared" si="4"/>
        <v/>
      </c>
      <c r="I27" s="140" t="str">
        <f t="shared" si="5"/>
        <v/>
      </c>
      <c r="K27" t="s">
        <v>50</v>
      </c>
      <c r="M27" t="e">
        <f t="shared" si="2"/>
        <v>#VALUE!</v>
      </c>
      <c r="N27" t="str">
        <f t="shared" si="3"/>
        <v/>
      </c>
    </row>
    <row r="28" spans="2:14">
      <c r="B28" s="87">
        <v>16</v>
      </c>
      <c r="C28" s="136"/>
      <c r="D28" s="137"/>
      <c r="E28" s="137"/>
      <c r="F28" s="39" t="str">
        <f t="shared" si="0"/>
        <v/>
      </c>
      <c r="G28" s="39" t="str">
        <f t="shared" si="1"/>
        <v/>
      </c>
      <c r="H28" s="60" t="str">
        <f t="shared" si="4"/>
        <v/>
      </c>
      <c r="I28" s="140" t="str">
        <f t="shared" si="5"/>
        <v/>
      </c>
      <c r="K28" t="s">
        <v>50</v>
      </c>
      <c r="M28" t="e">
        <f t="shared" si="2"/>
        <v>#VALUE!</v>
      </c>
      <c r="N28" t="str">
        <f t="shared" si="3"/>
        <v/>
      </c>
    </row>
    <row r="29" spans="2:14">
      <c r="B29" s="87">
        <v>17</v>
      </c>
      <c r="C29" s="136"/>
      <c r="D29" s="137"/>
      <c r="E29" s="137"/>
      <c r="F29" s="39" t="str">
        <f t="shared" si="0"/>
        <v/>
      </c>
      <c r="G29" s="39" t="str">
        <f t="shared" si="1"/>
        <v/>
      </c>
      <c r="H29" s="60" t="str">
        <f t="shared" si="4"/>
        <v/>
      </c>
      <c r="I29" s="140" t="str">
        <f t="shared" si="5"/>
        <v/>
      </c>
      <c r="K29" t="s">
        <v>50</v>
      </c>
      <c r="M29" t="e">
        <f t="shared" si="2"/>
        <v>#VALUE!</v>
      </c>
      <c r="N29" t="str">
        <f t="shared" si="3"/>
        <v/>
      </c>
    </row>
    <row r="30" spans="2:14">
      <c r="B30" s="87">
        <v>18</v>
      </c>
      <c r="C30" s="136"/>
      <c r="D30" s="137"/>
      <c r="E30" s="137"/>
      <c r="F30" s="39" t="str">
        <f t="shared" si="0"/>
        <v/>
      </c>
      <c r="G30" s="39" t="str">
        <f t="shared" si="1"/>
        <v/>
      </c>
      <c r="H30" s="60" t="str">
        <f t="shared" si="4"/>
        <v/>
      </c>
      <c r="I30" s="140" t="str">
        <f t="shared" si="5"/>
        <v/>
      </c>
      <c r="K30" t="s">
        <v>50</v>
      </c>
      <c r="M30" t="e">
        <f t="shared" si="2"/>
        <v>#VALUE!</v>
      </c>
      <c r="N30" t="str">
        <f t="shared" si="3"/>
        <v/>
      </c>
    </row>
    <row r="31" spans="2:14">
      <c r="B31" s="87">
        <v>19</v>
      </c>
      <c r="C31" s="136"/>
      <c r="D31" s="137"/>
      <c r="E31" s="137"/>
      <c r="F31" s="39" t="str">
        <f t="shared" si="0"/>
        <v/>
      </c>
      <c r="G31" s="39" t="str">
        <f t="shared" si="1"/>
        <v/>
      </c>
      <c r="H31" s="60" t="str">
        <f t="shared" si="4"/>
        <v/>
      </c>
      <c r="I31" s="140" t="str">
        <f t="shared" si="5"/>
        <v/>
      </c>
      <c r="K31" t="s">
        <v>50</v>
      </c>
      <c r="M31" t="e">
        <f t="shared" si="2"/>
        <v>#VALUE!</v>
      </c>
      <c r="N31" t="str">
        <f t="shared" si="3"/>
        <v/>
      </c>
    </row>
    <row r="32" spans="2:14">
      <c r="B32" s="87">
        <v>20</v>
      </c>
      <c r="C32" s="136"/>
      <c r="D32" s="137"/>
      <c r="E32" s="137"/>
      <c r="F32" s="39" t="str">
        <f t="shared" si="0"/>
        <v/>
      </c>
      <c r="G32" s="39" t="str">
        <f t="shared" si="1"/>
        <v/>
      </c>
      <c r="H32" s="60" t="str">
        <f t="shared" si="4"/>
        <v/>
      </c>
      <c r="I32" s="140" t="str">
        <f t="shared" si="5"/>
        <v/>
      </c>
      <c r="K32" t="s">
        <v>50</v>
      </c>
      <c r="M32" t="e">
        <f t="shared" si="2"/>
        <v>#VALUE!</v>
      </c>
      <c r="N32" t="str">
        <f t="shared" si="3"/>
        <v/>
      </c>
    </row>
    <row r="33" spans="2:14">
      <c r="B33" s="87">
        <v>21</v>
      </c>
      <c r="C33" s="136"/>
      <c r="D33" s="137"/>
      <c r="E33" s="137"/>
      <c r="F33" s="39" t="str">
        <f t="shared" si="0"/>
        <v/>
      </c>
      <c r="G33" s="39" t="str">
        <f t="shared" si="1"/>
        <v/>
      </c>
      <c r="H33" s="60" t="str">
        <f t="shared" si="4"/>
        <v/>
      </c>
      <c r="I33" s="140" t="str">
        <f t="shared" si="5"/>
        <v/>
      </c>
      <c r="K33" t="s">
        <v>50</v>
      </c>
      <c r="M33" t="e">
        <f t="shared" si="2"/>
        <v>#VALUE!</v>
      </c>
      <c r="N33" t="str">
        <f t="shared" si="3"/>
        <v/>
      </c>
    </row>
    <row r="34" spans="2:14">
      <c r="B34" s="87">
        <v>22</v>
      </c>
      <c r="C34" s="136"/>
      <c r="D34" s="137"/>
      <c r="E34" s="137"/>
      <c r="F34" s="39" t="str">
        <f t="shared" si="0"/>
        <v/>
      </c>
      <c r="G34" s="39" t="str">
        <f t="shared" si="1"/>
        <v/>
      </c>
      <c r="H34" s="60" t="str">
        <f t="shared" si="4"/>
        <v/>
      </c>
      <c r="I34" s="140" t="str">
        <f t="shared" si="5"/>
        <v/>
      </c>
      <c r="K34" t="s">
        <v>50</v>
      </c>
      <c r="M34" t="e">
        <f t="shared" si="2"/>
        <v>#VALUE!</v>
      </c>
      <c r="N34" t="str">
        <f t="shared" si="3"/>
        <v/>
      </c>
    </row>
    <row r="35" spans="2:14">
      <c r="B35" s="87">
        <v>23</v>
      </c>
      <c r="C35" s="136"/>
      <c r="D35" s="137"/>
      <c r="E35" s="137"/>
      <c r="F35" s="39" t="str">
        <f t="shared" si="0"/>
        <v/>
      </c>
      <c r="G35" s="39" t="str">
        <f t="shared" si="1"/>
        <v/>
      </c>
      <c r="H35" s="60" t="str">
        <f t="shared" si="4"/>
        <v/>
      </c>
      <c r="I35" s="140" t="str">
        <f t="shared" si="5"/>
        <v/>
      </c>
      <c r="K35" t="s">
        <v>50</v>
      </c>
      <c r="M35" t="e">
        <f t="shared" si="2"/>
        <v>#VALUE!</v>
      </c>
      <c r="N35" t="str">
        <f t="shared" si="3"/>
        <v/>
      </c>
    </row>
    <row r="36" spans="2:14">
      <c r="B36" s="87">
        <v>24</v>
      </c>
      <c r="C36" s="136"/>
      <c r="D36" s="137"/>
      <c r="E36" s="137"/>
      <c r="F36" s="39" t="str">
        <f t="shared" si="0"/>
        <v/>
      </c>
      <c r="G36" s="39" t="str">
        <f t="shared" si="1"/>
        <v/>
      </c>
      <c r="H36" s="60" t="str">
        <f t="shared" si="4"/>
        <v/>
      </c>
      <c r="I36" s="140" t="str">
        <f t="shared" si="5"/>
        <v/>
      </c>
      <c r="K36" t="s">
        <v>50</v>
      </c>
      <c r="M36" t="e">
        <f t="shared" si="2"/>
        <v>#VALUE!</v>
      </c>
      <c r="N36" t="str">
        <f t="shared" si="3"/>
        <v/>
      </c>
    </row>
    <row r="37" spans="2:14" ht="14.25" thickBot="1">
      <c r="B37" s="88">
        <v>25</v>
      </c>
      <c r="C37" s="134"/>
      <c r="D37" s="135"/>
      <c r="E37" s="135"/>
      <c r="F37" s="47" t="str">
        <f t="shared" si="0"/>
        <v/>
      </c>
      <c r="G37" s="47" t="str">
        <f t="shared" si="1"/>
        <v/>
      </c>
      <c r="H37" s="61" t="str">
        <f t="shared" si="4"/>
        <v/>
      </c>
      <c r="I37" s="141"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7" priority="4">
      <formula>14&lt;LEN($D$6)+LEN($C13)</formula>
    </cfRule>
  </conditionalFormatting>
  <conditionalFormatting sqref="D5">
    <cfRule type="containsText" dxfId="16" priority="1" operator="containsText" text="NG">
      <formula>NOT(ISERROR(SEARCH("NG",D5)))</formula>
    </cfRule>
  </conditionalFormatting>
  <conditionalFormatting sqref="D6">
    <cfRule type="expression" dxfId="15"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189</v>
      </c>
      <c r="O2" t="s">
        <v>191</v>
      </c>
    </row>
    <row r="3" spans="2:18" ht="14.25" thickBot="1">
      <c r="B3" s="133" t="s">
        <v>35</v>
      </c>
      <c r="C3" s="95" t="s">
        <v>179</v>
      </c>
      <c r="D3" s="95" t="s">
        <v>185</v>
      </c>
      <c r="E3" s="96" t="s">
        <v>186</v>
      </c>
      <c r="F3" s="176" t="s">
        <v>181</v>
      </c>
      <c r="G3" s="173" t="s">
        <v>194</v>
      </c>
      <c r="H3" s="38"/>
      <c r="I3" s="38"/>
      <c r="J3" s="38"/>
      <c r="K3" s="38"/>
      <c r="L3" s="38"/>
      <c r="M3" s="38"/>
      <c r="O3" s="133" t="s">
        <v>35</v>
      </c>
      <c r="P3" s="172" t="s">
        <v>175</v>
      </c>
      <c r="Q3" s="172" t="s">
        <v>188</v>
      </c>
      <c r="R3" s="173" t="s">
        <v>181</v>
      </c>
    </row>
    <row r="4" spans="2:18" ht="14.25" hidden="1" thickTop="1">
      <c r="B4" s="164">
        <v>0</v>
      </c>
      <c r="C4" s="165" t="s">
        <v>165</v>
      </c>
      <c r="D4" s="165"/>
      <c r="E4" s="166"/>
      <c r="F4" s="177"/>
      <c r="G4" s="178"/>
      <c r="H4" s="38"/>
      <c r="I4" s="38"/>
      <c r="J4" s="38"/>
      <c r="K4" s="38"/>
      <c r="L4" s="38"/>
      <c r="M4" s="38"/>
      <c r="O4" s="174">
        <v>0</v>
      </c>
      <c r="P4" s="171" t="s">
        <v>165</v>
      </c>
      <c r="Q4" s="171" t="s">
        <v>165</v>
      </c>
      <c r="R4" s="130"/>
    </row>
    <row r="5" spans="2:18" ht="14.25" thickTop="1">
      <c r="B5" s="167">
        <v>1</v>
      </c>
      <c r="C5" s="137"/>
      <c r="D5" s="22"/>
      <c r="E5" s="60" t="str">
        <f>IF($C5&lt;&gt;"","ALERT_" &amp; D5 &amp; "_ID_"&amp;UPPER(Matrix!$D$6) &amp; "_" &amp; $C5,"")</f>
        <v/>
      </c>
      <c r="F5" s="106"/>
      <c r="G5" s="60" t="str">
        <f>IF(E5&lt;&gt;"",LEN(E5),"")</f>
        <v/>
      </c>
      <c r="O5" s="167">
        <v>1</v>
      </c>
      <c r="P5" s="137"/>
      <c r="Q5" s="137"/>
      <c r="R5" s="107"/>
    </row>
    <row r="6" spans="2:18">
      <c r="B6" s="167">
        <v>2</v>
      </c>
      <c r="C6" s="137"/>
      <c r="D6" s="22"/>
      <c r="E6" s="60" t="str">
        <f>IF($C6&lt;&gt;"","ALERT_" &amp; D6 &amp; "_ID_"&amp;UPPER(Matrix!$D$6) &amp; "_" &amp; $C6,"")</f>
        <v/>
      </c>
      <c r="F6" s="106"/>
      <c r="G6" s="60" t="str">
        <f t="shared" ref="G6:G29" si="0">IF(E6&lt;&gt;"",LEN(E6),"")</f>
        <v/>
      </c>
      <c r="O6" s="167">
        <v>2</v>
      </c>
      <c r="P6" s="137"/>
      <c r="Q6" s="137"/>
      <c r="R6" s="107"/>
    </row>
    <row r="7" spans="2:18">
      <c r="B7" s="167">
        <v>3</v>
      </c>
      <c r="C7" s="137"/>
      <c r="D7" s="22"/>
      <c r="E7" s="60" t="str">
        <f>IF($C7&lt;&gt;"","ALERT_" &amp; D7 &amp; "_ID_"&amp;UPPER(Matrix!$D$6) &amp; "_" &amp; $C7,"")</f>
        <v/>
      </c>
      <c r="F7" s="106"/>
      <c r="G7" s="60" t="str">
        <f t="shared" si="0"/>
        <v/>
      </c>
      <c r="O7" s="167">
        <v>3</v>
      </c>
      <c r="P7" s="137"/>
      <c r="Q7" s="137"/>
      <c r="R7" s="107"/>
    </row>
    <row r="8" spans="2:18">
      <c r="B8" s="167">
        <v>4</v>
      </c>
      <c r="C8" s="137"/>
      <c r="D8" s="22"/>
      <c r="E8" s="60" t="str">
        <f>IF($C8&lt;&gt;"","ALERT_" &amp; D8 &amp; "_ID_"&amp;UPPER(Matrix!$D$6) &amp; "_" &amp; $C8,"")</f>
        <v/>
      </c>
      <c r="F8" s="106"/>
      <c r="G8" s="60" t="str">
        <f t="shared" si="0"/>
        <v/>
      </c>
      <c r="O8" s="167">
        <v>4</v>
      </c>
      <c r="P8" s="137"/>
      <c r="Q8" s="137"/>
      <c r="R8" s="107"/>
    </row>
    <row r="9" spans="2:18">
      <c r="B9" s="167">
        <v>5</v>
      </c>
      <c r="C9" s="137"/>
      <c r="D9" s="22"/>
      <c r="E9" s="60" t="str">
        <f>IF($C9&lt;&gt;"","ALERT_" &amp; D9 &amp; "_ID_"&amp;UPPER(Matrix!$D$6) &amp; "_" &amp; $C9,"")</f>
        <v/>
      </c>
      <c r="F9" s="106"/>
      <c r="G9" s="60" t="str">
        <f t="shared" si="0"/>
        <v/>
      </c>
      <c r="O9" s="167">
        <v>5</v>
      </c>
      <c r="P9" s="137"/>
      <c r="Q9" s="137"/>
      <c r="R9" s="107"/>
    </row>
    <row r="10" spans="2:18">
      <c r="B10" s="167">
        <v>6</v>
      </c>
      <c r="C10" s="137"/>
      <c r="D10" s="22"/>
      <c r="E10" s="60" t="str">
        <f>IF($C10&lt;&gt;"","ALERT_" &amp; D10 &amp; "_ID_"&amp;UPPER(Matrix!$D$6) &amp; "_" &amp; $C10,"")</f>
        <v/>
      </c>
      <c r="F10" s="106"/>
      <c r="G10" s="60" t="str">
        <f t="shared" si="0"/>
        <v/>
      </c>
      <c r="O10" s="167">
        <v>6</v>
      </c>
      <c r="P10" s="137"/>
      <c r="Q10" s="137"/>
      <c r="R10" s="107"/>
    </row>
    <row r="11" spans="2:18">
      <c r="B11" s="167">
        <v>7</v>
      </c>
      <c r="C11" s="137"/>
      <c r="D11" s="22"/>
      <c r="E11" s="60" t="str">
        <f>IF($C11&lt;&gt;"","ALERT_" &amp; D11 &amp; "_ID_"&amp;UPPER(Matrix!$D$6) &amp; "_" &amp; $C11,"")</f>
        <v/>
      </c>
      <c r="F11" s="106"/>
      <c r="G11" s="60" t="str">
        <f t="shared" si="0"/>
        <v/>
      </c>
      <c r="O11" s="167">
        <v>7</v>
      </c>
      <c r="P11" s="137"/>
      <c r="Q11" s="137"/>
      <c r="R11" s="107"/>
    </row>
    <row r="12" spans="2:18">
      <c r="B12" s="167">
        <v>8</v>
      </c>
      <c r="C12" s="137"/>
      <c r="D12" s="22"/>
      <c r="E12" s="60" t="str">
        <f>IF($C12&lt;&gt;"","ALERT_" &amp; D12 &amp; "_ID_"&amp;UPPER(Matrix!$D$6) &amp; "_" &amp; $C12,"")</f>
        <v/>
      </c>
      <c r="F12" s="106"/>
      <c r="G12" s="60" t="str">
        <f t="shared" si="0"/>
        <v/>
      </c>
      <c r="O12" s="167">
        <v>8</v>
      </c>
      <c r="P12" s="137"/>
      <c r="Q12" s="137"/>
      <c r="R12" s="107"/>
    </row>
    <row r="13" spans="2:18">
      <c r="B13" s="167">
        <v>9</v>
      </c>
      <c r="C13" s="137"/>
      <c r="D13" s="22"/>
      <c r="E13" s="60" t="str">
        <f>IF($C13&lt;&gt;"","ALERT_" &amp; D13 &amp; "_ID_"&amp;UPPER(Matrix!$D$6) &amp; "_" &amp; $C13,"")</f>
        <v/>
      </c>
      <c r="F13" s="106"/>
      <c r="G13" s="60" t="str">
        <f t="shared" si="0"/>
        <v/>
      </c>
      <c r="O13" s="167">
        <v>9</v>
      </c>
      <c r="P13" s="137"/>
      <c r="Q13" s="137"/>
      <c r="R13" s="107"/>
    </row>
    <row r="14" spans="2:18">
      <c r="B14" s="167">
        <v>10</v>
      </c>
      <c r="C14" s="137"/>
      <c r="D14" s="22"/>
      <c r="E14" s="60" t="str">
        <f>IF($C14&lt;&gt;"","ALERT_" &amp; D14 &amp; "_ID_"&amp;UPPER(Matrix!$D$6) &amp; "_" &amp; $C14,"")</f>
        <v/>
      </c>
      <c r="F14" s="106"/>
      <c r="G14" s="60" t="str">
        <f t="shared" si="0"/>
        <v/>
      </c>
      <c r="O14" s="167">
        <v>10</v>
      </c>
      <c r="P14" s="137"/>
      <c r="Q14" s="137"/>
      <c r="R14" s="107"/>
    </row>
    <row r="15" spans="2:18">
      <c r="B15" s="167">
        <v>11</v>
      </c>
      <c r="C15" s="137"/>
      <c r="D15" s="22"/>
      <c r="E15" s="60" t="str">
        <f>IF($C15&lt;&gt;"","ALERT_" &amp; D15 &amp; "_ID_"&amp;UPPER(Matrix!$D$6) &amp; "_" &amp; $C15,"")</f>
        <v/>
      </c>
      <c r="F15" s="106"/>
      <c r="G15" s="60" t="str">
        <f t="shared" si="0"/>
        <v/>
      </c>
      <c r="O15" s="167">
        <v>11</v>
      </c>
      <c r="P15" s="137"/>
      <c r="Q15" s="137"/>
      <c r="R15" s="107"/>
    </row>
    <row r="16" spans="2:18">
      <c r="B16" s="167">
        <v>12</v>
      </c>
      <c r="C16" s="137"/>
      <c r="D16" s="22"/>
      <c r="E16" s="60" t="str">
        <f>IF($C16&lt;&gt;"","ALERT_" &amp; D16 &amp; "_ID_"&amp;UPPER(Matrix!$D$6) &amp; "_" &amp; $C16,"")</f>
        <v/>
      </c>
      <c r="F16" s="106"/>
      <c r="G16" s="60" t="str">
        <f t="shared" si="0"/>
        <v/>
      </c>
      <c r="O16" s="167">
        <v>12</v>
      </c>
      <c r="P16" s="137"/>
      <c r="Q16" s="137"/>
      <c r="R16" s="107"/>
    </row>
    <row r="17" spans="2:18">
      <c r="B17" s="167">
        <v>13</v>
      </c>
      <c r="C17" s="137"/>
      <c r="D17" s="22"/>
      <c r="E17" s="60" t="str">
        <f>IF($C17&lt;&gt;"","ALERT_" &amp; D17 &amp; "_ID_"&amp;UPPER(Matrix!$D$6) &amp; "_" &amp; $C17,"")</f>
        <v/>
      </c>
      <c r="F17" s="106"/>
      <c r="G17" s="60" t="str">
        <f t="shared" si="0"/>
        <v/>
      </c>
      <c r="O17" s="167">
        <v>13</v>
      </c>
      <c r="P17" s="137"/>
      <c r="Q17" s="137"/>
      <c r="R17" s="107"/>
    </row>
    <row r="18" spans="2:18">
      <c r="B18" s="167">
        <v>14</v>
      </c>
      <c r="C18" s="137"/>
      <c r="D18" s="22"/>
      <c r="E18" s="60" t="str">
        <f>IF($C18&lt;&gt;"","ALERT_" &amp; D18 &amp; "_ID_"&amp;UPPER(Matrix!$D$6) &amp; "_" &amp; $C18,"")</f>
        <v/>
      </c>
      <c r="F18" s="106"/>
      <c r="G18" s="60" t="str">
        <f t="shared" si="0"/>
        <v/>
      </c>
      <c r="O18" s="167">
        <v>14</v>
      </c>
      <c r="P18" s="137"/>
      <c r="Q18" s="137"/>
      <c r="R18" s="107"/>
    </row>
    <row r="19" spans="2:18">
      <c r="B19" s="167">
        <v>15</v>
      </c>
      <c r="C19" s="137"/>
      <c r="D19" s="22"/>
      <c r="E19" s="60" t="str">
        <f>IF($C19&lt;&gt;"","ALERT_" &amp; D19 &amp; "_ID_"&amp;UPPER(Matrix!$D$6) &amp; "_" &amp; $C19,"")</f>
        <v/>
      </c>
      <c r="F19" s="106"/>
      <c r="G19" s="60" t="str">
        <f t="shared" si="0"/>
        <v/>
      </c>
      <c r="O19" s="167">
        <v>15</v>
      </c>
      <c r="P19" s="137"/>
      <c r="Q19" s="137"/>
      <c r="R19" s="107"/>
    </row>
    <row r="20" spans="2:18">
      <c r="B20" s="167">
        <v>16</v>
      </c>
      <c r="C20" s="137"/>
      <c r="D20" s="22"/>
      <c r="E20" s="60" t="str">
        <f>IF($C20&lt;&gt;"","ALERT_" &amp; D20 &amp; "_ID_"&amp;UPPER(Matrix!$D$6) &amp; "_" &amp; $C20,"")</f>
        <v/>
      </c>
      <c r="F20" s="106"/>
      <c r="G20" s="60" t="str">
        <f t="shared" si="0"/>
        <v/>
      </c>
      <c r="O20" s="167">
        <v>16</v>
      </c>
      <c r="P20" s="137"/>
      <c r="Q20" s="137"/>
      <c r="R20" s="107"/>
    </row>
    <row r="21" spans="2:18">
      <c r="B21" s="167">
        <v>17</v>
      </c>
      <c r="C21" s="137"/>
      <c r="D21" s="22"/>
      <c r="E21" s="60" t="str">
        <f>IF($C21&lt;&gt;"","ALERT_" &amp; D21 &amp; "_ID_"&amp;UPPER(Matrix!$D$6) &amp; "_" &amp; $C21,"")</f>
        <v/>
      </c>
      <c r="F21" s="106"/>
      <c r="G21" s="60" t="str">
        <f t="shared" si="0"/>
        <v/>
      </c>
      <c r="O21" s="167">
        <v>17</v>
      </c>
      <c r="P21" s="137"/>
      <c r="Q21" s="137"/>
      <c r="R21" s="107"/>
    </row>
    <row r="22" spans="2:18">
      <c r="B22" s="167">
        <v>18</v>
      </c>
      <c r="C22" s="137"/>
      <c r="D22" s="22"/>
      <c r="E22" s="60" t="str">
        <f>IF($C22&lt;&gt;"","ALERT_" &amp; D22 &amp; "_ID_"&amp;UPPER(Matrix!$D$6) &amp; "_" &amp; $C22,"")</f>
        <v/>
      </c>
      <c r="F22" s="106"/>
      <c r="G22" s="60" t="str">
        <f t="shared" si="0"/>
        <v/>
      </c>
      <c r="O22" s="167">
        <v>18</v>
      </c>
      <c r="P22" s="137"/>
      <c r="Q22" s="137"/>
      <c r="R22" s="107"/>
    </row>
    <row r="23" spans="2:18">
      <c r="B23" s="167">
        <v>19</v>
      </c>
      <c r="C23" s="137"/>
      <c r="D23" s="22"/>
      <c r="E23" s="60" t="str">
        <f>IF($C23&lt;&gt;"","ALERT_" &amp; D23 &amp; "_ID_"&amp;UPPER(Matrix!$D$6) &amp; "_" &amp; $C23,"")</f>
        <v/>
      </c>
      <c r="F23" s="106"/>
      <c r="G23" s="60" t="str">
        <f t="shared" si="0"/>
        <v/>
      </c>
      <c r="O23" s="167">
        <v>19</v>
      </c>
      <c r="P23" s="137"/>
      <c r="Q23" s="137"/>
      <c r="R23" s="107"/>
    </row>
    <row r="24" spans="2:18">
      <c r="B24" s="167">
        <v>20</v>
      </c>
      <c r="C24" s="137"/>
      <c r="D24" s="22"/>
      <c r="E24" s="60" t="str">
        <f>IF($C24&lt;&gt;"","ALERT_" &amp; D24 &amp; "_ID_"&amp;UPPER(Matrix!$D$6) &amp; "_" &amp; $C24,"")</f>
        <v/>
      </c>
      <c r="F24" s="106"/>
      <c r="G24" s="60" t="str">
        <f t="shared" si="0"/>
        <v/>
      </c>
      <c r="O24" s="167">
        <v>20</v>
      </c>
      <c r="P24" s="137"/>
      <c r="Q24" s="137"/>
      <c r="R24" s="107"/>
    </row>
    <row r="25" spans="2:18">
      <c r="B25" s="167">
        <v>21</v>
      </c>
      <c r="C25" s="137"/>
      <c r="D25" s="22"/>
      <c r="E25" s="60" t="str">
        <f>IF($C25&lt;&gt;"","ALERT_" &amp; D25 &amp; "_ID_"&amp;UPPER(Matrix!$D$6) &amp; "_" &amp; $C25,"")</f>
        <v/>
      </c>
      <c r="F25" s="106"/>
      <c r="G25" s="60" t="str">
        <f t="shared" si="0"/>
        <v/>
      </c>
      <c r="O25" s="167">
        <v>21</v>
      </c>
      <c r="P25" s="137"/>
      <c r="Q25" s="137"/>
      <c r="R25" s="107"/>
    </row>
    <row r="26" spans="2:18">
      <c r="B26" s="167">
        <v>22</v>
      </c>
      <c r="C26" s="137"/>
      <c r="D26" s="22"/>
      <c r="E26" s="60" t="str">
        <f>IF($C26&lt;&gt;"","ALERT_" &amp; D26 &amp; "_ID_"&amp;UPPER(Matrix!$D$6) &amp; "_" &amp; $C26,"")</f>
        <v/>
      </c>
      <c r="F26" s="106"/>
      <c r="G26" s="60" t="str">
        <f t="shared" si="0"/>
        <v/>
      </c>
      <c r="O26" s="167">
        <v>22</v>
      </c>
      <c r="P26" s="137"/>
      <c r="Q26" s="137"/>
      <c r="R26" s="107"/>
    </row>
    <row r="27" spans="2:18">
      <c r="B27" s="167">
        <v>23</v>
      </c>
      <c r="C27" s="137"/>
      <c r="D27" s="22"/>
      <c r="E27" s="60" t="str">
        <f>IF($C27&lt;&gt;"","ALERT_" &amp; D27 &amp; "_ID_"&amp;UPPER(Matrix!$D$6) &amp; "_" &amp; $C27,"")</f>
        <v/>
      </c>
      <c r="F27" s="106"/>
      <c r="G27" s="60" t="str">
        <f t="shared" si="0"/>
        <v/>
      </c>
      <c r="O27" s="167">
        <v>23</v>
      </c>
      <c r="P27" s="137"/>
      <c r="Q27" s="137"/>
      <c r="R27" s="107"/>
    </row>
    <row r="28" spans="2:18">
      <c r="B28" s="167">
        <v>24</v>
      </c>
      <c r="C28" s="137"/>
      <c r="D28" s="22"/>
      <c r="E28" s="60" t="str">
        <f>IF($C28&lt;&gt;"","ALERT_" &amp; D28 &amp; "_ID_"&amp;UPPER(Matrix!$D$6) &amp; "_" &amp; $C28,"")</f>
        <v/>
      </c>
      <c r="F28" s="106"/>
      <c r="G28" s="60" t="str">
        <f t="shared" si="0"/>
        <v/>
      </c>
      <c r="O28" s="167">
        <v>24</v>
      </c>
      <c r="P28" s="137"/>
      <c r="Q28" s="137"/>
      <c r="R28" s="107"/>
    </row>
    <row r="29" spans="2:18" ht="14.25" thickBot="1">
      <c r="B29" s="168">
        <v>25</v>
      </c>
      <c r="C29" s="135"/>
      <c r="D29" s="46"/>
      <c r="E29" s="61" t="str">
        <f>IF($C29&lt;&gt;"","ALERT_" &amp; D29 &amp; "_ID_"&amp;UPPER(Matrix!$D$6) &amp; "_" &amp; $C29,"")</f>
        <v/>
      </c>
      <c r="F29" s="108"/>
      <c r="G29" s="61" t="str">
        <f t="shared" si="0"/>
        <v/>
      </c>
      <c r="O29" s="168">
        <v>25</v>
      </c>
      <c r="P29" s="135"/>
      <c r="Q29" s="135"/>
      <c r="R29" s="109"/>
    </row>
    <row r="32" spans="2:18" ht="14.25" thickBot="1">
      <c r="B32" t="s">
        <v>190</v>
      </c>
      <c r="O32" t="s">
        <v>187</v>
      </c>
    </row>
    <row r="33" spans="2:18" ht="14.25" thickBot="1">
      <c r="B33" s="133" t="s">
        <v>35</v>
      </c>
      <c r="C33" s="95" t="s">
        <v>179</v>
      </c>
      <c r="D33" s="95" t="s">
        <v>184</v>
      </c>
      <c r="E33" s="96" t="s">
        <v>182</v>
      </c>
      <c r="F33" s="173" t="s">
        <v>183</v>
      </c>
      <c r="G33" s="173" t="s">
        <v>194</v>
      </c>
      <c r="O33" s="133" t="s">
        <v>35</v>
      </c>
      <c r="P33" s="172" t="s">
        <v>176</v>
      </c>
      <c r="Q33" s="172" t="s">
        <v>192</v>
      </c>
      <c r="R33" s="173" t="s">
        <v>180</v>
      </c>
    </row>
    <row r="34" spans="2:18" ht="14.25" hidden="1" thickTop="1">
      <c r="B34" s="164">
        <v>0</v>
      </c>
      <c r="C34" s="165" t="s">
        <v>165</v>
      </c>
      <c r="D34" s="165"/>
      <c r="E34" s="166"/>
      <c r="F34" s="175" t="s">
        <v>165</v>
      </c>
      <c r="G34" s="178"/>
      <c r="O34" s="174">
        <v>0</v>
      </c>
      <c r="P34" s="171" t="s">
        <v>165</v>
      </c>
      <c r="Q34" s="171" t="s">
        <v>165</v>
      </c>
      <c r="R34" s="175" t="s">
        <v>165</v>
      </c>
    </row>
    <row r="35" spans="2:18" ht="14.25" thickTop="1">
      <c r="B35" s="167">
        <v>1</v>
      </c>
      <c r="C35" s="137"/>
      <c r="D35" s="22"/>
      <c r="E35" s="60" t="str">
        <f>IF($C35&lt;&gt;"","ALERT_" &amp; UPPER(Matrix!$D$6) &amp; "_" &amp; $C35,"")</f>
        <v/>
      </c>
      <c r="F35" s="169"/>
      <c r="G35" s="60" t="str">
        <f>IF(E35&lt;&gt;"",LEN(E35),"")</f>
        <v/>
      </c>
      <c r="O35" s="167">
        <v>1</v>
      </c>
      <c r="P35" s="137"/>
      <c r="Q35" s="137"/>
      <c r="R35" s="169"/>
    </row>
    <row r="36" spans="2:18">
      <c r="B36" s="167">
        <v>2</v>
      </c>
      <c r="C36" s="137"/>
      <c r="D36" s="22"/>
      <c r="E36" s="60" t="str">
        <f>IF($C36&lt;&gt;"","ALERT_" &amp; UPPER(Matrix!$D$6) &amp; "_" &amp; $C36,"")</f>
        <v/>
      </c>
      <c r="F36" s="169"/>
      <c r="G36" s="60" t="str">
        <f>IF(E36&lt;&gt;"",LEN(E36),"")</f>
        <v/>
      </c>
      <c r="O36" s="167">
        <v>2</v>
      </c>
      <c r="P36" s="137"/>
      <c r="Q36" s="137"/>
      <c r="R36" s="169"/>
    </row>
    <row r="37" spans="2:18">
      <c r="B37" s="167">
        <v>3</v>
      </c>
      <c r="C37" s="137"/>
      <c r="D37" s="22"/>
      <c r="E37" s="60" t="str">
        <f>IF($C37&lt;&gt;"","ALERT_" &amp; UPPER(Matrix!$D$6) &amp; "_" &amp; $C37,"")</f>
        <v/>
      </c>
      <c r="F37" s="169"/>
      <c r="G37" s="60" t="str">
        <f>IF(E37&lt;&gt;"",LEN(E37),"")</f>
        <v/>
      </c>
      <c r="O37" s="167">
        <v>3</v>
      </c>
      <c r="P37" s="137"/>
      <c r="Q37" s="137"/>
      <c r="R37" s="169"/>
    </row>
    <row r="38" spans="2:18">
      <c r="B38" s="167">
        <v>4</v>
      </c>
      <c r="C38" s="137"/>
      <c r="D38" s="22"/>
      <c r="E38" s="60" t="str">
        <f>IF($C38&lt;&gt;"","ALERT_" &amp; UPPER(Matrix!$D$6) &amp; "_" &amp; $C38,"")</f>
        <v/>
      </c>
      <c r="F38" s="169"/>
      <c r="G38" s="60" t="str">
        <f t="shared" ref="G38:G59" si="1">IF(E38&lt;&gt;"",LEN(E38),"")</f>
        <v/>
      </c>
      <c r="O38" s="167">
        <v>4</v>
      </c>
      <c r="P38" s="137"/>
      <c r="Q38" s="137"/>
      <c r="R38" s="169"/>
    </row>
    <row r="39" spans="2:18">
      <c r="B39" s="167">
        <v>5</v>
      </c>
      <c r="C39" s="137"/>
      <c r="D39" s="22"/>
      <c r="E39" s="60" t="str">
        <f>IF($C39&lt;&gt;"","ALERT_" &amp; UPPER(Matrix!$D$6) &amp; "_" &amp; $C39,"")</f>
        <v/>
      </c>
      <c r="F39" s="169"/>
      <c r="G39" s="60" t="str">
        <f t="shared" si="1"/>
        <v/>
      </c>
      <c r="O39" s="167">
        <v>5</v>
      </c>
      <c r="P39" s="137"/>
      <c r="Q39" s="137"/>
      <c r="R39" s="169"/>
    </row>
    <row r="40" spans="2:18">
      <c r="B40" s="167">
        <v>6</v>
      </c>
      <c r="C40" s="137"/>
      <c r="D40" s="22"/>
      <c r="E40" s="60" t="str">
        <f>IF($C40&lt;&gt;"","ALERT_" &amp; UPPER(Matrix!$D$6) &amp; "_" &amp; $C40,"")</f>
        <v/>
      </c>
      <c r="F40" s="169"/>
      <c r="G40" s="60" t="str">
        <f t="shared" si="1"/>
        <v/>
      </c>
      <c r="O40" s="167">
        <v>6</v>
      </c>
      <c r="P40" s="137"/>
      <c r="Q40" s="137"/>
      <c r="R40" s="169"/>
    </row>
    <row r="41" spans="2:18">
      <c r="B41" s="167">
        <v>7</v>
      </c>
      <c r="C41" s="137"/>
      <c r="D41" s="22"/>
      <c r="E41" s="60" t="str">
        <f>IF($C41&lt;&gt;"","ALERT_" &amp; UPPER(Matrix!$D$6) &amp; "_" &amp; $C41,"")</f>
        <v/>
      </c>
      <c r="F41" s="169"/>
      <c r="G41" s="60" t="str">
        <f t="shared" si="1"/>
        <v/>
      </c>
      <c r="O41" s="167">
        <v>7</v>
      </c>
      <c r="P41" s="137"/>
      <c r="Q41" s="137"/>
      <c r="R41" s="169"/>
    </row>
    <row r="42" spans="2:18">
      <c r="B42" s="167">
        <v>8</v>
      </c>
      <c r="C42" s="137"/>
      <c r="D42" s="22"/>
      <c r="E42" s="60" t="str">
        <f>IF($C42&lt;&gt;"","ALERT_" &amp; UPPER(Matrix!$D$6) &amp; "_" &amp; $C42,"")</f>
        <v/>
      </c>
      <c r="F42" s="169"/>
      <c r="G42" s="60" t="str">
        <f t="shared" si="1"/>
        <v/>
      </c>
      <c r="O42" s="167">
        <v>8</v>
      </c>
      <c r="P42" s="137"/>
      <c r="Q42" s="137"/>
      <c r="R42" s="169"/>
    </row>
    <row r="43" spans="2:18">
      <c r="B43" s="167">
        <v>9</v>
      </c>
      <c r="C43" s="137"/>
      <c r="D43" s="22"/>
      <c r="E43" s="60" t="str">
        <f>IF($C43&lt;&gt;"","ALERT_" &amp; UPPER(Matrix!$D$6) &amp; "_" &amp; $C43,"")</f>
        <v/>
      </c>
      <c r="F43" s="169"/>
      <c r="G43" s="60" t="str">
        <f t="shared" si="1"/>
        <v/>
      </c>
      <c r="O43" s="167">
        <v>9</v>
      </c>
      <c r="P43" s="137"/>
      <c r="Q43" s="137"/>
      <c r="R43" s="169"/>
    </row>
    <row r="44" spans="2:18">
      <c r="B44" s="167">
        <v>10</v>
      </c>
      <c r="C44" s="137"/>
      <c r="D44" s="22"/>
      <c r="E44" s="60" t="str">
        <f>IF($C44&lt;&gt;"","ALERT_" &amp; UPPER(Matrix!$D$6) &amp; "_" &amp; $C44,"")</f>
        <v/>
      </c>
      <c r="F44" s="169"/>
      <c r="G44" s="60" t="str">
        <f t="shared" si="1"/>
        <v/>
      </c>
      <c r="O44" s="167">
        <v>10</v>
      </c>
      <c r="P44" s="137"/>
      <c r="Q44" s="137"/>
      <c r="R44" s="169"/>
    </row>
    <row r="45" spans="2:18">
      <c r="B45" s="167">
        <v>11</v>
      </c>
      <c r="C45" s="137"/>
      <c r="D45" s="22"/>
      <c r="E45" s="60" t="str">
        <f>IF($C45&lt;&gt;"","ALERT_" &amp; UPPER(Matrix!$D$6) &amp; "_" &amp; $C45,"")</f>
        <v/>
      </c>
      <c r="F45" s="169"/>
      <c r="G45" s="60" t="str">
        <f t="shared" si="1"/>
        <v/>
      </c>
      <c r="O45" s="167">
        <v>11</v>
      </c>
      <c r="P45" s="137"/>
      <c r="Q45" s="137"/>
      <c r="R45" s="169"/>
    </row>
    <row r="46" spans="2:18">
      <c r="B46" s="167">
        <v>12</v>
      </c>
      <c r="C46" s="137"/>
      <c r="D46" s="22"/>
      <c r="E46" s="60" t="str">
        <f>IF($C46&lt;&gt;"","ALERT_" &amp; UPPER(Matrix!$D$6) &amp; "_" &amp; $C46,"")</f>
        <v/>
      </c>
      <c r="F46" s="169"/>
      <c r="G46" s="60" t="str">
        <f t="shared" si="1"/>
        <v/>
      </c>
      <c r="O46" s="167">
        <v>12</v>
      </c>
      <c r="P46" s="137"/>
      <c r="Q46" s="137"/>
      <c r="R46" s="169"/>
    </row>
    <row r="47" spans="2:18">
      <c r="B47" s="167">
        <v>13</v>
      </c>
      <c r="C47" s="137"/>
      <c r="D47" s="22"/>
      <c r="E47" s="60" t="str">
        <f>IF($C47&lt;&gt;"","ALERT_" &amp; UPPER(Matrix!$D$6) &amp; "_" &amp; $C47,"")</f>
        <v/>
      </c>
      <c r="F47" s="169"/>
      <c r="G47" s="60" t="str">
        <f t="shared" si="1"/>
        <v/>
      </c>
      <c r="O47" s="167">
        <v>13</v>
      </c>
      <c r="P47" s="137"/>
      <c r="Q47" s="137"/>
      <c r="R47" s="169"/>
    </row>
    <row r="48" spans="2:18">
      <c r="B48" s="167">
        <v>14</v>
      </c>
      <c r="C48" s="137"/>
      <c r="D48" s="22"/>
      <c r="E48" s="60" t="str">
        <f>IF($C48&lt;&gt;"","ALERT_" &amp; UPPER(Matrix!$D$6) &amp; "_" &amp; $C48,"")</f>
        <v/>
      </c>
      <c r="F48" s="169"/>
      <c r="G48" s="60" t="str">
        <f t="shared" si="1"/>
        <v/>
      </c>
      <c r="O48" s="167">
        <v>14</v>
      </c>
      <c r="P48" s="137"/>
      <c r="Q48" s="137"/>
      <c r="R48" s="169"/>
    </row>
    <row r="49" spans="2:18">
      <c r="B49" s="167">
        <v>15</v>
      </c>
      <c r="C49" s="137"/>
      <c r="D49" s="22"/>
      <c r="E49" s="60" t="str">
        <f>IF($C49&lt;&gt;"","ALERT_" &amp; UPPER(Matrix!$D$6) &amp; "_" &amp; $C49,"")</f>
        <v/>
      </c>
      <c r="F49" s="169"/>
      <c r="G49" s="60" t="str">
        <f t="shared" si="1"/>
        <v/>
      </c>
      <c r="O49" s="167">
        <v>15</v>
      </c>
      <c r="P49" s="137"/>
      <c r="Q49" s="137"/>
      <c r="R49" s="169"/>
    </row>
    <row r="50" spans="2:18">
      <c r="B50" s="167">
        <v>16</v>
      </c>
      <c r="C50" s="137"/>
      <c r="D50" s="22"/>
      <c r="E50" s="60" t="str">
        <f>IF($C50&lt;&gt;"","ALERT_" &amp; UPPER(Matrix!$D$6) &amp; "_" &amp; $C50,"")</f>
        <v/>
      </c>
      <c r="F50" s="169"/>
      <c r="G50" s="60" t="str">
        <f t="shared" si="1"/>
        <v/>
      </c>
      <c r="O50" s="167">
        <v>16</v>
      </c>
      <c r="P50" s="137"/>
      <c r="Q50" s="137"/>
      <c r="R50" s="169"/>
    </row>
    <row r="51" spans="2:18">
      <c r="B51" s="167">
        <v>17</v>
      </c>
      <c r="C51" s="137"/>
      <c r="D51" s="22"/>
      <c r="E51" s="60" t="str">
        <f>IF($C51&lt;&gt;"","ALERT_" &amp; UPPER(Matrix!$D$6) &amp; "_" &amp; $C51,"")</f>
        <v/>
      </c>
      <c r="F51" s="169"/>
      <c r="G51" s="60" t="str">
        <f t="shared" si="1"/>
        <v/>
      </c>
      <c r="O51" s="167">
        <v>17</v>
      </c>
      <c r="P51" s="137"/>
      <c r="Q51" s="137"/>
      <c r="R51" s="169"/>
    </row>
    <row r="52" spans="2:18">
      <c r="B52" s="167">
        <v>18</v>
      </c>
      <c r="C52" s="137"/>
      <c r="D52" s="22"/>
      <c r="E52" s="60" t="str">
        <f>IF($C52&lt;&gt;"","ALERT_" &amp; UPPER(Matrix!$D$6) &amp; "_" &amp; $C52,"")</f>
        <v/>
      </c>
      <c r="F52" s="169"/>
      <c r="G52" s="60" t="str">
        <f t="shared" si="1"/>
        <v/>
      </c>
      <c r="O52" s="167">
        <v>18</v>
      </c>
      <c r="P52" s="137"/>
      <c r="Q52" s="137"/>
      <c r="R52" s="169"/>
    </row>
    <row r="53" spans="2:18">
      <c r="B53" s="167">
        <v>19</v>
      </c>
      <c r="C53" s="137"/>
      <c r="D53" s="22"/>
      <c r="E53" s="60" t="str">
        <f>IF($C53&lt;&gt;"","ALERT_" &amp; UPPER(Matrix!$D$6) &amp; "_" &amp; $C53,"")</f>
        <v/>
      </c>
      <c r="F53" s="169"/>
      <c r="G53" s="60" t="str">
        <f t="shared" si="1"/>
        <v/>
      </c>
      <c r="O53" s="167">
        <v>19</v>
      </c>
      <c r="P53" s="137"/>
      <c r="Q53" s="137"/>
      <c r="R53" s="169"/>
    </row>
    <row r="54" spans="2:18">
      <c r="B54" s="167">
        <v>20</v>
      </c>
      <c r="C54" s="137"/>
      <c r="D54" s="22"/>
      <c r="E54" s="60" t="str">
        <f>IF($C54&lt;&gt;"","ALERT_" &amp; UPPER(Matrix!$D$6) &amp; "_" &amp; $C54,"")</f>
        <v/>
      </c>
      <c r="F54" s="169"/>
      <c r="G54" s="60" t="str">
        <f t="shared" si="1"/>
        <v/>
      </c>
      <c r="O54" s="167">
        <v>20</v>
      </c>
      <c r="P54" s="137"/>
      <c r="Q54" s="137"/>
      <c r="R54" s="169"/>
    </row>
    <row r="55" spans="2:18">
      <c r="B55" s="167">
        <v>21</v>
      </c>
      <c r="C55" s="137"/>
      <c r="D55" s="22"/>
      <c r="E55" s="60" t="str">
        <f>IF($C55&lt;&gt;"","ALERT_" &amp; UPPER(Matrix!$D$6) &amp; "_" &amp; $C55,"")</f>
        <v/>
      </c>
      <c r="F55" s="169"/>
      <c r="G55" s="60" t="str">
        <f t="shared" si="1"/>
        <v/>
      </c>
      <c r="O55" s="167">
        <v>21</v>
      </c>
      <c r="P55" s="137"/>
      <c r="Q55" s="137"/>
      <c r="R55" s="169"/>
    </row>
    <row r="56" spans="2:18">
      <c r="B56" s="167">
        <v>22</v>
      </c>
      <c r="C56" s="137"/>
      <c r="D56" s="22"/>
      <c r="E56" s="60" t="str">
        <f>IF($C56&lt;&gt;"","ALERT_" &amp; UPPER(Matrix!$D$6) &amp; "_" &amp; $C56,"")</f>
        <v/>
      </c>
      <c r="F56" s="169"/>
      <c r="G56" s="60" t="str">
        <f t="shared" si="1"/>
        <v/>
      </c>
      <c r="O56" s="167">
        <v>22</v>
      </c>
      <c r="P56" s="137"/>
      <c r="Q56" s="137"/>
      <c r="R56" s="169"/>
    </row>
    <row r="57" spans="2:18">
      <c r="B57" s="167">
        <v>23</v>
      </c>
      <c r="C57" s="137"/>
      <c r="D57" s="22"/>
      <c r="E57" s="60" t="str">
        <f>IF($C57&lt;&gt;"","ALERT_" &amp; UPPER(Matrix!$D$6) &amp; "_" &amp; $C57,"")</f>
        <v/>
      </c>
      <c r="F57" s="169"/>
      <c r="G57" s="60" t="str">
        <f t="shared" si="1"/>
        <v/>
      </c>
      <c r="O57" s="167">
        <v>23</v>
      </c>
      <c r="P57" s="137"/>
      <c r="Q57" s="137"/>
      <c r="R57" s="169"/>
    </row>
    <row r="58" spans="2:18">
      <c r="B58" s="167">
        <v>24</v>
      </c>
      <c r="C58" s="137"/>
      <c r="D58" s="22"/>
      <c r="E58" s="60" t="str">
        <f>IF($C58&lt;&gt;"","ALERT_" &amp; UPPER(Matrix!$D$6) &amp; "_" &amp; $C58,"")</f>
        <v/>
      </c>
      <c r="F58" s="169"/>
      <c r="G58" s="60" t="str">
        <f t="shared" si="1"/>
        <v/>
      </c>
      <c r="O58" s="167">
        <v>24</v>
      </c>
      <c r="P58" s="137"/>
      <c r="Q58" s="137"/>
      <c r="R58" s="169"/>
    </row>
    <row r="59" spans="2:18" ht="14.25" thickBot="1">
      <c r="B59" s="168">
        <v>25</v>
      </c>
      <c r="C59" s="135"/>
      <c r="D59" s="46"/>
      <c r="E59" s="61" t="str">
        <f>IF($C59&lt;&gt;"","ALERT_" &amp; UPPER(Matrix!$D$6) &amp; "_" &amp; $C59,"")</f>
        <v/>
      </c>
      <c r="F59" s="170"/>
      <c r="G59" s="61" t="str">
        <f t="shared" si="1"/>
        <v/>
      </c>
      <c r="O59" s="168">
        <v>25</v>
      </c>
      <c r="P59" s="135"/>
      <c r="Q59" s="135"/>
      <c r="R59" s="17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1" t="s">
        <v>104</v>
      </c>
    </row>
    <row r="2" spans="2:21" ht="14.25" thickBot="1">
      <c r="B2" s="89" t="s">
        <v>59</v>
      </c>
      <c r="C2" s="90" t="s">
        <v>122</v>
      </c>
      <c r="D2" s="91" t="s">
        <v>53</v>
      </c>
      <c r="E2" s="92" t="s">
        <v>54</v>
      </c>
      <c r="F2" s="93" t="s">
        <v>24</v>
      </c>
      <c r="G2" s="92" t="s">
        <v>55</v>
      </c>
      <c r="H2" s="93" t="s">
        <v>26</v>
      </c>
      <c r="I2" s="92" t="s">
        <v>56</v>
      </c>
      <c r="J2" s="93" t="s">
        <v>162</v>
      </c>
      <c r="K2" s="92" t="s">
        <v>57</v>
      </c>
      <c r="L2" s="93" t="s">
        <v>27</v>
      </c>
      <c r="M2" s="90" t="s">
        <v>58</v>
      </c>
      <c r="N2" s="93" t="s">
        <v>117</v>
      </c>
      <c r="O2" s="112" t="s">
        <v>84</v>
      </c>
    </row>
    <row r="3" spans="2:21" ht="15" hidden="1" thickTop="1" thickBot="1">
      <c r="B3" s="23"/>
      <c r="C3" s="43" t="s">
        <v>108</v>
      </c>
      <c r="D3" s="105"/>
      <c r="E3" s="12"/>
      <c r="F3" s="13"/>
      <c r="G3" s="12"/>
      <c r="H3" s="13"/>
      <c r="I3" s="12"/>
      <c r="J3" s="13"/>
      <c r="K3" s="12"/>
      <c r="L3" s="13"/>
      <c r="M3" s="44"/>
      <c r="N3" s="101"/>
      <c r="O3" s="113"/>
      <c r="U3" s="85" t="s">
        <v>98</v>
      </c>
    </row>
    <row r="4" spans="2:21" ht="14.25" thickTop="1">
      <c r="B4" s="100" t="s">
        <v>249</v>
      </c>
      <c r="C4" s="98" t="s">
        <v>256</v>
      </c>
      <c r="D4" s="110">
        <v>0</v>
      </c>
      <c r="E4" s="181" t="s">
        <v>126</v>
      </c>
      <c r="F4" s="182" t="s">
        <v>330</v>
      </c>
      <c r="G4" s="181" t="s">
        <v>126</v>
      </c>
      <c r="H4" s="182" t="s">
        <v>198</v>
      </c>
      <c r="I4" s="181" t="s">
        <v>126</v>
      </c>
      <c r="J4" s="182" t="s">
        <v>315</v>
      </c>
      <c r="K4" s="181" t="s">
        <v>126</v>
      </c>
      <c r="L4" s="182" t="s">
        <v>127</v>
      </c>
      <c r="M4" s="44">
        <f ca="1">LEN(N4)</f>
        <v>31</v>
      </c>
      <c r="N4" s="101" t="str">
        <f ca="1">VLOOKUP($B4,Matrix!$H$13:$I$37,2,FALSE)&amp;"_"&amp;C4</f>
        <v>ALERT_REQ_H_SOCLOW_TT_PD_N_POS1</v>
      </c>
      <c r="O4" s="113" t="str">
        <f t="shared" ref="O4:O35" ca="1" si="0">"#define "&amp;N4&amp;REPT(" ",48-M4)&amp;"("&amp;D4&amp;"U)"</f>
        <v>#define ALERT_REQ_H_SOCLOW_TT_PD_N_POS1                 (0U)</v>
      </c>
      <c r="U4" s="85" t="s">
        <v>98</v>
      </c>
    </row>
    <row r="5" spans="2:21">
      <c r="B5" s="100" t="s">
        <v>249</v>
      </c>
      <c r="C5" s="98" t="s">
        <v>258</v>
      </c>
      <c r="D5" s="111">
        <v>1</v>
      </c>
      <c r="E5" s="181" t="s">
        <v>126</v>
      </c>
      <c r="F5" s="182" t="s">
        <v>331</v>
      </c>
      <c r="G5" s="181" t="s">
        <v>126</v>
      </c>
      <c r="H5" s="182" t="s">
        <v>127</v>
      </c>
      <c r="I5" s="181" t="s">
        <v>126</v>
      </c>
      <c r="J5" s="183" t="s">
        <v>263</v>
      </c>
      <c r="K5" s="181" t="s">
        <v>126</v>
      </c>
      <c r="L5" s="182" t="s">
        <v>127</v>
      </c>
      <c r="M5" s="39">
        <f t="shared" ref="M5:M68" ca="1" si="1">LEN(N5)</f>
        <v>31</v>
      </c>
      <c r="N5" s="101" t="str">
        <f ca="1">VLOOKUP($B5,Matrix!$H$13:$I$37,2,FALSE)&amp;"_"&amp;C5</f>
        <v>ALERT_REQ_H_SOCLOW_TT_PD_N_POS2</v>
      </c>
      <c r="O5" s="114" t="str">
        <f t="shared" ca="1" si="0"/>
        <v>#define ALERT_REQ_H_SOCLOW_TT_PD_N_POS2                 (1U)</v>
      </c>
      <c r="U5" s="83" t="s">
        <v>99</v>
      </c>
    </row>
    <row r="6" spans="2:21">
      <c r="B6" s="100" t="s">
        <v>249</v>
      </c>
      <c r="C6" s="99" t="s">
        <v>260</v>
      </c>
      <c r="D6" s="110">
        <v>2</v>
      </c>
      <c r="E6" s="181" t="s">
        <v>126</v>
      </c>
      <c r="F6" s="182" t="s">
        <v>330</v>
      </c>
      <c r="G6" s="181" t="s">
        <v>126</v>
      </c>
      <c r="H6" s="182" t="s">
        <v>198</v>
      </c>
      <c r="I6" s="181" t="s">
        <v>126</v>
      </c>
      <c r="J6" s="183" t="s">
        <v>264</v>
      </c>
      <c r="K6" s="181" t="s">
        <v>126</v>
      </c>
      <c r="L6" s="182" t="s">
        <v>199</v>
      </c>
      <c r="M6" s="39">
        <f t="shared" ca="1" si="1"/>
        <v>32</v>
      </c>
      <c r="N6" s="101" t="str">
        <f ca="1">VLOOKUP($B6,Matrix!$H$13:$I$37,2,FALSE)&amp;"_"&amp;C6</f>
        <v>ALERT_REQ_H_SOCLOW_TT_PD_HV_OFF1</v>
      </c>
      <c r="O6" s="114" t="str">
        <f t="shared" ca="1" si="0"/>
        <v>#define ALERT_REQ_H_SOCLOW_TT_PD_HV_OFF1                (2U)</v>
      </c>
      <c r="U6" s="27" t="s">
        <v>100</v>
      </c>
    </row>
    <row r="7" spans="2:21">
      <c r="B7" s="100" t="s">
        <v>249</v>
      </c>
      <c r="C7" s="99" t="s">
        <v>262</v>
      </c>
      <c r="D7" s="111">
        <v>3</v>
      </c>
      <c r="E7" s="181" t="s">
        <v>126</v>
      </c>
      <c r="F7" s="182" t="s">
        <v>331</v>
      </c>
      <c r="G7" s="181" t="s">
        <v>126</v>
      </c>
      <c r="H7" s="182" t="s">
        <v>198</v>
      </c>
      <c r="I7" s="181" t="s">
        <v>126</v>
      </c>
      <c r="J7" s="183" t="s">
        <v>264</v>
      </c>
      <c r="K7" s="181" t="s">
        <v>126</v>
      </c>
      <c r="L7" s="182" t="s">
        <v>199</v>
      </c>
      <c r="M7" s="39">
        <f t="shared" ca="1" si="1"/>
        <v>32</v>
      </c>
      <c r="N7" s="101" t="str">
        <f ca="1">VLOOKUP($B7,Matrix!$H$13:$I$37,2,FALSE)&amp;"_"&amp;C7</f>
        <v>ALERT_REQ_H_SOCLOW_TT_PD_HV_OFF2</v>
      </c>
      <c r="O7" s="114" t="str">
        <f t="shared" ca="1" si="0"/>
        <v>#define ALERT_REQ_H_SOCLOW_TT_PD_HV_OFF2                (3U)</v>
      </c>
      <c r="U7" s="27" t="s">
        <v>101</v>
      </c>
    </row>
    <row r="8" spans="2:21">
      <c r="B8" s="100" t="s">
        <v>249</v>
      </c>
      <c r="C8" s="99" t="s">
        <v>219</v>
      </c>
      <c r="D8" s="111">
        <v>4</v>
      </c>
      <c r="E8" s="181" t="s">
        <v>126</v>
      </c>
      <c r="F8" s="182" t="s">
        <v>332</v>
      </c>
      <c r="G8" s="181" t="s">
        <v>126</v>
      </c>
      <c r="H8" s="182" t="s">
        <v>198</v>
      </c>
      <c r="I8" s="181" t="s">
        <v>126</v>
      </c>
      <c r="J8" s="107" t="s">
        <v>265</v>
      </c>
      <c r="K8" s="181" t="s">
        <v>126</v>
      </c>
      <c r="L8" s="182" t="s">
        <v>199</v>
      </c>
      <c r="M8" s="39">
        <f t="shared" ca="1" si="1"/>
        <v>32</v>
      </c>
      <c r="N8" s="101" t="str">
        <f ca="1">VLOOKUP($B8,Matrix!$H$13:$I$37,2,FALSE)&amp;"_"&amp;C8</f>
        <v>ALERT_REQ_H_SOCLOW_TT_PD_PRIMARY</v>
      </c>
      <c r="O8" s="114" t="str">
        <f t="shared" ca="1" si="0"/>
        <v>#define ALERT_REQ_H_SOCLOW_TT_PD_PRIMARY                (4U)</v>
      </c>
      <c r="U8" s="27" t="s">
        <v>102</v>
      </c>
    </row>
    <row r="9" spans="2:21">
      <c r="B9" s="23" t="s">
        <v>250</v>
      </c>
      <c r="C9" s="99" t="s">
        <v>252</v>
      </c>
      <c r="D9" s="106">
        <v>0</v>
      </c>
      <c r="E9" s="181" t="s">
        <v>126</v>
      </c>
      <c r="F9" s="182" t="s">
        <v>333</v>
      </c>
      <c r="G9" s="181" t="s">
        <v>126</v>
      </c>
      <c r="H9" s="107" t="s">
        <v>335</v>
      </c>
      <c r="I9" s="181" t="s">
        <v>126</v>
      </c>
      <c r="J9" s="183" t="s">
        <v>220</v>
      </c>
      <c r="K9" s="181" t="s">
        <v>126</v>
      </c>
      <c r="L9" s="182" t="s">
        <v>199</v>
      </c>
      <c r="M9" s="39">
        <f t="shared" ca="1" si="1"/>
        <v>27</v>
      </c>
      <c r="N9" s="101" t="str">
        <f ca="1">VLOOKUP($B9,Matrix!$H$13:$I$37,2,FALSE)&amp;"_"&amp;C9</f>
        <v>ALERT_REQ_H_SOCLOW_BC_N_POS</v>
      </c>
      <c r="O9" s="114" t="str">
        <f t="shared" ca="1" si="0"/>
        <v>#define ALERT_REQ_H_SOCLOW_BC_N_POS                     (0U)</v>
      </c>
      <c r="U9" s="27" t="s">
        <v>103</v>
      </c>
    </row>
    <row r="10" spans="2:21">
      <c r="B10" s="23" t="s">
        <v>250</v>
      </c>
      <c r="C10" s="99" t="s">
        <v>254</v>
      </c>
      <c r="D10" s="106">
        <v>1</v>
      </c>
      <c r="E10" s="181" t="s">
        <v>126</v>
      </c>
      <c r="F10" s="183" t="s">
        <v>220</v>
      </c>
      <c r="G10" s="181" t="s">
        <v>126</v>
      </c>
      <c r="H10" s="107" t="s">
        <v>334</v>
      </c>
      <c r="I10" s="181" t="s">
        <v>126</v>
      </c>
      <c r="J10" s="183" t="s">
        <v>220</v>
      </c>
      <c r="K10" s="181" t="s">
        <v>126</v>
      </c>
      <c r="L10" s="182" t="s">
        <v>199</v>
      </c>
      <c r="M10" s="39">
        <f t="shared" ca="1" si="1"/>
        <v>28</v>
      </c>
      <c r="N10" s="101" t="str">
        <f ca="1">VLOOKUP($B10,Matrix!$H$13:$I$37,2,FALSE)&amp;"_"&amp;C10</f>
        <v>ALERT_REQ_H_SOCLOW_BC_HV_OFF</v>
      </c>
      <c r="O10" s="114" t="str">
        <f t="shared" ca="1" si="0"/>
        <v>#define ALERT_REQ_H_SOCLOW_BC_HV_OFF                    (1U)</v>
      </c>
      <c r="U10" s="27"/>
    </row>
    <row r="11" spans="2:21">
      <c r="B11" s="23"/>
      <c r="C11" s="22"/>
      <c r="D11" s="106"/>
      <c r="E11" s="23"/>
      <c r="F11" s="107"/>
      <c r="G11" s="23"/>
      <c r="H11" s="107"/>
      <c r="I11" s="23"/>
      <c r="J11" s="107"/>
      <c r="K11" s="23"/>
      <c r="L11" s="107"/>
      <c r="M11" s="39" t="e">
        <f t="shared" ca="1" si="1"/>
        <v>#N/A</v>
      </c>
      <c r="N11" s="101" t="e">
        <f ca="1">VLOOKUP($B11,Matrix!$H$13:$I$37,2,FALSE)&amp;"_"&amp;C11</f>
        <v>#N/A</v>
      </c>
      <c r="O11" s="114" t="e">
        <f t="shared" ca="1" si="0"/>
        <v>#N/A</v>
      </c>
      <c r="U11" s="27"/>
    </row>
    <row r="12" spans="2:21">
      <c r="B12" s="23"/>
      <c r="C12" s="22"/>
      <c r="D12" s="106"/>
      <c r="E12" s="23"/>
      <c r="F12" s="107"/>
      <c r="G12" s="23"/>
      <c r="H12" s="107"/>
      <c r="I12" s="23"/>
      <c r="J12" s="107"/>
      <c r="K12" s="23"/>
      <c r="L12" s="107"/>
      <c r="M12" s="39" t="e">
        <f t="shared" ca="1" si="1"/>
        <v>#N/A</v>
      </c>
      <c r="N12" s="101" t="e">
        <f ca="1">VLOOKUP($B12,Matrix!$H$13:$I$37,2,FALSE)&amp;"_"&amp;C12</f>
        <v>#N/A</v>
      </c>
      <c r="O12" s="114" t="e">
        <f t="shared" ca="1" si="0"/>
        <v>#N/A</v>
      </c>
      <c r="U12" s="27"/>
    </row>
    <row r="13" spans="2:21" ht="14.25" thickBot="1">
      <c r="B13" s="23"/>
      <c r="C13" s="22"/>
      <c r="D13" s="106"/>
      <c r="E13" s="23"/>
      <c r="F13" s="107"/>
      <c r="G13" s="23"/>
      <c r="H13" s="107"/>
      <c r="I13" s="23"/>
      <c r="J13" s="107"/>
      <c r="K13" s="23"/>
      <c r="L13" s="107"/>
      <c r="M13" s="39" t="e">
        <f t="shared" ca="1" si="1"/>
        <v>#N/A</v>
      </c>
      <c r="N13" s="101" t="e">
        <f ca="1">VLOOKUP($B13,Matrix!$H$13:$I$37,2,FALSE)&amp;"_"&amp;C13</f>
        <v>#N/A</v>
      </c>
      <c r="O13" s="114" t="e">
        <f t="shared" ca="1" si="0"/>
        <v>#N/A</v>
      </c>
      <c r="U13" s="84"/>
    </row>
    <row r="14" spans="2:21">
      <c r="B14" s="23"/>
      <c r="C14" s="22"/>
      <c r="D14" s="106"/>
      <c r="E14" s="23"/>
      <c r="F14" s="107"/>
      <c r="G14" s="23"/>
      <c r="H14" s="107"/>
      <c r="I14" s="23"/>
      <c r="J14" s="107"/>
      <c r="K14" s="23"/>
      <c r="L14" s="107"/>
      <c r="M14" s="39" t="e">
        <f t="shared" ca="1" si="1"/>
        <v>#N/A</v>
      </c>
      <c r="N14" s="101" t="e">
        <f ca="1">VLOOKUP($B14,Matrix!$H$13:$I$37,2,FALSE)&amp;"_"&amp;C14</f>
        <v>#N/A</v>
      </c>
      <c r="O14" s="114" t="e">
        <f t="shared" ca="1" si="0"/>
        <v>#N/A</v>
      </c>
    </row>
    <row r="15" spans="2:21">
      <c r="B15" s="23"/>
      <c r="C15" s="22"/>
      <c r="D15" s="106"/>
      <c r="E15" s="23"/>
      <c r="F15" s="107"/>
      <c r="G15" s="23"/>
      <c r="H15" s="107"/>
      <c r="I15" s="23"/>
      <c r="J15" s="107"/>
      <c r="K15" s="23"/>
      <c r="L15" s="107"/>
      <c r="M15" s="39" t="e">
        <f t="shared" ca="1" si="1"/>
        <v>#N/A</v>
      </c>
      <c r="N15" s="101" t="e">
        <f ca="1">VLOOKUP($B15,Matrix!$H$13:$I$37,2,FALSE)&amp;"_"&amp;C15</f>
        <v>#N/A</v>
      </c>
      <c r="O15" s="114" t="e">
        <f t="shared" ca="1" si="0"/>
        <v>#N/A</v>
      </c>
    </row>
    <row r="16" spans="2:21">
      <c r="B16" s="23"/>
      <c r="C16" s="22"/>
      <c r="D16" s="106"/>
      <c r="E16" s="23"/>
      <c r="F16" s="107"/>
      <c r="G16" s="23"/>
      <c r="H16" s="107"/>
      <c r="I16" s="23"/>
      <c r="J16" s="107"/>
      <c r="K16" s="23"/>
      <c r="L16" s="107"/>
      <c r="M16" s="39" t="e">
        <f t="shared" ca="1" si="1"/>
        <v>#N/A</v>
      </c>
      <c r="N16" s="101" t="e">
        <f ca="1">VLOOKUP($B16,Matrix!$H$13:$I$37,2,FALSE)&amp;"_"&amp;C16</f>
        <v>#N/A</v>
      </c>
      <c r="O16" s="114" t="e">
        <f t="shared" ca="1" si="0"/>
        <v>#N/A</v>
      </c>
    </row>
    <row r="17" spans="2:15">
      <c r="B17" s="23"/>
      <c r="C17" s="22"/>
      <c r="D17" s="106"/>
      <c r="E17" s="23"/>
      <c r="F17" s="107"/>
      <c r="G17" s="23"/>
      <c r="H17" s="107"/>
      <c r="I17" s="23"/>
      <c r="J17" s="107"/>
      <c r="K17" s="23"/>
      <c r="L17" s="107"/>
      <c r="M17" s="39" t="e">
        <f t="shared" ca="1" si="1"/>
        <v>#N/A</v>
      </c>
      <c r="N17" s="101" t="e">
        <f ca="1">VLOOKUP($B17,Matrix!$H$13:$I$37,2,FALSE)&amp;"_"&amp;C17</f>
        <v>#N/A</v>
      </c>
      <c r="O17" s="114" t="e">
        <f t="shared" ca="1" si="0"/>
        <v>#N/A</v>
      </c>
    </row>
    <row r="18" spans="2:15">
      <c r="B18" s="23"/>
      <c r="C18" s="22"/>
      <c r="D18" s="106"/>
      <c r="E18" s="23"/>
      <c r="F18" s="107"/>
      <c r="G18" s="23"/>
      <c r="H18" s="107"/>
      <c r="I18" s="23"/>
      <c r="J18" s="107"/>
      <c r="K18" s="23"/>
      <c r="L18" s="107"/>
      <c r="M18" s="39" t="e">
        <f t="shared" ca="1" si="1"/>
        <v>#N/A</v>
      </c>
      <c r="N18" s="101" t="e">
        <f ca="1">VLOOKUP($B18,Matrix!$H$13:$I$37,2,FALSE)&amp;"_"&amp;C18</f>
        <v>#N/A</v>
      </c>
      <c r="O18" s="114" t="e">
        <f t="shared" ca="1" si="0"/>
        <v>#N/A</v>
      </c>
    </row>
    <row r="19" spans="2:15">
      <c r="B19" s="23"/>
      <c r="C19" s="22"/>
      <c r="D19" s="106"/>
      <c r="E19" s="23"/>
      <c r="F19" s="107"/>
      <c r="G19" s="23"/>
      <c r="H19" s="107"/>
      <c r="I19" s="23"/>
      <c r="J19" s="107"/>
      <c r="K19" s="23"/>
      <c r="L19" s="107"/>
      <c r="M19" s="39" t="e">
        <f t="shared" ca="1" si="1"/>
        <v>#N/A</v>
      </c>
      <c r="N19" s="101" t="e">
        <f ca="1">VLOOKUP($B19,Matrix!$H$13:$I$37,2,FALSE)&amp;"_"&amp;C19</f>
        <v>#N/A</v>
      </c>
      <c r="O19" s="114" t="e">
        <f t="shared" ca="1" si="0"/>
        <v>#N/A</v>
      </c>
    </row>
    <row r="20" spans="2:15">
      <c r="B20" s="23"/>
      <c r="C20" s="22"/>
      <c r="D20" s="106"/>
      <c r="E20" s="23"/>
      <c r="F20" s="107"/>
      <c r="G20" s="23"/>
      <c r="H20" s="107"/>
      <c r="I20" s="23"/>
      <c r="J20" s="107"/>
      <c r="K20" s="23"/>
      <c r="L20" s="107"/>
      <c r="M20" s="39" t="e">
        <f t="shared" ca="1" si="1"/>
        <v>#N/A</v>
      </c>
      <c r="N20" s="101" t="e">
        <f ca="1">VLOOKUP($B20,Matrix!$H$13:$I$37,2,FALSE)&amp;"_"&amp;C20</f>
        <v>#N/A</v>
      </c>
      <c r="O20" s="114" t="e">
        <f t="shared" ca="1" si="0"/>
        <v>#N/A</v>
      </c>
    </row>
    <row r="21" spans="2:15">
      <c r="B21" s="23"/>
      <c r="C21" s="22"/>
      <c r="D21" s="106"/>
      <c r="E21" s="23"/>
      <c r="F21" s="107"/>
      <c r="G21" s="23"/>
      <c r="H21" s="107"/>
      <c r="I21" s="23"/>
      <c r="J21" s="107"/>
      <c r="K21" s="23"/>
      <c r="L21" s="107"/>
      <c r="M21" s="39" t="e">
        <f t="shared" ca="1" si="1"/>
        <v>#N/A</v>
      </c>
      <c r="N21" s="101" t="e">
        <f ca="1">VLOOKUP($B21,Matrix!$H$13:$I$37,2,FALSE)&amp;"_"&amp;C21</f>
        <v>#N/A</v>
      </c>
      <c r="O21" s="114" t="e">
        <f t="shared" ca="1" si="0"/>
        <v>#N/A</v>
      </c>
    </row>
    <row r="22" spans="2:15">
      <c r="B22" s="23"/>
      <c r="C22" s="22"/>
      <c r="D22" s="106"/>
      <c r="E22" s="23"/>
      <c r="F22" s="107"/>
      <c r="G22" s="23"/>
      <c r="H22" s="107"/>
      <c r="I22" s="23"/>
      <c r="J22" s="107"/>
      <c r="K22" s="23"/>
      <c r="L22" s="107"/>
      <c r="M22" s="39" t="e">
        <f t="shared" ca="1" si="1"/>
        <v>#N/A</v>
      </c>
      <c r="N22" s="101" t="e">
        <f ca="1">VLOOKUP($B22,Matrix!$H$13:$I$37,2,FALSE)&amp;"_"&amp;C22</f>
        <v>#N/A</v>
      </c>
      <c r="O22" s="114" t="e">
        <f t="shared" ca="1" si="0"/>
        <v>#N/A</v>
      </c>
    </row>
    <row r="23" spans="2:15">
      <c r="B23" s="23"/>
      <c r="C23" s="22"/>
      <c r="D23" s="106"/>
      <c r="E23" s="23"/>
      <c r="F23" s="107"/>
      <c r="G23" s="23"/>
      <c r="H23" s="107"/>
      <c r="I23" s="23"/>
      <c r="J23" s="107"/>
      <c r="K23" s="23"/>
      <c r="L23" s="107"/>
      <c r="M23" s="39" t="e">
        <f t="shared" ca="1" si="1"/>
        <v>#N/A</v>
      </c>
      <c r="N23" s="101" t="e">
        <f ca="1">VLOOKUP($B23,Matrix!$H$13:$I$37,2,FALSE)&amp;"_"&amp;C23</f>
        <v>#N/A</v>
      </c>
      <c r="O23" s="114" t="e">
        <f t="shared" ca="1" si="0"/>
        <v>#N/A</v>
      </c>
    </row>
    <row r="24" spans="2:15">
      <c r="B24" s="23"/>
      <c r="C24" s="22"/>
      <c r="D24" s="106"/>
      <c r="E24" s="23"/>
      <c r="F24" s="107"/>
      <c r="G24" s="23"/>
      <c r="H24" s="107"/>
      <c r="I24" s="23"/>
      <c r="J24" s="107"/>
      <c r="K24" s="23"/>
      <c r="L24" s="107"/>
      <c r="M24" s="39" t="e">
        <f t="shared" ca="1" si="1"/>
        <v>#N/A</v>
      </c>
      <c r="N24" s="101" t="e">
        <f ca="1">VLOOKUP($B24,Matrix!$H$13:$I$37,2,FALSE)&amp;"_"&amp;C24</f>
        <v>#N/A</v>
      </c>
      <c r="O24" s="114" t="e">
        <f t="shared" ca="1" si="0"/>
        <v>#N/A</v>
      </c>
    </row>
    <row r="25" spans="2:15">
      <c r="B25" s="23"/>
      <c r="C25" s="22"/>
      <c r="D25" s="106"/>
      <c r="E25" s="23"/>
      <c r="F25" s="107"/>
      <c r="G25" s="23"/>
      <c r="H25" s="107"/>
      <c r="I25" s="23"/>
      <c r="J25" s="107"/>
      <c r="K25" s="23"/>
      <c r="L25" s="107"/>
      <c r="M25" s="39" t="e">
        <f t="shared" ca="1" si="1"/>
        <v>#N/A</v>
      </c>
      <c r="N25" s="101" t="e">
        <f ca="1">VLOOKUP($B25,Matrix!$H$13:$I$37,2,FALSE)&amp;"_"&amp;C25</f>
        <v>#N/A</v>
      </c>
      <c r="O25" s="114" t="e">
        <f t="shared" ca="1" si="0"/>
        <v>#N/A</v>
      </c>
    </row>
    <row r="26" spans="2:15">
      <c r="B26" s="23"/>
      <c r="C26" s="22"/>
      <c r="D26" s="106"/>
      <c r="E26" s="23"/>
      <c r="F26" s="107"/>
      <c r="G26" s="23"/>
      <c r="H26" s="107"/>
      <c r="I26" s="23"/>
      <c r="J26" s="107"/>
      <c r="K26" s="23"/>
      <c r="L26" s="107"/>
      <c r="M26" s="39" t="e">
        <f t="shared" ca="1" si="1"/>
        <v>#N/A</v>
      </c>
      <c r="N26" s="101" t="e">
        <f ca="1">VLOOKUP($B26,Matrix!$H$13:$I$37,2,FALSE)&amp;"_"&amp;C26</f>
        <v>#N/A</v>
      </c>
      <c r="O26" s="114" t="e">
        <f t="shared" ca="1" si="0"/>
        <v>#N/A</v>
      </c>
    </row>
    <row r="27" spans="2:15">
      <c r="B27" s="23"/>
      <c r="C27" s="22"/>
      <c r="D27" s="106"/>
      <c r="E27" s="23"/>
      <c r="F27" s="107"/>
      <c r="G27" s="23"/>
      <c r="H27" s="107"/>
      <c r="I27" s="23"/>
      <c r="J27" s="107"/>
      <c r="K27" s="23"/>
      <c r="L27" s="107"/>
      <c r="M27" s="39" t="e">
        <f t="shared" ca="1" si="1"/>
        <v>#N/A</v>
      </c>
      <c r="N27" s="101" t="e">
        <f ca="1">VLOOKUP($B27,Matrix!$H$13:$I$37,2,FALSE)&amp;"_"&amp;C27</f>
        <v>#N/A</v>
      </c>
      <c r="O27" s="114" t="e">
        <f t="shared" ca="1" si="0"/>
        <v>#N/A</v>
      </c>
    </row>
    <row r="28" spans="2:15">
      <c r="B28" s="23"/>
      <c r="C28" s="22"/>
      <c r="D28" s="106"/>
      <c r="E28" s="23"/>
      <c r="F28" s="107"/>
      <c r="G28" s="23"/>
      <c r="H28" s="107"/>
      <c r="I28" s="23"/>
      <c r="J28" s="107"/>
      <c r="K28" s="23"/>
      <c r="L28" s="107"/>
      <c r="M28" s="39" t="e">
        <f t="shared" ca="1" si="1"/>
        <v>#N/A</v>
      </c>
      <c r="N28" s="101" t="e">
        <f ca="1">VLOOKUP($B28,Matrix!$H$13:$I$37,2,FALSE)&amp;"_"&amp;C28</f>
        <v>#N/A</v>
      </c>
      <c r="O28" s="114" t="e">
        <f t="shared" ca="1" si="0"/>
        <v>#N/A</v>
      </c>
    </row>
    <row r="29" spans="2:15">
      <c r="B29" s="23"/>
      <c r="C29" s="22"/>
      <c r="D29" s="106"/>
      <c r="E29" s="23"/>
      <c r="F29" s="107"/>
      <c r="G29" s="23"/>
      <c r="H29" s="107"/>
      <c r="I29" s="23"/>
      <c r="J29" s="107"/>
      <c r="K29" s="23"/>
      <c r="L29" s="107"/>
      <c r="M29" s="39" t="e">
        <f t="shared" ca="1" si="1"/>
        <v>#N/A</v>
      </c>
      <c r="N29" s="101" t="e">
        <f ca="1">VLOOKUP($B29,Matrix!$H$13:$I$37,2,FALSE)&amp;"_"&amp;C29</f>
        <v>#N/A</v>
      </c>
      <c r="O29" s="114" t="e">
        <f t="shared" ca="1" si="0"/>
        <v>#N/A</v>
      </c>
    </row>
    <row r="30" spans="2:15">
      <c r="B30" s="23"/>
      <c r="C30" s="22"/>
      <c r="D30" s="106"/>
      <c r="E30" s="23"/>
      <c r="F30" s="107"/>
      <c r="G30" s="23"/>
      <c r="H30" s="107"/>
      <c r="I30" s="23"/>
      <c r="J30" s="107"/>
      <c r="K30" s="23"/>
      <c r="L30" s="107"/>
      <c r="M30" s="39" t="e">
        <f t="shared" ca="1" si="1"/>
        <v>#N/A</v>
      </c>
      <c r="N30" s="101" t="e">
        <f ca="1">VLOOKUP($B30,Matrix!$H$13:$I$37,2,FALSE)&amp;"_"&amp;C30</f>
        <v>#N/A</v>
      </c>
      <c r="O30" s="114" t="e">
        <f t="shared" ca="1" si="0"/>
        <v>#N/A</v>
      </c>
    </row>
    <row r="31" spans="2:15">
      <c r="B31" s="23"/>
      <c r="C31" s="22"/>
      <c r="D31" s="106"/>
      <c r="E31" s="23"/>
      <c r="F31" s="107"/>
      <c r="G31" s="23"/>
      <c r="H31" s="107"/>
      <c r="I31" s="23"/>
      <c r="J31" s="107"/>
      <c r="K31" s="23"/>
      <c r="L31" s="107"/>
      <c r="M31" s="39" t="e">
        <f t="shared" ca="1" si="1"/>
        <v>#N/A</v>
      </c>
      <c r="N31" s="101" t="e">
        <f ca="1">VLOOKUP($B31,Matrix!$H$13:$I$37,2,FALSE)&amp;"_"&amp;C31</f>
        <v>#N/A</v>
      </c>
      <c r="O31" s="114" t="e">
        <f t="shared" ca="1" si="0"/>
        <v>#N/A</v>
      </c>
    </row>
    <row r="32" spans="2:15">
      <c r="B32" s="23"/>
      <c r="C32" s="22"/>
      <c r="D32" s="106"/>
      <c r="E32" s="23"/>
      <c r="F32" s="107"/>
      <c r="G32" s="23"/>
      <c r="H32" s="107"/>
      <c r="I32" s="23"/>
      <c r="J32" s="107"/>
      <c r="K32" s="23"/>
      <c r="L32" s="107"/>
      <c r="M32" s="39" t="e">
        <f t="shared" ca="1" si="1"/>
        <v>#N/A</v>
      </c>
      <c r="N32" s="101" t="e">
        <f ca="1">VLOOKUP($B32,Matrix!$H$13:$I$37,2,FALSE)&amp;"_"&amp;C32</f>
        <v>#N/A</v>
      </c>
      <c r="O32" s="114" t="e">
        <f t="shared" ca="1" si="0"/>
        <v>#N/A</v>
      </c>
    </row>
    <row r="33" spans="2:15">
      <c r="B33" s="23"/>
      <c r="C33" s="22"/>
      <c r="D33" s="106"/>
      <c r="E33" s="23"/>
      <c r="F33" s="107"/>
      <c r="G33" s="23"/>
      <c r="H33" s="107"/>
      <c r="I33" s="23"/>
      <c r="J33" s="107"/>
      <c r="K33" s="23"/>
      <c r="L33" s="107"/>
      <c r="M33" s="39" t="e">
        <f t="shared" ca="1" si="1"/>
        <v>#N/A</v>
      </c>
      <c r="N33" s="101" t="e">
        <f ca="1">VLOOKUP($B33,Matrix!$H$13:$I$37,2,FALSE)&amp;"_"&amp;C33</f>
        <v>#N/A</v>
      </c>
      <c r="O33" s="114" t="e">
        <f t="shared" ca="1" si="0"/>
        <v>#N/A</v>
      </c>
    </row>
    <row r="34" spans="2:15">
      <c r="B34" s="23"/>
      <c r="C34" s="22"/>
      <c r="D34" s="106"/>
      <c r="E34" s="23"/>
      <c r="F34" s="107"/>
      <c r="G34" s="23"/>
      <c r="H34" s="107"/>
      <c r="I34" s="23"/>
      <c r="J34" s="107"/>
      <c r="K34" s="23"/>
      <c r="L34" s="107"/>
      <c r="M34" s="39" t="e">
        <f t="shared" ca="1" si="1"/>
        <v>#N/A</v>
      </c>
      <c r="N34" s="101" t="e">
        <f ca="1">VLOOKUP($B34,Matrix!$H$13:$I$37,2,FALSE)&amp;"_"&amp;C34</f>
        <v>#N/A</v>
      </c>
      <c r="O34" s="114" t="e">
        <f t="shared" ca="1" si="0"/>
        <v>#N/A</v>
      </c>
    </row>
    <row r="35" spans="2:15">
      <c r="B35" s="23"/>
      <c r="C35" s="22"/>
      <c r="D35" s="106"/>
      <c r="E35" s="23"/>
      <c r="F35" s="107"/>
      <c r="G35" s="23"/>
      <c r="H35" s="107"/>
      <c r="I35" s="23"/>
      <c r="J35" s="107"/>
      <c r="K35" s="23"/>
      <c r="L35" s="107"/>
      <c r="M35" s="39" t="e">
        <f t="shared" ca="1" si="1"/>
        <v>#N/A</v>
      </c>
      <c r="N35" s="101" t="e">
        <f ca="1">VLOOKUP($B35,Matrix!$H$13:$I$37,2,FALSE)&amp;"_"&amp;C35</f>
        <v>#N/A</v>
      </c>
      <c r="O35" s="114" t="e">
        <f t="shared" ca="1" si="0"/>
        <v>#N/A</v>
      </c>
    </row>
    <row r="36" spans="2:15">
      <c r="B36" s="23"/>
      <c r="C36" s="22"/>
      <c r="D36" s="106"/>
      <c r="E36" s="23"/>
      <c r="F36" s="107"/>
      <c r="G36" s="23"/>
      <c r="H36" s="107"/>
      <c r="I36" s="23"/>
      <c r="J36" s="107"/>
      <c r="K36" s="23"/>
      <c r="L36" s="107"/>
      <c r="M36" s="39" t="e">
        <f t="shared" ca="1" si="1"/>
        <v>#N/A</v>
      </c>
      <c r="N36" s="101" t="e">
        <f ca="1">VLOOKUP($B36,Matrix!$H$13:$I$37,2,FALSE)&amp;"_"&amp;C36</f>
        <v>#N/A</v>
      </c>
      <c r="O36" s="114" t="e">
        <f t="shared" ref="O36:O67" ca="1" si="2">"#define "&amp;N36&amp;REPT(" ",48-M36)&amp;"("&amp;D36&amp;"U)"</f>
        <v>#N/A</v>
      </c>
    </row>
    <row r="37" spans="2:15">
      <c r="B37" s="23"/>
      <c r="C37" s="22"/>
      <c r="D37" s="106"/>
      <c r="E37" s="23"/>
      <c r="F37" s="107"/>
      <c r="G37" s="23"/>
      <c r="H37" s="107"/>
      <c r="I37" s="23"/>
      <c r="J37" s="107"/>
      <c r="K37" s="23"/>
      <c r="L37" s="107"/>
      <c r="M37" s="39" t="e">
        <f t="shared" ca="1" si="1"/>
        <v>#N/A</v>
      </c>
      <c r="N37" s="101" t="e">
        <f ca="1">VLOOKUP($B37,Matrix!$H$13:$I$37,2,FALSE)&amp;"_"&amp;C37</f>
        <v>#N/A</v>
      </c>
      <c r="O37" s="114" t="e">
        <f t="shared" ca="1" si="2"/>
        <v>#N/A</v>
      </c>
    </row>
    <row r="38" spans="2:15">
      <c r="B38" s="23"/>
      <c r="C38" s="22"/>
      <c r="D38" s="106"/>
      <c r="E38" s="23"/>
      <c r="F38" s="107"/>
      <c r="G38" s="23"/>
      <c r="H38" s="107"/>
      <c r="I38" s="23"/>
      <c r="J38" s="107"/>
      <c r="K38" s="23"/>
      <c r="L38" s="107"/>
      <c r="M38" s="39" t="e">
        <f t="shared" ca="1" si="1"/>
        <v>#N/A</v>
      </c>
      <c r="N38" s="101" t="e">
        <f ca="1">VLOOKUP($B38,Matrix!$H$13:$I$37,2,FALSE)&amp;"_"&amp;C38</f>
        <v>#N/A</v>
      </c>
      <c r="O38" s="114" t="e">
        <f t="shared" ca="1" si="2"/>
        <v>#N/A</v>
      </c>
    </row>
    <row r="39" spans="2:15">
      <c r="B39" s="23"/>
      <c r="C39" s="22"/>
      <c r="D39" s="106"/>
      <c r="E39" s="23"/>
      <c r="F39" s="107"/>
      <c r="G39" s="23"/>
      <c r="H39" s="107"/>
      <c r="I39" s="23"/>
      <c r="J39" s="107"/>
      <c r="K39" s="23"/>
      <c r="L39" s="107"/>
      <c r="M39" s="39" t="e">
        <f t="shared" ca="1" si="1"/>
        <v>#N/A</v>
      </c>
      <c r="N39" s="101" t="e">
        <f ca="1">VLOOKUP($B39,Matrix!$H$13:$I$37,2,FALSE)&amp;"_"&amp;C39</f>
        <v>#N/A</v>
      </c>
      <c r="O39" s="114" t="e">
        <f t="shared" ca="1" si="2"/>
        <v>#N/A</v>
      </c>
    </row>
    <row r="40" spans="2:15">
      <c r="B40" s="23"/>
      <c r="C40" s="22"/>
      <c r="D40" s="106"/>
      <c r="E40" s="23"/>
      <c r="F40" s="107"/>
      <c r="G40" s="23"/>
      <c r="H40" s="107"/>
      <c r="I40" s="23"/>
      <c r="J40" s="107"/>
      <c r="K40" s="23"/>
      <c r="L40" s="107"/>
      <c r="M40" s="39" t="e">
        <f t="shared" ca="1" si="1"/>
        <v>#N/A</v>
      </c>
      <c r="N40" s="101" t="e">
        <f ca="1">VLOOKUP($B40,Matrix!$H$13:$I$37,2,FALSE)&amp;"_"&amp;C40</f>
        <v>#N/A</v>
      </c>
      <c r="O40" s="114" t="e">
        <f t="shared" ca="1" si="2"/>
        <v>#N/A</v>
      </c>
    </row>
    <row r="41" spans="2:15">
      <c r="B41" s="23"/>
      <c r="C41" s="22"/>
      <c r="D41" s="106"/>
      <c r="E41" s="23"/>
      <c r="F41" s="107"/>
      <c r="G41" s="23"/>
      <c r="H41" s="107"/>
      <c r="I41" s="23"/>
      <c r="J41" s="107"/>
      <c r="K41" s="23"/>
      <c r="L41" s="107"/>
      <c r="M41" s="39" t="e">
        <f t="shared" ca="1" si="1"/>
        <v>#N/A</v>
      </c>
      <c r="N41" s="101" t="e">
        <f ca="1">VLOOKUP($B41,Matrix!$H$13:$I$37,2,FALSE)&amp;"_"&amp;C41</f>
        <v>#N/A</v>
      </c>
      <c r="O41" s="114" t="e">
        <f t="shared" ca="1" si="2"/>
        <v>#N/A</v>
      </c>
    </row>
    <row r="42" spans="2:15">
      <c r="B42" s="23"/>
      <c r="C42" s="22"/>
      <c r="D42" s="106"/>
      <c r="E42" s="23"/>
      <c r="F42" s="107"/>
      <c r="G42" s="23"/>
      <c r="H42" s="107"/>
      <c r="I42" s="23"/>
      <c r="J42" s="107"/>
      <c r="K42" s="23"/>
      <c r="L42" s="107"/>
      <c r="M42" s="39" t="e">
        <f t="shared" ca="1" si="1"/>
        <v>#N/A</v>
      </c>
      <c r="N42" s="101" t="e">
        <f ca="1">VLOOKUP($B42,Matrix!$H$13:$I$37,2,FALSE)&amp;"_"&amp;C42</f>
        <v>#N/A</v>
      </c>
      <c r="O42" s="114" t="e">
        <f t="shared" ca="1" si="2"/>
        <v>#N/A</v>
      </c>
    </row>
    <row r="43" spans="2:15">
      <c r="B43" s="23"/>
      <c r="C43" s="22"/>
      <c r="D43" s="106"/>
      <c r="E43" s="23"/>
      <c r="F43" s="107"/>
      <c r="G43" s="23"/>
      <c r="H43" s="107"/>
      <c r="I43" s="23"/>
      <c r="J43" s="107"/>
      <c r="K43" s="23"/>
      <c r="L43" s="107"/>
      <c r="M43" s="39" t="e">
        <f t="shared" ca="1" si="1"/>
        <v>#N/A</v>
      </c>
      <c r="N43" s="101" t="e">
        <f ca="1">VLOOKUP($B43,Matrix!$H$13:$I$37,2,FALSE)&amp;"_"&amp;C43</f>
        <v>#N/A</v>
      </c>
      <c r="O43" s="114" t="e">
        <f t="shared" ca="1" si="2"/>
        <v>#N/A</v>
      </c>
    </row>
    <row r="44" spans="2:15">
      <c r="B44" s="23"/>
      <c r="C44" s="22"/>
      <c r="D44" s="106"/>
      <c r="E44" s="23"/>
      <c r="F44" s="107"/>
      <c r="G44" s="23"/>
      <c r="H44" s="107"/>
      <c r="I44" s="23"/>
      <c r="J44" s="107"/>
      <c r="K44" s="23"/>
      <c r="L44" s="107"/>
      <c r="M44" s="39" t="e">
        <f t="shared" ca="1" si="1"/>
        <v>#N/A</v>
      </c>
      <c r="N44" s="101" t="e">
        <f ca="1">VLOOKUP($B44,Matrix!$H$13:$I$37,2,FALSE)&amp;"_"&amp;C44</f>
        <v>#N/A</v>
      </c>
      <c r="O44" s="114" t="e">
        <f t="shared" ca="1" si="2"/>
        <v>#N/A</v>
      </c>
    </row>
    <row r="45" spans="2:15">
      <c r="B45" s="23"/>
      <c r="C45" s="22"/>
      <c r="D45" s="106"/>
      <c r="E45" s="23"/>
      <c r="F45" s="107"/>
      <c r="G45" s="23"/>
      <c r="H45" s="107"/>
      <c r="I45" s="23"/>
      <c r="J45" s="107"/>
      <c r="K45" s="23"/>
      <c r="L45" s="107"/>
      <c r="M45" s="39" t="e">
        <f t="shared" ca="1" si="1"/>
        <v>#N/A</v>
      </c>
      <c r="N45" s="101" t="e">
        <f ca="1">VLOOKUP($B45,Matrix!$H$13:$I$37,2,FALSE)&amp;"_"&amp;C45</f>
        <v>#N/A</v>
      </c>
      <c r="O45" s="114" t="e">
        <f t="shared" ca="1" si="2"/>
        <v>#N/A</v>
      </c>
    </row>
    <row r="46" spans="2:15">
      <c r="B46" s="23"/>
      <c r="C46" s="22"/>
      <c r="D46" s="106"/>
      <c r="E46" s="23"/>
      <c r="F46" s="107"/>
      <c r="G46" s="23"/>
      <c r="H46" s="107"/>
      <c r="I46" s="23"/>
      <c r="J46" s="107"/>
      <c r="K46" s="23"/>
      <c r="L46" s="107"/>
      <c r="M46" s="39" t="e">
        <f t="shared" ca="1" si="1"/>
        <v>#N/A</v>
      </c>
      <c r="N46" s="101" t="e">
        <f ca="1">VLOOKUP($B46,Matrix!$H$13:$I$37,2,FALSE)&amp;"_"&amp;C46</f>
        <v>#N/A</v>
      </c>
      <c r="O46" s="114" t="e">
        <f t="shared" ca="1" si="2"/>
        <v>#N/A</v>
      </c>
    </row>
    <row r="47" spans="2:15">
      <c r="B47" s="23"/>
      <c r="C47" s="22"/>
      <c r="D47" s="106"/>
      <c r="E47" s="23"/>
      <c r="F47" s="107"/>
      <c r="G47" s="23"/>
      <c r="H47" s="107"/>
      <c r="I47" s="23"/>
      <c r="J47" s="107"/>
      <c r="K47" s="23"/>
      <c r="L47" s="107"/>
      <c r="M47" s="39" t="e">
        <f t="shared" ca="1" si="1"/>
        <v>#N/A</v>
      </c>
      <c r="N47" s="101" t="e">
        <f ca="1">VLOOKUP($B47,Matrix!$H$13:$I$37,2,FALSE)&amp;"_"&amp;C47</f>
        <v>#N/A</v>
      </c>
      <c r="O47" s="114" t="e">
        <f t="shared" ca="1" si="2"/>
        <v>#N/A</v>
      </c>
    </row>
    <row r="48" spans="2:15">
      <c r="B48" s="23"/>
      <c r="C48" s="22"/>
      <c r="D48" s="106"/>
      <c r="E48" s="23"/>
      <c r="F48" s="107"/>
      <c r="G48" s="23"/>
      <c r="H48" s="107"/>
      <c r="I48" s="23"/>
      <c r="J48" s="107"/>
      <c r="K48" s="23"/>
      <c r="L48" s="107"/>
      <c r="M48" s="39" t="e">
        <f t="shared" ca="1" si="1"/>
        <v>#N/A</v>
      </c>
      <c r="N48" s="101" t="e">
        <f ca="1">VLOOKUP($B48,Matrix!$H$13:$I$37,2,FALSE)&amp;"_"&amp;C48</f>
        <v>#N/A</v>
      </c>
      <c r="O48" s="114" t="e">
        <f t="shared" ca="1" si="2"/>
        <v>#N/A</v>
      </c>
    </row>
    <row r="49" spans="2:15">
      <c r="B49" s="23"/>
      <c r="C49" s="22"/>
      <c r="D49" s="106"/>
      <c r="E49" s="23"/>
      <c r="F49" s="107"/>
      <c r="G49" s="23"/>
      <c r="H49" s="107"/>
      <c r="I49" s="23"/>
      <c r="J49" s="107"/>
      <c r="K49" s="23"/>
      <c r="L49" s="107"/>
      <c r="M49" s="39" t="e">
        <f t="shared" ca="1" si="1"/>
        <v>#N/A</v>
      </c>
      <c r="N49" s="101" t="e">
        <f ca="1">VLOOKUP($B49,Matrix!$H$13:$I$37,2,FALSE)&amp;"_"&amp;C49</f>
        <v>#N/A</v>
      </c>
      <c r="O49" s="114" t="e">
        <f t="shared" ca="1" si="2"/>
        <v>#N/A</v>
      </c>
    </row>
    <row r="50" spans="2:15">
      <c r="B50" s="23"/>
      <c r="C50" s="22"/>
      <c r="D50" s="106"/>
      <c r="E50" s="23"/>
      <c r="F50" s="107"/>
      <c r="G50" s="23"/>
      <c r="H50" s="107"/>
      <c r="I50" s="23"/>
      <c r="J50" s="107"/>
      <c r="K50" s="23"/>
      <c r="L50" s="107"/>
      <c r="M50" s="39" t="e">
        <f t="shared" ca="1" si="1"/>
        <v>#N/A</v>
      </c>
      <c r="N50" s="101" t="e">
        <f ca="1">VLOOKUP($B50,Matrix!$H$13:$I$37,2,FALSE)&amp;"_"&amp;C50</f>
        <v>#N/A</v>
      </c>
      <c r="O50" s="114" t="e">
        <f t="shared" ca="1" si="2"/>
        <v>#N/A</v>
      </c>
    </row>
    <row r="51" spans="2:15">
      <c r="B51" s="23"/>
      <c r="C51" s="22"/>
      <c r="D51" s="106"/>
      <c r="E51" s="23"/>
      <c r="F51" s="107"/>
      <c r="G51" s="23"/>
      <c r="H51" s="107"/>
      <c r="I51" s="23"/>
      <c r="J51" s="107"/>
      <c r="K51" s="23"/>
      <c r="L51" s="107"/>
      <c r="M51" s="39" t="e">
        <f t="shared" ca="1" si="1"/>
        <v>#N/A</v>
      </c>
      <c r="N51" s="101" t="e">
        <f ca="1">VLOOKUP($B51,Matrix!$H$13:$I$37,2,FALSE)&amp;"_"&amp;C51</f>
        <v>#N/A</v>
      </c>
      <c r="O51" s="114" t="e">
        <f t="shared" ca="1" si="2"/>
        <v>#N/A</v>
      </c>
    </row>
    <row r="52" spans="2:15">
      <c r="B52" s="23"/>
      <c r="C52" s="22"/>
      <c r="D52" s="106"/>
      <c r="E52" s="23"/>
      <c r="F52" s="107"/>
      <c r="G52" s="23"/>
      <c r="H52" s="107"/>
      <c r="I52" s="23"/>
      <c r="J52" s="107"/>
      <c r="K52" s="23"/>
      <c r="L52" s="107"/>
      <c r="M52" s="39" t="e">
        <f t="shared" ca="1" si="1"/>
        <v>#N/A</v>
      </c>
      <c r="N52" s="101" t="e">
        <f ca="1">VLOOKUP($B52,Matrix!$H$13:$I$37,2,FALSE)&amp;"_"&amp;C52</f>
        <v>#N/A</v>
      </c>
      <c r="O52" s="114" t="e">
        <f t="shared" ca="1" si="2"/>
        <v>#N/A</v>
      </c>
    </row>
    <row r="53" spans="2:15">
      <c r="B53" s="23"/>
      <c r="C53" s="22"/>
      <c r="D53" s="106"/>
      <c r="E53" s="23"/>
      <c r="F53" s="107"/>
      <c r="G53" s="23"/>
      <c r="H53" s="107"/>
      <c r="I53" s="23"/>
      <c r="J53" s="107"/>
      <c r="K53" s="23"/>
      <c r="L53" s="107"/>
      <c r="M53" s="39" t="e">
        <f t="shared" ca="1" si="1"/>
        <v>#N/A</v>
      </c>
      <c r="N53" s="101" t="e">
        <f ca="1">VLOOKUP($B53,Matrix!$H$13:$I$37,2,FALSE)&amp;"_"&amp;C53</f>
        <v>#N/A</v>
      </c>
      <c r="O53" s="114" t="e">
        <f t="shared" ca="1" si="2"/>
        <v>#N/A</v>
      </c>
    </row>
    <row r="54" spans="2:15">
      <c r="B54" s="23"/>
      <c r="C54" s="22"/>
      <c r="D54" s="106"/>
      <c r="E54" s="23"/>
      <c r="F54" s="107"/>
      <c r="G54" s="23"/>
      <c r="H54" s="107"/>
      <c r="I54" s="23"/>
      <c r="J54" s="107"/>
      <c r="K54" s="23"/>
      <c r="L54" s="107"/>
      <c r="M54" s="39" t="e">
        <f t="shared" ca="1" si="1"/>
        <v>#N/A</v>
      </c>
      <c r="N54" s="101" t="e">
        <f ca="1">VLOOKUP($B54,Matrix!$H$13:$I$37,2,FALSE)&amp;"_"&amp;C54</f>
        <v>#N/A</v>
      </c>
      <c r="O54" s="114" t="e">
        <f t="shared" ca="1" si="2"/>
        <v>#N/A</v>
      </c>
    </row>
    <row r="55" spans="2:15">
      <c r="B55" s="23"/>
      <c r="C55" s="22"/>
      <c r="D55" s="106"/>
      <c r="E55" s="23"/>
      <c r="F55" s="107"/>
      <c r="G55" s="23"/>
      <c r="H55" s="107"/>
      <c r="I55" s="23"/>
      <c r="J55" s="107"/>
      <c r="K55" s="23"/>
      <c r="L55" s="107"/>
      <c r="M55" s="39" t="e">
        <f t="shared" ca="1" si="1"/>
        <v>#N/A</v>
      </c>
      <c r="N55" s="101" t="e">
        <f ca="1">VLOOKUP($B55,Matrix!$H$13:$I$37,2,FALSE)&amp;"_"&amp;C55</f>
        <v>#N/A</v>
      </c>
      <c r="O55" s="114" t="e">
        <f t="shared" ca="1" si="2"/>
        <v>#N/A</v>
      </c>
    </row>
    <row r="56" spans="2:15">
      <c r="B56" s="23"/>
      <c r="C56" s="22"/>
      <c r="D56" s="106"/>
      <c r="E56" s="23"/>
      <c r="F56" s="107"/>
      <c r="G56" s="23"/>
      <c r="H56" s="107"/>
      <c r="I56" s="23"/>
      <c r="J56" s="107"/>
      <c r="K56" s="23"/>
      <c r="L56" s="107"/>
      <c r="M56" s="39" t="e">
        <f t="shared" ca="1" si="1"/>
        <v>#N/A</v>
      </c>
      <c r="N56" s="101" t="e">
        <f ca="1">VLOOKUP($B56,Matrix!$H$13:$I$37,2,FALSE)&amp;"_"&amp;C56</f>
        <v>#N/A</v>
      </c>
      <c r="O56" s="114" t="e">
        <f t="shared" ca="1" si="2"/>
        <v>#N/A</v>
      </c>
    </row>
    <row r="57" spans="2:15">
      <c r="B57" s="23"/>
      <c r="C57" s="22"/>
      <c r="D57" s="106"/>
      <c r="E57" s="23"/>
      <c r="F57" s="107"/>
      <c r="G57" s="23"/>
      <c r="H57" s="107"/>
      <c r="I57" s="23"/>
      <c r="J57" s="107"/>
      <c r="K57" s="23"/>
      <c r="L57" s="107"/>
      <c r="M57" s="39" t="e">
        <f t="shared" ca="1" si="1"/>
        <v>#N/A</v>
      </c>
      <c r="N57" s="101" t="e">
        <f ca="1">VLOOKUP($B57,Matrix!$H$13:$I$37,2,FALSE)&amp;"_"&amp;C57</f>
        <v>#N/A</v>
      </c>
      <c r="O57" s="114" t="e">
        <f t="shared" ca="1" si="2"/>
        <v>#N/A</v>
      </c>
    </row>
    <row r="58" spans="2:15">
      <c r="B58" s="23"/>
      <c r="C58" s="22"/>
      <c r="D58" s="106"/>
      <c r="E58" s="23"/>
      <c r="F58" s="107"/>
      <c r="G58" s="23"/>
      <c r="H58" s="107"/>
      <c r="I58" s="23"/>
      <c r="J58" s="107"/>
      <c r="K58" s="23"/>
      <c r="L58" s="107"/>
      <c r="M58" s="39" t="e">
        <f t="shared" ca="1" si="1"/>
        <v>#N/A</v>
      </c>
      <c r="N58" s="101" t="e">
        <f ca="1">VLOOKUP($B58,Matrix!$H$13:$I$37,2,FALSE)&amp;"_"&amp;C58</f>
        <v>#N/A</v>
      </c>
      <c r="O58" s="114" t="e">
        <f t="shared" ca="1" si="2"/>
        <v>#N/A</v>
      </c>
    </row>
    <row r="59" spans="2:15">
      <c r="B59" s="23"/>
      <c r="C59" s="22"/>
      <c r="D59" s="106"/>
      <c r="E59" s="23"/>
      <c r="F59" s="107"/>
      <c r="G59" s="23"/>
      <c r="H59" s="107"/>
      <c r="I59" s="23"/>
      <c r="J59" s="107"/>
      <c r="K59" s="23"/>
      <c r="L59" s="107"/>
      <c r="M59" s="39" t="e">
        <f t="shared" ca="1" si="1"/>
        <v>#N/A</v>
      </c>
      <c r="N59" s="101" t="e">
        <f ca="1">VLOOKUP($B59,Matrix!$H$13:$I$37,2,FALSE)&amp;"_"&amp;C59</f>
        <v>#N/A</v>
      </c>
      <c r="O59" s="114" t="e">
        <f t="shared" ca="1" si="2"/>
        <v>#N/A</v>
      </c>
    </row>
    <row r="60" spans="2:15">
      <c r="B60" s="23"/>
      <c r="C60" s="22"/>
      <c r="D60" s="106"/>
      <c r="E60" s="23"/>
      <c r="F60" s="107"/>
      <c r="G60" s="23"/>
      <c r="H60" s="107"/>
      <c r="I60" s="23"/>
      <c r="J60" s="107"/>
      <c r="K60" s="23"/>
      <c r="L60" s="107"/>
      <c r="M60" s="39" t="e">
        <f t="shared" ca="1" si="1"/>
        <v>#N/A</v>
      </c>
      <c r="N60" s="101" t="e">
        <f ca="1">VLOOKUP($B60,Matrix!$H$13:$I$37,2,FALSE)&amp;"_"&amp;C60</f>
        <v>#N/A</v>
      </c>
      <c r="O60" s="114" t="e">
        <f t="shared" ca="1" si="2"/>
        <v>#N/A</v>
      </c>
    </row>
    <row r="61" spans="2:15">
      <c r="B61" s="23"/>
      <c r="C61" s="22"/>
      <c r="D61" s="106"/>
      <c r="E61" s="23"/>
      <c r="F61" s="107"/>
      <c r="G61" s="23"/>
      <c r="H61" s="107"/>
      <c r="I61" s="23"/>
      <c r="J61" s="107"/>
      <c r="K61" s="23"/>
      <c r="L61" s="107"/>
      <c r="M61" s="39" t="e">
        <f t="shared" ca="1" si="1"/>
        <v>#N/A</v>
      </c>
      <c r="N61" s="101" t="e">
        <f ca="1">VLOOKUP($B61,Matrix!$H$13:$I$37,2,FALSE)&amp;"_"&amp;C61</f>
        <v>#N/A</v>
      </c>
      <c r="O61" s="114" t="e">
        <f t="shared" ca="1" si="2"/>
        <v>#N/A</v>
      </c>
    </row>
    <row r="62" spans="2:15">
      <c r="B62" s="23"/>
      <c r="C62" s="22"/>
      <c r="D62" s="106"/>
      <c r="E62" s="23"/>
      <c r="F62" s="107"/>
      <c r="G62" s="23"/>
      <c r="H62" s="107"/>
      <c r="I62" s="23"/>
      <c r="J62" s="107"/>
      <c r="K62" s="23"/>
      <c r="L62" s="107"/>
      <c r="M62" s="39" t="e">
        <f t="shared" ca="1" si="1"/>
        <v>#N/A</v>
      </c>
      <c r="N62" s="101" t="e">
        <f ca="1">VLOOKUP($B62,Matrix!$H$13:$I$37,2,FALSE)&amp;"_"&amp;C62</f>
        <v>#N/A</v>
      </c>
      <c r="O62" s="114" t="e">
        <f t="shared" ca="1" si="2"/>
        <v>#N/A</v>
      </c>
    </row>
    <row r="63" spans="2:15">
      <c r="B63" s="23"/>
      <c r="C63" s="22"/>
      <c r="D63" s="106"/>
      <c r="E63" s="23"/>
      <c r="F63" s="107"/>
      <c r="G63" s="23"/>
      <c r="H63" s="107"/>
      <c r="I63" s="23"/>
      <c r="J63" s="107"/>
      <c r="K63" s="23"/>
      <c r="L63" s="107"/>
      <c r="M63" s="39" t="e">
        <f t="shared" ca="1" si="1"/>
        <v>#N/A</v>
      </c>
      <c r="N63" s="101" t="e">
        <f ca="1">VLOOKUP($B63,Matrix!$H$13:$I$37,2,FALSE)&amp;"_"&amp;C63</f>
        <v>#N/A</v>
      </c>
      <c r="O63" s="114" t="e">
        <f t="shared" ca="1" si="2"/>
        <v>#N/A</v>
      </c>
    </row>
    <row r="64" spans="2:15">
      <c r="B64" s="23"/>
      <c r="C64" s="22"/>
      <c r="D64" s="106"/>
      <c r="E64" s="23"/>
      <c r="F64" s="107"/>
      <c r="G64" s="23"/>
      <c r="H64" s="107"/>
      <c r="I64" s="23"/>
      <c r="J64" s="107"/>
      <c r="K64" s="23"/>
      <c r="L64" s="107"/>
      <c r="M64" s="39" t="e">
        <f t="shared" ca="1" si="1"/>
        <v>#N/A</v>
      </c>
      <c r="N64" s="101" t="e">
        <f ca="1">VLOOKUP($B64,Matrix!$H$13:$I$37,2,FALSE)&amp;"_"&amp;C64</f>
        <v>#N/A</v>
      </c>
      <c r="O64" s="114" t="e">
        <f t="shared" ca="1" si="2"/>
        <v>#N/A</v>
      </c>
    </row>
    <row r="65" spans="2:15">
      <c r="B65" s="23"/>
      <c r="C65" s="22"/>
      <c r="D65" s="106"/>
      <c r="E65" s="23"/>
      <c r="F65" s="107"/>
      <c r="G65" s="23"/>
      <c r="H65" s="107"/>
      <c r="I65" s="23"/>
      <c r="J65" s="107"/>
      <c r="K65" s="23"/>
      <c r="L65" s="107"/>
      <c r="M65" s="39" t="e">
        <f t="shared" ca="1" si="1"/>
        <v>#N/A</v>
      </c>
      <c r="N65" s="101" t="e">
        <f ca="1">VLOOKUP($B65,Matrix!$H$13:$I$37,2,FALSE)&amp;"_"&amp;C65</f>
        <v>#N/A</v>
      </c>
      <c r="O65" s="114" t="e">
        <f t="shared" ca="1" si="2"/>
        <v>#N/A</v>
      </c>
    </row>
    <row r="66" spans="2:15">
      <c r="B66" s="23"/>
      <c r="C66" s="22"/>
      <c r="D66" s="106"/>
      <c r="E66" s="23"/>
      <c r="F66" s="107"/>
      <c r="G66" s="23"/>
      <c r="H66" s="107"/>
      <c r="I66" s="23"/>
      <c r="J66" s="107"/>
      <c r="K66" s="23"/>
      <c r="L66" s="107"/>
      <c r="M66" s="39" t="e">
        <f t="shared" ca="1" si="1"/>
        <v>#N/A</v>
      </c>
      <c r="N66" s="101" t="e">
        <f ca="1">VLOOKUP($B66,Matrix!$H$13:$I$37,2,FALSE)&amp;"_"&amp;C66</f>
        <v>#N/A</v>
      </c>
      <c r="O66" s="114" t="e">
        <f t="shared" ca="1" si="2"/>
        <v>#N/A</v>
      </c>
    </row>
    <row r="67" spans="2:15">
      <c r="B67" s="23"/>
      <c r="C67" s="22"/>
      <c r="D67" s="106"/>
      <c r="E67" s="23"/>
      <c r="F67" s="107"/>
      <c r="G67" s="23"/>
      <c r="H67" s="107"/>
      <c r="I67" s="23"/>
      <c r="J67" s="107"/>
      <c r="K67" s="23"/>
      <c r="L67" s="107"/>
      <c r="M67" s="39" t="e">
        <f t="shared" ca="1" si="1"/>
        <v>#N/A</v>
      </c>
      <c r="N67" s="101" t="e">
        <f ca="1">VLOOKUP($B67,Matrix!$H$13:$I$37,2,FALSE)&amp;"_"&amp;C67</f>
        <v>#N/A</v>
      </c>
      <c r="O67" s="114" t="e">
        <f t="shared" ca="1" si="2"/>
        <v>#N/A</v>
      </c>
    </row>
    <row r="68" spans="2:15">
      <c r="B68" s="23"/>
      <c r="C68" s="22"/>
      <c r="D68" s="106"/>
      <c r="E68" s="23"/>
      <c r="F68" s="107"/>
      <c r="G68" s="23"/>
      <c r="H68" s="107"/>
      <c r="I68" s="23"/>
      <c r="J68" s="107"/>
      <c r="K68" s="23"/>
      <c r="L68" s="107"/>
      <c r="M68" s="39" t="e">
        <f t="shared" ca="1" si="1"/>
        <v>#N/A</v>
      </c>
      <c r="N68" s="101" t="e">
        <f ca="1">VLOOKUP($B68,Matrix!$H$13:$I$37,2,FALSE)&amp;"_"&amp;C68</f>
        <v>#N/A</v>
      </c>
      <c r="O68" s="114" t="e">
        <f t="shared" ref="O68:O99" ca="1" si="3">"#define "&amp;N68&amp;REPT(" ",48-M68)&amp;"("&amp;D68&amp;"U)"</f>
        <v>#N/A</v>
      </c>
    </row>
    <row r="69" spans="2:15">
      <c r="B69" s="23"/>
      <c r="C69" s="22"/>
      <c r="D69" s="106"/>
      <c r="E69" s="23"/>
      <c r="F69" s="107"/>
      <c r="G69" s="23"/>
      <c r="H69" s="107"/>
      <c r="I69" s="23"/>
      <c r="J69" s="107"/>
      <c r="K69" s="23"/>
      <c r="L69" s="107"/>
      <c r="M69" s="39" t="e">
        <f t="shared" ref="M69:M103" ca="1" si="4">LEN(N69)</f>
        <v>#N/A</v>
      </c>
      <c r="N69" s="101" t="e">
        <f ca="1">VLOOKUP($B69,Matrix!$H$13:$I$37,2,FALSE)&amp;"_"&amp;C69</f>
        <v>#N/A</v>
      </c>
      <c r="O69" s="114" t="e">
        <f t="shared" ca="1" si="3"/>
        <v>#N/A</v>
      </c>
    </row>
    <row r="70" spans="2:15">
      <c r="B70" s="23"/>
      <c r="C70" s="22"/>
      <c r="D70" s="106"/>
      <c r="E70" s="23"/>
      <c r="F70" s="107"/>
      <c r="G70" s="23"/>
      <c r="H70" s="107"/>
      <c r="I70" s="23"/>
      <c r="J70" s="107"/>
      <c r="K70" s="23"/>
      <c r="L70" s="107"/>
      <c r="M70" s="39" t="e">
        <f t="shared" ca="1" si="4"/>
        <v>#N/A</v>
      </c>
      <c r="N70" s="101" t="e">
        <f ca="1">VLOOKUP($B70,Matrix!$H$13:$I$37,2,FALSE)&amp;"_"&amp;C70</f>
        <v>#N/A</v>
      </c>
      <c r="O70" s="114" t="e">
        <f t="shared" ca="1" si="3"/>
        <v>#N/A</v>
      </c>
    </row>
    <row r="71" spans="2:15">
      <c r="B71" s="23"/>
      <c r="C71" s="22"/>
      <c r="D71" s="106"/>
      <c r="E71" s="23"/>
      <c r="F71" s="107"/>
      <c r="G71" s="23"/>
      <c r="H71" s="107"/>
      <c r="I71" s="23"/>
      <c r="J71" s="107"/>
      <c r="K71" s="23"/>
      <c r="L71" s="107"/>
      <c r="M71" s="39" t="e">
        <f t="shared" ca="1" si="4"/>
        <v>#N/A</v>
      </c>
      <c r="N71" s="101" t="e">
        <f ca="1">VLOOKUP($B71,Matrix!$H$13:$I$37,2,FALSE)&amp;"_"&amp;C71</f>
        <v>#N/A</v>
      </c>
      <c r="O71" s="114" t="e">
        <f t="shared" ca="1" si="3"/>
        <v>#N/A</v>
      </c>
    </row>
    <row r="72" spans="2:15">
      <c r="B72" s="23"/>
      <c r="C72" s="22"/>
      <c r="D72" s="106"/>
      <c r="E72" s="23"/>
      <c r="F72" s="107"/>
      <c r="G72" s="23"/>
      <c r="H72" s="107"/>
      <c r="I72" s="23"/>
      <c r="J72" s="107"/>
      <c r="K72" s="23"/>
      <c r="L72" s="107"/>
      <c r="M72" s="39" t="e">
        <f t="shared" ca="1" si="4"/>
        <v>#N/A</v>
      </c>
      <c r="N72" s="101" t="e">
        <f ca="1">VLOOKUP($B72,Matrix!$H$13:$I$37,2,FALSE)&amp;"_"&amp;C72</f>
        <v>#N/A</v>
      </c>
      <c r="O72" s="114" t="e">
        <f t="shared" ca="1" si="3"/>
        <v>#N/A</v>
      </c>
    </row>
    <row r="73" spans="2:15">
      <c r="B73" s="23"/>
      <c r="C73" s="22"/>
      <c r="D73" s="106"/>
      <c r="E73" s="23"/>
      <c r="F73" s="107"/>
      <c r="G73" s="23"/>
      <c r="H73" s="107"/>
      <c r="I73" s="23"/>
      <c r="J73" s="107"/>
      <c r="K73" s="23"/>
      <c r="L73" s="107"/>
      <c r="M73" s="39" t="e">
        <f t="shared" ca="1" si="4"/>
        <v>#N/A</v>
      </c>
      <c r="N73" s="101" t="e">
        <f ca="1">VLOOKUP($B73,Matrix!$H$13:$I$37,2,FALSE)&amp;"_"&amp;C73</f>
        <v>#N/A</v>
      </c>
      <c r="O73" s="114" t="e">
        <f t="shared" ca="1" si="3"/>
        <v>#N/A</v>
      </c>
    </row>
    <row r="74" spans="2:15">
      <c r="B74" s="23"/>
      <c r="C74" s="22"/>
      <c r="D74" s="106"/>
      <c r="E74" s="23"/>
      <c r="F74" s="107"/>
      <c r="G74" s="23"/>
      <c r="H74" s="107"/>
      <c r="I74" s="23"/>
      <c r="J74" s="107"/>
      <c r="K74" s="23"/>
      <c r="L74" s="107"/>
      <c r="M74" s="39" t="e">
        <f t="shared" ca="1" si="4"/>
        <v>#N/A</v>
      </c>
      <c r="N74" s="101" t="e">
        <f ca="1">VLOOKUP($B74,Matrix!$H$13:$I$37,2,FALSE)&amp;"_"&amp;C74</f>
        <v>#N/A</v>
      </c>
      <c r="O74" s="114" t="e">
        <f t="shared" ca="1" si="3"/>
        <v>#N/A</v>
      </c>
    </row>
    <row r="75" spans="2:15">
      <c r="B75" s="23"/>
      <c r="C75" s="22"/>
      <c r="D75" s="106"/>
      <c r="E75" s="23"/>
      <c r="F75" s="107"/>
      <c r="G75" s="23"/>
      <c r="H75" s="107"/>
      <c r="I75" s="23"/>
      <c r="J75" s="107"/>
      <c r="K75" s="23"/>
      <c r="L75" s="107"/>
      <c r="M75" s="39" t="e">
        <f t="shared" ca="1" si="4"/>
        <v>#N/A</v>
      </c>
      <c r="N75" s="101" t="e">
        <f ca="1">VLOOKUP($B75,Matrix!$H$13:$I$37,2,FALSE)&amp;"_"&amp;C75</f>
        <v>#N/A</v>
      </c>
      <c r="O75" s="114" t="e">
        <f t="shared" ca="1" si="3"/>
        <v>#N/A</v>
      </c>
    </row>
    <row r="76" spans="2:15">
      <c r="B76" s="23"/>
      <c r="C76" s="22"/>
      <c r="D76" s="106"/>
      <c r="E76" s="23"/>
      <c r="F76" s="107"/>
      <c r="G76" s="23"/>
      <c r="H76" s="107"/>
      <c r="I76" s="23"/>
      <c r="J76" s="107"/>
      <c r="K76" s="23"/>
      <c r="L76" s="107"/>
      <c r="M76" s="39" t="e">
        <f t="shared" ca="1" si="4"/>
        <v>#N/A</v>
      </c>
      <c r="N76" s="101" t="e">
        <f ca="1">VLOOKUP($B76,Matrix!$H$13:$I$37,2,FALSE)&amp;"_"&amp;C76</f>
        <v>#N/A</v>
      </c>
      <c r="O76" s="114" t="e">
        <f t="shared" ca="1" si="3"/>
        <v>#N/A</v>
      </c>
    </row>
    <row r="77" spans="2:15">
      <c r="B77" s="23"/>
      <c r="C77" s="22"/>
      <c r="D77" s="106"/>
      <c r="E77" s="23"/>
      <c r="F77" s="107"/>
      <c r="G77" s="23"/>
      <c r="H77" s="107"/>
      <c r="I77" s="23"/>
      <c r="J77" s="107"/>
      <c r="K77" s="23"/>
      <c r="L77" s="107"/>
      <c r="M77" s="39" t="e">
        <f t="shared" ca="1" si="4"/>
        <v>#N/A</v>
      </c>
      <c r="N77" s="101" t="e">
        <f ca="1">VLOOKUP($B77,Matrix!$H$13:$I$37,2,FALSE)&amp;"_"&amp;C77</f>
        <v>#N/A</v>
      </c>
      <c r="O77" s="114" t="e">
        <f t="shared" ca="1" si="3"/>
        <v>#N/A</v>
      </c>
    </row>
    <row r="78" spans="2:15">
      <c r="B78" s="23"/>
      <c r="C78" s="22"/>
      <c r="D78" s="106"/>
      <c r="E78" s="23"/>
      <c r="F78" s="107"/>
      <c r="G78" s="23"/>
      <c r="H78" s="107"/>
      <c r="I78" s="23"/>
      <c r="J78" s="107"/>
      <c r="K78" s="23"/>
      <c r="L78" s="107"/>
      <c r="M78" s="39" t="e">
        <f t="shared" ca="1" si="4"/>
        <v>#N/A</v>
      </c>
      <c r="N78" s="101" t="e">
        <f ca="1">VLOOKUP($B78,Matrix!$H$13:$I$37,2,FALSE)&amp;"_"&amp;C78</f>
        <v>#N/A</v>
      </c>
      <c r="O78" s="114" t="e">
        <f t="shared" ca="1" si="3"/>
        <v>#N/A</v>
      </c>
    </row>
    <row r="79" spans="2:15">
      <c r="B79" s="23"/>
      <c r="C79" s="22"/>
      <c r="D79" s="106"/>
      <c r="E79" s="23"/>
      <c r="F79" s="107"/>
      <c r="G79" s="23"/>
      <c r="H79" s="107"/>
      <c r="I79" s="23"/>
      <c r="J79" s="107"/>
      <c r="K79" s="23"/>
      <c r="L79" s="107"/>
      <c r="M79" s="39" t="e">
        <f t="shared" ca="1" si="4"/>
        <v>#N/A</v>
      </c>
      <c r="N79" s="101" t="e">
        <f ca="1">VLOOKUP($B79,Matrix!$H$13:$I$37,2,FALSE)&amp;"_"&amp;C79</f>
        <v>#N/A</v>
      </c>
      <c r="O79" s="114" t="e">
        <f t="shared" ca="1" si="3"/>
        <v>#N/A</v>
      </c>
    </row>
    <row r="80" spans="2:15">
      <c r="B80" s="23"/>
      <c r="C80" s="22"/>
      <c r="D80" s="106"/>
      <c r="E80" s="23"/>
      <c r="F80" s="107"/>
      <c r="G80" s="23"/>
      <c r="H80" s="107"/>
      <c r="I80" s="23"/>
      <c r="J80" s="107"/>
      <c r="K80" s="23"/>
      <c r="L80" s="107"/>
      <c r="M80" s="39" t="e">
        <f t="shared" ca="1" si="4"/>
        <v>#N/A</v>
      </c>
      <c r="N80" s="101" t="e">
        <f ca="1">VLOOKUP($B80,Matrix!$H$13:$I$37,2,FALSE)&amp;"_"&amp;C80</f>
        <v>#N/A</v>
      </c>
      <c r="O80" s="114" t="e">
        <f t="shared" ca="1" si="3"/>
        <v>#N/A</v>
      </c>
    </row>
    <row r="81" spans="2:15">
      <c r="B81" s="23"/>
      <c r="C81" s="22"/>
      <c r="D81" s="106"/>
      <c r="E81" s="23"/>
      <c r="F81" s="107"/>
      <c r="G81" s="23"/>
      <c r="H81" s="107"/>
      <c r="I81" s="23"/>
      <c r="J81" s="107"/>
      <c r="K81" s="23"/>
      <c r="L81" s="107"/>
      <c r="M81" s="39" t="e">
        <f t="shared" ca="1" si="4"/>
        <v>#N/A</v>
      </c>
      <c r="N81" s="101" t="e">
        <f ca="1">VLOOKUP($B81,Matrix!$H$13:$I$37,2,FALSE)&amp;"_"&amp;C81</f>
        <v>#N/A</v>
      </c>
      <c r="O81" s="114" t="e">
        <f t="shared" ca="1" si="3"/>
        <v>#N/A</v>
      </c>
    </row>
    <row r="82" spans="2:15">
      <c r="B82" s="23"/>
      <c r="C82" s="22"/>
      <c r="D82" s="106"/>
      <c r="E82" s="23"/>
      <c r="F82" s="107"/>
      <c r="G82" s="23"/>
      <c r="H82" s="107"/>
      <c r="I82" s="23"/>
      <c r="J82" s="107"/>
      <c r="K82" s="23"/>
      <c r="L82" s="107"/>
      <c r="M82" s="39" t="e">
        <f t="shared" ca="1" si="4"/>
        <v>#N/A</v>
      </c>
      <c r="N82" s="101" t="e">
        <f ca="1">VLOOKUP($B82,Matrix!$H$13:$I$37,2,FALSE)&amp;"_"&amp;C82</f>
        <v>#N/A</v>
      </c>
      <c r="O82" s="114" t="e">
        <f t="shared" ca="1" si="3"/>
        <v>#N/A</v>
      </c>
    </row>
    <row r="83" spans="2:15">
      <c r="B83" s="23"/>
      <c r="C83" s="22"/>
      <c r="D83" s="106"/>
      <c r="E83" s="23"/>
      <c r="F83" s="107"/>
      <c r="G83" s="23"/>
      <c r="H83" s="107"/>
      <c r="I83" s="23"/>
      <c r="J83" s="107"/>
      <c r="K83" s="23"/>
      <c r="L83" s="107"/>
      <c r="M83" s="39" t="e">
        <f t="shared" ca="1" si="4"/>
        <v>#N/A</v>
      </c>
      <c r="N83" s="101" t="e">
        <f ca="1">VLOOKUP($B83,Matrix!$H$13:$I$37,2,FALSE)&amp;"_"&amp;C83</f>
        <v>#N/A</v>
      </c>
      <c r="O83" s="114" t="e">
        <f t="shared" ca="1" si="3"/>
        <v>#N/A</v>
      </c>
    </row>
    <row r="84" spans="2:15">
      <c r="B84" s="23"/>
      <c r="C84" s="22"/>
      <c r="D84" s="106"/>
      <c r="E84" s="23"/>
      <c r="F84" s="107"/>
      <c r="G84" s="23"/>
      <c r="H84" s="107"/>
      <c r="I84" s="23"/>
      <c r="J84" s="107"/>
      <c r="K84" s="23"/>
      <c r="L84" s="107"/>
      <c r="M84" s="39" t="e">
        <f t="shared" ca="1" si="4"/>
        <v>#N/A</v>
      </c>
      <c r="N84" s="101" t="e">
        <f ca="1">VLOOKUP($B84,Matrix!$H$13:$I$37,2,FALSE)&amp;"_"&amp;C84</f>
        <v>#N/A</v>
      </c>
      <c r="O84" s="114" t="e">
        <f t="shared" ca="1" si="3"/>
        <v>#N/A</v>
      </c>
    </row>
    <row r="85" spans="2:15">
      <c r="B85" s="23"/>
      <c r="C85" s="22"/>
      <c r="D85" s="106"/>
      <c r="E85" s="23"/>
      <c r="F85" s="107"/>
      <c r="G85" s="23"/>
      <c r="H85" s="107"/>
      <c r="I85" s="23"/>
      <c r="J85" s="107"/>
      <c r="K85" s="23"/>
      <c r="L85" s="107"/>
      <c r="M85" s="39" t="e">
        <f t="shared" ca="1" si="4"/>
        <v>#N/A</v>
      </c>
      <c r="N85" s="101" t="e">
        <f ca="1">VLOOKUP($B85,Matrix!$H$13:$I$37,2,FALSE)&amp;"_"&amp;C85</f>
        <v>#N/A</v>
      </c>
      <c r="O85" s="114" t="e">
        <f t="shared" ca="1" si="3"/>
        <v>#N/A</v>
      </c>
    </row>
    <row r="86" spans="2:15">
      <c r="B86" s="23"/>
      <c r="C86" s="22"/>
      <c r="D86" s="106"/>
      <c r="E86" s="23"/>
      <c r="F86" s="107"/>
      <c r="G86" s="23"/>
      <c r="H86" s="107"/>
      <c r="I86" s="23"/>
      <c r="J86" s="107"/>
      <c r="K86" s="23"/>
      <c r="L86" s="107"/>
      <c r="M86" s="39" t="e">
        <f t="shared" ca="1" si="4"/>
        <v>#N/A</v>
      </c>
      <c r="N86" s="101" t="e">
        <f ca="1">VLOOKUP($B86,Matrix!$H$13:$I$37,2,FALSE)&amp;"_"&amp;C86</f>
        <v>#N/A</v>
      </c>
      <c r="O86" s="114" t="e">
        <f t="shared" ca="1" si="3"/>
        <v>#N/A</v>
      </c>
    </row>
    <row r="87" spans="2:15">
      <c r="B87" s="23"/>
      <c r="C87" s="22"/>
      <c r="D87" s="106"/>
      <c r="E87" s="23"/>
      <c r="F87" s="107"/>
      <c r="G87" s="23"/>
      <c r="H87" s="107"/>
      <c r="I87" s="23"/>
      <c r="J87" s="107"/>
      <c r="K87" s="23"/>
      <c r="L87" s="107"/>
      <c r="M87" s="39" t="e">
        <f t="shared" ca="1" si="4"/>
        <v>#N/A</v>
      </c>
      <c r="N87" s="60" t="e">
        <f ca="1">VLOOKUP($B87,Matrix!$H$13:$I$37,2,FALSE)&amp;"_"&amp;C87</f>
        <v>#N/A</v>
      </c>
      <c r="O87" s="114" t="e">
        <f t="shared" ca="1" si="3"/>
        <v>#N/A</v>
      </c>
    </row>
    <row r="88" spans="2:15">
      <c r="B88" s="23"/>
      <c r="C88" s="22"/>
      <c r="D88" s="106"/>
      <c r="E88" s="23"/>
      <c r="F88" s="107"/>
      <c r="G88" s="23"/>
      <c r="H88" s="107"/>
      <c r="I88" s="23"/>
      <c r="J88" s="107"/>
      <c r="K88" s="23"/>
      <c r="L88" s="107"/>
      <c r="M88" s="39" t="e">
        <f t="shared" ca="1" si="4"/>
        <v>#N/A</v>
      </c>
      <c r="N88" s="60" t="e">
        <f ca="1">VLOOKUP($B88,Matrix!$H$13:$I$37,2,FALSE)&amp;"_"&amp;C88</f>
        <v>#N/A</v>
      </c>
      <c r="O88" s="114" t="e">
        <f t="shared" ca="1" si="3"/>
        <v>#N/A</v>
      </c>
    </row>
    <row r="89" spans="2:15">
      <c r="B89" s="23"/>
      <c r="C89" s="22"/>
      <c r="D89" s="106"/>
      <c r="E89" s="23"/>
      <c r="F89" s="107"/>
      <c r="G89" s="23"/>
      <c r="H89" s="107"/>
      <c r="I89" s="23"/>
      <c r="J89" s="107"/>
      <c r="K89" s="23"/>
      <c r="L89" s="107"/>
      <c r="M89" s="39" t="e">
        <f t="shared" ca="1" si="4"/>
        <v>#N/A</v>
      </c>
      <c r="N89" s="60" t="e">
        <f ca="1">VLOOKUP($B89,Matrix!$H$13:$I$37,2,FALSE)&amp;"_"&amp;C89</f>
        <v>#N/A</v>
      </c>
      <c r="O89" s="114" t="e">
        <f t="shared" ca="1" si="3"/>
        <v>#N/A</v>
      </c>
    </row>
    <row r="90" spans="2:15">
      <c r="B90" s="23"/>
      <c r="C90" s="22"/>
      <c r="D90" s="106"/>
      <c r="E90" s="23"/>
      <c r="F90" s="107"/>
      <c r="G90" s="23"/>
      <c r="H90" s="107"/>
      <c r="I90" s="23"/>
      <c r="J90" s="107"/>
      <c r="K90" s="23"/>
      <c r="L90" s="107"/>
      <c r="M90" s="39" t="e">
        <f t="shared" ca="1" si="4"/>
        <v>#N/A</v>
      </c>
      <c r="N90" s="60" t="e">
        <f ca="1">VLOOKUP($B90,Matrix!$H$13:$I$37,2,FALSE)&amp;"_"&amp;C90</f>
        <v>#N/A</v>
      </c>
      <c r="O90" s="114" t="e">
        <f t="shared" ca="1" si="3"/>
        <v>#N/A</v>
      </c>
    </row>
    <row r="91" spans="2:15">
      <c r="B91" s="23"/>
      <c r="C91" s="22"/>
      <c r="D91" s="106"/>
      <c r="E91" s="23"/>
      <c r="F91" s="107"/>
      <c r="G91" s="23"/>
      <c r="H91" s="107"/>
      <c r="I91" s="23"/>
      <c r="J91" s="107"/>
      <c r="K91" s="23"/>
      <c r="L91" s="107"/>
      <c r="M91" s="39" t="e">
        <f t="shared" ca="1" si="4"/>
        <v>#N/A</v>
      </c>
      <c r="N91" s="60" t="e">
        <f ca="1">VLOOKUP($B91,Matrix!$H$13:$I$37,2,FALSE)&amp;"_"&amp;C91</f>
        <v>#N/A</v>
      </c>
      <c r="O91" s="114" t="e">
        <f t="shared" ca="1" si="3"/>
        <v>#N/A</v>
      </c>
    </row>
    <row r="92" spans="2:15">
      <c r="B92" s="23"/>
      <c r="C92" s="22"/>
      <c r="D92" s="106"/>
      <c r="E92" s="23"/>
      <c r="F92" s="107"/>
      <c r="G92" s="23"/>
      <c r="H92" s="107"/>
      <c r="I92" s="23"/>
      <c r="J92" s="107"/>
      <c r="K92" s="23"/>
      <c r="L92" s="107"/>
      <c r="M92" s="39" t="e">
        <f t="shared" ca="1" si="4"/>
        <v>#N/A</v>
      </c>
      <c r="N92" s="60" t="e">
        <f ca="1">VLOOKUP($B92,Matrix!$H$13:$I$37,2,FALSE)&amp;"_"&amp;C92</f>
        <v>#N/A</v>
      </c>
      <c r="O92" s="114" t="e">
        <f t="shared" ca="1" si="3"/>
        <v>#N/A</v>
      </c>
    </row>
    <row r="93" spans="2:15">
      <c r="B93" s="23"/>
      <c r="C93" s="22"/>
      <c r="D93" s="106"/>
      <c r="E93" s="23"/>
      <c r="F93" s="107"/>
      <c r="G93" s="23"/>
      <c r="H93" s="107"/>
      <c r="I93" s="23"/>
      <c r="J93" s="107"/>
      <c r="K93" s="23"/>
      <c r="L93" s="107"/>
      <c r="M93" s="39" t="e">
        <f t="shared" ca="1" si="4"/>
        <v>#N/A</v>
      </c>
      <c r="N93" s="60" t="e">
        <f ca="1">VLOOKUP($B93,Matrix!$H$13:$I$37,2,FALSE)&amp;"_"&amp;C93</f>
        <v>#N/A</v>
      </c>
      <c r="O93" s="114" t="e">
        <f t="shared" ca="1" si="3"/>
        <v>#N/A</v>
      </c>
    </row>
    <row r="94" spans="2:15">
      <c r="B94" s="23"/>
      <c r="C94" s="22"/>
      <c r="D94" s="106"/>
      <c r="E94" s="23"/>
      <c r="F94" s="107"/>
      <c r="G94" s="23"/>
      <c r="H94" s="107"/>
      <c r="I94" s="23"/>
      <c r="J94" s="107"/>
      <c r="K94" s="23"/>
      <c r="L94" s="107"/>
      <c r="M94" s="39" t="e">
        <f t="shared" ca="1" si="4"/>
        <v>#N/A</v>
      </c>
      <c r="N94" s="60" t="e">
        <f ca="1">VLOOKUP($B94,Matrix!$H$13:$I$37,2,FALSE)&amp;"_"&amp;C94</f>
        <v>#N/A</v>
      </c>
      <c r="O94" s="114" t="e">
        <f t="shared" ca="1" si="3"/>
        <v>#N/A</v>
      </c>
    </row>
    <row r="95" spans="2:15">
      <c r="B95" s="23"/>
      <c r="C95" s="22"/>
      <c r="D95" s="106"/>
      <c r="E95" s="23"/>
      <c r="F95" s="107"/>
      <c r="G95" s="23"/>
      <c r="H95" s="107"/>
      <c r="I95" s="23"/>
      <c r="J95" s="107"/>
      <c r="K95" s="23"/>
      <c r="L95" s="107"/>
      <c r="M95" s="39" t="e">
        <f t="shared" ca="1" si="4"/>
        <v>#N/A</v>
      </c>
      <c r="N95" s="60" t="e">
        <f ca="1">VLOOKUP($B95,Matrix!$H$13:$I$37,2,FALSE)&amp;"_"&amp;C95</f>
        <v>#N/A</v>
      </c>
      <c r="O95" s="114" t="e">
        <f t="shared" ca="1" si="3"/>
        <v>#N/A</v>
      </c>
    </row>
    <row r="96" spans="2:15">
      <c r="B96" s="23"/>
      <c r="C96" s="22"/>
      <c r="D96" s="106"/>
      <c r="E96" s="23"/>
      <c r="F96" s="107"/>
      <c r="G96" s="23"/>
      <c r="H96" s="107"/>
      <c r="I96" s="23"/>
      <c r="J96" s="107"/>
      <c r="K96" s="23"/>
      <c r="L96" s="107"/>
      <c r="M96" s="39" t="e">
        <f t="shared" ca="1" si="4"/>
        <v>#N/A</v>
      </c>
      <c r="N96" s="60" t="e">
        <f ca="1">VLOOKUP($B96,Matrix!$H$13:$I$37,2,FALSE)&amp;"_"&amp;C96</f>
        <v>#N/A</v>
      </c>
      <c r="O96" s="114" t="e">
        <f t="shared" ca="1" si="3"/>
        <v>#N/A</v>
      </c>
    </row>
    <row r="97" spans="2:15">
      <c r="B97" s="23"/>
      <c r="C97" s="22"/>
      <c r="D97" s="106"/>
      <c r="E97" s="23"/>
      <c r="F97" s="107"/>
      <c r="G97" s="23"/>
      <c r="H97" s="107"/>
      <c r="I97" s="23"/>
      <c r="J97" s="107"/>
      <c r="K97" s="23"/>
      <c r="L97" s="107"/>
      <c r="M97" s="39" t="e">
        <f t="shared" ca="1" si="4"/>
        <v>#N/A</v>
      </c>
      <c r="N97" s="60" t="e">
        <f ca="1">VLOOKUP($B97,Matrix!$H$13:$I$37,2,FALSE)&amp;"_"&amp;C97</f>
        <v>#N/A</v>
      </c>
      <c r="O97" s="114" t="e">
        <f t="shared" ca="1" si="3"/>
        <v>#N/A</v>
      </c>
    </row>
    <row r="98" spans="2:15">
      <c r="B98" s="23"/>
      <c r="C98" s="22"/>
      <c r="D98" s="106"/>
      <c r="E98" s="23"/>
      <c r="F98" s="107"/>
      <c r="G98" s="23"/>
      <c r="H98" s="107"/>
      <c r="I98" s="23"/>
      <c r="J98" s="107"/>
      <c r="K98" s="23"/>
      <c r="L98" s="107"/>
      <c r="M98" s="39" t="e">
        <f t="shared" ca="1" si="4"/>
        <v>#N/A</v>
      </c>
      <c r="N98" s="60" t="e">
        <f ca="1">VLOOKUP($B98,Matrix!$H$13:$I$37,2,FALSE)&amp;"_"&amp;C98</f>
        <v>#N/A</v>
      </c>
      <c r="O98" s="114" t="e">
        <f t="shared" ca="1" si="3"/>
        <v>#N/A</v>
      </c>
    </row>
    <row r="99" spans="2:15">
      <c r="B99" s="23"/>
      <c r="C99" s="22"/>
      <c r="D99" s="106"/>
      <c r="E99" s="23"/>
      <c r="F99" s="107"/>
      <c r="G99" s="23"/>
      <c r="H99" s="107"/>
      <c r="I99" s="23"/>
      <c r="J99" s="107"/>
      <c r="K99" s="23"/>
      <c r="L99" s="107"/>
      <c r="M99" s="39" t="e">
        <f t="shared" ca="1" si="4"/>
        <v>#N/A</v>
      </c>
      <c r="N99" s="60" t="e">
        <f ca="1">VLOOKUP($B99,Matrix!$H$13:$I$37,2,FALSE)&amp;"_"&amp;C99</f>
        <v>#N/A</v>
      </c>
      <c r="O99" s="114" t="e">
        <f t="shared" ca="1" si="3"/>
        <v>#N/A</v>
      </c>
    </row>
    <row r="100" spans="2:15">
      <c r="B100" s="23"/>
      <c r="C100" s="22"/>
      <c r="D100" s="106"/>
      <c r="E100" s="23"/>
      <c r="F100" s="107"/>
      <c r="G100" s="23"/>
      <c r="H100" s="107"/>
      <c r="I100" s="23"/>
      <c r="J100" s="107"/>
      <c r="K100" s="23"/>
      <c r="L100" s="107"/>
      <c r="M100" s="39" t="e">
        <f t="shared" ca="1" si="4"/>
        <v>#N/A</v>
      </c>
      <c r="N100" s="60" t="e">
        <f ca="1">VLOOKUP($B100,Matrix!$H$13:$I$37,2,FALSE)&amp;"_"&amp;C100</f>
        <v>#N/A</v>
      </c>
      <c r="O100" s="114" t="e">
        <f t="shared" ref="O100:O103" ca="1" si="5">"#define "&amp;N100&amp;REPT(" ",48-M100)&amp;"("&amp;D100&amp;"U)"</f>
        <v>#N/A</v>
      </c>
    </row>
    <row r="101" spans="2:15">
      <c r="B101" s="23"/>
      <c r="C101" s="22"/>
      <c r="D101" s="106"/>
      <c r="E101" s="23"/>
      <c r="F101" s="107"/>
      <c r="G101" s="23"/>
      <c r="H101" s="107"/>
      <c r="I101" s="23"/>
      <c r="J101" s="107"/>
      <c r="K101" s="23"/>
      <c r="L101" s="107"/>
      <c r="M101" s="39" t="e">
        <f t="shared" ca="1" si="4"/>
        <v>#N/A</v>
      </c>
      <c r="N101" s="60" t="e">
        <f ca="1">VLOOKUP($B101,Matrix!$H$13:$I$37,2,FALSE)&amp;"_"&amp;C101</f>
        <v>#N/A</v>
      </c>
      <c r="O101" s="114" t="e">
        <f t="shared" ca="1" si="5"/>
        <v>#N/A</v>
      </c>
    </row>
    <row r="102" spans="2:15">
      <c r="B102" s="23"/>
      <c r="C102" s="22"/>
      <c r="D102" s="106"/>
      <c r="E102" s="23"/>
      <c r="F102" s="107"/>
      <c r="G102" s="23"/>
      <c r="H102" s="107"/>
      <c r="I102" s="23"/>
      <c r="J102" s="107"/>
      <c r="K102" s="23"/>
      <c r="L102" s="107"/>
      <c r="M102" s="39" t="e">
        <f t="shared" ca="1" si="4"/>
        <v>#N/A</v>
      </c>
      <c r="N102" s="60" t="e">
        <f ca="1">VLOOKUP($B102,Matrix!$H$13:$I$37,2,FALSE)&amp;"_"&amp;C102</f>
        <v>#N/A</v>
      </c>
      <c r="O102" s="114" t="e">
        <f t="shared" ca="1" si="5"/>
        <v>#N/A</v>
      </c>
    </row>
    <row r="103" spans="2:15" ht="14.25" thickBot="1">
      <c r="B103" s="45"/>
      <c r="C103" s="46"/>
      <c r="D103" s="108"/>
      <c r="E103" s="45"/>
      <c r="F103" s="109"/>
      <c r="G103" s="45"/>
      <c r="H103" s="109"/>
      <c r="I103" s="45"/>
      <c r="J103" s="109"/>
      <c r="K103" s="45"/>
      <c r="L103" s="109"/>
      <c r="M103" s="47" t="e">
        <f t="shared" ca="1" si="4"/>
        <v>#N/A</v>
      </c>
      <c r="N103" s="61"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1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6" t="s">
        <v>123</v>
      </c>
      <c r="C2" s="313" t="s">
        <v>85</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5" t="s">
        <v>156</v>
      </c>
    </row>
    <row r="3" spans="1:49" ht="213" customHeight="1" thickBot="1">
      <c r="B3" s="242" t="str">
        <f>IF(OR(IF(COUNTIF(D6:AC69,"0")&lt;&gt;0,TRUE,FALSE),IF(COUNTIF(D6:AC69,"1")&lt;&gt;0,TRUE,FALSE)),"Search Table","Index Table")</f>
        <v>Index Table</v>
      </c>
      <c r="C3" s="314"/>
      <c r="D3" s="118" t="s">
        <v>62</v>
      </c>
      <c r="E3" s="118" t="s">
        <v>67</v>
      </c>
      <c r="F3" s="118" t="s">
        <v>50</v>
      </c>
      <c r="G3" s="118" t="s">
        <v>49</v>
      </c>
      <c r="H3" s="118" t="s">
        <v>121</v>
      </c>
      <c r="I3" s="118" t="s">
        <v>120</v>
      </c>
      <c r="J3" s="118" t="s">
        <v>125</v>
      </c>
      <c r="K3" s="118" t="s">
        <v>124</v>
      </c>
      <c r="L3" s="119" t="s">
        <v>67</v>
      </c>
      <c r="M3" s="119" t="s">
        <v>63</v>
      </c>
      <c r="N3" s="119" t="s">
        <v>63</v>
      </c>
      <c r="O3" s="119" t="s">
        <v>63</v>
      </c>
      <c r="P3" s="119" t="s">
        <v>63</v>
      </c>
      <c r="Q3" s="119" t="s">
        <v>63</v>
      </c>
      <c r="R3" s="119" t="s">
        <v>63</v>
      </c>
      <c r="S3" s="119" t="s">
        <v>63</v>
      </c>
      <c r="T3" s="119" t="s">
        <v>63</v>
      </c>
      <c r="U3" s="119" t="s">
        <v>63</v>
      </c>
      <c r="V3" s="119" t="s">
        <v>63</v>
      </c>
      <c r="W3" s="119" t="s">
        <v>63</v>
      </c>
      <c r="X3" s="119" t="s">
        <v>63</v>
      </c>
      <c r="Y3" s="119" t="s">
        <v>63</v>
      </c>
      <c r="Z3" s="119" t="s">
        <v>63</v>
      </c>
      <c r="AA3" s="119" t="s">
        <v>63</v>
      </c>
      <c r="AB3" s="119" t="s">
        <v>63</v>
      </c>
      <c r="AC3" s="119" t="s">
        <v>63</v>
      </c>
      <c r="AD3" s="119" t="s">
        <v>63</v>
      </c>
      <c r="AE3" s="119" t="s">
        <v>63</v>
      </c>
      <c r="AF3" s="211" t="s">
        <v>266</v>
      </c>
      <c r="AG3" s="321" t="s">
        <v>340</v>
      </c>
      <c r="AH3" s="322"/>
      <c r="AI3" s="323"/>
      <c r="AJ3" s="316"/>
      <c r="AR3" s="82" t="s">
        <v>96</v>
      </c>
    </row>
    <row r="4" spans="1:49" ht="14.25" thickBot="1">
      <c r="A4" s="317" t="s">
        <v>64</v>
      </c>
      <c r="B4" s="318"/>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0" t="s">
        <v>83</v>
      </c>
      <c r="AS4" s="71"/>
      <c r="AT4" s="71"/>
      <c r="AU4" s="71"/>
      <c r="AV4" s="71"/>
      <c r="AW4" s="72"/>
    </row>
    <row r="5" spans="1:49" ht="14.25" thickBot="1">
      <c r="A5" s="319"/>
      <c r="B5" s="320"/>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3" t="str">
        <f ca="1">"static const U4  "&amp;AW8&amp;"["&amp;AW10&amp;"]"&amp;" = {"</f>
        <v>static const U4  u4_sp_ALERT_H_SOCLOW_TT_PD_CRIT[ALERT_H_SOCLOW_TT_PD_NUM_DST] = {</v>
      </c>
      <c r="AS5" s="73" t="str">
        <f ca="1">"static const U4  "&amp;$AW$9&amp;"["&amp;$AW$10&amp;"] = {"</f>
        <v>static const U4  u4_sp_ALERT_H_SOCLOW_TT_PD_MASK[ALERT_H_SOCLOW_TT_PD_NUM_DST] = {</v>
      </c>
      <c r="AT5" s="73" t="str">
        <f ca="1">"static const U1  "&amp;$AW$11&amp;"["&amp;$AW$10&amp;"] = {"</f>
        <v>static const U1  u1_sp_ALERT_H_SOCLOW_TT_PD_DST[ALERT_H_SOCLOW_TT_PD_NUM_DST] = {</v>
      </c>
      <c r="AU5" s="73" t="str">
        <f ca="1">"const ST_ALERT_MTRX "&amp;$AW$12&amp;" = {"</f>
        <v>const ST_ALERT_MTRX st_gp_ALERT_H_SOCLOW_MTRX[2] = {</v>
      </c>
      <c r="AV5" s="57" t="str">
        <f ca="1">"#define "&amp;AW10&amp;REPT(" ",41-LEN(AW10))&amp;"("&amp;AW13&amp;"U)"</f>
        <v>#define ALERT_H_SOCLOW_TT_PD_NUM_DST             (16U)</v>
      </c>
      <c r="AW5" s="58"/>
    </row>
    <row r="6" spans="1:49">
      <c r="B6" s="124" t="str">
        <f ca="1">"Table "&amp;$AW$6</f>
        <v>Table TT_PD</v>
      </c>
      <c r="C6" s="44">
        <f>ROW()-ROW($C$6)</f>
        <v>0</v>
      </c>
      <c r="D6" s="120" t="s">
        <v>200</v>
      </c>
      <c r="E6" s="120" t="s">
        <v>200</v>
      </c>
      <c r="F6" s="120" t="s">
        <v>200</v>
      </c>
      <c r="G6" s="120" t="s">
        <v>200</v>
      </c>
      <c r="H6" s="120" t="s">
        <v>200</v>
      </c>
      <c r="I6" s="120" t="s">
        <v>201</v>
      </c>
      <c r="J6" s="120" t="s">
        <v>195</v>
      </c>
      <c r="K6" s="120" t="s">
        <v>202</v>
      </c>
      <c r="L6" s="120" t="s">
        <v>200</v>
      </c>
      <c r="M6" s="120" t="s">
        <v>201</v>
      </c>
      <c r="N6" s="120" t="s">
        <v>201</v>
      </c>
      <c r="O6" s="120" t="s">
        <v>201</v>
      </c>
      <c r="P6" s="120" t="s">
        <v>201</v>
      </c>
      <c r="Q6" s="120" t="s">
        <v>201</v>
      </c>
      <c r="R6" s="120" t="s">
        <v>201</v>
      </c>
      <c r="S6" s="120" t="s">
        <v>201</v>
      </c>
      <c r="T6" s="120" t="s">
        <v>201</v>
      </c>
      <c r="U6" s="120" t="s">
        <v>201</v>
      </c>
      <c r="V6" s="120" t="s">
        <v>201</v>
      </c>
      <c r="W6" s="120" t="s">
        <v>201</v>
      </c>
      <c r="X6" s="120" t="s">
        <v>201</v>
      </c>
      <c r="Y6" s="120" t="s">
        <v>195</v>
      </c>
      <c r="Z6" s="120" t="s">
        <v>195</v>
      </c>
      <c r="AA6" s="120" t="s">
        <v>195</v>
      </c>
      <c r="AB6" s="120" t="s">
        <v>195</v>
      </c>
      <c r="AC6" s="120" t="s">
        <v>195</v>
      </c>
      <c r="AD6" s="120" t="s">
        <v>195</v>
      </c>
      <c r="AE6" s="120" t="s">
        <v>195</v>
      </c>
      <c r="AF6" s="120">
        <v>0</v>
      </c>
      <c r="AG6" s="120">
        <v>0</v>
      </c>
      <c r="AH6" s="184">
        <v>0</v>
      </c>
      <c r="AI6" s="184">
        <v>0</v>
      </c>
      <c r="AJ6" s="22" t="s">
        <v>33</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(U4)0x0000000FU,                                                           /* 00 UNKNOWN                                         */</v>
      </c>
      <c r="AT6" s="55" t="str">
        <f t="shared" ref="AT6:AT69" si="1">IF(AJ6&lt;&gt;"",AL6&amp;IF(AJ7&lt;&gt;"",","," ")&amp;REPT(" ",78-LEN(AL6))&amp;"/* "&amp;IF(C6&lt;10,"0"&amp;C6,C6)&amp;" "&amp;AJ6&amp;REPT(" ",48-LEN(AJ6))&amp;"*/",IF(AJ5&lt;&gt;"","};",""))</f>
        <v xml:space="preserve">    (U1)ALERT_REQ_UNKNOWN,                                                     /* 00 UNKNOWN                                         */</v>
      </c>
      <c r="AU6" s="55" t="s">
        <v>69</v>
      </c>
      <c r="AV6" s="40" t="s">
        <v>71</v>
      </c>
      <c r="AW6" s="59" t="str">
        <f ca="1">UPPER(RIGHT(CELL("filename",A1),LEN(CELL("filename",A1))-FIND("]",CELL("filename",A1))))</f>
        <v>TT_PD</v>
      </c>
    </row>
    <row r="7" spans="1:49">
      <c r="B7" s="124"/>
      <c r="C7" s="39">
        <f t="shared" ref="C7:C69" si="2">ROW()-ROW($C$6)</f>
        <v>1</v>
      </c>
      <c r="D7" s="53" t="s">
        <v>201</v>
      </c>
      <c r="E7" s="53" t="s">
        <v>201</v>
      </c>
      <c r="F7" s="53" t="s">
        <v>201</v>
      </c>
      <c r="G7" s="53" t="s">
        <v>202</v>
      </c>
      <c r="H7" s="53" t="s">
        <v>201</v>
      </c>
      <c r="I7" s="53" t="s">
        <v>201</v>
      </c>
      <c r="J7" s="120" t="s">
        <v>195</v>
      </c>
      <c r="K7" s="120" t="s">
        <v>201</v>
      </c>
      <c r="L7" s="53" t="s">
        <v>201</v>
      </c>
      <c r="M7" s="53" t="s">
        <v>201</v>
      </c>
      <c r="N7" s="53" t="s">
        <v>201</v>
      </c>
      <c r="O7" s="53" t="s">
        <v>201</v>
      </c>
      <c r="P7" s="53" t="s">
        <v>201</v>
      </c>
      <c r="Q7" s="53" t="s">
        <v>201</v>
      </c>
      <c r="R7" s="53" t="s">
        <v>201</v>
      </c>
      <c r="S7" s="53" t="s">
        <v>201</v>
      </c>
      <c r="T7" s="53" t="s">
        <v>201</v>
      </c>
      <c r="U7" s="53" t="s">
        <v>201</v>
      </c>
      <c r="V7" s="53" t="s">
        <v>201</v>
      </c>
      <c r="W7" s="53" t="s">
        <v>201</v>
      </c>
      <c r="X7" s="53" t="s">
        <v>201</v>
      </c>
      <c r="Y7" s="120" t="s">
        <v>195</v>
      </c>
      <c r="Z7" s="120" t="s">
        <v>195</v>
      </c>
      <c r="AA7" s="120" t="s">
        <v>195</v>
      </c>
      <c r="AB7" s="120" t="s">
        <v>195</v>
      </c>
      <c r="AC7" s="120" t="s">
        <v>195</v>
      </c>
      <c r="AD7" s="120" t="s">
        <v>195</v>
      </c>
      <c r="AE7" s="120" t="s">
        <v>195</v>
      </c>
      <c r="AF7" s="120">
        <v>0</v>
      </c>
      <c r="AG7" s="120">
        <v>0</v>
      </c>
      <c r="AH7" s="184">
        <v>0</v>
      </c>
      <c r="AI7" s="184">
        <v>1</v>
      </c>
      <c r="AJ7" s="43" t="s">
        <v>255</v>
      </c>
      <c r="AL7" t="str">
        <f t="shared" ca="1" si="0"/>
        <v xml:space="preserve">    (U1)ALERT_REQ_H_SOCLOW_TT_PD_N_POS1</v>
      </c>
      <c r="AR7" s="55" t="str">
        <f t="shared" ref="AR7:AR70" si="3">IF(AQ72&lt;&gt;"",AQ72,IF(AQ71&lt;&gt;"","};",""))</f>
        <v xml:space="preserve">    (U4)0x00000001U,                                                           /* 01 N_POS1                                          */</v>
      </c>
      <c r="AS7" s="55" t="str">
        <f t="shared" ref="AS7:AS70" si="4">IF(AQ137&lt;&gt;"",AQ137,IF(AQ136&lt;&gt;"","};",""))</f>
        <v xml:space="preserve">    (U4)0x0000000FU,                                                           /* 01 N_POS1                                          */</v>
      </c>
      <c r="AT7" s="55" t="str">
        <f t="shared" ca="1" si="1"/>
        <v xml:space="preserve">    (U1)ALERT_REQ_H_SOCLOW_TT_PD_N_POS1,                                       /* 01 N_POS1                                          */</v>
      </c>
      <c r="AU7" s="55" t="str">
        <f ca="1">"        &amp;"&amp;$AW$14&amp;","&amp;REPT(" ",69-LEN($AW$14))&amp;"/* fp_u4_SRC_CHK                                      */"</f>
        <v xml:space="preserve">        &amp;u4_s_AlertH_soclowTtPdSrcchk,                                         /* fp_u4_SRC_CHK                                      */</v>
      </c>
      <c r="AV7" s="41" t="s">
        <v>72</v>
      </c>
      <c r="AW7" s="123">
        <f>IF(B3="Search Table",1,0)</f>
        <v>0</v>
      </c>
    </row>
    <row r="8" spans="1:49">
      <c r="B8" s="124"/>
      <c r="C8" s="39">
        <f t="shared" si="2"/>
        <v>2</v>
      </c>
      <c r="D8" s="53" t="s">
        <v>201</v>
      </c>
      <c r="E8" s="53" t="s">
        <v>201</v>
      </c>
      <c r="F8" s="53" t="s">
        <v>201</v>
      </c>
      <c r="G8" s="53" t="s">
        <v>201</v>
      </c>
      <c r="H8" s="53" t="s">
        <v>201</v>
      </c>
      <c r="I8" s="53" t="s">
        <v>201</v>
      </c>
      <c r="J8" s="120" t="s">
        <v>195</v>
      </c>
      <c r="K8" s="53" t="s">
        <v>201</v>
      </c>
      <c r="L8" s="53" t="s">
        <v>201</v>
      </c>
      <c r="M8" s="53" t="s">
        <v>201</v>
      </c>
      <c r="N8" s="53" t="s">
        <v>201</v>
      </c>
      <c r="O8" s="53" t="s">
        <v>201</v>
      </c>
      <c r="P8" s="53" t="s">
        <v>201</v>
      </c>
      <c r="Q8" s="53" t="s">
        <v>201</v>
      </c>
      <c r="R8" s="53" t="s">
        <v>201</v>
      </c>
      <c r="S8" s="53" t="s">
        <v>201</v>
      </c>
      <c r="T8" s="53" t="s">
        <v>201</v>
      </c>
      <c r="U8" s="53" t="s">
        <v>201</v>
      </c>
      <c r="V8" s="53" t="s">
        <v>201</v>
      </c>
      <c r="W8" s="53" t="s">
        <v>201</v>
      </c>
      <c r="X8" s="53" t="s">
        <v>201</v>
      </c>
      <c r="Y8" s="120" t="s">
        <v>195</v>
      </c>
      <c r="Z8" s="120" t="s">
        <v>195</v>
      </c>
      <c r="AA8" s="120" t="s">
        <v>195</v>
      </c>
      <c r="AB8" s="120" t="s">
        <v>195</v>
      </c>
      <c r="AC8" s="120" t="s">
        <v>195</v>
      </c>
      <c r="AD8" s="120" t="s">
        <v>195</v>
      </c>
      <c r="AE8" s="120" t="s">
        <v>195</v>
      </c>
      <c r="AF8" s="120">
        <v>0</v>
      </c>
      <c r="AG8" s="120">
        <v>0</v>
      </c>
      <c r="AH8" s="184">
        <v>1</v>
      </c>
      <c r="AI8" s="184">
        <v>0</v>
      </c>
      <c r="AJ8" s="22" t="s">
        <v>257</v>
      </c>
      <c r="AL8" t="str">
        <f t="shared" ca="1" si="0"/>
        <v xml:space="preserve">    (U1)ALERT_REQ_H_SOCLOW_TT_PD_N_POS2</v>
      </c>
      <c r="AR8" s="55" t="str">
        <f t="shared" si="3"/>
        <v xml:space="preserve">    (U4)0x00000002U,                                                           /* 02 N_POS2                                          */</v>
      </c>
      <c r="AS8" s="55" t="str">
        <f t="shared" si="4"/>
        <v xml:space="preserve">    (U4)0x0000000FU,                                                           /* 02 N_POS2                                          */</v>
      </c>
      <c r="AT8" s="55" t="str">
        <f ca="1">IF(AJ8&lt;&gt;"",AL8&amp;IF(AJ9&lt;&gt;"",","," ")&amp;REPT(" ",78-LEN(AL8))&amp;"/* "&amp;IF(C8&lt;10,"0"&amp;C8,C8)&amp;" "&amp;AJ8&amp;REPT(" ",48-LEN(AJ8))&amp;"*/",IF(AJ7&lt;&gt;"","};",""))</f>
        <v xml:space="preserve">    (U1)ALERT_REQ_H_SOCLOW_TT_PD_N_POS2,                                       /* 02 N_POS2                                          */</v>
      </c>
      <c r="AU8" s="55" t="str">
        <f ca="1">IF($AW$15&lt;&gt;"NULL","        &amp;"&amp;$AW$15&amp;","&amp;REPT(" ",69-LEN($AW$15))&amp;"/* fp_vd_XDST                                         */","        vdp_PTR_NA,                                                            /* fp_vd_XDST                                         */")</f>
        <v xml:space="preserve">        vdp_PTR_NA,                                                            /* fp_vd_XDST                                         */</v>
      </c>
      <c r="AV8" s="41" t="s">
        <v>73</v>
      </c>
      <c r="AW8" s="60" t="str">
        <f ca="1">"u4_sp_ALERT_"&amp;IF(AW6&lt;&gt;AW17,$AW$17&amp;"_"&amp;$AW$6,AW17)&amp;"_CRIT"</f>
        <v>u4_sp_ALERT_H_SOCLOW_TT_PD_CRIT</v>
      </c>
    </row>
    <row r="9" spans="1:49">
      <c r="B9" s="124"/>
      <c r="C9" s="39">
        <f t="shared" si="2"/>
        <v>3</v>
      </c>
      <c r="D9" s="53" t="s">
        <v>201</v>
      </c>
      <c r="E9" s="53" t="s">
        <v>201</v>
      </c>
      <c r="F9" s="53" t="s">
        <v>201</v>
      </c>
      <c r="G9" s="53" t="s">
        <v>201</v>
      </c>
      <c r="H9" s="53" t="s">
        <v>201</v>
      </c>
      <c r="I9" s="53" t="s">
        <v>201</v>
      </c>
      <c r="J9" s="120" t="s">
        <v>195</v>
      </c>
      <c r="K9" s="53" t="s">
        <v>201</v>
      </c>
      <c r="L9" s="53" t="s">
        <v>201</v>
      </c>
      <c r="M9" s="53" t="s">
        <v>201</v>
      </c>
      <c r="N9" s="53" t="s">
        <v>201</v>
      </c>
      <c r="O9" s="53" t="s">
        <v>201</v>
      </c>
      <c r="P9" s="53" t="s">
        <v>201</v>
      </c>
      <c r="Q9" s="53" t="s">
        <v>201</v>
      </c>
      <c r="R9" s="53" t="s">
        <v>201</v>
      </c>
      <c r="S9" s="53" t="s">
        <v>201</v>
      </c>
      <c r="T9" s="53" t="s">
        <v>201</v>
      </c>
      <c r="U9" s="53" t="s">
        <v>201</v>
      </c>
      <c r="V9" s="53" t="s">
        <v>201</v>
      </c>
      <c r="W9" s="53" t="s">
        <v>201</v>
      </c>
      <c r="X9" s="53" t="s">
        <v>201</v>
      </c>
      <c r="Y9" s="120" t="s">
        <v>195</v>
      </c>
      <c r="Z9" s="120" t="s">
        <v>195</v>
      </c>
      <c r="AA9" s="120" t="s">
        <v>195</v>
      </c>
      <c r="AB9" s="120" t="s">
        <v>195</v>
      </c>
      <c r="AC9" s="120" t="s">
        <v>195</v>
      </c>
      <c r="AD9" s="120" t="s">
        <v>195</v>
      </c>
      <c r="AE9" s="120" t="s">
        <v>195</v>
      </c>
      <c r="AF9" s="120">
        <v>0</v>
      </c>
      <c r="AG9" s="120">
        <v>0</v>
      </c>
      <c r="AH9" s="53">
        <v>1</v>
      </c>
      <c r="AI9" s="53">
        <v>1</v>
      </c>
      <c r="AJ9" s="43" t="s">
        <v>259</v>
      </c>
      <c r="AL9" t="str">
        <f t="shared" ca="1" si="0"/>
        <v xml:space="preserve">    (U1)ALERT_REQ_H_SOCLOW_TT_PD_HV_OFF1</v>
      </c>
      <c r="AR9" s="55" t="str">
        <f t="shared" si="3"/>
        <v xml:space="preserve">    (U4)0x00000003U,                                                           /* 03 HV_OFF1                                         */</v>
      </c>
      <c r="AS9" s="55" t="str">
        <f t="shared" si="4"/>
        <v xml:space="preserve">    (U4)0x0000000FU,                                                           /* 03 HV_OFF1                                         */</v>
      </c>
      <c r="AT9" s="55" t="str">
        <f t="shared" ca="1" si="1"/>
        <v xml:space="preserve">    (U1)ALERT_REQ_H_SOCLOW_TT_PD_HV_OFF1,                                      /* 03 HV_OFF1                                         */</v>
      </c>
      <c r="AU9" s="55"/>
      <c r="AV9" s="41" t="s">
        <v>74</v>
      </c>
      <c r="AW9" s="60" t="str">
        <f ca="1">"u4_sp_ALERT_"&amp;IF(AW6&lt;&gt;AW17,$AW$17&amp;"_"&amp;$AW$6,AW17)&amp;"_MASK"</f>
        <v>u4_sp_ALERT_H_SOCLOW_TT_PD_MASK</v>
      </c>
    </row>
    <row r="10" spans="1:49">
      <c r="B10" s="124"/>
      <c r="C10" s="39">
        <f t="shared" si="2"/>
        <v>4</v>
      </c>
      <c r="D10" s="53" t="s">
        <v>68</v>
      </c>
      <c r="E10" s="53" t="s">
        <v>68</v>
      </c>
      <c r="F10" s="53" t="s">
        <v>68</v>
      </c>
      <c r="G10" s="53" t="s">
        <v>68</v>
      </c>
      <c r="H10" s="53" t="s">
        <v>68</v>
      </c>
      <c r="I10" s="53" t="s">
        <v>68</v>
      </c>
      <c r="J10" s="53" t="s">
        <v>68</v>
      </c>
      <c r="K10" s="53" t="s">
        <v>68</v>
      </c>
      <c r="L10" s="53" t="s">
        <v>68</v>
      </c>
      <c r="M10" s="53" t="s">
        <v>68</v>
      </c>
      <c r="N10" s="53" t="s">
        <v>68</v>
      </c>
      <c r="O10" s="53" t="s">
        <v>68</v>
      </c>
      <c r="P10" s="53" t="s">
        <v>68</v>
      </c>
      <c r="Q10" s="53" t="s">
        <v>68</v>
      </c>
      <c r="R10" s="53" t="s">
        <v>68</v>
      </c>
      <c r="S10" s="53" t="s">
        <v>68</v>
      </c>
      <c r="T10" s="53" t="s">
        <v>68</v>
      </c>
      <c r="U10" s="53" t="s">
        <v>68</v>
      </c>
      <c r="V10" s="53" t="s">
        <v>68</v>
      </c>
      <c r="W10" s="53" t="s">
        <v>68</v>
      </c>
      <c r="X10" s="53" t="s">
        <v>68</v>
      </c>
      <c r="Y10" s="53" t="s">
        <v>68</v>
      </c>
      <c r="Z10" s="53" t="s">
        <v>68</v>
      </c>
      <c r="AA10" s="53" t="s">
        <v>68</v>
      </c>
      <c r="AB10" s="53" t="s">
        <v>68</v>
      </c>
      <c r="AC10" s="53" t="s">
        <v>68</v>
      </c>
      <c r="AD10" s="53" t="s">
        <v>68</v>
      </c>
      <c r="AE10" s="53" t="s">
        <v>68</v>
      </c>
      <c r="AF10" s="120">
        <v>0</v>
      </c>
      <c r="AG10" s="120">
        <v>1</v>
      </c>
      <c r="AH10" s="184">
        <v>0</v>
      </c>
      <c r="AI10" s="184">
        <v>0</v>
      </c>
      <c r="AJ10" s="22" t="s">
        <v>261</v>
      </c>
      <c r="AL10" t="str">
        <f t="shared" ca="1" si="0"/>
        <v xml:space="preserve">    (U1)ALERT_REQ_H_SOCLOW_TT_PD_HV_OFF2</v>
      </c>
      <c r="AR10" s="55" t="str">
        <f t="shared" si="3"/>
        <v xml:space="preserve">    (U4)0x00000004U,                                                           /* 04 HV_OFF2                                         */</v>
      </c>
      <c r="AS10" s="55" t="str">
        <f t="shared" si="4"/>
        <v xml:space="preserve">    (U4)0x0000000FU,                                                           /* 04 HV_OFF2                                         */</v>
      </c>
      <c r="AT10" s="55" t="str">
        <f t="shared" ca="1" si="1"/>
        <v xml:space="preserve">    (U1)ALERT_REQ_H_SOCLOW_TT_PD_HV_OFF2,                                      /* 04 HV_OFF2                                         */</v>
      </c>
      <c r="AU10" s="55" t="str">
        <f>IF($AW$7=1,"        &amp;"&amp;$AW$9&amp;"[0],"&amp;REPT(" ",66-LEN($AW$9))&amp;"/* u4p_MASK                                           */","        (const U4 *)vdp_PTR_NA,                                                /* u4p_MASK                                           */")</f>
        <v xml:space="preserve">        (const U4 *)vdp_PTR_NA,                                                /* u4p_MASK                                           */</v>
      </c>
      <c r="AV10" s="41" t="s">
        <v>75</v>
      </c>
      <c r="AW10" s="60" t="str">
        <f ca="1">"ALERT_"&amp;IF(AW6&lt;&gt;AW17,$AW$17&amp;"_"&amp;$AW$6,AW17)&amp;"_NUM_DST"</f>
        <v>ALERT_H_SOCLOW_TT_PD_NUM_DST</v>
      </c>
    </row>
    <row r="11" spans="1:49">
      <c r="B11" s="124"/>
      <c r="C11" s="39">
        <f t="shared" si="2"/>
        <v>5</v>
      </c>
      <c r="D11" s="53" t="s">
        <v>68</v>
      </c>
      <c r="E11" s="53" t="s">
        <v>68</v>
      </c>
      <c r="F11" s="53" t="s">
        <v>68</v>
      </c>
      <c r="G11" s="53" t="s">
        <v>68</v>
      </c>
      <c r="H11" s="53" t="s">
        <v>68</v>
      </c>
      <c r="I11" s="53" t="s">
        <v>68</v>
      </c>
      <c r="J11" s="53" t="s">
        <v>68</v>
      </c>
      <c r="K11" s="53" t="s">
        <v>68</v>
      </c>
      <c r="L11" s="53" t="s">
        <v>68</v>
      </c>
      <c r="M11" s="53" t="s">
        <v>68</v>
      </c>
      <c r="N11" s="53" t="s">
        <v>68</v>
      </c>
      <c r="O11" s="53" t="s">
        <v>68</v>
      </c>
      <c r="P11" s="53" t="s">
        <v>68</v>
      </c>
      <c r="Q11" s="53" t="s">
        <v>68</v>
      </c>
      <c r="R11" s="53" t="s">
        <v>68</v>
      </c>
      <c r="S11" s="53" t="s">
        <v>68</v>
      </c>
      <c r="T11" s="53" t="s">
        <v>68</v>
      </c>
      <c r="U11" s="53" t="s">
        <v>68</v>
      </c>
      <c r="V11" s="53" t="s">
        <v>68</v>
      </c>
      <c r="W11" s="53" t="s">
        <v>68</v>
      </c>
      <c r="X11" s="53" t="s">
        <v>68</v>
      </c>
      <c r="Y11" s="53" t="s">
        <v>68</v>
      </c>
      <c r="Z11" s="53" t="s">
        <v>68</v>
      </c>
      <c r="AA11" s="53" t="s">
        <v>68</v>
      </c>
      <c r="AB11" s="53" t="s">
        <v>68</v>
      </c>
      <c r="AC11" s="53" t="s">
        <v>68</v>
      </c>
      <c r="AD11" s="53" t="s">
        <v>68</v>
      </c>
      <c r="AE11" s="53" t="s">
        <v>68</v>
      </c>
      <c r="AF11" s="120">
        <v>0</v>
      </c>
      <c r="AG11" s="120">
        <v>1</v>
      </c>
      <c r="AH11" s="184">
        <v>0</v>
      </c>
      <c r="AI11" s="184">
        <v>1</v>
      </c>
      <c r="AJ11" s="22" t="s">
        <v>218</v>
      </c>
      <c r="AL11" t="str">
        <f t="shared" ca="1" si="0"/>
        <v xml:space="preserve">    (U1)ALERT_REQ_H_SOCLOW_TT_PD_PRIMARY</v>
      </c>
      <c r="AR11" s="55" t="str">
        <f t="shared" si="3"/>
        <v xml:space="preserve">    (U4)0x00000005U,                                                           /* 05 PRIMARY                                         */</v>
      </c>
      <c r="AS11" s="55" t="str">
        <f t="shared" si="4"/>
        <v xml:space="preserve">    (U4)0x0000000FU,                                                           /* 05 PRIMARY                                         */</v>
      </c>
      <c r="AT11" s="55" t="str">
        <f t="shared" ca="1" si="1"/>
        <v xml:space="preserve">    (U1)ALERT_REQ_H_SOCLOW_TT_PD_PRIMARY,                                      /* 05 PRIMARY                                         */</v>
      </c>
      <c r="AU11" s="55" t="str">
        <f>IF($AW$7=1,"        &amp;"&amp;$AW$8&amp;"[0],"&amp;REPT(" ",66-LEN($AW$8))&amp;"/* u4p_CRIT                                           */","        (const U4 *)vdp_PTR_NA,                                                /* u4p_CRIT                                           */")</f>
        <v xml:space="preserve">        (const U4 *)vdp_PTR_NA,                                                /* u4p_CRIT                                           */</v>
      </c>
      <c r="AV11" s="41" t="s">
        <v>76</v>
      </c>
      <c r="AW11" s="60" t="str">
        <f ca="1">"u1_sp_ALERT_"&amp;IF(AW6&lt;&gt;AW17,$AW$17&amp;"_"&amp;$AW$6,AW17)&amp;"_DST"</f>
        <v>u1_sp_ALERT_H_SOCLOW_TT_PD_DST</v>
      </c>
    </row>
    <row r="12" spans="1:49">
      <c r="B12" s="124"/>
      <c r="C12" s="39">
        <f t="shared" si="2"/>
        <v>6</v>
      </c>
      <c r="D12" s="53" t="s">
        <v>68</v>
      </c>
      <c r="E12" s="53" t="s">
        <v>68</v>
      </c>
      <c r="F12" s="53" t="s">
        <v>68</v>
      </c>
      <c r="G12" s="53" t="s">
        <v>68</v>
      </c>
      <c r="H12" s="53" t="s">
        <v>68</v>
      </c>
      <c r="I12" s="53" t="s">
        <v>68</v>
      </c>
      <c r="J12" s="53" t="s">
        <v>68</v>
      </c>
      <c r="K12" s="53" t="s">
        <v>68</v>
      </c>
      <c r="L12" s="53" t="s">
        <v>68</v>
      </c>
      <c r="M12" s="53" t="s">
        <v>68</v>
      </c>
      <c r="N12" s="53" t="s">
        <v>68</v>
      </c>
      <c r="O12" s="53" t="s">
        <v>68</v>
      </c>
      <c r="P12" s="53" t="s">
        <v>68</v>
      </c>
      <c r="Q12" s="53" t="s">
        <v>68</v>
      </c>
      <c r="R12" s="53" t="s">
        <v>68</v>
      </c>
      <c r="S12" s="53" t="s">
        <v>68</v>
      </c>
      <c r="T12" s="53" t="s">
        <v>68</v>
      </c>
      <c r="U12" s="53" t="s">
        <v>68</v>
      </c>
      <c r="V12" s="53" t="s">
        <v>68</v>
      </c>
      <c r="W12" s="53" t="s">
        <v>68</v>
      </c>
      <c r="X12" s="53" t="s">
        <v>68</v>
      </c>
      <c r="Y12" s="53" t="s">
        <v>68</v>
      </c>
      <c r="Z12" s="53" t="s">
        <v>68</v>
      </c>
      <c r="AA12" s="53" t="s">
        <v>68</v>
      </c>
      <c r="AB12" s="53" t="s">
        <v>68</v>
      </c>
      <c r="AC12" s="53" t="s">
        <v>68</v>
      </c>
      <c r="AD12" s="53" t="s">
        <v>68</v>
      </c>
      <c r="AE12" s="120" t="s">
        <v>68</v>
      </c>
      <c r="AF12" s="120">
        <v>0</v>
      </c>
      <c r="AG12" s="120">
        <v>1</v>
      </c>
      <c r="AH12" s="184">
        <v>1</v>
      </c>
      <c r="AI12" s="184">
        <v>0</v>
      </c>
      <c r="AJ12" s="22" t="s">
        <v>33</v>
      </c>
      <c r="AL12" t="str">
        <f t="shared" si="0"/>
        <v xml:space="preserve">    (U1)ALERT_REQ_UNKNOWN</v>
      </c>
      <c r="AR12" s="55" t="str">
        <f t="shared" si="3"/>
        <v xml:space="preserve">    (U4)0x00000006U,                                                           /* 06 UNKNOWN                                         */</v>
      </c>
      <c r="AS12" s="55" t="str">
        <f t="shared" si="4"/>
        <v xml:space="preserve">    (U4)0x0000000FU,                                                           /* 06 UNKNOWN                                         */</v>
      </c>
      <c r="AT12" s="55" t="str">
        <f t="shared" si="1"/>
        <v xml:space="preserve">    (U1)ALERT_REQ_UNKNOWN,                                                     /* 06 UNKNOWN                                         */</v>
      </c>
      <c r="AU12" s="55"/>
      <c r="AV12" s="41" t="s">
        <v>89</v>
      </c>
      <c r="AW12" s="60" t="str">
        <f ca="1">Matrix!D8&amp;"["&amp;Matrix!D7&amp;"]"</f>
        <v>st_gp_ALERT_H_SOCLOW_MTRX[2]</v>
      </c>
    </row>
    <row r="13" spans="1:49">
      <c r="B13" s="124"/>
      <c r="C13" s="39">
        <f t="shared" si="2"/>
        <v>7</v>
      </c>
      <c r="D13" s="53" t="s">
        <v>68</v>
      </c>
      <c r="E13" s="53" t="s">
        <v>68</v>
      </c>
      <c r="F13" s="53" t="s">
        <v>68</v>
      </c>
      <c r="G13" s="53" t="s">
        <v>68</v>
      </c>
      <c r="H13" s="53" t="s">
        <v>68</v>
      </c>
      <c r="I13" s="53" t="s">
        <v>68</v>
      </c>
      <c r="J13" s="53" t="s">
        <v>68</v>
      </c>
      <c r="K13" s="53" t="s">
        <v>68</v>
      </c>
      <c r="L13" s="53" t="s">
        <v>68</v>
      </c>
      <c r="M13" s="53" t="s">
        <v>68</v>
      </c>
      <c r="N13" s="53" t="s">
        <v>68</v>
      </c>
      <c r="O13" s="53" t="s">
        <v>68</v>
      </c>
      <c r="P13" s="53" t="s">
        <v>68</v>
      </c>
      <c r="Q13" s="53" t="s">
        <v>68</v>
      </c>
      <c r="R13" s="53" t="s">
        <v>68</v>
      </c>
      <c r="S13" s="53" t="s">
        <v>68</v>
      </c>
      <c r="T13" s="53" t="s">
        <v>68</v>
      </c>
      <c r="U13" s="53" t="s">
        <v>68</v>
      </c>
      <c r="V13" s="53" t="s">
        <v>68</v>
      </c>
      <c r="W13" s="53" t="s">
        <v>68</v>
      </c>
      <c r="X13" s="53" t="s">
        <v>68</v>
      </c>
      <c r="Y13" s="53" t="s">
        <v>68</v>
      </c>
      <c r="Z13" s="53" t="s">
        <v>68</v>
      </c>
      <c r="AA13" s="53" t="s">
        <v>68</v>
      </c>
      <c r="AB13" s="53" t="s">
        <v>68</v>
      </c>
      <c r="AC13" s="53" t="s">
        <v>68</v>
      </c>
      <c r="AD13" s="53" t="s">
        <v>68</v>
      </c>
      <c r="AE13" s="53" t="s">
        <v>68</v>
      </c>
      <c r="AF13" s="120">
        <v>0</v>
      </c>
      <c r="AG13" s="120">
        <v>1</v>
      </c>
      <c r="AH13" s="53">
        <v>1</v>
      </c>
      <c r="AI13" s="53">
        <v>1</v>
      </c>
      <c r="AJ13" s="22" t="s">
        <v>33</v>
      </c>
      <c r="AL13" t="str">
        <f t="shared" si="0"/>
        <v xml:space="preserve">    (U1)ALERT_REQ_UNKNOWN</v>
      </c>
      <c r="AR13" s="55" t="str">
        <f t="shared" si="3"/>
        <v xml:space="preserve">    (U4)0x00000007U,                                                           /* 07 UNKNOWN                                         */</v>
      </c>
      <c r="AS13" s="55" t="str">
        <f t="shared" si="4"/>
        <v xml:space="preserve">    (U4)0x0000000FU,                                                           /* 07 UNKNOWN                                         */</v>
      </c>
      <c r="AT13" s="55" t="str">
        <f t="shared" si="1"/>
        <v xml:space="preserve">    (U1)ALERT_REQ_UNKNOWN,                                                     /* 07 UNKNOWN                                         */</v>
      </c>
      <c r="AU13" s="55" t="str">
        <f ca="1">"        &amp;"&amp;$AW$11&amp;"[0],"&amp;REPT(" ",66-LEN($AW$11))&amp;"/* u1p_DST                                            */"</f>
        <v xml:space="preserve">        &amp;u1_sp_ALERT_H_SOCLOW_TT_PD_DST[0],                                    /* u1p_DST                                            */</v>
      </c>
      <c r="AV13" s="41" t="s">
        <v>77</v>
      </c>
      <c r="AW13" s="123">
        <f>COUNTA($AJ$6:$AJ$69)</f>
        <v>16</v>
      </c>
    </row>
    <row r="14" spans="1:49">
      <c r="B14" s="124"/>
      <c r="C14" s="39">
        <f t="shared" si="2"/>
        <v>8</v>
      </c>
      <c r="D14" s="53" t="s">
        <v>68</v>
      </c>
      <c r="E14" s="53" t="s">
        <v>68</v>
      </c>
      <c r="F14" s="53" t="s">
        <v>68</v>
      </c>
      <c r="G14" s="53" t="s">
        <v>68</v>
      </c>
      <c r="H14" s="53" t="s">
        <v>68</v>
      </c>
      <c r="I14" s="53" t="s">
        <v>68</v>
      </c>
      <c r="J14" s="53" t="s">
        <v>68</v>
      </c>
      <c r="K14" s="53" t="s">
        <v>195</v>
      </c>
      <c r="L14" s="53" t="s">
        <v>68</v>
      </c>
      <c r="M14" s="53" t="s">
        <v>68</v>
      </c>
      <c r="N14" s="53" t="s">
        <v>68</v>
      </c>
      <c r="O14" s="53" t="s">
        <v>68</v>
      </c>
      <c r="P14" s="53" t="s">
        <v>68</v>
      </c>
      <c r="Q14" s="53" t="s">
        <v>68</v>
      </c>
      <c r="R14" s="53" t="s">
        <v>68</v>
      </c>
      <c r="S14" s="53" t="s">
        <v>68</v>
      </c>
      <c r="T14" s="53" t="s">
        <v>68</v>
      </c>
      <c r="U14" s="53" t="s">
        <v>68</v>
      </c>
      <c r="V14" s="53" t="s">
        <v>68</v>
      </c>
      <c r="W14" s="53" t="s">
        <v>68</v>
      </c>
      <c r="X14" s="53" t="s">
        <v>68</v>
      </c>
      <c r="Y14" s="53" t="s">
        <v>68</v>
      </c>
      <c r="Z14" s="53" t="s">
        <v>68</v>
      </c>
      <c r="AA14" s="53" t="s">
        <v>68</v>
      </c>
      <c r="AB14" s="53" t="s">
        <v>68</v>
      </c>
      <c r="AC14" s="53" t="s">
        <v>68</v>
      </c>
      <c r="AD14" s="53" t="s">
        <v>68</v>
      </c>
      <c r="AE14" s="53" t="s">
        <v>68</v>
      </c>
      <c r="AF14" s="120">
        <v>1</v>
      </c>
      <c r="AG14" s="120">
        <v>0</v>
      </c>
      <c r="AH14" s="184">
        <v>0</v>
      </c>
      <c r="AI14" s="184">
        <v>0</v>
      </c>
      <c r="AJ14" s="22" t="s">
        <v>33</v>
      </c>
      <c r="AL14" t="str">
        <f t="shared" si="0"/>
        <v xml:space="preserve">    (U1)ALERT_REQ_UNKNOWN</v>
      </c>
      <c r="AR14" s="55" t="str">
        <f t="shared" si="3"/>
        <v xml:space="preserve">    (U4)0x00000008U,                                                           /* 08 UNKNOWN                                         */</v>
      </c>
      <c r="AS14" s="55" t="str">
        <f t="shared" si="4"/>
        <v xml:space="preserve">    (U4)0x0000000FU,                                                           /* 08 UNKNOWN                                         */</v>
      </c>
      <c r="AT14" s="55" t="str">
        <f t="shared" si="1"/>
        <v xml:space="preserve">    (U1)ALERT_REQ_UNKNOWN,                                                     /* 08 UNKNOWN                                         */</v>
      </c>
      <c r="AU14" s="55" t="str">
        <f ca="1">"        (U2)"&amp;$AW$10&amp;","&amp;REPT(" ",66-LEN($AW$10))&amp;"/* u2_num_srch                                        */"</f>
        <v xml:space="preserve">        (U2)ALERT_H_SOCLOW_TT_PD_NUM_DST,                                      /* u2_num_srch                                        */</v>
      </c>
      <c r="AV14" s="41" t="s">
        <v>78</v>
      </c>
      <c r="AW14" s="60" t="str">
        <f ca="1">IF(AW6&lt;&gt;AW17,VLOOKUP(AW6,Matrix!$C$13:$G$37,4,FALSE),Matrix!F13)</f>
        <v>u4_s_AlertH_soclowTtPdSrcchk</v>
      </c>
    </row>
    <row r="15" spans="1:49">
      <c r="B15" s="124"/>
      <c r="C15" s="39">
        <f t="shared" si="2"/>
        <v>9</v>
      </c>
      <c r="D15" s="53" t="s">
        <v>68</v>
      </c>
      <c r="E15" s="53" t="s">
        <v>68</v>
      </c>
      <c r="F15" s="53" t="s">
        <v>68</v>
      </c>
      <c r="G15" s="53" t="s">
        <v>68</v>
      </c>
      <c r="H15" s="53" t="s">
        <v>68</v>
      </c>
      <c r="I15" s="53" t="s">
        <v>68</v>
      </c>
      <c r="J15" s="53" t="s">
        <v>68</v>
      </c>
      <c r="K15" s="53" t="s">
        <v>68</v>
      </c>
      <c r="L15" s="53" t="s">
        <v>68</v>
      </c>
      <c r="M15" s="53" t="s">
        <v>68</v>
      </c>
      <c r="N15" s="53" t="s">
        <v>68</v>
      </c>
      <c r="O15" s="53" t="s">
        <v>68</v>
      </c>
      <c r="P15" s="53" t="s">
        <v>68</v>
      </c>
      <c r="Q15" s="53" t="s">
        <v>68</v>
      </c>
      <c r="R15" s="53" t="s">
        <v>68</v>
      </c>
      <c r="S15" s="53" t="s">
        <v>68</v>
      </c>
      <c r="T15" s="53" t="s">
        <v>68</v>
      </c>
      <c r="U15" s="53" t="s">
        <v>68</v>
      </c>
      <c r="V15" s="53" t="s">
        <v>68</v>
      </c>
      <c r="W15" s="53" t="s">
        <v>68</v>
      </c>
      <c r="X15" s="53" t="s">
        <v>68</v>
      </c>
      <c r="Y15" s="53" t="s">
        <v>68</v>
      </c>
      <c r="Z15" s="53" t="s">
        <v>68</v>
      </c>
      <c r="AA15" s="53" t="s">
        <v>68</v>
      </c>
      <c r="AB15" s="53" t="s">
        <v>68</v>
      </c>
      <c r="AC15" s="53" t="s">
        <v>68</v>
      </c>
      <c r="AD15" s="53" t="s">
        <v>68</v>
      </c>
      <c r="AE15" s="53" t="s">
        <v>68</v>
      </c>
      <c r="AF15" s="120">
        <v>1</v>
      </c>
      <c r="AG15" s="120">
        <v>0</v>
      </c>
      <c r="AH15" s="184">
        <v>0</v>
      </c>
      <c r="AI15" s="184">
        <v>1</v>
      </c>
      <c r="AJ15" s="22" t="s">
        <v>33</v>
      </c>
      <c r="AL15" t="str">
        <f t="shared" si="0"/>
        <v xml:space="preserve">    (U1)ALERT_REQ_UNKNOWN</v>
      </c>
      <c r="AR15" s="55" t="str">
        <f t="shared" si="3"/>
        <v xml:space="preserve">    (U4)0x00000009U,                                                           /* 09 UNKNOWN                                         */</v>
      </c>
      <c r="AS15" s="55" t="str">
        <f t="shared" si="4"/>
        <v xml:space="preserve">    (U4)0x0000000FU,                                                           /* 09 UNKNOWN                                         */</v>
      </c>
      <c r="AT15" s="55" t="str">
        <f t="shared" si="1"/>
        <v xml:space="preserve">    (U1)ALERT_REQ_UNKNOWN,                                                     /* 09 UNKNOWN                                         */</v>
      </c>
      <c r="AU15" s="55" t="str">
        <f ca="1">"        (U1)"&amp;$AW$16&amp;REPT(" ",67-LEN($AW$16))&amp;"/* u1_vom_act                                         */"</f>
        <v xml:space="preserve">        (U1)ALERT_VOM_IGN_ON                                                   /* u1_vom_act                                         */</v>
      </c>
      <c r="AV15" s="41" t="s">
        <v>81</v>
      </c>
      <c r="AW15" s="60" t="str">
        <f ca="1">IF(AW6&lt;&gt;AW17,VLOOKUP(AW6,Matrix!$C$13:$G$37,5,FALSE),Matrix!G13)</f>
        <v>NULL</v>
      </c>
    </row>
    <row r="16" spans="1:49">
      <c r="B16" s="124"/>
      <c r="C16" s="39">
        <f t="shared" si="2"/>
        <v>10</v>
      </c>
      <c r="D16" s="53" t="s">
        <v>68</v>
      </c>
      <c r="E16" s="53" t="s">
        <v>68</v>
      </c>
      <c r="F16" s="53" t="s">
        <v>68</v>
      </c>
      <c r="G16" s="53" t="s">
        <v>68</v>
      </c>
      <c r="H16" s="53" t="s">
        <v>68</v>
      </c>
      <c r="I16" s="53" t="s">
        <v>68</v>
      </c>
      <c r="J16" s="53" t="s">
        <v>68</v>
      </c>
      <c r="K16" s="53" t="s">
        <v>68</v>
      </c>
      <c r="L16" s="53" t="s">
        <v>68</v>
      </c>
      <c r="M16" s="53" t="s">
        <v>68</v>
      </c>
      <c r="N16" s="53" t="s">
        <v>68</v>
      </c>
      <c r="O16" s="53" t="s">
        <v>68</v>
      </c>
      <c r="P16" s="53" t="s">
        <v>68</v>
      </c>
      <c r="Q16" s="53" t="s">
        <v>68</v>
      </c>
      <c r="R16" s="53" t="s">
        <v>68</v>
      </c>
      <c r="S16" s="53" t="s">
        <v>68</v>
      </c>
      <c r="T16" s="53" t="s">
        <v>68</v>
      </c>
      <c r="U16" s="53" t="s">
        <v>68</v>
      </c>
      <c r="V16" s="53" t="s">
        <v>68</v>
      </c>
      <c r="W16" s="53" t="s">
        <v>68</v>
      </c>
      <c r="X16" s="53" t="s">
        <v>68</v>
      </c>
      <c r="Y16" s="53" t="s">
        <v>68</v>
      </c>
      <c r="Z16" s="53" t="s">
        <v>68</v>
      </c>
      <c r="AA16" s="53" t="s">
        <v>68</v>
      </c>
      <c r="AB16" s="53" t="s">
        <v>68</v>
      </c>
      <c r="AC16" s="53" t="s">
        <v>68</v>
      </c>
      <c r="AD16" s="53" t="s">
        <v>68</v>
      </c>
      <c r="AE16" s="53" t="s">
        <v>68</v>
      </c>
      <c r="AF16" s="120">
        <v>1</v>
      </c>
      <c r="AG16" s="120">
        <v>0</v>
      </c>
      <c r="AH16" s="184">
        <v>1</v>
      </c>
      <c r="AI16" s="184">
        <v>0</v>
      </c>
      <c r="AJ16" s="22" t="s">
        <v>33</v>
      </c>
      <c r="AL16" t="str">
        <f t="shared" si="0"/>
        <v xml:space="preserve">    (U1)ALERT_REQ_UNKNOWN</v>
      </c>
      <c r="AR16" s="55" t="str">
        <f t="shared" si="3"/>
        <v xml:space="preserve">    (U4)0x0000000AU,                                                           /* 10 UNKNOWN                                         */</v>
      </c>
      <c r="AS16" s="55" t="str">
        <f t="shared" si="4"/>
        <v xml:space="preserve">    (U4)0x0000000FU,                                                           /* 10 UNKNOWN                                         */</v>
      </c>
      <c r="AT16" s="55" t="str">
        <f t="shared" si="1"/>
        <v xml:space="preserve">    (U1)ALERT_REQ_UNKNOWN,                                                     /* 10 UNKNOWN                                         */</v>
      </c>
      <c r="AU16" s="55" t="s">
        <v>70</v>
      </c>
      <c r="AV16" s="41" t="s">
        <v>79</v>
      </c>
      <c r="AW16" s="60" t="str">
        <f ca="1">IF(AW6&lt;&gt;AW17,VLOOKUP(AW6,Matrix!$C$13:$G$37,2,FALSE),Matrix!D13)</f>
        <v>ALERT_VOM_IGN_ON</v>
      </c>
    </row>
    <row r="17" spans="2:49" ht="14.25" thickBot="1">
      <c r="B17" s="124"/>
      <c r="C17" s="39">
        <f t="shared" si="2"/>
        <v>11</v>
      </c>
      <c r="D17" s="53" t="s">
        <v>68</v>
      </c>
      <c r="E17" s="53" t="s">
        <v>68</v>
      </c>
      <c r="F17" s="53" t="s">
        <v>68</v>
      </c>
      <c r="G17" s="53" t="s">
        <v>68</v>
      </c>
      <c r="H17" s="53" t="s">
        <v>68</v>
      </c>
      <c r="I17" s="53" t="s">
        <v>68</v>
      </c>
      <c r="J17" s="53" t="s">
        <v>68</v>
      </c>
      <c r="K17" s="53" t="s">
        <v>68</v>
      </c>
      <c r="L17" s="53" t="s">
        <v>68</v>
      </c>
      <c r="M17" s="53" t="s">
        <v>68</v>
      </c>
      <c r="N17" s="53" t="s">
        <v>68</v>
      </c>
      <c r="O17" s="53" t="s">
        <v>68</v>
      </c>
      <c r="P17" s="53" t="s">
        <v>68</v>
      </c>
      <c r="Q17" s="53" t="s">
        <v>68</v>
      </c>
      <c r="R17" s="53" t="s">
        <v>68</v>
      </c>
      <c r="S17" s="53" t="s">
        <v>68</v>
      </c>
      <c r="T17" s="53" t="s">
        <v>68</v>
      </c>
      <c r="U17" s="53" t="s">
        <v>68</v>
      </c>
      <c r="V17" s="53" t="s">
        <v>68</v>
      </c>
      <c r="W17" s="53" t="s">
        <v>68</v>
      </c>
      <c r="X17" s="53" t="s">
        <v>68</v>
      </c>
      <c r="Y17" s="53" t="s">
        <v>68</v>
      </c>
      <c r="Z17" s="53" t="s">
        <v>68</v>
      </c>
      <c r="AA17" s="53" t="s">
        <v>68</v>
      </c>
      <c r="AB17" s="53" t="s">
        <v>68</v>
      </c>
      <c r="AC17" s="53" t="s">
        <v>68</v>
      </c>
      <c r="AD17" s="53" t="s">
        <v>68</v>
      </c>
      <c r="AE17" s="53" t="s">
        <v>68</v>
      </c>
      <c r="AF17" s="120">
        <v>1</v>
      </c>
      <c r="AG17" s="120">
        <v>0</v>
      </c>
      <c r="AH17" s="53">
        <v>1</v>
      </c>
      <c r="AI17" s="53">
        <v>1</v>
      </c>
      <c r="AJ17" s="22" t="s">
        <v>33</v>
      </c>
      <c r="AL17" t="str">
        <f t="shared" si="0"/>
        <v xml:space="preserve">    (U1)ALERT_REQ_UNKNOWN</v>
      </c>
      <c r="AR17" s="55" t="str">
        <f t="shared" si="3"/>
        <v xml:space="preserve">    (U4)0x0000000BU,                                                           /* 11 UNKNOWN                                         */</v>
      </c>
      <c r="AS17" s="55" t="str">
        <f t="shared" si="4"/>
        <v xml:space="preserve">    (U4)0x0000000FU,                                                           /* 11 UNKNOWN                                         */</v>
      </c>
      <c r="AT17" s="55" t="str">
        <f t="shared" si="1"/>
        <v xml:space="preserve">    (U1)ALERT_REQ_UNKNOWN,                                                     /* 11 UNKNOWN                                         */</v>
      </c>
      <c r="AU17" s="56" t="s">
        <v>82</v>
      </c>
      <c r="AV17" s="42" t="s">
        <v>80</v>
      </c>
      <c r="AW17" s="61" t="str">
        <f ca="1">UPPER(Matrix!$D$6)</f>
        <v>H_SOCLOW</v>
      </c>
    </row>
    <row r="18" spans="2:49">
      <c r="B18" s="124"/>
      <c r="C18" s="39">
        <f t="shared" si="2"/>
        <v>12</v>
      </c>
      <c r="D18" s="53" t="s">
        <v>68</v>
      </c>
      <c r="E18" s="53" t="s">
        <v>68</v>
      </c>
      <c r="F18" s="53" t="s">
        <v>68</v>
      </c>
      <c r="G18" s="53" t="s">
        <v>68</v>
      </c>
      <c r="H18" s="53" t="s">
        <v>68</v>
      </c>
      <c r="I18" s="53" t="s">
        <v>68</v>
      </c>
      <c r="J18" s="53" t="s">
        <v>68</v>
      </c>
      <c r="K18" s="53" t="s">
        <v>68</v>
      </c>
      <c r="L18" s="53" t="s">
        <v>68</v>
      </c>
      <c r="M18" s="53" t="s">
        <v>68</v>
      </c>
      <c r="N18" s="53" t="s">
        <v>68</v>
      </c>
      <c r="O18" s="53" t="s">
        <v>68</v>
      </c>
      <c r="P18" s="53" t="s">
        <v>68</v>
      </c>
      <c r="Q18" s="53" t="s">
        <v>68</v>
      </c>
      <c r="R18" s="53" t="s">
        <v>68</v>
      </c>
      <c r="S18" s="53" t="s">
        <v>68</v>
      </c>
      <c r="T18" s="53" t="s">
        <v>68</v>
      </c>
      <c r="U18" s="53" t="s">
        <v>68</v>
      </c>
      <c r="V18" s="53" t="s">
        <v>68</v>
      </c>
      <c r="W18" s="53" t="s">
        <v>68</v>
      </c>
      <c r="X18" s="53" t="s">
        <v>68</v>
      </c>
      <c r="Y18" s="53" t="s">
        <v>68</v>
      </c>
      <c r="Z18" s="53" t="s">
        <v>68</v>
      </c>
      <c r="AA18" s="53" t="s">
        <v>68</v>
      </c>
      <c r="AB18" s="53" t="s">
        <v>68</v>
      </c>
      <c r="AC18" s="53" t="s">
        <v>68</v>
      </c>
      <c r="AD18" s="53" t="s">
        <v>68</v>
      </c>
      <c r="AE18" s="53" t="s">
        <v>68</v>
      </c>
      <c r="AF18" s="120">
        <v>1</v>
      </c>
      <c r="AG18" s="120">
        <v>1</v>
      </c>
      <c r="AH18" s="184">
        <v>0</v>
      </c>
      <c r="AI18" s="184">
        <v>0</v>
      </c>
      <c r="AJ18" s="22" t="s">
        <v>33</v>
      </c>
      <c r="AL18" t="str">
        <f t="shared" si="0"/>
        <v xml:space="preserve">    (U1)ALERT_REQ_UNKNOWN</v>
      </c>
      <c r="AR18" s="55" t="str">
        <f t="shared" si="3"/>
        <v xml:space="preserve">    (U4)0x0000000CU,                                                           /* 12 UNKNOWN                                         */</v>
      </c>
      <c r="AS18" s="55" t="str">
        <f t="shared" si="4"/>
        <v xml:space="preserve">    (U4)0x0000000FU,                                                           /* 12 UNKNOWN                                         */</v>
      </c>
      <c r="AT18" s="55" t="str">
        <f t="shared" si="1"/>
        <v xml:space="preserve">    (U1)ALERT_REQ_UNKNOWN,                                                     /* 12 UNKNOWN                                         */</v>
      </c>
    </row>
    <row r="19" spans="2:49">
      <c r="B19" s="124"/>
      <c r="C19" s="39">
        <f t="shared" si="2"/>
        <v>13</v>
      </c>
      <c r="D19" s="53" t="s">
        <v>68</v>
      </c>
      <c r="E19" s="53" t="s">
        <v>68</v>
      </c>
      <c r="F19" s="53" t="s">
        <v>68</v>
      </c>
      <c r="G19" s="53" t="s">
        <v>68</v>
      </c>
      <c r="H19" s="53" t="s">
        <v>68</v>
      </c>
      <c r="I19" s="53" t="s">
        <v>68</v>
      </c>
      <c r="J19" s="53" t="s">
        <v>68</v>
      </c>
      <c r="K19" s="53" t="s">
        <v>68</v>
      </c>
      <c r="L19" s="53" t="s">
        <v>68</v>
      </c>
      <c r="M19" s="53" t="s">
        <v>68</v>
      </c>
      <c r="N19" s="53" t="s">
        <v>68</v>
      </c>
      <c r="O19" s="53" t="s">
        <v>68</v>
      </c>
      <c r="P19" s="53" t="s">
        <v>68</v>
      </c>
      <c r="Q19" s="53" t="s">
        <v>68</v>
      </c>
      <c r="R19" s="53" t="s">
        <v>68</v>
      </c>
      <c r="S19" s="53" t="s">
        <v>68</v>
      </c>
      <c r="T19" s="53" t="s">
        <v>68</v>
      </c>
      <c r="U19" s="53" t="s">
        <v>68</v>
      </c>
      <c r="V19" s="53" t="s">
        <v>68</v>
      </c>
      <c r="W19" s="53" t="s">
        <v>68</v>
      </c>
      <c r="X19" s="53" t="s">
        <v>68</v>
      </c>
      <c r="Y19" s="53" t="s">
        <v>68</v>
      </c>
      <c r="Z19" s="53" t="s">
        <v>68</v>
      </c>
      <c r="AA19" s="53" t="s">
        <v>68</v>
      </c>
      <c r="AB19" s="53" t="s">
        <v>68</v>
      </c>
      <c r="AC19" s="53" t="s">
        <v>68</v>
      </c>
      <c r="AD19" s="53" t="s">
        <v>68</v>
      </c>
      <c r="AE19" s="53" t="s">
        <v>68</v>
      </c>
      <c r="AF19" s="120">
        <v>1</v>
      </c>
      <c r="AG19" s="120">
        <v>1</v>
      </c>
      <c r="AH19" s="184">
        <v>0</v>
      </c>
      <c r="AI19" s="184">
        <v>1</v>
      </c>
      <c r="AJ19" s="22" t="s">
        <v>33</v>
      </c>
      <c r="AL19" t="str">
        <f t="shared" si="0"/>
        <v xml:space="preserve">    (U1)ALERT_REQ_UNKNOWN</v>
      </c>
      <c r="AR19" s="55" t="str">
        <f t="shared" si="3"/>
        <v xml:space="preserve">    (U4)0x0000000DU,                                                           /* 13 UNKNOWN                                         */</v>
      </c>
      <c r="AS19" s="55" t="str">
        <f t="shared" si="4"/>
        <v xml:space="preserve">    (U4)0x0000000FU,                                                           /* 13 UNKNOWN                                         */</v>
      </c>
      <c r="AT19" s="55" t="str">
        <f t="shared" si="1"/>
        <v xml:space="preserve">    (U1)ALERT_REQ_UNKNOWN,                                                     /* 13 UNKNOWN                                         */</v>
      </c>
    </row>
    <row r="20" spans="2:49">
      <c r="B20" s="124"/>
      <c r="C20" s="39">
        <f t="shared" si="2"/>
        <v>14</v>
      </c>
      <c r="D20" s="53" t="s">
        <v>68</v>
      </c>
      <c r="E20" s="53" t="s">
        <v>68</v>
      </c>
      <c r="F20" s="53" t="s">
        <v>68</v>
      </c>
      <c r="G20" s="53" t="s">
        <v>68</v>
      </c>
      <c r="H20" s="53" t="s">
        <v>68</v>
      </c>
      <c r="I20" s="53" t="s">
        <v>68</v>
      </c>
      <c r="J20" s="53" t="s">
        <v>68</v>
      </c>
      <c r="K20" s="53" t="s">
        <v>68</v>
      </c>
      <c r="L20" s="53" t="s">
        <v>68</v>
      </c>
      <c r="M20" s="53" t="s">
        <v>68</v>
      </c>
      <c r="N20" s="53" t="s">
        <v>68</v>
      </c>
      <c r="O20" s="53" t="s">
        <v>68</v>
      </c>
      <c r="P20" s="53" t="s">
        <v>68</v>
      </c>
      <c r="Q20" s="53" t="s">
        <v>68</v>
      </c>
      <c r="R20" s="53" t="s">
        <v>68</v>
      </c>
      <c r="S20" s="53" t="s">
        <v>68</v>
      </c>
      <c r="T20" s="53" t="s">
        <v>68</v>
      </c>
      <c r="U20" s="53" t="s">
        <v>68</v>
      </c>
      <c r="V20" s="53" t="s">
        <v>68</v>
      </c>
      <c r="W20" s="53" t="s">
        <v>68</v>
      </c>
      <c r="X20" s="53" t="s">
        <v>68</v>
      </c>
      <c r="Y20" s="53" t="s">
        <v>68</v>
      </c>
      <c r="Z20" s="53" t="s">
        <v>68</v>
      </c>
      <c r="AA20" s="53" t="s">
        <v>68</v>
      </c>
      <c r="AB20" s="53" t="s">
        <v>68</v>
      </c>
      <c r="AC20" s="53" t="s">
        <v>68</v>
      </c>
      <c r="AD20" s="53" t="s">
        <v>68</v>
      </c>
      <c r="AE20" s="53" t="s">
        <v>68</v>
      </c>
      <c r="AF20" s="120">
        <v>1</v>
      </c>
      <c r="AG20" s="120">
        <v>1</v>
      </c>
      <c r="AH20" s="184">
        <v>1</v>
      </c>
      <c r="AI20" s="184">
        <v>0</v>
      </c>
      <c r="AJ20" s="22" t="s">
        <v>33</v>
      </c>
      <c r="AL20" t="str">
        <f t="shared" si="0"/>
        <v xml:space="preserve">    (U1)ALERT_REQ_UNKNOWN</v>
      </c>
      <c r="AR20" s="55" t="str">
        <f t="shared" si="3"/>
        <v xml:space="preserve">    (U4)0x0000000EU,                                                           /* 14 UNKNOWN                                         */</v>
      </c>
      <c r="AS20" s="55" t="str">
        <f t="shared" si="4"/>
        <v xml:space="preserve">    (U4)0x0000000FU,                                                           /* 14 UNKNOWN                                         */</v>
      </c>
      <c r="AT20" s="55" t="str">
        <f t="shared" si="1"/>
        <v xml:space="preserve">    (U1)ALERT_REQ_UNKNOWN,                                                     /* 14 UNKNOWN                                         */</v>
      </c>
    </row>
    <row r="21" spans="2:49">
      <c r="B21" s="124"/>
      <c r="C21" s="39">
        <f t="shared" si="2"/>
        <v>15</v>
      </c>
      <c r="D21" s="53" t="s">
        <v>68</v>
      </c>
      <c r="E21" s="53" t="s">
        <v>68</v>
      </c>
      <c r="F21" s="53" t="s">
        <v>68</v>
      </c>
      <c r="G21" s="53" t="s">
        <v>68</v>
      </c>
      <c r="H21" s="53" t="s">
        <v>68</v>
      </c>
      <c r="I21" s="53" t="s">
        <v>68</v>
      </c>
      <c r="J21" s="53" t="s">
        <v>68</v>
      </c>
      <c r="K21" s="53" t="s">
        <v>68</v>
      </c>
      <c r="L21" s="53" t="s">
        <v>68</v>
      </c>
      <c r="M21" s="53" t="s">
        <v>68</v>
      </c>
      <c r="N21" s="53" t="s">
        <v>68</v>
      </c>
      <c r="O21" s="53" t="s">
        <v>68</v>
      </c>
      <c r="P21" s="53" t="s">
        <v>68</v>
      </c>
      <c r="Q21" s="53" t="s">
        <v>68</v>
      </c>
      <c r="R21" s="53" t="s">
        <v>68</v>
      </c>
      <c r="S21" s="53" t="s">
        <v>68</v>
      </c>
      <c r="T21" s="53" t="s">
        <v>68</v>
      </c>
      <c r="U21" s="53" t="s">
        <v>68</v>
      </c>
      <c r="V21" s="53" t="s">
        <v>68</v>
      </c>
      <c r="W21" s="53" t="s">
        <v>68</v>
      </c>
      <c r="X21" s="53" t="s">
        <v>68</v>
      </c>
      <c r="Y21" s="53" t="s">
        <v>68</v>
      </c>
      <c r="Z21" s="53" t="s">
        <v>68</v>
      </c>
      <c r="AA21" s="53" t="s">
        <v>68</v>
      </c>
      <c r="AB21" s="53" t="s">
        <v>68</v>
      </c>
      <c r="AC21" s="53" t="s">
        <v>68</v>
      </c>
      <c r="AD21" s="53" t="s">
        <v>68</v>
      </c>
      <c r="AE21" s="53" t="s">
        <v>68</v>
      </c>
      <c r="AF21" s="120">
        <v>1</v>
      </c>
      <c r="AG21" s="120">
        <v>1</v>
      </c>
      <c r="AH21" s="53">
        <v>1</v>
      </c>
      <c r="AI21" s="53">
        <v>1</v>
      </c>
      <c r="AJ21" s="22" t="s">
        <v>33</v>
      </c>
      <c r="AL21" t="str">
        <f t="shared" si="0"/>
        <v xml:space="preserve">    (U1)ALERT_REQ_UNKNOWN</v>
      </c>
      <c r="AR21" s="55" t="str">
        <f t="shared" si="3"/>
        <v xml:space="preserve">    (U4)0x0000000FU                                                            /* 15 UNKNOWN                                         */</v>
      </c>
      <c r="AS21" s="55" t="str">
        <f t="shared" si="4"/>
        <v xml:space="preserve">    (U4)0x0000000FU                                                            /* 15 UNKNOWN                                         */</v>
      </c>
      <c r="AT21" s="55" t="str">
        <f t="shared" si="1"/>
        <v xml:space="preserve">    (U1)ALERT_REQ_UNKNOWN                                                      /* 15 UNKNOWN                                         */</v>
      </c>
    </row>
    <row r="22" spans="2:49">
      <c r="B22" s="124"/>
      <c r="C22" s="39">
        <f t="shared" si="2"/>
        <v>16</v>
      </c>
      <c r="D22" s="53" t="s">
        <v>68</v>
      </c>
      <c r="E22" s="53" t="s">
        <v>68</v>
      </c>
      <c r="F22" s="53" t="s">
        <v>68</v>
      </c>
      <c r="G22" s="53" t="s">
        <v>68</v>
      </c>
      <c r="H22" s="53" t="s">
        <v>68</v>
      </c>
      <c r="I22" s="53" t="s">
        <v>68</v>
      </c>
      <c r="J22" s="53" t="s">
        <v>68</v>
      </c>
      <c r="K22" s="53" t="s">
        <v>68</v>
      </c>
      <c r="L22" s="53" t="s">
        <v>68</v>
      </c>
      <c r="M22" s="53" t="s">
        <v>68</v>
      </c>
      <c r="N22" s="53" t="s">
        <v>68</v>
      </c>
      <c r="O22" s="53" t="s">
        <v>68</v>
      </c>
      <c r="P22" s="53" t="s">
        <v>68</v>
      </c>
      <c r="Q22" s="53" t="s">
        <v>68</v>
      </c>
      <c r="R22" s="53" t="s">
        <v>68</v>
      </c>
      <c r="S22" s="53" t="s">
        <v>68</v>
      </c>
      <c r="T22" s="53" t="s">
        <v>68</v>
      </c>
      <c r="U22" s="53" t="s">
        <v>68</v>
      </c>
      <c r="V22" s="53" t="s">
        <v>68</v>
      </c>
      <c r="W22" s="53" t="s">
        <v>68</v>
      </c>
      <c r="X22" s="53" t="s">
        <v>68</v>
      </c>
      <c r="Y22" s="53" t="s">
        <v>68</v>
      </c>
      <c r="Z22" s="53" t="s">
        <v>68</v>
      </c>
      <c r="AA22" s="53" t="s">
        <v>68</v>
      </c>
      <c r="AB22" s="53" t="s">
        <v>68</v>
      </c>
      <c r="AC22" s="53" t="s">
        <v>68</v>
      </c>
      <c r="AD22" s="53" t="s">
        <v>68</v>
      </c>
      <c r="AE22" s="53" t="s">
        <v>68</v>
      </c>
      <c r="AF22" s="53" t="s">
        <v>68</v>
      </c>
      <c r="AG22" s="53" t="s">
        <v>68</v>
      </c>
      <c r="AH22" s="53" t="s">
        <v>68</v>
      </c>
      <c r="AI22" s="53" t="s">
        <v>68</v>
      </c>
      <c r="AJ22" s="22"/>
      <c r="AL22" t="str">
        <f t="shared" ca="1" si="0"/>
        <v xml:space="preserve">    (U1)ALERT_REQ_H_SOCLOW_TT_PD_</v>
      </c>
      <c r="AR22" s="55" t="str">
        <f t="shared" si="3"/>
        <v>};</v>
      </c>
      <c r="AS22" s="55" t="str">
        <f t="shared" si="4"/>
        <v>};</v>
      </c>
      <c r="AT22" s="55" t="str">
        <f t="shared" si="1"/>
        <v>};</v>
      </c>
    </row>
    <row r="23" spans="2:49">
      <c r="B23" s="124"/>
      <c r="C23" s="39">
        <f t="shared" si="2"/>
        <v>17</v>
      </c>
      <c r="D23" s="53" t="s">
        <v>68</v>
      </c>
      <c r="E23" s="53" t="s">
        <v>68</v>
      </c>
      <c r="F23" s="53" t="s">
        <v>68</v>
      </c>
      <c r="G23" s="53" t="s">
        <v>68</v>
      </c>
      <c r="H23" s="53" t="s">
        <v>68</v>
      </c>
      <c r="I23" s="53" t="s">
        <v>68</v>
      </c>
      <c r="J23" s="53" t="s">
        <v>68</v>
      </c>
      <c r="K23" s="53" t="s">
        <v>68</v>
      </c>
      <c r="L23" s="53" t="s">
        <v>68</v>
      </c>
      <c r="M23" s="53" t="s">
        <v>68</v>
      </c>
      <c r="N23" s="53" t="s">
        <v>68</v>
      </c>
      <c r="O23" s="53" t="s">
        <v>68</v>
      </c>
      <c r="P23" s="53" t="s">
        <v>68</v>
      </c>
      <c r="Q23" s="53" t="s">
        <v>68</v>
      </c>
      <c r="R23" s="53" t="s">
        <v>68</v>
      </c>
      <c r="S23" s="53" t="s">
        <v>68</v>
      </c>
      <c r="T23" s="53" t="s">
        <v>68</v>
      </c>
      <c r="U23" s="53" t="s">
        <v>68</v>
      </c>
      <c r="V23" s="53" t="s">
        <v>68</v>
      </c>
      <c r="W23" s="53" t="s">
        <v>68</v>
      </c>
      <c r="X23" s="53" t="s">
        <v>68</v>
      </c>
      <c r="Y23" s="53" t="s">
        <v>68</v>
      </c>
      <c r="Z23" s="53" t="s">
        <v>68</v>
      </c>
      <c r="AA23" s="53" t="s">
        <v>68</v>
      </c>
      <c r="AB23" s="53" t="s">
        <v>68</v>
      </c>
      <c r="AC23" s="53" t="s">
        <v>68</v>
      </c>
      <c r="AD23" s="53" t="s">
        <v>68</v>
      </c>
      <c r="AE23" s="53" t="s">
        <v>68</v>
      </c>
      <c r="AF23" s="53" t="s">
        <v>68</v>
      </c>
      <c r="AG23" s="53" t="s">
        <v>68</v>
      </c>
      <c r="AH23" s="53" t="s">
        <v>68</v>
      </c>
      <c r="AI23" s="53" t="s">
        <v>68</v>
      </c>
      <c r="AJ23" s="22"/>
      <c r="AL23" t="str">
        <f t="shared" ca="1" si="0"/>
        <v xml:space="preserve">    (U1)ALERT_REQ_H_SOCLOW_TT_PD_</v>
      </c>
      <c r="AR23" s="55" t="str">
        <f t="shared" si="3"/>
        <v/>
      </c>
      <c r="AS23" s="55" t="str">
        <f t="shared" si="4"/>
        <v/>
      </c>
      <c r="AT23" s="55" t="str">
        <f t="shared" si="1"/>
        <v/>
      </c>
    </row>
    <row r="24" spans="2:49">
      <c r="B24" s="124"/>
      <c r="C24" s="39">
        <f t="shared" si="2"/>
        <v>18</v>
      </c>
      <c r="D24" s="53" t="s">
        <v>68</v>
      </c>
      <c r="E24" s="53" t="s">
        <v>68</v>
      </c>
      <c r="F24" s="53" t="s">
        <v>68</v>
      </c>
      <c r="G24" s="53" t="s">
        <v>68</v>
      </c>
      <c r="H24" s="53" t="s">
        <v>68</v>
      </c>
      <c r="I24" s="53" t="s">
        <v>68</v>
      </c>
      <c r="J24" s="53" t="s">
        <v>68</v>
      </c>
      <c r="K24" s="53" t="s">
        <v>68</v>
      </c>
      <c r="L24" s="53" t="s">
        <v>68</v>
      </c>
      <c r="M24" s="53" t="s">
        <v>68</v>
      </c>
      <c r="N24" s="53" t="s">
        <v>68</v>
      </c>
      <c r="O24" s="53" t="s">
        <v>68</v>
      </c>
      <c r="P24" s="53" t="s">
        <v>68</v>
      </c>
      <c r="Q24" s="53" t="s">
        <v>68</v>
      </c>
      <c r="R24" s="53" t="s">
        <v>68</v>
      </c>
      <c r="S24" s="53" t="s">
        <v>68</v>
      </c>
      <c r="T24" s="53" t="s">
        <v>68</v>
      </c>
      <c r="U24" s="53" t="s">
        <v>68</v>
      </c>
      <c r="V24" s="53" t="s">
        <v>68</v>
      </c>
      <c r="W24" s="53" t="s">
        <v>68</v>
      </c>
      <c r="X24" s="53" t="s">
        <v>68</v>
      </c>
      <c r="Y24" s="53" t="s">
        <v>68</v>
      </c>
      <c r="Z24" s="53" t="s">
        <v>68</v>
      </c>
      <c r="AA24" s="53" t="s">
        <v>68</v>
      </c>
      <c r="AB24" s="53" t="s">
        <v>68</v>
      </c>
      <c r="AC24" s="53" t="s">
        <v>68</v>
      </c>
      <c r="AD24" s="53" t="s">
        <v>68</v>
      </c>
      <c r="AE24" s="53" t="s">
        <v>68</v>
      </c>
      <c r="AF24" s="53" t="s">
        <v>68</v>
      </c>
      <c r="AG24" s="53" t="s">
        <v>68</v>
      </c>
      <c r="AH24" s="53" t="s">
        <v>68</v>
      </c>
      <c r="AI24" s="53" t="s">
        <v>68</v>
      </c>
      <c r="AJ24" s="22"/>
      <c r="AL24" t="str">
        <f t="shared" ca="1" si="0"/>
        <v xml:space="preserve">    (U1)ALERT_REQ_H_SOCLOW_TT_PD_</v>
      </c>
      <c r="AR24" s="55" t="str">
        <f t="shared" si="3"/>
        <v/>
      </c>
      <c r="AS24" s="55" t="str">
        <f t="shared" si="4"/>
        <v/>
      </c>
      <c r="AT24" s="55" t="str">
        <f t="shared" si="1"/>
        <v/>
      </c>
    </row>
    <row r="25" spans="2:49">
      <c r="B25" s="124"/>
      <c r="C25" s="39">
        <f t="shared" si="2"/>
        <v>19</v>
      </c>
      <c r="D25" s="53" t="s">
        <v>68</v>
      </c>
      <c r="E25" s="53" t="s">
        <v>68</v>
      </c>
      <c r="F25" s="53" t="s">
        <v>68</v>
      </c>
      <c r="G25" s="53" t="s">
        <v>68</v>
      </c>
      <c r="H25" s="53" t="s">
        <v>68</v>
      </c>
      <c r="I25" s="53" t="s">
        <v>68</v>
      </c>
      <c r="J25" s="53" t="s">
        <v>68</v>
      </c>
      <c r="K25" s="53" t="s">
        <v>68</v>
      </c>
      <c r="L25" s="53" t="s">
        <v>68</v>
      </c>
      <c r="M25" s="53" t="s">
        <v>68</v>
      </c>
      <c r="N25" s="53" t="s">
        <v>68</v>
      </c>
      <c r="O25" s="53" t="s">
        <v>68</v>
      </c>
      <c r="P25" s="53" t="s">
        <v>68</v>
      </c>
      <c r="Q25" s="53" t="s">
        <v>68</v>
      </c>
      <c r="R25" s="53" t="s">
        <v>68</v>
      </c>
      <c r="S25" s="53" t="s">
        <v>68</v>
      </c>
      <c r="T25" s="53" t="s">
        <v>68</v>
      </c>
      <c r="U25" s="53" t="s">
        <v>68</v>
      </c>
      <c r="V25" s="53" t="s">
        <v>68</v>
      </c>
      <c r="W25" s="53" t="s">
        <v>68</v>
      </c>
      <c r="X25" s="53" t="s">
        <v>68</v>
      </c>
      <c r="Y25" s="53" t="s">
        <v>68</v>
      </c>
      <c r="Z25" s="53" t="s">
        <v>68</v>
      </c>
      <c r="AA25" s="53" t="s">
        <v>68</v>
      </c>
      <c r="AB25" s="53" t="s">
        <v>68</v>
      </c>
      <c r="AC25" s="53" t="s">
        <v>68</v>
      </c>
      <c r="AD25" s="53" t="s">
        <v>68</v>
      </c>
      <c r="AE25" s="53" t="s">
        <v>68</v>
      </c>
      <c r="AF25" s="53" t="s">
        <v>68</v>
      </c>
      <c r="AG25" s="53" t="s">
        <v>68</v>
      </c>
      <c r="AH25" s="53" t="s">
        <v>68</v>
      </c>
      <c r="AI25" s="53" t="s">
        <v>68</v>
      </c>
      <c r="AJ25" s="22"/>
      <c r="AL25" t="str">
        <f t="shared" ca="1" si="0"/>
        <v xml:space="preserve">    (U1)ALERT_REQ_H_SOCLOW_TT_PD_</v>
      </c>
      <c r="AR25" s="55" t="str">
        <f t="shared" si="3"/>
        <v/>
      </c>
      <c r="AS25" s="55" t="str">
        <f t="shared" si="4"/>
        <v/>
      </c>
      <c r="AT25" s="55" t="str">
        <f t="shared" si="1"/>
        <v/>
      </c>
    </row>
    <row r="26" spans="2:49">
      <c r="B26" s="124"/>
      <c r="C26" s="39">
        <f t="shared" si="2"/>
        <v>20</v>
      </c>
      <c r="D26" s="53" t="s">
        <v>68</v>
      </c>
      <c r="E26" s="53" t="s">
        <v>68</v>
      </c>
      <c r="F26" s="53" t="s">
        <v>68</v>
      </c>
      <c r="G26" s="53" t="s">
        <v>68</v>
      </c>
      <c r="H26" s="53" t="s">
        <v>68</v>
      </c>
      <c r="I26" s="53" t="s">
        <v>68</v>
      </c>
      <c r="J26" s="53" t="s">
        <v>68</v>
      </c>
      <c r="K26" s="53" t="s">
        <v>68</v>
      </c>
      <c r="L26" s="53" t="s">
        <v>68</v>
      </c>
      <c r="M26" s="53" t="s">
        <v>68</v>
      </c>
      <c r="N26" s="53" t="s">
        <v>68</v>
      </c>
      <c r="O26" s="53" t="s">
        <v>68</v>
      </c>
      <c r="P26" s="53" t="s">
        <v>68</v>
      </c>
      <c r="Q26" s="53" t="s">
        <v>68</v>
      </c>
      <c r="R26" s="53" t="s">
        <v>68</v>
      </c>
      <c r="S26" s="53" t="s">
        <v>68</v>
      </c>
      <c r="T26" s="53" t="s">
        <v>68</v>
      </c>
      <c r="U26" s="53" t="s">
        <v>68</v>
      </c>
      <c r="V26" s="53" t="s">
        <v>68</v>
      </c>
      <c r="W26" s="53" t="s">
        <v>68</v>
      </c>
      <c r="X26" s="53" t="s">
        <v>68</v>
      </c>
      <c r="Y26" s="53" t="s">
        <v>68</v>
      </c>
      <c r="Z26" s="53" t="s">
        <v>68</v>
      </c>
      <c r="AA26" s="53" t="s">
        <v>68</v>
      </c>
      <c r="AB26" s="53" t="s">
        <v>68</v>
      </c>
      <c r="AC26" s="53" t="s">
        <v>68</v>
      </c>
      <c r="AD26" s="53" t="s">
        <v>68</v>
      </c>
      <c r="AE26" s="53" t="s">
        <v>68</v>
      </c>
      <c r="AF26" s="53" t="s">
        <v>68</v>
      </c>
      <c r="AG26" s="53" t="s">
        <v>68</v>
      </c>
      <c r="AH26" s="53" t="s">
        <v>68</v>
      </c>
      <c r="AI26" s="53" t="s">
        <v>68</v>
      </c>
      <c r="AJ26" s="22"/>
      <c r="AL26" t="str">
        <f t="shared" ca="1" si="0"/>
        <v xml:space="preserve">    (U1)ALERT_REQ_H_SOCLOW_TT_PD_</v>
      </c>
      <c r="AR26" s="55" t="str">
        <f t="shared" si="3"/>
        <v/>
      </c>
      <c r="AS26" s="55" t="str">
        <f t="shared" si="4"/>
        <v/>
      </c>
      <c r="AT26" s="55" t="str">
        <f t="shared" si="1"/>
        <v/>
      </c>
    </row>
    <row r="27" spans="2:49">
      <c r="B27" s="124"/>
      <c r="C27" s="39">
        <f t="shared" si="2"/>
        <v>21</v>
      </c>
      <c r="D27" s="53" t="s">
        <v>68</v>
      </c>
      <c r="E27" s="53" t="s">
        <v>68</v>
      </c>
      <c r="F27" s="53" t="s">
        <v>68</v>
      </c>
      <c r="G27" s="53" t="s">
        <v>68</v>
      </c>
      <c r="H27" s="53" t="s">
        <v>68</v>
      </c>
      <c r="I27" s="53" t="s">
        <v>68</v>
      </c>
      <c r="J27" s="53" t="s">
        <v>68</v>
      </c>
      <c r="K27" s="53" t="s">
        <v>68</v>
      </c>
      <c r="L27" s="53" t="s">
        <v>68</v>
      </c>
      <c r="M27" s="53" t="s">
        <v>68</v>
      </c>
      <c r="N27" s="53" t="s">
        <v>68</v>
      </c>
      <c r="O27" s="53" t="s">
        <v>68</v>
      </c>
      <c r="P27" s="53" t="s">
        <v>68</v>
      </c>
      <c r="Q27" s="53" t="s">
        <v>68</v>
      </c>
      <c r="R27" s="53" t="s">
        <v>68</v>
      </c>
      <c r="S27" s="53" t="s">
        <v>68</v>
      </c>
      <c r="T27" s="53" t="s">
        <v>68</v>
      </c>
      <c r="U27" s="53" t="s">
        <v>68</v>
      </c>
      <c r="V27" s="53" t="s">
        <v>68</v>
      </c>
      <c r="W27" s="53" t="s">
        <v>68</v>
      </c>
      <c r="X27" s="53" t="s">
        <v>68</v>
      </c>
      <c r="Y27" s="53" t="s">
        <v>68</v>
      </c>
      <c r="Z27" s="53" t="s">
        <v>68</v>
      </c>
      <c r="AA27" s="53" t="s">
        <v>68</v>
      </c>
      <c r="AB27" s="53" t="s">
        <v>68</v>
      </c>
      <c r="AC27" s="53" t="s">
        <v>68</v>
      </c>
      <c r="AD27" s="53" t="s">
        <v>68</v>
      </c>
      <c r="AE27" s="53" t="s">
        <v>68</v>
      </c>
      <c r="AF27" s="53" t="s">
        <v>68</v>
      </c>
      <c r="AG27" s="53" t="s">
        <v>68</v>
      </c>
      <c r="AH27" s="53" t="s">
        <v>68</v>
      </c>
      <c r="AI27" s="53" t="s">
        <v>68</v>
      </c>
      <c r="AJ27" s="22"/>
      <c r="AL27" t="str">
        <f t="shared" ca="1" si="0"/>
        <v xml:space="preserve">    (U1)ALERT_REQ_H_SOCLOW_TT_PD_</v>
      </c>
      <c r="AR27" s="55" t="str">
        <f t="shared" si="3"/>
        <v/>
      </c>
      <c r="AS27" s="55" t="str">
        <f t="shared" si="4"/>
        <v/>
      </c>
      <c r="AT27" s="55" t="str">
        <f t="shared" si="1"/>
        <v/>
      </c>
    </row>
    <row r="28" spans="2:49">
      <c r="B28" s="124"/>
      <c r="C28" s="39">
        <f t="shared" si="2"/>
        <v>22</v>
      </c>
      <c r="D28" s="53" t="s">
        <v>68</v>
      </c>
      <c r="E28" s="53" t="s">
        <v>68</v>
      </c>
      <c r="F28" s="53" t="s">
        <v>68</v>
      </c>
      <c r="G28" s="53" t="s">
        <v>68</v>
      </c>
      <c r="H28" s="53" t="s">
        <v>68</v>
      </c>
      <c r="I28" s="53" t="s">
        <v>68</v>
      </c>
      <c r="J28" s="53" t="s">
        <v>68</v>
      </c>
      <c r="K28" s="53" t="s">
        <v>68</v>
      </c>
      <c r="L28" s="53" t="s">
        <v>68</v>
      </c>
      <c r="M28" s="53" t="s">
        <v>68</v>
      </c>
      <c r="N28" s="53" t="s">
        <v>68</v>
      </c>
      <c r="O28" s="53" t="s">
        <v>68</v>
      </c>
      <c r="P28" s="53" t="s">
        <v>68</v>
      </c>
      <c r="Q28" s="53" t="s">
        <v>68</v>
      </c>
      <c r="R28" s="53" t="s">
        <v>68</v>
      </c>
      <c r="S28" s="53" t="s">
        <v>68</v>
      </c>
      <c r="T28" s="53" t="s">
        <v>68</v>
      </c>
      <c r="U28" s="53" t="s">
        <v>68</v>
      </c>
      <c r="V28" s="53" t="s">
        <v>68</v>
      </c>
      <c r="W28" s="53" t="s">
        <v>68</v>
      </c>
      <c r="X28" s="53" t="s">
        <v>68</v>
      </c>
      <c r="Y28" s="53" t="s">
        <v>68</v>
      </c>
      <c r="Z28" s="53" t="s">
        <v>68</v>
      </c>
      <c r="AA28" s="53" t="s">
        <v>68</v>
      </c>
      <c r="AB28" s="53" t="s">
        <v>68</v>
      </c>
      <c r="AC28" s="53" t="s">
        <v>68</v>
      </c>
      <c r="AD28" s="53" t="s">
        <v>68</v>
      </c>
      <c r="AE28" s="53" t="s">
        <v>68</v>
      </c>
      <c r="AF28" s="53" t="s">
        <v>68</v>
      </c>
      <c r="AG28" s="53" t="s">
        <v>68</v>
      </c>
      <c r="AH28" s="53" t="s">
        <v>68</v>
      </c>
      <c r="AI28" s="53" t="s">
        <v>68</v>
      </c>
      <c r="AJ28" s="22"/>
      <c r="AL28" t="str">
        <f t="shared" ca="1" si="0"/>
        <v xml:space="preserve">    (U1)ALERT_REQ_H_SOCLOW_TT_PD_</v>
      </c>
      <c r="AR28" s="55" t="str">
        <f t="shared" si="3"/>
        <v/>
      </c>
      <c r="AS28" s="55" t="str">
        <f t="shared" si="4"/>
        <v/>
      </c>
      <c r="AT28" s="55" t="str">
        <f t="shared" si="1"/>
        <v/>
      </c>
    </row>
    <row r="29" spans="2:49">
      <c r="B29" s="124"/>
      <c r="C29" s="39">
        <f t="shared" si="2"/>
        <v>23</v>
      </c>
      <c r="D29" s="53" t="s">
        <v>68</v>
      </c>
      <c r="E29" s="53" t="s">
        <v>68</v>
      </c>
      <c r="F29" s="53" t="s">
        <v>68</v>
      </c>
      <c r="G29" s="53" t="s">
        <v>68</v>
      </c>
      <c r="H29" s="53" t="s">
        <v>68</v>
      </c>
      <c r="I29" s="53" t="s">
        <v>68</v>
      </c>
      <c r="J29" s="53" t="s">
        <v>68</v>
      </c>
      <c r="K29" s="53" t="s">
        <v>68</v>
      </c>
      <c r="L29" s="53" t="s">
        <v>68</v>
      </c>
      <c r="M29" s="53" t="s">
        <v>68</v>
      </c>
      <c r="N29" s="53" t="s">
        <v>68</v>
      </c>
      <c r="O29" s="53" t="s">
        <v>68</v>
      </c>
      <c r="P29" s="53" t="s">
        <v>68</v>
      </c>
      <c r="Q29" s="53" t="s">
        <v>68</v>
      </c>
      <c r="R29" s="53" t="s">
        <v>68</v>
      </c>
      <c r="S29" s="53" t="s">
        <v>68</v>
      </c>
      <c r="T29" s="53" t="s">
        <v>68</v>
      </c>
      <c r="U29" s="53" t="s">
        <v>68</v>
      </c>
      <c r="V29" s="53" t="s">
        <v>68</v>
      </c>
      <c r="W29" s="53" t="s">
        <v>68</v>
      </c>
      <c r="X29" s="53" t="s">
        <v>68</v>
      </c>
      <c r="Y29" s="53" t="s">
        <v>68</v>
      </c>
      <c r="Z29" s="53" t="s">
        <v>68</v>
      </c>
      <c r="AA29" s="53" t="s">
        <v>68</v>
      </c>
      <c r="AB29" s="53" t="s">
        <v>68</v>
      </c>
      <c r="AC29" s="53" t="s">
        <v>68</v>
      </c>
      <c r="AD29" s="53" t="s">
        <v>68</v>
      </c>
      <c r="AE29" s="53" t="s">
        <v>68</v>
      </c>
      <c r="AF29" s="53" t="s">
        <v>68</v>
      </c>
      <c r="AG29" s="53" t="s">
        <v>68</v>
      </c>
      <c r="AH29" s="53" t="s">
        <v>68</v>
      </c>
      <c r="AI29" s="53" t="s">
        <v>68</v>
      </c>
      <c r="AJ29" s="22"/>
      <c r="AL29" t="str">
        <f t="shared" ca="1" si="0"/>
        <v xml:space="preserve">    (U1)ALERT_REQ_H_SOCLOW_TT_PD_</v>
      </c>
      <c r="AR29" s="55" t="str">
        <f t="shared" si="3"/>
        <v/>
      </c>
      <c r="AS29" s="55" t="str">
        <f t="shared" si="4"/>
        <v/>
      </c>
      <c r="AT29" s="55" t="str">
        <f t="shared" si="1"/>
        <v/>
      </c>
    </row>
    <row r="30" spans="2:49">
      <c r="B30" s="124"/>
      <c r="C30" s="39">
        <f t="shared" si="2"/>
        <v>24</v>
      </c>
      <c r="D30" s="53" t="s">
        <v>68</v>
      </c>
      <c r="E30" s="53" t="s">
        <v>68</v>
      </c>
      <c r="F30" s="53" t="s">
        <v>68</v>
      </c>
      <c r="G30" s="53" t="s">
        <v>68</v>
      </c>
      <c r="H30" s="53" t="s">
        <v>68</v>
      </c>
      <c r="I30" s="53" t="s">
        <v>68</v>
      </c>
      <c r="J30" s="53" t="s">
        <v>68</v>
      </c>
      <c r="K30" s="53" t="s">
        <v>68</v>
      </c>
      <c r="L30" s="53" t="s">
        <v>68</v>
      </c>
      <c r="M30" s="53" t="s">
        <v>68</v>
      </c>
      <c r="N30" s="53" t="s">
        <v>68</v>
      </c>
      <c r="O30" s="53" t="s">
        <v>68</v>
      </c>
      <c r="P30" s="53" t="s">
        <v>68</v>
      </c>
      <c r="Q30" s="53" t="s">
        <v>68</v>
      </c>
      <c r="R30" s="53" t="s">
        <v>68</v>
      </c>
      <c r="S30" s="53" t="s">
        <v>68</v>
      </c>
      <c r="T30" s="53" t="s">
        <v>68</v>
      </c>
      <c r="U30" s="53" t="s">
        <v>68</v>
      </c>
      <c r="V30" s="53" t="s">
        <v>68</v>
      </c>
      <c r="W30" s="53" t="s">
        <v>68</v>
      </c>
      <c r="X30" s="53" t="s">
        <v>68</v>
      </c>
      <c r="Y30" s="53" t="s">
        <v>68</v>
      </c>
      <c r="Z30" s="53" t="s">
        <v>68</v>
      </c>
      <c r="AA30" s="53" t="s">
        <v>68</v>
      </c>
      <c r="AB30" s="53" t="s">
        <v>68</v>
      </c>
      <c r="AC30" s="53" t="s">
        <v>68</v>
      </c>
      <c r="AD30" s="53" t="s">
        <v>68</v>
      </c>
      <c r="AE30" s="53" t="s">
        <v>68</v>
      </c>
      <c r="AF30" s="53" t="s">
        <v>68</v>
      </c>
      <c r="AG30" s="53" t="s">
        <v>68</v>
      </c>
      <c r="AH30" s="53" t="s">
        <v>68</v>
      </c>
      <c r="AI30" s="53" t="s">
        <v>68</v>
      </c>
      <c r="AJ30" s="22"/>
      <c r="AL30" t="str">
        <f t="shared" ca="1" si="0"/>
        <v xml:space="preserve">    (U1)ALERT_REQ_H_SOCLOW_TT_PD_</v>
      </c>
      <c r="AR30" s="55" t="str">
        <f t="shared" si="3"/>
        <v/>
      </c>
      <c r="AS30" s="55" t="str">
        <f t="shared" si="4"/>
        <v/>
      </c>
      <c r="AT30" s="55" t="str">
        <f t="shared" si="1"/>
        <v/>
      </c>
    </row>
    <row r="31" spans="2:49">
      <c r="B31" s="124"/>
      <c r="C31" s="39">
        <f t="shared" si="2"/>
        <v>25</v>
      </c>
      <c r="D31" s="53" t="s">
        <v>68</v>
      </c>
      <c r="E31" s="53" t="s">
        <v>68</v>
      </c>
      <c r="F31" s="53" t="s">
        <v>68</v>
      </c>
      <c r="G31" s="53" t="s">
        <v>68</v>
      </c>
      <c r="H31" s="53" t="s">
        <v>68</v>
      </c>
      <c r="I31" s="53" t="s">
        <v>68</v>
      </c>
      <c r="J31" s="53" t="s">
        <v>68</v>
      </c>
      <c r="K31" s="53" t="s">
        <v>68</v>
      </c>
      <c r="L31" s="53" t="s">
        <v>68</v>
      </c>
      <c r="M31" s="53" t="s">
        <v>68</v>
      </c>
      <c r="N31" s="53" t="s">
        <v>68</v>
      </c>
      <c r="O31" s="53" t="s">
        <v>68</v>
      </c>
      <c r="P31" s="53" t="s">
        <v>68</v>
      </c>
      <c r="Q31" s="53" t="s">
        <v>68</v>
      </c>
      <c r="R31" s="53" t="s">
        <v>68</v>
      </c>
      <c r="S31" s="53" t="s">
        <v>68</v>
      </c>
      <c r="T31" s="53" t="s">
        <v>68</v>
      </c>
      <c r="U31" s="53" t="s">
        <v>68</v>
      </c>
      <c r="V31" s="53" t="s">
        <v>68</v>
      </c>
      <c r="W31" s="53" t="s">
        <v>68</v>
      </c>
      <c r="X31" s="53" t="s">
        <v>68</v>
      </c>
      <c r="Y31" s="53" t="s">
        <v>68</v>
      </c>
      <c r="Z31" s="53" t="s">
        <v>68</v>
      </c>
      <c r="AA31" s="53" t="s">
        <v>68</v>
      </c>
      <c r="AB31" s="53" t="s">
        <v>68</v>
      </c>
      <c r="AC31" s="53" t="s">
        <v>68</v>
      </c>
      <c r="AD31" s="53" t="s">
        <v>68</v>
      </c>
      <c r="AE31" s="53" t="s">
        <v>68</v>
      </c>
      <c r="AF31" s="53" t="s">
        <v>68</v>
      </c>
      <c r="AG31" s="53" t="s">
        <v>68</v>
      </c>
      <c r="AH31" s="53" t="s">
        <v>68</v>
      </c>
      <c r="AI31" s="53" t="s">
        <v>68</v>
      </c>
      <c r="AJ31" s="22"/>
      <c r="AL31" t="str">
        <f t="shared" ca="1" si="0"/>
        <v xml:space="preserve">    (U1)ALERT_REQ_H_SOCLOW_TT_PD_</v>
      </c>
      <c r="AR31" s="55" t="str">
        <f t="shared" si="3"/>
        <v/>
      </c>
      <c r="AS31" s="55" t="str">
        <f t="shared" si="4"/>
        <v/>
      </c>
      <c r="AT31" s="55" t="str">
        <f t="shared" si="1"/>
        <v/>
      </c>
    </row>
    <row r="32" spans="2:49">
      <c r="B32" s="124"/>
      <c r="C32" s="39">
        <f t="shared" si="2"/>
        <v>26</v>
      </c>
      <c r="D32" s="53" t="s">
        <v>68</v>
      </c>
      <c r="E32" s="53" t="s">
        <v>68</v>
      </c>
      <c r="F32" s="53" t="s">
        <v>68</v>
      </c>
      <c r="G32" s="53" t="s">
        <v>68</v>
      </c>
      <c r="H32" s="53" t="s">
        <v>68</v>
      </c>
      <c r="I32" s="53" t="s">
        <v>68</v>
      </c>
      <c r="J32" s="53" t="s">
        <v>68</v>
      </c>
      <c r="K32" s="53" t="s">
        <v>68</v>
      </c>
      <c r="L32" s="53" t="s">
        <v>68</v>
      </c>
      <c r="M32" s="53" t="s">
        <v>68</v>
      </c>
      <c r="N32" s="53" t="s">
        <v>68</v>
      </c>
      <c r="O32" s="53" t="s">
        <v>68</v>
      </c>
      <c r="P32" s="53" t="s">
        <v>68</v>
      </c>
      <c r="Q32" s="53" t="s">
        <v>68</v>
      </c>
      <c r="R32" s="53" t="s">
        <v>68</v>
      </c>
      <c r="S32" s="53" t="s">
        <v>68</v>
      </c>
      <c r="T32" s="53" t="s">
        <v>68</v>
      </c>
      <c r="U32" s="53" t="s">
        <v>68</v>
      </c>
      <c r="V32" s="53" t="s">
        <v>68</v>
      </c>
      <c r="W32" s="53" t="s">
        <v>68</v>
      </c>
      <c r="X32" s="53" t="s">
        <v>68</v>
      </c>
      <c r="Y32" s="53" t="s">
        <v>68</v>
      </c>
      <c r="Z32" s="53" t="s">
        <v>68</v>
      </c>
      <c r="AA32" s="53" t="s">
        <v>68</v>
      </c>
      <c r="AB32" s="53" t="s">
        <v>68</v>
      </c>
      <c r="AC32" s="53" t="s">
        <v>68</v>
      </c>
      <c r="AD32" s="53" t="s">
        <v>68</v>
      </c>
      <c r="AE32" s="53" t="s">
        <v>68</v>
      </c>
      <c r="AF32" s="53" t="s">
        <v>68</v>
      </c>
      <c r="AG32" s="53" t="s">
        <v>68</v>
      </c>
      <c r="AH32" s="53" t="s">
        <v>68</v>
      </c>
      <c r="AI32" s="53" t="s">
        <v>68</v>
      </c>
      <c r="AJ32" s="22"/>
      <c r="AL32" t="str">
        <f t="shared" ca="1" si="0"/>
        <v xml:space="preserve">    (U1)ALERT_REQ_H_SOCLOW_TT_PD_</v>
      </c>
      <c r="AR32" s="55" t="str">
        <f t="shared" si="3"/>
        <v/>
      </c>
      <c r="AS32" s="55" t="str">
        <f t="shared" si="4"/>
        <v/>
      </c>
      <c r="AT32" s="55" t="str">
        <f t="shared" si="1"/>
        <v/>
      </c>
    </row>
    <row r="33" spans="2:46">
      <c r="B33" s="124"/>
      <c r="C33" s="39">
        <f t="shared" si="2"/>
        <v>27</v>
      </c>
      <c r="D33" s="53" t="s">
        <v>68</v>
      </c>
      <c r="E33" s="53" t="s">
        <v>68</v>
      </c>
      <c r="F33" s="53" t="s">
        <v>68</v>
      </c>
      <c r="G33" s="53" t="s">
        <v>68</v>
      </c>
      <c r="H33" s="53" t="s">
        <v>68</v>
      </c>
      <c r="I33" s="53" t="s">
        <v>68</v>
      </c>
      <c r="J33" s="53" t="s">
        <v>68</v>
      </c>
      <c r="K33" s="53" t="s">
        <v>68</v>
      </c>
      <c r="L33" s="53" t="s">
        <v>68</v>
      </c>
      <c r="M33" s="53" t="s">
        <v>68</v>
      </c>
      <c r="N33" s="53" t="s">
        <v>68</v>
      </c>
      <c r="O33" s="53" t="s">
        <v>68</v>
      </c>
      <c r="P33" s="53" t="s">
        <v>68</v>
      </c>
      <c r="Q33" s="53" t="s">
        <v>68</v>
      </c>
      <c r="R33" s="53" t="s">
        <v>68</v>
      </c>
      <c r="S33" s="53" t="s">
        <v>68</v>
      </c>
      <c r="T33" s="53" t="s">
        <v>68</v>
      </c>
      <c r="U33" s="53" t="s">
        <v>68</v>
      </c>
      <c r="V33" s="53" t="s">
        <v>68</v>
      </c>
      <c r="W33" s="53" t="s">
        <v>68</v>
      </c>
      <c r="X33" s="53" t="s">
        <v>68</v>
      </c>
      <c r="Y33" s="53" t="s">
        <v>68</v>
      </c>
      <c r="Z33" s="53" t="s">
        <v>68</v>
      </c>
      <c r="AA33" s="53" t="s">
        <v>68</v>
      </c>
      <c r="AB33" s="53" t="s">
        <v>68</v>
      </c>
      <c r="AC33" s="53" t="s">
        <v>68</v>
      </c>
      <c r="AD33" s="53" t="s">
        <v>68</v>
      </c>
      <c r="AE33" s="53" t="s">
        <v>68</v>
      </c>
      <c r="AF33" s="53" t="s">
        <v>68</v>
      </c>
      <c r="AG33" s="53" t="s">
        <v>68</v>
      </c>
      <c r="AH33" s="53" t="s">
        <v>68</v>
      </c>
      <c r="AI33" s="53" t="s">
        <v>68</v>
      </c>
      <c r="AJ33" s="22"/>
      <c r="AL33" t="str">
        <f t="shared" ca="1" si="0"/>
        <v xml:space="preserve">    (U1)ALERT_REQ_H_SOCLOW_TT_PD_</v>
      </c>
      <c r="AR33" s="55" t="str">
        <f t="shared" si="3"/>
        <v/>
      </c>
      <c r="AS33" s="55" t="str">
        <f t="shared" si="4"/>
        <v/>
      </c>
      <c r="AT33" s="55" t="str">
        <f t="shared" si="1"/>
        <v/>
      </c>
    </row>
    <row r="34" spans="2:46">
      <c r="B34" s="124"/>
      <c r="C34" s="39">
        <f t="shared" si="2"/>
        <v>28</v>
      </c>
      <c r="D34" s="53" t="s">
        <v>68</v>
      </c>
      <c r="E34" s="53" t="s">
        <v>68</v>
      </c>
      <c r="F34" s="53" t="s">
        <v>68</v>
      </c>
      <c r="G34" s="53" t="s">
        <v>68</v>
      </c>
      <c r="H34" s="53" t="s">
        <v>68</v>
      </c>
      <c r="I34" s="53" t="s">
        <v>68</v>
      </c>
      <c r="J34" s="53" t="s">
        <v>68</v>
      </c>
      <c r="K34" s="53" t="s">
        <v>68</v>
      </c>
      <c r="L34" s="53" t="s">
        <v>68</v>
      </c>
      <c r="M34" s="53" t="s">
        <v>68</v>
      </c>
      <c r="N34" s="53" t="s">
        <v>68</v>
      </c>
      <c r="O34" s="53" t="s">
        <v>68</v>
      </c>
      <c r="P34" s="53" t="s">
        <v>68</v>
      </c>
      <c r="Q34" s="53" t="s">
        <v>68</v>
      </c>
      <c r="R34" s="53" t="s">
        <v>68</v>
      </c>
      <c r="S34" s="53" t="s">
        <v>68</v>
      </c>
      <c r="T34" s="53" t="s">
        <v>68</v>
      </c>
      <c r="U34" s="53" t="s">
        <v>68</v>
      </c>
      <c r="V34" s="53" t="s">
        <v>68</v>
      </c>
      <c r="W34" s="53" t="s">
        <v>68</v>
      </c>
      <c r="X34" s="53" t="s">
        <v>68</v>
      </c>
      <c r="Y34" s="53" t="s">
        <v>68</v>
      </c>
      <c r="Z34" s="53" t="s">
        <v>68</v>
      </c>
      <c r="AA34" s="53" t="s">
        <v>68</v>
      </c>
      <c r="AB34" s="53" t="s">
        <v>68</v>
      </c>
      <c r="AC34" s="53" t="s">
        <v>68</v>
      </c>
      <c r="AD34" s="53" t="s">
        <v>68</v>
      </c>
      <c r="AE34" s="53" t="s">
        <v>68</v>
      </c>
      <c r="AF34" s="53" t="s">
        <v>68</v>
      </c>
      <c r="AG34" s="53" t="s">
        <v>68</v>
      </c>
      <c r="AH34" s="53" t="s">
        <v>68</v>
      </c>
      <c r="AI34" s="53" t="s">
        <v>68</v>
      </c>
      <c r="AJ34" s="22"/>
      <c r="AL34" t="str">
        <f t="shared" ca="1" si="0"/>
        <v xml:space="preserve">    (U1)ALERT_REQ_H_SOCLOW_TT_PD_</v>
      </c>
      <c r="AR34" s="55" t="str">
        <f t="shared" si="3"/>
        <v/>
      </c>
      <c r="AS34" s="55" t="str">
        <f t="shared" si="4"/>
        <v/>
      </c>
      <c r="AT34" s="55" t="str">
        <f t="shared" si="1"/>
        <v/>
      </c>
    </row>
    <row r="35" spans="2:46">
      <c r="B35" s="124"/>
      <c r="C35" s="39">
        <f t="shared" si="2"/>
        <v>29</v>
      </c>
      <c r="D35" s="53" t="s">
        <v>68</v>
      </c>
      <c r="E35" s="53" t="s">
        <v>68</v>
      </c>
      <c r="F35" s="53" t="s">
        <v>68</v>
      </c>
      <c r="G35" s="53" t="s">
        <v>68</v>
      </c>
      <c r="H35" s="53" t="s">
        <v>68</v>
      </c>
      <c r="I35" s="53" t="s">
        <v>68</v>
      </c>
      <c r="J35" s="53" t="s">
        <v>68</v>
      </c>
      <c r="K35" s="53" t="s">
        <v>68</v>
      </c>
      <c r="L35" s="53" t="s">
        <v>68</v>
      </c>
      <c r="M35" s="53" t="s">
        <v>68</v>
      </c>
      <c r="N35" s="53" t="s">
        <v>68</v>
      </c>
      <c r="O35" s="53" t="s">
        <v>68</v>
      </c>
      <c r="P35" s="53" t="s">
        <v>68</v>
      </c>
      <c r="Q35" s="53" t="s">
        <v>68</v>
      </c>
      <c r="R35" s="53" t="s">
        <v>68</v>
      </c>
      <c r="S35" s="53" t="s">
        <v>68</v>
      </c>
      <c r="T35" s="53" t="s">
        <v>68</v>
      </c>
      <c r="U35" s="53" t="s">
        <v>68</v>
      </c>
      <c r="V35" s="53" t="s">
        <v>68</v>
      </c>
      <c r="W35" s="53" t="s">
        <v>68</v>
      </c>
      <c r="X35" s="53" t="s">
        <v>68</v>
      </c>
      <c r="Y35" s="53" t="s">
        <v>68</v>
      </c>
      <c r="Z35" s="53" t="s">
        <v>68</v>
      </c>
      <c r="AA35" s="53" t="s">
        <v>68</v>
      </c>
      <c r="AB35" s="53" t="s">
        <v>68</v>
      </c>
      <c r="AC35" s="53" t="s">
        <v>68</v>
      </c>
      <c r="AD35" s="53" t="s">
        <v>68</v>
      </c>
      <c r="AE35" s="53" t="s">
        <v>68</v>
      </c>
      <c r="AF35" s="53" t="s">
        <v>68</v>
      </c>
      <c r="AG35" s="53" t="s">
        <v>68</v>
      </c>
      <c r="AH35" s="53" t="s">
        <v>68</v>
      </c>
      <c r="AI35" s="53" t="s">
        <v>68</v>
      </c>
      <c r="AJ35" s="22"/>
      <c r="AL35" t="str">
        <f t="shared" ca="1" si="0"/>
        <v xml:space="preserve">    (U1)ALERT_REQ_H_SOCLOW_TT_PD_</v>
      </c>
      <c r="AR35" s="55" t="str">
        <f t="shared" si="3"/>
        <v/>
      </c>
      <c r="AS35" s="55" t="str">
        <f t="shared" si="4"/>
        <v/>
      </c>
      <c r="AT35" s="55" t="str">
        <f t="shared" si="1"/>
        <v/>
      </c>
    </row>
    <row r="36" spans="2:46">
      <c r="B36" s="124"/>
      <c r="C36" s="39">
        <f t="shared" si="2"/>
        <v>30</v>
      </c>
      <c r="D36" s="53" t="s">
        <v>68</v>
      </c>
      <c r="E36" s="53" t="s">
        <v>68</v>
      </c>
      <c r="F36" s="53" t="s">
        <v>68</v>
      </c>
      <c r="G36" s="53" t="s">
        <v>68</v>
      </c>
      <c r="H36" s="53" t="s">
        <v>68</v>
      </c>
      <c r="I36" s="53" t="s">
        <v>68</v>
      </c>
      <c r="J36" s="53" t="s">
        <v>68</v>
      </c>
      <c r="K36" s="53" t="s">
        <v>68</v>
      </c>
      <c r="L36" s="53" t="s">
        <v>68</v>
      </c>
      <c r="M36" s="53" t="s">
        <v>68</v>
      </c>
      <c r="N36" s="53" t="s">
        <v>68</v>
      </c>
      <c r="O36" s="53" t="s">
        <v>68</v>
      </c>
      <c r="P36" s="53" t="s">
        <v>68</v>
      </c>
      <c r="Q36" s="53" t="s">
        <v>68</v>
      </c>
      <c r="R36" s="53" t="s">
        <v>68</v>
      </c>
      <c r="S36" s="53" t="s">
        <v>68</v>
      </c>
      <c r="T36" s="53" t="s">
        <v>68</v>
      </c>
      <c r="U36" s="53" t="s">
        <v>68</v>
      </c>
      <c r="V36" s="53" t="s">
        <v>68</v>
      </c>
      <c r="W36" s="53" t="s">
        <v>68</v>
      </c>
      <c r="X36" s="53" t="s">
        <v>68</v>
      </c>
      <c r="Y36" s="53" t="s">
        <v>68</v>
      </c>
      <c r="Z36" s="53" t="s">
        <v>68</v>
      </c>
      <c r="AA36" s="53" t="s">
        <v>68</v>
      </c>
      <c r="AB36" s="53" t="s">
        <v>68</v>
      </c>
      <c r="AC36" s="53" t="s">
        <v>68</v>
      </c>
      <c r="AD36" s="53" t="s">
        <v>68</v>
      </c>
      <c r="AE36" s="53" t="s">
        <v>68</v>
      </c>
      <c r="AF36" s="53" t="s">
        <v>68</v>
      </c>
      <c r="AG36" s="53" t="s">
        <v>68</v>
      </c>
      <c r="AH36" s="53" t="s">
        <v>68</v>
      </c>
      <c r="AI36" s="53" t="s">
        <v>68</v>
      </c>
      <c r="AJ36" s="22"/>
      <c r="AL36" t="str">
        <f t="shared" ca="1" si="0"/>
        <v xml:space="preserve">    (U1)ALERT_REQ_H_SOCLOW_TT_PD_</v>
      </c>
      <c r="AR36" s="55" t="str">
        <f t="shared" si="3"/>
        <v/>
      </c>
      <c r="AS36" s="55" t="str">
        <f t="shared" si="4"/>
        <v/>
      </c>
      <c r="AT36" s="55" t="str">
        <f t="shared" si="1"/>
        <v/>
      </c>
    </row>
    <row r="37" spans="2:46">
      <c r="B37" s="124"/>
      <c r="C37" s="39">
        <f t="shared" si="2"/>
        <v>31</v>
      </c>
      <c r="D37" s="53" t="s">
        <v>68</v>
      </c>
      <c r="E37" s="53" t="s">
        <v>68</v>
      </c>
      <c r="F37" s="53" t="s">
        <v>68</v>
      </c>
      <c r="G37" s="53" t="s">
        <v>68</v>
      </c>
      <c r="H37" s="53" t="s">
        <v>68</v>
      </c>
      <c r="I37" s="53" t="s">
        <v>68</v>
      </c>
      <c r="J37" s="53" t="s">
        <v>68</v>
      </c>
      <c r="K37" s="53" t="s">
        <v>68</v>
      </c>
      <c r="L37" s="53" t="s">
        <v>68</v>
      </c>
      <c r="M37" s="53" t="s">
        <v>68</v>
      </c>
      <c r="N37" s="53" t="s">
        <v>68</v>
      </c>
      <c r="O37" s="53" t="s">
        <v>68</v>
      </c>
      <c r="P37" s="53" t="s">
        <v>68</v>
      </c>
      <c r="Q37" s="53" t="s">
        <v>68</v>
      </c>
      <c r="R37" s="53" t="s">
        <v>68</v>
      </c>
      <c r="S37" s="53" t="s">
        <v>68</v>
      </c>
      <c r="T37" s="53" t="s">
        <v>68</v>
      </c>
      <c r="U37" s="53" t="s">
        <v>68</v>
      </c>
      <c r="V37" s="53" t="s">
        <v>68</v>
      </c>
      <c r="W37" s="53" t="s">
        <v>68</v>
      </c>
      <c r="X37" s="53" t="s">
        <v>68</v>
      </c>
      <c r="Y37" s="53" t="s">
        <v>68</v>
      </c>
      <c r="Z37" s="53" t="s">
        <v>68</v>
      </c>
      <c r="AA37" s="53" t="s">
        <v>68</v>
      </c>
      <c r="AB37" s="53" t="s">
        <v>68</v>
      </c>
      <c r="AC37" s="53" t="s">
        <v>68</v>
      </c>
      <c r="AD37" s="53" t="s">
        <v>68</v>
      </c>
      <c r="AE37" s="53" t="s">
        <v>68</v>
      </c>
      <c r="AF37" s="53" t="s">
        <v>68</v>
      </c>
      <c r="AG37" s="53" t="s">
        <v>68</v>
      </c>
      <c r="AH37" s="53" t="s">
        <v>68</v>
      </c>
      <c r="AI37" s="53" t="s">
        <v>68</v>
      </c>
      <c r="AJ37" s="22"/>
      <c r="AL37" t="str">
        <f t="shared" ca="1" si="0"/>
        <v xml:space="preserve">    (U1)ALERT_REQ_H_SOCLOW_TT_PD_</v>
      </c>
      <c r="AR37" s="55" t="str">
        <f t="shared" si="3"/>
        <v/>
      </c>
      <c r="AS37" s="55" t="str">
        <f t="shared" si="4"/>
        <v/>
      </c>
      <c r="AT37" s="55" t="str">
        <f t="shared" si="1"/>
        <v/>
      </c>
    </row>
    <row r="38" spans="2:46">
      <c r="B38" s="124"/>
      <c r="C38" s="39">
        <f t="shared" si="2"/>
        <v>32</v>
      </c>
      <c r="D38" s="53" t="s">
        <v>68</v>
      </c>
      <c r="E38" s="53" t="s">
        <v>68</v>
      </c>
      <c r="F38" s="53" t="s">
        <v>68</v>
      </c>
      <c r="G38" s="53" t="s">
        <v>68</v>
      </c>
      <c r="H38" s="53" t="s">
        <v>68</v>
      </c>
      <c r="I38" s="53" t="s">
        <v>68</v>
      </c>
      <c r="J38" s="53" t="s">
        <v>68</v>
      </c>
      <c r="K38" s="53" t="s">
        <v>68</v>
      </c>
      <c r="L38" s="53" t="s">
        <v>68</v>
      </c>
      <c r="M38" s="53" t="s">
        <v>68</v>
      </c>
      <c r="N38" s="53" t="s">
        <v>68</v>
      </c>
      <c r="O38" s="53" t="s">
        <v>68</v>
      </c>
      <c r="P38" s="53" t="s">
        <v>68</v>
      </c>
      <c r="Q38" s="53" t="s">
        <v>68</v>
      </c>
      <c r="R38" s="53" t="s">
        <v>68</v>
      </c>
      <c r="S38" s="53" t="s">
        <v>68</v>
      </c>
      <c r="T38" s="53" t="s">
        <v>68</v>
      </c>
      <c r="U38" s="53" t="s">
        <v>68</v>
      </c>
      <c r="V38" s="53" t="s">
        <v>68</v>
      </c>
      <c r="W38" s="53" t="s">
        <v>68</v>
      </c>
      <c r="X38" s="53" t="s">
        <v>68</v>
      </c>
      <c r="Y38" s="53" t="s">
        <v>68</v>
      </c>
      <c r="Z38" s="53" t="s">
        <v>68</v>
      </c>
      <c r="AA38" s="53" t="s">
        <v>68</v>
      </c>
      <c r="AB38" s="53" t="s">
        <v>68</v>
      </c>
      <c r="AC38" s="53" t="s">
        <v>68</v>
      </c>
      <c r="AD38" s="53" t="s">
        <v>68</v>
      </c>
      <c r="AE38" s="53" t="s">
        <v>68</v>
      </c>
      <c r="AF38" s="53" t="s">
        <v>68</v>
      </c>
      <c r="AG38" s="53" t="s">
        <v>68</v>
      </c>
      <c r="AH38" s="53" t="s">
        <v>68</v>
      </c>
      <c r="AI38" s="53" t="s">
        <v>68</v>
      </c>
      <c r="AJ38" s="22"/>
      <c r="AL38" t="str">
        <f t="shared" ca="1" si="0"/>
        <v xml:space="preserve">    (U1)ALERT_REQ_H_SOCLOW_TT_PD_</v>
      </c>
      <c r="AR38" s="55" t="str">
        <f t="shared" si="3"/>
        <v/>
      </c>
      <c r="AS38" s="55" t="str">
        <f t="shared" si="4"/>
        <v/>
      </c>
      <c r="AT38" s="55" t="str">
        <f t="shared" si="1"/>
        <v/>
      </c>
    </row>
    <row r="39" spans="2:46">
      <c r="B39" s="124"/>
      <c r="C39" s="39">
        <f t="shared" si="2"/>
        <v>33</v>
      </c>
      <c r="D39" s="53" t="s">
        <v>68</v>
      </c>
      <c r="E39" s="53" t="s">
        <v>68</v>
      </c>
      <c r="F39" s="53" t="s">
        <v>68</v>
      </c>
      <c r="G39" s="53" t="s">
        <v>68</v>
      </c>
      <c r="H39" s="53" t="s">
        <v>68</v>
      </c>
      <c r="I39" s="53" t="s">
        <v>68</v>
      </c>
      <c r="J39" s="53" t="s">
        <v>68</v>
      </c>
      <c r="K39" s="53" t="s">
        <v>68</v>
      </c>
      <c r="L39" s="53" t="s">
        <v>68</v>
      </c>
      <c r="M39" s="53" t="s">
        <v>68</v>
      </c>
      <c r="N39" s="53" t="s">
        <v>68</v>
      </c>
      <c r="O39" s="53" t="s">
        <v>68</v>
      </c>
      <c r="P39" s="53" t="s">
        <v>68</v>
      </c>
      <c r="Q39" s="53" t="s">
        <v>68</v>
      </c>
      <c r="R39" s="53" t="s">
        <v>68</v>
      </c>
      <c r="S39" s="53" t="s">
        <v>68</v>
      </c>
      <c r="T39" s="53" t="s">
        <v>68</v>
      </c>
      <c r="U39" s="53" t="s">
        <v>68</v>
      </c>
      <c r="V39" s="53" t="s">
        <v>68</v>
      </c>
      <c r="W39" s="53" t="s">
        <v>68</v>
      </c>
      <c r="X39" s="53" t="s">
        <v>68</v>
      </c>
      <c r="Y39" s="53" t="s">
        <v>68</v>
      </c>
      <c r="Z39" s="53" t="s">
        <v>68</v>
      </c>
      <c r="AA39" s="53" t="s">
        <v>68</v>
      </c>
      <c r="AB39" s="53" t="s">
        <v>68</v>
      </c>
      <c r="AC39" s="53" t="s">
        <v>68</v>
      </c>
      <c r="AD39" s="53" t="s">
        <v>68</v>
      </c>
      <c r="AE39" s="53" t="s">
        <v>68</v>
      </c>
      <c r="AF39" s="53" t="s">
        <v>68</v>
      </c>
      <c r="AG39" s="53" t="s">
        <v>68</v>
      </c>
      <c r="AH39" s="53" t="s">
        <v>68</v>
      </c>
      <c r="AI39" s="53" t="s">
        <v>68</v>
      </c>
      <c r="AJ39" s="22"/>
      <c r="AL39" t="str">
        <f t="shared" ca="1" si="0"/>
        <v xml:space="preserve">    (U1)ALERT_REQ_H_SOCLOW_TT_PD_</v>
      </c>
      <c r="AR39" s="55" t="str">
        <f t="shared" si="3"/>
        <v/>
      </c>
      <c r="AS39" s="55" t="str">
        <f t="shared" si="4"/>
        <v/>
      </c>
      <c r="AT39" s="55" t="str">
        <f t="shared" si="1"/>
        <v/>
      </c>
    </row>
    <row r="40" spans="2:46">
      <c r="B40" s="124"/>
      <c r="C40" s="39">
        <f t="shared" si="2"/>
        <v>34</v>
      </c>
      <c r="D40" s="53" t="s">
        <v>68</v>
      </c>
      <c r="E40" s="53" t="s">
        <v>68</v>
      </c>
      <c r="F40" s="53" t="s">
        <v>68</v>
      </c>
      <c r="G40" s="53" t="s">
        <v>68</v>
      </c>
      <c r="H40" s="53" t="s">
        <v>68</v>
      </c>
      <c r="I40" s="53" t="s">
        <v>68</v>
      </c>
      <c r="J40" s="53" t="s">
        <v>68</v>
      </c>
      <c r="K40" s="53" t="s">
        <v>68</v>
      </c>
      <c r="L40" s="53" t="s">
        <v>68</v>
      </c>
      <c r="M40" s="53" t="s">
        <v>68</v>
      </c>
      <c r="N40" s="53" t="s">
        <v>68</v>
      </c>
      <c r="O40" s="53" t="s">
        <v>68</v>
      </c>
      <c r="P40" s="53" t="s">
        <v>68</v>
      </c>
      <c r="Q40" s="53" t="s">
        <v>68</v>
      </c>
      <c r="R40" s="53" t="s">
        <v>68</v>
      </c>
      <c r="S40" s="53" t="s">
        <v>68</v>
      </c>
      <c r="T40" s="53" t="s">
        <v>68</v>
      </c>
      <c r="U40" s="53" t="s">
        <v>68</v>
      </c>
      <c r="V40" s="53" t="s">
        <v>68</v>
      </c>
      <c r="W40" s="53" t="s">
        <v>68</v>
      </c>
      <c r="X40" s="53" t="s">
        <v>68</v>
      </c>
      <c r="Y40" s="53" t="s">
        <v>68</v>
      </c>
      <c r="Z40" s="53" t="s">
        <v>68</v>
      </c>
      <c r="AA40" s="53" t="s">
        <v>68</v>
      </c>
      <c r="AB40" s="53" t="s">
        <v>68</v>
      </c>
      <c r="AC40" s="53" t="s">
        <v>68</v>
      </c>
      <c r="AD40" s="53" t="s">
        <v>68</v>
      </c>
      <c r="AE40" s="53" t="s">
        <v>68</v>
      </c>
      <c r="AF40" s="53" t="s">
        <v>68</v>
      </c>
      <c r="AG40" s="53" t="s">
        <v>68</v>
      </c>
      <c r="AH40" s="53" t="s">
        <v>68</v>
      </c>
      <c r="AI40" s="53" t="s">
        <v>68</v>
      </c>
      <c r="AJ40" s="22"/>
      <c r="AL40" t="str">
        <f t="shared" ca="1" si="0"/>
        <v xml:space="preserve">    (U1)ALERT_REQ_H_SOCLOW_TT_PD_</v>
      </c>
      <c r="AR40" s="55" t="str">
        <f t="shared" si="3"/>
        <v/>
      </c>
      <c r="AS40" s="55" t="str">
        <f t="shared" si="4"/>
        <v/>
      </c>
      <c r="AT40" s="55" t="str">
        <f t="shared" si="1"/>
        <v/>
      </c>
    </row>
    <row r="41" spans="2:46">
      <c r="B41" s="124"/>
      <c r="C41" s="39">
        <f t="shared" si="2"/>
        <v>35</v>
      </c>
      <c r="D41" s="53" t="s">
        <v>68</v>
      </c>
      <c r="E41" s="53" t="s">
        <v>68</v>
      </c>
      <c r="F41" s="53" t="s">
        <v>68</v>
      </c>
      <c r="G41" s="53" t="s">
        <v>68</v>
      </c>
      <c r="H41" s="53" t="s">
        <v>68</v>
      </c>
      <c r="I41" s="53" t="s">
        <v>68</v>
      </c>
      <c r="J41" s="53" t="s">
        <v>68</v>
      </c>
      <c r="K41" s="53" t="s">
        <v>68</v>
      </c>
      <c r="L41" s="53" t="s">
        <v>68</v>
      </c>
      <c r="M41" s="53" t="s">
        <v>68</v>
      </c>
      <c r="N41" s="53" t="s">
        <v>68</v>
      </c>
      <c r="O41" s="53" t="s">
        <v>68</v>
      </c>
      <c r="P41" s="53" t="s">
        <v>68</v>
      </c>
      <c r="Q41" s="53" t="s">
        <v>68</v>
      </c>
      <c r="R41" s="53" t="s">
        <v>68</v>
      </c>
      <c r="S41" s="53" t="s">
        <v>68</v>
      </c>
      <c r="T41" s="53" t="s">
        <v>68</v>
      </c>
      <c r="U41" s="53" t="s">
        <v>68</v>
      </c>
      <c r="V41" s="53" t="s">
        <v>68</v>
      </c>
      <c r="W41" s="53" t="s">
        <v>68</v>
      </c>
      <c r="X41" s="53" t="s">
        <v>68</v>
      </c>
      <c r="Y41" s="53" t="s">
        <v>68</v>
      </c>
      <c r="Z41" s="53" t="s">
        <v>68</v>
      </c>
      <c r="AA41" s="53" t="s">
        <v>68</v>
      </c>
      <c r="AB41" s="53" t="s">
        <v>68</v>
      </c>
      <c r="AC41" s="53" t="s">
        <v>68</v>
      </c>
      <c r="AD41" s="53" t="s">
        <v>68</v>
      </c>
      <c r="AE41" s="53" t="s">
        <v>68</v>
      </c>
      <c r="AF41" s="53" t="s">
        <v>68</v>
      </c>
      <c r="AG41" s="53" t="s">
        <v>68</v>
      </c>
      <c r="AH41" s="53" t="s">
        <v>68</v>
      </c>
      <c r="AI41" s="53" t="s">
        <v>68</v>
      </c>
      <c r="AJ41" s="22"/>
      <c r="AL41" t="str">
        <f t="shared" ca="1" si="0"/>
        <v xml:space="preserve">    (U1)ALERT_REQ_H_SOCLOW_TT_PD_</v>
      </c>
      <c r="AR41" s="55" t="str">
        <f t="shared" si="3"/>
        <v/>
      </c>
      <c r="AS41" s="55" t="str">
        <f t="shared" si="4"/>
        <v/>
      </c>
      <c r="AT41" s="55" t="str">
        <f t="shared" si="1"/>
        <v/>
      </c>
    </row>
    <row r="42" spans="2:46">
      <c r="B42" s="124"/>
      <c r="C42" s="39">
        <f t="shared" si="2"/>
        <v>36</v>
      </c>
      <c r="D42" s="53" t="s">
        <v>68</v>
      </c>
      <c r="E42" s="53" t="s">
        <v>68</v>
      </c>
      <c r="F42" s="53" t="s">
        <v>68</v>
      </c>
      <c r="G42" s="53" t="s">
        <v>68</v>
      </c>
      <c r="H42" s="53" t="s">
        <v>68</v>
      </c>
      <c r="I42" s="53" t="s">
        <v>68</v>
      </c>
      <c r="J42" s="53" t="s">
        <v>68</v>
      </c>
      <c r="K42" s="53" t="s">
        <v>68</v>
      </c>
      <c r="L42" s="53" t="s">
        <v>68</v>
      </c>
      <c r="M42" s="53" t="s">
        <v>68</v>
      </c>
      <c r="N42" s="53" t="s">
        <v>68</v>
      </c>
      <c r="O42" s="53" t="s">
        <v>68</v>
      </c>
      <c r="P42" s="53" t="s">
        <v>68</v>
      </c>
      <c r="Q42" s="53" t="s">
        <v>68</v>
      </c>
      <c r="R42" s="53" t="s">
        <v>68</v>
      </c>
      <c r="S42" s="53" t="s">
        <v>68</v>
      </c>
      <c r="T42" s="53" t="s">
        <v>68</v>
      </c>
      <c r="U42" s="53" t="s">
        <v>68</v>
      </c>
      <c r="V42" s="53" t="s">
        <v>68</v>
      </c>
      <c r="W42" s="53" t="s">
        <v>68</v>
      </c>
      <c r="X42" s="53" t="s">
        <v>68</v>
      </c>
      <c r="Y42" s="53" t="s">
        <v>68</v>
      </c>
      <c r="Z42" s="53" t="s">
        <v>68</v>
      </c>
      <c r="AA42" s="53" t="s">
        <v>68</v>
      </c>
      <c r="AB42" s="53" t="s">
        <v>68</v>
      </c>
      <c r="AC42" s="53" t="s">
        <v>68</v>
      </c>
      <c r="AD42" s="53" t="s">
        <v>68</v>
      </c>
      <c r="AE42" s="53" t="s">
        <v>68</v>
      </c>
      <c r="AF42" s="53" t="s">
        <v>68</v>
      </c>
      <c r="AG42" s="53" t="s">
        <v>68</v>
      </c>
      <c r="AH42" s="53" t="s">
        <v>68</v>
      </c>
      <c r="AI42" s="53" t="s">
        <v>68</v>
      </c>
      <c r="AJ42" s="22"/>
      <c r="AL42" t="str">
        <f t="shared" ca="1" si="0"/>
        <v xml:space="preserve">    (U1)ALERT_REQ_H_SOCLOW_TT_PD_</v>
      </c>
      <c r="AR42" s="55" t="str">
        <f t="shared" si="3"/>
        <v/>
      </c>
      <c r="AS42" s="55" t="str">
        <f t="shared" si="4"/>
        <v/>
      </c>
      <c r="AT42" s="55" t="str">
        <f t="shared" si="1"/>
        <v/>
      </c>
    </row>
    <row r="43" spans="2:46">
      <c r="B43" s="124"/>
      <c r="C43" s="39">
        <f t="shared" si="2"/>
        <v>37</v>
      </c>
      <c r="D43" s="53" t="s">
        <v>68</v>
      </c>
      <c r="E43" s="53" t="s">
        <v>68</v>
      </c>
      <c r="F43" s="53" t="s">
        <v>68</v>
      </c>
      <c r="G43" s="53" t="s">
        <v>68</v>
      </c>
      <c r="H43" s="53" t="s">
        <v>68</v>
      </c>
      <c r="I43" s="53" t="s">
        <v>68</v>
      </c>
      <c r="J43" s="53" t="s">
        <v>68</v>
      </c>
      <c r="K43" s="53" t="s">
        <v>68</v>
      </c>
      <c r="L43" s="53" t="s">
        <v>68</v>
      </c>
      <c r="M43" s="53" t="s">
        <v>68</v>
      </c>
      <c r="N43" s="53" t="s">
        <v>68</v>
      </c>
      <c r="O43" s="53" t="s">
        <v>68</v>
      </c>
      <c r="P43" s="53" t="s">
        <v>68</v>
      </c>
      <c r="Q43" s="53" t="s">
        <v>68</v>
      </c>
      <c r="R43" s="53" t="s">
        <v>68</v>
      </c>
      <c r="S43" s="53" t="s">
        <v>68</v>
      </c>
      <c r="T43" s="53" t="s">
        <v>68</v>
      </c>
      <c r="U43" s="53" t="s">
        <v>68</v>
      </c>
      <c r="V43" s="53" t="s">
        <v>68</v>
      </c>
      <c r="W43" s="53" t="s">
        <v>68</v>
      </c>
      <c r="X43" s="53" t="s">
        <v>68</v>
      </c>
      <c r="Y43" s="53" t="s">
        <v>68</v>
      </c>
      <c r="Z43" s="53" t="s">
        <v>68</v>
      </c>
      <c r="AA43" s="53" t="s">
        <v>68</v>
      </c>
      <c r="AB43" s="53" t="s">
        <v>68</v>
      </c>
      <c r="AC43" s="53" t="s">
        <v>68</v>
      </c>
      <c r="AD43" s="53" t="s">
        <v>68</v>
      </c>
      <c r="AE43" s="53" t="s">
        <v>68</v>
      </c>
      <c r="AF43" s="53" t="s">
        <v>68</v>
      </c>
      <c r="AG43" s="53" t="s">
        <v>68</v>
      </c>
      <c r="AH43" s="53" t="s">
        <v>68</v>
      </c>
      <c r="AI43" s="53" t="s">
        <v>68</v>
      </c>
      <c r="AJ43" s="22"/>
      <c r="AL43" t="str">
        <f t="shared" ca="1" si="0"/>
        <v xml:space="preserve">    (U1)ALERT_REQ_H_SOCLOW_TT_PD_</v>
      </c>
      <c r="AR43" s="55" t="str">
        <f t="shared" si="3"/>
        <v/>
      </c>
      <c r="AS43" s="55" t="str">
        <f t="shared" si="4"/>
        <v/>
      </c>
      <c r="AT43" s="55" t="str">
        <f t="shared" si="1"/>
        <v/>
      </c>
    </row>
    <row r="44" spans="2:46">
      <c r="B44" s="124"/>
      <c r="C44" s="39">
        <f t="shared" si="2"/>
        <v>38</v>
      </c>
      <c r="D44" s="53" t="s">
        <v>68</v>
      </c>
      <c r="E44" s="53" t="s">
        <v>68</v>
      </c>
      <c r="F44" s="53" t="s">
        <v>68</v>
      </c>
      <c r="G44" s="53" t="s">
        <v>68</v>
      </c>
      <c r="H44" s="53" t="s">
        <v>68</v>
      </c>
      <c r="I44" s="53" t="s">
        <v>68</v>
      </c>
      <c r="J44" s="53" t="s">
        <v>68</v>
      </c>
      <c r="K44" s="53" t="s">
        <v>68</v>
      </c>
      <c r="L44" s="53" t="s">
        <v>68</v>
      </c>
      <c r="M44" s="53" t="s">
        <v>68</v>
      </c>
      <c r="N44" s="53" t="s">
        <v>68</v>
      </c>
      <c r="O44" s="53" t="s">
        <v>68</v>
      </c>
      <c r="P44" s="53" t="s">
        <v>68</v>
      </c>
      <c r="Q44" s="53" t="s">
        <v>68</v>
      </c>
      <c r="R44" s="53" t="s">
        <v>68</v>
      </c>
      <c r="S44" s="53" t="s">
        <v>68</v>
      </c>
      <c r="T44" s="53" t="s">
        <v>68</v>
      </c>
      <c r="U44" s="53" t="s">
        <v>68</v>
      </c>
      <c r="V44" s="53" t="s">
        <v>68</v>
      </c>
      <c r="W44" s="53" t="s">
        <v>68</v>
      </c>
      <c r="X44" s="53" t="s">
        <v>68</v>
      </c>
      <c r="Y44" s="53" t="s">
        <v>68</v>
      </c>
      <c r="Z44" s="53" t="s">
        <v>68</v>
      </c>
      <c r="AA44" s="53" t="s">
        <v>68</v>
      </c>
      <c r="AB44" s="53" t="s">
        <v>68</v>
      </c>
      <c r="AC44" s="53" t="s">
        <v>68</v>
      </c>
      <c r="AD44" s="53" t="s">
        <v>68</v>
      </c>
      <c r="AE44" s="53" t="s">
        <v>68</v>
      </c>
      <c r="AF44" s="53" t="s">
        <v>68</v>
      </c>
      <c r="AG44" s="53" t="s">
        <v>68</v>
      </c>
      <c r="AH44" s="53" t="s">
        <v>68</v>
      </c>
      <c r="AI44" s="53" t="s">
        <v>68</v>
      </c>
      <c r="AJ44" s="22"/>
      <c r="AL44" t="str">
        <f t="shared" ca="1" si="0"/>
        <v xml:space="preserve">    (U1)ALERT_REQ_H_SOCLOW_TT_PD_</v>
      </c>
      <c r="AR44" s="55" t="str">
        <f t="shared" si="3"/>
        <v/>
      </c>
      <c r="AS44" s="55" t="str">
        <f t="shared" si="4"/>
        <v/>
      </c>
      <c r="AT44" s="55" t="str">
        <f t="shared" si="1"/>
        <v/>
      </c>
    </row>
    <row r="45" spans="2:46">
      <c r="B45" s="124"/>
      <c r="C45" s="39">
        <f t="shared" si="2"/>
        <v>39</v>
      </c>
      <c r="D45" s="53" t="s">
        <v>68</v>
      </c>
      <c r="E45" s="53" t="s">
        <v>68</v>
      </c>
      <c r="F45" s="53" t="s">
        <v>68</v>
      </c>
      <c r="G45" s="53" t="s">
        <v>68</v>
      </c>
      <c r="H45" s="53" t="s">
        <v>68</v>
      </c>
      <c r="I45" s="53" t="s">
        <v>68</v>
      </c>
      <c r="J45" s="53" t="s">
        <v>68</v>
      </c>
      <c r="K45" s="53" t="s">
        <v>68</v>
      </c>
      <c r="L45" s="53" t="s">
        <v>68</v>
      </c>
      <c r="M45" s="53" t="s">
        <v>68</v>
      </c>
      <c r="N45" s="53" t="s">
        <v>68</v>
      </c>
      <c r="O45" s="53" t="s">
        <v>68</v>
      </c>
      <c r="P45" s="53" t="s">
        <v>68</v>
      </c>
      <c r="Q45" s="53" t="s">
        <v>68</v>
      </c>
      <c r="R45" s="53" t="s">
        <v>68</v>
      </c>
      <c r="S45" s="53" t="s">
        <v>68</v>
      </c>
      <c r="T45" s="53" t="s">
        <v>68</v>
      </c>
      <c r="U45" s="53" t="s">
        <v>68</v>
      </c>
      <c r="V45" s="53" t="s">
        <v>68</v>
      </c>
      <c r="W45" s="53" t="s">
        <v>68</v>
      </c>
      <c r="X45" s="53" t="s">
        <v>68</v>
      </c>
      <c r="Y45" s="53" t="s">
        <v>68</v>
      </c>
      <c r="Z45" s="53" t="s">
        <v>68</v>
      </c>
      <c r="AA45" s="53" t="s">
        <v>68</v>
      </c>
      <c r="AB45" s="53" t="s">
        <v>68</v>
      </c>
      <c r="AC45" s="53" t="s">
        <v>68</v>
      </c>
      <c r="AD45" s="53" t="s">
        <v>68</v>
      </c>
      <c r="AE45" s="53" t="s">
        <v>68</v>
      </c>
      <c r="AF45" s="53" t="s">
        <v>68</v>
      </c>
      <c r="AG45" s="53" t="s">
        <v>68</v>
      </c>
      <c r="AH45" s="53" t="s">
        <v>68</v>
      </c>
      <c r="AI45" s="53" t="s">
        <v>68</v>
      </c>
      <c r="AJ45" s="22"/>
      <c r="AL45" t="str">
        <f t="shared" ca="1" si="0"/>
        <v xml:space="preserve">    (U1)ALERT_REQ_H_SOCLOW_TT_PD_</v>
      </c>
      <c r="AR45" s="55" t="str">
        <f t="shared" si="3"/>
        <v/>
      </c>
      <c r="AS45" s="55" t="str">
        <f t="shared" si="4"/>
        <v/>
      </c>
      <c r="AT45" s="55" t="str">
        <f t="shared" si="1"/>
        <v/>
      </c>
    </row>
    <row r="46" spans="2:46">
      <c r="B46" s="124"/>
      <c r="C46" s="39">
        <f t="shared" si="2"/>
        <v>40</v>
      </c>
      <c r="D46" s="53" t="s">
        <v>68</v>
      </c>
      <c r="E46" s="53" t="s">
        <v>68</v>
      </c>
      <c r="F46" s="53" t="s">
        <v>68</v>
      </c>
      <c r="G46" s="53" t="s">
        <v>68</v>
      </c>
      <c r="H46" s="53" t="s">
        <v>68</v>
      </c>
      <c r="I46" s="53" t="s">
        <v>68</v>
      </c>
      <c r="J46" s="53" t="s">
        <v>68</v>
      </c>
      <c r="K46" s="53" t="s">
        <v>68</v>
      </c>
      <c r="L46" s="53" t="s">
        <v>68</v>
      </c>
      <c r="M46" s="53" t="s">
        <v>68</v>
      </c>
      <c r="N46" s="53" t="s">
        <v>68</v>
      </c>
      <c r="O46" s="53" t="s">
        <v>68</v>
      </c>
      <c r="P46" s="53" t="s">
        <v>68</v>
      </c>
      <c r="Q46" s="53" t="s">
        <v>68</v>
      </c>
      <c r="R46" s="53" t="s">
        <v>68</v>
      </c>
      <c r="S46" s="53" t="s">
        <v>68</v>
      </c>
      <c r="T46" s="53" t="s">
        <v>68</v>
      </c>
      <c r="U46" s="53" t="s">
        <v>68</v>
      </c>
      <c r="V46" s="53" t="s">
        <v>68</v>
      </c>
      <c r="W46" s="53" t="s">
        <v>68</v>
      </c>
      <c r="X46" s="53" t="s">
        <v>68</v>
      </c>
      <c r="Y46" s="53" t="s">
        <v>68</v>
      </c>
      <c r="Z46" s="53" t="s">
        <v>68</v>
      </c>
      <c r="AA46" s="53" t="s">
        <v>68</v>
      </c>
      <c r="AB46" s="53" t="s">
        <v>68</v>
      </c>
      <c r="AC46" s="53" t="s">
        <v>68</v>
      </c>
      <c r="AD46" s="53" t="s">
        <v>68</v>
      </c>
      <c r="AE46" s="53" t="s">
        <v>68</v>
      </c>
      <c r="AF46" s="53" t="s">
        <v>68</v>
      </c>
      <c r="AG46" s="53" t="s">
        <v>68</v>
      </c>
      <c r="AH46" s="53" t="s">
        <v>68</v>
      </c>
      <c r="AI46" s="53" t="s">
        <v>68</v>
      </c>
      <c r="AJ46" s="22"/>
      <c r="AL46" t="str">
        <f t="shared" ca="1" si="0"/>
        <v xml:space="preserve">    (U1)ALERT_REQ_H_SOCLOW_TT_PD_</v>
      </c>
      <c r="AR46" s="55" t="str">
        <f t="shared" si="3"/>
        <v/>
      </c>
      <c r="AS46" s="55" t="str">
        <f t="shared" si="4"/>
        <v/>
      </c>
      <c r="AT46" s="55" t="str">
        <f t="shared" si="1"/>
        <v/>
      </c>
    </row>
    <row r="47" spans="2:46">
      <c r="B47" s="124"/>
      <c r="C47" s="39">
        <f t="shared" si="2"/>
        <v>41</v>
      </c>
      <c r="D47" s="53" t="s">
        <v>68</v>
      </c>
      <c r="E47" s="53" t="s">
        <v>68</v>
      </c>
      <c r="F47" s="53" t="s">
        <v>68</v>
      </c>
      <c r="G47" s="53" t="s">
        <v>68</v>
      </c>
      <c r="H47" s="53" t="s">
        <v>68</v>
      </c>
      <c r="I47" s="53" t="s">
        <v>68</v>
      </c>
      <c r="J47" s="53" t="s">
        <v>68</v>
      </c>
      <c r="K47" s="53" t="s">
        <v>68</v>
      </c>
      <c r="L47" s="53" t="s">
        <v>68</v>
      </c>
      <c r="M47" s="53" t="s">
        <v>68</v>
      </c>
      <c r="N47" s="53" t="s">
        <v>68</v>
      </c>
      <c r="O47" s="53" t="s">
        <v>68</v>
      </c>
      <c r="P47" s="53" t="s">
        <v>68</v>
      </c>
      <c r="Q47" s="53" t="s">
        <v>68</v>
      </c>
      <c r="R47" s="53" t="s">
        <v>68</v>
      </c>
      <c r="S47" s="53" t="s">
        <v>68</v>
      </c>
      <c r="T47" s="53" t="s">
        <v>68</v>
      </c>
      <c r="U47" s="53" t="s">
        <v>68</v>
      </c>
      <c r="V47" s="53" t="s">
        <v>68</v>
      </c>
      <c r="W47" s="53" t="s">
        <v>68</v>
      </c>
      <c r="X47" s="53" t="s">
        <v>68</v>
      </c>
      <c r="Y47" s="53" t="s">
        <v>68</v>
      </c>
      <c r="Z47" s="53" t="s">
        <v>68</v>
      </c>
      <c r="AA47" s="53" t="s">
        <v>68</v>
      </c>
      <c r="AB47" s="53" t="s">
        <v>68</v>
      </c>
      <c r="AC47" s="53" t="s">
        <v>68</v>
      </c>
      <c r="AD47" s="53" t="s">
        <v>68</v>
      </c>
      <c r="AE47" s="53" t="s">
        <v>68</v>
      </c>
      <c r="AF47" s="53" t="s">
        <v>68</v>
      </c>
      <c r="AG47" s="53" t="s">
        <v>68</v>
      </c>
      <c r="AH47" s="53" t="s">
        <v>68</v>
      </c>
      <c r="AI47" s="53" t="s">
        <v>68</v>
      </c>
      <c r="AJ47" s="22"/>
      <c r="AL47" t="str">
        <f t="shared" ca="1" si="0"/>
        <v xml:space="preserve">    (U1)ALERT_REQ_H_SOCLOW_TT_PD_</v>
      </c>
      <c r="AR47" s="55" t="str">
        <f t="shared" si="3"/>
        <v/>
      </c>
      <c r="AS47" s="55" t="str">
        <f t="shared" si="4"/>
        <v/>
      </c>
      <c r="AT47" s="55" t="str">
        <f t="shared" si="1"/>
        <v/>
      </c>
    </row>
    <row r="48" spans="2:46">
      <c r="B48" s="124"/>
      <c r="C48" s="39">
        <f t="shared" si="2"/>
        <v>42</v>
      </c>
      <c r="D48" s="53" t="s">
        <v>68</v>
      </c>
      <c r="E48" s="53" t="s">
        <v>68</v>
      </c>
      <c r="F48" s="53" t="s">
        <v>68</v>
      </c>
      <c r="G48" s="53" t="s">
        <v>68</v>
      </c>
      <c r="H48" s="53" t="s">
        <v>68</v>
      </c>
      <c r="I48" s="53" t="s">
        <v>68</v>
      </c>
      <c r="J48" s="53" t="s">
        <v>68</v>
      </c>
      <c r="K48" s="53" t="s">
        <v>68</v>
      </c>
      <c r="L48" s="53" t="s">
        <v>68</v>
      </c>
      <c r="M48" s="53" t="s">
        <v>68</v>
      </c>
      <c r="N48" s="53" t="s">
        <v>68</v>
      </c>
      <c r="O48" s="53" t="s">
        <v>68</v>
      </c>
      <c r="P48" s="53" t="s">
        <v>68</v>
      </c>
      <c r="Q48" s="53" t="s">
        <v>68</v>
      </c>
      <c r="R48" s="53" t="s">
        <v>68</v>
      </c>
      <c r="S48" s="53" t="s">
        <v>68</v>
      </c>
      <c r="T48" s="53" t="s">
        <v>68</v>
      </c>
      <c r="U48" s="53" t="s">
        <v>68</v>
      </c>
      <c r="V48" s="53" t="s">
        <v>68</v>
      </c>
      <c r="W48" s="53" t="s">
        <v>68</v>
      </c>
      <c r="X48" s="53" t="s">
        <v>68</v>
      </c>
      <c r="Y48" s="53" t="s">
        <v>68</v>
      </c>
      <c r="Z48" s="53" t="s">
        <v>68</v>
      </c>
      <c r="AA48" s="53" t="s">
        <v>68</v>
      </c>
      <c r="AB48" s="53" t="s">
        <v>68</v>
      </c>
      <c r="AC48" s="53" t="s">
        <v>68</v>
      </c>
      <c r="AD48" s="53" t="s">
        <v>68</v>
      </c>
      <c r="AE48" s="53" t="s">
        <v>68</v>
      </c>
      <c r="AF48" s="53" t="s">
        <v>68</v>
      </c>
      <c r="AG48" s="53" t="s">
        <v>68</v>
      </c>
      <c r="AH48" s="53" t="s">
        <v>68</v>
      </c>
      <c r="AI48" s="53" t="s">
        <v>68</v>
      </c>
      <c r="AJ48" s="22"/>
      <c r="AL48" t="str">
        <f t="shared" ca="1" si="0"/>
        <v xml:space="preserve">    (U1)ALERT_REQ_H_SOCLOW_TT_PD_</v>
      </c>
      <c r="AR48" s="55" t="str">
        <f t="shared" si="3"/>
        <v/>
      </c>
      <c r="AS48" s="55" t="str">
        <f t="shared" si="4"/>
        <v/>
      </c>
      <c r="AT48" s="55" t="str">
        <f t="shared" si="1"/>
        <v/>
      </c>
    </row>
    <row r="49" spans="2:46">
      <c r="B49" s="124"/>
      <c r="C49" s="39">
        <f t="shared" si="2"/>
        <v>43</v>
      </c>
      <c r="D49" s="53" t="s">
        <v>68</v>
      </c>
      <c r="E49" s="53" t="s">
        <v>68</v>
      </c>
      <c r="F49" s="53" t="s">
        <v>68</v>
      </c>
      <c r="G49" s="53" t="s">
        <v>68</v>
      </c>
      <c r="H49" s="53" t="s">
        <v>68</v>
      </c>
      <c r="I49" s="53" t="s">
        <v>68</v>
      </c>
      <c r="J49" s="53" t="s">
        <v>68</v>
      </c>
      <c r="K49" s="53" t="s">
        <v>68</v>
      </c>
      <c r="L49" s="53" t="s">
        <v>68</v>
      </c>
      <c r="M49" s="53" t="s">
        <v>68</v>
      </c>
      <c r="N49" s="53" t="s">
        <v>68</v>
      </c>
      <c r="O49" s="53" t="s">
        <v>68</v>
      </c>
      <c r="P49" s="53" t="s">
        <v>68</v>
      </c>
      <c r="Q49" s="53" t="s">
        <v>68</v>
      </c>
      <c r="R49" s="53" t="s">
        <v>68</v>
      </c>
      <c r="S49" s="53" t="s">
        <v>68</v>
      </c>
      <c r="T49" s="53" t="s">
        <v>68</v>
      </c>
      <c r="U49" s="53" t="s">
        <v>68</v>
      </c>
      <c r="V49" s="53" t="s">
        <v>68</v>
      </c>
      <c r="W49" s="53" t="s">
        <v>68</v>
      </c>
      <c r="X49" s="53" t="s">
        <v>68</v>
      </c>
      <c r="Y49" s="53" t="s">
        <v>68</v>
      </c>
      <c r="Z49" s="53" t="s">
        <v>68</v>
      </c>
      <c r="AA49" s="53" t="s">
        <v>68</v>
      </c>
      <c r="AB49" s="53" t="s">
        <v>68</v>
      </c>
      <c r="AC49" s="53" t="s">
        <v>68</v>
      </c>
      <c r="AD49" s="53" t="s">
        <v>68</v>
      </c>
      <c r="AE49" s="53" t="s">
        <v>68</v>
      </c>
      <c r="AF49" s="53" t="s">
        <v>68</v>
      </c>
      <c r="AG49" s="53" t="s">
        <v>68</v>
      </c>
      <c r="AH49" s="53" t="s">
        <v>68</v>
      </c>
      <c r="AI49" s="53" t="s">
        <v>68</v>
      </c>
      <c r="AJ49" s="22"/>
      <c r="AL49" t="str">
        <f t="shared" ca="1" si="0"/>
        <v xml:space="preserve">    (U1)ALERT_REQ_H_SOCLOW_TT_PD_</v>
      </c>
      <c r="AR49" s="55" t="str">
        <f t="shared" si="3"/>
        <v/>
      </c>
      <c r="AS49" s="55" t="str">
        <f t="shared" si="4"/>
        <v/>
      </c>
      <c r="AT49" s="55" t="str">
        <f t="shared" si="1"/>
        <v/>
      </c>
    </row>
    <row r="50" spans="2:46">
      <c r="B50" s="124"/>
      <c r="C50" s="39">
        <f t="shared" si="2"/>
        <v>44</v>
      </c>
      <c r="D50" s="53" t="s">
        <v>68</v>
      </c>
      <c r="E50" s="53" t="s">
        <v>68</v>
      </c>
      <c r="F50" s="53" t="s">
        <v>68</v>
      </c>
      <c r="G50" s="53" t="s">
        <v>68</v>
      </c>
      <c r="H50" s="53" t="s">
        <v>68</v>
      </c>
      <c r="I50" s="53" t="s">
        <v>68</v>
      </c>
      <c r="J50" s="53" t="s">
        <v>68</v>
      </c>
      <c r="K50" s="53" t="s">
        <v>68</v>
      </c>
      <c r="L50" s="53" t="s">
        <v>68</v>
      </c>
      <c r="M50" s="53" t="s">
        <v>68</v>
      </c>
      <c r="N50" s="53" t="s">
        <v>68</v>
      </c>
      <c r="O50" s="53" t="s">
        <v>68</v>
      </c>
      <c r="P50" s="53" t="s">
        <v>68</v>
      </c>
      <c r="Q50" s="53" t="s">
        <v>68</v>
      </c>
      <c r="R50" s="53" t="s">
        <v>68</v>
      </c>
      <c r="S50" s="53" t="s">
        <v>68</v>
      </c>
      <c r="T50" s="53" t="s">
        <v>68</v>
      </c>
      <c r="U50" s="53" t="s">
        <v>68</v>
      </c>
      <c r="V50" s="53" t="s">
        <v>68</v>
      </c>
      <c r="W50" s="53" t="s">
        <v>68</v>
      </c>
      <c r="X50" s="53" t="s">
        <v>68</v>
      </c>
      <c r="Y50" s="53" t="s">
        <v>68</v>
      </c>
      <c r="Z50" s="53" t="s">
        <v>68</v>
      </c>
      <c r="AA50" s="53" t="s">
        <v>68</v>
      </c>
      <c r="AB50" s="53" t="s">
        <v>68</v>
      </c>
      <c r="AC50" s="53" t="s">
        <v>68</v>
      </c>
      <c r="AD50" s="53" t="s">
        <v>68</v>
      </c>
      <c r="AE50" s="53" t="s">
        <v>68</v>
      </c>
      <c r="AF50" s="53" t="s">
        <v>68</v>
      </c>
      <c r="AG50" s="53" t="s">
        <v>68</v>
      </c>
      <c r="AH50" s="53" t="s">
        <v>68</v>
      </c>
      <c r="AI50" s="53" t="s">
        <v>68</v>
      </c>
      <c r="AJ50" s="22"/>
      <c r="AL50" t="str">
        <f t="shared" ca="1" si="0"/>
        <v xml:space="preserve">    (U1)ALERT_REQ_H_SOCLOW_TT_PD_</v>
      </c>
      <c r="AR50" s="55" t="str">
        <f t="shared" si="3"/>
        <v/>
      </c>
      <c r="AS50" s="55" t="str">
        <f t="shared" si="4"/>
        <v/>
      </c>
      <c r="AT50" s="55" t="str">
        <f t="shared" si="1"/>
        <v/>
      </c>
    </row>
    <row r="51" spans="2:46">
      <c r="B51" s="124"/>
      <c r="C51" s="39">
        <f t="shared" si="2"/>
        <v>45</v>
      </c>
      <c r="D51" s="53" t="s">
        <v>68</v>
      </c>
      <c r="E51" s="53" t="s">
        <v>68</v>
      </c>
      <c r="F51" s="53" t="s">
        <v>68</v>
      </c>
      <c r="G51" s="53" t="s">
        <v>68</v>
      </c>
      <c r="H51" s="53" t="s">
        <v>68</v>
      </c>
      <c r="I51" s="53" t="s">
        <v>68</v>
      </c>
      <c r="J51" s="53" t="s">
        <v>68</v>
      </c>
      <c r="K51" s="53" t="s">
        <v>68</v>
      </c>
      <c r="L51" s="53" t="s">
        <v>68</v>
      </c>
      <c r="M51" s="53" t="s">
        <v>68</v>
      </c>
      <c r="N51" s="53" t="s">
        <v>68</v>
      </c>
      <c r="O51" s="53" t="s">
        <v>68</v>
      </c>
      <c r="P51" s="53" t="s">
        <v>68</v>
      </c>
      <c r="Q51" s="53" t="s">
        <v>68</v>
      </c>
      <c r="R51" s="53" t="s">
        <v>68</v>
      </c>
      <c r="S51" s="53" t="s">
        <v>68</v>
      </c>
      <c r="T51" s="53" t="s">
        <v>68</v>
      </c>
      <c r="U51" s="53" t="s">
        <v>68</v>
      </c>
      <c r="V51" s="53" t="s">
        <v>68</v>
      </c>
      <c r="W51" s="53" t="s">
        <v>68</v>
      </c>
      <c r="X51" s="53" t="s">
        <v>68</v>
      </c>
      <c r="Y51" s="53" t="s">
        <v>68</v>
      </c>
      <c r="Z51" s="53" t="s">
        <v>68</v>
      </c>
      <c r="AA51" s="53" t="s">
        <v>68</v>
      </c>
      <c r="AB51" s="53" t="s">
        <v>68</v>
      </c>
      <c r="AC51" s="53" t="s">
        <v>68</v>
      </c>
      <c r="AD51" s="53" t="s">
        <v>68</v>
      </c>
      <c r="AE51" s="53" t="s">
        <v>68</v>
      </c>
      <c r="AF51" s="53" t="s">
        <v>68</v>
      </c>
      <c r="AG51" s="53" t="s">
        <v>68</v>
      </c>
      <c r="AH51" s="53" t="s">
        <v>68</v>
      </c>
      <c r="AI51" s="53" t="s">
        <v>68</v>
      </c>
      <c r="AJ51" s="22"/>
      <c r="AL51" t="str">
        <f t="shared" ca="1" si="0"/>
        <v xml:space="preserve">    (U1)ALERT_REQ_H_SOCLOW_TT_PD_</v>
      </c>
      <c r="AR51" s="55" t="str">
        <f t="shared" si="3"/>
        <v/>
      </c>
      <c r="AS51" s="55" t="str">
        <f t="shared" si="4"/>
        <v/>
      </c>
      <c r="AT51" s="55" t="str">
        <f t="shared" si="1"/>
        <v/>
      </c>
    </row>
    <row r="52" spans="2:46">
      <c r="B52" s="124"/>
      <c r="C52" s="39">
        <f t="shared" si="2"/>
        <v>46</v>
      </c>
      <c r="D52" s="53" t="s">
        <v>68</v>
      </c>
      <c r="E52" s="53" t="s">
        <v>68</v>
      </c>
      <c r="F52" s="53" t="s">
        <v>68</v>
      </c>
      <c r="G52" s="53" t="s">
        <v>68</v>
      </c>
      <c r="H52" s="53" t="s">
        <v>68</v>
      </c>
      <c r="I52" s="53" t="s">
        <v>68</v>
      </c>
      <c r="J52" s="53" t="s">
        <v>68</v>
      </c>
      <c r="K52" s="53" t="s">
        <v>68</v>
      </c>
      <c r="L52" s="53" t="s">
        <v>68</v>
      </c>
      <c r="M52" s="53" t="s">
        <v>68</v>
      </c>
      <c r="N52" s="53" t="s">
        <v>68</v>
      </c>
      <c r="O52" s="53" t="s">
        <v>68</v>
      </c>
      <c r="P52" s="53" t="s">
        <v>68</v>
      </c>
      <c r="Q52" s="53" t="s">
        <v>68</v>
      </c>
      <c r="R52" s="53" t="s">
        <v>68</v>
      </c>
      <c r="S52" s="53" t="s">
        <v>68</v>
      </c>
      <c r="T52" s="53" t="s">
        <v>68</v>
      </c>
      <c r="U52" s="53" t="s">
        <v>68</v>
      </c>
      <c r="V52" s="53" t="s">
        <v>68</v>
      </c>
      <c r="W52" s="53" t="s">
        <v>68</v>
      </c>
      <c r="X52" s="53" t="s">
        <v>68</v>
      </c>
      <c r="Y52" s="53" t="s">
        <v>68</v>
      </c>
      <c r="Z52" s="53" t="s">
        <v>68</v>
      </c>
      <c r="AA52" s="53" t="s">
        <v>68</v>
      </c>
      <c r="AB52" s="53" t="s">
        <v>68</v>
      </c>
      <c r="AC52" s="53" t="s">
        <v>68</v>
      </c>
      <c r="AD52" s="53" t="s">
        <v>68</v>
      </c>
      <c r="AE52" s="53" t="s">
        <v>68</v>
      </c>
      <c r="AF52" s="53" t="s">
        <v>68</v>
      </c>
      <c r="AG52" s="53" t="s">
        <v>68</v>
      </c>
      <c r="AH52" s="53" t="s">
        <v>68</v>
      </c>
      <c r="AI52" s="53" t="s">
        <v>68</v>
      </c>
      <c r="AJ52" s="22"/>
      <c r="AL52" t="str">
        <f t="shared" ca="1" si="0"/>
        <v xml:space="preserve">    (U1)ALERT_REQ_H_SOCLOW_TT_PD_</v>
      </c>
      <c r="AR52" s="55" t="str">
        <f t="shared" si="3"/>
        <v/>
      </c>
      <c r="AS52" s="55" t="str">
        <f t="shared" si="4"/>
        <v/>
      </c>
      <c r="AT52" s="55" t="str">
        <f t="shared" si="1"/>
        <v/>
      </c>
    </row>
    <row r="53" spans="2:46">
      <c r="B53" s="124"/>
      <c r="C53" s="39">
        <f t="shared" si="2"/>
        <v>47</v>
      </c>
      <c r="D53" s="53" t="s">
        <v>68</v>
      </c>
      <c r="E53" s="53" t="s">
        <v>68</v>
      </c>
      <c r="F53" s="53" t="s">
        <v>68</v>
      </c>
      <c r="G53" s="53" t="s">
        <v>68</v>
      </c>
      <c r="H53" s="53" t="s">
        <v>68</v>
      </c>
      <c r="I53" s="53" t="s">
        <v>68</v>
      </c>
      <c r="J53" s="53" t="s">
        <v>68</v>
      </c>
      <c r="K53" s="53" t="s">
        <v>68</v>
      </c>
      <c r="L53" s="53" t="s">
        <v>68</v>
      </c>
      <c r="M53" s="53" t="s">
        <v>68</v>
      </c>
      <c r="N53" s="53" t="s">
        <v>68</v>
      </c>
      <c r="O53" s="53" t="s">
        <v>68</v>
      </c>
      <c r="P53" s="53" t="s">
        <v>68</v>
      </c>
      <c r="Q53" s="53" t="s">
        <v>68</v>
      </c>
      <c r="R53" s="53" t="s">
        <v>68</v>
      </c>
      <c r="S53" s="53" t="s">
        <v>68</v>
      </c>
      <c r="T53" s="53" t="s">
        <v>68</v>
      </c>
      <c r="U53" s="53" t="s">
        <v>68</v>
      </c>
      <c r="V53" s="53" t="s">
        <v>68</v>
      </c>
      <c r="W53" s="53" t="s">
        <v>68</v>
      </c>
      <c r="X53" s="53" t="s">
        <v>68</v>
      </c>
      <c r="Y53" s="53" t="s">
        <v>68</v>
      </c>
      <c r="Z53" s="53" t="s">
        <v>68</v>
      </c>
      <c r="AA53" s="53" t="s">
        <v>68</v>
      </c>
      <c r="AB53" s="53" t="s">
        <v>68</v>
      </c>
      <c r="AC53" s="53" t="s">
        <v>68</v>
      </c>
      <c r="AD53" s="53" t="s">
        <v>68</v>
      </c>
      <c r="AE53" s="53" t="s">
        <v>68</v>
      </c>
      <c r="AF53" s="53" t="s">
        <v>68</v>
      </c>
      <c r="AG53" s="53" t="s">
        <v>68</v>
      </c>
      <c r="AH53" s="53" t="s">
        <v>68</v>
      </c>
      <c r="AI53" s="53" t="s">
        <v>68</v>
      </c>
      <c r="AJ53" s="22"/>
      <c r="AL53" t="str">
        <f t="shared" ca="1" si="0"/>
        <v xml:space="preserve">    (U1)ALERT_REQ_H_SOCLOW_TT_PD_</v>
      </c>
      <c r="AR53" s="55" t="str">
        <f t="shared" si="3"/>
        <v/>
      </c>
      <c r="AS53" s="55" t="str">
        <f t="shared" si="4"/>
        <v/>
      </c>
      <c r="AT53" s="55" t="str">
        <f t="shared" si="1"/>
        <v/>
      </c>
    </row>
    <row r="54" spans="2:46">
      <c r="B54" s="124"/>
      <c r="C54" s="39">
        <f t="shared" si="2"/>
        <v>48</v>
      </c>
      <c r="D54" s="53" t="s">
        <v>68</v>
      </c>
      <c r="E54" s="53" t="s">
        <v>68</v>
      </c>
      <c r="F54" s="53" t="s">
        <v>68</v>
      </c>
      <c r="G54" s="53" t="s">
        <v>68</v>
      </c>
      <c r="H54" s="53" t="s">
        <v>68</v>
      </c>
      <c r="I54" s="53" t="s">
        <v>68</v>
      </c>
      <c r="J54" s="53" t="s">
        <v>68</v>
      </c>
      <c r="K54" s="53" t="s">
        <v>68</v>
      </c>
      <c r="L54" s="53" t="s">
        <v>68</v>
      </c>
      <c r="M54" s="53" t="s">
        <v>68</v>
      </c>
      <c r="N54" s="53" t="s">
        <v>68</v>
      </c>
      <c r="O54" s="53" t="s">
        <v>68</v>
      </c>
      <c r="P54" s="53" t="s">
        <v>68</v>
      </c>
      <c r="Q54" s="53" t="s">
        <v>68</v>
      </c>
      <c r="R54" s="53" t="s">
        <v>68</v>
      </c>
      <c r="S54" s="53" t="s">
        <v>68</v>
      </c>
      <c r="T54" s="53" t="s">
        <v>68</v>
      </c>
      <c r="U54" s="53" t="s">
        <v>68</v>
      </c>
      <c r="V54" s="53" t="s">
        <v>68</v>
      </c>
      <c r="W54" s="53" t="s">
        <v>68</v>
      </c>
      <c r="X54" s="53" t="s">
        <v>68</v>
      </c>
      <c r="Y54" s="53" t="s">
        <v>68</v>
      </c>
      <c r="Z54" s="53" t="s">
        <v>68</v>
      </c>
      <c r="AA54" s="53" t="s">
        <v>68</v>
      </c>
      <c r="AB54" s="53" t="s">
        <v>68</v>
      </c>
      <c r="AC54" s="53" t="s">
        <v>68</v>
      </c>
      <c r="AD54" s="53" t="s">
        <v>68</v>
      </c>
      <c r="AE54" s="53" t="s">
        <v>68</v>
      </c>
      <c r="AF54" s="53" t="s">
        <v>68</v>
      </c>
      <c r="AG54" s="53" t="s">
        <v>68</v>
      </c>
      <c r="AH54" s="53" t="s">
        <v>68</v>
      </c>
      <c r="AI54" s="53" t="s">
        <v>68</v>
      </c>
      <c r="AJ54" s="22"/>
      <c r="AL54" t="str">
        <f t="shared" ca="1" si="0"/>
        <v xml:space="preserve">    (U1)ALERT_REQ_H_SOCLOW_TT_PD_</v>
      </c>
      <c r="AR54" s="55" t="str">
        <f t="shared" si="3"/>
        <v/>
      </c>
      <c r="AS54" s="55" t="str">
        <f t="shared" si="4"/>
        <v/>
      </c>
      <c r="AT54" s="55" t="str">
        <f t="shared" si="1"/>
        <v/>
      </c>
    </row>
    <row r="55" spans="2:46">
      <c r="B55" s="124"/>
      <c r="C55" s="39">
        <f t="shared" si="2"/>
        <v>49</v>
      </c>
      <c r="D55" s="53" t="s">
        <v>68</v>
      </c>
      <c r="E55" s="53" t="s">
        <v>68</v>
      </c>
      <c r="F55" s="53" t="s">
        <v>68</v>
      </c>
      <c r="G55" s="53" t="s">
        <v>68</v>
      </c>
      <c r="H55" s="53" t="s">
        <v>68</v>
      </c>
      <c r="I55" s="53" t="s">
        <v>68</v>
      </c>
      <c r="J55" s="53" t="s">
        <v>68</v>
      </c>
      <c r="K55" s="53" t="s">
        <v>68</v>
      </c>
      <c r="L55" s="53" t="s">
        <v>68</v>
      </c>
      <c r="M55" s="53" t="s">
        <v>68</v>
      </c>
      <c r="N55" s="53" t="s">
        <v>68</v>
      </c>
      <c r="O55" s="53" t="s">
        <v>68</v>
      </c>
      <c r="P55" s="53" t="s">
        <v>68</v>
      </c>
      <c r="Q55" s="53" t="s">
        <v>68</v>
      </c>
      <c r="R55" s="53" t="s">
        <v>68</v>
      </c>
      <c r="S55" s="53" t="s">
        <v>68</v>
      </c>
      <c r="T55" s="53" t="s">
        <v>68</v>
      </c>
      <c r="U55" s="53" t="s">
        <v>68</v>
      </c>
      <c r="V55" s="53" t="s">
        <v>68</v>
      </c>
      <c r="W55" s="53" t="s">
        <v>68</v>
      </c>
      <c r="X55" s="53" t="s">
        <v>68</v>
      </c>
      <c r="Y55" s="53" t="s">
        <v>68</v>
      </c>
      <c r="Z55" s="53" t="s">
        <v>68</v>
      </c>
      <c r="AA55" s="53" t="s">
        <v>68</v>
      </c>
      <c r="AB55" s="53" t="s">
        <v>68</v>
      </c>
      <c r="AC55" s="53" t="s">
        <v>68</v>
      </c>
      <c r="AD55" s="53" t="s">
        <v>68</v>
      </c>
      <c r="AE55" s="53" t="s">
        <v>68</v>
      </c>
      <c r="AF55" s="53" t="s">
        <v>68</v>
      </c>
      <c r="AG55" s="53" t="s">
        <v>68</v>
      </c>
      <c r="AH55" s="53" t="s">
        <v>68</v>
      </c>
      <c r="AI55" s="53" t="s">
        <v>68</v>
      </c>
      <c r="AJ55" s="22"/>
      <c r="AL55" t="str">
        <f t="shared" ca="1" si="0"/>
        <v xml:space="preserve">    (U1)ALERT_REQ_H_SOCLOW_TT_PD_</v>
      </c>
      <c r="AR55" s="55" t="str">
        <f t="shared" si="3"/>
        <v/>
      </c>
      <c r="AS55" s="55" t="str">
        <f t="shared" si="4"/>
        <v/>
      </c>
      <c r="AT55" s="55" t="str">
        <f t="shared" si="1"/>
        <v/>
      </c>
    </row>
    <row r="56" spans="2:46">
      <c r="B56" s="124"/>
      <c r="C56" s="39">
        <f t="shared" si="2"/>
        <v>50</v>
      </c>
      <c r="D56" s="53" t="s">
        <v>68</v>
      </c>
      <c r="E56" s="53" t="s">
        <v>68</v>
      </c>
      <c r="F56" s="53" t="s">
        <v>68</v>
      </c>
      <c r="G56" s="53" t="s">
        <v>68</v>
      </c>
      <c r="H56" s="53" t="s">
        <v>68</v>
      </c>
      <c r="I56" s="53" t="s">
        <v>68</v>
      </c>
      <c r="J56" s="53" t="s">
        <v>68</v>
      </c>
      <c r="K56" s="53" t="s">
        <v>68</v>
      </c>
      <c r="L56" s="53" t="s">
        <v>68</v>
      </c>
      <c r="M56" s="53" t="s">
        <v>68</v>
      </c>
      <c r="N56" s="53" t="s">
        <v>68</v>
      </c>
      <c r="O56" s="53" t="s">
        <v>68</v>
      </c>
      <c r="P56" s="53" t="s">
        <v>68</v>
      </c>
      <c r="Q56" s="53" t="s">
        <v>68</v>
      </c>
      <c r="R56" s="53" t="s">
        <v>68</v>
      </c>
      <c r="S56" s="53" t="s">
        <v>68</v>
      </c>
      <c r="T56" s="53" t="s">
        <v>68</v>
      </c>
      <c r="U56" s="53" t="s">
        <v>68</v>
      </c>
      <c r="V56" s="53" t="s">
        <v>68</v>
      </c>
      <c r="W56" s="53" t="s">
        <v>68</v>
      </c>
      <c r="X56" s="53" t="s">
        <v>68</v>
      </c>
      <c r="Y56" s="53" t="s">
        <v>68</v>
      </c>
      <c r="Z56" s="53" t="s">
        <v>68</v>
      </c>
      <c r="AA56" s="53" t="s">
        <v>68</v>
      </c>
      <c r="AB56" s="53" t="s">
        <v>68</v>
      </c>
      <c r="AC56" s="53" t="s">
        <v>68</v>
      </c>
      <c r="AD56" s="53" t="s">
        <v>68</v>
      </c>
      <c r="AE56" s="53" t="s">
        <v>68</v>
      </c>
      <c r="AF56" s="53" t="s">
        <v>68</v>
      </c>
      <c r="AG56" s="53" t="s">
        <v>68</v>
      </c>
      <c r="AH56" s="53" t="s">
        <v>68</v>
      </c>
      <c r="AI56" s="53" t="s">
        <v>68</v>
      </c>
      <c r="AJ56" s="22"/>
      <c r="AL56" t="str">
        <f t="shared" ca="1" si="0"/>
        <v xml:space="preserve">    (U1)ALERT_REQ_H_SOCLOW_TT_PD_</v>
      </c>
      <c r="AR56" s="55" t="str">
        <f t="shared" si="3"/>
        <v/>
      </c>
      <c r="AS56" s="55" t="str">
        <f t="shared" si="4"/>
        <v/>
      </c>
      <c r="AT56" s="55" t="str">
        <f t="shared" si="1"/>
        <v/>
      </c>
    </row>
    <row r="57" spans="2:46">
      <c r="B57" s="124"/>
      <c r="C57" s="39">
        <f t="shared" si="2"/>
        <v>51</v>
      </c>
      <c r="D57" s="53" t="s">
        <v>68</v>
      </c>
      <c r="E57" s="53" t="s">
        <v>68</v>
      </c>
      <c r="F57" s="53" t="s">
        <v>68</v>
      </c>
      <c r="G57" s="53" t="s">
        <v>68</v>
      </c>
      <c r="H57" s="53" t="s">
        <v>68</v>
      </c>
      <c r="I57" s="53" t="s">
        <v>68</v>
      </c>
      <c r="J57" s="53" t="s">
        <v>68</v>
      </c>
      <c r="K57" s="53" t="s">
        <v>68</v>
      </c>
      <c r="L57" s="53" t="s">
        <v>68</v>
      </c>
      <c r="M57" s="53" t="s">
        <v>68</v>
      </c>
      <c r="N57" s="53" t="s">
        <v>68</v>
      </c>
      <c r="O57" s="53" t="s">
        <v>68</v>
      </c>
      <c r="P57" s="53" t="s">
        <v>68</v>
      </c>
      <c r="Q57" s="53" t="s">
        <v>68</v>
      </c>
      <c r="R57" s="53" t="s">
        <v>68</v>
      </c>
      <c r="S57" s="53" t="s">
        <v>68</v>
      </c>
      <c r="T57" s="53" t="s">
        <v>68</v>
      </c>
      <c r="U57" s="53" t="s">
        <v>68</v>
      </c>
      <c r="V57" s="53" t="s">
        <v>68</v>
      </c>
      <c r="W57" s="53" t="s">
        <v>68</v>
      </c>
      <c r="X57" s="53" t="s">
        <v>68</v>
      </c>
      <c r="Y57" s="53" t="s">
        <v>68</v>
      </c>
      <c r="Z57" s="53" t="s">
        <v>68</v>
      </c>
      <c r="AA57" s="53" t="s">
        <v>68</v>
      </c>
      <c r="AB57" s="53" t="s">
        <v>68</v>
      </c>
      <c r="AC57" s="53" t="s">
        <v>68</v>
      </c>
      <c r="AD57" s="53" t="s">
        <v>68</v>
      </c>
      <c r="AE57" s="53" t="s">
        <v>68</v>
      </c>
      <c r="AF57" s="53" t="s">
        <v>68</v>
      </c>
      <c r="AG57" s="53" t="s">
        <v>68</v>
      </c>
      <c r="AH57" s="53" t="s">
        <v>68</v>
      </c>
      <c r="AI57" s="53" t="s">
        <v>68</v>
      </c>
      <c r="AJ57" s="22"/>
      <c r="AL57" t="str">
        <f t="shared" ca="1" si="0"/>
        <v xml:space="preserve">    (U1)ALERT_REQ_H_SOCLOW_TT_PD_</v>
      </c>
      <c r="AR57" s="55" t="str">
        <f t="shared" si="3"/>
        <v/>
      </c>
      <c r="AS57" s="55" t="str">
        <f t="shared" si="4"/>
        <v/>
      </c>
      <c r="AT57" s="55" t="str">
        <f t="shared" si="1"/>
        <v/>
      </c>
    </row>
    <row r="58" spans="2:46">
      <c r="B58" s="124"/>
      <c r="C58" s="39">
        <f t="shared" si="2"/>
        <v>52</v>
      </c>
      <c r="D58" s="53" t="s">
        <v>68</v>
      </c>
      <c r="E58" s="53" t="s">
        <v>68</v>
      </c>
      <c r="F58" s="53" t="s">
        <v>68</v>
      </c>
      <c r="G58" s="53" t="s">
        <v>68</v>
      </c>
      <c r="H58" s="53" t="s">
        <v>68</v>
      </c>
      <c r="I58" s="53" t="s">
        <v>68</v>
      </c>
      <c r="J58" s="53" t="s">
        <v>68</v>
      </c>
      <c r="K58" s="53" t="s">
        <v>68</v>
      </c>
      <c r="L58" s="53" t="s">
        <v>68</v>
      </c>
      <c r="M58" s="53" t="s">
        <v>68</v>
      </c>
      <c r="N58" s="53" t="s">
        <v>68</v>
      </c>
      <c r="O58" s="53" t="s">
        <v>68</v>
      </c>
      <c r="P58" s="53" t="s">
        <v>68</v>
      </c>
      <c r="Q58" s="53" t="s">
        <v>68</v>
      </c>
      <c r="R58" s="53" t="s">
        <v>68</v>
      </c>
      <c r="S58" s="53" t="s">
        <v>68</v>
      </c>
      <c r="T58" s="53" t="s">
        <v>68</v>
      </c>
      <c r="U58" s="53" t="s">
        <v>68</v>
      </c>
      <c r="V58" s="53" t="s">
        <v>68</v>
      </c>
      <c r="W58" s="53" t="s">
        <v>68</v>
      </c>
      <c r="X58" s="53" t="s">
        <v>68</v>
      </c>
      <c r="Y58" s="53" t="s">
        <v>68</v>
      </c>
      <c r="Z58" s="53" t="s">
        <v>68</v>
      </c>
      <c r="AA58" s="53" t="s">
        <v>68</v>
      </c>
      <c r="AB58" s="53" t="s">
        <v>68</v>
      </c>
      <c r="AC58" s="53" t="s">
        <v>68</v>
      </c>
      <c r="AD58" s="53" t="s">
        <v>68</v>
      </c>
      <c r="AE58" s="53" t="s">
        <v>68</v>
      </c>
      <c r="AF58" s="53" t="s">
        <v>68</v>
      </c>
      <c r="AG58" s="53" t="s">
        <v>68</v>
      </c>
      <c r="AH58" s="53" t="s">
        <v>68</v>
      </c>
      <c r="AI58" s="53" t="s">
        <v>68</v>
      </c>
      <c r="AJ58" s="22"/>
      <c r="AL58" t="str">
        <f t="shared" ca="1" si="0"/>
        <v xml:space="preserve">    (U1)ALERT_REQ_H_SOCLOW_TT_PD_</v>
      </c>
      <c r="AR58" s="55" t="str">
        <f t="shared" si="3"/>
        <v/>
      </c>
      <c r="AS58" s="55" t="str">
        <f t="shared" si="4"/>
        <v/>
      </c>
      <c r="AT58" s="55" t="str">
        <f t="shared" si="1"/>
        <v/>
      </c>
    </row>
    <row r="59" spans="2:46">
      <c r="B59" s="124"/>
      <c r="C59" s="39">
        <f t="shared" si="2"/>
        <v>53</v>
      </c>
      <c r="D59" s="53" t="s">
        <v>68</v>
      </c>
      <c r="E59" s="53" t="s">
        <v>68</v>
      </c>
      <c r="F59" s="53" t="s">
        <v>68</v>
      </c>
      <c r="G59" s="53" t="s">
        <v>68</v>
      </c>
      <c r="H59" s="53" t="s">
        <v>68</v>
      </c>
      <c r="I59" s="53" t="s">
        <v>68</v>
      </c>
      <c r="J59" s="53" t="s">
        <v>68</v>
      </c>
      <c r="K59" s="53" t="s">
        <v>68</v>
      </c>
      <c r="L59" s="53" t="s">
        <v>68</v>
      </c>
      <c r="M59" s="53" t="s">
        <v>68</v>
      </c>
      <c r="N59" s="53" t="s">
        <v>68</v>
      </c>
      <c r="O59" s="53" t="s">
        <v>68</v>
      </c>
      <c r="P59" s="53" t="s">
        <v>68</v>
      </c>
      <c r="Q59" s="53" t="s">
        <v>68</v>
      </c>
      <c r="R59" s="53" t="s">
        <v>68</v>
      </c>
      <c r="S59" s="53" t="s">
        <v>68</v>
      </c>
      <c r="T59" s="53" t="s">
        <v>68</v>
      </c>
      <c r="U59" s="53" t="s">
        <v>68</v>
      </c>
      <c r="V59" s="53" t="s">
        <v>68</v>
      </c>
      <c r="W59" s="53" t="s">
        <v>68</v>
      </c>
      <c r="X59" s="53" t="s">
        <v>68</v>
      </c>
      <c r="Y59" s="53" t="s">
        <v>68</v>
      </c>
      <c r="Z59" s="53" t="s">
        <v>68</v>
      </c>
      <c r="AA59" s="53" t="s">
        <v>68</v>
      </c>
      <c r="AB59" s="53" t="s">
        <v>68</v>
      </c>
      <c r="AC59" s="53" t="s">
        <v>68</v>
      </c>
      <c r="AD59" s="53" t="s">
        <v>68</v>
      </c>
      <c r="AE59" s="53" t="s">
        <v>68</v>
      </c>
      <c r="AF59" s="53" t="s">
        <v>68</v>
      </c>
      <c r="AG59" s="53" t="s">
        <v>68</v>
      </c>
      <c r="AH59" s="53" t="s">
        <v>68</v>
      </c>
      <c r="AI59" s="53" t="s">
        <v>68</v>
      </c>
      <c r="AJ59" s="22"/>
      <c r="AL59" t="str">
        <f t="shared" ca="1" si="0"/>
        <v xml:space="preserve">    (U1)ALERT_REQ_H_SOCLOW_TT_PD_</v>
      </c>
      <c r="AR59" s="55" t="str">
        <f t="shared" si="3"/>
        <v/>
      </c>
      <c r="AS59" s="55" t="str">
        <f t="shared" si="4"/>
        <v/>
      </c>
      <c r="AT59" s="55" t="str">
        <f t="shared" si="1"/>
        <v/>
      </c>
    </row>
    <row r="60" spans="2:46">
      <c r="B60" s="124"/>
      <c r="C60" s="39">
        <f t="shared" si="2"/>
        <v>54</v>
      </c>
      <c r="D60" s="53" t="s">
        <v>68</v>
      </c>
      <c r="E60" s="53" t="s">
        <v>68</v>
      </c>
      <c r="F60" s="53" t="s">
        <v>68</v>
      </c>
      <c r="G60" s="53" t="s">
        <v>68</v>
      </c>
      <c r="H60" s="53" t="s">
        <v>68</v>
      </c>
      <c r="I60" s="53" t="s">
        <v>68</v>
      </c>
      <c r="J60" s="53" t="s">
        <v>68</v>
      </c>
      <c r="K60" s="53" t="s">
        <v>68</v>
      </c>
      <c r="L60" s="53" t="s">
        <v>68</v>
      </c>
      <c r="M60" s="53" t="s">
        <v>68</v>
      </c>
      <c r="N60" s="53" t="s">
        <v>68</v>
      </c>
      <c r="O60" s="53" t="s">
        <v>68</v>
      </c>
      <c r="P60" s="53" t="s">
        <v>68</v>
      </c>
      <c r="Q60" s="53" t="s">
        <v>68</v>
      </c>
      <c r="R60" s="53" t="s">
        <v>68</v>
      </c>
      <c r="S60" s="53" t="s">
        <v>68</v>
      </c>
      <c r="T60" s="53" t="s">
        <v>68</v>
      </c>
      <c r="U60" s="53" t="s">
        <v>68</v>
      </c>
      <c r="V60" s="53" t="s">
        <v>68</v>
      </c>
      <c r="W60" s="53" t="s">
        <v>68</v>
      </c>
      <c r="X60" s="53" t="s">
        <v>68</v>
      </c>
      <c r="Y60" s="53" t="s">
        <v>68</v>
      </c>
      <c r="Z60" s="53" t="s">
        <v>68</v>
      </c>
      <c r="AA60" s="53" t="s">
        <v>68</v>
      </c>
      <c r="AB60" s="53" t="s">
        <v>68</v>
      </c>
      <c r="AC60" s="53" t="s">
        <v>68</v>
      </c>
      <c r="AD60" s="53" t="s">
        <v>68</v>
      </c>
      <c r="AE60" s="53" t="s">
        <v>68</v>
      </c>
      <c r="AF60" s="53" t="s">
        <v>68</v>
      </c>
      <c r="AG60" s="53" t="s">
        <v>68</v>
      </c>
      <c r="AH60" s="53" t="s">
        <v>68</v>
      </c>
      <c r="AI60" s="53" t="s">
        <v>68</v>
      </c>
      <c r="AJ60" s="22"/>
      <c r="AL60" t="str">
        <f t="shared" ca="1" si="0"/>
        <v xml:space="preserve">    (U1)ALERT_REQ_H_SOCLOW_TT_PD_</v>
      </c>
      <c r="AR60" s="55" t="str">
        <f t="shared" si="3"/>
        <v/>
      </c>
      <c r="AS60" s="55" t="str">
        <f t="shared" si="4"/>
        <v/>
      </c>
      <c r="AT60" s="55" t="str">
        <f t="shared" si="1"/>
        <v/>
      </c>
    </row>
    <row r="61" spans="2:46">
      <c r="B61" s="124"/>
      <c r="C61" s="39">
        <f t="shared" si="2"/>
        <v>55</v>
      </c>
      <c r="D61" s="53" t="s">
        <v>68</v>
      </c>
      <c r="E61" s="53" t="s">
        <v>68</v>
      </c>
      <c r="F61" s="53" t="s">
        <v>68</v>
      </c>
      <c r="G61" s="53" t="s">
        <v>68</v>
      </c>
      <c r="H61" s="53" t="s">
        <v>68</v>
      </c>
      <c r="I61" s="53" t="s">
        <v>68</v>
      </c>
      <c r="J61" s="53" t="s">
        <v>68</v>
      </c>
      <c r="K61" s="53" t="s">
        <v>68</v>
      </c>
      <c r="L61" s="53" t="s">
        <v>68</v>
      </c>
      <c r="M61" s="53" t="s">
        <v>68</v>
      </c>
      <c r="N61" s="53" t="s">
        <v>68</v>
      </c>
      <c r="O61" s="53" t="s">
        <v>68</v>
      </c>
      <c r="P61" s="53" t="s">
        <v>68</v>
      </c>
      <c r="Q61" s="53" t="s">
        <v>68</v>
      </c>
      <c r="R61" s="53" t="s">
        <v>68</v>
      </c>
      <c r="S61" s="53" t="s">
        <v>68</v>
      </c>
      <c r="T61" s="53" t="s">
        <v>68</v>
      </c>
      <c r="U61" s="53" t="s">
        <v>68</v>
      </c>
      <c r="V61" s="53" t="s">
        <v>68</v>
      </c>
      <c r="W61" s="53" t="s">
        <v>68</v>
      </c>
      <c r="X61" s="53" t="s">
        <v>68</v>
      </c>
      <c r="Y61" s="53" t="s">
        <v>68</v>
      </c>
      <c r="Z61" s="53" t="s">
        <v>68</v>
      </c>
      <c r="AA61" s="53" t="s">
        <v>68</v>
      </c>
      <c r="AB61" s="53" t="s">
        <v>68</v>
      </c>
      <c r="AC61" s="53" t="s">
        <v>68</v>
      </c>
      <c r="AD61" s="53" t="s">
        <v>68</v>
      </c>
      <c r="AE61" s="53" t="s">
        <v>68</v>
      </c>
      <c r="AF61" s="53" t="s">
        <v>68</v>
      </c>
      <c r="AG61" s="53" t="s">
        <v>68</v>
      </c>
      <c r="AH61" s="53" t="s">
        <v>68</v>
      </c>
      <c r="AI61" s="53" t="s">
        <v>68</v>
      </c>
      <c r="AJ61" s="22"/>
      <c r="AL61" t="str">
        <f t="shared" ca="1" si="0"/>
        <v xml:space="preserve">    (U1)ALERT_REQ_H_SOCLOW_TT_PD_</v>
      </c>
      <c r="AR61" s="55" t="str">
        <f t="shared" si="3"/>
        <v/>
      </c>
      <c r="AS61" s="55" t="str">
        <f t="shared" si="4"/>
        <v/>
      </c>
      <c r="AT61" s="55" t="str">
        <f t="shared" si="1"/>
        <v/>
      </c>
    </row>
    <row r="62" spans="2:46">
      <c r="B62" s="124"/>
      <c r="C62" s="39">
        <f t="shared" si="2"/>
        <v>56</v>
      </c>
      <c r="D62" s="53" t="s">
        <v>68</v>
      </c>
      <c r="E62" s="53" t="s">
        <v>68</v>
      </c>
      <c r="F62" s="53" t="s">
        <v>68</v>
      </c>
      <c r="G62" s="53" t="s">
        <v>68</v>
      </c>
      <c r="H62" s="53" t="s">
        <v>68</v>
      </c>
      <c r="I62" s="53" t="s">
        <v>68</v>
      </c>
      <c r="J62" s="53" t="s">
        <v>68</v>
      </c>
      <c r="K62" s="53" t="s">
        <v>68</v>
      </c>
      <c r="L62" s="53" t="s">
        <v>68</v>
      </c>
      <c r="M62" s="53" t="s">
        <v>68</v>
      </c>
      <c r="N62" s="53" t="s">
        <v>68</v>
      </c>
      <c r="O62" s="53" t="s">
        <v>68</v>
      </c>
      <c r="P62" s="53" t="s">
        <v>68</v>
      </c>
      <c r="Q62" s="53" t="s">
        <v>68</v>
      </c>
      <c r="R62" s="53" t="s">
        <v>68</v>
      </c>
      <c r="S62" s="53" t="s">
        <v>68</v>
      </c>
      <c r="T62" s="53" t="s">
        <v>68</v>
      </c>
      <c r="U62" s="53" t="s">
        <v>68</v>
      </c>
      <c r="V62" s="53" t="s">
        <v>68</v>
      </c>
      <c r="W62" s="53" t="s">
        <v>68</v>
      </c>
      <c r="X62" s="53" t="s">
        <v>68</v>
      </c>
      <c r="Y62" s="53" t="s">
        <v>68</v>
      </c>
      <c r="Z62" s="53" t="s">
        <v>68</v>
      </c>
      <c r="AA62" s="53" t="s">
        <v>68</v>
      </c>
      <c r="AB62" s="53" t="s">
        <v>68</v>
      </c>
      <c r="AC62" s="53" t="s">
        <v>68</v>
      </c>
      <c r="AD62" s="53" t="s">
        <v>68</v>
      </c>
      <c r="AE62" s="53" t="s">
        <v>68</v>
      </c>
      <c r="AF62" s="53" t="s">
        <v>68</v>
      </c>
      <c r="AG62" s="53" t="s">
        <v>68</v>
      </c>
      <c r="AH62" s="53" t="s">
        <v>68</v>
      </c>
      <c r="AI62" s="53" t="s">
        <v>68</v>
      </c>
      <c r="AJ62" s="22"/>
      <c r="AL62" t="str">
        <f t="shared" ca="1" si="0"/>
        <v xml:space="preserve">    (U1)ALERT_REQ_H_SOCLOW_TT_PD_</v>
      </c>
      <c r="AR62" s="55" t="str">
        <f t="shared" si="3"/>
        <v/>
      </c>
      <c r="AS62" s="55" t="str">
        <f t="shared" si="4"/>
        <v/>
      </c>
      <c r="AT62" s="55" t="str">
        <f t="shared" si="1"/>
        <v/>
      </c>
    </row>
    <row r="63" spans="2:46">
      <c r="B63" s="124"/>
      <c r="C63" s="39">
        <f t="shared" si="2"/>
        <v>57</v>
      </c>
      <c r="D63" s="53" t="s">
        <v>68</v>
      </c>
      <c r="E63" s="53" t="s">
        <v>68</v>
      </c>
      <c r="F63" s="53" t="s">
        <v>68</v>
      </c>
      <c r="G63" s="53" t="s">
        <v>68</v>
      </c>
      <c r="H63" s="53" t="s">
        <v>68</v>
      </c>
      <c r="I63" s="53" t="s">
        <v>68</v>
      </c>
      <c r="J63" s="53" t="s">
        <v>68</v>
      </c>
      <c r="K63" s="53" t="s">
        <v>68</v>
      </c>
      <c r="L63" s="53" t="s">
        <v>68</v>
      </c>
      <c r="M63" s="53" t="s">
        <v>68</v>
      </c>
      <c r="N63" s="53" t="s">
        <v>68</v>
      </c>
      <c r="O63" s="53" t="s">
        <v>68</v>
      </c>
      <c r="P63" s="53" t="s">
        <v>68</v>
      </c>
      <c r="Q63" s="53" t="s">
        <v>68</v>
      </c>
      <c r="R63" s="53" t="s">
        <v>68</v>
      </c>
      <c r="S63" s="53" t="s">
        <v>68</v>
      </c>
      <c r="T63" s="53" t="s">
        <v>68</v>
      </c>
      <c r="U63" s="53" t="s">
        <v>68</v>
      </c>
      <c r="V63" s="53" t="s">
        <v>68</v>
      </c>
      <c r="W63" s="53" t="s">
        <v>68</v>
      </c>
      <c r="X63" s="53" t="s">
        <v>68</v>
      </c>
      <c r="Y63" s="53" t="s">
        <v>68</v>
      </c>
      <c r="Z63" s="53" t="s">
        <v>68</v>
      </c>
      <c r="AA63" s="53" t="s">
        <v>68</v>
      </c>
      <c r="AB63" s="53" t="s">
        <v>68</v>
      </c>
      <c r="AC63" s="53" t="s">
        <v>68</v>
      </c>
      <c r="AD63" s="53" t="s">
        <v>68</v>
      </c>
      <c r="AE63" s="53" t="s">
        <v>68</v>
      </c>
      <c r="AF63" s="53" t="s">
        <v>68</v>
      </c>
      <c r="AG63" s="53" t="s">
        <v>68</v>
      </c>
      <c r="AH63" s="53" t="s">
        <v>68</v>
      </c>
      <c r="AI63" s="53" t="s">
        <v>68</v>
      </c>
      <c r="AJ63" s="22"/>
      <c r="AL63" t="str">
        <f t="shared" ca="1" si="0"/>
        <v xml:space="preserve">    (U1)ALERT_REQ_H_SOCLOW_TT_PD_</v>
      </c>
      <c r="AR63" s="55" t="str">
        <f t="shared" si="3"/>
        <v/>
      </c>
      <c r="AS63" s="55" t="str">
        <f t="shared" si="4"/>
        <v/>
      </c>
      <c r="AT63" s="55" t="str">
        <f t="shared" si="1"/>
        <v/>
      </c>
    </row>
    <row r="64" spans="2:46">
      <c r="B64" s="124"/>
      <c r="C64" s="39">
        <f t="shared" si="2"/>
        <v>58</v>
      </c>
      <c r="D64" s="53" t="s">
        <v>68</v>
      </c>
      <c r="E64" s="53" t="s">
        <v>68</v>
      </c>
      <c r="F64" s="53" t="s">
        <v>68</v>
      </c>
      <c r="G64" s="53" t="s">
        <v>68</v>
      </c>
      <c r="H64" s="53" t="s">
        <v>68</v>
      </c>
      <c r="I64" s="53" t="s">
        <v>68</v>
      </c>
      <c r="J64" s="53" t="s">
        <v>68</v>
      </c>
      <c r="K64" s="53" t="s">
        <v>68</v>
      </c>
      <c r="L64" s="53" t="s">
        <v>68</v>
      </c>
      <c r="M64" s="53" t="s">
        <v>68</v>
      </c>
      <c r="N64" s="53" t="s">
        <v>68</v>
      </c>
      <c r="O64" s="53" t="s">
        <v>68</v>
      </c>
      <c r="P64" s="53" t="s">
        <v>68</v>
      </c>
      <c r="Q64" s="53" t="s">
        <v>68</v>
      </c>
      <c r="R64" s="53" t="s">
        <v>68</v>
      </c>
      <c r="S64" s="53" t="s">
        <v>68</v>
      </c>
      <c r="T64" s="53" t="s">
        <v>68</v>
      </c>
      <c r="U64" s="53" t="s">
        <v>68</v>
      </c>
      <c r="V64" s="53" t="s">
        <v>68</v>
      </c>
      <c r="W64" s="53" t="s">
        <v>68</v>
      </c>
      <c r="X64" s="53" t="s">
        <v>68</v>
      </c>
      <c r="Y64" s="53" t="s">
        <v>68</v>
      </c>
      <c r="Z64" s="53" t="s">
        <v>68</v>
      </c>
      <c r="AA64" s="53" t="s">
        <v>68</v>
      </c>
      <c r="AB64" s="53" t="s">
        <v>68</v>
      </c>
      <c r="AC64" s="53" t="s">
        <v>68</v>
      </c>
      <c r="AD64" s="53" t="s">
        <v>68</v>
      </c>
      <c r="AE64" s="53" t="s">
        <v>68</v>
      </c>
      <c r="AF64" s="53" t="s">
        <v>68</v>
      </c>
      <c r="AG64" s="53" t="s">
        <v>68</v>
      </c>
      <c r="AH64" s="53" t="s">
        <v>68</v>
      </c>
      <c r="AI64" s="53" t="s">
        <v>68</v>
      </c>
      <c r="AJ64" s="22"/>
      <c r="AL64" t="str">
        <f t="shared" ca="1" si="0"/>
        <v xml:space="preserve">    (U1)ALERT_REQ_H_SOCLOW_TT_PD_</v>
      </c>
      <c r="AR64" s="55" t="str">
        <f t="shared" si="3"/>
        <v/>
      </c>
      <c r="AS64" s="55" t="str">
        <f t="shared" si="4"/>
        <v/>
      </c>
      <c r="AT64" s="55" t="str">
        <f t="shared" si="1"/>
        <v/>
      </c>
    </row>
    <row r="65" spans="1:46">
      <c r="B65" s="124"/>
      <c r="C65" s="39">
        <f t="shared" si="2"/>
        <v>59</v>
      </c>
      <c r="D65" s="53" t="s">
        <v>68</v>
      </c>
      <c r="E65" s="53" t="s">
        <v>68</v>
      </c>
      <c r="F65" s="53" t="s">
        <v>68</v>
      </c>
      <c r="G65" s="53" t="s">
        <v>68</v>
      </c>
      <c r="H65" s="53" t="s">
        <v>68</v>
      </c>
      <c r="I65" s="53" t="s">
        <v>68</v>
      </c>
      <c r="J65" s="53" t="s">
        <v>68</v>
      </c>
      <c r="K65" s="53" t="s">
        <v>68</v>
      </c>
      <c r="L65" s="53" t="s">
        <v>68</v>
      </c>
      <c r="M65" s="53" t="s">
        <v>68</v>
      </c>
      <c r="N65" s="53" t="s">
        <v>68</v>
      </c>
      <c r="O65" s="53" t="s">
        <v>68</v>
      </c>
      <c r="P65" s="53" t="s">
        <v>68</v>
      </c>
      <c r="Q65" s="53" t="s">
        <v>68</v>
      </c>
      <c r="R65" s="53" t="s">
        <v>68</v>
      </c>
      <c r="S65" s="53" t="s">
        <v>68</v>
      </c>
      <c r="T65" s="53" t="s">
        <v>68</v>
      </c>
      <c r="U65" s="53" t="s">
        <v>68</v>
      </c>
      <c r="V65" s="53" t="s">
        <v>68</v>
      </c>
      <c r="W65" s="53" t="s">
        <v>68</v>
      </c>
      <c r="X65" s="53" t="s">
        <v>68</v>
      </c>
      <c r="Y65" s="53" t="s">
        <v>68</v>
      </c>
      <c r="Z65" s="53" t="s">
        <v>68</v>
      </c>
      <c r="AA65" s="53" t="s">
        <v>68</v>
      </c>
      <c r="AB65" s="53" t="s">
        <v>68</v>
      </c>
      <c r="AC65" s="53" t="s">
        <v>68</v>
      </c>
      <c r="AD65" s="53" t="s">
        <v>68</v>
      </c>
      <c r="AE65" s="53" t="s">
        <v>68</v>
      </c>
      <c r="AF65" s="53" t="s">
        <v>68</v>
      </c>
      <c r="AG65" s="53" t="s">
        <v>68</v>
      </c>
      <c r="AH65" s="53" t="s">
        <v>68</v>
      </c>
      <c r="AI65" s="53" t="s">
        <v>68</v>
      </c>
      <c r="AJ65" s="22"/>
      <c r="AL65" t="str">
        <f t="shared" ca="1" si="0"/>
        <v xml:space="preserve">    (U1)ALERT_REQ_H_SOCLOW_TT_PD_</v>
      </c>
      <c r="AR65" s="55" t="str">
        <f t="shared" si="3"/>
        <v/>
      </c>
      <c r="AS65" s="55" t="str">
        <f t="shared" si="4"/>
        <v/>
      </c>
      <c r="AT65" s="55" t="str">
        <f t="shared" si="1"/>
        <v/>
      </c>
    </row>
    <row r="66" spans="1:46">
      <c r="B66" s="124"/>
      <c r="C66" s="39">
        <f t="shared" si="2"/>
        <v>60</v>
      </c>
      <c r="D66" s="53" t="s">
        <v>68</v>
      </c>
      <c r="E66" s="53" t="s">
        <v>68</v>
      </c>
      <c r="F66" s="53" t="s">
        <v>68</v>
      </c>
      <c r="G66" s="53" t="s">
        <v>68</v>
      </c>
      <c r="H66" s="53" t="s">
        <v>68</v>
      </c>
      <c r="I66" s="53" t="s">
        <v>68</v>
      </c>
      <c r="J66" s="53" t="s">
        <v>68</v>
      </c>
      <c r="K66" s="53" t="s">
        <v>68</v>
      </c>
      <c r="L66" s="53" t="s">
        <v>68</v>
      </c>
      <c r="M66" s="53" t="s">
        <v>68</v>
      </c>
      <c r="N66" s="53" t="s">
        <v>68</v>
      </c>
      <c r="O66" s="53" t="s">
        <v>68</v>
      </c>
      <c r="P66" s="53" t="s">
        <v>68</v>
      </c>
      <c r="Q66" s="53" t="s">
        <v>68</v>
      </c>
      <c r="R66" s="53" t="s">
        <v>68</v>
      </c>
      <c r="S66" s="53" t="s">
        <v>68</v>
      </c>
      <c r="T66" s="53" t="s">
        <v>68</v>
      </c>
      <c r="U66" s="53" t="s">
        <v>68</v>
      </c>
      <c r="V66" s="53" t="s">
        <v>68</v>
      </c>
      <c r="W66" s="53" t="s">
        <v>68</v>
      </c>
      <c r="X66" s="53" t="s">
        <v>68</v>
      </c>
      <c r="Y66" s="53" t="s">
        <v>68</v>
      </c>
      <c r="Z66" s="53" t="s">
        <v>68</v>
      </c>
      <c r="AA66" s="53" t="s">
        <v>68</v>
      </c>
      <c r="AB66" s="53" t="s">
        <v>68</v>
      </c>
      <c r="AC66" s="53" t="s">
        <v>68</v>
      </c>
      <c r="AD66" s="53" t="s">
        <v>68</v>
      </c>
      <c r="AE66" s="53" t="s">
        <v>68</v>
      </c>
      <c r="AF66" s="53" t="s">
        <v>68</v>
      </c>
      <c r="AG66" s="53" t="s">
        <v>68</v>
      </c>
      <c r="AH66" s="53" t="s">
        <v>68</v>
      </c>
      <c r="AI66" s="53" t="s">
        <v>68</v>
      </c>
      <c r="AJ66" s="22"/>
      <c r="AL66" t="str">
        <f t="shared" ca="1" si="0"/>
        <v xml:space="preserve">    (U1)ALERT_REQ_H_SOCLOW_TT_PD_</v>
      </c>
      <c r="AR66" s="55" t="str">
        <f t="shared" si="3"/>
        <v/>
      </c>
      <c r="AS66" s="55" t="str">
        <f t="shared" si="4"/>
        <v/>
      </c>
      <c r="AT66" s="55" t="str">
        <f t="shared" si="1"/>
        <v/>
      </c>
    </row>
    <row r="67" spans="1:46">
      <c r="B67" s="124"/>
      <c r="C67" s="39">
        <f t="shared" si="2"/>
        <v>61</v>
      </c>
      <c r="D67" s="53" t="s">
        <v>68</v>
      </c>
      <c r="E67" s="53" t="s">
        <v>68</v>
      </c>
      <c r="F67" s="53" t="s">
        <v>68</v>
      </c>
      <c r="G67" s="53" t="s">
        <v>68</v>
      </c>
      <c r="H67" s="53" t="s">
        <v>68</v>
      </c>
      <c r="I67" s="53" t="s">
        <v>68</v>
      </c>
      <c r="J67" s="53" t="s">
        <v>68</v>
      </c>
      <c r="K67" s="53" t="s">
        <v>68</v>
      </c>
      <c r="L67" s="53" t="s">
        <v>68</v>
      </c>
      <c r="M67" s="53" t="s">
        <v>68</v>
      </c>
      <c r="N67" s="53" t="s">
        <v>68</v>
      </c>
      <c r="O67" s="53" t="s">
        <v>68</v>
      </c>
      <c r="P67" s="53" t="s">
        <v>68</v>
      </c>
      <c r="Q67" s="53" t="s">
        <v>68</v>
      </c>
      <c r="R67" s="53" t="s">
        <v>68</v>
      </c>
      <c r="S67" s="53" t="s">
        <v>68</v>
      </c>
      <c r="T67" s="53" t="s">
        <v>68</v>
      </c>
      <c r="U67" s="53" t="s">
        <v>68</v>
      </c>
      <c r="V67" s="53" t="s">
        <v>68</v>
      </c>
      <c r="W67" s="53" t="s">
        <v>68</v>
      </c>
      <c r="X67" s="53" t="s">
        <v>68</v>
      </c>
      <c r="Y67" s="53" t="s">
        <v>68</v>
      </c>
      <c r="Z67" s="53" t="s">
        <v>68</v>
      </c>
      <c r="AA67" s="53" t="s">
        <v>68</v>
      </c>
      <c r="AB67" s="53" t="s">
        <v>68</v>
      </c>
      <c r="AC67" s="53" t="s">
        <v>68</v>
      </c>
      <c r="AD67" s="53" t="s">
        <v>68</v>
      </c>
      <c r="AE67" s="53" t="s">
        <v>68</v>
      </c>
      <c r="AF67" s="53" t="s">
        <v>68</v>
      </c>
      <c r="AG67" s="53" t="s">
        <v>68</v>
      </c>
      <c r="AH67" s="53" t="s">
        <v>68</v>
      </c>
      <c r="AI67" s="53" t="s">
        <v>68</v>
      </c>
      <c r="AJ67" s="22"/>
      <c r="AL67" t="str">
        <f t="shared" ca="1" si="0"/>
        <v xml:space="preserve">    (U1)ALERT_REQ_H_SOCLOW_TT_PD_</v>
      </c>
      <c r="AR67" s="55" t="str">
        <f t="shared" si="3"/>
        <v/>
      </c>
      <c r="AS67" s="55" t="str">
        <f t="shared" si="4"/>
        <v/>
      </c>
      <c r="AT67" s="55" t="str">
        <f t="shared" si="1"/>
        <v/>
      </c>
    </row>
    <row r="68" spans="1:46">
      <c r="B68" s="124"/>
      <c r="C68" s="39">
        <f t="shared" si="2"/>
        <v>62</v>
      </c>
      <c r="D68" s="53" t="s">
        <v>68</v>
      </c>
      <c r="E68" s="53" t="s">
        <v>68</v>
      </c>
      <c r="F68" s="53" t="s">
        <v>68</v>
      </c>
      <c r="G68" s="53" t="s">
        <v>68</v>
      </c>
      <c r="H68" s="53" t="s">
        <v>68</v>
      </c>
      <c r="I68" s="53" t="s">
        <v>68</v>
      </c>
      <c r="J68" s="53" t="s">
        <v>68</v>
      </c>
      <c r="K68" s="53" t="s">
        <v>68</v>
      </c>
      <c r="L68" s="53" t="s">
        <v>68</v>
      </c>
      <c r="M68" s="53" t="s">
        <v>68</v>
      </c>
      <c r="N68" s="53" t="s">
        <v>68</v>
      </c>
      <c r="O68" s="53" t="s">
        <v>68</v>
      </c>
      <c r="P68" s="53" t="s">
        <v>68</v>
      </c>
      <c r="Q68" s="53" t="s">
        <v>68</v>
      </c>
      <c r="R68" s="53" t="s">
        <v>68</v>
      </c>
      <c r="S68" s="53" t="s">
        <v>68</v>
      </c>
      <c r="T68" s="53" t="s">
        <v>68</v>
      </c>
      <c r="U68" s="53" t="s">
        <v>68</v>
      </c>
      <c r="V68" s="53" t="s">
        <v>68</v>
      </c>
      <c r="W68" s="53" t="s">
        <v>68</v>
      </c>
      <c r="X68" s="53" t="s">
        <v>68</v>
      </c>
      <c r="Y68" s="53" t="s">
        <v>68</v>
      </c>
      <c r="Z68" s="53" t="s">
        <v>68</v>
      </c>
      <c r="AA68" s="53" t="s">
        <v>68</v>
      </c>
      <c r="AB68" s="53" t="s">
        <v>68</v>
      </c>
      <c r="AC68" s="53" t="s">
        <v>68</v>
      </c>
      <c r="AD68" s="53" t="s">
        <v>68</v>
      </c>
      <c r="AE68" s="53" t="s">
        <v>68</v>
      </c>
      <c r="AF68" s="53" t="s">
        <v>68</v>
      </c>
      <c r="AG68" s="53" t="s">
        <v>68</v>
      </c>
      <c r="AH68" s="53" t="s">
        <v>68</v>
      </c>
      <c r="AI68" s="53" t="s">
        <v>68</v>
      </c>
      <c r="AJ68" s="22"/>
      <c r="AL68" t="str">
        <f t="shared" ca="1" si="0"/>
        <v xml:space="preserve">    (U1)ALERT_REQ_H_SOCLOW_TT_PD_</v>
      </c>
      <c r="AR68" s="55" t="str">
        <f t="shared" si="3"/>
        <v/>
      </c>
      <c r="AS68" s="55" t="str">
        <f t="shared" si="4"/>
        <v/>
      </c>
      <c r="AT68" s="55" t="str">
        <f t="shared" si="1"/>
        <v/>
      </c>
    </row>
    <row r="69" spans="1:46">
      <c r="B69" s="125"/>
      <c r="C69" s="39">
        <f t="shared" si="2"/>
        <v>63</v>
      </c>
      <c r="D69" s="53" t="s">
        <v>68</v>
      </c>
      <c r="E69" s="53" t="s">
        <v>68</v>
      </c>
      <c r="F69" s="53" t="s">
        <v>68</v>
      </c>
      <c r="G69" s="53" t="s">
        <v>68</v>
      </c>
      <c r="H69" s="53" t="s">
        <v>68</v>
      </c>
      <c r="I69" s="53" t="s">
        <v>68</v>
      </c>
      <c r="J69" s="53" t="s">
        <v>68</v>
      </c>
      <c r="K69" s="53" t="s">
        <v>68</v>
      </c>
      <c r="L69" s="53" t="s">
        <v>68</v>
      </c>
      <c r="M69" s="53" t="s">
        <v>68</v>
      </c>
      <c r="N69" s="53" t="s">
        <v>68</v>
      </c>
      <c r="O69" s="53" t="s">
        <v>68</v>
      </c>
      <c r="P69" s="53" t="s">
        <v>68</v>
      </c>
      <c r="Q69" s="53" t="s">
        <v>68</v>
      </c>
      <c r="R69" s="53" t="s">
        <v>68</v>
      </c>
      <c r="S69" s="53" t="s">
        <v>68</v>
      </c>
      <c r="T69" s="53" t="s">
        <v>68</v>
      </c>
      <c r="U69" s="53" t="s">
        <v>68</v>
      </c>
      <c r="V69" s="53" t="s">
        <v>68</v>
      </c>
      <c r="W69" s="53" t="s">
        <v>68</v>
      </c>
      <c r="X69" s="53" t="s">
        <v>68</v>
      </c>
      <c r="Y69" s="53" t="s">
        <v>68</v>
      </c>
      <c r="Z69" s="53" t="s">
        <v>68</v>
      </c>
      <c r="AA69" s="53" t="s">
        <v>68</v>
      </c>
      <c r="AB69" s="53" t="s">
        <v>68</v>
      </c>
      <c r="AC69" s="53" t="s">
        <v>68</v>
      </c>
      <c r="AD69" s="53" t="s">
        <v>68</v>
      </c>
      <c r="AE69" s="53" t="s">
        <v>68</v>
      </c>
      <c r="AF69" s="53" t="s">
        <v>68</v>
      </c>
      <c r="AG69" s="53" t="s">
        <v>68</v>
      </c>
      <c r="AH69" s="53" t="s">
        <v>68</v>
      </c>
      <c r="AI69" s="53" t="s">
        <v>68</v>
      </c>
      <c r="AJ69" s="22"/>
      <c r="AL69" t="str">
        <f t="shared" ca="1" si="0"/>
        <v xml:space="preserve">    (U1)ALERT_REQ_H_SOCLOW_TT_PD_</v>
      </c>
      <c r="AR69" s="55" t="str">
        <f t="shared" si="3"/>
        <v/>
      </c>
      <c r="AS69" s="55" t="str">
        <f t="shared" si="4"/>
        <v/>
      </c>
      <c r="AT69" s="55" t="str">
        <f t="shared" si="1"/>
        <v/>
      </c>
    </row>
    <row r="70" spans="1:46" ht="14.25" thickBot="1">
      <c r="A70" s="48" t="s">
        <v>65</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26" t="str">
        <f ca="1">IF(B6&lt;&gt;"",B6,"")</f>
        <v>Table TT_PD</v>
      </c>
      <c r="C71" s="39">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39">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39" t="str">
        <f t="shared" si="7"/>
        <v>N_POS1</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N_POS1                                          */</v>
      </c>
    </row>
    <row r="73" spans="1:46">
      <c r="B73" s="124"/>
      <c r="C73" s="39">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39" t="str">
        <f t="shared" si="7"/>
        <v>N_POS2</v>
      </c>
      <c r="AK73" s="52"/>
      <c r="AL73" s="52" t="str">
        <f t="shared" si="10"/>
        <v>02</v>
      </c>
      <c r="AM73" s="54" t="str">
        <f t="shared" si="11"/>
        <v>00</v>
      </c>
      <c r="AN73" s="54" t="str">
        <f t="shared" si="12"/>
        <v>00</v>
      </c>
      <c r="AO73" s="54" t="str">
        <f t="shared" si="13"/>
        <v>00</v>
      </c>
      <c r="AQ73" t="str">
        <f t="shared" si="8"/>
        <v xml:space="preserve">    (U4)0x00000002U,                                                           /* 02 N_POS2                                          */</v>
      </c>
    </row>
    <row r="74" spans="1:46">
      <c r="B74" s="124"/>
      <c r="C74" s="39">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39" t="str">
        <f t="shared" si="7"/>
        <v>HV_OFF1</v>
      </c>
      <c r="AK74" s="52"/>
      <c r="AL74" s="52" t="str">
        <f t="shared" si="10"/>
        <v>03</v>
      </c>
      <c r="AM74" s="54" t="str">
        <f t="shared" si="11"/>
        <v>00</v>
      </c>
      <c r="AN74" s="54" t="str">
        <f t="shared" si="12"/>
        <v>00</v>
      </c>
      <c r="AO74" s="54" t="str">
        <f t="shared" si="13"/>
        <v>00</v>
      </c>
      <c r="AQ74" t="str">
        <f t="shared" si="8"/>
        <v xml:space="preserve">    (U4)0x00000003U,                                                           /* 03 HV_OFF1                                         */</v>
      </c>
    </row>
    <row r="75" spans="1:46">
      <c r="B75" s="124"/>
      <c r="C75" s="39">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39" t="str">
        <f t="shared" si="7"/>
        <v>HV_OFF2</v>
      </c>
      <c r="AK75" s="52"/>
      <c r="AL75" s="52" t="str">
        <f t="shared" si="10"/>
        <v>04</v>
      </c>
      <c r="AM75" s="54" t="str">
        <f t="shared" si="11"/>
        <v>00</v>
      </c>
      <c r="AN75" s="54" t="str">
        <f t="shared" si="12"/>
        <v>00</v>
      </c>
      <c r="AO75" s="54" t="str">
        <f t="shared" si="13"/>
        <v>00</v>
      </c>
      <c r="AQ75" t="str">
        <f t="shared" si="8"/>
        <v xml:space="preserve">    (U4)0x00000004U,                                                           /* 04 HV_OFF2                                         */</v>
      </c>
    </row>
    <row r="76" spans="1:46">
      <c r="B76" s="124"/>
      <c r="C76" s="39">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39" t="str">
        <f t="shared" si="7"/>
        <v>PRIMARY</v>
      </c>
      <c r="AK76" s="52"/>
      <c r="AL76" s="52" t="str">
        <f t="shared" si="10"/>
        <v>05</v>
      </c>
      <c r="AM76" s="54" t="str">
        <f t="shared" si="11"/>
        <v>00</v>
      </c>
      <c r="AN76" s="54" t="str">
        <f t="shared" si="12"/>
        <v>00</v>
      </c>
      <c r="AO76" s="54" t="str">
        <f t="shared" si="13"/>
        <v>00</v>
      </c>
      <c r="AQ76" t="str">
        <f t="shared" si="8"/>
        <v xml:space="preserve">    (U4)0x00000005U,                                                           /* 05 PRIMARY                                         */</v>
      </c>
    </row>
    <row r="77" spans="1:46">
      <c r="B77" s="124"/>
      <c r="C77" s="39">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39" t="str">
        <f t="shared" si="7"/>
        <v>UNKNOWN</v>
      </c>
      <c r="AK77" s="52"/>
      <c r="AL77" s="52" t="str">
        <f t="shared" si="10"/>
        <v>06</v>
      </c>
      <c r="AM77" s="54" t="str">
        <f t="shared" si="11"/>
        <v>00</v>
      </c>
      <c r="AN77" s="54" t="str">
        <f t="shared" si="12"/>
        <v>00</v>
      </c>
      <c r="AO77" s="54" t="str">
        <f t="shared" si="13"/>
        <v>00</v>
      </c>
      <c r="AQ77" t="str">
        <f t="shared" si="8"/>
        <v xml:space="preserve">    (U4)0x00000006U,                                                           /* 06 UNKNOWN                                         */</v>
      </c>
    </row>
    <row r="78" spans="1:46">
      <c r="B78" s="124"/>
      <c r="C78" s="39">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39" t="str">
        <f t="shared" si="7"/>
        <v>UNKNOWN</v>
      </c>
      <c r="AK78" s="52"/>
      <c r="AL78" s="52" t="str">
        <f t="shared" si="10"/>
        <v>07</v>
      </c>
      <c r="AM78" s="54" t="str">
        <f t="shared" si="11"/>
        <v>00</v>
      </c>
      <c r="AN78" s="54" t="str">
        <f t="shared" si="12"/>
        <v>00</v>
      </c>
      <c r="AO78" s="54" t="str">
        <f t="shared" si="13"/>
        <v>00</v>
      </c>
      <c r="AQ78" t="str">
        <f t="shared" si="8"/>
        <v xml:space="preserve">    (U4)0x00000007U,                                                           /* 07 UNKNOWN                                         */</v>
      </c>
    </row>
    <row r="79" spans="1:46">
      <c r="B79" s="124"/>
      <c r="C79" s="39">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39" t="str">
        <f t="shared" si="7"/>
        <v>UNKNOWN</v>
      </c>
      <c r="AK79" s="52"/>
      <c r="AL79" s="52" t="str">
        <f t="shared" si="10"/>
        <v>08</v>
      </c>
      <c r="AM79" s="54" t="str">
        <f t="shared" si="11"/>
        <v>00</v>
      </c>
      <c r="AN79" s="54" t="str">
        <f t="shared" si="12"/>
        <v>00</v>
      </c>
      <c r="AO79" s="54" t="str">
        <f t="shared" si="13"/>
        <v>00</v>
      </c>
      <c r="AQ79" t="str">
        <f t="shared" si="8"/>
        <v xml:space="preserve">    (U4)0x00000008U,                                                           /* 08 UNKNOWN                                         */</v>
      </c>
    </row>
    <row r="80" spans="1:46">
      <c r="B80" s="124"/>
      <c r="C80" s="39">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39" t="str">
        <f t="shared" si="7"/>
        <v>UNKNOWN</v>
      </c>
      <c r="AK80" s="52"/>
      <c r="AL80" s="52" t="str">
        <f t="shared" si="10"/>
        <v>09</v>
      </c>
      <c r="AM80" s="54" t="str">
        <f t="shared" si="11"/>
        <v>00</v>
      </c>
      <c r="AN80" s="54" t="str">
        <f t="shared" si="12"/>
        <v>00</v>
      </c>
      <c r="AO80" s="54" t="str">
        <f t="shared" si="13"/>
        <v>00</v>
      </c>
      <c r="AQ80" t="str">
        <f t="shared" si="8"/>
        <v xml:space="preserve">    (U4)0x00000009U,                                                           /* 09 UNKNOWN                                         */</v>
      </c>
    </row>
    <row r="81" spans="2:43">
      <c r="B81" s="124"/>
      <c r="C81" s="39">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39" t="str">
        <f t="shared" si="7"/>
        <v>UNKNOWN</v>
      </c>
      <c r="AK81" s="52"/>
      <c r="AL81" s="52" t="str">
        <f t="shared" si="10"/>
        <v>0A</v>
      </c>
      <c r="AM81" s="54" t="str">
        <f t="shared" si="11"/>
        <v>00</v>
      </c>
      <c r="AN81" s="54" t="str">
        <f t="shared" si="12"/>
        <v>00</v>
      </c>
      <c r="AO81" s="54" t="str">
        <f t="shared" si="13"/>
        <v>00</v>
      </c>
      <c r="AQ81" t="str">
        <f t="shared" si="8"/>
        <v xml:space="preserve">    (U4)0x0000000AU,                                                           /* 10 UNKNOWN                                         */</v>
      </c>
    </row>
    <row r="82" spans="2:43">
      <c r="B82" s="124"/>
      <c r="C82" s="39">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39" t="str">
        <f t="shared" si="7"/>
        <v>UNKNOWN</v>
      </c>
      <c r="AK82" s="52"/>
      <c r="AL82" s="52" t="str">
        <f t="shared" si="10"/>
        <v>0B</v>
      </c>
      <c r="AM82" s="54" t="str">
        <f t="shared" si="11"/>
        <v>00</v>
      </c>
      <c r="AN82" s="54" t="str">
        <f t="shared" si="12"/>
        <v>00</v>
      </c>
      <c r="AO82" s="54" t="str">
        <f t="shared" si="13"/>
        <v>00</v>
      </c>
      <c r="AQ82" t="str">
        <f t="shared" si="8"/>
        <v xml:space="preserve">    (U4)0x0000000BU,                                                           /* 11 UNKNOWN                                         */</v>
      </c>
    </row>
    <row r="83" spans="2:43">
      <c r="B83" s="124"/>
      <c r="C83" s="39">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39" t="str">
        <f t="shared" si="7"/>
        <v>UNKNOWN</v>
      </c>
      <c r="AK83" s="52"/>
      <c r="AL83" s="52" t="str">
        <f t="shared" si="10"/>
        <v>0C</v>
      </c>
      <c r="AM83" s="54" t="str">
        <f t="shared" si="11"/>
        <v>00</v>
      </c>
      <c r="AN83" s="54" t="str">
        <f t="shared" si="12"/>
        <v>00</v>
      </c>
      <c r="AO83" s="54" t="str">
        <f t="shared" si="13"/>
        <v>00</v>
      </c>
      <c r="AQ83" t="str">
        <f t="shared" si="8"/>
        <v xml:space="preserve">    (U4)0x0000000CU,                                                           /* 12 UNKNOWN                                         */</v>
      </c>
    </row>
    <row r="84" spans="2:43">
      <c r="B84" s="124"/>
      <c r="C84" s="39">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39" t="str">
        <f t="shared" si="7"/>
        <v>UNKNOWN</v>
      </c>
      <c r="AK84" s="52"/>
      <c r="AL84" s="52" t="str">
        <f t="shared" si="10"/>
        <v>0D</v>
      </c>
      <c r="AM84" s="54" t="str">
        <f t="shared" si="11"/>
        <v>00</v>
      </c>
      <c r="AN84" s="54" t="str">
        <f t="shared" si="12"/>
        <v>00</v>
      </c>
      <c r="AO84" s="54" t="str">
        <f t="shared" si="13"/>
        <v>00</v>
      </c>
      <c r="AQ84" t="str">
        <f t="shared" si="8"/>
        <v xml:space="preserve">    (U4)0x0000000DU,                                                           /* 13 UNKNOWN                                         */</v>
      </c>
    </row>
    <row r="85" spans="2:43">
      <c r="B85" s="124"/>
      <c r="C85" s="39">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39" t="str">
        <f t="shared" si="7"/>
        <v>UNKNOWN</v>
      </c>
      <c r="AK85" s="52"/>
      <c r="AL85" s="52" t="str">
        <f t="shared" si="10"/>
        <v>0E</v>
      </c>
      <c r="AM85" s="54" t="str">
        <f t="shared" si="11"/>
        <v>00</v>
      </c>
      <c r="AN85" s="54" t="str">
        <f t="shared" si="12"/>
        <v>00</v>
      </c>
      <c r="AO85" s="54" t="str">
        <f t="shared" si="13"/>
        <v>00</v>
      </c>
      <c r="AQ85" t="str">
        <f t="shared" si="8"/>
        <v xml:space="preserve">    (U4)0x0000000EU,                                                           /* 14 UNKNOWN                                         */</v>
      </c>
    </row>
    <row r="86" spans="2:43">
      <c r="B86" s="124"/>
      <c r="C86" s="39">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39" t="str">
        <f t="shared" si="7"/>
        <v>UNKNOWN</v>
      </c>
      <c r="AK86" s="52"/>
      <c r="AL86" s="52" t="str">
        <f t="shared" si="10"/>
        <v>0F</v>
      </c>
      <c r="AM86" s="54" t="str">
        <f t="shared" si="11"/>
        <v>00</v>
      </c>
      <c r="AN86" s="54" t="str">
        <f t="shared" si="12"/>
        <v>00</v>
      </c>
      <c r="AO86" s="54" t="str">
        <f t="shared" si="13"/>
        <v>00</v>
      </c>
      <c r="AQ86" t="str">
        <f t="shared" si="8"/>
        <v xml:space="preserve">    (U4)0x0000000FU                                                            /* 15 UNKNOWN                                         */</v>
      </c>
    </row>
    <row r="87" spans="2:43">
      <c r="B87" s="124"/>
      <c r="C87" s="39">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39" t="str">
        <f t="shared" si="7"/>
        <v/>
      </c>
      <c r="AK87" s="52"/>
      <c r="AL87" s="52" t="str">
        <f t="shared" si="10"/>
        <v>00</v>
      </c>
      <c r="AM87" s="54" t="str">
        <f t="shared" si="11"/>
        <v>00</v>
      </c>
      <c r="AN87" s="54" t="str">
        <f t="shared" si="12"/>
        <v>00</v>
      </c>
      <c r="AO87" s="54" t="str">
        <f t="shared" si="13"/>
        <v>00</v>
      </c>
      <c r="AQ87" t="str">
        <f t="shared" si="8"/>
        <v/>
      </c>
    </row>
    <row r="88" spans="2:43">
      <c r="B88" s="124"/>
      <c r="C88" s="39">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39" t="str">
        <f t="shared" si="7"/>
        <v/>
      </c>
      <c r="AK88" s="52"/>
      <c r="AL88" s="52" t="str">
        <f t="shared" si="10"/>
        <v>00</v>
      </c>
      <c r="AM88" s="54" t="str">
        <f t="shared" si="11"/>
        <v>00</v>
      </c>
      <c r="AN88" s="54" t="str">
        <f t="shared" si="12"/>
        <v>00</v>
      </c>
      <c r="AO88" s="54" t="str">
        <f t="shared" si="13"/>
        <v>00</v>
      </c>
      <c r="AQ88" t="str">
        <f t="shared" si="8"/>
        <v/>
      </c>
    </row>
    <row r="89" spans="2:43">
      <c r="B89" s="124"/>
      <c r="C89" s="39">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39" t="str">
        <f t="shared" si="7"/>
        <v/>
      </c>
      <c r="AK89" s="52"/>
      <c r="AL89" s="52" t="str">
        <f t="shared" si="10"/>
        <v>00</v>
      </c>
      <c r="AM89" s="54" t="str">
        <f t="shared" si="11"/>
        <v>00</v>
      </c>
      <c r="AN89" s="54" t="str">
        <f t="shared" si="12"/>
        <v>00</v>
      </c>
      <c r="AO89" s="54" t="str">
        <f t="shared" si="13"/>
        <v>00</v>
      </c>
      <c r="AQ89" t="str">
        <f t="shared" si="8"/>
        <v/>
      </c>
    </row>
    <row r="90" spans="2:43">
      <c r="B90" s="124"/>
      <c r="C90" s="39">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39" t="str">
        <f t="shared" si="7"/>
        <v/>
      </c>
      <c r="AK90" s="52"/>
      <c r="AL90" s="52" t="str">
        <f t="shared" si="10"/>
        <v>00</v>
      </c>
      <c r="AM90" s="54" t="str">
        <f t="shared" si="11"/>
        <v>00</v>
      </c>
      <c r="AN90" s="54" t="str">
        <f t="shared" si="12"/>
        <v>00</v>
      </c>
      <c r="AO90" s="54" t="str">
        <f t="shared" si="13"/>
        <v>00</v>
      </c>
      <c r="AQ90" t="str">
        <f t="shared" si="8"/>
        <v/>
      </c>
    </row>
    <row r="91" spans="2:43">
      <c r="B91" s="124"/>
      <c r="C91" s="39">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39" t="str">
        <f t="shared" si="7"/>
        <v/>
      </c>
      <c r="AK91" s="52"/>
      <c r="AL91" s="52" t="str">
        <f t="shared" si="10"/>
        <v>00</v>
      </c>
      <c r="AM91" s="54" t="str">
        <f t="shared" si="11"/>
        <v>00</v>
      </c>
      <c r="AN91" s="54" t="str">
        <f t="shared" si="12"/>
        <v>00</v>
      </c>
      <c r="AO91" s="54" t="str">
        <f t="shared" si="13"/>
        <v>00</v>
      </c>
      <c r="AQ91" t="str">
        <f t="shared" si="8"/>
        <v/>
      </c>
    </row>
    <row r="92" spans="2:43">
      <c r="B92" s="124"/>
      <c r="C92" s="39">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39" t="str">
        <f t="shared" si="7"/>
        <v/>
      </c>
      <c r="AK92" s="52"/>
      <c r="AL92" s="52" t="str">
        <f t="shared" si="10"/>
        <v>00</v>
      </c>
      <c r="AM92" s="54" t="str">
        <f t="shared" si="11"/>
        <v>00</v>
      </c>
      <c r="AN92" s="54" t="str">
        <f t="shared" si="12"/>
        <v>00</v>
      </c>
      <c r="AO92" s="54" t="str">
        <f t="shared" si="13"/>
        <v>00</v>
      </c>
      <c r="AQ92" t="str">
        <f t="shared" si="8"/>
        <v/>
      </c>
    </row>
    <row r="93" spans="2:43">
      <c r="B93" s="124"/>
      <c r="C93" s="39">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39" t="str">
        <f t="shared" si="7"/>
        <v/>
      </c>
      <c r="AK93" s="52"/>
      <c r="AL93" s="52" t="str">
        <f t="shared" si="10"/>
        <v>00</v>
      </c>
      <c r="AM93" s="54" t="str">
        <f t="shared" si="11"/>
        <v>00</v>
      </c>
      <c r="AN93" s="54" t="str">
        <f t="shared" si="12"/>
        <v>00</v>
      </c>
      <c r="AO93" s="54" t="str">
        <f t="shared" si="13"/>
        <v>00</v>
      </c>
      <c r="AQ93" t="str">
        <f t="shared" si="8"/>
        <v/>
      </c>
    </row>
    <row r="94" spans="2:43">
      <c r="B94" s="124"/>
      <c r="C94" s="39">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ref="AI94" si="18">IF(AI29=1,1,0)</f>
        <v>0</v>
      </c>
      <c r="AJ94" s="39" t="str">
        <f t="shared" si="7"/>
        <v/>
      </c>
      <c r="AK94" s="52"/>
      <c r="AL94" s="52" t="str">
        <f t="shared" si="10"/>
        <v>00</v>
      </c>
      <c r="AM94" s="54" t="str">
        <f t="shared" si="11"/>
        <v>00</v>
      </c>
      <c r="AN94" s="54" t="str">
        <f t="shared" si="12"/>
        <v>00</v>
      </c>
      <c r="AO94" s="54" t="str">
        <f t="shared" si="13"/>
        <v>00</v>
      </c>
      <c r="AQ94" t="str">
        <f t="shared" si="8"/>
        <v/>
      </c>
    </row>
    <row r="95" spans="2:43">
      <c r="B95" s="124"/>
      <c r="C95" s="39">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0</v>
      </c>
      <c r="AF95" s="117">
        <f t="shared" si="19"/>
        <v>0</v>
      </c>
      <c r="AG95" s="117">
        <f t="shared" si="19"/>
        <v>0</v>
      </c>
      <c r="AH95" s="117">
        <f t="shared" si="19"/>
        <v>0</v>
      </c>
      <c r="AI95" s="117">
        <f t="shared" si="19"/>
        <v>0</v>
      </c>
      <c r="AJ95" s="39" t="str">
        <f t="shared" si="7"/>
        <v/>
      </c>
      <c r="AK95" s="52"/>
      <c r="AL95" s="52" t="str">
        <f t="shared" si="10"/>
        <v>00</v>
      </c>
      <c r="AM95" s="54" t="str">
        <f t="shared" si="11"/>
        <v>00</v>
      </c>
      <c r="AN95" s="54" t="str">
        <f t="shared" si="12"/>
        <v>00</v>
      </c>
      <c r="AO95" s="54" t="str">
        <f t="shared" si="13"/>
        <v>00</v>
      </c>
      <c r="AQ95" t="str">
        <f t="shared" si="8"/>
        <v/>
      </c>
    </row>
    <row r="96" spans="2:43">
      <c r="B96" s="124"/>
      <c r="C96" s="39">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0</v>
      </c>
      <c r="AF96" s="117">
        <f t="shared" si="19"/>
        <v>0</v>
      </c>
      <c r="AG96" s="117">
        <f t="shared" si="19"/>
        <v>0</v>
      </c>
      <c r="AH96" s="117">
        <f t="shared" si="19"/>
        <v>0</v>
      </c>
      <c r="AI96" s="117">
        <f t="shared" si="19"/>
        <v>0</v>
      </c>
      <c r="AJ96" s="39" t="str">
        <f t="shared" si="7"/>
        <v/>
      </c>
      <c r="AK96" s="52"/>
      <c r="AL96" s="52" t="str">
        <f t="shared" si="10"/>
        <v>00</v>
      </c>
      <c r="AM96" s="54" t="str">
        <f t="shared" si="11"/>
        <v>00</v>
      </c>
      <c r="AN96" s="54" t="str">
        <f t="shared" si="12"/>
        <v>00</v>
      </c>
      <c r="AO96" s="54" t="str">
        <f t="shared" si="13"/>
        <v>00</v>
      </c>
      <c r="AQ96" t="str">
        <f t="shared" si="8"/>
        <v/>
      </c>
    </row>
    <row r="97" spans="2:43">
      <c r="B97" s="124"/>
      <c r="C97" s="39">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0</v>
      </c>
      <c r="AF97" s="117">
        <f t="shared" si="19"/>
        <v>0</v>
      </c>
      <c r="AG97" s="117">
        <f t="shared" si="19"/>
        <v>0</v>
      </c>
      <c r="AH97" s="117">
        <f t="shared" si="19"/>
        <v>0</v>
      </c>
      <c r="AI97" s="117">
        <f t="shared" si="19"/>
        <v>0</v>
      </c>
      <c r="AJ97" s="39" t="str">
        <f t="shared" si="7"/>
        <v/>
      </c>
      <c r="AK97" s="52"/>
      <c r="AL97" s="52" t="str">
        <f t="shared" si="10"/>
        <v>00</v>
      </c>
      <c r="AM97" s="54" t="str">
        <f t="shared" si="11"/>
        <v>00</v>
      </c>
      <c r="AN97" s="54" t="str">
        <f t="shared" si="12"/>
        <v>00</v>
      </c>
      <c r="AO97" s="54" t="str">
        <f t="shared" si="13"/>
        <v>00</v>
      </c>
      <c r="AQ97" t="str">
        <f t="shared" si="8"/>
        <v/>
      </c>
    </row>
    <row r="98" spans="2:43">
      <c r="B98" s="124"/>
      <c r="C98" s="39">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0</v>
      </c>
      <c r="AF98" s="117">
        <f t="shared" si="19"/>
        <v>0</v>
      </c>
      <c r="AG98" s="117">
        <f t="shared" si="19"/>
        <v>0</v>
      </c>
      <c r="AH98" s="117">
        <f t="shared" si="19"/>
        <v>0</v>
      </c>
      <c r="AI98" s="117">
        <f t="shared" si="19"/>
        <v>0</v>
      </c>
      <c r="AJ98" s="39" t="str">
        <f t="shared" si="7"/>
        <v/>
      </c>
      <c r="AK98" s="52"/>
      <c r="AL98" s="52" t="str">
        <f t="shared" si="10"/>
        <v>00</v>
      </c>
      <c r="AM98" s="54" t="str">
        <f t="shared" si="11"/>
        <v>00</v>
      </c>
      <c r="AN98" s="54" t="str">
        <f t="shared" si="12"/>
        <v>00</v>
      </c>
      <c r="AO98" s="54" t="str">
        <f t="shared" si="13"/>
        <v>00</v>
      </c>
      <c r="AQ98" t="str">
        <f t="shared" si="8"/>
        <v/>
      </c>
    </row>
    <row r="99" spans="2:43">
      <c r="B99" s="124"/>
      <c r="C99" s="39">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0</v>
      </c>
      <c r="AF99" s="117">
        <f t="shared" si="19"/>
        <v>0</v>
      </c>
      <c r="AG99" s="117">
        <f t="shared" si="19"/>
        <v>0</v>
      </c>
      <c r="AH99" s="117">
        <f t="shared" si="19"/>
        <v>0</v>
      </c>
      <c r="AI99" s="117">
        <f t="shared" si="19"/>
        <v>0</v>
      </c>
      <c r="AJ99" s="39" t="str">
        <f t="shared" si="7"/>
        <v/>
      </c>
      <c r="AK99" s="52"/>
      <c r="AL99" s="52" t="str">
        <f t="shared" si="10"/>
        <v>00</v>
      </c>
      <c r="AM99" s="54" t="str">
        <f t="shared" si="11"/>
        <v>00</v>
      </c>
      <c r="AN99" s="54" t="str">
        <f t="shared" si="12"/>
        <v>00</v>
      </c>
      <c r="AO99" s="54" t="str">
        <f t="shared" si="13"/>
        <v>00</v>
      </c>
      <c r="AQ99" t="str">
        <f t="shared" si="8"/>
        <v/>
      </c>
    </row>
    <row r="100" spans="2:43">
      <c r="B100" s="124"/>
      <c r="C100" s="39">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0</v>
      </c>
      <c r="AF100" s="117">
        <f t="shared" si="19"/>
        <v>0</v>
      </c>
      <c r="AG100" s="117">
        <f t="shared" si="19"/>
        <v>0</v>
      </c>
      <c r="AH100" s="117">
        <f t="shared" si="19"/>
        <v>0</v>
      </c>
      <c r="AI100" s="117">
        <f t="shared" si="19"/>
        <v>0</v>
      </c>
      <c r="AJ100" s="39" t="str">
        <f t="shared" si="7"/>
        <v/>
      </c>
      <c r="AK100" s="52"/>
      <c r="AL100" s="52" t="str">
        <f t="shared" si="10"/>
        <v>00</v>
      </c>
      <c r="AM100" s="54" t="str">
        <f t="shared" si="11"/>
        <v>00</v>
      </c>
      <c r="AN100" s="54" t="str">
        <f t="shared" si="12"/>
        <v>00</v>
      </c>
      <c r="AO100" s="54" t="str">
        <f t="shared" si="13"/>
        <v>00</v>
      </c>
      <c r="AQ100" t="str">
        <f t="shared" si="8"/>
        <v/>
      </c>
    </row>
    <row r="101" spans="2:43">
      <c r="B101" s="124"/>
      <c r="C101" s="39">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0</v>
      </c>
      <c r="AF101" s="117">
        <f t="shared" si="19"/>
        <v>0</v>
      </c>
      <c r="AG101" s="117">
        <f t="shared" si="19"/>
        <v>0</v>
      </c>
      <c r="AH101" s="117">
        <f t="shared" si="19"/>
        <v>0</v>
      </c>
      <c r="AI101" s="117">
        <f t="shared" si="19"/>
        <v>0</v>
      </c>
      <c r="AJ101" s="39" t="str">
        <f t="shared" si="7"/>
        <v/>
      </c>
      <c r="AK101" s="52"/>
      <c r="AL101" s="52" t="str">
        <f t="shared" si="10"/>
        <v>00</v>
      </c>
      <c r="AM101" s="54" t="str">
        <f t="shared" si="11"/>
        <v>00</v>
      </c>
      <c r="AN101" s="54" t="str">
        <f t="shared" si="12"/>
        <v>00</v>
      </c>
      <c r="AO101" s="54" t="str">
        <f t="shared" si="13"/>
        <v>00</v>
      </c>
      <c r="AQ101" t="str">
        <f t="shared" si="8"/>
        <v/>
      </c>
    </row>
    <row r="102" spans="2:43">
      <c r="B102" s="124"/>
      <c r="C102" s="39">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0</v>
      </c>
      <c r="AF102" s="117">
        <f t="shared" si="19"/>
        <v>0</v>
      </c>
      <c r="AG102" s="117">
        <f t="shared" si="19"/>
        <v>0</v>
      </c>
      <c r="AH102" s="117">
        <f t="shared" si="19"/>
        <v>0</v>
      </c>
      <c r="AI102" s="117">
        <f t="shared" ref="AI102" si="20">IF(AI37=1,1,0)</f>
        <v>0</v>
      </c>
      <c r="AJ102" s="39" t="str">
        <f t="shared" si="7"/>
        <v/>
      </c>
      <c r="AK102" s="52"/>
      <c r="AL102" s="52" t="str">
        <f t="shared" si="10"/>
        <v>00</v>
      </c>
      <c r="AM102" s="54" t="str">
        <f t="shared" si="11"/>
        <v>00</v>
      </c>
      <c r="AN102" s="54" t="str">
        <f t="shared" si="12"/>
        <v>00</v>
      </c>
      <c r="AO102" s="54" t="str">
        <f t="shared" si="13"/>
        <v>00</v>
      </c>
      <c r="AQ102" t="str">
        <f t="shared" si="8"/>
        <v/>
      </c>
    </row>
    <row r="103" spans="2:43">
      <c r="B103" s="124"/>
      <c r="C103" s="39">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4"/>
      <c r="C104" s="39">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4"/>
      <c r="C105" s="39">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4"/>
      <c r="C106" s="39">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4"/>
      <c r="C107" s="39">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4"/>
      <c r="C108" s="39">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4"/>
      <c r="C109" s="39">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4"/>
      <c r="C110" s="39">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4"/>
      <c r="C111" s="39">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4"/>
      <c r="C112" s="39">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4"/>
      <c r="C113" s="39">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4"/>
      <c r="C114" s="39">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4"/>
      <c r="C115" s="39">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4"/>
      <c r="C116" s="39">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4"/>
      <c r="C117" s="39">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4"/>
      <c r="C118" s="39">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4"/>
      <c r="C119" s="39">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4"/>
      <c r="C120" s="39">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4"/>
      <c r="C121" s="39">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4"/>
      <c r="C122" s="39">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4"/>
      <c r="C123" s="39">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4"/>
      <c r="C124" s="39">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4"/>
      <c r="C125" s="39">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4"/>
      <c r="C126" s="39">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4"/>
      <c r="C127" s="39">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4"/>
      <c r="C128" s="39">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4"/>
      <c r="C129" s="39">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4"/>
      <c r="C130" s="39">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4"/>
      <c r="C131" s="39">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4"/>
      <c r="C132" s="39">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4"/>
      <c r="C133" s="39">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25"/>
      <c r="C134" s="39">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66</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6" t="str">
        <f ca="1">IF(B6&lt;&gt;"",B6,"")</f>
        <v>Table TT_PD</v>
      </c>
      <c r="C136" s="39">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0</v>
      </c>
      <c r="AF136" s="117">
        <f t="shared" si="29"/>
        <v>1</v>
      </c>
      <c r="AG136" s="117">
        <f t="shared" si="29"/>
        <v>1</v>
      </c>
      <c r="AH136" s="117">
        <f t="shared" si="29"/>
        <v>1</v>
      </c>
      <c r="AI136" s="117">
        <f t="shared" si="29"/>
        <v>1</v>
      </c>
      <c r="AJ136" s="39" t="str">
        <f t="shared" ref="AJ136:AJ199" si="30">IF(AJ6&lt;&gt;"",AJ6,"")</f>
        <v>UNKNOWN</v>
      </c>
      <c r="AK136" s="52"/>
      <c r="AL136" s="52" t="str">
        <f>BIN2HEX(AB136&amp;AC136&amp;AD136&amp;AE136&amp;AF136&amp;AG136&amp;AH136&amp;AI136,2)</f>
        <v>0F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4"/>
      <c r="C137" s="39">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0</v>
      </c>
      <c r="AF137" s="117">
        <f t="shared" si="29"/>
        <v>1</v>
      </c>
      <c r="AG137" s="117">
        <f t="shared" si="29"/>
        <v>1</v>
      </c>
      <c r="AH137" s="117">
        <f t="shared" si="29"/>
        <v>1</v>
      </c>
      <c r="AI137" s="117">
        <f t="shared" si="29"/>
        <v>1</v>
      </c>
      <c r="AJ137" s="39" t="str">
        <f t="shared" si="30"/>
        <v>N_POS1</v>
      </c>
      <c r="AK137" s="52"/>
      <c r="AL137" s="52" t="str">
        <f t="shared" ref="AL137:AL199" si="33">BIN2HEX(AB137&amp;AC137&amp;AD137&amp;AE137&amp;AF137&amp;AG137&amp;AH137&amp;AI137,2)</f>
        <v>0F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(U4)0x0000000FU,                                                           /* 01 N_POS1                                          */</v>
      </c>
    </row>
    <row r="138" spans="1:43">
      <c r="B138" s="124"/>
      <c r="C138" s="39">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0</v>
      </c>
      <c r="AF138" s="117">
        <f t="shared" si="29"/>
        <v>1</v>
      </c>
      <c r="AG138" s="117">
        <f t="shared" si="29"/>
        <v>1</v>
      </c>
      <c r="AH138" s="117">
        <f t="shared" si="29"/>
        <v>1</v>
      </c>
      <c r="AI138" s="117">
        <f t="shared" si="29"/>
        <v>1</v>
      </c>
      <c r="AJ138" s="39" t="str">
        <f t="shared" si="30"/>
        <v>N_POS2</v>
      </c>
      <c r="AK138" s="52"/>
      <c r="AL138" s="52" t="str">
        <f t="shared" si="33"/>
        <v>0F</v>
      </c>
      <c r="AM138" s="54" t="str">
        <f t="shared" si="34"/>
        <v>00</v>
      </c>
      <c r="AN138" s="54" t="str">
        <f t="shared" si="35"/>
        <v>00</v>
      </c>
      <c r="AO138" s="54" t="str">
        <f t="shared" si="36"/>
        <v>00</v>
      </c>
      <c r="AQ138" t="str">
        <f t="shared" si="31"/>
        <v xml:space="preserve">    (U4)0x0000000FU,                                                           /* 02 N_POS2                                          */</v>
      </c>
    </row>
    <row r="139" spans="1:43">
      <c r="B139" s="124"/>
      <c r="C139" s="39">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0</v>
      </c>
      <c r="AF139" s="117">
        <f t="shared" si="29"/>
        <v>1</v>
      </c>
      <c r="AG139" s="117">
        <f t="shared" si="29"/>
        <v>1</v>
      </c>
      <c r="AH139" s="117">
        <f t="shared" si="29"/>
        <v>1</v>
      </c>
      <c r="AI139" s="117">
        <f t="shared" si="29"/>
        <v>1</v>
      </c>
      <c r="AJ139" s="39" t="str">
        <f t="shared" si="30"/>
        <v>HV_OFF1</v>
      </c>
      <c r="AK139" s="52"/>
      <c r="AL139" s="52" t="str">
        <f t="shared" si="33"/>
        <v>0F</v>
      </c>
      <c r="AM139" s="54" t="str">
        <f t="shared" si="34"/>
        <v>00</v>
      </c>
      <c r="AN139" s="54" t="str">
        <f t="shared" si="35"/>
        <v>00</v>
      </c>
      <c r="AO139" s="54" t="str">
        <f t="shared" si="36"/>
        <v>00</v>
      </c>
      <c r="AQ139" t="str">
        <f t="shared" si="31"/>
        <v xml:space="preserve">    (U4)0x0000000FU,                                                           /* 03 HV_OFF1                                         */</v>
      </c>
    </row>
    <row r="140" spans="1:43">
      <c r="B140" s="124"/>
      <c r="C140" s="39">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0</v>
      </c>
      <c r="AF140" s="117">
        <f t="shared" si="29"/>
        <v>1</v>
      </c>
      <c r="AG140" s="117">
        <f t="shared" si="29"/>
        <v>1</v>
      </c>
      <c r="AH140" s="117">
        <f t="shared" si="29"/>
        <v>1</v>
      </c>
      <c r="AI140" s="117">
        <f t="shared" si="29"/>
        <v>1</v>
      </c>
      <c r="AJ140" s="39" t="str">
        <f t="shared" si="30"/>
        <v>HV_OFF2</v>
      </c>
      <c r="AK140" s="52"/>
      <c r="AL140" s="52" t="str">
        <f t="shared" si="33"/>
        <v>0F</v>
      </c>
      <c r="AM140" s="54" t="str">
        <f t="shared" si="34"/>
        <v>00</v>
      </c>
      <c r="AN140" s="54" t="str">
        <f t="shared" si="35"/>
        <v>00</v>
      </c>
      <c r="AO140" s="54" t="str">
        <f t="shared" si="36"/>
        <v>00</v>
      </c>
      <c r="AQ140" t="str">
        <f t="shared" si="31"/>
        <v xml:space="preserve">    (U4)0x0000000FU,                                                           /* 04 HV_OFF2                                         */</v>
      </c>
    </row>
    <row r="141" spans="1:43">
      <c r="B141" s="124"/>
      <c r="C141" s="39">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0</v>
      </c>
      <c r="AF141" s="117">
        <f t="shared" si="29"/>
        <v>1</v>
      </c>
      <c r="AG141" s="117">
        <f t="shared" si="29"/>
        <v>1</v>
      </c>
      <c r="AH141" s="117">
        <f t="shared" si="29"/>
        <v>1</v>
      </c>
      <c r="AI141" s="117">
        <f t="shared" si="29"/>
        <v>1</v>
      </c>
      <c r="AJ141" s="39" t="str">
        <f t="shared" si="30"/>
        <v>PRIMARY</v>
      </c>
      <c r="AK141" s="52"/>
      <c r="AL141" s="52" t="str">
        <f t="shared" si="33"/>
        <v>0F</v>
      </c>
      <c r="AM141" s="54" t="str">
        <f t="shared" si="34"/>
        <v>00</v>
      </c>
      <c r="AN141" s="54" t="str">
        <f t="shared" si="35"/>
        <v>00</v>
      </c>
      <c r="AO141" s="54" t="str">
        <f t="shared" si="36"/>
        <v>00</v>
      </c>
      <c r="AQ141" t="str">
        <f t="shared" si="31"/>
        <v xml:space="preserve">    (U4)0x0000000FU,                                                           /* 05 PRIMARY                                         */</v>
      </c>
    </row>
    <row r="142" spans="1:43">
      <c r="B142" s="124"/>
      <c r="C142" s="39">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0</v>
      </c>
      <c r="AF142" s="117">
        <f t="shared" si="29"/>
        <v>1</v>
      </c>
      <c r="AG142" s="117">
        <f t="shared" si="29"/>
        <v>1</v>
      </c>
      <c r="AH142" s="117">
        <f t="shared" si="29"/>
        <v>1</v>
      </c>
      <c r="AI142" s="117">
        <f t="shared" si="29"/>
        <v>1</v>
      </c>
      <c r="AJ142" s="39" t="str">
        <f t="shared" si="30"/>
        <v>UNKNOWN</v>
      </c>
      <c r="AK142" s="52"/>
      <c r="AL142" s="52" t="str">
        <f t="shared" si="33"/>
        <v>0F</v>
      </c>
      <c r="AM142" s="54" t="str">
        <f t="shared" si="34"/>
        <v>00</v>
      </c>
      <c r="AN142" s="54" t="str">
        <f t="shared" si="35"/>
        <v>00</v>
      </c>
      <c r="AO142" s="54" t="str">
        <f t="shared" si="36"/>
        <v>00</v>
      </c>
      <c r="AQ142" t="str">
        <f t="shared" si="31"/>
        <v xml:space="preserve">    (U4)0x0000000FU,                                                           /* 06 UNKNOWN                                         */</v>
      </c>
    </row>
    <row r="143" spans="1:43">
      <c r="B143" s="124"/>
      <c r="C143" s="39">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0</v>
      </c>
      <c r="AF143" s="117">
        <f t="shared" si="29"/>
        <v>1</v>
      </c>
      <c r="AG143" s="117">
        <f t="shared" si="29"/>
        <v>1</v>
      </c>
      <c r="AH143" s="117">
        <f t="shared" si="29"/>
        <v>1</v>
      </c>
      <c r="AI143" s="117">
        <f t="shared" ref="AI143" si="37">IF(OR(AI13=0,AI13=1),1,0)</f>
        <v>1</v>
      </c>
      <c r="AJ143" s="39" t="str">
        <f t="shared" si="30"/>
        <v>UNKNOWN</v>
      </c>
      <c r="AK143" s="52"/>
      <c r="AL143" s="52" t="str">
        <f t="shared" si="33"/>
        <v>0F</v>
      </c>
      <c r="AM143" s="54" t="str">
        <f t="shared" si="34"/>
        <v>00</v>
      </c>
      <c r="AN143" s="54" t="str">
        <f t="shared" si="35"/>
        <v>00</v>
      </c>
      <c r="AO143" s="54" t="str">
        <f t="shared" si="36"/>
        <v>00</v>
      </c>
      <c r="AQ143" t="str">
        <f t="shared" si="31"/>
        <v xml:space="preserve">    (U4)0x0000000FU,                                                           /* 07 UNKNOWN                                         */</v>
      </c>
    </row>
    <row r="144" spans="1:43">
      <c r="B144" s="124"/>
      <c r="C144" s="39">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0</v>
      </c>
      <c r="AF144" s="117">
        <f t="shared" si="38"/>
        <v>1</v>
      </c>
      <c r="AG144" s="117">
        <f t="shared" si="38"/>
        <v>1</v>
      </c>
      <c r="AH144" s="117">
        <f t="shared" si="38"/>
        <v>1</v>
      </c>
      <c r="AI144" s="117">
        <f t="shared" si="38"/>
        <v>1</v>
      </c>
      <c r="AJ144" s="39" t="str">
        <f t="shared" si="30"/>
        <v>UNKNOWN</v>
      </c>
      <c r="AK144" s="52"/>
      <c r="AL144" s="52" t="str">
        <f t="shared" si="33"/>
        <v>0F</v>
      </c>
      <c r="AM144" s="54" t="str">
        <f t="shared" si="34"/>
        <v>00</v>
      </c>
      <c r="AN144" s="54" t="str">
        <f t="shared" si="35"/>
        <v>00</v>
      </c>
      <c r="AO144" s="54" t="str">
        <f t="shared" si="36"/>
        <v>00</v>
      </c>
      <c r="AQ144" t="str">
        <f t="shared" si="31"/>
        <v xml:space="preserve">    (U4)0x0000000FU,                                                           /* 08 UNKNOWN                                         */</v>
      </c>
    </row>
    <row r="145" spans="2:43">
      <c r="B145" s="124"/>
      <c r="C145" s="39">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0</v>
      </c>
      <c r="AF145" s="117">
        <f t="shared" si="38"/>
        <v>1</v>
      </c>
      <c r="AG145" s="117">
        <f t="shared" si="38"/>
        <v>1</v>
      </c>
      <c r="AH145" s="117">
        <f t="shared" si="38"/>
        <v>1</v>
      </c>
      <c r="AI145" s="117">
        <f t="shared" si="38"/>
        <v>1</v>
      </c>
      <c r="AJ145" s="39" t="str">
        <f t="shared" si="30"/>
        <v>UNKNOWN</v>
      </c>
      <c r="AK145" s="52"/>
      <c r="AL145" s="52" t="str">
        <f t="shared" si="33"/>
        <v>0F</v>
      </c>
      <c r="AM145" s="54" t="str">
        <f t="shared" si="34"/>
        <v>00</v>
      </c>
      <c r="AN145" s="54" t="str">
        <f t="shared" si="35"/>
        <v>00</v>
      </c>
      <c r="AO145" s="54" t="str">
        <f t="shared" si="36"/>
        <v>00</v>
      </c>
      <c r="AQ145" t="str">
        <f t="shared" si="31"/>
        <v xml:space="preserve">    (U4)0x0000000FU,                                                           /* 09 UNKNOWN                                         */</v>
      </c>
    </row>
    <row r="146" spans="2:43">
      <c r="B146" s="124"/>
      <c r="C146" s="39">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0</v>
      </c>
      <c r="AF146" s="117">
        <f t="shared" si="38"/>
        <v>1</v>
      </c>
      <c r="AG146" s="117">
        <f t="shared" si="38"/>
        <v>1</v>
      </c>
      <c r="AH146" s="117">
        <f t="shared" si="38"/>
        <v>1</v>
      </c>
      <c r="AI146" s="117">
        <f t="shared" si="38"/>
        <v>1</v>
      </c>
      <c r="AJ146" s="39" t="str">
        <f t="shared" si="30"/>
        <v>UNKNOWN</v>
      </c>
      <c r="AK146" s="52"/>
      <c r="AL146" s="52" t="str">
        <f t="shared" si="33"/>
        <v>0F</v>
      </c>
      <c r="AM146" s="54" t="str">
        <f t="shared" si="34"/>
        <v>00</v>
      </c>
      <c r="AN146" s="54" t="str">
        <f t="shared" si="35"/>
        <v>00</v>
      </c>
      <c r="AO146" s="54" t="str">
        <f t="shared" si="36"/>
        <v>00</v>
      </c>
      <c r="AQ146" t="str">
        <f t="shared" si="31"/>
        <v xml:space="preserve">    (U4)0x0000000FU,                                                           /* 10 UNKNOWN                                         */</v>
      </c>
    </row>
    <row r="147" spans="2:43">
      <c r="B147" s="124"/>
      <c r="C147" s="39">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0</v>
      </c>
      <c r="AF147" s="117">
        <f t="shared" si="38"/>
        <v>1</v>
      </c>
      <c r="AG147" s="117">
        <f t="shared" si="38"/>
        <v>1</v>
      </c>
      <c r="AH147" s="117">
        <f t="shared" si="38"/>
        <v>1</v>
      </c>
      <c r="AI147" s="117">
        <f t="shared" si="38"/>
        <v>1</v>
      </c>
      <c r="AJ147" s="39" t="str">
        <f t="shared" si="30"/>
        <v>UNKNOWN</v>
      </c>
      <c r="AK147" s="52"/>
      <c r="AL147" s="52" t="str">
        <f t="shared" si="33"/>
        <v>0F</v>
      </c>
      <c r="AM147" s="54" t="str">
        <f t="shared" si="34"/>
        <v>00</v>
      </c>
      <c r="AN147" s="54" t="str">
        <f t="shared" si="35"/>
        <v>00</v>
      </c>
      <c r="AO147" s="54" t="str">
        <f t="shared" si="36"/>
        <v>00</v>
      </c>
      <c r="AQ147" t="str">
        <f t="shared" si="31"/>
        <v xml:space="preserve">    (U4)0x0000000FU,                                                           /* 11 UNKNOWN                                         */</v>
      </c>
    </row>
    <row r="148" spans="2:43">
      <c r="B148" s="124"/>
      <c r="C148" s="39">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0</v>
      </c>
      <c r="AF148" s="117">
        <f t="shared" si="38"/>
        <v>1</v>
      </c>
      <c r="AG148" s="117">
        <f t="shared" si="38"/>
        <v>1</v>
      </c>
      <c r="AH148" s="117">
        <f t="shared" si="38"/>
        <v>1</v>
      </c>
      <c r="AI148" s="117">
        <f t="shared" si="38"/>
        <v>1</v>
      </c>
      <c r="AJ148" s="39" t="str">
        <f t="shared" si="30"/>
        <v>UNKNOWN</v>
      </c>
      <c r="AK148" s="52"/>
      <c r="AL148" s="52" t="str">
        <f t="shared" si="33"/>
        <v>0F</v>
      </c>
      <c r="AM148" s="54" t="str">
        <f t="shared" si="34"/>
        <v>00</v>
      </c>
      <c r="AN148" s="54" t="str">
        <f t="shared" si="35"/>
        <v>00</v>
      </c>
      <c r="AO148" s="54" t="str">
        <f t="shared" si="36"/>
        <v>00</v>
      </c>
      <c r="AQ148" t="str">
        <f t="shared" si="31"/>
        <v xml:space="preserve">    (U4)0x0000000FU,                                                           /* 12 UNKNOWN                                         */</v>
      </c>
    </row>
    <row r="149" spans="2:43">
      <c r="B149" s="124"/>
      <c r="C149" s="39">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0</v>
      </c>
      <c r="AF149" s="117">
        <f t="shared" si="38"/>
        <v>1</v>
      </c>
      <c r="AG149" s="117">
        <f t="shared" si="38"/>
        <v>1</v>
      </c>
      <c r="AH149" s="117">
        <f t="shared" si="38"/>
        <v>1</v>
      </c>
      <c r="AI149" s="117">
        <f t="shared" si="38"/>
        <v>1</v>
      </c>
      <c r="AJ149" s="39" t="str">
        <f t="shared" si="30"/>
        <v>UNKNOWN</v>
      </c>
      <c r="AK149" s="52"/>
      <c r="AL149" s="52" t="str">
        <f t="shared" si="33"/>
        <v>0F</v>
      </c>
      <c r="AM149" s="54" t="str">
        <f t="shared" si="34"/>
        <v>00</v>
      </c>
      <c r="AN149" s="54" t="str">
        <f t="shared" si="35"/>
        <v>00</v>
      </c>
      <c r="AO149" s="54" t="str">
        <f t="shared" si="36"/>
        <v>00</v>
      </c>
      <c r="AQ149" t="str">
        <f t="shared" si="31"/>
        <v xml:space="preserve">    (U4)0x0000000FU,                                                           /* 13 UNKNOWN                                         */</v>
      </c>
    </row>
    <row r="150" spans="2:43">
      <c r="B150" s="124"/>
      <c r="C150" s="39">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0</v>
      </c>
      <c r="AF150" s="117">
        <f t="shared" si="38"/>
        <v>1</v>
      </c>
      <c r="AG150" s="117">
        <f t="shared" si="38"/>
        <v>1</v>
      </c>
      <c r="AH150" s="117">
        <f t="shared" si="38"/>
        <v>1</v>
      </c>
      <c r="AI150" s="117">
        <f t="shared" si="38"/>
        <v>1</v>
      </c>
      <c r="AJ150" s="39" t="str">
        <f t="shared" si="30"/>
        <v>UNKNOWN</v>
      </c>
      <c r="AK150" s="52"/>
      <c r="AL150" s="52" t="str">
        <f t="shared" si="33"/>
        <v>0F</v>
      </c>
      <c r="AM150" s="54" t="str">
        <f t="shared" si="34"/>
        <v>00</v>
      </c>
      <c r="AN150" s="54" t="str">
        <f t="shared" si="35"/>
        <v>00</v>
      </c>
      <c r="AO150" s="54" t="str">
        <f t="shared" si="36"/>
        <v>00</v>
      </c>
      <c r="AQ150" t="str">
        <f t="shared" si="31"/>
        <v xml:space="preserve">    (U4)0x0000000FU,                                                           /* 14 UNKNOWN                                         */</v>
      </c>
    </row>
    <row r="151" spans="2:43">
      <c r="B151" s="124"/>
      <c r="C151" s="39">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0</v>
      </c>
      <c r="AF151" s="117">
        <f t="shared" si="38"/>
        <v>1</v>
      </c>
      <c r="AG151" s="117">
        <f t="shared" si="38"/>
        <v>1</v>
      </c>
      <c r="AH151" s="117">
        <f t="shared" si="38"/>
        <v>1</v>
      </c>
      <c r="AI151" s="117">
        <f t="shared" ref="AI151" si="39">IF(OR(AI21=0,AI21=1),1,0)</f>
        <v>1</v>
      </c>
      <c r="AJ151" s="39" t="str">
        <f t="shared" si="30"/>
        <v>UNKNOWN</v>
      </c>
      <c r="AK151" s="52"/>
      <c r="AL151" s="52" t="str">
        <f t="shared" si="33"/>
        <v>0F</v>
      </c>
      <c r="AM151" s="54" t="str">
        <f t="shared" si="34"/>
        <v>00</v>
      </c>
      <c r="AN151" s="54" t="str">
        <f t="shared" si="35"/>
        <v>00</v>
      </c>
      <c r="AO151" s="54" t="str">
        <f t="shared" si="36"/>
        <v>00</v>
      </c>
      <c r="AQ151" t="str">
        <f t="shared" si="31"/>
        <v xml:space="preserve">    (U4)0x0000000FU                                                            /* 15 UNKNOWN                                         */</v>
      </c>
    </row>
    <row r="152" spans="2:43">
      <c r="B152" s="124"/>
      <c r="C152" s="39">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0</v>
      </c>
      <c r="AF152" s="117">
        <f t="shared" si="40"/>
        <v>0</v>
      </c>
      <c r="AG152" s="117">
        <f t="shared" si="40"/>
        <v>0</v>
      </c>
      <c r="AH152" s="117">
        <f t="shared" si="40"/>
        <v>0</v>
      </c>
      <c r="AI152" s="117">
        <f t="shared" si="40"/>
        <v>0</v>
      </c>
      <c r="AJ152" s="39" t="str">
        <f t="shared" si="30"/>
        <v/>
      </c>
      <c r="AK152" s="52"/>
      <c r="AL152" s="52" t="str">
        <f t="shared" si="33"/>
        <v>00</v>
      </c>
      <c r="AM152" s="54" t="str">
        <f t="shared" si="34"/>
        <v>00</v>
      </c>
      <c r="AN152" s="54" t="str">
        <f t="shared" si="35"/>
        <v>00</v>
      </c>
      <c r="AO152" s="54" t="str">
        <f t="shared" si="36"/>
        <v>00</v>
      </c>
      <c r="AQ152" t="str">
        <f t="shared" si="31"/>
        <v/>
      </c>
    </row>
    <row r="153" spans="2:43">
      <c r="B153" s="124"/>
      <c r="C153" s="39">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0</v>
      </c>
      <c r="AF153" s="117">
        <f t="shared" si="40"/>
        <v>0</v>
      </c>
      <c r="AG153" s="117">
        <f t="shared" si="40"/>
        <v>0</v>
      </c>
      <c r="AH153" s="117">
        <f t="shared" si="40"/>
        <v>0</v>
      </c>
      <c r="AI153" s="117">
        <f t="shared" si="40"/>
        <v>0</v>
      </c>
      <c r="AJ153" s="39" t="str">
        <f t="shared" si="30"/>
        <v/>
      </c>
      <c r="AK153" s="52"/>
      <c r="AL153" s="52" t="str">
        <f t="shared" si="33"/>
        <v>00</v>
      </c>
      <c r="AM153" s="54" t="str">
        <f t="shared" si="34"/>
        <v>00</v>
      </c>
      <c r="AN153" s="54" t="str">
        <f t="shared" si="35"/>
        <v>00</v>
      </c>
      <c r="AO153" s="54" t="str">
        <f t="shared" si="36"/>
        <v>00</v>
      </c>
      <c r="AQ153" t="str">
        <f t="shared" si="31"/>
        <v/>
      </c>
    </row>
    <row r="154" spans="2:43">
      <c r="B154" s="124"/>
      <c r="C154" s="39">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0</v>
      </c>
      <c r="AF154" s="117">
        <f t="shared" si="40"/>
        <v>0</v>
      </c>
      <c r="AG154" s="117">
        <f t="shared" si="40"/>
        <v>0</v>
      </c>
      <c r="AH154" s="117">
        <f t="shared" si="40"/>
        <v>0</v>
      </c>
      <c r="AI154" s="117">
        <f t="shared" si="40"/>
        <v>0</v>
      </c>
      <c r="AJ154" s="39" t="str">
        <f t="shared" si="30"/>
        <v/>
      </c>
      <c r="AK154" s="52"/>
      <c r="AL154" s="52" t="str">
        <f t="shared" si="33"/>
        <v>00</v>
      </c>
      <c r="AM154" s="54" t="str">
        <f t="shared" si="34"/>
        <v>00</v>
      </c>
      <c r="AN154" s="54" t="str">
        <f t="shared" si="35"/>
        <v>00</v>
      </c>
      <c r="AO154" s="54" t="str">
        <f t="shared" si="36"/>
        <v>00</v>
      </c>
      <c r="AQ154" t="str">
        <f t="shared" si="31"/>
        <v/>
      </c>
    </row>
    <row r="155" spans="2:43">
      <c r="B155" s="124"/>
      <c r="C155" s="39">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0</v>
      </c>
      <c r="AF155" s="117">
        <f t="shared" si="40"/>
        <v>0</v>
      </c>
      <c r="AG155" s="117">
        <f t="shared" si="40"/>
        <v>0</v>
      </c>
      <c r="AH155" s="117">
        <f t="shared" si="40"/>
        <v>0</v>
      </c>
      <c r="AI155" s="117">
        <f t="shared" si="40"/>
        <v>0</v>
      </c>
      <c r="AJ155" s="39" t="str">
        <f t="shared" si="30"/>
        <v/>
      </c>
      <c r="AK155" s="52"/>
      <c r="AL155" s="52" t="str">
        <f t="shared" si="33"/>
        <v>00</v>
      </c>
      <c r="AM155" s="54" t="str">
        <f t="shared" si="34"/>
        <v>00</v>
      </c>
      <c r="AN155" s="54" t="str">
        <f t="shared" si="35"/>
        <v>00</v>
      </c>
      <c r="AO155" s="54" t="str">
        <f t="shared" si="36"/>
        <v>00</v>
      </c>
      <c r="AQ155" t="str">
        <f t="shared" si="31"/>
        <v/>
      </c>
    </row>
    <row r="156" spans="2:43">
      <c r="B156" s="124"/>
      <c r="C156" s="39">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0</v>
      </c>
      <c r="AF156" s="117">
        <f t="shared" si="40"/>
        <v>0</v>
      </c>
      <c r="AG156" s="117">
        <f t="shared" si="40"/>
        <v>0</v>
      </c>
      <c r="AH156" s="117">
        <f t="shared" si="40"/>
        <v>0</v>
      </c>
      <c r="AI156" s="117">
        <f t="shared" si="40"/>
        <v>0</v>
      </c>
      <c r="AJ156" s="39" t="str">
        <f t="shared" si="30"/>
        <v/>
      </c>
      <c r="AK156" s="52"/>
      <c r="AL156" s="52" t="str">
        <f t="shared" si="33"/>
        <v>00</v>
      </c>
      <c r="AM156" s="54" t="str">
        <f t="shared" si="34"/>
        <v>00</v>
      </c>
      <c r="AN156" s="54" t="str">
        <f t="shared" si="35"/>
        <v>00</v>
      </c>
      <c r="AO156" s="54" t="str">
        <f t="shared" si="36"/>
        <v>00</v>
      </c>
      <c r="AQ156" t="str">
        <f t="shared" si="31"/>
        <v/>
      </c>
    </row>
    <row r="157" spans="2:43">
      <c r="B157" s="124"/>
      <c r="C157" s="39">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0</v>
      </c>
      <c r="AF157" s="117">
        <f t="shared" si="40"/>
        <v>0</v>
      </c>
      <c r="AG157" s="117">
        <f t="shared" si="40"/>
        <v>0</v>
      </c>
      <c r="AH157" s="117">
        <f t="shared" si="40"/>
        <v>0</v>
      </c>
      <c r="AI157" s="117">
        <f t="shared" si="40"/>
        <v>0</v>
      </c>
      <c r="AJ157" s="39" t="str">
        <f t="shared" si="30"/>
        <v/>
      </c>
      <c r="AK157" s="52"/>
      <c r="AL157" s="52" t="str">
        <f t="shared" si="33"/>
        <v>00</v>
      </c>
      <c r="AM157" s="54" t="str">
        <f t="shared" si="34"/>
        <v>00</v>
      </c>
      <c r="AN157" s="54" t="str">
        <f t="shared" si="35"/>
        <v>00</v>
      </c>
      <c r="AO157" s="54" t="str">
        <f t="shared" si="36"/>
        <v>00</v>
      </c>
      <c r="AQ157" t="str">
        <f t="shared" si="31"/>
        <v/>
      </c>
    </row>
    <row r="158" spans="2:43">
      <c r="B158" s="124"/>
      <c r="C158" s="39">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0</v>
      </c>
      <c r="AF158" s="117">
        <f t="shared" si="40"/>
        <v>0</v>
      </c>
      <c r="AG158" s="117">
        <f t="shared" si="40"/>
        <v>0</v>
      </c>
      <c r="AH158" s="117">
        <f t="shared" si="40"/>
        <v>0</v>
      </c>
      <c r="AI158" s="117">
        <f t="shared" si="40"/>
        <v>0</v>
      </c>
      <c r="AJ158" s="39" t="str">
        <f t="shared" si="30"/>
        <v/>
      </c>
      <c r="AK158" s="52"/>
      <c r="AL158" s="52" t="str">
        <f t="shared" si="33"/>
        <v>00</v>
      </c>
      <c r="AM158" s="54" t="str">
        <f t="shared" si="34"/>
        <v>00</v>
      </c>
      <c r="AN158" s="54" t="str">
        <f t="shared" si="35"/>
        <v>00</v>
      </c>
      <c r="AO158" s="54" t="str">
        <f t="shared" si="36"/>
        <v>00</v>
      </c>
      <c r="AQ158" t="str">
        <f t="shared" si="31"/>
        <v/>
      </c>
    </row>
    <row r="159" spans="2:43">
      <c r="B159" s="124"/>
      <c r="C159" s="39">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0</v>
      </c>
      <c r="AF159" s="117">
        <f t="shared" si="40"/>
        <v>0</v>
      </c>
      <c r="AG159" s="117">
        <f t="shared" si="40"/>
        <v>0</v>
      </c>
      <c r="AH159" s="117">
        <f t="shared" si="40"/>
        <v>0</v>
      </c>
      <c r="AI159" s="117">
        <f t="shared" ref="AI159" si="41">IF(OR(AI29=0,AI29=1),1,0)</f>
        <v>0</v>
      </c>
      <c r="AJ159" s="39" t="str">
        <f t="shared" si="30"/>
        <v/>
      </c>
      <c r="AK159" s="52"/>
      <c r="AL159" s="52" t="str">
        <f t="shared" si="33"/>
        <v>00</v>
      </c>
      <c r="AM159" s="54" t="str">
        <f t="shared" si="34"/>
        <v>00</v>
      </c>
      <c r="AN159" s="54" t="str">
        <f t="shared" si="35"/>
        <v>00</v>
      </c>
      <c r="AO159" s="54" t="str">
        <f t="shared" si="36"/>
        <v>00</v>
      </c>
      <c r="AQ159" t="str">
        <f t="shared" si="31"/>
        <v/>
      </c>
    </row>
    <row r="160" spans="2:43">
      <c r="B160" s="124"/>
      <c r="C160" s="39">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0</v>
      </c>
      <c r="AF160" s="117">
        <f t="shared" si="42"/>
        <v>0</v>
      </c>
      <c r="AG160" s="117">
        <f t="shared" si="42"/>
        <v>0</v>
      </c>
      <c r="AH160" s="117">
        <f t="shared" si="42"/>
        <v>0</v>
      </c>
      <c r="AI160" s="117">
        <f t="shared" si="42"/>
        <v>0</v>
      </c>
      <c r="AJ160" s="39" t="str">
        <f t="shared" si="30"/>
        <v/>
      </c>
      <c r="AK160" s="52"/>
      <c r="AL160" s="52" t="str">
        <f t="shared" si="33"/>
        <v>00</v>
      </c>
      <c r="AM160" s="54" t="str">
        <f t="shared" si="34"/>
        <v>00</v>
      </c>
      <c r="AN160" s="54" t="str">
        <f t="shared" si="35"/>
        <v>00</v>
      </c>
      <c r="AO160" s="54" t="str">
        <f t="shared" si="36"/>
        <v>00</v>
      </c>
      <c r="AQ160" t="str">
        <f t="shared" si="31"/>
        <v/>
      </c>
    </row>
    <row r="161" spans="2:43">
      <c r="B161" s="124"/>
      <c r="C161" s="39">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0</v>
      </c>
      <c r="AF161" s="117">
        <f t="shared" si="42"/>
        <v>0</v>
      </c>
      <c r="AG161" s="117">
        <f t="shared" si="42"/>
        <v>0</v>
      </c>
      <c r="AH161" s="117">
        <f t="shared" si="42"/>
        <v>0</v>
      </c>
      <c r="AI161" s="117">
        <f t="shared" si="42"/>
        <v>0</v>
      </c>
      <c r="AJ161" s="39" t="str">
        <f t="shared" si="30"/>
        <v/>
      </c>
      <c r="AK161" s="52"/>
      <c r="AL161" s="52" t="str">
        <f t="shared" si="33"/>
        <v>00</v>
      </c>
      <c r="AM161" s="54" t="str">
        <f t="shared" si="34"/>
        <v>00</v>
      </c>
      <c r="AN161" s="54" t="str">
        <f t="shared" si="35"/>
        <v>00</v>
      </c>
      <c r="AO161" s="54" t="str">
        <f t="shared" si="36"/>
        <v>00</v>
      </c>
      <c r="AQ161" t="str">
        <f t="shared" si="31"/>
        <v/>
      </c>
    </row>
    <row r="162" spans="2:43">
      <c r="B162" s="124"/>
      <c r="C162" s="39">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0</v>
      </c>
      <c r="AF162" s="117">
        <f t="shared" si="42"/>
        <v>0</v>
      </c>
      <c r="AG162" s="117">
        <f t="shared" si="42"/>
        <v>0</v>
      </c>
      <c r="AH162" s="117">
        <f t="shared" si="42"/>
        <v>0</v>
      </c>
      <c r="AI162" s="117">
        <f t="shared" si="42"/>
        <v>0</v>
      </c>
      <c r="AJ162" s="39" t="str">
        <f t="shared" si="30"/>
        <v/>
      </c>
      <c r="AK162" s="52"/>
      <c r="AL162" s="52" t="str">
        <f t="shared" si="33"/>
        <v>00</v>
      </c>
      <c r="AM162" s="54" t="str">
        <f t="shared" si="34"/>
        <v>00</v>
      </c>
      <c r="AN162" s="54" t="str">
        <f t="shared" si="35"/>
        <v>00</v>
      </c>
      <c r="AO162" s="54" t="str">
        <f t="shared" si="36"/>
        <v>00</v>
      </c>
      <c r="AQ162" t="str">
        <f t="shared" si="31"/>
        <v/>
      </c>
    </row>
    <row r="163" spans="2:43">
      <c r="B163" s="124"/>
      <c r="C163" s="39">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0</v>
      </c>
      <c r="AF163" s="117">
        <f t="shared" si="42"/>
        <v>0</v>
      </c>
      <c r="AG163" s="117">
        <f t="shared" si="42"/>
        <v>0</v>
      </c>
      <c r="AH163" s="117">
        <f t="shared" si="42"/>
        <v>0</v>
      </c>
      <c r="AI163" s="117">
        <f t="shared" si="42"/>
        <v>0</v>
      </c>
      <c r="AJ163" s="39" t="str">
        <f t="shared" si="30"/>
        <v/>
      </c>
      <c r="AK163" s="52"/>
      <c r="AL163" s="52" t="str">
        <f t="shared" si="33"/>
        <v>00</v>
      </c>
      <c r="AM163" s="54" t="str">
        <f t="shared" si="34"/>
        <v>00</v>
      </c>
      <c r="AN163" s="54" t="str">
        <f t="shared" si="35"/>
        <v>00</v>
      </c>
      <c r="AO163" s="54" t="str">
        <f t="shared" si="36"/>
        <v>00</v>
      </c>
      <c r="AQ163" t="str">
        <f t="shared" si="31"/>
        <v/>
      </c>
    </row>
    <row r="164" spans="2:43">
      <c r="B164" s="124"/>
      <c r="C164" s="39">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0</v>
      </c>
      <c r="AF164" s="117">
        <f t="shared" si="42"/>
        <v>0</v>
      </c>
      <c r="AG164" s="117">
        <f t="shared" si="42"/>
        <v>0</v>
      </c>
      <c r="AH164" s="117">
        <f t="shared" si="42"/>
        <v>0</v>
      </c>
      <c r="AI164" s="117">
        <f t="shared" si="42"/>
        <v>0</v>
      </c>
      <c r="AJ164" s="39" t="str">
        <f t="shared" si="30"/>
        <v/>
      </c>
      <c r="AK164" s="52"/>
      <c r="AL164" s="52" t="str">
        <f t="shared" si="33"/>
        <v>00</v>
      </c>
      <c r="AM164" s="54" t="str">
        <f t="shared" si="34"/>
        <v>00</v>
      </c>
      <c r="AN164" s="54" t="str">
        <f t="shared" si="35"/>
        <v>00</v>
      </c>
      <c r="AO164" s="54" t="str">
        <f t="shared" si="36"/>
        <v>00</v>
      </c>
      <c r="AQ164" t="str">
        <f t="shared" si="31"/>
        <v/>
      </c>
    </row>
    <row r="165" spans="2:43">
      <c r="B165" s="124"/>
      <c r="C165" s="39">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0</v>
      </c>
      <c r="AF165" s="117">
        <f t="shared" si="42"/>
        <v>0</v>
      </c>
      <c r="AG165" s="117">
        <f t="shared" si="42"/>
        <v>0</v>
      </c>
      <c r="AH165" s="117">
        <f t="shared" si="42"/>
        <v>0</v>
      </c>
      <c r="AI165" s="117">
        <f t="shared" si="42"/>
        <v>0</v>
      </c>
      <c r="AJ165" s="39" t="str">
        <f t="shared" si="30"/>
        <v/>
      </c>
      <c r="AK165" s="52"/>
      <c r="AL165" s="52" t="str">
        <f t="shared" si="33"/>
        <v>00</v>
      </c>
      <c r="AM165" s="54" t="str">
        <f t="shared" si="34"/>
        <v>00</v>
      </c>
      <c r="AN165" s="54" t="str">
        <f t="shared" si="35"/>
        <v>00</v>
      </c>
      <c r="AO165" s="54" t="str">
        <f t="shared" si="36"/>
        <v>00</v>
      </c>
      <c r="AQ165" t="str">
        <f t="shared" si="31"/>
        <v/>
      </c>
    </row>
    <row r="166" spans="2:43">
      <c r="B166" s="124"/>
      <c r="C166" s="39">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0</v>
      </c>
      <c r="AF166" s="117">
        <f t="shared" si="42"/>
        <v>0</v>
      </c>
      <c r="AG166" s="117">
        <f t="shared" si="42"/>
        <v>0</v>
      </c>
      <c r="AH166" s="117">
        <f t="shared" si="42"/>
        <v>0</v>
      </c>
      <c r="AI166" s="117">
        <f t="shared" si="42"/>
        <v>0</v>
      </c>
      <c r="AJ166" s="39" t="str">
        <f t="shared" si="30"/>
        <v/>
      </c>
      <c r="AK166" s="52"/>
      <c r="AL166" s="52" t="str">
        <f t="shared" si="33"/>
        <v>00</v>
      </c>
      <c r="AM166" s="54" t="str">
        <f t="shared" si="34"/>
        <v>00</v>
      </c>
      <c r="AN166" s="54" t="str">
        <f t="shared" si="35"/>
        <v>00</v>
      </c>
      <c r="AO166" s="54" t="str">
        <f t="shared" si="36"/>
        <v>00</v>
      </c>
      <c r="AQ166" t="str">
        <f t="shared" si="31"/>
        <v/>
      </c>
    </row>
    <row r="167" spans="2:43">
      <c r="B167" s="124"/>
      <c r="C167" s="39">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0</v>
      </c>
      <c r="AF167" s="117">
        <f t="shared" si="42"/>
        <v>0</v>
      </c>
      <c r="AG167" s="117">
        <f t="shared" si="42"/>
        <v>0</v>
      </c>
      <c r="AH167" s="117">
        <f t="shared" si="42"/>
        <v>0</v>
      </c>
      <c r="AI167" s="117">
        <f t="shared" ref="AI167" si="43">IF(OR(AI37=0,AI37=1),1,0)</f>
        <v>0</v>
      </c>
      <c r="AJ167" s="39" t="str">
        <f t="shared" si="30"/>
        <v/>
      </c>
      <c r="AK167" s="52"/>
      <c r="AL167" s="52" t="str">
        <f t="shared" si="33"/>
        <v>00</v>
      </c>
      <c r="AM167" s="54" t="str">
        <f t="shared" si="34"/>
        <v>00</v>
      </c>
      <c r="AN167" s="54" t="str">
        <f t="shared" si="35"/>
        <v>00</v>
      </c>
      <c r="AO167" s="54" t="str">
        <f t="shared" si="36"/>
        <v>00</v>
      </c>
      <c r="AQ167" t="str">
        <f t="shared" si="31"/>
        <v/>
      </c>
    </row>
    <row r="168" spans="2:43">
      <c r="B168" s="124"/>
      <c r="C168" s="39">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4"/>
      <c r="C169" s="39">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4"/>
      <c r="C170" s="39">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4"/>
      <c r="C171" s="39">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4"/>
      <c r="C172" s="39">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4"/>
      <c r="C173" s="39">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4"/>
      <c r="C174" s="39">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4"/>
      <c r="C175" s="39">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4"/>
      <c r="C176" s="39">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4"/>
      <c r="C177" s="39">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4"/>
      <c r="C178" s="39">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4"/>
      <c r="C179" s="39">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4"/>
      <c r="C180" s="39">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4"/>
      <c r="C181" s="39">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4"/>
      <c r="C182" s="39">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4"/>
      <c r="C183" s="39">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4"/>
      <c r="C184" s="39">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4"/>
      <c r="C185" s="39">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4"/>
      <c r="C186" s="39">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4"/>
      <c r="C187" s="39">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4"/>
      <c r="C188" s="39">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4"/>
      <c r="C189" s="39">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4"/>
      <c r="C190" s="39">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4"/>
      <c r="C191" s="39">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4"/>
      <c r="C192" s="39">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4"/>
      <c r="C193" s="39">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4"/>
      <c r="C194" s="39">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4"/>
      <c r="C195" s="39">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4"/>
      <c r="C196" s="39">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4"/>
      <c r="C197" s="39">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4"/>
      <c r="C198" s="39">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25"/>
      <c r="C199" s="39">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D22:AJ69 L3:AE3 D10:AE10 AG10 D11:AG13 AJ8 AJ6 D14:AF21 AG18:AG21 AJ10:AJ21" name="Table作成編集範囲"/>
    <protectedRange sqref="AF3:AI3" name="Table作成編集範囲_3"/>
    <protectedRange sqref="AF10 AH10:AI13 D7:AJ7 D9:AJ9 D8:AI8 D6:AI6 AH18:AI21 AG14:AI17" name="Table作成編集範囲_4"/>
    <protectedRange sqref="B3" name="Table作成編集範囲_1"/>
  </protectedRanges>
  <mergeCells count="4">
    <mergeCell ref="C2:C3"/>
    <mergeCell ref="AJ2:AJ3"/>
    <mergeCell ref="A4:B5"/>
    <mergeCell ref="AG3:AI3"/>
  </mergeCells>
  <phoneticPr fontId="2"/>
  <conditionalFormatting sqref="D6:AI69">
    <cfRule type="cellIs" dxfId="13" priority="1" operator="equal">
      <formula>1</formula>
    </cfRule>
    <cfRule type="cellIs" dxfId="12" priority="2" operator="equal">
      <formula>"×"</formula>
    </cfRule>
  </conditionalFormatting>
  <conditionalFormatting sqref="AR5:AS70">
    <cfRule type="expression" dxfId="11" priority="2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16" t="s">
        <v>123</v>
      </c>
      <c r="C2" s="313" t="s">
        <v>85</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15" t="s">
        <v>156</v>
      </c>
    </row>
    <row r="3" spans="1:49" ht="213" customHeight="1" thickBot="1">
      <c r="B3" s="242" t="str">
        <f>IF(OR(IF(COUNTIF(D6:AC69,"0")&lt;&gt;0,TRUE,FALSE),IF(COUNTIF(D6:AC69,"1")&lt;&gt;0,TRUE,FALSE)),"Search Table","Index Table")</f>
        <v>Index Table</v>
      </c>
      <c r="C3" s="314"/>
      <c r="D3" s="118" t="s">
        <v>62</v>
      </c>
      <c r="E3" s="118" t="s">
        <v>67</v>
      </c>
      <c r="F3" s="118" t="s">
        <v>50</v>
      </c>
      <c r="G3" s="118" t="s">
        <v>49</v>
      </c>
      <c r="H3" s="118" t="s">
        <v>121</v>
      </c>
      <c r="I3" s="118" t="s">
        <v>120</v>
      </c>
      <c r="J3" s="118" t="s">
        <v>125</v>
      </c>
      <c r="K3" s="118" t="s">
        <v>124</v>
      </c>
      <c r="L3" s="119" t="s">
        <v>67</v>
      </c>
      <c r="M3" s="119" t="s">
        <v>63</v>
      </c>
      <c r="N3" s="119" t="s">
        <v>63</v>
      </c>
      <c r="O3" s="119" t="s">
        <v>63</v>
      </c>
      <c r="P3" s="119" t="s">
        <v>63</v>
      </c>
      <c r="Q3" s="119" t="s">
        <v>63</v>
      </c>
      <c r="R3" s="119" t="s">
        <v>63</v>
      </c>
      <c r="S3" s="119" t="s">
        <v>63</v>
      </c>
      <c r="T3" s="119" t="s">
        <v>63</v>
      </c>
      <c r="U3" s="119" t="s">
        <v>63</v>
      </c>
      <c r="V3" s="119" t="s">
        <v>63</v>
      </c>
      <c r="W3" s="119" t="s">
        <v>63</v>
      </c>
      <c r="X3" s="119" t="s">
        <v>63</v>
      </c>
      <c r="Y3" s="119" t="s">
        <v>63</v>
      </c>
      <c r="Z3" s="119" t="s">
        <v>63</v>
      </c>
      <c r="AA3" s="119" t="s">
        <v>63</v>
      </c>
      <c r="AB3" s="119" t="s">
        <v>63</v>
      </c>
      <c r="AC3" s="119" t="s">
        <v>63</v>
      </c>
      <c r="AD3" s="119" t="s">
        <v>63</v>
      </c>
      <c r="AE3" s="324" t="s">
        <v>266</v>
      </c>
      <c r="AF3" s="325"/>
      <c r="AG3" s="321" t="s">
        <v>340</v>
      </c>
      <c r="AH3" s="322"/>
      <c r="AI3" s="323"/>
      <c r="AJ3" s="316"/>
      <c r="AR3" s="82" t="s">
        <v>96</v>
      </c>
    </row>
    <row r="4" spans="1:49" ht="14.25" thickBot="1">
      <c r="A4" s="317" t="s">
        <v>64</v>
      </c>
      <c r="B4" s="318"/>
      <c r="C4" s="209"/>
      <c r="D4" s="209"/>
      <c r="E4" s="209"/>
      <c r="F4" s="209"/>
      <c r="G4" s="209"/>
      <c r="H4" s="209"/>
      <c r="I4" s="209"/>
      <c r="J4" s="209"/>
      <c r="K4" s="209"/>
      <c r="L4" s="209"/>
      <c r="M4" s="209"/>
      <c r="N4" s="209"/>
      <c r="O4" s="209"/>
      <c r="P4" s="209"/>
      <c r="Q4" s="209"/>
      <c r="R4" s="209"/>
      <c r="S4" s="209"/>
      <c r="T4" s="209"/>
      <c r="U4" s="209"/>
      <c r="V4" s="209"/>
      <c r="W4" s="209"/>
      <c r="X4" s="209"/>
      <c r="Y4" s="209"/>
      <c r="Z4" s="209"/>
      <c r="AA4" s="209"/>
      <c r="AB4" s="209"/>
      <c r="AC4" s="209"/>
      <c r="AD4" s="209"/>
      <c r="AE4" s="209"/>
      <c r="AF4" s="209"/>
      <c r="AG4" s="209"/>
      <c r="AH4" s="209"/>
      <c r="AI4" s="209"/>
      <c r="AJ4" s="121"/>
      <c r="AR4" s="70" t="s">
        <v>83</v>
      </c>
      <c r="AS4" s="71"/>
      <c r="AT4" s="71"/>
      <c r="AU4" s="71"/>
      <c r="AV4" s="71"/>
      <c r="AW4" s="72"/>
    </row>
    <row r="5" spans="1:49" ht="14.25" thickBot="1">
      <c r="A5" s="319"/>
      <c r="B5" s="32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122"/>
      <c r="AR5" s="73" t="str">
        <f ca="1">"static const U4  "&amp;AW8&amp;"["&amp;AW10&amp;"]"&amp;" = {"</f>
        <v>static const U4  u4_sp_ALERT_H_SOCLOW_BC_CRIT[ALERT_H_SOCLOW_BC_NUM_DST] = {</v>
      </c>
      <c r="AS5" s="73" t="str">
        <f ca="1">"static const U4  "&amp;$AW$9&amp;"["&amp;$AW$10&amp;"] = {"</f>
        <v>static const U4  u4_sp_ALERT_H_SOCLOW_BC_MASK[ALERT_H_SOCLOW_BC_NUM_DST] = {</v>
      </c>
      <c r="AT5" s="73" t="str">
        <f ca="1">"static const U1  "&amp;$AW$11&amp;"["&amp;$AW$10&amp;"] = {"</f>
        <v>static const U1  u1_sp_ALERT_H_SOCLOW_BC_DST[ALERT_H_SOCLOW_BC_NUM_DST] = {</v>
      </c>
      <c r="AU5" s="73" t="str">
        <f ca="1">"const ST_ALERT_MTRX "&amp;$AW$12&amp;" = {"</f>
        <v>const ST_ALERT_MTRX st_gp_ALERT_H_SOCLOW_MTRX[2] = {</v>
      </c>
      <c r="AV5" s="57" t="str">
        <f ca="1">"#define "&amp;AW10&amp;REPT(" ",41-LEN(AW10))&amp;"("&amp;AW13&amp;"U)"</f>
        <v>#define ALERT_H_SOCLOW_BC_NUM_DST                (32U)</v>
      </c>
      <c r="AW5" s="58"/>
    </row>
    <row r="6" spans="1:49">
      <c r="B6" s="124" t="str">
        <f ca="1">"Table "&amp;$AW$6</f>
        <v>Table BC</v>
      </c>
      <c r="C6" s="44">
        <f>ROW()-ROW($C$6)</f>
        <v>0</v>
      </c>
      <c r="D6" s="120" t="s">
        <v>195</v>
      </c>
      <c r="E6" s="120" t="s">
        <v>195</v>
      </c>
      <c r="F6" s="120" t="s">
        <v>195</v>
      </c>
      <c r="G6" s="120" t="s">
        <v>195</v>
      </c>
      <c r="H6" s="120" t="s">
        <v>195</v>
      </c>
      <c r="I6" s="120" t="s">
        <v>195</v>
      </c>
      <c r="J6" s="120" t="s">
        <v>195</v>
      </c>
      <c r="K6" s="120" t="s">
        <v>195</v>
      </c>
      <c r="L6" s="120" t="s">
        <v>195</v>
      </c>
      <c r="M6" s="120" t="s">
        <v>195</v>
      </c>
      <c r="N6" s="120" t="s">
        <v>195</v>
      </c>
      <c r="O6" s="120" t="s">
        <v>195</v>
      </c>
      <c r="P6" s="120" t="s">
        <v>195</v>
      </c>
      <c r="Q6" s="120" t="s">
        <v>195</v>
      </c>
      <c r="R6" s="120" t="s">
        <v>195</v>
      </c>
      <c r="S6" s="120" t="s">
        <v>195</v>
      </c>
      <c r="T6" s="120" t="s">
        <v>195</v>
      </c>
      <c r="U6" s="120" t="s">
        <v>195</v>
      </c>
      <c r="V6" s="120" t="s">
        <v>195</v>
      </c>
      <c r="W6" s="120" t="s">
        <v>195</v>
      </c>
      <c r="X6" s="120" t="s">
        <v>195</v>
      </c>
      <c r="Y6" s="120" t="s">
        <v>195</v>
      </c>
      <c r="Z6" s="120" t="s">
        <v>195</v>
      </c>
      <c r="AA6" s="120" t="s">
        <v>195</v>
      </c>
      <c r="AB6" s="120" t="s">
        <v>195</v>
      </c>
      <c r="AC6" s="120" t="s">
        <v>195</v>
      </c>
      <c r="AD6" s="120" t="s">
        <v>195</v>
      </c>
      <c r="AE6" s="120">
        <v>0</v>
      </c>
      <c r="AF6" s="120">
        <v>0</v>
      </c>
      <c r="AG6" s="120">
        <v>0</v>
      </c>
      <c r="AH6" s="184">
        <v>0</v>
      </c>
      <c r="AI6" s="184">
        <v>0</v>
      </c>
      <c r="AJ6" s="22" t="s">
        <v>33</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(U4)0x0000001FU,                                                           /* 00 UNKNOWN                                         */</v>
      </c>
      <c r="AT6" s="55" t="str">
        <f t="shared" ref="AT6:AT69" si="1">IF(AJ6&lt;&gt;"",AL6&amp;IF(AJ7&lt;&gt;"",","," ")&amp;REPT(" ",78-LEN(AL6))&amp;"/* "&amp;IF(C6&lt;10,"0"&amp;C6,C6)&amp;" "&amp;AJ6&amp;REPT(" ",48-LEN(AJ6))&amp;"*/",IF(AJ5&lt;&gt;"","};",""))</f>
        <v xml:space="preserve">    (U1)ALERT_REQ_UNKNOWN,                                                     /* 00 UNKNOWN                                         */</v>
      </c>
      <c r="AU6" s="55" t="s">
        <v>69</v>
      </c>
      <c r="AV6" s="40" t="s">
        <v>71</v>
      </c>
      <c r="AW6" s="59" t="str">
        <f ca="1">UPPER(RIGHT(CELL("filename",A1),LEN(CELL("filename",A1))-FIND("]",CELL("filename",A1))))</f>
        <v>BC</v>
      </c>
    </row>
    <row r="7" spans="1:49">
      <c r="B7" s="124"/>
      <c r="C7" s="39">
        <f t="shared" ref="C7:C69" si="2">ROW()-ROW($C$6)</f>
        <v>1</v>
      </c>
      <c r="D7" s="53" t="s">
        <v>195</v>
      </c>
      <c r="E7" s="53" t="s">
        <v>195</v>
      </c>
      <c r="F7" s="53" t="s">
        <v>195</v>
      </c>
      <c r="G7" s="53" t="s">
        <v>195</v>
      </c>
      <c r="H7" s="53" t="s">
        <v>195</v>
      </c>
      <c r="I7" s="53" t="s">
        <v>195</v>
      </c>
      <c r="J7" s="120" t="s">
        <v>195</v>
      </c>
      <c r="K7" s="120" t="s">
        <v>195</v>
      </c>
      <c r="L7" s="53" t="s">
        <v>195</v>
      </c>
      <c r="M7" s="53" t="s">
        <v>195</v>
      </c>
      <c r="N7" s="53" t="s">
        <v>195</v>
      </c>
      <c r="O7" s="53" t="s">
        <v>195</v>
      </c>
      <c r="P7" s="53" t="s">
        <v>195</v>
      </c>
      <c r="Q7" s="53" t="s">
        <v>195</v>
      </c>
      <c r="R7" s="53" t="s">
        <v>195</v>
      </c>
      <c r="S7" s="53" t="s">
        <v>195</v>
      </c>
      <c r="T7" s="53" t="s">
        <v>195</v>
      </c>
      <c r="U7" s="53" t="s">
        <v>195</v>
      </c>
      <c r="V7" s="53" t="s">
        <v>195</v>
      </c>
      <c r="W7" s="53" t="s">
        <v>195</v>
      </c>
      <c r="X7" s="53" t="s">
        <v>195</v>
      </c>
      <c r="Y7" s="120" t="s">
        <v>195</v>
      </c>
      <c r="Z7" s="120" t="s">
        <v>195</v>
      </c>
      <c r="AA7" s="120" t="s">
        <v>195</v>
      </c>
      <c r="AB7" s="120" t="s">
        <v>195</v>
      </c>
      <c r="AC7" s="120" t="s">
        <v>195</v>
      </c>
      <c r="AD7" s="120" t="s">
        <v>195</v>
      </c>
      <c r="AE7" s="120">
        <v>0</v>
      </c>
      <c r="AF7" s="120">
        <v>0</v>
      </c>
      <c r="AG7" s="120">
        <v>0</v>
      </c>
      <c r="AH7" s="184">
        <v>0</v>
      </c>
      <c r="AI7" s="184">
        <v>1</v>
      </c>
      <c r="AJ7" s="43" t="s">
        <v>251</v>
      </c>
      <c r="AL7" t="str">
        <f t="shared" ca="1" si="0"/>
        <v xml:space="preserve">    (U1)ALERT_REQ_H_SOCLOW_BC_N_POS</v>
      </c>
      <c r="AR7" s="55" t="str">
        <f t="shared" ref="AR7:AR70" si="3">IF(AQ72&lt;&gt;"",AQ72,IF(AQ71&lt;&gt;"","};",""))</f>
        <v xml:space="preserve">    (U4)0x00000001U,                                                           /* 01 N_POS                                           */</v>
      </c>
      <c r="AS7" s="55" t="str">
        <f t="shared" ref="AS7:AS70" si="4">IF(AQ137&lt;&gt;"",AQ137,IF(AQ136&lt;&gt;"","};",""))</f>
        <v xml:space="preserve">    (U4)0x0000001FU,                                                           /* 01 N_POS                                           */</v>
      </c>
      <c r="AT7" s="55" t="str">
        <f t="shared" ca="1" si="1"/>
        <v xml:space="preserve">    (U1)ALERT_REQ_H_SOCLOW_BC_N_POS,                                           /* 01 N_POS                                           */</v>
      </c>
      <c r="AU7" s="55" t="str">
        <f ca="1">"        &amp;"&amp;$AW$14&amp;","&amp;REPT(" ",69-LEN($AW$14))&amp;"/* fp_u4_SRC_CHK                                      */"</f>
        <v xml:space="preserve">        &amp;u4_s_AlertH_soclowBcSrcchk,                                           /* fp_u4_SRC_CHK                                      */</v>
      </c>
      <c r="AV7" s="41" t="s">
        <v>72</v>
      </c>
      <c r="AW7" s="123">
        <f>IF(B3="Search Table",1,0)</f>
        <v>0</v>
      </c>
    </row>
    <row r="8" spans="1:49">
      <c r="B8" s="124"/>
      <c r="C8" s="39">
        <f t="shared" si="2"/>
        <v>2</v>
      </c>
      <c r="D8" s="53" t="s">
        <v>195</v>
      </c>
      <c r="E8" s="53" t="s">
        <v>195</v>
      </c>
      <c r="F8" s="53" t="s">
        <v>195</v>
      </c>
      <c r="G8" s="53" t="s">
        <v>195</v>
      </c>
      <c r="H8" s="53" t="s">
        <v>195</v>
      </c>
      <c r="I8" s="53" t="s">
        <v>195</v>
      </c>
      <c r="J8" s="120" t="s">
        <v>195</v>
      </c>
      <c r="K8" s="53" t="s">
        <v>195</v>
      </c>
      <c r="L8" s="53" t="s">
        <v>195</v>
      </c>
      <c r="M8" s="53" t="s">
        <v>195</v>
      </c>
      <c r="N8" s="53" t="s">
        <v>195</v>
      </c>
      <c r="O8" s="53" t="s">
        <v>195</v>
      </c>
      <c r="P8" s="53" t="s">
        <v>195</v>
      </c>
      <c r="Q8" s="53" t="s">
        <v>195</v>
      </c>
      <c r="R8" s="53" t="s">
        <v>195</v>
      </c>
      <c r="S8" s="53" t="s">
        <v>195</v>
      </c>
      <c r="T8" s="53" t="s">
        <v>195</v>
      </c>
      <c r="U8" s="53" t="s">
        <v>195</v>
      </c>
      <c r="V8" s="53" t="s">
        <v>195</v>
      </c>
      <c r="W8" s="53" t="s">
        <v>195</v>
      </c>
      <c r="X8" s="53" t="s">
        <v>195</v>
      </c>
      <c r="Y8" s="120" t="s">
        <v>195</v>
      </c>
      <c r="Z8" s="120" t="s">
        <v>195</v>
      </c>
      <c r="AA8" s="120" t="s">
        <v>195</v>
      </c>
      <c r="AB8" s="120" t="s">
        <v>195</v>
      </c>
      <c r="AC8" s="120" t="s">
        <v>195</v>
      </c>
      <c r="AD8" s="120" t="s">
        <v>195</v>
      </c>
      <c r="AE8" s="120">
        <v>0</v>
      </c>
      <c r="AF8" s="120">
        <v>0</v>
      </c>
      <c r="AG8" s="120">
        <v>0</v>
      </c>
      <c r="AH8" s="184">
        <v>1</v>
      </c>
      <c r="AI8" s="184">
        <v>0</v>
      </c>
      <c r="AJ8" s="22" t="s">
        <v>251</v>
      </c>
      <c r="AL8" t="str">
        <f t="shared" ca="1" si="0"/>
        <v xml:space="preserve">    (U1)ALERT_REQ_H_SOCLOW_BC_N_POS</v>
      </c>
      <c r="AR8" s="55" t="str">
        <f t="shared" si="3"/>
        <v xml:space="preserve">    (U4)0x00000002U,                                                           /* 02 N_POS                                           */</v>
      </c>
      <c r="AS8" s="55" t="str">
        <f t="shared" si="4"/>
        <v xml:space="preserve">    (U4)0x0000001FU,                                                           /* 02 N_POS                                           */</v>
      </c>
      <c r="AT8" s="55" t="str">
        <f ca="1">IF(AJ8&lt;&gt;"",AL8&amp;IF(AJ9&lt;&gt;"",","," ")&amp;REPT(" ",78-LEN(AL8))&amp;"/* "&amp;IF(C8&lt;10,"0"&amp;C8,C8)&amp;" "&amp;AJ8&amp;REPT(" ",48-LEN(AJ8))&amp;"*/",IF(AJ7&lt;&gt;"","};",""))</f>
        <v xml:space="preserve">    (U1)ALERT_REQ_H_SOCLOW_BC_N_POS,                                           /* 02 N_POS                                           */</v>
      </c>
      <c r="AU8" s="55" t="str">
        <f ca="1">IF($AW$15&lt;&gt;"NULL","        &amp;"&amp;$AW$15&amp;","&amp;REPT(" ",69-LEN($AW$15))&amp;"/* fp_vd_XDST                                         */","        vdp_PTR_NA,                                                            /* fp_vd_XDST                                         */")</f>
        <v xml:space="preserve">        vdp_PTR_NA,                                                            /* fp_vd_XDST                                         */</v>
      </c>
      <c r="AV8" s="41" t="s">
        <v>73</v>
      </c>
      <c r="AW8" s="60" t="str">
        <f ca="1">"u4_sp_ALERT_"&amp;IF(AW6&lt;&gt;AW17,$AW$17&amp;"_"&amp;$AW$6,AW17)&amp;"_CRIT"</f>
        <v>u4_sp_ALERT_H_SOCLOW_BC_CRIT</v>
      </c>
    </row>
    <row r="9" spans="1:49">
      <c r="B9" s="124"/>
      <c r="C9" s="39">
        <f t="shared" si="2"/>
        <v>3</v>
      </c>
      <c r="D9" s="53" t="s">
        <v>195</v>
      </c>
      <c r="E9" s="53" t="s">
        <v>195</v>
      </c>
      <c r="F9" s="53" t="s">
        <v>195</v>
      </c>
      <c r="G9" s="53" t="s">
        <v>195</v>
      </c>
      <c r="H9" s="53" t="s">
        <v>195</v>
      </c>
      <c r="I9" s="53" t="s">
        <v>195</v>
      </c>
      <c r="J9" s="120" t="s">
        <v>195</v>
      </c>
      <c r="K9" s="53" t="s">
        <v>195</v>
      </c>
      <c r="L9" s="53" t="s">
        <v>195</v>
      </c>
      <c r="M9" s="53" t="s">
        <v>195</v>
      </c>
      <c r="N9" s="53" t="s">
        <v>195</v>
      </c>
      <c r="O9" s="53" t="s">
        <v>195</v>
      </c>
      <c r="P9" s="53" t="s">
        <v>195</v>
      </c>
      <c r="Q9" s="53" t="s">
        <v>195</v>
      </c>
      <c r="R9" s="53" t="s">
        <v>195</v>
      </c>
      <c r="S9" s="53" t="s">
        <v>195</v>
      </c>
      <c r="T9" s="53" t="s">
        <v>195</v>
      </c>
      <c r="U9" s="53" t="s">
        <v>195</v>
      </c>
      <c r="V9" s="53" t="s">
        <v>195</v>
      </c>
      <c r="W9" s="53" t="s">
        <v>195</v>
      </c>
      <c r="X9" s="53" t="s">
        <v>195</v>
      </c>
      <c r="Y9" s="120" t="s">
        <v>195</v>
      </c>
      <c r="Z9" s="120" t="s">
        <v>195</v>
      </c>
      <c r="AA9" s="120" t="s">
        <v>195</v>
      </c>
      <c r="AB9" s="120" t="s">
        <v>195</v>
      </c>
      <c r="AC9" s="120" t="s">
        <v>195</v>
      </c>
      <c r="AD9" s="120" t="s">
        <v>195</v>
      </c>
      <c r="AE9" s="120">
        <v>0</v>
      </c>
      <c r="AF9" s="120">
        <v>0</v>
      </c>
      <c r="AG9" s="120">
        <v>0</v>
      </c>
      <c r="AH9" s="53">
        <v>1</v>
      </c>
      <c r="AI9" s="53">
        <v>1</v>
      </c>
      <c r="AJ9" s="43" t="s">
        <v>253</v>
      </c>
      <c r="AL9" t="str">
        <f t="shared" ca="1" si="0"/>
        <v xml:space="preserve">    (U1)ALERT_REQ_H_SOCLOW_BC_HV_OFF</v>
      </c>
      <c r="AR9" s="55" t="str">
        <f t="shared" si="3"/>
        <v xml:space="preserve">    (U4)0x00000003U,                                                           /* 03 HV_OFF                                          */</v>
      </c>
      <c r="AS9" s="55" t="str">
        <f t="shared" si="4"/>
        <v xml:space="preserve">    (U4)0x0000001FU,                                                           /* 03 HV_OFF                                          */</v>
      </c>
      <c r="AT9" s="55" t="str">
        <f t="shared" ca="1" si="1"/>
        <v xml:space="preserve">    (U1)ALERT_REQ_H_SOCLOW_BC_HV_OFF,                                          /* 03 HV_OFF                                          */</v>
      </c>
      <c r="AU9" s="55"/>
      <c r="AV9" s="41" t="s">
        <v>74</v>
      </c>
      <c r="AW9" s="60" t="str">
        <f ca="1">"u4_sp_ALERT_"&amp;IF(AW6&lt;&gt;AW17,$AW$17&amp;"_"&amp;$AW$6,AW17)&amp;"_MASK"</f>
        <v>u4_sp_ALERT_H_SOCLOW_BC_MASK</v>
      </c>
    </row>
    <row r="10" spans="1:49">
      <c r="B10" s="124"/>
      <c r="C10" s="39">
        <f t="shared" si="2"/>
        <v>4</v>
      </c>
      <c r="D10" s="53" t="s">
        <v>68</v>
      </c>
      <c r="E10" s="53" t="s">
        <v>68</v>
      </c>
      <c r="F10" s="53" t="s">
        <v>68</v>
      </c>
      <c r="G10" s="53" t="s">
        <v>68</v>
      </c>
      <c r="H10" s="53" t="s">
        <v>68</v>
      </c>
      <c r="I10" s="53" t="s">
        <v>68</v>
      </c>
      <c r="J10" s="53" t="s">
        <v>68</v>
      </c>
      <c r="K10" s="53" t="s">
        <v>68</v>
      </c>
      <c r="L10" s="53" t="s">
        <v>68</v>
      </c>
      <c r="M10" s="53" t="s">
        <v>68</v>
      </c>
      <c r="N10" s="53" t="s">
        <v>68</v>
      </c>
      <c r="O10" s="53" t="s">
        <v>68</v>
      </c>
      <c r="P10" s="53" t="s">
        <v>68</v>
      </c>
      <c r="Q10" s="53" t="s">
        <v>68</v>
      </c>
      <c r="R10" s="53" t="s">
        <v>68</v>
      </c>
      <c r="S10" s="53" t="s">
        <v>68</v>
      </c>
      <c r="T10" s="53" t="s">
        <v>68</v>
      </c>
      <c r="U10" s="53" t="s">
        <v>68</v>
      </c>
      <c r="V10" s="53" t="s">
        <v>68</v>
      </c>
      <c r="W10" s="53" t="s">
        <v>68</v>
      </c>
      <c r="X10" s="53" t="s">
        <v>68</v>
      </c>
      <c r="Y10" s="53" t="s">
        <v>68</v>
      </c>
      <c r="Z10" s="53" t="s">
        <v>68</v>
      </c>
      <c r="AA10" s="53" t="s">
        <v>68</v>
      </c>
      <c r="AB10" s="53" t="s">
        <v>68</v>
      </c>
      <c r="AC10" s="53" t="s">
        <v>68</v>
      </c>
      <c r="AD10" s="53" t="s">
        <v>68</v>
      </c>
      <c r="AE10" s="53">
        <v>0</v>
      </c>
      <c r="AF10" s="120">
        <v>0</v>
      </c>
      <c r="AG10" s="120">
        <v>1</v>
      </c>
      <c r="AH10" s="184">
        <v>0</v>
      </c>
      <c r="AI10" s="184">
        <v>0</v>
      </c>
      <c r="AJ10" s="22" t="s">
        <v>253</v>
      </c>
      <c r="AL10" t="str">
        <f t="shared" ca="1" si="0"/>
        <v xml:space="preserve">    (U1)ALERT_REQ_H_SOCLOW_BC_HV_OFF</v>
      </c>
      <c r="AR10" s="55" t="str">
        <f t="shared" si="3"/>
        <v xml:space="preserve">    (U4)0x00000004U,                                                           /* 04 HV_OFF                                          */</v>
      </c>
      <c r="AS10" s="55" t="str">
        <f t="shared" si="4"/>
        <v xml:space="preserve">    (U4)0x0000001FU,                                                           /* 04 HV_OFF                                          */</v>
      </c>
      <c r="AT10" s="55" t="str">
        <f t="shared" ca="1" si="1"/>
        <v xml:space="preserve">    (U1)ALERT_REQ_H_SOCLOW_BC_HV_OFF,                                          /* 04 HV_OFF                                          */</v>
      </c>
      <c r="AU10" s="55" t="str">
        <f>IF($AW$7=1,"        &amp;"&amp;$AW$9&amp;"[0],"&amp;REPT(" ",66-LEN($AW$9))&amp;"/* u4p_MASK                                           */","        (const U4 *)vdp_PTR_NA,                                                /* u4p_MASK                                           */")</f>
        <v xml:space="preserve">        (const U4 *)vdp_PTR_NA,                                                /* u4p_MASK                                           */</v>
      </c>
      <c r="AV10" s="41" t="s">
        <v>75</v>
      </c>
      <c r="AW10" s="60" t="str">
        <f ca="1">"ALERT_"&amp;IF(AW6&lt;&gt;AW17,$AW$17&amp;"_"&amp;$AW$6,AW17)&amp;"_NUM_DST"</f>
        <v>ALERT_H_SOCLOW_BC_NUM_DST</v>
      </c>
    </row>
    <row r="11" spans="1:49">
      <c r="B11" s="124"/>
      <c r="C11" s="39">
        <f t="shared" si="2"/>
        <v>5</v>
      </c>
      <c r="D11" s="53" t="s">
        <v>68</v>
      </c>
      <c r="E11" s="53" t="s">
        <v>68</v>
      </c>
      <c r="F11" s="53" t="s">
        <v>68</v>
      </c>
      <c r="G11" s="53" t="s">
        <v>68</v>
      </c>
      <c r="H11" s="53" t="s">
        <v>68</v>
      </c>
      <c r="I11" s="53" t="s">
        <v>68</v>
      </c>
      <c r="J11" s="53" t="s">
        <v>68</v>
      </c>
      <c r="K11" s="53" t="s">
        <v>68</v>
      </c>
      <c r="L11" s="53" t="s">
        <v>68</v>
      </c>
      <c r="M11" s="53" t="s">
        <v>68</v>
      </c>
      <c r="N11" s="53" t="s">
        <v>68</v>
      </c>
      <c r="O11" s="53" t="s">
        <v>68</v>
      </c>
      <c r="P11" s="53" t="s">
        <v>68</v>
      </c>
      <c r="Q11" s="53" t="s">
        <v>68</v>
      </c>
      <c r="R11" s="53" t="s">
        <v>68</v>
      </c>
      <c r="S11" s="53" t="s">
        <v>68</v>
      </c>
      <c r="T11" s="53" t="s">
        <v>68</v>
      </c>
      <c r="U11" s="53" t="s">
        <v>68</v>
      </c>
      <c r="V11" s="53" t="s">
        <v>68</v>
      </c>
      <c r="W11" s="53" t="s">
        <v>68</v>
      </c>
      <c r="X11" s="53" t="s">
        <v>68</v>
      </c>
      <c r="Y11" s="53" t="s">
        <v>68</v>
      </c>
      <c r="Z11" s="53" t="s">
        <v>68</v>
      </c>
      <c r="AA11" s="53" t="s">
        <v>68</v>
      </c>
      <c r="AB11" s="53" t="s">
        <v>68</v>
      </c>
      <c r="AC11" s="53" t="s">
        <v>68</v>
      </c>
      <c r="AD11" s="53" t="s">
        <v>68</v>
      </c>
      <c r="AE11" s="53">
        <v>0</v>
      </c>
      <c r="AF11" s="120">
        <v>0</v>
      </c>
      <c r="AG11" s="120">
        <v>1</v>
      </c>
      <c r="AH11" s="184">
        <v>0</v>
      </c>
      <c r="AI11" s="184">
        <v>1</v>
      </c>
      <c r="AJ11" s="22" t="s">
        <v>33</v>
      </c>
      <c r="AL11" t="str">
        <f t="shared" si="0"/>
        <v xml:space="preserve">    (U1)ALERT_REQ_UNKNOWN</v>
      </c>
      <c r="AR11" s="55" t="str">
        <f t="shared" si="3"/>
        <v xml:space="preserve">    (U4)0x00000005U,                                                           /* 05 UNKNOWN                                         */</v>
      </c>
      <c r="AS11" s="55" t="str">
        <f t="shared" si="4"/>
        <v xml:space="preserve">    (U4)0x0000001FU,                                                           /* 05 UNKNOWN                                         */</v>
      </c>
      <c r="AT11" s="55" t="str">
        <f t="shared" si="1"/>
        <v xml:space="preserve">    (U1)ALERT_REQ_UNKNOWN,                                                     /* 05 UNKNOWN                                         */</v>
      </c>
      <c r="AU11" s="55" t="str">
        <f>IF($AW$7=1,"        &amp;"&amp;$AW$8&amp;"[0],"&amp;REPT(" ",66-LEN($AW$8))&amp;"/* u4p_CRIT                                           */","        (const U4 *)vdp_PTR_NA,                                                /* u4p_CRIT                                           */")</f>
        <v xml:space="preserve">        (const U4 *)vdp_PTR_NA,                                                /* u4p_CRIT                                           */</v>
      </c>
      <c r="AV11" s="41" t="s">
        <v>76</v>
      </c>
      <c r="AW11" s="60" t="str">
        <f ca="1">"u1_sp_ALERT_"&amp;IF(AW6&lt;&gt;AW17,$AW$17&amp;"_"&amp;$AW$6,AW17)&amp;"_DST"</f>
        <v>u1_sp_ALERT_H_SOCLOW_BC_DST</v>
      </c>
    </row>
    <row r="12" spans="1:49">
      <c r="B12" s="124"/>
      <c r="C12" s="39">
        <f t="shared" si="2"/>
        <v>6</v>
      </c>
      <c r="D12" s="53" t="s">
        <v>68</v>
      </c>
      <c r="E12" s="53" t="s">
        <v>68</v>
      </c>
      <c r="F12" s="53" t="s">
        <v>68</v>
      </c>
      <c r="G12" s="53" t="s">
        <v>68</v>
      </c>
      <c r="H12" s="53" t="s">
        <v>68</v>
      </c>
      <c r="I12" s="53" t="s">
        <v>68</v>
      </c>
      <c r="J12" s="53" t="s">
        <v>68</v>
      </c>
      <c r="K12" s="53" t="s">
        <v>68</v>
      </c>
      <c r="L12" s="53" t="s">
        <v>68</v>
      </c>
      <c r="M12" s="53" t="s">
        <v>68</v>
      </c>
      <c r="N12" s="53" t="s">
        <v>68</v>
      </c>
      <c r="O12" s="53" t="s">
        <v>68</v>
      </c>
      <c r="P12" s="53" t="s">
        <v>68</v>
      </c>
      <c r="Q12" s="53" t="s">
        <v>68</v>
      </c>
      <c r="R12" s="53" t="s">
        <v>68</v>
      </c>
      <c r="S12" s="53" t="s">
        <v>68</v>
      </c>
      <c r="T12" s="53" t="s">
        <v>68</v>
      </c>
      <c r="U12" s="53" t="s">
        <v>68</v>
      </c>
      <c r="V12" s="53" t="s">
        <v>68</v>
      </c>
      <c r="W12" s="53" t="s">
        <v>68</v>
      </c>
      <c r="X12" s="53" t="s">
        <v>68</v>
      </c>
      <c r="Y12" s="53" t="s">
        <v>68</v>
      </c>
      <c r="Z12" s="53" t="s">
        <v>68</v>
      </c>
      <c r="AA12" s="53" t="s">
        <v>68</v>
      </c>
      <c r="AB12" s="53" t="s">
        <v>68</v>
      </c>
      <c r="AC12" s="53" t="s">
        <v>68</v>
      </c>
      <c r="AD12" s="53" t="s">
        <v>68</v>
      </c>
      <c r="AE12" s="120">
        <v>0</v>
      </c>
      <c r="AF12" s="120">
        <v>0</v>
      </c>
      <c r="AG12" s="120">
        <v>1</v>
      </c>
      <c r="AH12" s="184">
        <v>1</v>
      </c>
      <c r="AI12" s="184">
        <v>0</v>
      </c>
      <c r="AJ12" s="22" t="s">
        <v>33</v>
      </c>
      <c r="AL12" t="str">
        <f t="shared" si="0"/>
        <v xml:space="preserve">    (U1)ALERT_REQ_UNKNOWN</v>
      </c>
      <c r="AR12" s="55" t="str">
        <f t="shared" si="3"/>
        <v xml:space="preserve">    (U4)0x00000006U,                                                           /* 06 UNKNOWN                                         */</v>
      </c>
      <c r="AS12" s="55" t="str">
        <f t="shared" si="4"/>
        <v xml:space="preserve">    (U4)0x0000001FU,                                                           /* 06 UNKNOWN                                         */</v>
      </c>
      <c r="AT12" s="55" t="str">
        <f t="shared" si="1"/>
        <v xml:space="preserve">    (U1)ALERT_REQ_UNKNOWN,                                                     /* 06 UNKNOWN                                         */</v>
      </c>
      <c r="AU12" s="55"/>
      <c r="AV12" s="41" t="s">
        <v>89</v>
      </c>
      <c r="AW12" s="60" t="str">
        <f ca="1">Matrix!D8&amp;"["&amp;Matrix!D7&amp;"]"</f>
        <v>st_gp_ALERT_H_SOCLOW_MTRX[2]</v>
      </c>
    </row>
    <row r="13" spans="1:49">
      <c r="B13" s="124"/>
      <c r="C13" s="39">
        <f t="shared" si="2"/>
        <v>7</v>
      </c>
      <c r="D13" s="53" t="s">
        <v>68</v>
      </c>
      <c r="E13" s="53" t="s">
        <v>68</v>
      </c>
      <c r="F13" s="53" t="s">
        <v>68</v>
      </c>
      <c r="G13" s="53" t="s">
        <v>68</v>
      </c>
      <c r="H13" s="53" t="s">
        <v>68</v>
      </c>
      <c r="I13" s="53" t="s">
        <v>68</v>
      </c>
      <c r="J13" s="53" t="s">
        <v>68</v>
      </c>
      <c r="K13" s="53" t="s">
        <v>68</v>
      </c>
      <c r="L13" s="53" t="s">
        <v>68</v>
      </c>
      <c r="M13" s="53" t="s">
        <v>68</v>
      </c>
      <c r="N13" s="53" t="s">
        <v>68</v>
      </c>
      <c r="O13" s="53" t="s">
        <v>68</v>
      </c>
      <c r="P13" s="53" t="s">
        <v>68</v>
      </c>
      <c r="Q13" s="53" t="s">
        <v>68</v>
      </c>
      <c r="R13" s="53" t="s">
        <v>68</v>
      </c>
      <c r="S13" s="53" t="s">
        <v>68</v>
      </c>
      <c r="T13" s="53" t="s">
        <v>68</v>
      </c>
      <c r="U13" s="53" t="s">
        <v>68</v>
      </c>
      <c r="V13" s="53" t="s">
        <v>68</v>
      </c>
      <c r="W13" s="53" t="s">
        <v>68</v>
      </c>
      <c r="X13" s="53" t="s">
        <v>68</v>
      </c>
      <c r="Y13" s="53" t="s">
        <v>68</v>
      </c>
      <c r="Z13" s="53" t="s">
        <v>68</v>
      </c>
      <c r="AA13" s="53" t="s">
        <v>68</v>
      </c>
      <c r="AB13" s="53" t="s">
        <v>68</v>
      </c>
      <c r="AC13" s="53" t="s">
        <v>68</v>
      </c>
      <c r="AD13" s="53" t="s">
        <v>68</v>
      </c>
      <c r="AE13" s="53">
        <v>0</v>
      </c>
      <c r="AF13" s="120">
        <v>0</v>
      </c>
      <c r="AG13" s="120">
        <v>1</v>
      </c>
      <c r="AH13" s="53">
        <v>1</v>
      </c>
      <c r="AI13" s="53">
        <v>1</v>
      </c>
      <c r="AJ13" s="22" t="s">
        <v>33</v>
      </c>
      <c r="AL13" t="str">
        <f t="shared" si="0"/>
        <v xml:space="preserve">    (U1)ALERT_REQ_UNKNOWN</v>
      </c>
      <c r="AR13" s="55" t="str">
        <f t="shared" si="3"/>
        <v xml:space="preserve">    (U4)0x00000007U,                                                           /* 07 UNKNOWN                                         */</v>
      </c>
      <c r="AS13" s="55" t="str">
        <f t="shared" si="4"/>
        <v xml:space="preserve">    (U4)0x0000001FU,                                                           /* 07 UNKNOWN                                         */</v>
      </c>
      <c r="AT13" s="55" t="str">
        <f t="shared" si="1"/>
        <v xml:space="preserve">    (U1)ALERT_REQ_UNKNOWN,                                                     /* 07 UNKNOWN                                         */</v>
      </c>
      <c r="AU13" s="55" t="str">
        <f ca="1">"        &amp;"&amp;$AW$11&amp;"[0],"&amp;REPT(" ",66-LEN($AW$11))&amp;"/* u1p_DST                                            */"</f>
        <v xml:space="preserve">        &amp;u1_sp_ALERT_H_SOCLOW_BC_DST[0],                                       /* u1p_DST                                            */</v>
      </c>
      <c r="AV13" s="41" t="s">
        <v>77</v>
      </c>
      <c r="AW13" s="123">
        <f>COUNTA($AJ$6:$AJ$69)</f>
        <v>32</v>
      </c>
    </row>
    <row r="14" spans="1:49">
      <c r="B14" s="124"/>
      <c r="C14" s="39">
        <f t="shared" si="2"/>
        <v>8</v>
      </c>
      <c r="D14" s="53" t="s">
        <v>68</v>
      </c>
      <c r="E14" s="53" t="s">
        <v>68</v>
      </c>
      <c r="F14" s="53" t="s">
        <v>68</v>
      </c>
      <c r="G14" s="53" t="s">
        <v>68</v>
      </c>
      <c r="H14" s="53" t="s">
        <v>68</v>
      </c>
      <c r="I14" s="53" t="s">
        <v>68</v>
      </c>
      <c r="J14" s="53" t="s">
        <v>68</v>
      </c>
      <c r="K14" s="53" t="s">
        <v>195</v>
      </c>
      <c r="L14" s="53" t="s">
        <v>68</v>
      </c>
      <c r="M14" s="53" t="s">
        <v>68</v>
      </c>
      <c r="N14" s="53" t="s">
        <v>68</v>
      </c>
      <c r="O14" s="53" t="s">
        <v>68</v>
      </c>
      <c r="P14" s="53" t="s">
        <v>68</v>
      </c>
      <c r="Q14" s="53" t="s">
        <v>68</v>
      </c>
      <c r="R14" s="53" t="s">
        <v>68</v>
      </c>
      <c r="S14" s="53" t="s">
        <v>68</v>
      </c>
      <c r="T14" s="53" t="s">
        <v>68</v>
      </c>
      <c r="U14" s="53" t="s">
        <v>68</v>
      </c>
      <c r="V14" s="53" t="s">
        <v>68</v>
      </c>
      <c r="W14" s="53" t="s">
        <v>68</v>
      </c>
      <c r="X14" s="53" t="s">
        <v>68</v>
      </c>
      <c r="Y14" s="53" t="s">
        <v>68</v>
      </c>
      <c r="Z14" s="53" t="s">
        <v>68</v>
      </c>
      <c r="AA14" s="53" t="s">
        <v>68</v>
      </c>
      <c r="AB14" s="53" t="s">
        <v>68</v>
      </c>
      <c r="AC14" s="53" t="s">
        <v>68</v>
      </c>
      <c r="AD14" s="53" t="s">
        <v>68</v>
      </c>
      <c r="AE14" s="53">
        <v>0</v>
      </c>
      <c r="AF14" s="120">
        <v>1</v>
      </c>
      <c r="AG14" s="120">
        <v>0</v>
      </c>
      <c r="AH14" s="184">
        <v>0</v>
      </c>
      <c r="AI14" s="184">
        <v>0</v>
      </c>
      <c r="AJ14" s="22" t="s">
        <v>33</v>
      </c>
      <c r="AL14" t="str">
        <f t="shared" si="0"/>
        <v xml:space="preserve">    (U1)ALERT_REQ_UNKNOWN</v>
      </c>
      <c r="AR14" s="55" t="str">
        <f t="shared" si="3"/>
        <v xml:space="preserve">    (U4)0x00000008U,                                                           /* 08 UNKNOWN                                         */</v>
      </c>
      <c r="AS14" s="55" t="str">
        <f t="shared" si="4"/>
        <v xml:space="preserve">    (U4)0x0000001FU,                                                           /* 08 UNKNOWN                                         */</v>
      </c>
      <c r="AT14" s="55" t="str">
        <f t="shared" si="1"/>
        <v xml:space="preserve">    (U1)ALERT_REQ_UNKNOWN,                                                     /* 08 UNKNOWN                                         */</v>
      </c>
      <c r="AU14" s="55" t="str">
        <f ca="1">"        (U2)"&amp;$AW$10&amp;","&amp;REPT(" ",66-LEN($AW$10))&amp;"/* u2_num_srch                                        */"</f>
        <v xml:space="preserve">        (U2)ALERT_H_SOCLOW_BC_NUM_DST,                                         /* u2_num_srch                                        */</v>
      </c>
      <c r="AV14" s="41" t="s">
        <v>78</v>
      </c>
      <c r="AW14" s="60" t="str">
        <f ca="1">IF(AW6&lt;&gt;AW17,VLOOKUP(AW6,Matrix!$C$13:$G$37,4,FALSE),Matrix!F13)</f>
        <v>u4_s_AlertH_soclowBcSrcchk</v>
      </c>
    </row>
    <row r="15" spans="1:49">
      <c r="B15" s="124"/>
      <c r="C15" s="39">
        <f t="shared" si="2"/>
        <v>9</v>
      </c>
      <c r="D15" s="53" t="s">
        <v>68</v>
      </c>
      <c r="E15" s="53" t="s">
        <v>68</v>
      </c>
      <c r="F15" s="53" t="s">
        <v>68</v>
      </c>
      <c r="G15" s="53" t="s">
        <v>68</v>
      </c>
      <c r="H15" s="53" t="s">
        <v>68</v>
      </c>
      <c r="I15" s="53" t="s">
        <v>68</v>
      </c>
      <c r="J15" s="53" t="s">
        <v>68</v>
      </c>
      <c r="K15" s="53" t="s">
        <v>68</v>
      </c>
      <c r="L15" s="53" t="s">
        <v>68</v>
      </c>
      <c r="M15" s="53" t="s">
        <v>68</v>
      </c>
      <c r="N15" s="53" t="s">
        <v>68</v>
      </c>
      <c r="O15" s="53" t="s">
        <v>68</v>
      </c>
      <c r="P15" s="53" t="s">
        <v>68</v>
      </c>
      <c r="Q15" s="53" t="s">
        <v>68</v>
      </c>
      <c r="R15" s="53" t="s">
        <v>68</v>
      </c>
      <c r="S15" s="53" t="s">
        <v>68</v>
      </c>
      <c r="T15" s="53" t="s">
        <v>68</v>
      </c>
      <c r="U15" s="53" t="s">
        <v>68</v>
      </c>
      <c r="V15" s="53" t="s">
        <v>68</v>
      </c>
      <c r="W15" s="53" t="s">
        <v>68</v>
      </c>
      <c r="X15" s="53" t="s">
        <v>68</v>
      </c>
      <c r="Y15" s="53" t="s">
        <v>68</v>
      </c>
      <c r="Z15" s="53" t="s">
        <v>68</v>
      </c>
      <c r="AA15" s="53" t="s">
        <v>68</v>
      </c>
      <c r="AB15" s="53" t="s">
        <v>68</v>
      </c>
      <c r="AC15" s="53" t="s">
        <v>68</v>
      </c>
      <c r="AD15" s="53" t="s">
        <v>68</v>
      </c>
      <c r="AE15" s="53">
        <v>0</v>
      </c>
      <c r="AF15" s="120">
        <v>1</v>
      </c>
      <c r="AG15" s="120">
        <v>0</v>
      </c>
      <c r="AH15" s="184">
        <v>0</v>
      </c>
      <c r="AI15" s="184">
        <v>1</v>
      </c>
      <c r="AJ15" s="22" t="s">
        <v>33</v>
      </c>
      <c r="AL15" t="str">
        <f t="shared" si="0"/>
        <v xml:space="preserve">    (U1)ALERT_REQ_UNKNOWN</v>
      </c>
      <c r="AR15" s="55" t="str">
        <f t="shared" si="3"/>
        <v xml:space="preserve">    (U4)0x00000009U,                                                           /* 09 UNKNOWN                                         */</v>
      </c>
      <c r="AS15" s="55" t="str">
        <f t="shared" si="4"/>
        <v xml:space="preserve">    (U4)0x0000001FU,                                                           /* 09 UNKNOWN                                         */</v>
      </c>
      <c r="AT15" s="55" t="str">
        <f t="shared" si="1"/>
        <v xml:space="preserve">    (U1)ALERT_REQ_UNKNOWN,                                                     /* 09 UNKNOWN                                         */</v>
      </c>
      <c r="AU15" s="55" t="str">
        <f ca="1">"        (U1)"&amp;$AW$16&amp;REPT(" ",67-LEN($AW$16))&amp;"/* u1_vom_act                                         */"</f>
        <v xml:space="preserve">        (U1)ALERT_VOM_IGN_ON                                                   /* u1_vom_act                                         */</v>
      </c>
      <c r="AV15" s="41" t="s">
        <v>81</v>
      </c>
      <c r="AW15" s="60" t="str">
        <f ca="1">IF(AW6&lt;&gt;AW17,VLOOKUP(AW6,Matrix!$C$13:$G$37,5,FALSE),Matrix!G13)</f>
        <v>NULL</v>
      </c>
    </row>
    <row r="16" spans="1:49">
      <c r="B16" s="124"/>
      <c r="C16" s="39">
        <f t="shared" si="2"/>
        <v>10</v>
      </c>
      <c r="D16" s="53" t="s">
        <v>68</v>
      </c>
      <c r="E16" s="53" t="s">
        <v>68</v>
      </c>
      <c r="F16" s="53" t="s">
        <v>68</v>
      </c>
      <c r="G16" s="53" t="s">
        <v>68</v>
      </c>
      <c r="H16" s="53" t="s">
        <v>68</v>
      </c>
      <c r="I16" s="53" t="s">
        <v>68</v>
      </c>
      <c r="J16" s="53" t="s">
        <v>68</v>
      </c>
      <c r="K16" s="53" t="s">
        <v>68</v>
      </c>
      <c r="L16" s="53" t="s">
        <v>68</v>
      </c>
      <c r="M16" s="53" t="s">
        <v>68</v>
      </c>
      <c r="N16" s="53" t="s">
        <v>68</v>
      </c>
      <c r="O16" s="53" t="s">
        <v>68</v>
      </c>
      <c r="P16" s="53" t="s">
        <v>68</v>
      </c>
      <c r="Q16" s="53" t="s">
        <v>68</v>
      </c>
      <c r="R16" s="53" t="s">
        <v>68</v>
      </c>
      <c r="S16" s="53" t="s">
        <v>68</v>
      </c>
      <c r="T16" s="53" t="s">
        <v>68</v>
      </c>
      <c r="U16" s="53" t="s">
        <v>68</v>
      </c>
      <c r="V16" s="53" t="s">
        <v>68</v>
      </c>
      <c r="W16" s="53" t="s">
        <v>68</v>
      </c>
      <c r="X16" s="53" t="s">
        <v>68</v>
      </c>
      <c r="Y16" s="53" t="s">
        <v>68</v>
      </c>
      <c r="Z16" s="53" t="s">
        <v>68</v>
      </c>
      <c r="AA16" s="53" t="s">
        <v>68</v>
      </c>
      <c r="AB16" s="53" t="s">
        <v>68</v>
      </c>
      <c r="AC16" s="53" t="s">
        <v>68</v>
      </c>
      <c r="AD16" s="53" t="s">
        <v>68</v>
      </c>
      <c r="AE16" s="53">
        <v>0</v>
      </c>
      <c r="AF16" s="120">
        <v>1</v>
      </c>
      <c r="AG16" s="120">
        <v>0</v>
      </c>
      <c r="AH16" s="184">
        <v>1</v>
      </c>
      <c r="AI16" s="184">
        <v>0</v>
      </c>
      <c r="AJ16" s="22" t="s">
        <v>33</v>
      </c>
      <c r="AL16" t="str">
        <f t="shared" si="0"/>
        <v xml:space="preserve">    (U1)ALERT_REQ_UNKNOWN</v>
      </c>
      <c r="AR16" s="55" t="str">
        <f t="shared" si="3"/>
        <v xml:space="preserve">    (U4)0x0000000AU,                                                           /* 10 UNKNOWN                                         */</v>
      </c>
      <c r="AS16" s="55" t="str">
        <f t="shared" si="4"/>
        <v xml:space="preserve">    (U4)0x0000001FU,                                                           /* 10 UNKNOWN                                         */</v>
      </c>
      <c r="AT16" s="55" t="str">
        <f t="shared" si="1"/>
        <v xml:space="preserve">    (U1)ALERT_REQ_UNKNOWN,                                                     /* 10 UNKNOWN                                         */</v>
      </c>
      <c r="AU16" s="55" t="s">
        <v>70</v>
      </c>
      <c r="AV16" s="41" t="s">
        <v>79</v>
      </c>
      <c r="AW16" s="60" t="str">
        <f ca="1">IF(AW6&lt;&gt;AW17,VLOOKUP(AW6,Matrix!$C$13:$G$37,2,FALSE),Matrix!D13)</f>
        <v>ALERT_VOM_IGN_ON</v>
      </c>
    </row>
    <row r="17" spans="2:49" ht="14.25" thickBot="1">
      <c r="B17" s="124"/>
      <c r="C17" s="39">
        <f t="shared" si="2"/>
        <v>11</v>
      </c>
      <c r="D17" s="53" t="s">
        <v>68</v>
      </c>
      <c r="E17" s="53" t="s">
        <v>68</v>
      </c>
      <c r="F17" s="53" t="s">
        <v>68</v>
      </c>
      <c r="G17" s="53" t="s">
        <v>68</v>
      </c>
      <c r="H17" s="53" t="s">
        <v>68</v>
      </c>
      <c r="I17" s="53" t="s">
        <v>68</v>
      </c>
      <c r="J17" s="53" t="s">
        <v>68</v>
      </c>
      <c r="K17" s="53" t="s">
        <v>68</v>
      </c>
      <c r="L17" s="53" t="s">
        <v>68</v>
      </c>
      <c r="M17" s="53" t="s">
        <v>68</v>
      </c>
      <c r="N17" s="53" t="s">
        <v>68</v>
      </c>
      <c r="O17" s="53" t="s">
        <v>68</v>
      </c>
      <c r="P17" s="53" t="s">
        <v>68</v>
      </c>
      <c r="Q17" s="53" t="s">
        <v>68</v>
      </c>
      <c r="R17" s="53" t="s">
        <v>68</v>
      </c>
      <c r="S17" s="53" t="s">
        <v>68</v>
      </c>
      <c r="T17" s="53" t="s">
        <v>68</v>
      </c>
      <c r="U17" s="53" t="s">
        <v>68</v>
      </c>
      <c r="V17" s="53" t="s">
        <v>68</v>
      </c>
      <c r="W17" s="53" t="s">
        <v>68</v>
      </c>
      <c r="X17" s="53" t="s">
        <v>68</v>
      </c>
      <c r="Y17" s="53" t="s">
        <v>68</v>
      </c>
      <c r="Z17" s="53" t="s">
        <v>68</v>
      </c>
      <c r="AA17" s="53" t="s">
        <v>68</v>
      </c>
      <c r="AB17" s="53" t="s">
        <v>68</v>
      </c>
      <c r="AC17" s="53" t="s">
        <v>68</v>
      </c>
      <c r="AD17" s="53" t="s">
        <v>68</v>
      </c>
      <c r="AE17" s="53">
        <v>0</v>
      </c>
      <c r="AF17" s="120">
        <v>1</v>
      </c>
      <c r="AG17" s="120">
        <v>0</v>
      </c>
      <c r="AH17" s="53">
        <v>1</v>
      </c>
      <c r="AI17" s="53">
        <v>1</v>
      </c>
      <c r="AJ17" s="22" t="s">
        <v>33</v>
      </c>
      <c r="AL17" t="str">
        <f t="shared" si="0"/>
        <v xml:space="preserve">    (U1)ALERT_REQ_UNKNOWN</v>
      </c>
      <c r="AR17" s="55" t="str">
        <f t="shared" si="3"/>
        <v xml:space="preserve">    (U4)0x0000000BU,                                                           /* 11 UNKNOWN                                         */</v>
      </c>
      <c r="AS17" s="55" t="str">
        <f t="shared" si="4"/>
        <v xml:space="preserve">    (U4)0x0000001FU,                                                           /* 11 UNKNOWN                                         */</v>
      </c>
      <c r="AT17" s="55" t="str">
        <f t="shared" si="1"/>
        <v xml:space="preserve">    (U1)ALERT_REQ_UNKNOWN,                                                     /* 11 UNKNOWN                                         */</v>
      </c>
      <c r="AU17" s="56" t="s">
        <v>82</v>
      </c>
      <c r="AV17" s="42" t="s">
        <v>80</v>
      </c>
      <c r="AW17" s="61" t="str">
        <f ca="1">UPPER(Matrix!$D$6)</f>
        <v>H_SOCLOW</v>
      </c>
    </row>
    <row r="18" spans="2:49">
      <c r="B18" s="124"/>
      <c r="C18" s="39">
        <f t="shared" si="2"/>
        <v>12</v>
      </c>
      <c r="D18" s="53" t="s">
        <v>68</v>
      </c>
      <c r="E18" s="53" t="s">
        <v>68</v>
      </c>
      <c r="F18" s="53" t="s">
        <v>68</v>
      </c>
      <c r="G18" s="53" t="s">
        <v>68</v>
      </c>
      <c r="H18" s="53" t="s">
        <v>68</v>
      </c>
      <c r="I18" s="53" t="s">
        <v>68</v>
      </c>
      <c r="J18" s="53" t="s">
        <v>68</v>
      </c>
      <c r="K18" s="53" t="s">
        <v>68</v>
      </c>
      <c r="L18" s="53" t="s">
        <v>68</v>
      </c>
      <c r="M18" s="53" t="s">
        <v>68</v>
      </c>
      <c r="N18" s="53" t="s">
        <v>68</v>
      </c>
      <c r="O18" s="53" t="s">
        <v>68</v>
      </c>
      <c r="P18" s="53" t="s">
        <v>68</v>
      </c>
      <c r="Q18" s="53" t="s">
        <v>68</v>
      </c>
      <c r="R18" s="53" t="s">
        <v>68</v>
      </c>
      <c r="S18" s="53" t="s">
        <v>68</v>
      </c>
      <c r="T18" s="53" t="s">
        <v>68</v>
      </c>
      <c r="U18" s="53" t="s">
        <v>68</v>
      </c>
      <c r="V18" s="53" t="s">
        <v>68</v>
      </c>
      <c r="W18" s="53" t="s">
        <v>68</v>
      </c>
      <c r="X18" s="53" t="s">
        <v>68</v>
      </c>
      <c r="Y18" s="53" t="s">
        <v>68</v>
      </c>
      <c r="Z18" s="53" t="s">
        <v>68</v>
      </c>
      <c r="AA18" s="53" t="s">
        <v>68</v>
      </c>
      <c r="AB18" s="53" t="s">
        <v>68</v>
      </c>
      <c r="AC18" s="53" t="s">
        <v>68</v>
      </c>
      <c r="AD18" s="53" t="s">
        <v>68</v>
      </c>
      <c r="AE18" s="53">
        <v>0</v>
      </c>
      <c r="AF18" s="120">
        <v>1</v>
      </c>
      <c r="AG18" s="120">
        <v>1</v>
      </c>
      <c r="AH18" s="184">
        <v>0</v>
      </c>
      <c r="AI18" s="184">
        <v>0</v>
      </c>
      <c r="AJ18" s="22" t="s">
        <v>33</v>
      </c>
      <c r="AL18" t="str">
        <f t="shared" si="0"/>
        <v xml:space="preserve">    (U1)ALERT_REQ_UNKNOWN</v>
      </c>
      <c r="AR18" s="55" t="str">
        <f t="shared" si="3"/>
        <v xml:space="preserve">    (U4)0x0000000CU,                                                           /* 12 UNKNOWN                                         */</v>
      </c>
      <c r="AS18" s="55" t="str">
        <f t="shared" si="4"/>
        <v xml:space="preserve">    (U4)0x0000001FU,                                                           /* 12 UNKNOWN                                         */</v>
      </c>
      <c r="AT18" s="55" t="str">
        <f t="shared" si="1"/>
        <v xml:space="preserve">    (U1)ALERT_REQ_UNKNOWN,                                                     /* 12 UNKNOWN                                         */</v>
      </c>
    </row>
    <row r="19" spans="2:49">
      <c r="B19" s="124"/>
      <c r="C19" s="39">
        <f t="shared" si="2"/>
        <v>13</v>
      </c>
      <c r="D19" s="53" t="s">
        <v>68</v>
      </c>
      <c r="E19" s="53" t="s">
        <v>68</v>
      </c>
      <c r="F19" s="53" t="s">
        <v>68</v>
      </c>
      <c r="G19" s="53" t="s">
        <v>68</v>
      </c>
      <c r="H19" s="53" t="s">
        <v>68</v>
      </c>
      <c r="I19" s="53" t="s">
        <v>68</v>
      </c>
      <c r="J19" s="53" t="s">
        <v>68</v>
      </c>
      <c r="K19" s="53" t="s">
        <v>68</v>
      </c>
      <c r="L19" s="53" t="s">
        <v>68</v>
      </c>
      <c r="M19" s="53" t="s">
        <v>68</v>
      </c>
      <c r="N19" s="53" t="s">
        <v>68</v>
      </c>
      <c r="O19" s="53" t="s">
        <v>68</v>
      </c>
      <c r="P19" s="53" t="s">
        <v>68</v>
      </c>
      <c r="Q19" s="53" t="s">
        <v>68</v>
      </c>
      <c r="R19" s="53" t="s">
        <v>68</v>
      </c>
      <c r="S19" s="53" t="s">
        <v>68</v>
      </c>
      <c r="T19" s="53" t="s">
        <v>68</v>
      </c>
      <c r="U19" s="53" t="s">
        <v>68</v>
      </c>
      <c r="V19" s="53" t="s">
        <v>68</v>
      </c>
      <c r="W19" s="53" t="s">
        <v>68</v>
      </c>
      <c r="X19" s="53" t="s">
        <v>68</v>
      </c>
      <c r="Y19" s="53" t="s">
        <v>68</v>
      </c>
      <c r="Z19" s="53" t="s">
        <v>68</v>
      </c>
      <c r="AA19" s="53" t="s">
        <v>68</v>
      </c>
      <c r="AB19" s="53" t="s">
        <v>68</v>
      </c>
      <c r="AC19" s="53" t="s">
        <v>68</v>
      </c>
      <c r="AD19" s="53" t="s">
        <v>68</v>
      </c>
      <c r="AE19" s="53">
        <v>0</v>
      </c>
      <c r="AF19" s="120">
        <v>1</v>
      </c>
      <c r="AG19" s="120">
        <v>1</v>
      </c>
      <c r="AH19" s="184">
        <v>0</v>
      </c>
      <c r="AI19" s="184">
        <v>1</v>
      </c>
      <c r="AJ19" s="22" t="s">
        <v>33</v>
      </c>
      <c r="AL19" t="str">
        <f t="shared" si="0"/>
        <v xml:space="preserve">    (U1)ALERT_REQ_UNKNOWN</v>
      </c>
      <c r="AR19" s="55" t="str">
        <f t="shared" si="3"/>
        <v xml:space="preserve">    (U4)0x0000000DU,                                                           /* 13 UNKNOWN                                         */</v>
      </c>
      <c r="AS19" s="55" t="str">
        <f t="shared" si="4"/>
        <v xml:space="preserve">    (U4)0x0000001FU,                                                           /* 13 UNKNOWN                                         */</v>
      </c>
      <c r="AT19" s="55" t="str">
        <f t="shared" si="1"/>
        <v xml:space="preserve">    (U1)ALERT_REQ_UNKNOWN,                                                     /* 13 UNKNOWN                                         */</v>
      </c>
    </row>
    <row r="20" spans="2:49">
      <c r="B20" s="124"/>
      <c r="C20" s="39">
        <f t="shared" si="2"/>
        <v>14</v>
      </c>
      <c r="D20" s="53" t="s">
        <v>68</v>
      </c>
      <c r="E20" s="53" t="s">
        <v>68</v>
      </c>
      <c r="F20" s="53" t="s">
        <v>68</v>
      </c>
      <c r="G20" s="53" t="s">
        <v>68</v>
      </c>
      <c r="H20" s="53" t="s">
        <v>68</v>
      </c>
      <c r="I20" s="53" t="s">
        <v>68</v>
      </c>
      <c r="J20" s="53" t="s">
        <v>68</v>
      </c>
      <c r="K20" s="53" t="s">
        <v>68</v>
      </c>
      <c r="L20" s="53" t="s">
        <v>68</v>
      </c>
      <c r="M20" s="53" t="s">
        <v>68</v>
      </c>
      <c r="N20" s="53" t="s">
        <v>68</v>
      </c>
      <c r="O20" s="53" t="s">
        <v>68</v>
      </c>
      <c r="P20" s="53" t="s">
        <v>68</v>
      </c>
      <c r="Q20" s="53" t="s">
        <v>68</v>
      </c>
      <c r="R20" s="53" t="s">
        <v>68</v>
      </c>
      <c r="S20" s="53" t="s">
        <v>68</v>
      </c>
      <c r="T20" s="53" t="s">
        <v>68</v>
      </c>
      <c r="U20" s="53" t="s">
        <v>68</v>
      </c>
      <c r="V20" s="53" t="s">
        <v>68</v>
      </c>
      <c r="W20" s="53" t="s">
        <v>68</v>
      </c>
      <c r="X20" s="53" t="s">
        <v>68</v>
      </c>
      <c r="Y20" s="53" t="s">
        <v>68</v>
      </c>
      <c r="Z20" s="53" t="s">
        <v>68</v>
      </c>
      <c r="AA20" s="53" t="s">
        <v>68</v>
      </c>
      <c r="AB20" s="53" t="s">
        <v>68</v>
      </c>
      <c r="AC20" s="53" t="s">
        <v>68</v>
      </c>
      <c r="AD20" s="53" t="s">
        <v>68</v>
      </c>
      <c r="AE20" s="53">
        <v>0</v>
      </c>
      <c r="AF20" s="120">
        <v>1</v>
      </c>
      <c r="AG20" s="120">
        <v>1</v>
      </c>
      <c r="AH20" s="184">
        <v>1</v>
      </c>
      <c r="AI20" s="184">
        <v>0</v>
      </c>
      <c r="AJ20" s="22" t="s">
        <v>33</v>
      </c>
      <c r="AL20" t="str">
        <f t="shared" si="0"/>
        <v xml:space="preserve">    (U1)ALERT_REQ_UNKNOWN</v>
      </c>
      <c r="AR20" s="55" t="str">
        <f t="shared" si="3"/>
        <v xml:space="preserve">    (U4)0x0000000EU,                                                           /* 14 UNKNOWN                                         */</v>
      </c>
      <c r="AS20" s="55" t="str">
        <f t="shared" si="4"/>
        <v xml:space="preserve">    (U4)0x0000001FU,                                                           /* 14 UNKNOWN                                         */</v>
      </c>
      <c r="AT20" s="55" t="str">
        <f t="shared" si="1"/>
        <v xml:space="preserve">    (U1)ALERT_REQ_UNKNOWN,                                                     /* 14 UNKNOWN                                         */</v>
      </c>
    </row>
    <row r="21" spans="2:49">
      <c r="B21" s="124"/>
      <c r="C21" s="39">
        <f t="shared" si="2"/>
        <v>15</v>
      </c>
      <c r="D21" s="53" t="s">
        <v>68</v>
      </c>
      <c r="E21" s="53" t="s">
        <v>68</v>
      </c>
      <c r="F21" s="53" t="s">
        <v>68</v>
      </c>
      <c r="G21" s="53" t="s">
        <v>68</v>
      </c>
      <c r="H21" s="53" t="s">
        <v>68</v>
      </c>
      <c r="I21" s="53" t="s">
        <v>68</v>
      </c>
      <c r="J21" s="53" t="s">
        <v>68</v>
      </c>
      <c r="K21" s="53" t="s">
        <v>68</v>
      </c>
      <c r="L21" s="53" t="s">
        <v>68</v>
      </c>
      <c r="M21" s="53" t="s">
        <v>68</v>
      </c>
      <c r="N21" s="53" t="s">
        <v>68</v>
      </c>
      <c r="O21" s="53" t="s">
        <v>68</v>
      </c>
      <c r="P21" s="53" t="s">
        <v>68</v>
      </c>
      <c r="Q21" s="53" t="s">
        <v>68</v>
      </c>
      <c r="R21" s="53" t="s">
        <v>68</v>
      </c>
      <c r="S21" s="53" t="s">
        <v>68</v>
      </c>
      <c r="T21" s="53" t="s">
        <v>68</v>
      </c>
      <c r="U21" s="53" t="s">
        <v>68</v>
      </c>
      <c r="V21" s="53" t="s">
        <v>68</v>
      </c>
      <c r="W21" s="53" t="s">
        <v>68</v>
      </c>
      <c r="X21" s="53" t="s">
        <v>68</v>
      </c>
      <c r="Y21" s="53" t="s">
        <v>68</v>
      </c>
      <c r="Z21" s="53" t="s">
        <v>68</v>
      </c>
      <c r="AA21" s="53" t="s">
        <v>68</v>
      </c>
      <c r="AB21" s="53" t="s">
        <v>68</v>
      </c>
      <c r="AC21" s="53" t="s">
        <v>68</v>
      </c>
      <c r="AD21" s="53" t="s">
        <v>68</v>
      </c>
      <c r="AE21" s="53">
        <v>0</v>
      </c>
      <c r="AF21" s="120">
        <v>1</v>
      </c>
      <c r="AG21" s="120">
        <v>1</v>
      </c>
      <c r="AH21" s="53">
        <v>1</v>
      </c>
      <c r="AI21" s="53">
        <v>1</v>
      </c>
      <c r="AJ21" s="22" t="s">
        <v>33</v>
      </c>
      <c r="AL21" t="str">
        <f t="shared" si="0"/>
        <v xml:space="preserve">    (U1)ALERT_REQ_UNKNOWN</v>
      </c>
      <c r="AR21" s="55" t="str">
        <f t="shared" si="3"/>
        <v xml:space="preserve">    (U4)0x0000000FU,                                                           /* 15 UNKNOWN                                         */</v>
      </c>
      <c r="AS21" s="55" t="str">
        <f t="shared" si="4"/>
        <v xml:space="preserve">    (U4)0x0000001FU,                                                           /* 15 UNKNOWN                                         */</v>
      </c>
      <c r="AT21" s="55" t="str">
        <f t="shared" si="1"/>
        <v xml:space="preserve">    (U1)ALERT_REQ_UNKNOWN,                                                     /* 15 UNKNOWN                                         */</v>
      </c>
    </row>
    <row r="22" spans="2:49">
      <c r="B22" s="124"/>
      <c r="C22" s="39">
        <f t="shared" si="2"/>
        <v>16</v>
      </c>
      <c r="D22" s="53" t="s">
        <v>68</v>
      </c>
      <c r="E22" s="53" t="s">
        <v>68</v>
      </c>
      <c r="F22" s="53" t="s">
        <v>68</v>
      </c>
      <c r="G22" s="53" t="s">
        <v>68</v>
      </c>
      <c r="H22" s="53" t="s">
        <v>68</v>
      </c>
      <c r="I22" s="53" t="s">
        <v>68</v>
      </c>
      <c r="J22" s="53" t="s">
        <v>68</v>
      </c>
      <c r="K22" s="53" t="s">
        <v>68</v>
      </c>
      <c r="L22" s="53" t="s">
        <v>68</v>
      </c>
      <c r="M22" s="53" t="s">
        <v>68</v>
      </c>
      <c r="N22" s="53" t="s">
        <v>68</v>
      </c>
      <c r="O22" s="53" t="s">
        <v>68</v>
      </c>
      <c r="P22" s="53" t="s">
        <v>68</v>
      </c>
      <c r="Q22" s="53" t="s">
        <v>68</v>
      </c>
      <c r="R22" s="53" t="s">
        <v>68</v>
      </c>
      <c r="S22" s="53" t="s">
        <v>68</v>
      </c>
      <c r="T22" s="53" t="s">
        <v>68</v>
      </c>
      <c r="U22" s="53" t="s">
        <v>68</v>
      </c>
      <c r="V22" s="53" t="s">
        <v>68</v>
      </c>
      <c r="W22" s="53" t="s">
        <v>68</v>
      </c>
      <c r="X22" s="53" t="s">
        <v>68</v>
      </c>
      <c r="Y22" s="53" t="s">
        <v>68</v>
      </c>
      <c r="Z22" s="53" t="s">
        <v>68</v>
      </c>
      <c r="AA22" s="53" t="s">
        <v>68</v>
      </c>
      <c r="AB22" s="53" t="s">
        <v>68</v>
      </c>
      <c r="AC22" s="53" t="s">
        <v>68</v>
      </c>
      <c r="AD22" s="53" t="s">
        <v>68</v>
      </c>
      <c r="AE22" s="53">
        <v>1</v>
      </c>
      <c r="AF22" s="53">
        <v>0</v>
      </c>
      <c r="AG22" s="120">
        <v>0</v>
      </c>
      <c r="AH22" s="184">
        <v>0</v>
      </c>
      <c r="AI22" s="184">
        <v>0</v>
      </c>
      <c r="AJ22" s="22" t="s">
        <v>33</v>
      </c>
      <c r="AL22" t="str">
        <f t="shared" si="0"/>
        <v xml:space="preserve">    (U1)ALERT_REQ_UNKNOWN</v>
      </c>
      <c r="AR22" s="55" t="str">
        <f t="shared" si="3"/>
        <v xml:space="preserve">    (U4)0x00000010U,                                                           /* 16 UNKNOWN                                         */</v>
      </c>
      <c r="AS22" s="55" t="str">
        <f t="shared" si="4"/>
        <v xml:space="preserve">    (U4)0x0000001FU,                                                           /* 16 UNKNOWN                                         */</v>
      </c>
      <c r="AT22" s="55" t="str">
        <f t="shared" si="1"/>
        <v xml:space="preserve">    (U1)ALERT_REQ_UNKNOWN,                                                     /* 16 UNKNOWN                                         */</v>
      </c>
    </row>
    <row r="23" spans="2:49">
      <c r="B23" s="124"/>
      <c r="C23" s="39">
        <f t="shared" si="2"/>
        <v>17</v>
      </c>
      <c r="D23" s="53" t="s">
        <v>68</v>
      </c>
      <c r="E23" s="53" t="s">
        <v>68</v>
      </c>
      <c r="F23" s="53" t="s">
        <v>68</v>
      </c>
      <c r="G23" s="53" t="s">
        <v>68</v>
      </c>
      <c r="H23" s="53" t="s">
        <v>68</v>
      </c>
      <c r="I23" s="53" t="s">
        <v>68</v>
      </c>
      <c r="J23" s="53" t="s">
        <v>68</v>
      </c>
      <c r="K23" s="53" t="s">
        <v>68</v>
      </c>
      <c r="L23" s="53" t="s">
        <v>68</v>
      </c>
      <c r="M23" s="53" t="s">
        <v>68</v>
      </c>
      <c r="N23" s="53" t="s">
        <v>68</v>
      </c>
      <c r="O23" s="53" t="s">
        <v>68</v>
      </c>
      <c r="P23" s="53" t="s">
        <v>68</v>
      </c>
      <c r="Q23" s="53" t="s">
        <v>68</v>
      </c>
      <c r="R23" s="53" t="s">
        <v>68</v>
      </c>
      <c r="S23" s="53" t="s">
        <v>68</v>
      </c>
      <c r="T23" s="53" t="s">
        <v>68</v>
      </c>
      <c r="U23" s="53" t="s">
        <v>68</v>
      </c>
      <c r="V23" s="53" t="s">
        <v>68</v>
      </c>
      <c r="W23" s="53" t="s">
        <v>68</v>
      </c>
      <c r="X23" s="53" t="s">
        <v>68</v>
      </c>
      <c r="Y23" s="53" t="s">
        <v>68</v>
      </c>
      <c r="Z23" s="53" t="s">
        <v>68</v>
      </c>
      <c r="AA23" s="53" t="s">
        <v>68</v>
      </c>
      <c r="AB23" s="53" t="s">
        <v>68</v>
      </c>
      <c r="AC23" s="53" t="s">
        <v>68</v>
      </c>
      <c r="AD23" s="53" t="s">
        <v>68</v>
      </c>
      <c r="AE23" s="53">
        <v>1</v>
      </c>
      <c r="AF23" s="53">
        <v>0</v>
      </c>
      <c r="AG23" s="120">
        <v>0</v>
      </c>
      <c r="AH23" s="184">
        <v>0</v>
      </c>
      <c r="AI23" s="184">
        <v>1</v>
      </c>
      <c r="AJ23" s="22" t="s">
        <v>33</v>
      </c>
      <c r="AL23" t="str">
        <f t="shared" si="0"/>
        <v xml:space="preserve">    (U1)ALERT_REQ_UNKNOWN</v>
      </c>
      <c r="AR23" s="55" t="str">
        <f t="shared" si="3"/>
        <v xml:space="preserve">    (U4)0x00000011U,                                                           /* 17 UNKNOWN                                         */</v>
      </c>
      <c r="AS23" s="55" t="str">
        <f t="shared" si="4"/>
        <v xml:space="preserve">    (U4)0x0000001FU,                                                           /* 17 UNKNOWN                                         */</v>
      </c>
      <c r="AT23" s="55" t="str">
        <f t="shared" si="1"/>
        <v xml:space="preserve">    (U1)ALERT_REQ_UNKNOWN,                                                     /* 17 UNKNOWN                                         */</v>
      </c>
    </row>
    <row r="24" spans="2:49">
      <c r="B24" s="124"/>
      <c r="C24" s="39">
        <f t="shared" si="2"/>
        <v>18</v>
      </c>
      <c r="D24" s="53" t="s">
        <v>68</v>
      </c>
      <c r="E24" s="53" t="s">
        <v>68</v>
      </c>
      <c r="F24" s="53" t="s">
        <v>68</v>
      </c>
      <c r="G24" s="53" t="s">
        <v>68</v>
      </c>
      <c r="H24" s="53" t="s">
        <v>68</v>
      </c>
      <c r="I24" s="53" t="s">
        <v>68</v>
      </c>
      <c r="J24" s="53" t="s">
        <v>68</v>
      </c>
      <c r="K24" s="53" t="s">
        <v>68</v>
      </c>
      <c r="L24" s="53" t="s">
        <v>68</v>
      </c>
      <c r="M24" s="53" t="s">
        <v>68</v>
      </c>
      <c r="N24" s="53" t="s">
        <v>68</v>
      </c>
      <c r="O24" s="53" t="s">
        <v>68</v>
      </c>
      <c r="P24" s="53" t="s">
        <v>68</v>
      </c>
      <c r="Q24" s="53" t="s">
        <v>68</v>
      </c>
      <c r="R24" s="53" t="s">
        <v>68</v>
      </c>
      <c r="S24" s="53" t="s">
        <v>68</v>
      </c>
      <c r="T24" s="53" t="s">
        <v>68</v>
      </c>
      <c r="U24" s="53" t="s">
        <v>68</v>
      </c>
      <c r="V24" s="53" t="s">
        <v>68</v>
      </c>
      <c r="W24" s="53" t="s">
        <v>68</v>
      </c>
      <c r="X24" s="53" t="s">
        <v>68</v>
      </c>
      <c r="Y24" s="53" t="s">
        <v>68</v>
      </c>
      <c r="Z24" s="53" t="s">
        <v>68</v>
      </c>
      <c r="AA24" s="53" t="s">
        <v>68</v>
      </c>
      <c r="AB24" s="53" t="s">
        <v>68</v>
      </c>
      <c r="AC24" s="53" t="s">
        <v>68</v>
      </c>
      <c r="AD24" s="53" t="s">
        <v>68</v>
      </c>
      <c r="AE24" s="53">
        <v>1</v>
      </c>
      <c r="AF24" s="53">
        <v>0</v>
      </c>
      <c r="AG24" s="120">
        <v>0</v>
      </c>
      <c r="AH24" s="184">
        <v>1</v>
      </c>
      <c r="AI24" s="184">
        <v>0</v>
      </c>
      <c r="AJ24" s="22" t="s">
        <v>33</v>
      </c>
      <c r="AL24" t="str">
        <f t="shared" si="0"/>
        <v xml:space="preserve">    (U1)ALERT_REQ_UNKNOWN</v>
      </c>
      <c r="AR24" s="55" t="str">
        <f t="shared" si="3"/>
        <v xml:space="preserve">    (U4)0x00000012U,                                                           /* 18 UNKNOWN                                         */</v>
      </c>
      <c r="AS24" s="55" t="str">
        <f t="shared" si="4"/>
        <v xml:space="preserve">    (U4)0x0000001FU,                                                           /* 18 UNKNOWN                                         */</v>
      </c>
      <c r="AT24" s="55" t="str">
        <f t="shared" si="1"/>
        <v xml:space="preserve">    (U1)ALERT_REQ_UNKNOWN,                                                     /* 18 UNKNOWN                                         */</v>
      </c>
    </row>
    <row r="25" spans="2:49">
      <c r="B25" s="124"/>
      <c r="C25" s="39">
        <f t="shared" si="2"/>
        <v>19</v>
      </c>
      <c r="D25" s="53" t="s">
        <v>68</v>
      </c>
      <c r="E25" s="53" t="s">
        <v>68</v>
      </c>
      <c r="F25" s="53" t="s">
        <v>68</v>
      </c>
      <c r="G25" s="53" t="s">
        <v>68</v>
      </c>
      <c r="H25" s="53" t="s">
        <v>68</v>
      </c>
      <c r="I25" s="53" t="s">
        <v>68</v>
      </c>
      <c r="J25" s="53" t="s">
        <v>68</v>
      </c>
      <c r="K25" s="53" t="s">
        <v>68</v>
      </c>
      <c r="L25" s="53" t="s">
        <v>68</v>
      </c>
      <c r="M25" s="53" t="s">
        <v>68</v>
      </c>
      <c r="N25" s="53" t="s">
        <v>68</v>
      </c>
      <c r="O25" s="53" t="s">
        <v>68</v>
      </c>
      <c r="P25" s="53" t="s">
        <v>68</v>
      </c>
      <c r="Q25" s="53" t="s">
        <v>68</v>
      </c>
      <c r="R25" s="53" t="s">
        <v>68</v>
      </c>
      <c r="S25" s="53" t="s">
        <v>68</v>
      </c>
      <c r="T25" s="53" t="s">
        <v>68</v>
      </c>
      <c r="U25" s="53" t="s">
        <v>68</v>
      </c>
      <c r="V25" s="53" t="s">
        <v>68</v>
      </c>
      <c r="W25" s="53" t="s">
        <v>68</v>
      </c>
      <c r="X25" s="53" t="s">
        <v>68</v>
      </c>
      <c r="Y25" s="53" t="s">
        <v>68</v>
      </c>
      <c r="Z25" s="53" t="s">
        <v>68</v>
      </c>
      <c r="AA25" s="53" t="s">
        <v>68</v>
      </c>
      <c r="AB25" s="53" t="s">
        <v>68</v>
      </c>
      <c r="AC25" s="53" t="s">
        <v>68</v>
      </c>
      <c r="AD25" s="53" t="s">
        <v>68</v>
      </c>
      <c r="AE25" s="53">
        <v>1</v>
      </c>
      <c r="AF25" s="53">
        <v>0</v>
      </c>
      <c r="AG25" s="120">
        <v>0</v>
      </c>
      <c r="AH25" s="53">
        <v>1</v>
      </c>
      <c r="AI25" s="53">
        <v>1</v>
      </c>
      <c r="AJ25" s="22" t="s">
        <v>33</v>
      </c>
      <c r="AL25" t="str">
        <f t="shared" si="0"/>
        <v xml:space="preserve">    (U1)ALERT_REQ_UNKNOWN</v>
      </c>
      <c r="AR25" s="55" t="str">
        <f t="shared" si="3"/>
        <v xml:space="preserve">    (U4)0x00000013U,                                                           /* 19 UNKNOWN                                         */</v>
      </c>
      <c r="AS25" s="55" t="str">
        <f t="shared" si="4"/>
        <v xml:space="preserve">    (U4)0x0000001FU,                                                           /* 19 UNKNOWN                                         */</v>
      </c>
      <c r="AT25" s="55" t="str">
        <f t="shared" si="1"/>
        <v xml:space="preserve">    (U1)ALERT_REQ_UNKNOWN,                                                     /* 19 UNKNOWN                                         */</v>
      </c>
    </row>
    <row r="26" spans="2:49">
      <c r="B26" s="124"/>
      <c r="C26" s="39">
        <f t="shared" si="2"/>
        <v>20</v>
      </c>
      <c r="D26" s="53" t="s">
        <v>68</v>
      </c>
      <c r="E26" s="53" t="s">
        <v>68</v>
      </c>
      <c r="F26" s="53" t="s">
        <v>68</v>
      </c>
      <c r="G26" s="53" t="s">
        <v>68</v>
      </c>
      <c r="H26" s="53" t="s">
        <v>68</v>
      </c>
      <c r="I26" s="53" t="s">
        <v>68</v>
      </c>
      <c r="J26" s="53" t="s">
        <v>68</v>
      </c>
      <c r="K26" s="53" t="s">
        <v>68</v>
      </c>
      <c r="L26" s="53" t="s">
        <v>68</v>
      </c>
      <c r="M26" s="53" t="s">
        <v>68</v>
      </c>
      <c r="N26" s="53" t="s">
        <v>68</v>
      </c>
      <c r="O26" s="53" t="s">
        <v>68</v>
      </c>
      <c r="P26" s="53" t="s">
        <v>68</v>
      </c>
      <c r="Q26" s="53" t="s">
        <v>68</v>
      </c>
      <c r="R26" s="53" t="s">
        <v>68</v>
      </c>
      <c r="S26" s="53" t="s">
        <v>68</v>
      </c>
      <c r="T26" s="53" t="s">
        <v>68</v>
      </c>
      <c r="U26" s="53" t="s">
        <v>68</v>
      </c>
      <c r="V26" s="53" t="s">
        <v>68</v>
      </c>
      <c r="W26" s="53" t="s">
        <v>68</v>
      </c>
      <c r="X26" s="53" t="s">
        <v>68</v>
      </c>
      <c r="Y26" s="53" t="s">
        <v>68</v>
      </c>
      <c r="Z26" s="53" t="s">
        <v>68</v>
      </c>
      <c r="AA26" s="53" t="s">
        <v>68</v>
      </c>
      <c r="AB26" s="53" t="s">
        <v>68</v>
      </c>
      <c r="AC26" s="53" t="s">
        <v>68</v>
      </c>
      <c r="AD26" s="53" t="s">
        <v>68</v>
      </c>
      <c r="AE26" s="53">
        <v>1</v>
      </c>
      <c r="AF26" s="53">
        <v>0</v>
      </c>
      <c r="AG26" s="120">
        <v>1</v>
      </c>
      <c r="AH26" s="184">
        <v>0</v>
      </c>
      <c r="AI26" s="184">
        <v>0</v>
      </c>
      <c r="AJ26" s="22" t="s">
        <v>33</v>
      </c>
      <c r="AL26" t="str">
        <f t="shared" si="0"/>
        <v xml:space="preserve">    (U1)ALERT_REQ_UNKNOWN</v>
      </c>
      <c r="AR26" s="55" t="str">
        <f t="shared" si="3"/>
        <v xml:space="preserve">    (U4)0x00000014U,                                                           /* 20 UNKNOWN                                         */</v>
      </c>
      <c r="AS26" s="55" t="str">
        <f t="shared" si="4"/>
        <v xml:space="preserve">    (U4)0x0000001FU,                                                           /* 20 UNKNOWN                                         */</v>
      </c>
      <c r="AT26" s="55" t="str">
        <f t="shared" si="1"/>
        <v xml:space="preserve">    (U1)ALERT_REQ_UNKNOWN,                                                     /* 20 UNKNOWN                                         */</v>
      </c>
    </row>
    <row r="27" spans="2:49">
      <c r="B27" s="124"/>
      <c r="C27" s="39">
        <f t="shared" si="2"/>
        <v>21</v>
      </c>
      <c r="D27" s="53" t="s">
        <v>68</v>
      </c>
      <c r="E27" s="53" t="s">
        <v>68</v>
      </c>
      <c r="F27" s="53" t="s">
        <v>68</v>
      </c>
      <c r="G27" s="53" t="s">
        <v>68</v>
      </c>
      <c r="H27" s="53" t="s">
        <v>68</v>
      </c>
      <c r="I27" s="53" t="s">
        <v>68</v>
      </c>
      <c r="J27" s="53" t="s">
        <v>68</v>
      </c>
      <c r="K27" s="53" t="s">
        <v>68</v>
      </c>
      <c r="L27" s="53" t="s">
        <v>68</v>
      </c>
      <c r="M27" s="53" t="s">
        <v>68</v>
      </c>
      <c r="N27" s="53" t="s">
        <v>68</v>
      </c>
      <c r="O27" s="53" t="s">
        <v>68</v>
      </c>
      <c r="P27" s="53" t="s">
        <v>68</v>
      </c>
      <c r="Q27" s="53" t="s">
        <v>68</v>
      </c>
      <c r="R27" s="53" t="s">
        <v>68</v>
      </c>
      <c r="S27" s="53" t="s">
        <v>68</v>
      </c>
      <c r="T27" s="53" t="s">
        <v>68</v>
      </c>
      <c r="U27" s="53" t="s">
        <v>68</v>
      </c>
      <c r="V27" s="53" t="s">
        <v>68</v>
      </c>
      <c r="W27" s="53" t="s">
        <v>68</v>
      </c>
      <c r="X27" s="53" t="s">
        <v>68</v>
      </c>
      <c r="Y27" s="53" t="s">
        <v>68</v>
      </c>
      <c r="Z27" s="53" t="s">
        <v>68</v>
      </c>
      <c r="AA27" s="53" t="s">
        <v>68</v>
      </c>
      <c r="AB27" s="53" t="s">
        <v>68</v>
      </c>
      <c r="AC27" s="53" t="s">
        <v>68</v>
      </c>
      <c r="AD27" s="53" t="s">
        <v>68</v>
      </c>
      <c r="AE27" s="53">
        <v>1</v>
      </c>
      <c r="AF27" s="53">
        <v>0</v>
      </c>
      <c r="AG27" s="120">
        <v>1</v>
      </c>
      <c r="AH27" s="184">
        <v>0</v>
      </c>
      <c r="AI27" s="184">
        <v>1</v>
      </c>
      <c r="AJ27" s="22" t="s">
        <v>33</v>
      </c>
      <c r="AL27" t="str">
        <f t="shared" si="0"/>
        <v xml:space="preserve">    (U1)ALERT_REQ_UNKNOWN</v>
      </c>
      <c r="AR27" s="55" t="str">
        <f t="shared" si="3"/>
        <v xml:space="preserve">    (U4)0x00000015U,                                                           /* 21 UNKNOWN                                         */</v>
      </c>
      <c r="AS27" s="55" t="str">
        <f t="shared" si="4"/>
        <v xml:space="preserve">    (U4)0x0000001FU,                                                           /* 21 UNKNOWN                                         */</v>
      </c>
      <c r="AT27" s="55" t="str">
        <f t="shared" si="1"/>
        <v xml:space="preserve">    (U1)ALERT_REQ_UNKNOWN,                                                     /* 21 UNKNOWN                                         */</v>
      </c>
    </row>
    <row r="28" spans="2:49">
      <c r="B28" s="124"/>
      <c r="C28" s="39">
        <f t="shared" si="2"/>
        <v>22</v>
      </c>
      <c r="D28" s="53" t="s">
        <v>68</v>
      </c>
      <c r="E28" s="53" t="s">
        <v>68</v>
      </c>
      <c r="F28" s="53" t="s">
        <v>68</v>
      </c>
      <c r="G28" s="53" t="s">
        <v>68</v>
      </c>
      <c r="H28" s="53" t="s">
        <v>68</v>
      </c>
      <c r="I28" s="53" t="s">
        <v>68</v>
      </c>
      <c r="J28" s="53" t="s">
        <v>68</v>
      </c>
      <c r="K28" s="53" t="s">
        <v>68</v>
      </c>
      <c r="L28" s="53" t="s">
        <v>68</v>
      </c>
      <c r="M28" s="53" t="s">
        <v>68</v>
      </c>
      <c r="N28" s="53" t="s">
        <v>68</v>
      </c>
      <c r="O28" s="53" t="s">
        <v>68</v>
      </c>
      <c r="P28" s="53" t="s">
        <v>68</v>
      </c>
      <c r="Q28" s="53" t="s">
        <v>68</v>
      </c>
      <c r="R28" s="53" t="s">
        <v>68</v>
      </c>
      <c r="S28" s="53" t="s">
        <v>68</v>
      </c>
      <c r="T28" s="53" t="s">
        <v>68</v>
      </c>
      <c r="U28" s="53" t="s">
        <v>68</v>
      </c>
      <c r="V28" s="53" t="s">
        <v>68</v>
      </c>
      <c r="W28" s="53" t="s">
        <v>68</v>
      </c>
      <c r="X28" s="53" t="s">
        <v>68</v>
      </c>
      <c r="Y28" s="53" t="s">
        <v>68</v>
      </c>
      <c r="Z28" s="53" t="s">
        <v>68</v>
      </c>
      <c r="AA28" s="53" t="s">
        <v>68</v>
      </c>
      <c r="AB28" s="53" t="s">
        <v>68</v>
      </c>
      <c r="AC28" s="53" t="s">
        <v>68</v>
      </c>
      <c r="AD28" s="53" t="s">
        <v>68</v>
      </c>
      <c r="AE28" s="53">
        <v>1</v>
      </c>
      <c r="AF28" s="53">
        <v>0</v>
      </c>
      <c r="AG28" s="120">
        <v>1</v>
      </c>
      <c r="AH28" s="184">
        <v>1</v>
      </c>
      <c r="AI28" s="184">
        <v>0</v>
      </c>
      <c r="AJ28" s="22" t="s">
        <v>33</v>
      </c>
      <c r="AL28" t="str">
        <f t="shared" si="0"/>
        <v xml:space="preserve">    (U1)ALERT_REQ_UNKNOWN</v>
      </c>
      <c r="AR28" s="55" t="str">
        <f t="shared" si="3"/>
        <v xml:space="preserve">    (U4)0x00000016U,                                                           /* 22 UNKNOWN                                         */</v>
      </c>
      <c r="AS28" s="55" t="str">
        <f t="shared" si="4"/>
        <v xml:space="preserve">    (U4)0x0000001FU,                                                           /* 22 UNKNOWN                                         */</v>
      </c>
      <c r="AT28" s="55" t="str">
        <f t="shared" si="1"/>
        <v xml:space="preserve">    (U1)ALERT_REQ_UNKNOWN,                                                     /* 22 UNKNOWN                                         */</v>
      </c>
    </row>
    <row r="29" spans="2:49">
      <c r="B29" s="124"/>
      <c r="C29" s="39">
        <f t="shared" si="2"/>
        <v>23</v>
      </c>
      <c r="D29" s="53" t="s">
        <v>68</v>
      </c>
      <c r="E29" s="53" t="s">
        <v>68</v>
      </c>
      <c r="F29" s="53" t="s">
        <v>68</v>
      </c>
      <c r="G29" s="53" t="s">
        <v>68</v>
      </c>
      <c r="H29" s="53" t="s">
        <v>68</v>
      </c>
      <c r="I29" s="53" t="s">
        <v>68</v>
      </c>
      <c r="J29" s="53" t="s">
        <v>68</v>
      </c>
      <c r="K29" s="53" t="s">
        <v>68</v>
      </c>
      <c r="L29" s="53" t="s">
        <v>68</v>
      </c>
      <c r="M29" s="53" t="s">
        <v>68</v>
      </c>
      <c r="N29" s="53" t="s">
        <v>68</v>
      </c>
      <c r="O29" s="53" t="s">
        <v>68</v>
      </c>
      <c r="P29" s="53" t="s">
        <v>68</v>
      </c>
      <c r="Q29" s="53" t="s">
        <v>68</v>
      </c>
      <c r="R29" s="53" t="s">
        <v>68</v>
      </c>
      <c r="S29" s="53" t="s">
        <v>68</v>
      </c>
      <c r="T29" s="53" t="s">
        <v>68</v>
      </c>
      <c r="U29" s="53" t="s">
        <v>68</v>
      </c>
      <c r="V29" s="53" t="s">
        <v>68</v>
      </c>
      <c r="W29" s="53" t="s">
        <v>68</v>
      </c>
      <c r="X29" s="53" t="s">
        <v>68</v>
      </c>
      <c r="Y29" s="53" t="s">
        <v>68</v>
      </c>
      <c r="Z29" s="53" t="s">
        <v>68</v>
      </c>
      <c r="AA29" s="53" t="s">
        <v>68</v>
      </c>
      <c r="AB29" s="53" t="s">
        <v>68</v>
      </c>
      <c r="AC29" s="53" t="s">
        <v>68</v>
      </c>
      <c r="AD29" s="53" t="s">
        <v>68</v>
      </c>
      <c r="AE29" s="53">
        <v>1</v>
      </c>
      <c r="AF29" s="53">
        <v>0</v>
      </c>
      <c r="AG29" s="120">
        <v>1</v>
      </c>
      <c r="AH29" s="53">
        <v>1</v>
      </c>
      <c r="AI29" s="53">
        <v>1</v>
      </c>
      <c r="AJ29" s="22" t="s">
        <v>33</v>
      </c>
      <c r="AL29" t="str">
        <f t="shared" si="0"/>
        <v xml:space="preserve">    (U1)ALERT_REQ_UNKNOWN</v>
      </c>
      <c r="AR29" s="55" t="str">
        <f t="shared" si="3"/>
        <v xml:space="preserve">    (U4)0x00000017U,                                                           /* 23 UNKNOWN                                         */</v>
      </c>
      <c r="AS29" s="55" t="str">
        <f t="shared" si="4"/>
        <v xml:space="preserve">    (U4)0x0000001FU,                                                           /* 23 UNKNOWN                                         */</v>
      </c>
      <c r="AT29" s="55" t="str">
        <f t="shared" si="1"/>
        <v xml:space="preserve">    (U1)ALERT_REQ_UNKNOWN,                                                     /* 23 UNKNOWN                                         */</v>
      </c>
    </row>
    <row r="30" spans="2:49">
      <c r="B30" s="124"/>
      <c r="C30" s="39">
        <f t="shared" si="2"/>
        <v>24</v>
      </c>
      <c r="D30" s="53" t="s">
        <v>68</v>
      </c>
      <c r="E30" s="53" t="s">
        <v>68</v>
      </c>
      <c r="F30" s="53" t="s">
        <v>68</v>
      </c>
      <c r="G30" s="53" t="s">
        <v>68</v>
      </c>
      <c r="H30" s="53" t="s">
        <v>68</v>
      </c>
      <c r="I30" s="53" t="s">
        <v>68</v>
      </c>
      <c r="J30" s="53" t="s">
        <v>68</v>
      </c>
      <c r="K30" s="53" t="s">
        <v>68</v>
      </c>
      <c r="L30" s="53" t="s">
        <v>68</v>
      </c>
      <c r="M30" s="53" t="s">
        <v>68</v>
      </c>
      <c r="N30" s="53" t="s">
        <v>68</v>
      </c>
      <c r="O30" s="53" t="s">
        <v>68</v>
      </c>
      <c r="P30" s="53" t="s">
        <v>68</v>
      </c>
      <c r="Q30" s="53" t="s">
        <v>68</v>
      </c>
      <c r="R30" s="53" t="s">
        <v>68</v>
      </c>
      <c r="S30" s="53" t="s">
        <v>68</v>
      </c>
      <c r="T30" s="53" t="s">
        <v>68</v>
      </c>
      <c r="U30" s="53" t="s">
        <v>68</v>
      </c>
      <c r="V30" s="53" t="s">
        <v>68</v>
      </c>
      <c r="W30" s="53" t="s">
        <v>68</v>
      </c>
      <c r="X30" s="53" t="s">
        <v>68</v>
      </c>
      <c r="Y30" s="53" t="s">
        <v>68</v>
      </c>
      <c r="Z30" s="53" t="s">
        <v>68</v>
      </c>
      <c r="AA30" s="53" t="s">
        <v>68</v>
      </c>
      <c r="AB30" s="53" t="s">
        <v>68</v>
      </c>
      <c r="AC30" s="53" t="s">
        <v>68</v>
      </c>
      <c r="AD30" s="53" t="s">
        <v>68</v>
      </c>
      <c r="AE30" s="53">
        <v>1</v>
      </c>
      <c r="AF30" s="53">
        <v>1</v>
      </c>
      <c r="AG30" s="120">
        <v>0</v>
      </c>
      <c r="AH30" s="184">
        <v>0</v>
      </c>
      <c r="AI30" s="184">
        <v>0</v>
      </c>
      <c r="AJ30" s="22" t="s">
        <v>33</v>
      </c>
      <c r="AL30" t="str">
        <f t="shared" si="0"/>
        <v xml:space="preserve">    (U1)ALERT_REQ_UNKNOWN</v>
      </c>
      <c r="AR30" s="55" t="str">
        <f t="shared" si="3"/>
        <v xml:space="preserve">    (U4)0x00000018U,                                                           /* 24 UNKNOWN                                         */</v>
      </c>
      <c r="AS30" s="55" t="str">
        <f t="shared" si="4"/>
        <v xml:space="preserve">    (U4)0x0000001FU,                                                           /* 24 UNKNOWN                                         */</v>
      </c>
      <c r="AT30" s="55" t="str">
        <f t="shared" si="1"/>
        <v xml:space="preserve">    (U1)ALERT_REQ_UNKNOWN,                                                     /* 24 UNKNOWN                                         */</v>
      </c>
    </row>
    <row r="31" spans="2:49">
      <c r="B31" s="124"/>
      <c r="C31" s="39">
        <f t="shared" si="2"/>
        <v>25</v>
      </c>
      <c r="D31" s="53" t="s">
        <v>68</v>
      </c>
      <c r="E31" s="53" t="s">
        <v>68</v>
      </c>
      <c r="F31" s="53" t="s">
        <v>68</v>
      </c>
      <c r="G31" s="53" t="s">
        <v>68</v>
      </c>
      <c r="H31" s="53" t="s">
        <v>68</v>
      </c>
      <c r="I31" s="53" t="s">
        <v>68</v>
      </c>
      <c r="J31" s="53" t="s">
        <v>68</v>
      </c>
      <c r="K31" s="53" t="s">
        <v>68</v>
      </c>
      <c r="L31" s="53" t="s">
        <v>68</v>
      </c>
      <c r="M31" s="53" t="s">
        <v>68</v>
      </c>
      <c r="N31" s="53" t="s">
        <v>68</v>
      </c>
      <c r="O31" s="53" t="s">
        <v>68</v>
      </c>
      <c r="P31" s="53" t="s">
        <v>68</v>
      </c>
      <c r="Q31" s="53" t="s">
        <v>68</v>
      </c>
      <c r="R31" s="53" t="s">
        <v>68</v>
      </c>
      <c r="S31" s="53" t="s">
        <v>68</v>
      </c>
      <c r="T31" s="53" t="s">
        <v>68</v>
      </c>
      <c r="U31" s="53" t="s">
        <v>68</v>
      </c>
      <c r="V31" s="53" t="s">
        <v>68</v>
      </c>
      <c r="W31" s="53" t="s">
        <v>68</v>
      </c>
      <c r="X31" s="53" t="s">
        <v>68</v>
      </c>
      <c r="Y31" s="53" t="s">
        <v>68</v>
      </c>
      <c r="Z31" s="53" t="s">
        <v>68</v>
      </c>
      <c r="AA31" s="53" t="s">
        <v>68</v>
      </c>
      <c r="AB31" s="53" t="s">
        <v>68</v>
      </c>
      <c r="AC31" s="53" t="s">
        <v>68</v>
      </c>
      <c r="AD31" s="53" t="s">
        <v>68</v>
      </c>
      <c r="AE31" s="53">
        <v>1</v>
      </c>
      <c r="AF31" s="53">
        <v>1</v>
      </c>
      <c r="AG31" s="120">
        <v>0</v>
      </c>
      <c r="AH31" s="184">
        <v>0</v>
      </c>
      <c r="AI31" s="184">
        <v>1</v>
      </c>
      <c r="AJ31" s="22" t="s">
        <v>33</v>
      </c>
      <c r="AL31" t="str">
        <f t="shared" si="0"/>
        <v xml:space="preserve">    (U1)ALERT_REQ_UNKNOWN</v>
      </c>
      <c r="AR31" s="55" t="str">
        <f t="shared" si="3"/>
        <v xml:space="preserve">    (U4)0x00000019U,                                                           /* 25 UNKNOWN                                         */</v>
      </c>
      <c r="AS31" s="55" t="str">
        <f t="shared" si="4"/>
        <v xml:space="preserve">    (U4)0x0000001FU,                                                           /* 25 UNKNOWN                                         */</v>
      </c>
      <c r="AT31" s="55" t="str">
        <f t="shared" si="1"/>
        <v xml:space="preserve">    (U1)ALERT_REQ_UNKNOWN,                                                     /* 25 UNKNOWN                                         */</v>
      </c>
    </row>
    <row r="32" spans="2:49">
      <c r="B32" s="124"/>
      <c r="C32" s="39">
        <f t="shared" si="2"/>
        <v>26</v>
      </c>
      <c r="D32" s="53" t="s">
        <v>68</v>
      </c>
      <c r="E32" s="53" t="s">
        <v>68</v>
      </c>
      <c r="F32" s="53" t="s">
        <v>68</v>
      </c>
      <c r="G32" s="53" t="s">
        <v>68</v>
      </c>
      <c r="H32" s="53" t="s">
        <v>68</v>
      </c>
      <c r="I32" s="53" t="s">
        <v>68</v>
      </c>
      <c r="J32" s="53" t="s">
        <v>68</v>
      </c>
      <c r="K32" s="53" t="s">
        <v>68</v>
      </c>
      <c r="L32" s="53" t="s">
        <v>68</v>
      </c>
      <c r="M32" s="53" t="s">
        <v>68</v>
      </c>
      <c r="N32" s="53" t="s">
        <v>68</v>
      </c>
      <c r="O32" s="53" t="s">
        <v>68</v>
      </c>
      <c r="P32" s="53" t="s">
        <v>68</v>
      </c>
      <c r="Q32" s="53" t="s">
        <v>68</v>
      </c>
      <c r="R32" s="53" t="s">
        <v>68</v>
      </c>
      <c r="S32" s="53" t="s">
        <v>68</v>
      </c>
      <c r="T32" s="53" t="s">
        <v>68</v>
      </c>
      <c r="U32" s="53" t="s">
        <v>68</v>
      </c>
      <c r="V32" s="53" t="s">
        <v>68</v>
      </c>
      <c r="W32" s="53" t="s">
        <v>68</v>
      </c>
      <c r="X32" s="53" t="s">
        <v>68</v>
      </c>
      <c r="Y32" s="53" t="s">
        <v>68</v>
      </c>
      <c r="Z32" s="53" t="s">
        <v>68</v>
      </c>
      <c r="AA32" s="53" t="s">
        <v>68</v>
      </c>
      <c r="AB32" s="53" t="s">
        <v>68</v>
      </c>
      <c r="AC32" s="53" t="s">
        <v>68</v>
      </c>
      <c r="AD32" s="53" t="s">
        <v>68</v>
      </c>
      <c r="AE32" s="53">
        <v>1</v>
      </c>
      <c r="AF32" s="53">
        <v>1</v>
      </c>
      <c r="AG32" s="120">
        <v>0</v>
      </c>
      <c r="AH32" s="184">
        <v>1</v>
      </c>
      <c r="AI32" s="184">
        <v>0</v>
      </c>
      <c r="AJ32" s="22" t="s">
        <v>33</v>
      </c>
      <c r="AL32" t="str">
        <f t="shared" si="0"/>
        <v xml:space="preserve">    (U1)ALERT_REQ_UNKNOWN</v>
      </c>
      <c r="AR32" s="55" t="str">
        <f t="shared" si="3"/>
        <v xml:space="preserve">    (U4)0x0000001AU,                                                           /* 26 UNKNOWN                                         */</v>
      </c>
      <c r="AS32" s="55" t="str">
        <f t="shared" si="4"/>
        <v xml:space="preserve">    (U4)0x0000001FU,                                                           /* 26 UNKNOWN                                         */</v>
      </c>
      <c r="AT32" s="55" t="str">
        <f t="shared" si="1"/>
        <v xml:space="preserve">    (U1)ALERT_REQ_UNKNOWN,                                                     /* 26 UNKNOWN                                         */</v>
      </c>
    </row>
    <row r="33" spans="2:46">
      <c r="B33" s="124"/>
      <c r="C33" s="39">
        <f t="shared" si="2"/>
        <v>27</v>
      </c>
      <c r="D33" s="53" t="s">
        <v>68</v>
      </c>
      <c r="E33" s="53" t="s">
        <v>68</v>
      </c>
      <c r="F33" s="53" t="s">
        <v>68</v>
      </c>
      <c r="G33" s="53" t="s">
        <v>68</v>
      </c>
      <c r="H33" s="53" t="s">
        <v>68</v>
      </c>
      <c r="I33" s="53" t="s">
        <v>68</v>
      </c>
      <c r="J33" s="53" t="s">
        <v>68</v>
      </c>
      <c r="K33" s="53" t="s">
        <v>68</v>
      </c>
      <c r="L33" s="53" t="s">
        <v>68</v>
      </c>
      <c r="M33" s="53" t="s">
        <v>68</v>
      </c>
      <c r="N33" s="53" t="s">
        <v>68</v>
      </c>
      <c r="O33" s="53" t="s">
        <v>68</v>
      </c>
      <c r="P33" s="53" t="s">
        <v>68</v>
      </c>
      <c r="Q33" s="53" t="s">
        <v>68</v>
      </c>
      <c r="R33" s="53" t="s">
        <v>68</v>
      </c>
      <c r="S33" s="53" t="s">
        <v>68</v>
      </c>
      <c r="T33" s="53" t="s">
        <v>68</v>
      </c>
      <c r="U33" s="53" t="s">
        <v>68</v>
      </c>
      <c r="V33" s="53" t="s">
        <v>68</v>
      </c>
      <c r="W33" s="53" t="s">
        <v>68</v>
      </c>
      <c r="X33" s="53" t="s">
        <v>68</v>
      </c>
      <c r="Y33" s="53" t="s">
        <v>68</v>
      </c>
      <c r="Z33" s="53" t="s">
        <v>68</v>
      </c>
      <c r="AA33" s="53" t="s">
        <v>68</v>
      </c>
      <c r="AB33" s="53" t="s">
        <v>68</v>
      </c>
      <c r="AC33" s="53" t="s">
        <v>68</v>
      </c>
      <c r="AD33" s="53" t="s">
        <v>68</v>
      </c>
      <c r="AE33" s="53">
        <v>1</v>
      </c>
      <c r="AF33" s="53">
        <v>1</v>
      </c>
      <c r="AG33" s="120">
        <v>0</v>
      </c>
      <c r="AH33" s="53">
        <v>1</v>
      </c>
      <c r="AI33" s="53">
        <v>1</v>
      </c>
      <c r="AJ33" s="22" t="s">
        <v>33</v>
      </c>
      <c r="AL33" t="str">
        <f t="shared" si="0"/>
        <v xml:space="preserve">    (U1)ALERT_REQ_UNKNOWN</v>
      </c>
      <c r="AR33" s="55" t="str">
        <f t="shared" si="3"/>
        <v xml:space="preserve">    (U4)0x0000001BU,                                                           /* 27 UNKNOWN                                         */</v>
      </c>
      <c r="AS33" s="55" t="str">
        <f t="shared" si="4"/>
        <v xml:space="preserve">    (U4)0x0000001FU,                                                           /* 27 UNKNOWN                                         */</v>
      </c>
      <c r="AT33" s="55" t="str">
        <f t="shared" si="1"/>
        <v xml:space="preserve">    (U1)ALERT_REQ_UNKNOWN,                                                     /* 27 UNKNOWN                                         */</v>
      </c>
    </row>
    <row r="34" spans="2:46">
      <c r="B34" s="124"/>
      <c r="C34" s="39">
        <f t="shared" si="2"/>
        <v>28</v>
      </c>
      <c r="D34" s="53" t="s">
        <v>68</v>
      </c>
      <c r="E34" s="53" t="s">
        <v>68</v>
      </c>
      <c r="F34" s="53" t="s">
        <v>68</v>
      </c>
      <c r="G34" s="53" t="s">
        <v>68</v>
      </c>
      <c r="H34" s="53" t="s">
        <v>68</v>
      </c>
      <c r="I34" s="53" t="s">
        <v>68</v>
      </c>
      <c r="J34" s="53" t="s">
        <v>68</v>
      </c>
      <c r="K34" s="53" t="s">
        <v>68</v>
      </c>
      <c r="L34" s="53" t="s">
        <v>68</v>
      </c>
      <c r="M34" s="53" t="s">
        <v>68</v>
      </c>
      <c r="N34" s="53" t="s">
        <v>68</v>
      </c>
      <c r="O34" s="53" t="s">
        <v>68</v>
      </c>
      <c r="P34" s="53" t="s">
        <v>68</v>
      </c>
      <c r="Q34" s="53" t="s">
        <v>68</v>
      </c>
      <c r="R34" s="53" t="s">
        <v>68</v>
      </c>
      <c r="S34" s="53" t="s">
        <v>68</v>
      </c>
      <c r="T34" s="53" t="s">
        <v>68</v>
      </c>
      <c r="U34" s="53" t="s">
        <v>68</v>
      </c>
      <c r="V34" s="53" t="s">
        <v>68</v>
      </c>
      <c r="W34" s="53" t="s">
        <v>68</v>
      </c>
      <c r="X34" s="53" t="s">
        <v>68</v>
      </c>
      <c r="Y34" s="53" t="s">
        <v>68</v>
      </c>
      <c r="Z34" s="53" t="s">
        <v>68</v>
      </c>
      <c r="AA34" s="53" t="s">
        <v>68</v>
      </c>
      <c r="AB34" s="53" t="s">
        <v>68</v>
      </c>
      <c r="AC34" s="53" t="s">
        <v>68</v>
      </c>
      <c r="AD34" s="53" t="s">
        <v>68</v>
      </c>
      <c r="AE34" s="53">
        <v>1</v>
      </c>
      <c r="AF34" s="53">
        <v>1</v>
      </c>
      <c r="AG34" s="120">
        <v>1</v>
      </c>
      <c r="AH34" s="184">
        <v>0</v>
      </c>
      <c r="AI34" s="184">
        <v>0</v>
      </c>
      <c r="AJ34" s="22" t="s">
        <v>33</v>
      </c>
      <c r="AL34" t="str">
        <f t="shared" si="0"/>
        <v xml:space="preserve">    (U1)ALERT_REQ_UNKNOWN</v>
      </c>
      <c r="AR34" s="55" t="str">
        <f t="shared" si="3"/>
        <v xml:space="preserve">    (U4)0x0000001CU,                                                           /* 28 UNKNOWN                                         */</v>
      </c>
      <c r="AS34" s="55" t="str">
        <f t="shared" si="4"/>
        <v xml:space="preserve">    (U4)0x0000001FU,                                                           /* 28 UNKNOWN                                         */</v>
      </c>
      <c r="AT34" s="55" t="str">
        <f t="shared" si="1"/>
        <v xml:space="preserve">    (U1)ALERT_REQ_UNKNOWN,                                                     /* 28 UNKNOWN                                         */</v>
      </c>
    </row>
    <row r="35" spans="2:46">
      <c r="B35" s="124"/>
      <c r="C35" s="39">
        <f t="shared" si="2"/>
        <v>29</v>
      </c>
      <c r="D35" s="53" t="s">
        <v>68</v>
      </c>
      <c r="E35" s="53" t="s">
        <v>68</v>
      </c>
      <c r="F35" s="53" t="s">
        <v>68</v>
      </c>
      <c r="G35" s="53" t="s">
        <v>68</v>
      </c>
      <c r="H35" s="53" t="s">
        <v>68</v>
      </c>
      <c r="I35" s="53" t="s">
        <v>68</v>
      </c>
      <c r="J35" s="53" t="s">
        <v>68</v>
      </c>
      <c r="K35" s="53" t="s">
        <v>68</v>
      </c>
      <c r="L35" s="53" t="s">
        <v>68</v>
      </c>
      <c r="M35" s="53" t="s">
        <v>68</v>
      </c>
      <c r="N35" s="53" t="s">
        <v>68</v>
      </c>
      <c r="O35" s="53" t="s">
        <v>68</v>
      </c>
      <c r="P35" s="53" t="s">
        <v>68</v>
      </c>
      <c r="Q35" s="53" t="s">
        <v>68</v>
      </c>
      <c r="R35" s="53" t="s">
        <v>68</v>
      </c>
      <c r="S35" s="53" t="s">
        <v>68</v>
      </c>
      <c r="T35" s="53" t="s">
        <v>68</v>
      </c>
      <c r="U35" s="53" t="s">
        <v>68</v>
      </c>
      <c r="V35" s="53" t="s">
        <v>68</v>
      </c>
      <c r="W35" s="53" t="s">
        <v>68</v>
      </c>
      <c r="X35" s="53" t="s">
        <v>68</v>
      </c>
      <c r="Y35" s="53" t="s">
        <v>68</v>
      </c>
      <c r="Z35" s="53" t="s">
        <v>68</v>
      </c>
      <c r="AA35" s="53" t="s">
        <v>68</v>
      </c>
      <c r="AB35" s="53" t="s">
        <v>68</v>
      </c>
      <c r="AC35" s="53" t="s">
        <v>68</v>
      </c>
      <c r="AD35" s="53" t="s">
        <v>68</v>
      </c>
      <c r="AE35" s="53">
        <v>1</v>
      </c>
      <c r="AF35" s="53">
        <v>1</v>
      </c>
      <c r="AG35" s="120">
        <v>1</v>
      </c>
      <c r="AH35" s="184">
        <v>0</v>
      </c>
      <c r="AI35" s="184">
        <v>1</v>
      </c>
      <c r="AJ35" s="22" t="s">
        <v>33</v>
      </c>
      <c r="AL35" t="str">
        <f t="shared" si="0"/>
        <v xml:space="preserve">    (U1)ALERT_REQ_UNKNOWN</v>
      </c>
      <c r="AR35" s="55" t="str">
        <f t="shared" si="3"/>
        <v xml:space="preserve">    (U4)0x0000001DU,                                                           /* 29 UNKNOWN                                         */</v>
      </c>
      <c r="AS35" s="55" t="str">
        <f t="shared" si="4"/>
        <v xml:space="preserve">    (U4)0x0000001FU,                                                           /* 29 UNKNOWN                                         */</v>
      </c>
      <c r="AT35" s="55" t="str">
        <f t="shared" si="1"/>
        <v xml:space="preserve">    (U1)ALERT_REQ_UNKNOWN,                                                     /* 29 UNKNOWN                                         */</v>
      </c>
    </row>
    <row r="36" spans="2:46">
      <c r="B36" s="124"/>
      <c r="C36" s="39">
        <f t="shared" si="2"/>
        <v>30</v>
      </c>
      <c r="D36" s="53" t="s">
        <v>68</v>
      </c>
      <c r="E36" s="53" t="s">
        <v>68</v>
      </c>
      <c r="F36" s="53" t="s">
        <v>68</v>
      </c>
      <c r="G36" s="53" t="s">
        <v>68</v>
      </c>
      <c r="H36" s="53" t="s">
        <v>68</v>
      </c>
      <c r="I36" s="53" t="s">
        <v>68</v>
      </c>
      <c r="J36" s="53" t="s">
        <v>68</v>
      </c>
      <c r="K36" s="53" t="s">
        <v>68</v>
      </c>
      <c r="L36" s="53" t="s">
        <v>68</v>
      </c>
      <c r="M36" s="53" t="s">
        <v>68</v>
      </c>
      <c r="N36" s="53" t="s">
        <v>68</v>
      </c>
      <c r="O36" s="53" t="s">
        <v>68</v>
      </c>
      <c r="P36" s="53" t="s">
        <v>68</v>
      </c>
      <c r="Q36" s="53" t="s">
        <v>68</v>
      </c>
      <c r="R36" s="53" t="s">
        <v>68</v>
      </c>
      <c r="S36" s="53" t="s">
        <v>68</v>
      </c>
      <c r="T36" s="53" t="s">
        <v>68</v>
      </c>
      <c r="U36" s="53" t="s">
        <v>68</v>
      </c>
      <c r="V36" s="53" t="s">
        <v>68</v>
      </c>
      <c r="W36" s="53" t="s">
        <v>68</v>
      </c>
      <c r="X36" s="53" t="s">
        <v>68</v>
      </c>
      <c r="Y36" s="53" t="s">
        <v>68</v>
      </c>
      <c r="Z36" s="53" t="s">
        <v>68</v>
      </c>
      <c r="AA36" s="53" t="s">
        <v>68</v>
      </c>
      <c r="AB36" s="53" t="s">
        <v>68</v>
      </c>
      <c r="AC36" s="53" t="s">
        <v>68</v>
      </c>
      <c r="AD36" s="53" t="s">
        <v>68</v>
      </c>
      <c r="AE36" s="53">
        <v>1</v>
      </c>
      <c r="AF36" s="53">
        <v>1</v>
      </c>
      <c r="AG36" s="120">
        <v>1</v>
      </c>
      <c r="AH36" s="184">
        <v>1</v>
      </c>
      <c r="AI36" s="184">
        <v>0</v>
      </c>
      <c r="AJ36" s="22" t="s">
        <v>33</v>
      </c>
      <c r="AL36" t="str">
        <f t="shared" si="0"/>
        <v xml:space="preserve">    (U1)ALERT_REQ_UNKNOWN</v>
      </c>
      <c r="AR36" s="55" t="str">
        <f t="shared" si="3"/>
        <v xml:space="preserve">    (U4)0x0000001EU,                                                           /* 30 UNKNOWN                                         */</v>
      </c>
      <c r="AS36" s="55" t="str">
        <f t="shared" si="4"/>
        <v xml:space="preserve">    (U4)0x0000001FU,                                                           /* 30 UNKNOWN                                         */</v>
      </c>
      <c r="AT36" s="55" t="str">
        <f t="shared" si="1"/>
        <v xml:space="preserve">    (U1)ALERT_REQ_UNKNOWN,                                                     /* 30 UNKNOWN                                         */</v>
      </c>
    </row>
    <row r="37" spans="2:46">
      <c r="B37" s="124"/>
      <c r="C37" s="39">
        <f t="shared" si="2"/>
        <v>31</v>
      </c>
      <c r="D37" s="53" t="s">
        <v>68</v>
      </c>
      <c r="E37" s="53" t="s">
        <v>68</v>
      </c>
      <c r="F37" s="53" t="s">
        <v>68</v>
      </c>
      <c r="G37" s="53" t="s">
        <v>68</v>
      </c>
      <c r="H37" s="53" t="s">
        <v>68</v>
      </c>
      <c r="I37" s="53" t="s">
        <v>68</v>
      </c>
      <c r="J37" s="53" t="s">
        <v>68</v>
      </c>
      <c r="K37" s="53" t="s">
        <v>68</v>
      </c>
      <c r="L37" s="53" t="s">
        <v>68</v>
      </c>
      <c r="M37" s="53" t="s">
        <v>68</v>
      </c>
      <c r="N37" s="53" t="s">
        <v>68</v>
      </c>
      <c r="O37" s="53" t="s">
        <v>68</v>
      </c>
      <c r="P37" s="53" t="s">
        <v>68</v>
      </c>
      <c r="Q37" s="53" t="s">
        <v>68</v>
      </c>
      <c r="R37" s="53" t="s">
        <v>68</v>
      </c>
      <c r="S37" s="53" t="s">
        <v>68</v>
      </c>
      <c r="T37" s="53" t="s">
        <v>68</v>
      </c>
      <c r="U37" s="53" t="s">
        <v>68</v>
      </c>
      <c r="V37" s="53" t="s">
        <v>68</v>
      </c>
      <c r="W37" s="53" t="s">
        <v>68</v>
      </c>
      <c r="X37" s="53" t="s">
        <v>68</v>
      </c>
      <c r="Y37" s="53" t="s">
        <v>68</v>
      </c>
      <c r="Z37" s="53" t="s">
        <v>68</v>
      </c>
      <c r="AA37" s="53" t="s">
        <v>68</v>
      </c>
      <c r="AB37" s="53" t="s">
        <v>68</v>
      </c>
      <c r="AC37" s="53" t="s">
        <v>68</v>
      </c>
      <c r="AD37" s="53" t="s">
        <v>68</v>
      </c>
      <c r="AE37" s="53">
        <v>1</v>
      </c>
      <c r="AF37" s="53">
        <v>1</v>
      </c>
      <c r="AG37" s="120">
        <v>1</v>
      </c>
      <c r="AH37" s="53">
        <v>1</v>
      </c>
      <c r="AI37" s="53">
        <v>1</v>
      </c>
      <c r="AJ37" s="22" t="s">
        <v>33</v>
      </c>
      <c r="AL37" t="str">
        <f t="shared" si="0"/>
        <v xml:space="preserve">    (U1)ALERT_REQ_UNKNOWN</v>
      </c>
      <c r="AR37" s="55" t="str">
        <f t="shared" si="3"/>
        <v xml:space="preserve">    (U4)0x0000001FU                                                            /* 31 UNKNOWN                                         */</v>
      </c>
      <c r="AS37" s="55" t="str">
        <f t="shared" si="4"/>
        <v xml:space="preserve">    (U4)0x0000001FU                                                            /* 31 UNKNOWN                                         */</v>
      </c>
      <c r="AT37" s="55" t="str">
        <f t="shared" si="1"/>
        <v xml:space="preserve">    (U1)ALERT_REQ_UNKNOWN                                                      /* 31 UNKNOWN                                         */</v>
      </c>
    </row>
    <row r="38" spans="2:46">
      <c r="B38" s="124"/>
      <c r="C38" s="39">
        <f t="shared" si="2"/>
        <v>32</v>
      </c>
      <c r="D38" s="53" t="s">
        <v>68</v>
      </c>
      <c r="E38" s="53" t="s">
        <v>68</v>
      </c>
      <c r="F38" s="53" t="s">
        <v>68</v>
      </c>
      <c r="G38" s="53" t="s">
        <v>68</v>
      </c>
      <c r="H38" s="53" t="s">
        <v>68</v>
      </c>
      <c r="I38" s="53" t="s">
        <v>68</v>
      </c>
      <c r="J38" s="53" t="s">
        <v>68</v>
      </c>
      <c r="K38" s="53" t="s">
        <v>68</v>
      </c>
      <c r="L38" s="53" t="s">
        <v>68</v>
      </c>
      <c r="M38" s="53" t="s">
        <v>68</v>
      </c>
      <c r="N38" s="53" t="s">
        <v>68</v>
      </c>
      <c r="O38" s="53" t="s">
        <v>68</v>
      </c>
      <c r="P38" s="53" t="s">
        <v>68</v>
      </c>
      <c r="Q38" s="53" t="s">
        <v>68</v>
      </c>
      <c r="R38" s="53" t="s">
        <v>68</v>
      </c>
      <c r="S38" s="53" t="s">
        <v>68</v>
      </c>
      <c r="T38" s="53" t="s">
        <v>68</v>
      </c>
      <c r="U38" s="53" t="s">
        <v>68</v>
      </c>
      <c r="V38" s="53" t="s">
        <v>68</v>
      </c>
      <c r="W38" s="53" t="s">
        <v>68</v>
      </c>
      <c r="X38" s="53" t="s">
        <v>68</v>
      </c>
      <c r="Y38" s="53" t="s">
        <v>68</v>
      </c>
      <c r="Z38" s="53" t="s">
        <v>68</v>
      </c>
      <c r="AA38" s="53" t="s">
        <v>68</v>
      </c>
      <c r="AB38" s="53" t="s">
        <v>68</v>
      </c>
      <c r="AC38" s="53" t="s">
        <v>68</v>
      </c>
      <c r="AD38" s="53" t="s">
        <v>68</v>
      </c>
      <c r="AE38" s="53" t="s">
        <v>68</v>
      </c>
      <c r="AF38" s="53" t="s">
        <v>68</v>
      </c>
      <c r="AG38" s="53" t="s">
        <v>68</v>
      </c>
      <c r="AH38" s="53" t="s">
        <v>68</v>
      </c>
      <c r="AI38" s="53" t="s">
        <v>68</v>
      </c>
      <c r="AJ38" s="22"/>
      <c r="AL38" t="str">
        <f t="shared" ca="1" si="0"/>
        <v xml:space="preserve">    (U1)ALERT_REQ_H_SOCLOW_BC_</v>
      </c>
      <c r="AR38" s="55" t="str">
        <f t="shared" si="3"/>
        <v>};</v>
      </c>
      <c r="AS38" s="55" t="str">
        <f t="shared" si="4"/>
        <v>};</v>
      </c>
      <c r="AT38" s="55" t="str">
        <f t="shared" si="1"/>
        <v>};</v>
      </c>
    </row>
    <row r="39" spans="2:46">
      <c r="B39" s="124"/>
      <c r="C39" s="39">
        <f t="shared" si="2"/>
        <v>33</v>
      </c>
      <c r="D39" s="53" t="s">
        <v>68</v>
      </c>
      <c r="E39" s="53" t="s">
        <v>68</v>
      </c>
      <c r="F39" s="53" t="s">
        <v>68</v>
      </c>
      <c r="G39" s="53" t="s">
        <v>68</v>
      </c>
      <c r="H39" s="53" t="s">
        <v>68</v>
      </c>
      <c r="I39" s="53" t="s">
        <v>68</v>
      </c>
      <c r="J39" s="53" t="s">
        <v>68</v>
      </c>
      <c r="K39" s="53" t="s">
        <v>68</v>
      </c>
      <c r="L39" s="53" t="s">
        <v>68</v>
      </c>
      <c r="M39" s="53" t="s">
        <v>68</v>
      </c>
      <c r="N39" s="53" t="s">
        <v>68</v>
      </c>
      <c r="O39" s="53" t="s">
        <v>68</v>
      </c>
      <c r="P39" s="53" t="s">
        <v>68</v>
      </c>
      <c r="Q39" s="53" t="s">
        <v>68</v>
      </c>
      <c r="R39" s="53" t="s">
        <v>68</v>
      </c>
      <c r="S39" s="53" t="s">
        <v>68</v>
      </c>
      <c r="T39" s="53" t="s">
        <v>68</v>
      </c>
      <c r="U39" s="53" t="s">
        <v>68</v>
      </c>
      <c r="V39" s="53" t="s">
        <v>68</v>
      </c>
      <c r="W39" s="53" t="s">
        <v>68</v>
      </c>
      <c r="X39" s="53" t="s">
        <v>68</v>
      </c>
      <c r="Y39" s="53" t="s">
        <v>68</v>
      </c>
      <c r="Z39" s="53" t="s">
        <v>68</v>
      </c>
      <c r="AA39" s="53" t="s">
        <v>68</v>
      </c>
      <c r="AB39" s="53" t="s">
        <v>68</v>
      </c>
      <c r="AC39" s="53" t="s">
        <v>68</v>
      </c>
      <c r="AD39" s="53" t="s">
        <v>68</v>
      </c>
      <c r="AE39" s="53" t="s">
        <v>68</v>
      </c>
      <c r="AF39" s="53" t="s">
        <v>68</v>
      </c>
      <c r="AG39" s="53" t="s">
        <v>68</v>
      </c>
      <c r="AH39" s="53" t="s">
        <v>68</v>
      </c>
      <c r="AI39" s="53" t="s">
        <v>68</v>
      </c>
      <c r="AJ39" s="22"/>
      <c r="AL39" t="str">
        <f t="shared" ca="1" si="0"/>
        <v xml:space="preserve">    (U1)ALERT_REQ_H_SOCLOW_BC_</v>
      </c>
      <c r="AR39" s="55" t="str">
        <f t="shared" si="3"/>
        <v/>
      </c>
      <c r="AS39" s="55" t="str">
        <f t="shared" si="4"/>
        <v/>
      </c>
      <c r="AT39" s="55" t="str">
        <f t="shared" si="1"/>
        <v/>
      </c>
    </row>
    <row r="40" spans="2:46">
      <c r="B40" s="124"/>
      <c r="C40" s="39">
        <f t="shared" si="2"/>
        <v>34</v>
      </c>
      <c r="D40" s="53" t="s">
        <v>68</v>
      </c>
      <c r="E40" s="53" t="s">
        <v>68</v>
      </c>
      <c r="F40" s="53" t="s">
        <v>68</v>
      </c>
      <c r="G40" s="53" t="s">
        <v>68</v>
      </c>
      <c r="H40" s="53" t="s">
        <v>68</v>
      </c>
      <c r="I40" s="53" t="s">
        <v>68</v>
      </c>
      <c r="J40" s="53" t="s">
        <v>68</v>
      </c>
      <c r="K40" s="53" t="s">
        <v>68</v>
      </c>
      <c r="L40" s="53" t="s">
        <v>68</v>
      </c>
      <c r="M40" s="53" t="s">
        <v>68</v>
      </c>
      <c r="N40" s="53" t="s">
        <v>68</v>
      </c>
      <c r="O40" s="53" t="s">
        <v>68</v>
      </c>
      <c r="P40" s="53" t="s">
        <v>68</v>
      </c>
      <c r="Q40" s="53" t="s">
        <v>68</v>
      </c>
      <c r="R40" s="53" t="s">
        <v>68</v>
      </c>
      <c r="S40" s="53" t="s">
        <v>68</v>
      </c>
      <c r="T40" s="53" t="s">
        <v>68</v>
      </c>
      <c r="U40" s="53" t="s">
        <v>68</v>
      </c>
      <c r="V40" s="53" t="s">
        <v>68</v>
      </c>
      <c r="W40" s="53" t="s">
        <v>68</v>
      </c>
      <c r="X40" s="53" t="s">
        <v>68</v>
      </c>
      <c r="Y40" s="53" t="s">
        <v>68</v>
      </c>
      <c r="Z40" s="53" t="s">
        <v>68</v>
      </c>
      <c r="AA40" s="53" t="s">
        <v>68</v>
      </c>
      <c r="AB40" s="53" t="s">
        <v>68</v>
      </c>
      <c r="AC40" s="53" t="s">
        <v>68</v>
      </c>
      <c r="AD40" s="53" t="s">
        <v>68</v>
      </c>
      <c r="AE40" s="53" t="s">
        <v>68</v>
      </c>
      <c r="AF40" s="53" t="s">
        <v>68</v>
      </c>
      <c r="AG40" s="53" t="s">
        <v>68</v>
      </c>
      <c r="AH40" s="53" t="s">
        <v>68</v>
      </c>
      <c r="AI40" s="53" t="s">
        <v>68</v>
      </c>
      <c r="AJ40" s="22"/>
      <c r="AL40" t="str">
        <f t="shared" ca="1" si="0"/>
        <v xml:space="preserve">    (U1)ALERT_REQ_H_SOCLOW_BC_</v>
      </c>
      <c r="AR40" s="55" t="str">
        <f t="shared" si="3"/>
        <v/>
      </c>
      <c r="AS40" s="55" t="str">
        <f t="shared" si="4"/>
        <v/>
      </c>
      <c r="AT40" s="55" t="str">
        <f t="shared" si="1"/>
        <v/>
      </c>
    </row>
    <row r="41" spans="2:46">
      <c r="B41" s="124"/>
      <c r="C41" s="39">
        <f t="shared" si="2"/>
        <v>35</v>
      </c>
      <c r="D41" s="53" t="s">
        <v>68</v>
      </c>
      <c r="E41" s="53" t="s">
        <v>68</v>
      </c>
      <c r="F41" s="53" t="s">
        <v>68</v>
      </c>
      <c r="G41" s="53" t="s">
        <v>68</v>
      </c>
      <c r="H41" s="53" t="s">
        <v>68</v>
      </c>
      <c r="I41" s="53" t="s">
        <v>68</v>
      </c>
      <c r="J41" s="53" t="s">
        <v>68</v>
      </c>
      <c r="K41" s="53" t="s">
        <v>68</v>
      </c>
      <c r="L41" s="53" t="s">
        <v>68</v>
      </c>
      <c r="M41" s="53" t="s">
        <v>68</v>
      </c>
      <c r="N41" s="53" t="s">
        <v>68</v>
      </c>
      <c r="O41" s="53" t="s">
        <v>68</v>
      </c>
      <c r="P41" s="53" t="s">
        <v>68</v>
      </c>
      <c r="Q41" s="53" t="s">
        <v>68</v>
      </c>
      <c r="R41" s="53" t="s">
        <v>68</v>
      </c>
      <c r="S41" s="53" t="s">
        <v>68</v>
      </c>
      <c r="T41" s="53" t="s">
        <v>68</v>
      </c>
      <c r="U41" s="53" t="s">
        <v>68</v>
      </c>
      <c r="V41" s="53" t="s">
        <v>68</v>
      </c>
      <c r="W41" s="53" t="s">
        <v>68</v>
      </c>
      <c r="X41" s="53" t="s">
        <v>68</v>
      </c>
      <c r="Y41" s="53" t="s">
        <v>68</v>
      </c>
      <c r="Z41" s="53" t="s">
        <v>68</v>
      </c>
      <c r="AA41" s="53" t="s">
        <v>68</v>
      </c>
      <c r="AB41" s="53" t="s">
        <v>68</v>
      </c>
      <c r="AC41" s="53" t="s">
        <v>68</v>
      </c>
      <c r="AD41" s="53" t="s">
        <v>68</v>
      </c>
      <c r="AE41" s="53" t="s">
        <v>68</v>
      </c>
      <c r="AF41" s="53" t="s">
        <v>68</v>
      </c>
      <c r="AG41" s="53" t="s">
        <v>68</v>
      </c>
      <c r="AH41" s="53" t="s">
        <v>68</v>
      </c>
      <c r="AI41" s="53" t="s">
        <v>68</v>
      </c>
      <c r="AJ41" s="22"/>
      <c r="AL41" t="str">
        <f t="shared" ca="1" si="0"/>
        <v xml:space="preserve">    (U1)ALERT_REQ_H_SOCLOW_BC_</v>
      </c>
      <c r="AR41" s="55" t="str">
        <f t="shared" si="3"/>
        <v/>
      </c>
      <c r="AS41" s="55" t="str">
        <f t="shared" si="4"/>
        <v/>
      </c>
      <c r="AT41" s="55" t="str">
        <f t="shared" si="1"/>
        <v/>
      </c>
    </row>
    <row r="42" spans="2:46">
      <c r="B42" s="124"/>
      <c r="C42" s="39">
        <f t="shared" si="2"/>
        <v>36</v>
      </c>
      <c r="D42" s="53" t="s">
        <v>68</v>
      </c>
      <c r="E42" s="53" t="s">
        <v>68</v>
      </c>
      <c r="F42" s="53" t="s">
        <v>68</v>
      </c>
      <c r="G42" s="53" t="s">
        <v>68</v>
      </c>
      <c r="H42" s="53" t="s">
        <v>68</v>
      </c>
      <c r="I42" s="53" t="s">
        <v>68</v>
      </c>
      <c r="J42" s="53" t="s">
        <v>68</v>
      </c>
      <c r="K42" s="53" t="s">
        <v>68</v>
      </c>
      <c r="L42" s="53" t="s">
        <v>68</v>
      </c>
      <c r="M42" s="53" t="s">
        <v>68</v>
      </c>
      <c r="N42" s="53" t="s">
        <v>68</v>
      </c>
      <c r="O42" s="53" t="s">
        <v>68</v>
      </c>
      <c r="P42" s="53" t="s">
        <v>68</v>
      </c>
      <c r="Q42" s="53" t="s">
        <v>68</v>
      </c>
      <c r="R42" s="53" t="s">
        <v>68</v>
      </c>
      <c r="S42" s="53" t="s">
        <v>68</v>
      </c>
      <c r="T42" s="53" t="s">
        <v>68</v>
      </c>
      <c r="U42" s="53" t="s">
        <v>68</v>
      </c>
      <c r="V42" s="53" t="s">
        <v>68</v>
      </c>
      <c r="W42" s="53" t="s">
        <v>68</v>
      </c>
      <c r="X42" s="53" t="s">
        <v>68</v>
      </c>
      <c r="Y42" s="53" t="s">
        <v>68</v>
      </c>
      <c r="Z42" s="53" t="s">
        <v>68</v>
      </c>
      <c r="AA42" s="53" t="s">
        <v>68</v>
      </c>
      <c r="AB42" s="53" t="s">
        <v>68</v>
      </c>
      <c r="AC42" s="53" t="s">
        <v>68</v>
      </c>
      <c r="AD42" s="53" t="s">
        <v>68</v>
      </c>
      <c r="AE42" s="53" t="s">
        <v>68</v>
      </c>
      <c r="AF42" s="53" t="s">
        <v>68</v>
      </c>
      <c r="AG42" s="53" t="s">
        <v>68</v>
      </c>
      <c r="AH42" s="53" t="s">
        <v>68</v>
      </c>
      <c r="AI42" s="53" t="s">
        <v>68</v>
      </c>
      <c r="AJ42" s="22"/>
      <c r="AL42" t="str">
        <f t="shared" ca="1" si="0"/>
        <v xml:space="preserve">    (U1)ALERT_REQ_H_SOCLOW_BC_</v>
      </c>
      <c r="AR42" s="55" t="str">
        <f t="shared" si="3"/>
        <v/>
      </c>
      <c r="AS42" s="55" t="str">
        <f t="shared" si="4"/>
        <v/>
      </c>
      <c r="AT42" s="55" t="str">
        <f t="shared" si="1"/>
        <v/>
      </c>
    </row>
    <row r="43" spans="2:46">
      <c r="B43" s="124"/>
      <c r="C43" s="39">
        <f t="shared" si="2"/>
        <v>37</v>
      </c>
      <c r="D43" s="53" t="s">
        <v>68</v>
      </c>
      <c r="E43" s="53" t="s">
        <v>68</v>
      </c>
      <c r="F43" s="53" t="s">
        <v>68</v>
      </c>
      <c r="G43" s="53" t="s">
        <v>68</v>
      </c>
      <c r="H43" s="53" t="s">
        <v>68</v>
      </c>
      <c r="I43" s="53" t="s">
        <v>68</v>
      </c>
      <c r="J43" s="53" t="s">
        <v>68</v>
      </c>
      <c r="K43" s="53" t="s">
        <v>68</v>
      </c>
      <c r="L43" s="53" t="s">
        <v>68</v>
      </c>
      <c r="M43" s="53" t="s">
        <v>68</v>
      </c>
      <c r="N43" s="53" t="s">
        <v>68</v>
      </c>
      <c r="O43" s="53" t="s">
        <v>68</v>
      </c>
      <c r="P43" s="53" t="s">
        <v>68</v>
      </c>
      <c r="Q43" s="53" t="s">
        <v>68</v>
      </c>
      <c r="R43" s="53" t="s">
        <v>68</v>
      </c>
      <c r="S43" s="53" t="s">
        <v>68</v>
      </c>
      <c r="T43" s="53" t="s">
        <v>68</v>
      </c>
      <c r="U43" s="53" t="s">
        <v>68</v>
      </c>
      <c r="V43" s="53" t="s">
        <v>68</v>
      </c>
      <c r="W43" s="53" t="s">
        <v>68</v>
      </c>
      <c r="X43" s="53" t="s">
        <v>68</v>
      </c>
      <c r="Y43" s="53" t="s">
        <v>68</v>
      </c>
      <c r="Z43" s="53" t="s">
        <v>68</v>
      </c>
      <c r="AA43" s="53" t="s">
        <v>68</v>
      </c>
      <c r="AB43" s="53" t="s">
        <v>68</v>
      </c>
      <c r="AC43" s="53" t="s">
        <v>68</v>
      </c>
      <c r="AD43" s="53" t="s">
        <v>68</v>
      </c>
      <c r="AE43" s="53" t="s">
        <v>68</v>
      </c>
      <c r="AF43" s="53" t="s">
        <v>68</v>
      </c>
      <c r="AG43" s="53" t="s">
        <v>68</v>
      </c>
      <c r="AH43" s="53" t="s">
        <v>68</v>
      </c>
      <c r="AI43" s="53" t="s">
        <v>68</v>
      </c>
      <c r="AJ43" s="22"/>
      <c r="AL43" t="str">
        <f t="shared" ca="1" si="0"/>
        <v xml:space="preserve">    (U1)ALERT_REQ_H_SOCLOW_BC_</v>
      </c>
      <c r="AR43" s="55" t="str">
        <f t="shared" si="3"/>
        <v/>
      </c>
      <c r="AS43" s="55" t="str">
        <f t="shared" si="4"/>
        <v/>
      </c>
      <c r="AT43" s="55" t="str">
        <f t="shared" si="1"/>
        <v/>
      </c>
    </row>
    <row r="44" spans="2:46">
      <c r="B44" s="124"/>
      <c r="C44" s="39">
        <f t="shared" si="2"/>
        <v>38</v>
      </c>
      <c r="D44" s="53" t="s">
        <v>68</v>
      </c>
      <c r="E44" s="53" t="s">
        <v>68</v>
      </c>
      <c r="F44" s="53" t="s">
        <v>68</v>
      </c>
      <c r="G44" s="53" t="s">
        <v>68</v>
      </c>
      <c r="H44" s="53" t="s">
        <v>68</v>
      </c>
      <c r="I44" s="53" t="s">
        <v>68</v>
      </c>
      <c r="J44" s="53" t="s">
        <v>68</v>
      </c>
      <c r="K44" s="53" t="s">
        <v>68</v>
      </c>
      <c r="L44" s="53" t="s">
        <v>68</v>
      </c>
      <c r="M44" s="53" t="s">
        <v>68</v>
      </c>
      <c r="N44" s="53" t="s">
        <v>68</v>
      </c>
      <c r="O44" s="53" t="s">
        <v>68</v>
      </c>
      <c r="P44" s="53" t="s">
        <v>68</v>
      </c>
      <c r="Q44" s="53" t="s">
        <v>68</v>
      </c>
      <c r="R44" s="53" t="s">
        <v>68</v>
      </c>
      <c r="S44" s="53" t="s">
        <v>68</v>
      </c>
      <c r="T44" s="53" t="s">
        <v>68</v>
      </c>
      <c r="U44" s="53" t="s">
        <v>68</v>
      </c>
      <c r="V44" s="53" t="s">
        <v>68</v>
      </c>
      <c r="W44" s="53" t="s">
        <v>68</v>
      </c>
      <c r="X44" s="53" t="s">
        <v>68</v>
      </c>
      <c r="Y44" s="53" t="s">
        <v>68</v>
      </c>
      <c r="Z44" s="53" t="s">
        <v>68</v>
      </c>
      <c r="AA44" s="53" t="s">
        <v>68</v>
      </c>
      <c r="AB44" s="53" t="s">
        <v>68</v>
      </c>
      <c r="AC44" s="53" t="s">
        <v>68</v>
      </c>
      <c r="AD44" s="53" t="s">
        <v>68</v>
      </c>
      <c r="AE44" s="53" t="s">
        <v>68</v>
      </c>
      <c r="AF44" s="53" t="s">
        <v>68</v>
      </c>
      <c r="AG44" s="53" t="s">
        <v>68</v>
      </c>
      <c r="AH44" s="53" t="s">
        <v>68</v>
      </c>
      <c r="AI44" s="53" t="s">
        <v>68</v>
      </c>
      <c r="AJ44" s="22"/>
      <c r="AL44" t="str">
        <f t="shared" ca="1" si="0"/>
        <v xml:space="preserve">    (U1)ALERT_REQ_H_SOCLOW_BC_</v>
      </c>
      <c r="AR44" s="55" t="str">
        <f t="shared" si="3"/>
        <v/>
      </c>
      <c r="AS44" s="55" t="str">
        <f t="shared" si="4"/>
        <v/>
      </c>
      <c r="AT44" s="55" t="str">
        <f t="shared" si="1"/>
        <v/>
      </c>
    </row>
    <row r="45" spans="2:46">
      <c r="B45" s="124"/>
      <c r="C45" s="39">
        <f t="shared" si="2"/>
        <v>39</v>
      </c>
      <c r="D45" s="53" t="s">
        <v>68</v>
      </c>
      <c r="E45" s="53" t="s">
        <v>68</v>
      </c>
      <c r="F45" s="53" t="s">
        <v>68</v>
      </c>
      <c r="G45" s="53" t="s">
        <v>68</v>
      </c>
      <c r="H45" s="53" t="s">
        <v>68</v>
      </c>
      <c r="I45" s="53" t="s">
        <v>68</v>
      </c>
      <c r="J45" s="53" t="s">
        <v>68</v>
      </c>
      <c r="K45" s="53" t="s">
        <v>68</v>
      </c>
      <c r="L45" s="53" t="s">
        <v>68</v>
      </c>
      <c r="M45" s="53" t="s">
        <v>68</v>
      </c>
      <c r="N45" s="53" t="s">
        <v>68</v>
      </c>
      <c r="O45" s="53" t="s">
        <v>68</v>
      </c>
      <c r="P45" s="53" t="s">
        <v>68</v>
      </c>
      <c r="Q45" s="53" t="s">
        <v>68</v>
      </c>
      <c r="R45" s="53" t="s">
        <v>68</v>
      </c>
      <c r="S45" s="53" t="s">
        <v>68</v>
      </c>
      <c r="T45" s="53" t="s">
        <v>68</v>
      </c>
      <c r="U45" s="53" t="s">
        <v>68</v>
      </c>
      <c r="V45" s="53" t="s">
        <v>68</v>
      </c>
      <c r="W45" s="53" t="s">
        <v>68</v>
      </c>
      <c r="X45" s="53" t="s">
        <v>68</v>
      </c>
      <c r="Y45" s="53" t="s">
        <v>68</v>
      </c>
      <c r="Z45" s="53" t="s">
        <v>68</v>
      </c>
      <c r="AA45" s="53" t="s">
        <v>68</v>
      </c>
      <c r="AB45" s="53" t="s">
        <v>68</v>
      </c>
      <c r="AC45" s="53" t="s">
        <v>68</v>
      </c>
      <c r="AD45" s="53" t="s">
        <v>68</v>
      </c>
      <c r="AE45" s="53" t="s">
        <v>68</v>
      </c>
      <c r="AF45" s="53" t="s">
        <v>68</v>
      </c>
      <c r="AG45" s="53" t="s">
        <v>68</v>
      </c>
      <c r="AH45" s="53" t="s">
        <v>68</v>
      </c>
      <c r="AI45" s="53" t="s">
        <v>68</v>
      </c>
      <c r="AJ45" s="22"/>
      <c r="AL45" t="str">
        <f t="shared" ca="1" si="0"/>
        <v xml:space="preserve">    (U1)ALERT_REQ_H_SOCLOW_BC_</v>
      </c>
      <c r="AR45" s="55" t="str">
        <f t="shared" si="3"/>
        <v/>
      </c>
      <c r="AS45" s="55" t="str">
        <f t="shared" si="4"/>
        <v/>
      </c>
      <c r="AT45" s="55" t="str">
        <f t="shared" si="1"/>
        <v/>
      </c>
    </row>
    <row r="46" spans="2:46">
      <c r="B46" s="124"/>
      <c r="C46" s="39">
        <f t="shared" si="2"/>
        <v>40</v>
      </c>
      <c r="D46" s="53" t="s">
        <v>68</v>
      </c>
      <c r="E46" s="53" t="s">
        <v>68</v>
      </c>
      <c r="F46" s="53" t="s">
        <v>68</v>
      </c>
      <c r="G46" s="53" t="s">
        <v>68</v>
      </c>
      <c r="H46" s="53" t="s">
        <v>68</v>
      </c>
      <c r="I46" s="53" t="s">
        <v>68</v>
      </c>
      <c r="J46" s="53" t="s">
        <v>68</v>
      </c>
      <c r="K46" s="53" t="s">
        <v>68</v>
      </c>
      <c r="L46" s="53" t="s">
        <v>68</v>
      </c>
      <c r="M46" s="53" t="s">
        <v>68</v>
      </c>
      <c r="N46" s="53" t="s">
        <v>68</v>
      </c>
      <c r="O46" s="53" t="s">
        <v>68</v>
      </c>
      <c r="P46" s="53" t="s">
        <v>68</v>
      </c>
      <c r="Q46" s="53" t="s">
        <v>68</v>
      </c>
      <c r="R46" s="53" t="s">
        <v>68</v>
      </c>
      <c r="S46" s="53" t="s">
        <v>68</v>
      </c>
      <c r="T46" s="53" t="s">
        <v>68</v>
      </c>
      <c r="U46" s="53" t="s">
        <v>68</v>
      </c>
      <c r="V46" s="53" t="s">
        <v>68</v>
      </c>
      <c r="W46" s="53" t="s">
        <v>68</v>
      </c>
      <c r="X46" s="53" t="s">
        <v>68</v>
      </c>
      <c r="Y46" s="53" t="s">
        <v>68</v>
      </c>
      <c r="Z46" s="53" t="s">
        <v>68</v>
      </c>
      <c r="AA46" s="53" t="s">
        <v>68</v>
      </c>
      <c r="AB46" s="53" t="s">
        <v>68</v>
      </c>
      <c r="AC46" s="53" t="s">
        <v>68</v>
      </c>
      <c r="AD46" s="53" t="s">
        <v>68</v>
      </c>
      <c r="AE46" s="53" t="s">
        <v>68</v>
      </c>
      <c r="AF46" s="53" t="s">
        <v>68</v>
      </c>
      <c r="AG46" s="53" t="s">
        <v>68</v>
      </c>
      <c r="AH46" s="53" t="s">
        <v>68</v>
      </c>
      <c r="AI46" s="53" t="s">
        <v>68</v>
      </c>
      <c r="AJ46" s="22"/>
      <c r="AL46" t="str">
        <f t="shared" ca="1" si="0"/>
        <v xml:space="preserve">    (U1)ALERT_REQ_H_SOCLOW_BC_</v>
      </c>
      <c r="AR46" s="55" t="str">
        <f t="shared" si="3"/>
        <v/>
      </c>
      <c r="AS46" s="55" t="str">
        <f t="shared" si="4"/>
        <v/>
      </c>
      <c r="AT46" s="55" t="str">
        <f t="shared" si="1"/>
        <v/>
      </c>
    </row>
    <row r="47" spans="2:46">
      <c r="B47" s="124"/>
      <c r="C47" s="39">
        <f t="shared" si="2"/>
        <v>41</v>
      </c>
      <c r="D47" s="53" t="s">
        <v>68</v>
      </c>
      <c r="E47" s="53" t="s">
        <v>68</v>
      </c>
      <c r="F47" s="53" t="s">
        <v>68</v>
      </c>
      <c r="G47" s="53" t="s">
        <v>68</v>
      </c>
      <c r="H47" s="53" t="s">
        <v>68</v>
      </c>
      <c r="I47" s="53" t="s">
        <v>68</v>
      </c>
      <c r="J47" s="53" t="s">
        <v>68</v>
      </c>
      <c r="K47" s="53" t="s">
        <v>68</v>
      </c>
      <c r="L47" s="53" t="s">
        <v>68</v>
      </c>
      <c r="M47" s="53" t="s">
        <v>68</v>
      </c>
      <c r="N47" s="53" t="s">
        <v>68</v>
      </c>
      <c r="O47" s="53" t="s">
        <v>68</v>
      </c>
      <c r="P47" s="53" t="s">
        <v>68</v>
      </c>
      <c r="Q47" s="53" t="s">
        <v>68</v>
      </c>
      <c r="R47" s="53" t="s">
        <v>68</v>
      </c>
      <c r="S47" s="53" t="s">
        <v>68</v>
      </c>
      <c r="T47" s="53" t="s">
        <v>68</v>
      </c>
      <c r="U47" s="53" t="s">
        <v>68</v>
      </c>
      <c r="V47" s="53" t="s">
        <v>68</v>
      </c>
      <c r="W47" s="53" t="s">
        <v>68</v>
      </c>
      <c r="X47" s="53" t="s">
        <v>68</v>
      </c>
      <c r="Y47" s="53" t="s">
        <v>68</v>
      </c>
      <c r="Z47" s="53" t="s">
        <v>68</v>
      </c>
      <c r="AA47" s="53" t="s">
        <v>68</v>
      </c>
      <c r="AB47" s="53" t="s">
        <v>68</v>
      </c>
      <c r="AC47" s="53" t="s">
        <v>68</v>
      </c>
      <c r="AD47" s="53" t="s">
        <v>68</v>
      </c>
      <c r="AE47" s="53" t="s">
        <v>68</v>
      </c>
      <c r="AF47" s="53" t="s">
        <v>68</v>
      </c>
      <c r="AG47" s="53" t="s">
        <v>68</v>
      </c>
      <c r="AH47" s="53" t="s">
        <v>68</v>
      </c>
      <c r="AI47" s="53" t="s">
        <v>68</v>
      </c>
      <c r="AJ47" s="22"/>
      <c r="AL47" t="str">
        <f t="shared" ca="1" si="0"/>
        <v xml:space="preserve">    (U1)ALERT_REQ_H_SOCLOW_BC_</v>
      </c>
      <c r="AR47" s="55" t="str">
        <f t="shared" si="3"/>
        <v/>
      </c>
      <c r="AS47" s="55" t="str">
        <f t="shared" si="4"/>
        <v/>
      </c>
      <c r="AT47" s="55" t="str">
        <f t="shared" si="1"/>
        <v/>
      </c>
    </row>
    <row r="48" spans="2:46">
      <c r="B48" s="124"/>
      <c r="C48" s="39">
        <f t="shared" si="2"/>
        <v>42</v>
      </c>
      <c r="D48" s="53" t="s">
        <v>68</v>
      </c>
      <c r="E48" s="53" t="s">
        <v>68</v>
      </c>
      <c r="F48" s="53" t="s">
        <v>68</v>
      </c>
      <c r="G48" s="53" t="s">
        <v>68</v>
      </c>
      <c r="H48" s="53" t="s">
        <v>68</v>
      </c>
      <c r="I48" s="53" t="s">
        <v>68</v>
      </c>
      <c r="J48" s="53" t="s">
        <v>68</v>
      </c>
      <c r="K48" s="53" t="s">
        <v>68</v>
      </c>
      <c r="L48" s="53" t="s">
        <v>68</v>
      </c>
      <c r="M48" s="53" t="s">
        <v>68</v>
      </c>
      <c r="N48" s="53" t="s">
        <v>68</v>
      </c>
      <c r="O48" s="53" t="s">
        <v>68</v>
      </c>
      <c r="P48" s="53" t="s">
        <v>68</v>
      </c>
      <c r="Q48" s="53" t="s">
        <v>68</v>
      </c>
      <c r="R48" s="53" t="s">
        <v>68</v>
      </c>
      <c r="S48" s="53" t="s">
        <v>68</v>
      </c>
      <c r="T48" s="53" t="s">
        <v>68</v>
      </c>
      <c r="U48" s="53" t="s">
        <v>68</v>
      </c>
      <c r="V48" s="53" t="s">
        <v>68</v>
      </c>
      <c r="W48" s="53" t="s">
        <v>68</v>
      </c>
      <c r="X48" s="53" t="s">
        <v>68</v>
      </c>
      <c r="Y48" s="53" t="s">
        <v>68</v>
      </c>
      <c r="Z48" s="53" t="s">
        <v>68</v>
      </c>
      <c r="AA48" s="53" t="s">
        <v>68</v>
      </c>
      <c r="AB48" s="53" t="s">
        <v>68</v>
      </c>
      <c r="AC48" s="53" t="s">
        <v>68</v>
      </c>
      <c r="AD48" s="53" t="s">
        <v>68</v>
      </c>
      <c r="AE48" s="53" t="s">
        <v>68</v>
      </c>
      <c r="AF48" s="53" t="s">
        <v>68</v>
      </c>
      <c r="AG48" s="53" t="s">
        <v>68</v>
      </c>
      <c r="AH48" s="53" t="s">
        <v>68</v>
      </c>
      <c r="AI48" s="53" t="s">
        <v>68</v>
      </c>
      <c r="AJ48" s="22"/>
      <c r="AL48" t="str">
        <f t="shared" ca="1" si="0"/>
        <v xml:space="preserve">    (U1)ALERT_REQ_H_SOCLOW_BC_</v>
      </c>
      <c r="AR48" s="55" t="str">
        <f t="shared" si="3"/>
        <v/>
      </c>
      <c r="AS48" s="55" t="str">
        <f t="shared" si="4"/>
        <v/>
      </c>
      <c r="AT48" s="55" t="str">
        <f t="shared" si="1"/>
        <v/>
      </c>
    </row>
    <row r="49" spans="2:46">
      <c r="B49" s="124"/>
      <c r="C49" s="39">
        <f t="shared" si="2"/>
        <v>43</v>
      </c>
      <c r="D49" s="53" t="s">
        <v>68</v>
      </c>
      <c r="E49" s="53" t="s">
        <v>68</v>
      </c>
      <c r="F49" s="53" t="s">
        <v>68</v>
      </c>
      <c r="G49" s="53" t="s">
        <v>68</v>
      </c>
      <c r="H49" s="53" t="s">
        <v>68</v>
      </c>
      <c r="I49" s="53" t="s">
        <v>68</v>
      </c>
      <c r="J49" s="53" t="s">
        <v>68</v>
      </c>
      <c r="K49" s="53" t="s">
        <v>68</v>
      </c>
      <c r="L49" s="53" t="s">
        <v>68</v>
      </c>
      <c r="M49" s="53" t="s">
        <v>68</v>
      </c>
      <c r="N49" s="53" t="s">
        <v>68</v>
      </c>
      <c r="O49" s="53" t="s">
        <v>68</v>
      </c>
      <c r="P49" s="53" t="s">
        <v>68</v>
      </c>
      <c r="Q49" s="53" t="s">
        <v>68</v>
      </c>
      <c r="R49" s="53" t="s">
        <v>68</v>
      </c>
      <c r="S49" s="53" t="s">
        <v>68</v>
      </c>
      <c r="T49" s="53" t="s">
        <v>68</v>
      </c>
      <c r="U49" s="53" t="s">
        <v>68</v>
      </c>
      <c r="V49" s="53" t="s">
        <v>68</v>
      </c>
      <c r="W49" s="53" t="s">
        <v>68</v>
      </c>
      <c r="X49" s="53" t="s">
        <v>68</v>
      </c>
      <c r="Y49" s="53" t="s">
        <v>68</v>
      </c>
      <c r="Z49" s="53" t="s">
        <v>68</v>
      </c>
      <c r="AA49" s="53" t="s">
        <v>68</v>
      </c>
      <c r="AB49" s="53" t="s">
        <v>68</v>
      </c>
      <c r="AC49" s="53" t="s">
        <v>68</v>
      </c>
      <c r="AD49" s="53" t="s">
        <v>68</v>
      </c>
      <c r="AE49" s="53" t="s">
        <v>68</v>
      </c>
      <c r="AF49" s="53" t="s">
        <v>68</v>
      </c>
      <c r="AG49" s="53" t="s">
        <v>68</v>
      </c>
      <c r="AH49" s="53" t="s">
        <v>68</v>
      </c>
      <c r="AI49" s="53" t="s">
        <v>68</v>
      </c>
      <c r="AJ49" s="22"/>
      <c r="AL49" t="str">
        <f t="shared" ca="1" si="0"/>
        <v xml:space="preserve">    (U1)ALERT_REQ_H_SOCLOW_BC_</v>
      </c>
      <c r="AR49" s="55" t="str">
        <f t="shared" si="3"/>
        <v/>
      </c>
      <c r="AS49" s="55" t="str">
        <f t="shared" si="4"/>
        <v/>
      </c>
      <c r="AT49" s="55" t="str">
        <f t="shared" si="1"/>
        <v/>
      </c>
    </row>
    <row r="50" spans="2:46">
      <c r="B50" s="124"/>
      <c r="C50" s="39">
        <f t="shared" si="2"/>
        <v>44</v>
      </c>
      <c r="D50" s="53" t="s">
        <v>68</v>
      </c>
      <c r="E50" s="53" t="s">
        <v>68</v>
      </c>
      <c r="F50" s="53" t="s">
        <v>68</v>
      </c>
      <c r="G50" s="53" t="s">
        <v>68</v>
      </c>
      <c r="H50" s="53" t="s">
        <v>68</v>
      </c>
      <c r="I50" s="53" t="s">
        <v>68</v>
      </c>
      <c r="J50" s="53" t="s">
        <v>68</v>
      </c>
      <c r="K50" s="53" t="s">
        <v>68</v>
      </c>
      <c r="L50" s="53" t="s">
        <v>68</v>
      </c>
      <c r="M50" s="53" t="s">
        <v>68</v>
      </c>
      <c r="N50" s="53" t="s">
        <v>68</v>
      </c>
      <c r="O50" s="53" t="s">
        <v>68</v>
      </c>
      <c r="P50" s="53" t="s">
        <v>68</v>
      </c>
      <c r="Q50" s="53" t="s">
        <v>68</v>
      </c>
      <c r="R50" s="53" t="s">
        <v>68</v>
      </c>
      <c r="S50" s="53" t="s">
        <v>68</v>
      </c>
      <c r="T50" s="53" t="s">
        <v>68</v>
      </c>
      <c r="U50" s="53" t="s">
        <v>68</v>
      </c>
      <c r="V50" s="53" t="s">
        <v>68</v>
      </c>
      <c r="W50" s="53" t="s">
        <v>68</v>
      </c>
      <c r="X50" s="53" t="s">
        <v>68</v>
      </c>
      <c r="Y50" s="53" t="s">
        <v>68</v>
      </c>
      <c r="Z50" s="53" t="s">
        <v>68</v>
      </c>
      <c r="AA50" s="53" t="s">
        <v>68</v>
      </c>
      <c r="AB50" s="53" t="s">
        <v>68</v>
      </c>
      <c r="AC50" s="53" t="s">
        <v>68</v>
      </c>
      <c r="AD50" s="53" t="s">
        <v>68</v>
      </c>
      <c r="AE50" s="53" t="s">
        <v>68</v>
      </c>
      <c r="AF50" s="53" t="s">
        <v>68</v>
      </c>
      <c r="AG50" s="53" t="s">
        <v>68</v>
      </c>
      <c r="AH50" s="53" t="s">
        <v>68</v>
      </c>
      <c r="AI50" s="53" t="s">
        <v>68</v>
      </c>
      <c r="AJ50" s="22"/>
      <c r="AL50" t="str">
        <f t="shared" ca="1" si="0"/>
        <v xml:space="preserve">    (U1)ALERT_REQ_H_SOCLOW_BC_</v>
      </c>
      <c r="AR50" s="55" t="str">
        <f t="shared" si="3"/>
        <v/>
      </c>
      <c r="AS50" s="55" t="str">
        <f t="shared" si="4"/>
        <v/>
      </c>
      <c r="AT50" s="55" t="str">
        <f t="shared" si="1"/>
        <v/>
      </c>
    </row>
    <row r="51" spans="2:46">
      <c r="B51" s="124"/>
      <c r="C51" s="39">
        <f t="shared" si="2"/>
        <v>45</v>
      </c>
      <c r="D51" s="53" t="s">
        <v>68</v>
      </c>
      <c r="E51" s="53" t="s">
        <v>68</v>
      </c>
      <c r="F51" s="53" t="s">
        <v>68</v>
      </c>
      <c r="G51" s="53" t="s">
        <v>68</v>
      </c>
      <c r="H51" s="53" t="s">
        <v>68</v>
      </c>
      <c r="I51" s="53" t="s">
        <v>68</v>
      </c>
      <c r="J51" s="53" t="s">
        <v>68</v>
      </c>
      <c r="K51" s="53" t="s">
        <v>68</v>
      </c>
      <c r="L51" s="53" t="s">
        <v>68</v>
      </c>
      <c r="M51" s="53" t="s">
        <v>68</v>
      </c>
      <c r="N51" s="53" t="s">
        <v>68</v>
      </c>
      <c r="O51" s="53" t="s">
        <v>68</v>
      </c>
      <c r="P51" s="53" t="s">
        <v>68</v>
      </c>
      <c r="Q51" s="53" t="s">
        <v>68</v>
      </c>
      <c r="R51" s="53" t="s">
        <v>68</v>
      </c>
      <c r="S51" s="53" t="s">
        <v>68</v>
      </c>
      <c r="T51" s="53" t="s">
        <v>68</v>
      </c>
      <c r="U51" s="53" t="s">
        <v>68</v>
      </c>
      <c r="V51" s="53" t="s">
        <v>68</v>
      </c>
      <c r="W51" s="53" t="s">
        <v>68</v>
      </c>
      <c r="X51" s="53" t="s">
        <v>68</v>
      </c>
      <c r="Y51" s="53" t="s">
        <v>68</v>
      </c>
      <c r="Z51" s="53" t="s">
        <v>68</v>
      </c>
      <c r="AA51" s="53" t="s">
        <v>68</v>
      </c>
      <c r="AB51" s="53" t="s">
        <v>68</v>
      </c>
      <c r="AC51" s="53" t="s">
        <v>68</v>
      </c>
      <c r="AD51" s="53" t="s">
        <v>68</v>
      </c>
      <c r="AE51" s="53" t="s">
        <v>68</v>
      </c>
      <c r="AF51" s="53" t="s">
        <v>68</v>
      </c>
      <c r="AG51" s="53" t="s">
        <v>68</v>
      </c>
      <c r="AH51" s="53" t="s">
        <v>68</v>
      </c>
      <c r="AI51" s="53" t="s">
        <v>68</v>
      </c>
      <c r="AJ51" s="22"/>
      <c r="AL51" t="str">
        <f t="shared" ca="1" si="0"/>
        <v xml:space="preserve">    (U1)ALERT_REQ_H_SOCLOW_BC_</v>
      </c>
      <c r="AR51" s="55" t="str">
        <f t="shared" si="3"/>
        <v/>
      </c>
      <c r="AS51" s="55" t="str">
        <f t="shared" si="4"/>
        <v/>
      </c>
      <c r="AT51" s="55" t="str">
        <f t="shared" si="1"/>
        <v/>
      </c>
    </row>
    <row r="52" spans="2:46">
      <c r="B52" s="124"/>
      <c r="C52" s="39">
        <f t="shared" si="2"/>
        <v>46</v>
      </c>
      <c r="D52" s="53" t="s">
        <v>68</v>
      </c>
      <c r="E52" s="53" t="s">
        <v>68</v>
      </c>
      <c r="F52" s="53" t="s">
        <v>68</v>
      </c>
      <c r="G52" s="53" t="s">
        <v>68</v>
      </c>
      <c r="H52" s="53" t="s">
        <v>68</v>
      </c>
      <c r="I52" s="53" t="s">
        <v>68</v>
      </c>
      <c r="J52" s="53" t="s">
        <v>68</v>
      </c>
      <c r="K52" s="53" t="s">
        <v>68</v>
      </c>
      <c r="L52" s="53" t="s">
        <v>68</v>
      </c>
      <c r="M52" s="53" t="s">
        <v>68</v>
      </c>
      <c r="N52" s="53" t="s">
        <v>68</v>
      </c>
      <c r="O52" s="53" t="s">
        <v>68</v>
      </c>
      <c r="P52" s="53" t="s">
        <v>68</v>
      </c>
      <c r="Q52" s="53" t="s">
        <v>68</v>
      </c>
      <c r="R52" s="53" t="s">
        <v>68</v>
      </c>
      <c r="S52" s="53" t="s">
        <v>68</v>
      </c>
      <c r="T52" s="53" t="s">
        <v>68</v>
      </c>
      <c r="U52" s="53" t="s">
        <v>68</v>
      </c>
      <c r="V52" s="53" t="s">
        <v>68</v>
      </c>
      <c r="W52" s="53" t="s">
        <v>68</v>
      </c>
      <c r="X52" s="53" t="s">
        <v>68</v>
      </c>
      <c r="Y52" s="53" t="s">
        <v>68</v>
      </c>
      <c r="Z52" s="53" t="s">
        <v>68</v>
      </c>
      <c r="AA52" s="53" t="s">
        <v>68</v>
      </c>
      <c r="AB52" s="53" t="s">
        <v>68</v>
      </c>
      <c r="AC52" s="53" t="s">
        <v>68</v>
      </c>
      <c r="AD52" s="53" t="s">
        <v>68</v>
      </c>
      <c r="AE52" s="53" t="s">
        <v>68</v>
      </c>
      <c r="AF52" s="53" t="s">
        <v>68</v>
      </c>
      <c r="AG52" s="53" t="s">
        <v>68</v>
      </c>
      <c r="AH52" s="53" t="s">
        <v>68</v>
      </c>
      <c r="AI52" s="53" t="s">
        <v>68</v>
      </c>
      <c r="AJ52" s="22"/>
      <c r="AL52" t="str">
        <f t="shared" ca="1" si="0"/>
        <v xml:space="preserve">    (U1)ALERT_REQ_H_SOCLOW_BC_</v>
      </c>
      <c r="AR52" s="55" t="str">
        <f t="shared" si="3"/>
        <v/>
      </c>
      <c r="AS52" s="55" t="str">
        <f t="shared" si="4"/>
        <v/>
      </c>
      <c r="AT52" s="55" t="str">
        <f t="shared" si="1"/>
        <v/>
      </c>
    </row>
    <row r="53" spans="2:46">
      <c r="B53" s="124"/>
      <c r="C53" s="39">
        <f t="shared" si="2"/>
        <v>47</v>
      </c>
      <c r="D53" s="53" t="s">
        <v>68</v>
      </c>
      <c r="E53" s="53" t="s">
        <v>68</v>
      </c>
      <c r="F53" s="53" t="s">
        <v>68</v>
      </c>
      <c r="G53" s="53" t="s">
        <v>68</v>
      </c>
      <c r="H53" s="53" t="s">
        <v>68</v>
      </c>
      <c r="I53" s="53" t="s">
        <v>68</v>
      </c>
      <c r="J53" s="53" t="s">
        <v>68</v>
      </c>
      <c r="K53" s="53" t="s">
        <v>68</v>
      </c>
      <c r="L53" s="53" t="s">
        <v>68</v>
      </c>
      <c r="M53" s="53" t="s">
        <v>68</v>
      </c>
      <c r="N53" s="53" t="s">
        <v>68</v>
      </c>
      <c r="O53" s="53" t="s">
        <v>68</v>
      </c>
      <c r="P53" s="53" t="s">
        <v>68</v>
      </c>
      <c r="Q53" s="53" t="s">
        <v>68</v>
      </c>
      <c r="R53" s="53" t="s">
        <v>68</v>
      </c>
      <c r="S53" s="53" t="s">
        <v>68</v>
      </c>
      <c r="T53" s="53" t="s">
        <v>68</v>
      </c>
      <c r="U53" s="53" t="s">
        <v>68</v>
      </c>
      <c r="V53" s="53" t="s">
        <v>68</v>
      </c>
      <c r="W53" s="53" t="s">
        <v>68</v>
      </c>
      <c r="X53" s="53" t="s">
        <v>68</v>
      </c>
      <c r="Y53" s="53" t="s">
        <v>68</v>
      </c>
      <c r="Z53" s="53" t="s">
        <v>68</v>
      </c>
      <c r="AA53" s="53" t="s">
        <v>68</v>
      </c>
      <c r="AB53" s="53" t="s">
        <v>68</v>
      </c>
      <c r="AC53" s="53" t="s">
        <v>68</v>
      </c>
      <c r="AD53" s="53" t="s">
        <v>68</v>
      </c>
      <c r="AE53" s="53" t="s">
        <v>68</v>
      </c>
      <c r="AF53" s="53" t="s">
        <v>68</v>
      </c>
      <c r="AG53" s="53" t="s">
        <v>68</v>
      </c>
      <c r="AH53" s="53" t="s">
        <v>68</v>
      </c>
      <c r="AI53" s="53" t="s">
        <v>68</v>
      </c>
      <c r="AJ53" s="22"/>
      <c r="AL53" t="str">
        <f t="shared" ca="1" si="0"/>
        <v xml:space="preserve">    (U1)ALERT_REQ_H_SOCLOW_BC_</v>
      </c>
      <c r="AR53" s="55" t="str">
        <f t="shared" si="3"/>
        <v/>
      </c>
      <c r="AS53" s="55" t="str">
        <f t="shared" si="4"/>
        <v/>
      </c>
      <c r="AT53" s="55" t="str">
        <f t="shared" si="1"/>
        <v/>
      </c>
    </row>
    <row r="54" spans="2:46">
      <c r="B54" s="124"/>
      <c r="C54" s="39">
        <f t="shared" si="2"/>
        <v>48</v>
      </c>
      <c r="D54" s="53" t="s">
        <v>68</v>
      </c>
      <c r="E54" s="53" t="s">
        <v>68</v>
      </c>
      <c r="F54" s="53" t="s">
        <v>68</v>
      </c>
      <c r="G54" s="53" t="s">
        <v>68</v>
      </c>
      <c r="H54" s="53" t="s">
        <v>68</v>
      </c>
      <c r="I54" s="53" t="s">
        <v>68</v>
      </c>
      <c r="J54" s="53" t="s">
        <v>68</v>
      </c>
      <c r="K54" s="53" t="s">
        <v>68</v>
      </c>
      <c r="L54" s="53" t="s">
        <v>68</v>
      </c>
      <c r="M54" s="53" t="s">
        <v>68</v>
      </c>
      <c r="N54" s="53" t="s">
        <v>68</v>
      </c>
      <c r="O54" s="53" t="s">
        <v>68</v>
      </c>
      <c r="P54" s="53" t="s">
        <v>68</v>
      </c>
      <c r="Q54" s="53" t="s">
        <v>68</v>
      </c>
      <c r="R54" s="53" t="s">
        <v>68</v>
      </c>
      <c r="S54" s="53" t="s">
        <v>68</v>
      </c>
      <c r="T54" s="53" t="s">
        <v>68</v>
      </c>
      <c r="U54" s="53" t="s">
        <v>68</v>
      </c>
      <c r="V54" s="53" t="s">
        <v>68</v>
      </c>
      <c r="W54" s="53" t="s">
        <v>68</v>
      </c>
      <c r="X54" s="53" t="s">
        <v>68</v>
      </c>
      <c r="Y54" s="53" t="s">
        <v>68</v>
      </c>
      <c r="Z54" s="53" t="s">
        <v>68</v>
      </c>
      <c r="AA54" s="53" t="s">
        <v>68</v>
      </c>
      <c r="AB54" s="53" t="s">
        <v>68</v>
      </c>
      <c r="AC54" s="53" t="s">
        <v>68</v>
      </c>
      <c r="AD54" s="53" t="s">
        <v>68</v>
      </c>
      <c r="AE54" s="53" t="s">
        <v>68</v>
      </c>
      <c r="AF54" s="53" t="s">
        <v>68</v>
      </c>
      <c r="AG54" s="53" t="s">
        <v>68</v>
      </c>
      <c r="AH54" s="53" t="s">
        <v>68</v>
      </c>
      <c r="AI54" s="53" t="s">
        <v>68</v>
      </c>
      <c r="AJ54" s="22"/>
      <c r="AL54" t="str">
        <f t="shared" ca="1" si="0"/>
        <v xml:space="preserve">    (U1)ALERT_REQ_H_SOCLOW_BC_</v>
      </c>
      <c r="AR54" s="55" t="str">
        <f t="shared" si="3"/>
        <v/>
      </c>
      <c r="AS54" s="55" t="str">
        <f t="shared" si="4"/>
        <v/>
      </c>
      <c r="AT54" s="55" t="str">
        <f t="shared" si="1"/>
        <v/>
      </c>
    </row>
    <row r="55" spans="2:46">
      <c r="B55" s="124"/>
      <c r="C55" s="39">
        <f t="shared" si="2"/>
        <v>49</v>
      </c>
      <c r="D55" s="53" t="s">
        <v>68</v>
      </c>
      <c r="E55" s="53" t="s">
        <v>68</v>
      </c>
      <c r="F55" s="53" t="s">
        <v>68</v>
      </c>
      <c r="G55" s="53" t="s">
        <v>68</v>
      </c>
      <c r="H55" s="53" t="s">
        <v>68</v>
      </c>
      <c r="I55" s="53" t="s">
        <v>68</v>
      </c>
      <c r="J55" s="53" t="s">
        <v>68</v>
      </c>
      <c r="K55" s="53" t="s">
        <v>68</v>
      </c>
      <c r="L55" s="53" t="s">
        <v>68</v>
      </c>
      <c r="M55" s="53" t="s">
        <v>68</v>
      </c>
      <c r="N55" s="53" t="s">
        <v>68</v>
      </c>
      <c r="O55" s="53" t="s">
        <v>68</v>
      </c>
      <c r="P55" s="53" t="s">
        <v>68</v>
      </c>
      <c r="Q55" s="53" t="s">
        <v>68</v>
      </c>
      <c r="R55" s="53" t="s">
        <v>68</v>
      </c>
      <c r="S55" s="53" t="s">
        <v>68</v>
      </c>
      <c r="T55" s="53" t="s">
        <v>68</v>
      </c>
      <c r="U55" s="53" t="s">
        <v>68</v>
      </c>
      <c r="V55" s="53" t="s">
        <v>68</v>
      </c>
      <c r="W55" s="53" t="s">
        <v>68</v>
      </c>
      <c r="X55" s="53" t="s">
        <v>68</v>
      </c>
      <c r="Y55" s="53" t="s">
        <v>68</v>
      </c>
      <c r="Z55" s="53" t="s">
        <v>68</v>
      </c>
      <c r="AA55" s="53" t="s">
        <v>68</v>
      </c>
      <c r="AB55" s="53" t="s">
        <v>68</v>
      </c>
      <c r="AC55" s="53" t="s">
        <v>68</v>
      </c>
      <c r="AD55" s="53" t="s">
        <v>68</v>
      </c>
      <c r="AE55" s="53" t="s">
        <v>68</v>
      </c>
      <c r="AF55" s="53" t="s">
        <v>68</v>
      </c>
      <c r="AG55" s="53" t="s">
        <v>68</v>
      </c>
      <c r="AH55" s="53" t="s">
        <v>68</v>
      </c>
      <c r="AI55" s="53" t="s">
        <v>68</v>
      </c>
      <c r="AJ55" s="22"/>
      <c r="AL55" t="str">
        <f t="shared" ca="1" si="0"/>
        <v xml:space="preserve">    (U1)ALERT_REQ_H_SOCLOW_BC_</v>
      </c>
      <c r="AR55" s="55" t="str">
        <f t="shared" si="3"/>
        <v/>
      </c>
      <c r="AS55" s="55" t="str">
        <f t="shared" si="4"/>
        <v/>
      </c>
      <c r="AT55" s="55" t="str">
        <f t="shared" si="1"/>
        <v/>
      </c>
    </row>
    <row r="56" spans="2:46">
      <c r="B56" s="124"/>
      <c r="C56" s="39">
        <f t="shared" si="2"/>
        <v>50</v>
      </c>
      <c r="D56" s="53" t="s">
        <v>68</v>
      </c>
      <c r="E56" s="53" t="s">
        <v>68</v>
      </c>
      <c r="F56" s="53" t="s">
        <v>68</v>
      </c>
      <c r="G56" s="53" t="s">
        <v>68</v>
      </c>
      <c r="H56" s="53" t="s">
        <v>68</v>
      </c>
      <c r="I56" s="53" t="s">
        <v>68</v>
      </c>
      <c r="J56" s="53" t="s">
        <v>68</v>
      </c>
      <c r="K56" s="53" t="s">
        <v>68</v>
      </c>
      <c r="L56" s="53" t="s">
        <v>68</v>
      </c>
      <c r="M56" s="53" t="s">
        <v>68</v>
      </c>
      <c r="N56" s="53" t="s">
        <v>68</v>
      </c>
      <c r="O56" s="53" t="s">
        <v>68</v>
      </c>
      <c r="P56" s="53" t="s">
        <v>68</v>
      </c>
      <c r="Q56" s="53" t="s">
        <v>68</v>
      </c>
      <c r="R56" s="53" t="s">
        <v>68</v>
      </c>
      <c r="S56" s="53" t="s">
        <v>68</v>
      </c>
      <c r="T56" s="53" t="s">
        <v>68</v>
      </c>
      <c r="U56" s="53" t="s">
        <v>68</v>
      </c>
      <c r="V56" s="53" t="s">
        <v>68</v>
      </c>
      <c r="W56" s="53" t="s">
        <v>68</v>
      </c>
      <c r="X56" s="53" t="s">
        <v>68</v>
      </c>
      <c r="Y56" s="53" t="s">
        <v>68</v>
      </c>
      <c r="Z56" s="53" t="s">
        <v>68</v>
      </c>
      <c r="AA56" s="53" t="s">
        <v>68</v>
      </c>
      <c r="AB56" s="53" t="s">
        <v>68</v>
      </c>
      <c r="AC56" s="53" t="s">
        <v>68</v>
      </c>
      <c r="AD56" s="53" t="s">
        <v>68</v>
      </c>
      <c r="AE56" s="53" t="s">
        <v>68</v>
      </c>
      <c r="AF56" s="53" t="s">
        <v>68</v>
      </c>
      <c r="AG56" s="53" t="s">
        <v>68</v>
      </c>
      <c r="AH56" s="53" t="s">
        <v>68</v>
      </c>
      <c r="AI56" s="53" t="s">
        <v>68</v>
      </c>
      <c r="AJ56" s="22"/>
      <c r="AL56" t="str">
        <f t="shared" ca="1" si="0"/>
        <v xml:space="preserve">    (U1)ALERT_REQ_H_SOCLOW_BC_</v>
      </c>
      <c r="AR56" s="55" t="str">
        <f t="shared" si="3"/>
        <v/>
      </c>
      <c r="AS56" s="55" t="str">
        <f t="shared" si="4"/>
        <v/>
      </c>
      <c r="AT56" s="55" t="str">
        <f t="shared" si="1"/>
        <v/>
      </c>
    </row>
    <row r="57" spans="2:46">
      <c r="B57" s="124"/>
      <c r="C57" s="39">
        <f t="shared" si="2"/>
        <v>51</v>
      </c>
      <c r="D57" s="53" t="s">
        <v>68</v>
      </c>
      <c r="E57" s="53" t="s">
        <v>68</v>
      </c>
      <c r="F57" s="53" t="s">
        <v>68</v>
      </c>
      <c r="G57" s="53" t="s">
        <v>68</v>
      </c>
      <c r="H57" s="53" t="s">
        <v>68</v>
      </c>
      <c r="I57" s="53" t="s">
        <v>68</v>
      </c>
      <c r="J57" s="53" t="s">
        <v>68</v>
      </c>
      <c r="K57" s="53" t="s">
        <v>68</v>
      </c>
      <c r="L57" s="53" t="s">
        <v>68</v>
      </c>
      <c r="M57" s="53" t="s">
        <v>68</v>
      </c>
      <c r="N57" s="53" t="s">
        <v>68</v>
      </c>
      <c r="O57" s="53" t="s">
        <v>68</v>
      </c>
      <c r="P57" s="53" t="s">
        <v>68</v>
      </c>
      <c r="Q57" s="53" t="s">
        <v>68</v>
      </c>
      <c r="R57" s="53" t="s">
        <v>68</v>
      </c>
      <c r="S57" s="53" t="s">
        <v>68</v>
      </c>
      <c r="T57" s="53" t="s">
        <v>68</v>
      </c>
      <c r="U57" s="53" t="s">
        <v>68</v>
      </c>
      <c r="V57" s="53" t="s">
        <v>68</v>
      </c>
      <c r="W57" s="53" t="s">
        <v>68</v>
      </c>
      <c r="X57" s="53" t="s">
        <v>68</v>
      </c>
      <c r="Y57" s="53" t="s">
        <v>68</v>
      </c>
      <c r="Z57" s="53" t="s">
        <v>68</v>
      </c>
      <c r="AA57" s="53" t="s">
        <v>68</v>
      </c>
      <c r="AB57" s="53" t="s">
        <v>68</v>
      </c>
      <c r="AC57" s="53" t="s">
        <v>68</v>
      </c>
      <c r="AD57" s="53" t="s">
        <v>68</v>
      </c>
      <c r="AE57" s="53" t="s">
        <v>68</v>
      </c>
      <c r="AF57" s="53" t="s">
        <v>68</v>
      </c>
      <c r="AG57" s="53" t="s">
        <v>68</v>
      </c>
      <c r="AH57" s="53" t="s">
        <v>68</v>
      </c>
      <c r="AI57" s="53" t="s">
        <v>68</v>
      </c>
      <c r="AJ57" s="22"/>
      <c r="AL57" t="str">
        <f t="shared" ca="1" si="0"/>
        <v xml:space="preserve">    (U1)ALERT_REQ_H_SOCLOW_BC_</v>
      </c>
      <c r="AR57" s="55" t="str">
        <f t="shared" si="3"/>
        <v/>
      </c>
      <c r="AS57" s="55" t="str">
        <f t="shared" si="4"/>
        <v/>
      </c>
      <c r="AT57" s="55" t="str">
        <f t="shared" si="1"/>
        <v/>
      </c>
    </row>
    <row r="58" spans="2:46">
      <c r="B58" s="124"/>
      <c r="C58" s="39">
        <f t="shared" si="2"/>
        <v>52</v>
      </c>
      <c r="D58" s="53" t="s">
        <v>68</v>
      </c>
      <c r="E58" s="53" t="s">
        <v>68</v>
      </c>
      <c r="F58" s="53" t="s">
        <v>68</v>
      </c>
      <c r="G58" s="53" t="s">
        <v>68</v>
      </c>
      <c r="H58" s="53" t="s">
        <v>68</v>
      </c>
      <c r="I58" s="53" t="s">
        <v>68</v>
      </c>
      <c r="J58" s="53" t="s">
        <v>68</v>
      </c>
      <c r="K58" s="53" t="s">
        <v>68</v>
      </c>
      <c r="L58" s="53" t="s">
        <v>68</v>
      </c>
      <c r="M58" s="53" t="s">
        <v>68</v>
      </c>
      <c r="N58" s="53" t="s">
        <v>68</v>
      </c>
      <c r="O58" s="53" t="s">
        <v>68</v>
      </c>
      <c r="P58" s="53" t="s">
        <v>68</v>
      </c>
      <c r="Q58" s="53" t="s">
        <v>68</v>
      </c>
      <c r="R58" s="53" t="s">
        <v>68</v>
      </c>
      <c r="S58" s="53" t="s">
        <v>68</v>
      </c>
      <c r="T58" s="53" t="s">
        <v>68</v>
      </c>
      <c r="U58" s="53" t="s">
        <v>68</v>
      </c>
      <c r="V58" s="53" t="s">
        <v>68</v>
      </c>
      <c r="W58" s="53" t="s">
        <v>68</v>
      </c>
      <c r="X58" s="53" t="s">
        <v>68</v>
      </c>
      <c r="Y58" s="53" t="s">
        <v>68</v>
      </c>
      <c r="Z58" s="53" t="s">
        <v>68</v>
      </c>
      <c r="AA58" s="53" t="s">
        <v>68</v>
      </c>
      <c r="AB58" s="53" t="s">
        <v>68</v>
      </c>
      <c r="AC58" s="53" t="s">
        <v>68</v>
      </c>
      <c r="AD58" s="53" t="s">
        <v>68</v>
      </c>
      <c r="AE58" s="53" t="s">
        <v>68</v>
      </c>
      <c r="AF58" s="53" t="s">
        <v>68</v>
      </c>
      <c r="AG58" s="53" t="s">
        <v>68</v>
      </c>
      <c r="AH58" s="53" t="s">
        <v>68</v>
      </c>
      <c r="AI58" s="53" t="s">
        <v>68</v>
      </c>
      <c r="AJ58" s="22"/>
      <c r="AL58" t="str">
        <f t="shared" ca="1" si="0"/>
        <v xml:space="preserve">    (U1)ALERT_REQ_H_SOCLOW_BC_</v>
      </c>
      <c r="AR58" s="55" t="str">
        <f t="shared" si="3"/>
        <v/>
      </c>
      <c r="AS58" s="55" t="str">
        <f t="shared" si="4"/>
        <v/>
      </c>
      <c r="AT58" s="55" t="str">
        <f t="shared" si="1"/>
        <v/>
      </c>
    </row>
    <row r="59" spans="2:46">
      <c r="B59" s="124"/>
      <c r="C59" s="39">
        <f t="shared" si="2"/>
        <v>53</v>
      </c>
      <c r="D59" s="53" t="s">
        <v>68</v>
      </c>
      <c r="E59" s="53" t="s">
        <v>68</v>
      </c>
      <c r="F59" s="53" t="s">
        <v>68</v>
      </c>
      <c r="G59" s="53" t="s">
        <v>68</v>
      </c>
      <c r="H59" s="53" t="s">
        <v>68</v>
      </c>
      <c r="I59" s="53" t="s">
        <v>68</v>
      </c>
      <c r="J59" s="53" t="s">
        <v>68</v>
      </c>
      <c r="K59" s="53" t="s">
        <v>68</v>
      </c>
      <c r="L59" s="53" t="s">
        <v>68</v>
      </c>
      <c r="M59" s="53" t="s">
        <v>68</v>
      </c>
      <c r="N59" s="53" t="s">
        <v>68</v>
      </c>
      <c r="O59" s="53" t="s">
        <v>68</v>
      </c>
      <c r="P59" s="53" t="s">
        <v>68</v>
      </c>
      <c r="Q59" s="53" t="s">
        <v>68</v>
      </c>
      <c r="R59" s="53" t="s">
        <v>68</v>
      </c>
      <c r="S59" s="53" t="s">
        <v>68</v>
      </c>
      <c r="T59" s="53" t="s">
        <v>68</v>
      </c>
      <c r="U59" s="53" t="s">
        <v>68</v>
      </c>
      <c r="V59" s="53" t="s">
        <v>68</v>
      </c>
      <c r="W59" s="53" t="s">
        <v>68</v>
      </c>
      <c r="X59" s="53" t="s">
        <v>68</v>
      </c>
      <c r="Y59" s="53" t="s">
        <v>68</v>
      </c>
      <c r="Z59" s="53" t="s">
        <v>68</v>
      </c>
      <c r="AA59" s="53" t="s">
        <v>68</v>
      </c>
      <c r="AB59" s="53" t="s">
        <v>68</v>
      </c>
      <c r="AC59" s="53" t="s">
        <v>68</v>
      </c>
      <c r="AD59" s="53" t="s">
        <v>68</v>
      </c>
      <c r="AE59" s="53" t="s">
        <v>68</v>
      </c>
      <c r="AF59" s="53" t="s">
        <v>68</v>
      </c>
      <c r="AG59" s="53" t="s">
        <v>68</v>
      </c>
      <c r="AH59" s="53" t="s">
        <v>68</v>
      </c>
      <c r="AI59" s="53" t="s">
        <v>68</v>
      </c>
      <c r="AJ59" s="22"/>
      <c r="AL59" t="str">
        <f t="shared" ca="1" si="0"/>
        <v xml:space="preserve">    (U1)ALERT_REQ_H_SOCLOW_BC_</v>
      </c>
      <c r="AR59" s="55" t="str">
        <f t="shared" si="3"/>
        <v/>
      </c>
      <c r="AS59" s="55" t="str">
        <f t="shared" si="4"/>
        <v/>
      </c>
      <c r="AT59" s="55" t="str">
        <f t="shared" si="1"/>
        <v/>
      </c>
    </row>
    <row r="60" spans="2:46">
      <c r="B60" s="124"/>
      <c r="C60" s="39">
        <f t="shared" si="2"/>
        <v>54</v>
      </c>
      <c r="D60" s="53" t="s">
        <v>68</v>
      </c>
      <c r="E60" s="53" t="s">
        <v>68</v>
      </c>
      <c r="F60" s="53" t="s">
        <v>68</v>
      </c>
      <c r="G60" s="53" t="s">
        <v>68</v>
      </c>
      <c r="H60" s="53" t="s">
        <v>68</v>
      </c>
      <c r="I60" s="53" t="s">
        <v>68</v>
      </c>
      <c r="J60" s="53" t="s">
        <v>68</v>
      </c>
      <c r="K60" s="53" t="s">
        <v>68</v>
      </c>
      <c r="L60" s="53" t="s">
        <v>68</v>
      </c>
      <c r="M60" s="53" t="s">
        <v>68</v>
      </c>
      <c r="N60" s="53" t="s">
        <v>68</v>
      </c>
      <c r="O60" s="53" t="s">
        <v>68</v>
      </c>
      <c r="P60" s="53" t="s">
        <v>68</v>
      </c>
      <c r="Q60" s="53" t="s">
        <v>68</v>
      </c>
      <c r="R60" s="53" t="s">
        <v>68</v>
      </c>
      <c r="S60" s="53" t="s">
        <v>68</v>
      </c>
      <c r="T60" s="53" t="s">
        <v>68</v>
      </c>
      <c r="U60" s="53" t="s">
        <v>68</v>
      </c>
      <c r="V60" s="53" t="s">
        <v>68</v>
      </c>
      <c r="W60" s="53" t="s">
        <v>68</v>
      </c>
      <c r="X60" s="53" t="s">
        <v>68</v>
      </c>
      <c r="Y60" s="53" t="s">
        <v>68</v>
      </c>
      <c r="Z60" s="53" t="s">
        <v>68</v>
      </c>
      <c r="AA60" s="53" t="s">
        <v>68</v>
      </c>
      <c r="AB60" s="53" t="s">
        <v>68</v>
      </c>
      <c r="AC60" s="53" t="s">
        <v>68</v>
      </c>
      <c r="AD60" s="53" t="s">
        <v>68</v>
      </c>
      <c r="AE60" s="53" t="s">
        <v>68</v>
      </c>
      <c r="AF60" s="53" t="s">
        <v>68</v>
      </c>
      <c r="AG60" s="53" t="s">
        <v>68</v>
      </c>
      <c r="AH60" s="53" t="s">
        <v>68</v>
      </c>
      <c r="AI60" s="53" t="s">
        <v>68</v>
      </c>
      <c r="AJ60" s="22"/>
      <c r="AL60" t="str">
        <f t="shared" ca="1" si="0"/>
        <v xml:space="preserve">    (U1)ALERT_REQ_H_SOCLOW_BC_</v>
      </c>
      <c r="AR60" s="55" t="str">
        <f t="shared" si="3"/>
        <v/>
      </c>
      <c r="AS60" s="55" t="str">
        <f t="shared" si="4"/>
        <v/>
      </c>
      <c r="AT60" s="55" t="str">
        <f t="shared" si="1"/>
        <v/>
      </c>
    </row>
    <row r="61" spans="2:46">
      <c r="B61" s="124"/>
      <c r="C61" s="39">
        <f t="shared" si="2"/>
        <v>55</v>
      </c>
      <c r="D61" s="53" t="s">
        <v>68</v>
      </c>
      <c r="E61" s="53" t="s">
        <v>68</v>
      </c>
      <c r="F61" s="53" t="s">
        <v>68</v>
      </c>
      <c r="G61" s="53" t="s">
        <v>68</v>
      </c>
      <c r="H61" s="53" t="s">
        <v>68</v>
      </c>
      <c r="I61" s="53" t="s">
        <v>68</v>
      </c>
      <c r="J61" s="53" t="s">
        <v>68</v>
      </c>
      <c r="K61" s="53" t="s">
        <v>68</v>
      </c>
      <c r="L61" s="53" t="s">
        <v>68</v>
      </c>
      <c r="M61" s="53" t="s">
        <v>68</v>
      </c>
      <c r="N61" s="53" t="s">
        <v>68</v>
      </c>
      <c r="O61" s="53" t="s">
        <v>68</v>
      </c>
      <c r="P61" s="53" t="s">
        <v>68</v>
      </c>
      <c r="Q61" s="53" t="s">
        <v>68</v>
      </c>
      <c r="R61" s="53" t="s">
        <v>68</v>
      </c>
      <c r="S61" s="53" t="s">
        <v>68</v>
      </c>
      <c r="T61" s="53" t="s">
        <v>68</v>
      </c>
      <c r="U61" s="53" t="s">
        <v>68</v>
      </c>
      <c r="V61" s="53" t="s">
        <v>68</v>
      </c>
      <c r="W61" s="53" t="s">
        <v>68</v>
      </c>
      <c r="X61" s="53" t="s">
        <v>68</v>
      </c>
      <c r="Y61" s="53" t="s">
        <v>68</v>
      </c>
      <c r="Z61" s="53" t="s">
        <v>68</v>
      </c>
      <c r="AA61" s="53" t="s">
        <v>68</v>
      </c>
      <c r="AB61" s="53" t="s">
        <v>68</v>
      </c>
      <c r="AC61" s="53" t="s">
        <v>68</v>
      </c>
      <c r="AD61" s="53" t="s">
        <v>68</v>
      </c>
      <c r="AE61" s="53" t="s">
        <v>68</v>
      </c>
      <c r="AF61" s="53" t="s">
        <v>68</v>
      </c>
      <c r="AG61" s="53" t="s">
        <v>68</v>
      </c>
      <c r="AH61" s="53" t="s">
        <v>68</v>
      </c>
      <c r="AI61" s="53" t="s">
        <v>68</v>
      </c>
      <c r="AJ61" s="22"/>
      <c r="AL61" t="str">
        <f t="shared" ca="1" si="0"/>
        <v xml:space="preserve">    (U1)ALERT_REQ_H_SOCLOW_BC_</v>
      </c>
      <c r="AR61" s="55" t="str">
        <f t="shared" si="3"/>
        <v/>
      </c>
      <c r="AS61" s="55" t="str">
        <f t="shared" si="4"/>
        <v/>
      </c>
      <c r="AT61" s="55" t="str">
        <f t="shared" si="1"/>
        <v/>
      </c>
    </row>
    <row r="62" spans="2:46">
      <c r="B62" s="124"/>
      <c r="C62" s="39">
        <f t="shared" si="2"/>
        <v>56</v>
      </c>
      <c r="D62" s="53" t="s">
        <v>68</v>
      </c>
      <c r="E62" s="53" t="s">
        <v>68</v>
      </c>
      <c r="F62" s="53" t="s">
        <v>68</v>
      </c>
      <c r="G62" s="53" t="s">
        <v>68</v>
      </c>
      <c r="H62" s="53" t="s">
        <v>68</v>
      </c>
      <c r="I62" s="53" t="s">
        <v>68</v>
      </c>
      <c r="J62" s="53" t="s">
        <v>68</v>
      </c>
      <c r="K62" s="53" t="s">
        <v>68</v>
      </c>
      <c r="L62" s="53" t="s">
        <v>68</v>
      </c>
      <c r="M62" s="53" t="s">
        <v>68</v>
      </c>
      <c r="N62" s="53" t="s">
        <v>68</v>
      </c>
      <c r="O62" s="53" t="s">
        <v>68</v>
      </c>
      <c r="P62" s="53" t="s">
        <v>68</v>
      </c>
      <c r="Q62" s="53" t="s">
        <v>68</v>
      </c>
      <c r="R62" s="53" t="s">
        <v>68</v>
      </c>
      <c r="S62" s="53" t="s">
        <v>68</v>
      </c>
      <c r="T62" s="53" t="s">
        <v>68</v>
      </c>
      <c r="U62" s="53" t="s">
        <v>68</v>
      </c>
      <c r="V62" s="53" t="s">
        <v>68</v>
      </c>
      <c r="W62" s="53" t="s">
        <v>68</v>
      </c>
      <c r="X62" s="53" t="s">
        <v>68</v>
      </c>
      <c r="Y62" s="53" t="s">
        <v>68</v>
      </c>
      <c r="Z62" s="53" t="s">
        <v>68</v>
      </c>
      <c r="AA62" s="53" t="s">
        <v>68</v>
      </c>
      <c r="AB62" s="53" t="s">
        <v>68</v>
      </c>
      <c r="AC62" s="53" t="s">
        <v>68</v>
      </c>
      <c r="AD62" s="53" t="s">
        <v>68</v>
      </c>
      <c r="AE62" s="53" t="s">
        <v>68</v>
      </c>
      <c r="AF62" s="53" t="s">
        <v>68</v>
      </c>
      <c r="AG62" s="53" t="s">
        <v>68</v>
      </c>
      <c r="AH62" s="53" t="s">
        <v>68</v>
      </c>
      <c r="AI62" s="53" t="s">
        <v>68</v>
      </c>
      <c r="AJ62" s="22"/>
      <c r="AL62" t="str">
        <f t="shared" ca="1" si="0"/>
        <v xml:space="preserve">    (U1)ALERT_REQ_H_SOCLOW_BC_</v>
      </c>
      <c r="AR62" s="55" t="str">
        <f t="shared" si="3"/>
        <v/>
      </c>
      <c r="AS62" s="55" t="str">
        <f t="shared" si="4"/>
        <v/>
      </c>
      <c r="AT62" s="55" t="str">
        <f t="shared" si="1"/>
        <v/>
      </c>
    </row>
    <row r="63" spans="2:46">
      <c r="B63" s="124"/>
      <c r="C63" s="39">
        <f t="shared" si="2"/>
        <v>57</v>
      </c>
      <c r="D63" s="53" t="s">
        <v>68</v>
      </c>
      <c r="E63" s="53" t="s">
        <v>68</v>
      </c>
      <c r="F63" s="53" t="s">
        <v>68</v>
      </c>
      <c r="G63" s="53" t="s">
        <v>68</v>
      </c>
      <c r="H63" s="53" t="s">
        <v>68</v>
      </c>
      <c r="I63" s="53" t="s">
        <v>68</v>
      </c>
      <c r="J63" s="53" t="s">
        <v>68</v>
      </c>
      <c r="K63" s="53" t="s">
        <v>68</v>
      </c>
      <c r="L63" s="53" t="s">
        <v>68</v>
      </c>
      <c r="M63" s="53" t="s">
        <v>68</v>
      </c>
      <c r="N63" s="53" t="s">
        <v>68</v>
      </c>
      <c r="O63" s="53" t="s">
        <v>68</v>
      </c>
      <c r="P63" s="53" t="s">
        <v>68</v>
      </c>
      <c r="Q63" s="53" t="s">
        <v>68</v>
      </c>
      <c r="R63" s="53" t="s">
        <v>68</v>
      </c>
      <c r="S63" s="53" t="s">
        <v>68</v>
      </c>
      <c r="T63" s="53" t="s">
        <v>68</v>
      </c>
      <c r="U63" s="53" t="s">
        <v>68</v>
      </c>
      <c r="V63" s="53" t="s">
        <v>68</v>
      </c>
      <c r="W63" s="53" t="s">
        <v>68</v>
      </c>
      <c r="X63" s="53" t="s">
        <v>68</v>
      </c>
      <c r="Y63" s="53" t="s">
        <v>68</v>
      </c>
      <c r="Z63" s="53" t="s">
        <v>68</v>
      </c>
      <c r="AA63" s="53" t="s">
        <v>68</v>
      </c>
      <c r="AB63" s="53" t="s">
        <v>68</v>
      </c>
      <c r="AC63" s="53" t="s">
        <v>68</v>
      </c>
      <c r="AD63" s="53" t="s">
        <v>68</v>
      </c>
      <c r="AE63" s="53" t="s">
        <v>68</v>
      </c>
      <c r="AF63" s="53" t="s">
        <v>68</v>
      </c>
      <c r="AG63" s="53" t="s">
        <v>68</v>
      </c>
      <c r="AH63" s="53" t="s">
        <v>68</v>
      </c>
      <c r="AI63" s="53" t="s">
        <v>68</v>
      </c>
      <c r="AJ63" s="22"/>
      <c r="AL63" t="str">
        <f t="shared" ca="1" si="0"/>
        <v xml:space="preserve">    (U1)ALERT_REQ_H_SOCLOW_BC_</v>
      </c>
      <c r="AR63" s="55" t="str">
        <f t="shared" si="3"/>
        <v/>
      </c>
      <c r="AS63" s="55" t="str">
        <f t="shared" si="4"/>
        <v/>
      </c>
      <c r="AT63" s="55" t="str">
        <f t="shared" si="1"/>
        <v/>
      </c>
    </row>
    <row r="64" spans="2:46">
      <c r="B64" s="124"/>
      <c r="C64" s="39">
        <f t="shared" si="2"/>
        <v>58</v>
      </c>
      <c r="D64" s="53" t="s">
        <v>68</v>
      </c>
      <c r="E64" s="53" t="s">
        <v>68</v>
      </c>
      <c r="F64" s="53" t="s">
        <v>68</v>
      </c>
      <c r="G64" s="53" t="s">
        <v>68</v>
      </c>
      <c r="H64" s="53" t="s">
        <v>68</v>
      </c>
      <c r="I64" s="53" t="s">
        <v>68</v>
      </c>
      <c r="J64" s="53" t="s">
        <v>68</v>
      </c>
      <c r="K64" s="53" t="s">
        <v>68</v>
      </c>
      <c r="L64" s="53" t="s">
        <v>68</v>
      </c>
      <c r="M64" s="53" t="s">
        <v>68</v>
      </c>
      <c r="N64" s="53" t="s">
        <v>68</v>
      </c>
      <c r="O64" s="53" t="s">
        <v>68</v>
      </c>
      <c r="P64" s="53" t="s">
        <v>68</v>
      </c>
      <c r="Q64" s="53" t="s">
        <v>68</v>
      </c>
      <c r="R64" s="53" t="s">
        <v>68</v>
      </c>
      <c r="S64" s="53" t="s">
        <v>68</v>
      </c>
      <c r="T64" s="53" t="s">
        <v>68</v>
      </c>
      <c r="U64" s="53" t="s">
        <v>68</v>
      </c>
      <c r="V64" s="53" t="s">
        <v>68</v>
      </c>
      <c r="W64" s="53" t="s">
        <v>68</v>
      </c>
      <c r="X64" s="53" t="s">
        <v>68</v>
      </c>
      <c r="Y64" s="53" t="s">
        <v>68</v>
      </c>
      <c r="Z64" s="53" t="s">
        <v>68</v>
      </c>
      <c r="AA64" s="53" t="s">
        <v>68</v>
      </c>
      <c r="AB64" s="53" t="s">
        <v>68</v>
      </c>
      <c r="AC64" s="53" t="s">
        <v>68</v>
      </c>
      <c r="AD64" s="53" t="s">
        <v>68</v>
      </c>
      <c r="AE64" s="53" t="s">
        <v>68</v>
      </c>
      <c r="AF64" s="53" t="s">
        <v>68</v>
      </c>
      <c r="AG64" s="53" t="s">
        <v>68</v>
      </c>
      <c r="AH64" s="53" t="s">
        <v>68</v>
      </c>
      <c r="AI64" s="53" t="s">
        <v>68</v>
      </c>
      <c r="AJ64" s="22"/>
      <c r="AL64" t="str">
        <f t="shared" ca="1" si="0"/>
        <v xml:space="preserve">    (U1)ALERT_REQ_H_SOCLOW_BC_</v>
      </c>
      <c r="AR64" s="55" t="str">
        <f t="shared" si="3"/>
        <v/>
      </c>
      <c r="AS64" s="55" t="str">
        <f t="shared" si="4"/>
        <v/>
      </c>
      <c r="AT64" s="55" t="str">
        <f t="shared" si="1"/>
        <v/>
      </c>
    </row>
    <row r="65" spans="1:46">
      <c r="B65" s="124"/>
      <c r="C65" s="39">
        <f t="shared" si="2"/>
        <v>59</v>
      </c>
      <c r="D65" s="53" t="s">
        <v>68</v>
      </c>
      <c r="E65" s="53" t="s">
        <v>68</v>
      </c>
      <c r="F65" s="53" t="s">
        <v>68</v>
      </c>
      <c r="G65" s="53" t="s">
        <v>68</v>
      </c>
      <c r="H65" s="53" t="s">
        <v>68</v>
      </c>
      <c r="I65" s="53" t="s">
        <v>68</v>
      </c>
      <c r="J65" s="53" t="s">
        <v>68</v>
      </c>
      <c r="K65" s="53" t="s">
        <v>68</v>
      </c>
      <c r="L65" s="53" t="s">
        <v>68</v>
      </c>
      <c r="M65" s="53" t="s">
        <v>68</v>
      </c>
      <c r="N65" s="53" t="s">
        <v>68</v>
      </c>
      <c r="O65" s="53" t="s">
        <v>68</v>
      </c>
      <c r="P65" s="53" t="s">
        <v>68</v>
      </c>
      <c r="Q65" s="53" t="s">
        <v>68</v>
      </c>
      <c r="R65" s="53" t="s">
        <v>68</v>
      </c>
      <c r="S65" s="53" t="s">
        <v>68</v>
      </c>
      <c r="T65" s="53" t="s">
        <v>68</v>
      </c>
      <c r="U65" s="53" t="s">
        <v>68</v>
      </c>
      <c r="V65" s="53" t="s">
        <v>68</v>
      </c>
      <c r="W65" s="53" t="s">
        <v>68</v>
      </c>
      <c r="X65" s="53" t="s">
        <v>68</v>
      </c>
      <c r="Y65" s="53" t="s">
        <v>68</v>
      </c>
      <c r="Z65" s="53" t="s">
        <v>68</v>
      </c>
      <c r="AA65" s="53" t="s">
        <v>68</v>
      </c>
      <c r="AB65" s="53" t="s">
        <v>68</v>
      </c>
      <c r="AC65" s="53" t="s">
        <v>68</v>
      </c>
      <c r="AD65" s="53" t="s">
        <v>68</v>
      </c>
      <c r="AE65" s="53" t="s">
        <v>68</v>
      </c>
      <c r="AF65" s="53" t="s">
        <v>68</v>
      </c>
      <c r="AG65" s="53" t="s">
        <v>68</v>
      </c>
      <c r="AH65" s="53" t="s">
        <v>68</v>
      </c>
      <c r="AI65" s="53" t="s">
        <v>68</v>
      </c>
      <c r="AJ65" s="22"/>
      <c r="AL65" t="str">
        <f t="shared" ca="1" si="0"/>
        <v xml:space="preserve">    (U1)ALERT_REQ_H_SOCLOW_BC_</v>
      </c>
      <c r="AR65" s="55" t="str">
        <f t="shared" si="3"/>
        <v/>
      </c>
      <c r="AS65" s="55" t="str">
        <f t="shared" si="4"/>
        <v/>
      </c>
      <c r="AT65" s="55" t="str">
        <f t="shared" si="1"/>
        <v/>
      </c>
    </row>
    <row r="66" spans="1:46">
      <c r="B66" s="124"/>
      <c r="C66" s="39">
        <f t="shared" si="2"/>
        <v>60</v>
      </c>
      <c r="D66" s="53" t="s">
        <v>68</v>
      </c>
      <c r="E66" s="53" t="s">
        <v>68</v>
      </c>
      <c r="F66" s="53" t="s">
        <v>68</v>
      </c>
      <c r="G66" s="53" t="s">
        <v>68</v>
      </c>
      <c r="H66" s="53" t="s">
        <v>68</v>
      </c>
      <c r="I66" s="53" t="s">
        <v>68</v>
      </c>
      <c r="J66" s="53" t="s">
        <v>68</v>
      </c>
      <c r="K66" s="53" t="s">
        <v>68</v>
      </c>
      <c r="L66" s="53" t="s">
        <v>68</v>
      </c>
      <c r="M66" s="53" t="s">
        <v>68</v>
      </c>
      <c r="N66" s="53" t="s">
        <v>68</v>
      </c>
      <c r="O66" s="53" t="s">
        <v>68</v>
      </c>
      <c r="P66" s="53" t="s">
        <v>68</v>
      </c>
      <c r="Q66" s="53" t="s">
        <v>68</v>
      </c>
      <c r="R66" s="53" t="s">
        <v>68</v>
      </c>
      <c r="S66" s="53" t="s">
        <v>68</v>
      </c>
      <c r="T66" s="53" t="s">
        <v>68</v>
      </c>
      <c r="U66" s="53" t="s">
        <v>68</v>
      </c>
      <c r="V66" s="53" t="s">
        <v>68</v>
      </c>
      <c r="W66" s="53" t="s">
        <v>68</v>
      </c>
      <c r="X66" s="53" t="s">
        <v>68</v>
      </c>
      <c r="Y66" s="53" t="s">
        <v>68</v>
      </c>
      <c r="Z66" s="53" t="s">
        <v>68</v>
      </c>
      <c r="AA66" s="53" t="s">
        <v>68</v>
      </c>
      <c r="AB66" s="53" t="s">
        <v>68</v>
      </c>
      <c r="AC66" s="53" t="s">
        <v>68</v>
      </c>
      <c r="AD66" s="53" t="s">
        <v>68</v>
      </c>
      <c r="AE66" s="53" t="s">
        <v>68</v>
      </c>
      <c r="AF66" s="53" t="s">
        <v>68</v>
      </c>
      <c r="AG66" s="53" t="s">
        <v>68</v>
      </c>
      <c r="AH66" s="53" t="s">
        <v>68</v>
      </c>
      <c r="AI66" s="53" t="s">
        <v>68</v>
      </c>
      <c r="AJ66" s="22"/>
      <c r="AL66" t="str">
        <f t="shared" ca="1" si="0"/>
        <v xml:space="preserve">    (U1)ALERT_REQ_H_SOCLOW_BC_</v>
      </c>
      <c r="AR66" s="55" t="str">
        <f t="shared" si="3"/>
        <v/>
      </c>
      <c r="AS66" s="55" t="str">
        <f t="shared" si="4"/>
        <v/>
      </c>
      <c r="AT66" s="55" t="str">
        <f t="shared" si="1"/>
        <v/>
      </c>
    </row>
    <row r="67" spans="1:46">
      <c r="B67" s="124"/>
      <c r="C67" s="39">
        <f t="shared" si="2"/>
        <v>61</v>
      </c>
      <c r="D67" s="53" t="s">
        <v>68</v>
      </c>
      <c r="E67" s="53" t="s">
        <v>68</v>
      </c>
      <c r="F67" s="53" t="s">
        <v>68</v>
      </c>
      <c r="G67" s="53" t="s">
        <v>68</v>
      </c>
      <c r="H67" s="53" t="s">
        <v>68</v>
      </c>
      <c r="I67" s="53" t="s">
        <v>68</v>
      </c>
      <c r="J67" s="53" t="s">
        <v>68</v>
      </c>
      <c r="K67" s="53" t="s">
        <v>68</v>
      </c>
      <c r="L67" s="53" t="s">
        <v>68</v>
      </c>
      <c r="M67" s="53" t="s">
        <v>68</v>
      </c>
      <c r="N67" s="53" t="s">
        <v>68</v>
      </c>
      <c r="O67" s="53" t="s">
        <v>68</v>
      </c>
      <c r="P67" s="53" t="s">
        <v>68</v>
      </c>
      <c r="Q67" s="53" t="s">
        <v>68</v>
      </c>
      <c r="R67" s="53" t="s">
        <v>68</v>
      </c>
      <c r="S67" s="53" t="s">
        <v>68</v>
      </c>
      <c r="T67" s="53" t="s">
        <v>68</v>
      </c>
      <c r="U67" s="53" t="s">
        <v>68</v>
      </c>
      <c r="V67" s="53" t="s">
        <v>68</v>
      </c>
      <c r="W67" s="53" t="s">
        <v>68</v>
      </c>
      <c r="X67" s="53" t="s">
        <v>68</v>
      </c>
      <c r="Y67" s="53" t="s">
        <v>68</v>
      </c>
      <c r="Z67" s="53" t="s">
        <v>68</v>
      </c>
      <c r="AA67" s="53" t="s">
        <v>68</v>
      </c>
      <c r="AB67" s="53" t="s">
        <v>68</v>
      </c>
      <c r="AC67" s="53" t="s">
        <v>68</v>
      </c>
      <c r="AD67" s="53" t="s">
        <v>68</v>
      </c>
      <c r="AE67" s="53" t="s">
        <v>68</v>
      </c>
      <c r="AF67" s="53" t="s">
        <v>68</v>
      </c>
      <c r="AG67" s="53" t="s">
        <v>68</v>
      </c>
      <c r="AH67" s="53" t="s">
        <v>68</v>
      </c>
      <c r="AI67" s="53" t="s">
        <v>68</v>
      </c>
      <c r="AJ67" s="22"/>
      <c r="AL67" t="str">
        <f t="shared" ca="1" si="0"/>
        <v xml:space="preserve">    (U1)ALERT_REQ_H_SOCLOW_BC_</v>
      </c>
      <c r="AR67" s="55" t="str">
        <f t="shared" si="3"/>
        <v/>
      </c>
      <c r="AS67" s="55" t="str">
        <f t="shared" si="4"/>
        <v/>
      </c>
      <c r="AT67" s="55" t="str">
        <f t="shared" si="1"/>
        <v/>
      </c>
    </row>
    <row r="68" spans="1:46">
      <c r="B68" s="124"/>
      <c r="C68" s="39">
        <f t="shared" si="2"/>
        <v>62</v>
      </c>
      <c r="D68" s="53" t="s">
        <v>68</v>
      </c>
      <c r="E68" s="53" t="s">
        <v>68</v>
      </c>
      <c r="F68" s="53" t="s">
        <v>68</v>
      </c>
      <c r="G68" s="53" t="s">
        <v>68</v>
      </c>
      <c r="H68" s="53" t="s">
        <v>68</v>
      </c>
      <c r="I68" s="53" t="s">
        <v>68</v>
      </c>
      <c r="J68" s="53" t="s">
        <v>68</v>
      </c>
      <c r="K68" s="53" t="s">
        <v>68</v>
      </c>
      <c r="L68" s="53" t="s">
        <v>68</v>
      </c>
      <c r="M68" s="53" t="s">
        <v>68</v>
      </c>
      <c r="N68" s="53" t="s">
        <v>68</v>
      </c>
      <c r="O68" s="53" t="s">
        <v>68</v>
      </c>
      <c r="P68" s="53" t="s">
        <v>68</v>
      </c>
      <c r="Q68" s="53" t="s">
        <v>68</v>
      </c>
      <c r="R68" s="53" t="s">
        <v>68</v>
      </c>
      <c r="S68" s="53" t="s">
        <v>68</v>
      </c>
      <c r="T68" s="53" t="s">
        <v>68</v>
      </c>
      <c r="U68" s="53" t="s">
        <v>68</v>
      </c>
      <c r="V68" s="53" t="s">
        <v>68</v>
      </c>
      <c r="W68" s="53" t="s">
        <v>68</v>
      </c>
      <c r="X68" s="53" t="s">
        <v>68</v>
      </c>
      <c r="Y68" s="53" t="s">
        <v>68</v>
      </c>
      <c r="Z68" s="53" t="s">
        <v>68</v>
      </c>
      <c r="AA68" s="53" t="s">
        <v>68</v>
      </c>
      <c r="AB68" s="53" t="s">
        <v>68</v>
      </c>
      <c r="AC68" s="53" t="s">
        <v>68</v>
      </c>
      <c r="AD68" s="53" t="s">
        <v>68</v>
      </c>
      <c r="AE68" s="53" t="s">
        <v>68</v>
      </c>
      <c r="AF68" s="53" t="s">
        <v>68</v>
      </c>
      <c r="AG68" s="53" t="s">
        <v>68</v>
      </c>
      <c r="AH68" s="53" t="s">
        <v>68</v>
      </c>
      <c r="AI68" s="53" t="s">
        <v>68</v>
      </c>
      <c r="AJ68" s="22"/>
      <c r="AL68" t="str">
        <f t="shared" ca="1" si="0"/>
        <v xml:space="preserve">    (U1)ALERT_REQ_H_SOCLOW_BC_</v>
      </c>
      <c r="AR68" s="55" t="str">
        <f t="shared" si="3"/>
        <v/>
      </c>
      <c r="AS68" s="55" t="str">
        <f t="shared" si="4"/>
        <v/>
      </c>
      <c r="AT68" s="55" t="str">
        <f t="shared" si="1"/>
        <v/>
      </c>
    </row>
    <row r="69" spans="1:46">
      <c r="B69" s="125"/>
      <c r="C69" s="39">
        <f t="shared" si="2"/>
        <v>63</v>
      </c>
      <c r="D69" s="53" t="s">
        <v>68</v>
      </c>
      <c r="E69" s="53" t="s">
        <v>68</v>
      </c>
      <c r="F69" s="53" t="s">
        <v>68</v>
      </c>
      <c r="G69" s="53" t="s">
        <v>68</v>
      </c>
      <c r="H69" s="53" t="s">
        <v>68</v>
      </c>
      <c r="I69" s="53" t="s">
        <v>68</v>
      </c>
      <c r="J69" s="53" t="s">
        <v>68</v>
      </c>
      <c r="K69" s="53" t="s">
        <v>68</v>
      </c>
      <c r="L69" s="53" t="s">
        <v>68</v>
      </c>
      <c r="M69" s="53" t="s">
        <v>68</v>
      </c>
      <c r="N69" s="53" t="s">
        <v>68</v>
      </c>
      <c r="O69" s="53" t="s">
        <v>68</v>
      </c>
      <c r="P69" s="53" t="s">
        <v>68</v>
      </c>
      <c r="Q69" s="53" t="s">
        <v>68</v>
      </c>
      <c r="R69" s="53" t="s">
        <v>68</v>
      </c>
      <c r="S69" s="53" t="s">
        <v>68</v>
      </c>
      <c r="T69" s="53" t="s">
        <v>68</v>
      </c>
      <c r="U69" s="53" t="s">
        <v>68</v>
      </c>
      <c r="V69" s="53" t="s">
        <v>68</v>
      </c>
      <c r="W69" s="53" t="s">
        <v>68</v>
      </c>
      <c r="X69" s="53" t="s">
        <v>68</v>
      </c>
      <c r="Y69" s="53" t="s">
        <v>68</v>
      </c>
      <c r="Z69" s="53" t="s">
        <v>68</v>
      </c>
      <c r="AA69" s="53" t="s">
        <v>68</v>
      </c>
      <c r="AB69" s="53" t="s">
        <v>68</v>
      </c>
      <c r="AC69" s="53" t="s">
        <v>68</v>
      </c>
      <c r="AD69" s="53" t="s">
        <v>68</v>
      </c>
      <c r="AE69" s="53" t="s">
        <v>68</v>
      </c>
      <c r="AF69" s="53" t="s">
        <v>68</v>
      </c>
      <c r="AG69" s="53" t="s">
        <v>68</v>
      </c>
      <c r="AH69" s="53" t="s">
        <v>68</v>
      </c>
      <c r="AI69" s="53" t="s">
        <v>68</v>
      </c>
      <c r="AJ69" s="22"/>
      <c r="AL69" t="str">
        <f t="shared" ca="1" si="0"/>
        <v xml:space="preserve">    (U1)ALERT_REQ_H_SOCLOW_BC_</v>
      </c>
      <c r="AR69" s="55" t="str">
        <f t="shared" si="3"/>
        <v/>
      </c>
      <c r="AS69" s="55" t="str">
        <f t="shared" si="4"/>
        <v/>
      </c>
      <c r="AT69" s="55" t="str">
        <f t="shared" si="1"/>
        <v/>
      </c>
    </row>
    <row r="70" spans="1:46" ht="14.25" thickBot="1">
      <c r="A70" s="48" t="s">
        <v>65</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26" t="str">
        <f ca="1">IF(B6&lt;&gt;"",B6,"")</f>
        <v>Table BC</v>
      </c>
      <c r="C71" s="39">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39">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39" t="str">
        <f t="shared" si="7"/>
        <v>N_POS</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N_POS                                           */</v>
      </c>
    </row>
    <row r="73" spans="1:46">
      <c r="B73" s="124"/>
      <c r="C73" s="39">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39" t="str">
        <f t="shared" si="7"/>
        <v>N_POS</v>
      </c>
      <c r="AK73" s="52"/>
      <c r="AL73" s="52" t="str">
        <f t="shared" si="10"/>
        <v>02</v>
      </c>
      <c r="AM73" s="54" t="str">
        <f t="shared" si="11"/>
        <v>00</v>
      </c>
      <c r="AN73" s="54" t="str">
        <f t="shared" si="12"/>
        <v>00</v>
      </c>
      <c r="AO73" s="54" t="str">
        <f t="shared" si="13"/>
        <v>00</v>
      </c>
      <c r="AQ73" t="str">
        <f t="shared" si="8"/>
        <v xml:space="preserve">    (U4)0x00000002U,                                                           /* 02 N_POS                                           */</v>
      </c>
    </row>
    <row r="74" spans="1:46">
      <c r="B74" s="124"/>
      <c r="C74" s="39">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39" t="str">
        <f t="shared" si="7"/>
        <v>HV_OFF</v>
      </c>
      <c r="AK74" s="52"/>
      <c r="AL74" s="52" t="str">
        <f t="shared" si="10"/>
        <v>03</v>
      </c>
      <c r="AM74" s="54" t="str">
        <f t="shared" si="11"/>
        <v>00</v>
      </c>
      <c r="AN74" s="54" t="str">
        <f t="shared" si="12"/>
        <v>00</v>
      </c>
      <c r="AO74" s="54" t="str">
        <f t="shared" si="13"/>
        <v>00</v>
      </c>
      <c r="AQ74" t="str">
        <f t="shared" si="8"/>
        <v xml:space="preserve">    (U4)0x00000003U,                                                           /* 03 HV_OFF                                          */</v>
      </c>
    </row>
    <row r="75" spans="1:46">
      <c r="B75" s="124"/>
      <c r="C75" s="39">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39" t="str">
        <f t="shared" si="7"/>
        <v>HV_OFF</v>
      </c>
      <c r="AK75" s="52"/>
      <c r="AL75" s="52" t="str">
        <f t="shared" si="10"/>
        <v>04</v>
      </c>
      <c r="AM75" s="54" t="str">
        <f t="shared" si="11"/>
        <v>00</v>
      </c>
      <c r="AN75" s="54" t="str">
        <f t="shared" si="12"/>
        <v>00</v>
      </c>
      <c r="AO75" s="54" t="str">
        <f t="shared" si="13"/>
        <v>00</v>
      </c>
      <c r="AQ75" t="str">
        <f t="shared" si="8"/>
        <v xml:space="preserve">    (U4)0x00000004U,                                                           /* 04 HV_OFF                                          */</v>
      </c>
    </row>
    <row r="76" spans="1:46">
      <c r="B76" s="124"/>
      <c r="C76" s="39">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39" t="str">
        <f t="shared" si="7"/>
        <v>UNKNOWN</v>
      </c>
      <c r="AK76" s="52"/>
      <c r="AL76" s="52" t="str">
        <f t="shared" si="10"/>
        <v>05</v>
      </c>
      <c r="AM76" s="54" t="str">
        <f t="shared" si="11"/>
        <v>00</v>
      </c>
      <c r="AN76" s="54" t="str">
        <f t="shared" si="12"/>
        <v>00</v>
      </c>
      <c r="AO76" s="54" t="str">
        <f t="shared" si="13"/>
        <v>00</v>
      </c>
      <c r="AQ76" t="str">
        <f t="shared" si="8"/>
        <v xml:space="preserve">    (U4)0x00000005U,                                                           /* 05 UNKNOWN                                         */</v>
      </c>
    </row>
    <row r="77" spans="1:46">
      <c r="B77" s="124"/>
      <c r="C77" s="39">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39" t="str">
        <f t="shared" si="7"/>
        <v>UNKNOWN</v>
      </c>
      <c r="AK77" s="52"/>
      <c r="AL77" s="52" t="str">
        <f t="shared" si="10"/>
        <v>06</v>
      </c>
      <c r="AM77" s="54" t="str">
        <f t="shared" si="11"/>
        <v>00</v>
      </c>
      <c r="AN77" s="54" t="str">
        <f t="shared" si="12"/>
        <v>00</v>
      </c>
      <c r="AO77" s="54" t="str">
        <f t="shared" si="13"/>
        <v>00</v>
      </c>
      <c r="AQ77" t="str">
        <f t="shared" si="8"/>
        <v xml:space="preserve">    (U4)0x00000006U,                                                           /* 06 UNKNOWN                                         */</v>
      </c>
    </row>
    <row r="78" spans="1:46">
      <c r="B78" s="124"/>
      <c r="C78" s="39">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39" t="str">
        <f t="shared" si="7"/>
        <v>UNKNOWN</v>
      </c>
      <c r="AK78" s="52"/>
      <c r="AL78" s="52" t="str">
        <f t="shared" si="10"/>
        <v>07</v>
      </c>
      <c r="AM78" s="54" t="str">
        <f t="shared" si="11"/>
        <v>00</v>
      </c>
      <c r="AN78" s="54" t="str">
        <f t="shared" si="12"/>
        <v>00</v>
      </c>
      <c r="AO78" s="54" t="str">
        <f t="shared" si="13"/>
        <v>00</v>
      </c>
      <c r="AQ78" t="str">
        <f t="shared" si="8"/>
        <v xml:space="preserve">    (U4)0x00000007U,                                                           /* 07 UNKNOWN                                         */</v>
      </c>
    </row>
    <row r="79" spans="1:46">
      <c r="B79" s="124"/>
      <c r="C79" s="39">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39" t="str">
        <f t="shared" si="7"/>
        <v>UNKNOWN</v>
      </c>
      <c r="AK79" s="52"/>
      <c r="AL79" s="52" t="str">
        <f t="shared" si="10"/>
        <v>08</v>
      </c>
      <c r="AM79" s="54" t="str">
        <f t="shared" si="11"/>
        <v>00</v>
      </c>
      <c r="AN79" s="54" t="str">
        <f t="shared" si="12"/>
        <v>00</v>
      </c>
      <c r="AO79" s="54" t="str">
        <f t="shared" si="13"/>
        <v>00</v>
      </c>
      <c r="AQ79" t="str">
        <f t="shared" si="8"/>
        <v xml:space="preserve">    (U4)0x00000008U,                                                           /* 08 UNKNOWN                                         */</v>
      </c>
    </row>
    <row r="80" spans="1:46">
      <c r="B80" s="124"/>
      <c r="C80" s="39">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39" t="str">
        <f t="shared" si="7"/>
        <v>UNKNOWN</v>
      </c>
      <c r="AK80" s="52"/>
      <c r="AL80" s="52" t="str">
        <f t="shared" si="10"/>
        <v>09</v>
      </c>
      <c r="AM80" s="54" t="str">
        <f t="shared" si="11"/>
        <v>00</v>
      </c>
      <c r="AN80" s="54" t="str">
        <f t="shared" si="12"/>
        <v>00</v>
      </c>
      <c r="AO80" s="54" t="str">
        <f t="shared" si="13"/>
        <v>00</v>
      </c>
      <c r="AQ80" t="str">
        <f t="shared" si="8"/>
        <v xml:space="preserve">    (U4)0x00000009U,                                                           /* 09 UNKNOWN                                         */</v>
      </c>
    </row>
    <row r="81" spans="2:43">
      <c r="B81" s="124"/>
      <c r="C81" s="39">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39" t="str">
        <f t="shared" si="7"/>
        <v>UNKNOWN</v>
      </c>
      <c r="AK81" s="52"/>
      <c r="AL81" s="52" t="str">
        <f t="shared" si="10"/>
        <v>0A</v>
      </c>
      <c r="AM81" s="54" t="str">
        <f t="shared" si="11"/>
        <v>00</v>
      </c>
      <c r="AN81" s="54" t="str">
        <f t="shared" si="12"/>
        <v>00</v>
      </c>
      <c r="AO81" s="54" t="str">
        <f t="shared" si="13"/>
        <v>00</v>
      </c>
      <c r="AQ81" t="str">
        <f t="shared" si="8"/>
        <v xml:space="preserve">    (U4)0x0000000AU,                                                           /* 10 UNKNOWN                                         */</v>
      </c>
    </row>
    <row r="82" spans="2:43">
      <c r="B82" s="124"/>
      <c r="C82" s="39">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39" t="str">
        <f t="shared" si="7"/>
        <v>UNKNOWN</v>
      </c>
      <c r="AK82" s="52"/>
      <c r="AL82" s="52" t="str">
        <f t="shared" si="10"/>
        <v>0B</v>
      </c>
      <c r="AM82" s="54" t="str">
        <f t="shared" si="11"/>
        <v>00</v>
      </c>
      <c r="AN82" s="54" t="str">
        <f t="shared" si="12"/>
        <v>00</v>
      </c>
      <c r="AO82" s="54" t="str">
        <f t="shared" si="13"/>
        <v>00</v>
      </c>
      <c r="AQ82" t="str">
        <f t="shared" si="8"/>
        <v xml:space="preserve">    (U4)0x0000000BU,                                                           /* 11 UNKNOWN                                         */</v>
      </c>
    </row>
    <row r="83" spans="2:43">
      <c r="B83" s="124"/>
      <c r="C83" s="39">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39" t="str">
        <f t="shared" si="7"/>
        <v>UNKNOWN</v>
      </c>
      <c r="AK83" s="52"/>
      <c r="AL83" s="52" t="str">
        <f t="shared" si="10"/>
        <v>0C</v>
      </c>
      <c r="AM83" s="54" t="str">
        <f t="shared" si="11"/>
        <v>00</v>
      </c>
      <c r="AN83" s="54" t="str">
        <f t="shared" si="12"/>
        <v>00</v>
      </c>
      <c r="AO83" s="54" t="str">
        <f t="shared" si="13"/>
        <v>00</v>
      </c>
      <c r="AQ83" t="str">
        <f t="shared" si="8"/>
        <v xml:space="preserve">    (U4)0x0000000CU,                                                           /* 12 UNKNOWN                                         */</v>
      </c>
    </row>
    <row r="84" spans="2:43">
      <c r="B84" s="124"/>
      <c r="C84" s="39">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39" t="str">
        <f t="shared" si="7"/>
        <v>UNKNOWN</v>
      </c>
      <c r="AK84" s="52"/>
      <c r="AL84" s="52" t="str">
        <f t="shared" si="10"/>
        <v>0D</v>
      </c>
      <c r="AM84" s="54" t="str">
        <f t="shared" si="11"/>
        <v>00</v>
      </c>
      <c r="AN84" s="54" t="str">
        <f t="shared" si="12"/>
        <v>00</v>
      </c>
      <c r="AO84" s="54" t="str">
        <f t="shared" si="13"/>
        <v>00</v>
      </c>
      <c r="AQ84" t="str">
        <f t="shared" si="8"/>
        <v xml:space="preserve">    (U4)0x0000000DU,                                                           /* 13 UNKNOWN                                         */</v>
      </c>
    </row>
    <row r="85" spans="2:43">
      <c r="B85" s="124"/>
      <c r="C85" s="39">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39" t="str">
        <f t="shared" si="7"/>
        <v>UNKNOWN</v>
      </c>
      <c r="AK85" s="52"/>
      <c r="AL85" s="52" t="str">
        <f t="shared" si="10"/>
        <v>0E</v>
      </c>
      <c r="AM85" s="54" t="str">
        <f t="shared" si="11"/>
        <v>00</v>
      </c>
      <c r="AN85" s="54" t="str">
        <f t="shared" si="12"/>
        <v>00</v>
      </c>
      <c r="AO85" s="54" t="str">
        <f t="shared" si="13"/>
        <v>00</v>
      </c>
      <c r="AQ85" t="str">
        <f t="shared" si="8"/>
        <v xml:space="preserve">    (U4)0x0000000EU,                                                           /* 14 UNKNOWN                                         */</v>
      </c>
    </row>
    <row r="86" spans="2:43">
      <c r="B86" s="124"/>
      <c r="C86" s="39">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39" t="str">
        <f t="shared" si="7"/>
        <v>UNKNOWN</v>
      </c>
      <c r="AK86" s="52"/>
      <c r="AL86" s="52" t="str">
        <f t="shared" si="10"/>
        <v>0F</v>
      </c>
      <c r="AM86" s="54" t="str">
        <f t="shared" si="11"/>
        <v>00</v>
      </c>
      <c r="AN86" s="54" t="str">
        <f t="shared" si="12"/>
        <v>00</v>
      </c>
      <c r="AO86" s="54" t="str">
        <f t="shared" si="13"/>
        <v>00</v>
      </c>
      <c r="AQ86" t="str">
        <f t="shared" si="8"/>
        <v xml:space="preserve">    (U4)0x0000000FU,                                                           /* 15 UNKNOWN                                         */</v>
      </c>
    </row>
    <row r="87" spans="2:43">
      <c r="B87" s="124"/>
      <c r="C87" s="39">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39" t="str">
        <f t="shared" si="7"/>
        <v>UNKNOWN</v>
      </c>
      <c r="AK87" s="52"/>
      <c r="AL87" s="52" t="str">
        <f t="shared" si="10"/>
        <v>10</v>
      </c>
      <c r="AM87" s="54" t="str">
        <f t="shared" si="11"/>
        <v>00</v>
      </c>
      <c r="AN87" s="54" t="str">
        <f t="shared" si="12"/>
        <v>00</v>
      </c>
      <c r="AO87" s="54" t="str">
        <f t="shared" si="13"/>
        <v>00</v>
      </c>
      <c r="AQ87" t="str">
        <f t="shared" si="8"/>
        <v xml:space="preserve">    (U4)0x00000010U,                                                           /* 16 UNKNOWN                                         */</v>
      </c>
    </row>
    <row r="88" spans="2:43">
      <c r="B88" s="124"/>
      <c r="C88" s="39">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39" t="str">
        <f t="shared" si="7"/>
        <v>UNKNOWN</v>
      </c>
      <c r="AK88" s="52"/>
      <c r="AL88" s="52" t="str">
        <f t="shared" si="10"/>
        <v>11</v>
      </c>
      <c r="AM88" s="54" t="str">
        <f t="shared" si="11"/>
        <v>00</v>
      </c>
      <c r="AN88" s="54" t="str">
        <f t="shared" si="12"/>
        <v>00</v>
      </c>
      <c r="AO88" s="54" t="str">
        <f t="shared" si="13"/>
        <v>00</v>
      </c>
      <c r="AQ88" t="str">
        <f t="shared" si="8"/>
        <v xml:space="preserve">    (U4)0x00000011U,                                                           /* 17 UNKNOWN                                         */</v>
      </c>
    </row>
    <row r="89" spans="2:43">
      <c r="B89" s="124"/>
      <c r="C89" s="39">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39" t="str">
        <f t="shared" si="7"/>
        <v>UNKNOWN</v>
      </c>
      <c r="AK89" s="52"/>
      <c r="AL89" s="52" t="str">
        <f t="shared" si="10"/>
        <v>12</v>
      </c>
      <c r="AM89" s="54" t="str">
        <f t="shared" si="11"/>
        <v>00</v>
      </c>
      <c r="AN89" s="54" t="str">
        <f t="shared" si="12"/>
        <v>00</v>
      </c>
      <c r="AO89" s="54" t="str">
        <f t="shared" si="13"/>
        <v>00</v>
      </c>
      <c r="AQ89" t="str">
        <f t="shared" si="8"/>
        <v xml:space="preserve">    (U4)0x00000012U,                                                           /* 18 UNKNOWN                                         */</v>
      </c>
    </row>
    <row r="90" spans="2:43">
      <c r="B90" s="124"/>
      <c r="C90" s="39">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39" t="str">
        <f t="shared" si="7"/>
        <v>UNKNOWN</v>
      </c>
      <c r="AK90" s="52"/>
      <c r="AL90" s="52" t="str">
        <f t="shared" si="10"/>
        <v>13</v>
      </c>
      <c r="AM90" s="54" t="str">
        <f t="shared" si="11"/>
        <v>00</v>
      </c>
      <c r="AN90" s="54" t="str">
        <f t="shared" si="12"/>
        <v>00</v>
      </c>
      <c r="AO90" s="54" t="str">
        <f t="shared" si="13"/>
        <v>00</v>
      </c>
      <c r="AQ90" t="str">
        <f t="shared" si="8"/>
        <v xml:space="preserve">    (U4)0x00000013U,                                                           /* 19 UNKNOWN                                         */</v>
      </c>
    </row>
    <row r="91" spans="2:43">
      <c r="B91" s="124"/>
      <c r="C91" s="39">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39" t="str">
        <f t="shared" si="7"/>
        <v>UNKNOWN</v>
      </c>
      <c r="AK91" s="52"/>
      <c r="AL91" s="52" t="str">
        <f t="shared" si="10"/>
        <v>14</v>
      </c>
      <c r="AM91" s="54" t="str">
        <f t="shared" si="11"/>
        <v>00</v>
      </c>
      <c r="AN91" s="54" t="str">
        <f t="shared" si="12"/>
        <v>00</v>
      </c>
      <c r="AO91" s="54" t="str">
        <f t="shared" si="13"/>
        <v>00</v>
      </c>
      <c r="AQ91" t="str">
        <f t="shared" si="8"/>
        <v xml:space="preserve">    (U4)0x00000014U,                                                           /* 20 UNKNOWN                                         */</v>
      </c>
    </row>
    <row r="92" spans="2:43">
      <c r="B92" s="124"/>
      <c r="C92" s="39">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39" t="str">
        <f t="shared" si="7"/>
        <v>UNKNOWN</v>
      </c>
      <c r="AK92" s="52"/>
      <c r="AL92" s="52" t="str">
        <f t="shared" si="10"/>
        <v>15</v>
      </c>
      <c r="AM92" s="54" t="str">
        <f t="shared" si="11"/>
        <v>00</v>
      </c>
      <c r="AN92" s="54" t="str">
        <f t="shared" si="12"/>
        <v>00</v>
      </c>
      <c r="AO92" s="54" t="str">
        <f t="shared" si="13"/>
        <v>00</v>
      </c>
      <c r="AQ92" t="str">
        <f t="shared" si="8"/>
        <v xml:space="preserve">    (U4)0x00000015U,                                                           /* 21 UNKNOWN                                         */</v>
      </c>
    </row>
    <row r="93" spans="2:43">
      <c r="B93" s="124"/>
      <c r="C93" s="39">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39" t="str">
        <f t="shared" si="7"/>
        <v>UNKNOWN</v>
      </c>
      <c r="AK93" s="52"/>
      <c r="AL93" s="52" t="str">
        <f t="shared" si="10"/>
        <v>16</v>
      </c>
      <c r="AM93" s="54" t="str">
        <f t="shared" si="11"/>
        <v>00</v>
      </c>
      <c r="AN93" s="54" t="str">
        <f t="shared" si="12"/>
        <v>00</v>
      </c>
      <c r="AO93" s="54" t="str">
        <f t="shared" si="13"/>
        <v>00</v>
      </c>
      <c r="AQ93" t="str">
        <f t="shared" si="8"/>
        <v xml:space="preserve">    (U4)0x00000016U,                                                           /* 22 UNKNOWN                                         */</v>
      </c>
    </row>
    <row r="94" spans="2:43">
      <c r="B94" s="124"/>
      <c r="C94" s="39">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39" t="str">
        <f t="shared" si="7"/>
        <v>UNKNOWN</v>
      </c>
      <c r="AK94" s="52"/>
      <c r="AL94" s="52" t="str">
        <f t="shared" si="10"/>
        <v>17</v>
      </c>
      <c r="AM94" s="54" t="str">
        <f t="shared" si="11"/>
        <v>00</v>
      </c>
      <c r="AN94" s="54" t="str">
        <f t="shared" si="12"/>
        <v>00</v>
      </c>
      <c r="AO94" s="54" t="str">
        <f t="shared" si="13"/>
        <v>00</v>
      </c>
      <c r="AQ94" t="str">
        <f t="shared" si="8"/>
        <v xml:space="preserve">    (U4)0x00000017U,                                                           /* 23 UNKNOWN                                         */</v>
      </c>
    </row>
    <row r="95" spans="2:43">
      <c r="B95" s="124"/>
      <c r="C95" s="39">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39" t="str">
        <f t="shared" si="7"/>
        <v>UNKNOWN</v>
      </c>
      <c r="AK95" s="52"/>
      <c r="AL95" s="52" t="str">
        <f t="shared" si="10"/>
        <v>18</v>
      </c>
      <c r="AM95" s="54" t="str">
        <f t="shared" si="11"/>
        <v>00</v>
      </c>
      <c r="AN95" s="54" t="str">
        <f t="shared" si="12"/>
        <v>00</v>
      </c>
      <c r="AO95" s="54" t="str">
        <f t="shared" si="13"/>
        <v>00</v>
      </c>
      <c r="AQ95" t="str">
        <f t="shared" si="8"/>
        <v xml:space="preserve">    (U4)0x00000018U,                                                           /* 24 UNKNOWN                                         */</v>
      </c>
    </row>
    <row r="96" spans="2:43">
      <c r="B96" s="124"/>
      <c r="C96" s="39">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39" t="str">
        <f t="shared" si="7"/>
        <v>UNKNOWN</v>
      </c>
      <c r="AK96" s="52"/>
      <c r="AL96" s="52" t="str">
        <f t="shared" si="10"/>
        <v>19</v>
      </c>
      <c r="AM96" s="54" t="str">
        <f t="shared" si="11"/>
        <v>00</v>
      </c>
      <c r="AN96" s="54" t="str">
        <f t="shared" si="12"/>
        <v>00</v>
      </c>
      <c r="AO96" s="54" t="str">
        <f t="shared" si="13"/>
        <v>00</v>
      </c>
      <c r="AQ96" t="str">
        <f t="shared" si="8"/>
        <v xml:space="preserve">    (U4)0x00000019U,                                                           /* 25 UNKNOWN                                         */</v>
      </c>
    </row>
    <row r="97" spans="2:43">
      <c r="B97" s="124"/>
      <c r="C97" s="39">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39" t="str">
        <f t="shared" si="7"/>
        <v>UNKNOWN</v>
      </c>
      <c r="AK97" s="52"/>
      <c r="AL97" s="52" t="str">
        <f t="shared" si="10"/>
        <v>1A</v>
      </c>
      <c r="AM97" s="54" t="str">
        <f t="shared" si="11"/>
        <v>00</v>
      </c>
      <c r="AN97" s="54" t="str">
        <f t="shared" si="12"/>
        <v>00</v>
      </c>
      <c r="AO97" s="54" t="str">
        <f t="shared" si="13"/>
        <v>00</v>
      </c>
      <c r="AQ97" t="str">
        <f t="shared" si="8"/>
        <v xml:space="preserve">    (U4)0x0000001AU,                                                           /* 26 UNKNOWN                                         */</v>
      </c>
    </row>
    <row r="98" spans="2:43">
      <c r="B98" s="124"/>
      <c r="C98" s="39">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39" t="str">
        <f t="shared" si="7"/>
        <v>UNKNOWN</v>
      </c>
      <c r="AK98" s="52"/>
      <c r="AL98" s="52" t="str">
        <f t="shared" si="10"/>
        <v>1B</v>
      </c>
      <c r="AM98" s="54" t="str">
        <f t="shared" si="11"/>
        <v>00</v>
      </c>
      <c r="AN98" s="54" t="str">
        <f t="shared" si="12"/>
        <v>00</v>
      </c>
      <c r="AO98" s="54" t="str">
        <f t="shared" si="13"/>
        <v>00</v>
      </c>
      <c r="AQ98" t="str">
        <f t="shared" si="8"/>
        <v xml:space="preserve">    (U4)0x0000001BU,                                                           /* 27 UNKNOWN                                         */</v>
      </c>
    </row>
    <row r="99" spans="2:43">
      <c r="B99" s="124"/>
      <c r="C99" s="39">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39" t="str">
        <f t="shared" si="7"/>
        <v>UNKNOWN</v>
      </c>
      <c r="AK99" s="52"/>
      <c r="AL99" s="52" t="str">
        <f t="shared" si="10"/>
        <v>1C</v>
      </c>
      <c r="AM99" s="54" t="str">
        <f t="shared" si="11"/>
        <v>00</v>
      </c>
      <c r="AN99" s="54" t="str">
        <f t="shared" si="12"/>
        <v>00</v>
      </c>
      <c r="AO99" s="54" t="str">
        <f t="shared" si="13"/>
        <v>00</v>
      </c>
      <c r="AQ99" t="str">
        <f t="shared" si="8"/>
        <v xml:space="preserve">    (U4)0x0000001CU,                                                           /* 28 UNKNOWN                                         */</v>
      </c>
    </row>
    <row r="100" spans="2:43">
      <c r="B100" s="124"/>
      <c r="C100" s="39">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39" t="str">
        <f t="shared" si="7"/>
        <v>UNKNOWN</v>
      </c>
      <c r="AK100" s="52"/>
      <c r="AL100" s="52" t="str">
        <f t="shared" si="10"/>
        <v>1D</v>
      </c>
      <c r="AM100" s="54" t="str">
        <f t="shared" si="11"/>
        <v>00</v>
      </c>
      <c r="AN100" s="54" t="str">
        <f t="shared" si="12"/>
        <v>00</v>
      </c>
      <c r="AO100" s="54" t="str">
        <f t="shared" si="13"/>
        <v>00</v>
      </c>
      <c r="AQ100" t="str">
        <f t="shared" si="8"/>
        <v xml:space="preserve">    (U4)0x0000001DU,                                                           /* 29 UNKNOWN                                         */</v>
      </c>
    </row>
    <row r="101" spans="2:43">
      <c r="B101" s="124"/>
      <c r="C101" s="39">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39" t="str">
        <f t="shared" si="7"/>
        <v>UNKNOWN</v>
      </c>
      <c r="AK101" s="52"/>
      <c r="AL101" s="52" t="str">
        <f t="shared" si="10"/>
        <v>1E</v>
      </c>
      <c r="AM101" s="54" t="str">
        <f t="shared" si="11"/>
        <v>00</v>
      </c>
      <c r="AN101" s="54" t="str">
        <f t="shared" si="12"/>
        <v>00</v>
      </c>
      <c r="AO101" s="54" t="str">
        <f t="shared" si="13"/>
        <v>00</v>
      </c>
      <c r="AQ101" t="str">
        <f t="shared" si="8"/>
        <v xml:space="preserve">    (U4)0x0000001EU,                                                           /* 30 UNKNOWN                                         */</v>
      </c>
    </row>
    <row r="102" spans="2:43">
      <c r="B102" s="124"/>
      <c r="C102" s="39">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39" t="str">
        <f t="shared" si="7"/>
        <v>UNKNOWN</v>
      </c>
      <c r="AK102" s="52"/>
      <c r="AL102" s="52" t="str">
        <f t="shared" si="10"/>
        <v>1F</v>
      </c>
      <c r="AM102" s="54" t="str">
        <f t="shared" si="11"/>
        <v>00</v>
      </c>
      <c r="AN102" s="54" t="str">
        <f t="shared" si="12"/>
        <v>00</v>
      </c>
      <c r="AO102" s="54" t="str">
        <f t="shared" si="13"/>
        <v>00</v>
      </c>
      <c r="AQ102" t="str">
        <f t="shared" si="8"/>
        <v xml:space="preserve">    (U4)0x0000001FU                                                            /* 31 UNKNOWN                                         */</v>
      </c>
    </row>
    <row r="103" spans="2:43">
      <c r="B103" s="124"/>
      <c r="C103" s="39">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4"/>
      <c r="C104" s="39">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4"/>
      <c r="C105" s="39">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4"/>
      <c r="C106" s="39">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4"/>
      <c r="C107" s="39">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4"/>
      <c r="C108" s="39">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4"/>
      <c r="C109" s="39">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4"/>
      <c r="C110" s="39">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4"/>
      <c r="C111" s="39">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4"/>
      <c r="C112" s="39">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4"/>
      <c r="C113" s="39">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4"/>
      <c r="C114" s="39">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4"/>
      <c r="C115" s="39">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4"/>
      <c r="C116" s="39">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4"/>
      <c r="C117" s="39">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4"/>
      <c r="C118" s="39">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4"/>
      <c r="C119" s="39">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4"/>
      <c r="C120" s="39">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4"/>
      <c r="C121" s="39">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4"/>
      <c r="C122" s="39">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4"/>
      <c r="C123" s="39">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4"/>
      <c r="C124" s="39">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4"/>
      <c r="C125" s="39">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4"/>
      <c r="C126" s="39">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4"/>
      <c r="C127" s="39">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4"/>
      <c r="C128" s="39">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4"/>
      <c r="C129" s="39">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4"/>
      <c r="C130" s="39">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4"/>
      <c r="C131" s="39">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4"/>
      <c r="C132" s="39">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4"/>
      <c r="C133" s="39">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25"/>
      <c r="C134" s="39">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66</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26" t="str">
        <f ca="1">IF(B6&lt;&gt;"",B6,"")</f>
        <v>Table BC</v>
      </c>
      <c r="C136" s="39">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1</v>
      </c>
      <c r="AF136" s="117">
        <f t="shared" si="29"/>
        <v>1</v>
      </c>
      <c r="AG136" s="117">
        <f t="shared" si="29"/>
        <v>1</v>
      </c>
      <c r="AH136" s="117">
        <f t="shared" si="29"/>
        <v>1</v>
      </c>
      <c r="AI136" s="117">
        <f t="shared" si="29"/>
        <v>1</v>
      </c>
      <c r="AJ136" s="39" t="str">
        <f t="shared" ref="AJ136:AJ199" si="30">IF(AJ6&lt;&gt;"",AJ6,"")</f>
        <v>UNKNOWN</v>
      </c>
      <c r="AK136" s="52"/>
      <c r="AL136" s="52" t="str">
        <f>BIN2HEX(AB136&amp;AC136&amp;AD136&amp;AE136&amp;AF136&amp;AG136&amp;AH136&amp;AI136,2)</f>
        <v>1F</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4"/>
      <c r="C137" s="39">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1</v>
      </c>
      <c r="AF137" s="117">
        <f t="shared" si="29"/>
        <v>1</v>
      </c>
      <c r="AG137" s="117">
        <f t="shared" si="29"/>
        <v>1</v>
      </c>
      <c r="AH137" s="117">
        <f t="shared" si="29"/>
        <v>1</v>
      </c>
      <c r="AI137" s="117">
        <f t="shared" si="29"/>
        <v>1</v>
      </c>
      <c r="AJ137" s="39" t="str">
        <f t="shared" si="30"/>
        <v>N_POS</v>
      </c>
      <c r="AK137" s="52"/>
      <c r="AL137" s="52" t="str">
        <f t="shared" ref="AL137:AL199" si="33">BIN2HEX(AB137&amp;AC137&amp;AD137&amp;AE137&amp;AF137&amp;AG137&amp;AH137&amp;AI137,2)</f>
        <v>1F</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(U4)0x0000001FU,                                                           /* 01 N_POS                                           */</v>
      </c>
    </row>
    <row r="138" spans="1:43">
      <c r="B138" s="124"/>
      <c r="C138" s="39">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1</v>
      </c>
      <c r="AF138" s="117">
        <f t="shared" si="29"/>
        <v>1</v>
      </c>
      <c r="AG138" s="117">
        <f t="shared" si="29"/>
        <v>1</v>
      </c>
      <c r="AH138" s="117">
        <f t="shared" si="29"/>
        <v>1</v>
      </c>
      <c r="AI138" s="117">
        <f t="shared" si="29"/>
        <v>1</v>
      </c>
      <c r="AJ138" s="39" t="str">
        <f t="shared" si="30"/>
        <v>N_POS</v>
      </c>
      <c r="AK138" s="52"/>
      <c r="AL138" s="52" t="str">
        <f t="shared" si="33"/>
        <v>1F</v>
      </c>
      <c r="AM138" s="54" t="str">
        <f t="shared" si="34"/>
        <v>00</v>
      </c>
      <c r="AN138" s="54" t="str">
        <f t="shared" si="35"/>
        <v>00</v>
      </c>
      <c r="AO138" s="54" t="str">
        <f t="shared" si="36"/>
        <v>00</v>
      </c>
      <c r="AQ138" t="str">
        <f t="shared" si="31"/>
        <v xml:space="preserve">    (U4)0x0000001FU,                                                           /* 02 N_POS                                           */</v>
      </c>
    </row>
    <row r="139" spans="1:43">
      <c r="B139" s="124"/>
      <c r="C139" s="39">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1</v>
      </c>
      <c r="AF139" s="117">
        <f t="shared" si="29"/>
        <v>1</v>
      </c>
      <c r="AG139" s="117">
        <f t="shared" si="29"/>
        <v>1</v>
      </c>
      <c r="AH139" s="117">
        <f t="shared" si="29"/>
        <v>1</v>
      </c>
      <c r="AI139" s="117">
        <f t="shared" si="29"/>
        <v>1</v>
      </c>
      <c r="AJ139" s="39" t="str">
        <f t="shared" si="30"/>
        <v>HV_OFF</v>
      </c>
      <c r="AK139" s="52"/>
      <c r="AL139" s="52" t="str">
        <f t="shared" si="33"/>
        <v>1F</v>
      </c>
      <c r="AM139" s="54" t="str">
        <f t="shared" si="34"/>
        <v>00</v>
      </c>
      <c r="AN139" s="54" t="str">
        <f t="shared" si="35"/>
        <v>00</v>
      </c>
      <c r="AO139" s="54" t="str">
        <f t="shared" si="36"/>
        <v>00</v>
      </c>
      <c r="AQ139" t="str">
        <f t="shared" si="31"/>
        <v xml:space="preserve">    (U4)0x0000001FU,                                                           /* 03 HV_OFF                                          */</v>
      </c>
    </row>
    <row r="140" spans="1:43">
      <c r="B140" s="124"/>
      <c r="C140" s="39">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1</v>
      </c>
      <c r="AF140" s="117">
        <f t="shared" si="29"/>
        <v>1</v>
      </c>
      <c r="AG140" s="117">
        <f t="shared" si="29"/>
        <v>1</v>
      </c>
      <c r="AH140" s="117">
        <f t="shared" si="29"/>
        <v>1</v>
      </c>
      <c r="AI140" s="117">
        <f t="shared" si="29"/>
        <v>1</v>
      </c>
      <c r="AJ140" s="39" t="str">
        <f t="shared" si="30"/>
        <v>HV_OFF</v>
      </c>
      <c r="AK140" s="52"/>
      <c r="AL140" s="52" t="str">
        <f t="shared" si="33"/>
        <v>1F</v>
      </c>
      <c r="AM140" s="54" t="str">
        <f t="shared" si="34"/>
        <v>00</v>
      </c>
      <c r="AN140" s="54" t="str">
        <f t="shared" si="35"/>
        <v>00</v>
      </c>
      <c r="AO140" s="54" t="str">
        <f t="shared" si="36"/>
        <v>00</v>
      </c>
      <c r="AQ140" t="str">
        <f t="shared" si="31"/>
        <v xml:space="preserve">    (U4)0x0000001FU,                                                           /* 04 HV_OFF                                          */</v>
      </c>
    </row>
    <row r="141" spans="1:43">
      <c r="B141" s="124"/>
      <c r="C141" s="39">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1</v>
      </c>
      <c r="AF141" s="117">
        <f t="shared" si="29"/>
        <v>1</v>
      </c>
      <c r="AG141" s="117">
        <f t="shared" si="29"/>
        <v>1</v>
      </c>
      <c r="AH141" s="117">
        <f t="shared" si="29"/>
        <v>1</v>
      </c>
      <c r="AI141" s="117">
        <f t="shared" si="29"/>
        <v>1</v>
      </c>
      <c r="AJ141" s="39" t="str">
        <f t="shared" si="30"/>
        <v>UNKNOWN</v>
      </c>
      <c r="AK141" s="52"/>
      <c r="AL141" s="52" t="str">
        <f t="shared" si="33"/>
        <v>1F</v>
      </c>
      <c r="AM141" s="54" t="str">
        <f t="shared" si="34"/>
        <v>00</v>
      </c>
      <c r="AN141" s="54" t="str">
        <f t="shared" si="35"/>
        <v>00</v>
      </c>
      <c r="AO141" s="54" t="str">
        <f t="shared" si="36"/>
        <v>00</v>
      </c>
      <c r="AQ141" t="str">
        <f t="shared" si="31"/>
        <v xml:space="preserve">    (U4)0x0000001FU,                                                           /* 05 UNKNOWN                                         */</v>
      </c>
    </row>
    <row r="142" spans="1:43">
      <c r="B142" s="124"/>
      <c r="C142" s="39">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1</v>
      </c>
      <c r="AF142" s="117">
        <f t="shared" si="29"/>
        <v>1</v>
      </c>
      <c r="AG142" s="117">
        <f t="shared" si="29"/>
        <v>1</v>
      </c>
      <c r="AH142" s="117">
        <f t="shared" si="29"/>
        <v>1</v>
      </c>
      <c r="AI142" s="117">
        <f t="shared" si="29"/>
        <v>1</v>
      </c>
      <c r="AJ142" s="39" t="str">
        <f t="shared" si="30"/>
        <v>UNKNOWN</v>
      </c>
      <c r="AK142" s="52"/>
      <c r="AL142" s="52" t="str">
        <f t="shared" si="33"/>
        <v>1F</v>
      </c>
      <c r="AM142" s="54" t="str">
        <f t="shared" si="34"/>
        <v>00</v>
      </c>
      <c r="AN142" s="54" t="str">
        <f t="shared" si="35"/>
        <v>00</v>
      </c>
      <c r="AO142" s="54" t="str">
        <f t="shared" si="36"/>
        <v>00</v>
      </c>
      <c r="AQ142" t="str">
        <f t="shared" si="31"/>
        <v xml:space="preserve">    (U4)0x0000001FU,                                                           /* 06 UNKNOWN                                         */</v>
      </c>
    </row>
    <row r="143" spans="1:43">
      <c r="B143" s="124"/>
      <c r="C143" s="39">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1</v>
      </c>
      <c r="AF143" s="117">
        <f t="shared" si="29"/>
        <v>1</v>
      </c>
      <c r="AG143" s="117">
        <f t="shared" si="29"/>
        <v>1</v>
      </c>
      <c r="AH143" s="117">
        <f t="shared" si="29"/>
        <v>1</v>
      </c>
      <c r="AI143" s="117">
        <f t="shared" ref="AI143" si="37">IF(OR(AI13=0,AI13=1),1,0)</f>
        <v>1</v>
      </c>
      <c r="AJ143" s="39" t="str">
        <f t="shared" si="30"/>
        <v>UNKNOWN</v>
      </c>
      <c r="AK143" s="52"/>
      <c r="AL143" s="52" t="str">
        <f t="shared" si="33"/>
        <v>1F</v>
      </c>
      <c r="AM143" s="54" t="str">
        <f t="shared" si="34"/>
        <v>00</v>
      </c>
      <c r="AN143" s="54" t="str">
        <f t="shared" si="35"/>
        <v>00</v>
      </c>
      <c r="AO143" s="54" t="str">
        <f t="shared" si="36"/>
        <v>00</v>
      </c>
      <c r="AQ143" t="str">
        <f t="shared" si="31"/>
        <v xml:space="preserve">    (U4)0x0000001FU,                                                           /* 07 UNKNOWN                                         */</v>
      </c>
    </row>
    <row r="144" spans="1:43">
      <c r="B144" s="124"/>
      <c r="C144" s="39">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1</v>
      </c>
      <c r="AF144" s="117">
        <f t="shared" si="38"/>
        <v>1</v>
      </c>
      <c r="AG144" s="117">
        <f t="shared" si="38"/>
        <v>1</v>
      </c>
      <c r="AH144" s="117">
        <f t="shared" si="38"/>
        <v>1</v>
      </c>
      <c r="AI144" s="117">
        <f t="shared" si="38"/>
        <v>1</v>
      </c>
      <c r="AJ144" s="39" t="str">
        <f t="shared" si="30"/>
        <v>UNKNOWN</v>
      </c>
      <c r="AK144" s="52"/>
      <c r="AL144" s="52" t="str">
        <f t="shared" si="33"/>
        <v>1F</v>
      </c>
      <c r="AM144" s="54" t="str">
        <f t="shared" si="34"/>
        <v>00</v>
      </c>
      <c r="AN144" s="54" t="str">
        <f t="shared" si="35"/>
        <v>00</v>
      </c>
      <c r="AO144" s="54" t="str">
        <f t="shared" si="36"/>
        <v>00</v>
      </c>
      <c r="AQ144" t="str">
        <f t="shared" si="31"/>
        <v xml:space="preserve">    (U4)0x0000001FU,                                                           /* 08 UNKNOWN                                         */</v>
      </c>
    </row>
    <row r="145" spans="2:43">
      <c r="B145" s="124"/>
      <c r="C145" s="39">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1</v>
      </c>
      <c r="AF145" s="117">
        <f t="shared" si="38"/>
        <v>1</v>
      </c>
      <c r="AG145" s="117">
        <f t="shared" si="38"/>
        <v>1</v>
      </c>
      <c r="AH145" s="117">
        <f t="shared" si="38"/>
        <v>1</v>
      </c>
      <c r="AI145" s="117">
        <f t="shared" si="38"/>
        <v>1</v>
      </c>
      <c r="AJ145" s="39" t="str">
        <f t="shared" si="30"/>
        <v>UNKNOWN</v>
      </c>
      <c r="AK145" s="52"/>
      <c r="AL145" s="52" t="str">
        <f t="shared" si="33"/>
        <v>1F</v>
      </c>
      <c r="AM145" s="54" t="str">
        <f t="shared" si="34"/>
        <v>00</v>
      </c>
      <c r="AN145" s="54" t="str">
        <f t="shared" si="35"/>
        <v>00</v>
      </c>
      <c r="AO145" s="54" t="str">
        <f t="shared" si="36"/>
        <v>00</v>
      </c>
      <c r="AQ145" t="str">
        <f t="shared" si="31"/>
        <v xml:space="preserve">    (U4)0x0000001FU,                                                           /* 09 UNKNOWN                                         */</v>
      </c>
    </row>
    <row r="146" spans="2:43">
      <c r="B146" s="124"/>
      <c r="C146" s="39">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1</v>
      </c>
      <c r="AF146" s="117">
        <f t="shared" si="38"/>
        <v>1</v>
      </c>
      <c r="AG146" s="117">
        <f t="shared" si="38"/>
        <v>1</v>
      </c>
      <c r="AH146" s="117">
        <f t="shared" si="38"/>
        <v>1</v>
      </c>
      <c r="AI146" s="117">
        <f t="shared" si="38"/>
        <v>1</v>
      </c>
      <c r="AJ146" s="39" t="str">
        <f t="shared" si="30"/>
        <v>UNKNOWN</v>
      </c>
      <c r="AK146" s="52"/>
      <c r="AL146" s="52" t="str">
        <f t="shared" si="33"/>
        <v>1F</v>
      </c>
      <c r="AM146" s="54" t="str">
        <f t="shared" si="34"/>
        <v>00</v>
      </c>
      <c r="AN146" s="54" t="str">
        <f t="shared" si="35"/>
        <v>00</v>
      </c>
      <c r="AO146" s="54" t="str">
        <f t="shared" si="36"/>
        <v>00</v>
      </c>
      <c r="AQ146" t="str">
        <f t="shared" si="31"/>
        <v xml:space="preserve">    (U4)0x0000001FU,                                                           /* 10 UNKNOWN                                         */</v>
      </c>
    </row>
    <row r="147" spans="2:43">
      <c r="B147" s="124"/>
      <c r="C147" s="39">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1</v>
      </c>
      <c r="AF147" s="117">
        <f t="shared" si="38"/>
        <v>1</v>
      </c>
      <c r="AG147" s="117">
        <f t="shared" si="38"/>
        <v>1</v>
      </c>
      <c r="AH147" s="117">
        <f t="shared" si="38"/>
        <v>1</v>
      </c>
      <c r="AI147" s="117">
        <f t="shared" si="38"/>
        <v>1</v>
      </c>
      <c r="AJ147" s="39" t="str">
        <f t="shared" si="30"/>
        <v>UNKNOWN</v>
      </c>
      <c r="AK147" s="52"/>
      <c r="AL147" s="52" t="str">
        <f t="shared" si="33"/>
        <v>1F</v>
      </c>
      <c r="AM147" s="54" t="str">
        <f t="shared" si="34"/>
        <v>00</v>
      </c>
      <c r="AN147" s="54" t="str">
        <f t="shared" si="35"/>
        <v>00</v>
      </c>
      <c r="AO147" s="54" t="str">
        <f t="shared" si="36"/>
        <v>00</v>
      </c>
      <c r="AQ147" t="str">
        <f t="shared" si="31"/>
        <v xml:space="preserve">    (U4)0x0000001FU,                                                           /* 11 UNKNOWN                                         */</v>
      </c>
    </row>
    <row r="148" spans="2:43">
      <c r="B148" s="124"/>
      <c r="C148" s="39">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1</v>
      </c>
      <c r="AF148" s="117">
        <f t="shared" si="38"/>
        <v>1</v>
      </c>
      <c r="AG148" s="117">
        <f t="shared" si="38"/>
        <v>1</v>
      </c>
      <c r="AH148" s="117">
        <f t="shared" si="38"/>
        <v>1</v>
      </c>
      <c r="AI148" s="117">
        <f t="shared" si="38"/>
        <v>1</v>
      </c>
      <c r="AJ148" s="39" t="str">
        <f t="shared" si="30"/>
        <v>UNKNOWN</v>
      </c>
      <c r="AK148" s="52"/>
      <c r="AL148" s="52" t="str">
        <f t="shared" si="33"/>
        <v>1F</v>
      </c>
      <c r="AM148" s="54" t="str">
        <f t="shared" si="34"/>
        <v>00</v>
      </c>
      <c r="AN148" s="54" t="str">
        <f t="shared" si="35"/>
        <v>00</v>
      </c>
      <c r="AO148" s="54" t="str">
        <f t="shared" si="36"/>
        <v>00</v>
      </c>
      <c r="AQ148" t="str">
        <f t="shared" si="31"/>
        <v xml:space="preserve">    (U4)0x0000001FU,                                                           /* 12 UNKNOWN                                         */</v>
      </c>
    </row>
    <row r="149" spans="2:43">
      <c r="B149" s="124"/>
      <c r="C149" s="39">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1</v>
      </c>
      <c r="AF149" s="117">
        <f t="shared" si="38"/>
        <v>1</v>
      </c>
      <c r="AG149" s="117">
        <f t="shared" si="38"/>
        <v>1</v>
      </c>
      <c r="AH149" s="117">
        <f t="shared" si="38"/>
        <v>1</v>
      </c>
      <c r="AI149" s="117">
        <f t="shared" si="38"/>
        <v>1</v>
      </c>
      <c r="AJ149" s="39" t="str">
        <f t="shared" si="30"/>
        <v>UNKNOWN</v>
      </c>
      <c r="AK149" s="52"/>
      <c r="AL149" s="52" t="str">
        <f t="shared" si="33"/>
        <v>1F</v>
      </c>
      <c r="AM149" s="54" t="str">
        <f t="shared" si="34"/>
        <v>00</v>
      </c>
      <c r="AN149" s="54" t="str">
        <f t="shared" si="35"/>
        <v>00</v>
      </c>
      <c r="AO149" s="54" t="str">
        <f t="shared" si="36"/>
        <v>00</v>
      </c>
      <c r="AQ149" t="str">
        <f t="shared" si="31"/>
        <v xml:space="preserve">    (U4)0x0000001FU,                                                           /* 13 UNKNOWN                                         */</v>
      </c>
    </row>
    <row r="150" spans="2:43">
      <c r="B150" s="124"/>
      <c r="C150" s="39">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1</v>
      </c>
      <c r="AF150" s="117">
        <f t="shared" si="38"/>
        <v>1</v>
      </c>
      <c r="AG150" s="117">
        <f t="shared" si="38"/>
        <v>1</v>
      </c>
      <c r="AH150" s="117">
        <f t="shared" si="38"/>
        <v>1</v>
      </c>
      <c r="AI150" s="117">
        <f t="shared" si="38"/>
        <v>1</v>
      </c>
      <c r="AJ150" s="39" t="str">
        <f t="shared" si="30"/>
        <v>UNKNOWN</v>
      </c>
      <c r="AK150" s="52"/>
      <c r="AL150" s="52" t="str">
        <f t="shared" si="33"/>
        <v>1F</v>
      </c>
      <c r="AM150" s="54" t="str">
        <f t="shared" si="34"/>
        <v>00</v>
      </c>
      <c r="AN150" s="54" t="str">
        <f t="shared" si="35"/>
        <v>00</v>
      </c>
      <c r="AO150" s="54" t="str">
        <f t="shared" si="36"/>
        <v>00</v>
      </c>
      <c r="AQ150" t="str">
        <f t="shared" si="31"/>
        <v xml:space="preserve">    (U4)0x0000001FU,                                                           /* 14 UNKNOWN                                         */</v>
      </c>
    </row>
    <row r="151" spans="2:43">
      <c r="B151" s="124"/>
      <c r="C151" s="39">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1</v>
      </c>
      <c r="AF151" s="117">
        <f t="shared" si="38"/>
        <v>1</v>
      </c>
      <c r="AG151" s="117">
        <f t="shared" si="38"/>
        <v>1</v>
      </c>
      <c r="AH151" s="117">
        <f t="shared" si="38"/>
        <v>1</v>
      </c>
      <c r="AI151" s="117">
        <f t="shared" ref="AI151" si="39">IF(OR(AI21=0,AI21=1),1,0)</f>
        <v>1</v>
      </c>
      <c r="AJ151" s="39" t="str">
        <f t="shared" si="30"/>
        <v>UNKNOWN</v>
      </c>
      <c r="AK151" s="52"/>
      <c r="AL151" s="52" t="str">
        <f t="shared" si="33"/>
        <v>1F</v>
      </c>
      <c r="AM151" s="54" t="str">
        <f t="shared" si="34"/>
        <v>00</v>
      </c>
      <c r="AN151" s="54" t="str">
        <f t="shared" si="35"/>
        <v>00</v>
      </c>
      <c r="AO151" s="54" t="str">
        <f t="shared" si="36"/>
        <v>00</v>
      </c>
      <c r="AQ151" t="str">
        <f t="shared" si="31"/>
        <v xml:space="preserve">    (U4)0x0000001FU,                                                           /* 15 UNKNOWN                                         */</v>
      </c>
    </row>
    <row r="152" spans="2:43">
      <c r="B152" s="124"/>
      <c r="C152" s="39">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1</v>
      </c>
      <c r="AF152" s="117">
        <f t="shared" si="40"/>
        <v>1</v>
      </c>
      <c r="AG152" s="117">
        <f t="shared" si="40"/>
        <v>1</v>
      </c>
      <c r="AH152" s="117">
        <f t="shared" si="40"/>
        <v>1</v>
      </c>
      <c r="AI152" s="117">
        <f t="shared" si="40"/>
        <v>1</v>
      </c>
      <c r="AJ152" s="39" t="str">
        <f t="shared" si="30"/>
        <v>UNKNOWN</v>
      </c>
      <c r="AK152" s="52"/>
      <c r="AL152" s="52" t="str">
        <f t="shared" si="33"/>
        <v>1F</v>
      </c>
      <c r="AM152" s="54" t="str">
        <f t="shared" si="34"/>
        <v>00</v>
      </c>
      <c r="AN152" s="54" t="str">
        <f t="shared" si="35"/>
        <v>00</v>
      </c>
      <c r="AO152" s="54" t="str">
        <f t="shared" si="36"/>
        <v>00</v>
      </c>
      <c r="AQ152" t="str">
        <f t="shared" si="31"/>
        <v xml:space="preserve">    (U4)0x0000001FU,                                                           /* 16 UNKNOWN                                         */</v>
      </c>
    </row>
    <row r="153" spans="2:43">
      <c r="B153" s="124"/>
      <c r="C153" s="39">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1</v>
      </c>
      <c r="AF153" s="117">
        <f t="shared" si="40"/>
        <v>1</v>
      </c>
      <c r="AG153" s="117">
        <f t="shared" si="40"/>
        <v>1</v>
      </c>
      <c r="AH153" s="117">
        <f t="shared" si="40"/>
        <v>1</v>
      </c>
      <c r="AI153" s="117">
        <f t="shared" si="40"/>
        <v>1</v>
      </c>
      <c r="AJ153" s="39" t="str">
        <f t="shared" si="30"/>
        <v>UNKNOWN</v>
      </c>
      <c r="AK153" s="52"/>
      <c r="AL153" s="52" t="str">
        <f t="shared" si="33"/>
        <v>1F</v>
      </c>
      <c r="AM153" s="54" t="str">
        <f t="shared" si="34"/>
        <v>00</v>
      </c>
      <c r="AN153" s="54" t="str">
        <f t="shared" si="35"/>
        <v>00</v>
      </c>
      <c r="AO153" s="54" t="str">
        <f t="shared" si="36"/>
        <v>00</v>
      </c>
      <c r="AQ153" t="str">
        <f t="shared" si="31"/>
        <v xml:space="preserve">    (U4)0x0000001FU,                                                           /* 17 UNKNOWN                                         */</v>
      </c>
    </row>
    <row r="154" spans="2:43">
      <c r="B154" s="124"/>
      <c r="C154" s="39">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1</v>
      </c>
      <c r="AF154" s="117">
        <f t="shared" si="40"/>
        <v>1</v>
      </c>
      <c r="AG154" s="117">
        <f t="shared" si="40"/>
        <v>1</v>
      </c>
      <c r="AH154" s="117">
        <f t="shared" si="40"/>
        <v>1</v>
      </c>
      <c r="AI154" s="117">
        <f t="shared" si="40"/>
        <v>1</v>
      </c>
      <c r="AJ154" s="39" t="str">
        <f t="shared" si="30"/>
        <v>UNKNOWN</v>
      </c>
      <c r="AK154" s="52"/>
      <c r="AL154" s="52" t="str">
        <f t="shared" si="33"/>
        <v>1F</v>
      </c>
      <c r="AM154" s="54" t="str">
        <f t="shared" si="34"/>
        <v>00</v>
      </c>
      <c r="AN154" s="54" t="str">
        <f t="shared" si="35"/>
        <v>00</v>
      </c>
      <c r="AO154" s="54" t="str">
        <f t="shared" si="36"/>
        <v>00</v>
      </c>
      <c r="AQ154" t="str">
        <f t="shared" si="31"/>
        <v xml:space="preserve">    (U4)0x0000001FU,                                                           /* 18 UNKNOWN                                         */</v>
      </c>
    </row>
    <row r="155" spans="2:43">
      <c r="B155" s="124"/>
      <c r="C155" s="39">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1</v>
      </c>
      <c r="AF155" s="117">
        <f t="shared" si="40"/>
        <v>1</v>
      </c>
      <c r="AG155" s="117">
        <f t="shared" si="40"/>
        <v>1</v>
      </c>
      <c r="AH155" s="117">
        <f t="shared" si="40"/>
        <v>1</v>
      </c>
      <c r="AI155" s="117">
        <f t="shared" si="40"/>
        <v>1</v>
      </c>
      <c r="AJ155" s="39" t="str">
        <f t="shared" si="30"/>
        <v>UNKNOWN</v>
      </c>
      <c r="AK155" s="52"/>
      <c r="AL155" s="52" t="str">
        <f t="shared" si="33"/>
        <v>1F</v>
      </c>
      <c r="AM155" s="54" t="str">
        <f t="shared" si="34"/>
        <v>00</v>
      </c>
      <c r="AN155" s="54" t="str">
        <f t="shared" si="35"/>
        <v>00</v>
      </c>
      <c r="AO155" s="54" t="str">
        <f t="shared" si="36"/>
        <v>00</v>
      </c>
      <c r="AQ155" t="str">
        <f t="shared" si="31"/>
        <v xml:space="preserve">    (U4)0x0000001FU,                                                           /* 19 UNKNOWN                                         */</v>
      </c>
    </row>
    <row r="156" spans="2:43">
      <c r="B156" s="124"/>
      <c r="C156" s="39">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1</v>
      </c>
      <c r="AF156" s="117">
        <f t="shared" si="40"/>
        <v>1</v>
      </c>
      <c r="AG156" s="117">
        <f t="shared" si="40"/>
        <v>1</v>
      </c>
      <c r="AH156" s="117">
        <f t="shared" si="40"/>
        <v>1</v>
      </c>
      <c r="AI156" s="117">
        <f t="shared" si="40"/>
        <v>1</v>
      </c>
      <c r="AJ156" s="39" t="str">
        <f t="shared" si="30"/>
        <v>UNKNOWN</v>
      </c>
      <c r="AK156" s="52"/>
      <c r="AL156" s="52" t="str">
        <f t="shared" si="33"/>
        <v>1F</v>
      </c>
      <c r="AM156" s="54" t="str">
        <f t="shared" si="34"/>
        <v>00</v>
      </c>
      <c r="AN156" s="54" t="str">
        <f t="shared" si="35"/>
        <v>00</v>
      </c>
      <c r="AO156" s="54" t="str">
        <f t="shared" si="36"/>
        <v>00</v>
      </c>
      <c r="AQ156" t="str">
        <f t="shared" si="31"/>
        <v xml:space="preserve">    (U4)0x0000001FU,                                                           /* 20 UNKNOWN                                         */</v>
      </c>
    </row>
    <row r="157" spans="2:43">
      <c r="B157" s="124"/>
      <c r="C157" s="39">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1</v>
      </c>
      <c r="AF157" s="117">
        <f t="shared" si="40"/>
        <v>1</v>
      </c>
      <c r="AG157" s="117">
        <f t="shared" si="40"/>
        <v>1</v>
      </c>
      <c r="AH157" s="117">
        <f t="shared" si="40"/>
        <v>1</v>
      </c>
      <c r="AI157" s="117">
        <f t="shared" si="40"/>
        <v>1</v>
      </c>
      <c r="AJ157" s="39" t="str">
        <f t="shared" si="30"/>
        <v>UNKNOWN</v>
      </c>
      <c r="AK157" s="52"/>
      <c r="AL157" s="52" t="str">
        <f t="shared" si="33"/>
        <v>1F</v>
      </c>
      <c r="AM157" s="54" t="str">
        <f t="shared" si="34"/>
        <v>00</v>
      </c>
      <c r="AN157" s="54" t="str">
        <f t="shared" si="35"/>
        <v>00</v>
      </c>
      <c r="AO157" s="54" t="str">
        <f t="shared" si="36"/>
        <v>00</v>
      </c>
      <c r="AQ157" t="str">
        <f t="shared" si="31"/>
        <v xml:space="preserve">    (U4)0x0000001FU,                                                           /* 21 UNKNOWN                                         */</v>
      </c>
    </row>
    <row r="158" spans="2:43">
      <c r="B158" s="124"/>
      <c r="C158" s="39">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1</v>
      </c>
      <c r="AF158" s="117">
        <f t="shared" si="40"/>
        <v>1</v>
      </c>
      <c r="AG158" s="117">
        <f t="shared" si="40"/>
        <v>1</v>
      </c>
      <c r="AH158" s="117">
        <f t="shared" si="40"/>
        <v>1</v>
      </c>
      <c r="AI158" s="117">
        <f t="shared" si="40"/>
        <v>1</v>
      </c>
      <c r="AJ158" s="39" t="str">
        <f t="shared" si="30"/>
        <v>UNKNOWN</v>
      </c>
      <c r="AK158" s="52"/>
      <c r="AL158" s="52" t="str">
        <f t="shared" si="33"/>
        <v>1F</v>
      </c>
      <c r="AM158" s="54" t="str">
        <f t="shared" si="34"/>
        <v>00</v>
      </c>
      <c r="AN158" s="54" t="str">
        <f t="shared" si="35"/>
        <v>00</v>
      </c>
      <c r="AO158" s="54" t="str">
        <f t="shared" si="36"/>
        <v>00</v>
      </c>
      <c r="AQ158" t="str">
        <f t="shared" si="31"/>
        <v xml:space="preserve">    (U4)0x0000001FU,                                                           /* 22 UNKNOWN                                         */</v>
      </c>
    </row>
    <row r="159" spans="2:43">
      <c r="B159" s="124"/>
      <c r="C159" s="39">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1</v>
      </c>
      <c r="AF159" s="117">
        <f t="shared" si="40"/>
        <v>1</v>
      </c>
      <c r="AG159" s="117">
        <f t="shared" si="40"/>
        <v>1</v>
      </c>
      <c r="AH159" s="117">
        <f t="shared" si="40"/>
        <v>1</v>
      </c>
      <c r="AI159" s="117">
        <f t="shared" ref="AI159" si="41">IF(OR(AI29=0,AI29=1),1,0)</f>
        <v>1</v>
      </c>
      <c r="AJ159" s="39" t="str">
        <f t="shared" si="30"/>
        <v>UNKNOWN</v>
      </c>
      <c r="AK159" s="52"/>
      <c r="AL159" s="52" t="str">
        <f t="shared" si="33"/>
        <v>1F</v>
      </c>
      <c r="AM159" s="54" t="str">
        <f t="shared" si="34"/>
        <v>00</v>
      </c>
      <c r="AN159" s="54" t="str">
        <f t="shared" si="35"/>
        <v>00</v>
      </c>
      <c r="AO159" s="54" t="str">
        <f t="shared" si="36"/>
        <v>00</v>
      </c>
      <c r="AQ159" t="str">
        <f t="shared" si="31"/>
        <v xml:space="preserve">    (U4)0x0000001FU,                                                           /* 23 UNKNOWN                                         */</v>
      </c>
    </row>
    <row r="160" spans="2:43">
      <c r="B160" s="124"/>
      <c r="C160" s="39">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1</v>
      </c>
      <c r="AF160" s="117">
        <f t="shared" si="42"/>
        <v>1</v>
      </c>
      <c r="AG160" s="117">
        <f t="shared" si="42"/>
        <v>1</v>
      </c>
      <c r="AH160" s="117">
        <f t="shared" si="42"/>
        <v>1</v>
      </c>
      <c r="AI160" s="117">
        <f t="shared" si="42"/>
        <v>1</v>
      </c>
      <c r="AJ160" s="39" t="str">
        <f t="shared" si="30"/>
        <v>UNKNOWN</v>
      </c>
      <c r="AK160" s="52"/>
      <c r="AL160" s="52" t="str">
        <f t="shared" si="33"/>
        <v>1F</v>
      </c>
      <c r="AM160" s="54" t="str">
        <f t="shared" si="34"/>
        <v>00</v>
      </c>
      <c r="AN160" s="54" t="str">
        <f t="shared" si="35"/>
        <v>00</v>
      </c>
      <c r="AO160" s="54" t="str">
        <f t="shared" si="36"/>
        <v>00</v>
      </c>
      <c r="AQ160" t="str">
        <f t="shared" si="31"/>
        <v xml:space="preserve">    (U4)0x0000001FU,                                                           /* 24 UNKNOWN                                         */</v>
      </c>
    </row>
    <row r="161" spans="2:43">
      <c r="B161" s="124"/>
      <c r="C161" s="39">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1</v>
      </c>
      <c r="AF161" s="117">
        <f t="shared" si="42"/>
        <v>1</v>
      </c>
      <c r="AG161" s="117">
        <f t="shared" si="42"/>
        <v>1</v>
      </c>
      <c r="AH161" s="117">
        <f t="shared" si="42"/>
        <v>1</v>
      </c>
      <c r="AI161" s="117">
        <f t="shared" si="42"/>
        <v>1</v>
      </c>
      <c r="AJ161" s="39" t="str">
        <f t="shared" si="30"/>
        <v>UNKNOWN</v>
      </c>
      <c r="AK161" s="52"/>
      <c r="AL161" s="52" t="str">
        <f t="shared" si="33"/>
        <v>1F</v>
      </c>
      <c r="AM161" s="54" t="str">
        <f t="shared" si="34"/>
        <v>00</v>
      </c>
      <c r="AN161" s="54" t="str">
        <f t="shared" si="35"/>
        <v>00</v>
      </c>
      <c r="AO161" s="54" t="str">
        <f t="shared" si="36"/>
        <v>00</v>
      </c>
      <c r="AQ161" t="str">
        <f t="shared" si="31"/>
        <v xml:space="preserve">    (U4)0x0000001FU,                                                           /* 25 UNKNOWN                                         */</v>
      </c>
    </row>
    <row r="162" spans="2:43">
      <c r="B162" s="124"/>
      <c r="C162" s="39">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1</v>
      </c>
      <c r="AF162" s="117">
        <f t="shared" si="42"/>
        <v>1</v>
      </c>
      <c r="AG162" s="117">
        <f t="shared" si="42"/>
        <v>1</v>
      </c>
      <c r="AH162" s="117">
        <f t="shared" si="42"/>
        <v>1</v>
      </c>
      <c r="AI162" s="117">
        <f t="shared" si="42"/>
        <v>1</v>
      </c>
      <c r="AJ162" s="39" t="str">
        <f t="shared" si="30"/>
        <v>UNKNOWN</v>
      </c>
      <c r="AK162" s="52"/>
      <c r="AL162" s="52" t="str">
        <f t="shared" si="33"/>
        <v>1F</v>
      </c>
      <c r="AM162" s="54" t="str">
        <f t="shared" si="34"/>
        <v>00</v>
      </c>
      <c r="AN162" s="54" t="str">
        <f t="shared" si="35"/>
        <v>00</v>
      </c>
      <c r="AO162" s="54" t="str">
        <f t="shared" si="36"/>
        <v>00</v>
      </c>
      <c r="AQ162" t="str">
        <f t="shared" si="31"/>
        <v xml:space="preserve">    (U4)0x0000001FU,                                                           /* 26 UNKNOWN                                         */</v>
      </c>
    </row>
    <row r="163" spans="2:43">
      <c r="B163" s="124"/>
      <c r="C163" s="39">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1</v>
      </c>
      <c r="AF163" s="117">
        <f t="shared" si="42"/>
        <v>1</v>
      </c>
      <c r="AG163" s="117">
        <f t="shared" si="42"/>
        <v>1</v>
      </c>
      <c r="AH163" s="117">
        <f t="shared" si="42"/>
        <v>1</v>
      </c>
      <c r="AI163" s="117">
        <f t="shared" si="42"/>
        <v>1</v>
      </c>
      <c r="AJ163" s="39" t="str">
        <f t="shared" si="30"/>
        <v>UNKNOWN</v>
      </c>
      <c r="AK163" s="52"/>
      <c r="AL163" s="52" t="str">
        <f t="shared" si="33"/>
        <v>1F</v>
      </c>
      <c r="AM163" s="54" t="str">
        <f t="shared" si="34"/>
        <v>00</v>
      </c>
      <c r="AN163" s="54" t="str">
        <f t="shared" si="35"/>
        <v>00</v>
      </c>
      <c r="AO163" s="54" t="str">
        <f t="shared" si="36"/>
        <v>00</v>
      </c>
      <c r="AQ163" t="str">
        <f t="shared" si="31"/>
        <v xml:space="preserve">    (U4)0x0000001FU,                                                           /* 27 UNKNOWN                                         */</v>
      </c>
    </row>
    <row r="164" spans="2:43">
      <c r="B164" s="124"/>
      <c r="C164" s="39">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1</v>
      </c>
      <c r="AF164" s="117">
        <f t="shared" si="42"/>
        <v>1</v>
      </c>
      <c r="AG164" s="117">
        <f t="shared" si="42"/>
        <v>1</v>
      </c>
      <c r="AH164" s="117">
        <f t="shared" si="42"/>
        <v>1</v>
      </c>
      <c r="AI164" s="117">
        <f t="shared" si="42"/>
        <v>1</v>
      </c>
      <c r="AJ164" s="39" t="str">
        <f t="shared" si="30"/>
        <v>UNKNOWN</v>
      </c>
      <c r="AK164" s="52"/>
      <c r="AL164" s="52" t="str">
        <f t="shared" si="33"/>
        <v>1F</v>
      </c>
      <c r="AM164" s="54" t="str">
        <f t="shared" si="34"/>
        <v>00</v>
      </c>
      <c r="AN164" s="54" t="str">
        <f t="shared" si="35"/>
        <v>00</v>
      </c>
      <c r="AO164" s="54" t="str">
        <f t="shared" si="36"/>
        <v>00</v>
      </c>
      <c r="AQ164" t="str">
        <f t="shared" si="31"/>
        <v xml:space="preserve">    (U4)0x0000001FU,                                                           /* 28 UNKNOWN                                         */</v>
      </c>
    </row>
    <row r="165" spans="2:43">
      <c r="B165" s="124"/>
      <c r="C165" s="39">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1</v>
      </c>
      <c r="AF165" s="117">
        <f t="shared" si="42"/>
        <v>1</v>
      </c>
      <c r="AG165" s="117">
        <f t="shared" si="42"/>
        <v>1</v>
      </c>
      <c r="AH165" s="117">
        <f t="shared" si="42"/>
        <v>1</v>
      </c>
      <c r="AI165" s="117">
        <f t="shared" si="42"/>
        <v>1</v>
      </c>
      <c r="AJ165" s="39" t="str">
        <f t="shared" si="30"/>
        <v>UNKNOWN</v>
      </c>
      <c r="AK165" s="52"/>
      <c r="AL165" s="52" t="str">
        <f t="shared" si="33"/>
        <v>1F</v>
      </c>
      <c r="AM165" s="54" t="str">
        <f t="shared" si="34"/>
        <v>00</v>
      </c>
      <c r="AN165" s="54" t="str">
        <f t="shared" si="35"/>
        <v>00</v>
      </c>
      <c r="AO165" s="54" t="str">
        <f t="shared" si="36"/>
        <v>00</v>
      </c>
      <c r="AQ165" t="str">
        <f t="shared" si="31"/>
        <v xml:space="preserve">    (U4)0x0000001FU,                                                           /* 29 UNKNOWN                                         */</v>
      </c>
    </row>
    <row r="166" spans="2:43">
      <c r="B166" s="124"/>
      <c r="C166" s="39">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1</v>
      </c>
      <c r="AF166" s="117">
        <f t="shared" si="42"/>
        <v>1</v>
      </c>
      <c r="AG166" s="117">
        <f t="shared" si="42"/>
        <v>1</v>
      </c>
      <c r="AH166" s="117">
        <f t="shared" si="42"/>
        <v>1</v>
      </c>
      <c r="AI166" s="117">
        <f t="shared" si="42"/>
        <v>1</v>
      </c>
      <c r="AJ166" s="39" t="str">
        <f t="shared" si="30"/>
        <v>UNKNOWN</v>
      </c>
      <c r="AK166" s="52"/>
      <c r="AL166" s="52" t="str">
        <f t="shared" si="33"/>
        <v>1F</v>
      </c>
      <c r="AM166" s="54" t="str">
        <f t="shared" si="34"/>
        <v>00</v>
      </c>
      <c r="AN166" s="54" t="str">
        <f t="shared" si="35"/>
        <v>00</v>
      </c>
      <c r="AO166" s="54" t="str">
        <f t="shared" si="36"/>
        <v>00</v>
      </c>
      <c r="AQ166" t="str">
        <f t="shared" si="31"/>
        <v xml:space="preserve">    (U4)0x0000001FU,                                                           /* 30 UNKNOWN                                         */</v>
      </c>
    </row>
    <row r="167" spans="2:43">
      <c r="B167" s="124"/>
      <c r="C167" s="39">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1</v>
      </c>
      <c r="AF167" s="117">
        <f t="shared" si="42"/>
        <v>1</v>
      </c>
      <c r="AG167" s="117">
        <f t="shared" si="42"/>
        <v>1</v>
      </c>
      <c r="AH167" s="117">
        <f t="shared" si="42"/>
        <v>1</v>
      </c>
      <c r="AI167" s="117">
        <f t="shared" ref="AI167" si="43">IF(OR(AI37=0,AI37=1),1,0)</f>
        <v>1</v>
      </c>
      <c r="AJ167" s="39" t="str">
        <f t="shared" si="30"/>
        <v>UNKNOWN</v>
      </c>
      <c r="AK167" s="52"/>
      <c r="AL167" s="52" t="str">
        <f t="shared" si="33"/>
        <v>1F</v>
      </c>
      <c r="AM167" s="54" t="str">
        <f t="shared" si="34"/>
        <v>00</v>
      </c>
      <c r="AN167" s="54" t="str">
        <f t="shared" si="35"/>
        <v>00</v>
      </c>
      <c r="AO167" s="54" t="str">
        <f t="shared" si="36"/>
        <v>00</v>
      </c>
      <c r="AQ167" t="str">
        <f t="shared" si="31"/>
        <v xml:space="preserve">    (U4)0x0000001FU                                                            /* 31 UNKNOWN                                         */</v>
      </c>
    </row>
    <row r="168" spans="2:43">
      <c r="B168" s="124"/>
      <c r="C168" s="39">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4"/>
      <c r="C169" s="39">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4"/>
      <c r="C170" s="39">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4"/>
      <c r="C171" s="39">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4"/>
      <c r="C172" s="39">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4"/>
      <c r="C173" s="39">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4"/>
      <c r="C174" s="39">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4"/>
      <c r="C175" s="39">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4"/>
      <c r="C176" s="39">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4"/>
      <c r="C177" s="39">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4"/>
      <c r="C178" s="39">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4"/>
      <c r="C179" s="39">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4"/>
      <c r="C180" s="39">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4"/>
      <c r="C181" s="39">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4"/>
      <c r="C182" s="39">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4"/>
      <c r="C183" s="39">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4"/>
      <c r="C184" s="39">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4"/>
      <c r="C185" s="39">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4"/>
      <c r="C186" s="39">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4"/>
      <c r="C187" s="39">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4"/>
      <c r="C188" s="39">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4"/>
      <c r="C189" s="39">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4"/>
      <c r="C190" s="39">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4"/>
      <c r="C191" s="39">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4"/>
      <c r="C192" s="39">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4"/>
      <c r="C193" s="39">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4"/>
      <c r="C194" s="39">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4"/>
      <c r="C195" s="39">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4"/>
      <c r="C196" s="39">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4"/>
      <c r="C197" s="39">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4"/>
      <c r="C198" s="39">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25"/>
      <c r="C199" s="39">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D38:AJ69 L3:AD3 D10:AE10 AG10 D11:AG13 AJ8 AJ6 AG18:AG21 D14:AF37 AG26:AG29 AG34:AG37 AJ10:AJ37" name="Table作成編集範囲"/>
    <protectedRange sqref="AE3:AI3" name="Table作成編集範囲_3"/>
    <protectedRange sqref="AF10 AH10:AI13 D7:AJ7 D9:AJ9 D8:AI8 D6:AI6 AH18:AI21 AG14:AI17 AH26:AI29 AG22:AI25 AH34:AI37 AG30:AI33" name="Table作成編集範囲_4"/>
    <protectedRange sqref="B3" name="Table作成編集範囲_1"/>
  </protectedRanges>
  <mergeCells count="5">
    <mergeCell ref="C2:C3"/>
    <mergeCell ref="AJ2:AJ3"/>
    <mergeCell ref="A4:B5"/>
    <mergeCell ref="AG3:AI3"/>
    <mergeCell ref="AE3:AF3"/>
  </mergeCells>
  <phoneticPr fontId="2"/>
  <conditionalFormatting sqref="D10:AE21 D22:AF37 D38:AI69">
    <cfRule type="cellIs" dxfId="10" priority="28" operator="equal">
      <formula>1</formula>
    </cfRule>
    <cfRule type="cellIs" dxfId="9" priority="29" operator="equal">
      <formula>"×"</formula>
    </cfRule>
  </conditionalFormatting>
  <conditionalFormatting sqref="D6:AI9">
    <cfRule type="cellIs" dxfId="8" priority="23" operator="equal">
      <formula>1</formula>
    </cfRule>
    <cfRule type="cellIs" dxfId="7" priority="24" operator="equal">
      <formula>"×"</formula>
    </cfRule>
  </conditionalFormatting>
  <conditionalFormatting sqref="AF14:AF21">
    <cfRule type="cellIs" dxfId="6" priority="25" operator="equal">
      <formula>1</formula>
    </cfRule>
    <cfRule type="cellIs" dxfId="5" priority="26" operator="equal">
      <formula>"×"</formula>
    </cfRule>
  </conditionalFormatting>
  <conditionalFormatting sqref="AF10:AI13">
    <cfRule type="cellIs" dxfId="4" priority="19" operator="equal">
      <formula>1</formula>
    </cfRule>
    <cfRule type="cellIs" dxfId="3" priority="20" operator="equal">
      <formula>"×"</formula>
    </cfRule>
  </conditionalFormatting>
  <conditionalFormatting sqref="AG14:AI37">
    <cfRule type="cellIs" dxfId="2" priority="1" operator="equal">
      <formula>1</formula>
    </cfRule>
    <cfRule type="cellIs" dxfId="1" priority="2" operator="equal">
      <formula>"×"</formula>
    </cfRule>
  </conditionalFormatting>
  <conditionalFormatting sqref="AR5:AS70">
    <cfRule type="expression" dxfId="0" priority="2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U60"/>
  <sheetViews>
    <sheetView zoomScale="85" zoomScaleNormal="85" workbookViewId="0"/>
  </sheetViews>
  <sheetFormatPr defaultRowHeight="13.5"/>
  <cols>
    <col min="2" max="2" width="68.125" customWidth="1"/>
    <col min="3" max="10" width="3.375" customWidth="1"/>
    <col min="11" max="11" width="21.375" customWidth="1"/>
    <col min="12" max="12" width="48" customWidth="1"/>
    <col min="13" max="13" width="20.875" customWidth="1"/>
    <col min="14" max="14" width="35.5" customWidth="1"/>
    <col min="15" max="15" width="29.25" customWidth="1"/>
    <col min="16" max="16" width="40.375" customWidth="1"/>
    <col min="17" max="18" width="10.875" customWidth="1"/>
  </cols>
  <sheetData>
    <row r="2" spans="2:18" ht="15" thickBot="1">
      <c r="B2" s="24" t="s">
        <v>344</v>
      </c>
    </row>
    <row r="3" spans="2:18" ht="15" thickBot="1">
      <c r="B3" s="86" t="s">
        <v>203</v>
      </c>
      <c r="C3" s="329" t="s">
        <v>221</v>
      </c>
      <c r="D3" s="330"/>
      <c r="E3" s="330"/>
      <c r="F3" s="330"/>
      <c r="G3" s="330"/>
      <c r="H3" s="330"/>
      <c r="I3" s="330"/>
      <c r="J3" s="331"/>
      <c r="K3" s="160"/>
      <c r="L3" s="160"/>
      <c r="M3" s="163"/>
      <c r="N3" s="161"/>
      <c r="O3" s="161"/>
      <c r="P3" s="161"/>
      <c r="Q3" s="161"/>
      <c r="R3" s="162"/>
    </row>
    <row r="4" spans="2:18">
      <c r="B4" s="62"/>
      <c r="C4" s="30" t="s">
        <v>204</v>
      </c>
      <c r="D4" s="30"/>
      <c r="E4" s="30"/>
      <c r="F4" s="30"/>
      <c r="G4" s="30"/>
      <c r="H4" s="30"/>
      <c r="I4" s="30"/>
      <c r="J4" s="30"/>
      <c r="K4" s="30"/>
      <c r="L4" s="30"/>
      <c r="M4" s="26" t="s">
        <v>156</v>
      </c>
      <c r="N4" s="35" t="s">
        <v>21</v>
      </c>
      <c r="O4" s="36"/>
      <c r="P4" s="36"/>
      <c r="Q4" s="36"/>
      <c r="R4" s="37"/>
    </row>
    <row r="5" spans="2:18">
      <c r="B5" s="63" t="s">
        <v>22</v>
      </c>
      <c r="C5" s="332" t="s">
        <v>205</v>
      </c>
      <c r="D5" s="327"/>
      <c r="E5" s="327"/>
      <c r="F5" s="327"/>
      <c r="G5" s="327"/>
      <c r="H5" s="327"/>
      <c r="I5" s="327"/>
      <c r="J5" s="328"/>
      <c r="K5" s="31" t="s">
        <v>23</v>
      </c>
      <c r="L5" s="180"/>
      <c r="M5" s="27" t="s">
        <v>275</v>
      </c>
      <c r="N5" s="240" t="s">
        <v>24</v>
      </c>
      <c r="O5" s="213"/>
      <c r="P5" s="229" t="s">
        <v>25</v>
      </c>
      <c r="Q5" s="186" t="s">
        <v>26</v>
      </c>
      <c r="R5" s="130" t="s">
        <v>27</v>
      </c>
    </row>
    <row r="6" spans="2:18" ht="34.5" customHeight="1">
      <c r="B6" s="63" t="s">
        <v>34</v>
      </c>
      <c r="C6" s="155" t="s">
        <v>198</v>
      </c>
      <c r="D6" s="155" t="s">
        <v>198</v>
      </c>
      <c r="E6" s="155" t="s">
        <v>198</v>
      </c>
      <c r="F6" s="155" t="s">
        <v>198</v>
      </c>
      <c r="G6" s="155" t="s">
        <v>198</v>
      </c>
      <c r="H6" s="155" t="s">
        <v>198</v>
      </c>
      <c r="I6" s="155" t="s">
        <v>198</v>
      </c>
      <c r="J6" s="155" t="s">
        <v>127</v>
      </c>
      <c r="K6" s="129" t="s">
        <v>222</v>
      </c>
      <c r="L6" s="129" t="s">
        <v>223</v>
      </c>
      <c r="M6" s="27" t="s">
        <v>224</v>
      </c>
      <c r="N6" s="179"/>
      <c r="O6" s="179"/>
      <c r="P6" s="179"/>
      <c r="Q6" s="187"/>
      <c r="R6" s="188"/>
    </row>
    <row r="7" spans="2:18" ht="27">
      <c r="B7" s="64" t="s">
        <v>28</v>
      </c>
      <c r="C7" s="326" t="s">
        <v>36</v>
      </c>
      <c r="D7" s="327"/>
      <c r="E7" s="327"/>
      <c r="F7" s="327"/>
      <c r="G7" s="327"/>
      <c r="H7" s="327"/>
      <c r="I7" s="327"/>
      <c r="J7" s="328"/>
      <c r="K7" s="1" t="s">
        <v>274</v>
      </c>
      <c r="L7" s="1" t="s">
        <v>274</v>
      </c>
      <c r="M7" s="28"/>
      <c r="N7" s="179"/>
      <c r="O7" s="179"/>
      <c r="P7" s="179"/>
      <c r="Q7" s="187"/>
      <c r="R7" s="130"/>
    </row>
    <row r="8" spans="2:18" ht="159" customHeight="1">
      <c r="B8" s="63" t="s">
        <v>29</v>
      </c>
      <c r="C8" s="156" t="s">
        <v>206</v>
      </c>
      <c r="D8" s="156" t="s">
        <v>63</v>
      </c>
      <c r="E8" s="156" t="s">
        <v>207</v>
      </c>
      <c r="F8" s="156" t="s">
        <v>208</v>
      </c>
      <c r="G8" s="156" t="s">
        <v>209</v>
      </c>
      <c r="H8" s="156" t="s">
        <v>210</v>
      </c>
      <c r="I8" s="156" t="s">
        <v>211</v>
      </c>
      <c r="J8" s="156" t="s">
        <v>212</v>
      </c>
      <c r="K8" s="189" t="s">
        <v>267</v>
      </c>
      <c r="L8" s="190" t="s">
        <v>340</v>
      </c>
      <c r="M8" s="27" t="s">
        <v>30</v>
      </c>
      <c r="N8" s="229" t="s">
        <v>319</v>
      </c>
      <c r="O8" s="229" t="s">
        <v>329</v>
      </c>
      <c r="P8" s="179"/>
      <c r="Q8" s="187"/>
      <c r="R8" s="130"/>
    </row>
    <row r="9" spans="2:18" ht="116.25" customHeight="1" thickBot="1">
      <c r="B9" s="65" t="s">
        <v>31</v>
      </c>
      <c r="C9" s="157" t="s">
        <v>213</v>
      </c>
      <c r="D9" s="157" t="s">
        <v>198</v>
      </c>
      <c r="E9" s="157" t="s">
        <v>213</v>
      </c>
      <c r="F9" s="157" t="s">
        <v>213</v>
      </c>
      <c r="G9" s="157" t="s">
        <v>213</v>
      </c>
      <c r="H9" s="157" t="s">
        <v>213</v>
      </c>
      <c r="I9" s="157" t="s">
        <v>213</v>
      </c>
      <c r="J9" s="157" t="s">
        <v>213</v>
      </c>
      <c r="K9" s="25" t="s">
        <v>225</v>
      </c>
      <c r="L9" s="191" t="s">
        <v>288</v>
      </c>
      <c r="M9" s="29" t="s">
        <v>292</v>
      </c>
      <c r="N9" s="214" t="s">
        <v>320</v>
      </c>
      <c r="O9" s="214" t="s">
        <v>323</v>
      </c>
      <c r="P9" s="230" t="s">
        <v>318</v>
      </c>
      <c r="Q9" s="193"/>
      <c r="R9" s="131"/>
    </row>
    <row r="10" spans="2:18" ht="14.25" thickTop="1">
      <c r="B10" s="66" t="s">
        <v>230</v>
      </c>
      <c r="C10" s="159" t="s">
        <v>161</v>
      </c>
      <c r="D10" s="159" t="s">
        <v>161</v>
      </c>
      <c r="E10" s="159" t="s">
        <v>161</v>
      </c>
      <c r="F10" s="159" t="s">
        <v>214</v>
      </c>
      <c r="G10" s="159" t="s">
        <v>161</v>
      </c>
      <c r="H10" s="159" t="s">
        <v>161</v>
      </c>
      <c r="I10" s="159" t="s">
        <v>161</v>
      </c>
      <c r="J10" s="159" t="s">
        <v>161</v>
      </c>
      <c r="K10" s="32" t="s">
        <v>215</v>
      </c>
      <c r="L10" s="195" t="s">
        <v>268</v>
      </c>
      <c r="M10" s="33" t="s">
        <v>216</v>
      </c>
      <c r="N10" s="198" t="s">
        <v>198</v>
      </c>
      <c r="O10" s="198" t="s">
        <v>198</v>
      </c>
      <c r="P10" s="120"/>
      <c r="Q10" s="196"/>
      <c r="R10" s="235"/>
    </row>
    <row r="11" spans="2:18">
      <c r="B11" s="66" t="s">
        <v>296</v>
      </c>
      <c r="C11" s="158" t="s">
        <v>161</v>
      </c>
      <c r="D11" s="158" t="s">
        <v>161</v>
      </c>
      <c r="E11" s="158" t="s">
        <v>161</v>
      </c>
      <c r="F11" s="159" t="s">
        <v>214</v>
      </c>
      <c r="G11" s="158" t="s">
        <v>161</v>
      </c>
      <c r="H11" s="158" t="s">
        <v>161</v>
      </c>
      <c r="I11" s="158" t="s">
        <v>161</v>
      </c>
      <c r="J11" s="158" t="s">
        <v>161</v>
      </c>
      <c r="K11" s="32" t="s">
        <v>226</v>
      </c>
      <c r="L11" s="195" t="s">
        <v>236</v>
      </c>
      <c r="M11" s="33" t="s">
        <v>289</v>
      </c>
      <c r="N11" s="239" t="s">
        <v>321</v>
      </c>
      <c r="O11" s="198" t="s">
        <v>326</v>
      </c>
      <c r="P11" s="120" t="s">
        <v>327</v>
      </c>
      <c r="Q11" s="200"/>
      <c r="R11" s="236"/>
    </row>
    <row r="12" spans="2:18">
      <c r="B12" s="66" t="s">
        <v>297</v>
      </c>
      <c r="C12" s="159" t="s">
        <v>161</v>
      </c>
      <c r="D12" s="159" t="s">
        <v>161</v>
      </c>
      <c r="E12" s="159" t="s">
        <v>161</v>
      </c>
      <c r="F12" s="159" t="s">
        <v>214</v>
      </c>
      <c r="G12" s="159" t="s">
        <v>161</v>
      </c>
      <c r="H12" s="159" t="s">
        <v>161</v>
      </c>
      <c r="I12" s="159" t="s">
        <v>161</v>
      </c>
      <c r="J12" s="159" t="s">
        <v>161</v>
      </c>
      <c r="K12" s="212" t="s">
        <v>226</v>
      </c>
      <c r="L12" s="195" t="s">
        <v>269</v>
      </c>
      <c r="M12" s="34" t="s">
        <v>290</v>
      </c>
      <c r="N12" s="239" t="s">
        <v>321</v>
      </c>
      <c r="O12" s="239" t="s">
        <v>324</v>
      </c>
      <c r="P12" s="120" t="s">
        <v>327</v>
      </c>
      <c r="Q12" s="200"/>
      <c r="R12" s="132"/>
    </row>
    <row r="13" spans="2:18">
      <c r="B13" s="66" t="s">
        <v>298</v>
      </c>
      <c r="C13" s="159" t="s">
        <v>161</v>
      </c>
      <c r="D13" s="159" t="s">
        <v>161</v>
      </c>
      <c r="E13" s="159" t="s">
        <v>161</v>
      </c>
      <c r="F13" s="159" t="s">
        <v>214</v>
      </c>
      <c r="G13" s="159" t="s">
        <v>161</v>
      </c>
      <c r="H13" s="159" t="s">
        <v>161</v>
      </c>
      <c r="I13" s="159" t="s">
        <v>161</v>
      </c>
      <c r="J13" s="159" t="s">
        <v>161</v>
      </c>
      <c r="K13" s="212" t="s">
        <v>227</v>
      </c>
      <c r="L13" s="195" t="s">
        <v>270</v>
      </c>
      <c r="M13" s="34" t="s">
        <v>291</v>
      </c>
      <c r="N13" s="239" t="s">
        <v>321</v>
      </c>
      <c r="O13" s="198" t="s">
        <v>326</v>
      </c>
      <c r="P13" s="53" t="s">
        <v>328</v>
      </c>
      <c r="Q13" s="200"/>
      <c r="R13" s="132"/>
    </row>
    <row r="14" spans="2:18">
      <c r="B14" s="66" t="s">
        <v>299</v>
      </c>
      <c r="C14" s="159" t="s">
        <v>161</v>
      </c>
      <c r="D14" s="159" t="s">
        <v>161</v>
      </c>
      <c r="E14" s="159" t="s">
        <v>161</v>
      </c>
      <c r="F14" s="159" t="s">
        <v>214</v>
      </c>
      <c r="G14" s="159" t="s">
        <v>161</v>
      </c>
      <c r="H14" s="159" t="s">
        <v>161</v>
      </c>
      <c r="I14" s="159" t="s">
        <v>161</v>
      </c>
      <c r="J14" s="159" t="s">
        <v>161</v>
      </c>
      <c r="K14" s="32" t="s">
        <v>215</v>
      </c>
      <c r="L14" s="195" t="s">
        <v>271</v>
      </c>
      <c r="M14" s="33" t="s">
        <v>293</v>
      </c>
      <c r="N14" s="239" t="s">
        <v>321</v>
      </c>
      <c r="O14" s="239" t="s">
        <v>325</v>
      </c>
      <c r="P14" s="53" t="s">
        <v>328</v>
      </c>
      <c r="Q14" s="196"/>
      <c r="R14" s="235"/>
    </row>
    <row r="15" spans="2:18">
      <c r="B15" s="66" t="s">
        <v>231</v>
      </c>
      <c r="C15" s="158" t="s">
        <v>161</v>
      </c>
      <c r="D15" s="158" t="s">
        <v>161</v>
      </c>
      <c r="E15" s="158" t="s">
        <v>161</v>
      </c>
      <c r="F15" s="159" t="s">
        <v>214</v>
      </c>
      <c r="G15" s="158" t="s">
        <v>161</v>
      </c>
      <c r="H15" s="158" t="s">
        <v>161</v>
      </c>
      <c r="I15" s="158" t="s">
        <v>161</v>
      </c>
      <c r="J15" s="158" t="s">
        <v>161</v>
      </c>
      <c r="K15" s="32" t="s">
        <v>226</v>
      </c>
      <c r="L15" s="195" t="s">
        <v>272</v>
      </c>
      <c r="M15" s="33" t="s">
        <v>294</v>
      </c>
      <c r="N15" s="198" t="s">
        <v>322</v>
      </c>
      <c r="O15" s="198" t="s">
        <v>324</v>
      </c>
      <c r="P15" s="120" t="s">
        <v>127</v>
      </c>
      <c r="Q15" s="200"/>
      <c r="R15" s="236"/>
    </row>
    <row r="16" spans="2:18">
      <c r="B16" s="66" t="s">
        <v>234</v>
      </c>
      <c r="C16" s="159" t="s">
        <v>161</v>
      </c>
      <c r="D16" s="159" t="s">
        <v>161</v>
      </c>
      <c r="E16" s="159" t="s">
        <v>161</v>
      </c>
      <c r="F16" s="159" t="s">
        <v>214</v>
      </c>
      <c r="G16" s="159" t="s">
        <v>161</v>
      </c>
      <c r="H16" s="159" t="s">
        <v>161</v>
      </c>
      <c r="I16" s="159" t="s">
        <v>161</v>
      </c>
      <c r="J16" s="159" t="s">
        <v>161</v>
      </c>
      <c r="K16" s="212" t="s">
        <v>226</v>
      </c>
      <c r="L16" s="195" t="s">
        <v>273</v>
      </c>
      <c r="M16" s="34" t="s">
        <v>233</v>
      </c>
      <c r="N16" s="215" t="s">
        <v>232</v>
      </c>
      <c r="O16" s="215" t="s">
        <v>232</v>
      </c>
      <c r="P16" s="53" t="s">
        <v>316</v>
      </c>
      <c r="Q16" s="200"/>
      <c r="R16" s="132"/>
    </row>
    <row r="17" spans="2:21">
      <c r="B17" s="66" t="s">
        <v>234</v>
      </c>
      <c r="C17" s="159" t="s">
        <v>161</v>
      </c>
      <c r="D17" s="159" t="s">
        <v>161</v>
      </c>
      <c r="E17" s="159" t="s">
        <v>161</v>
      </c>
      <c r="F17" s="159" t="s">
        <v>214</v>
      </c>
      <c r="G17" s="159" t="s">
        <v>161</v>
      </c>
      <c r="H17" s="159" t="s">
        <v>161</v>
      </c>
      <c r="I17" s="159" t="s">
        <v>161</v>
      </c>
      <c r="J17" s="159" t="s">
        <v>161</v>
      </c>
      <c r="K17" s="212" t="s">
        <v>227</v>
      </c>
      <c r="L17" s="195" t="s">
        <v>242</v>
      </c>
      <c r="M17" s="34" t="s">
        <v>216</v>
      </c>
      <c r="N17" s="194" t="s">
        <v>295</v>
      </c>
      <c r="O17" s="194" t="s">
        <v>295</v>
      </c>
      <c r="P17" s="53" t="s">
        <v>127</v>
      </c>
      <c r="Q17" s="200"/>
      <c r="R17" s="132"/>
    </row>
    <row r="18" spans="2:21">
      <c r="B18" s="66" t="s">
        <v>245</v>
      </c>
      <c r="C18" s="159" t="s">
        <v>161</v>
      </c>
      <c r="D18" s="159" t="s">
        <v>161</v>
      </c>
      <c r="E18" s="159" t="s">
        <v>161</v>
      </c>
      <c r="F18" s="159" t="s">
        <v>214</v>
      </c>
      <c r="G18" s="159" t="s">
        <v>161</v>
      </c>
      <c r="H18" s="159" t="s">
        <v>161</v>
      </c>
      <c r="I18" s="159" t="s">
        <v>161</v>
      </c>
      <c r="J18" s="159" t="s">
        <v>161</v>
      </c>
      <c r="K18" s="212" t="s">
        <v>228</v>
      </c>
      <c r="L18" s="195" t="s">
        <v>243</v>
      </c>
      <c r="M18" s="34" t="s">
        <v>216</v>
      </c>
      <c r="N18" s="194" t="s">
        <v>127</v>
      </c>
      <c r="O18" s="194" t="s">
        <v>127</v>
      </c>
      <c r="P18" s="53" t="s">
        <v>310</v>
      </c>
      <c r="Q18" s="200"/>
      <c r="R18" s="132"/>
    </row>
    <row r="19" spans="2:21" ht="14.25" thickBot="1">
      <c r="B19" s="201" t="s">
        <v>246</v>
      </c>
      <c r="C19" s="202" t="s">
        <v>161</v>
      </c>
      <c r="D19" s="202" t="s">
        <v>161</v>
      </c>
      <c r="E19" s="202" t="s">
        <v>161</v>
      </c>
      <c r="F19" s="202" t="s">
        <v>214</v>
      </c>
      <c r="G19" s="202" t="s">
        <v>161</v>
      </c>
      <c r="H19" s="202" t="s">
        <v>161</v>
      </c>
      <c r="I19" s="202" t="s">
        <v>161</v>
      </c>
      <c r="J19" s="202" t="s">
        <v>161</v>
      </c>
      <c r="K19" s="203" t="s">
        <v>229</v>
      </c>
      <c r="L19" s="204" t="s">
        <v>243</v>
      </c>
      <c r="M19" s="205" t="s">
        <v>216</v>
      </c>
      <c r="N19" s="216" t="s">
        <v>127</v>
      </c>
      <c r="O19" s="216" t="s">
        <v>127</v>
      </c>
      <c r="P19" s="231" t="s">
        <v>317</v>
      </c>
      <c r="Q19" s="206"/>
      <c r="R19" s="207"/>
    </row>
    <row r="25" spans="2:21">
      <c r="S25" s="208"/>
      <c r="T25" s="208"/>
      <c r="U25" s="208"/>
    </row>
    <row r="26" spans="2:21">
      <c r="S26" s="208"/>
      <c r="T26" s="208"/>
      <c r="U26" s="208"/>
    </row>
    <row r="27" spans="2:21" ht="15" thickBot="1">
      <c r="B27" s="24" t="s">
        <v>345</v>
      </c>
      <c r="S27" s="208"/>
      <c r="T27" s="208"/>
      <c r="U27" s="208"/>
    </row>
    <row r="28" spans="2:21" ht="15" thickBot="1">
      <c r="B28" s="86" t="s">
        <v>203</v>
      </c>
      <c r="C28" s="329" t="s">
        <v>221</v>
      </c>
      <c r="D28" s="330"/>
      <c r="E28" s="330"/>
      <c r="F28" s="330"/>
      <c r="G28" s="330"/>
      <c r="H28" s="330"/>
      <c r="I28" s="330"/>
      <c r="J28" s="331"/>
      <c r="K28" s="160"/>
      <c r="L28" s="160"/>
      <c r="M28" s="163"/>
      <c r="N28" s="161"/>
      <c r="O28" s="161"/>
      <c r="P28" s="161"/>
      <c r="Q28" s="162"/>
      <c r="R28" s="208"/>
      <c r="S28" s="208"/>
      <c r="T28" s="208"/>
    </row>
    <row r="29" spans="2:21">
      <c r="B29" s="62"/>
      <c r="C29" s="30" t="s">
        <v>204</v>
      </c>
      <c r="D29" s="30"/>
      <c r="E29" s="30"/>
      <c r="F29" s="30"/>
      <c r="G29" s="30"/>
      <c r="H29" s="30"/>
      <c r="I29" s="30"/>
      <c r="J29" s="30"/>
      <c r="K29" s="30"/>
      <c r="L29" s="30"/>
      <c r="M29" s="26" t="s">
        <v>156</v>
      </c>
      <c r="N29" s="35" t="s">
        <v>21</v>
      </c>
      <c r="O29" s="36"/>
      <c r="P29" s="36"/>
      <c r="Q29" s="37"/>
      <c r="R29" s="208"/>
      <c r="S29" s="208"/>
      <c r="T29" s="208"/>
    </row>
    <row r="30" spans="2:21">
      <c r="B30" s="63" t="s">
        <v>22</v>
      </c>
      <c r="C30" s="332" t="s">
        <v>205</v>
      </c>
      <c r="D30" s="327"/>
      <c r="E30" s="327"/>
      <c r="F30" s="327"/>
      <c r="G30" s="327"/>
      <c r="H30" s="327"/>
      <c r="I30" s="327"/>
      <c r="J30" s="328"/>
      <c r="K30" s="31" t="s">
        <v>23</v>
      </c>
      <c r="L30" s="180"/>
      <c r="M30" s="27" t="s">
        <v>277</v>
      </c>
      <c r="N30" s="185" t="s">
        <v>24</v>
      </c>
      <c r="O30" s="217" t="s">
        <v>25</v>
      </c>
      <c r="P30" s="229" t="s">
        <v>26</v>
      </c>
      <c r="Q30" s="130" t="s">
        <v>40</v>
      </c>
      <c r="R30" s="208"/>
      <c r="S30" s="208"/>
      <c r="T30" s="208"/>
    </row>
    <row r="31" spans="2:21">
      <c r="B31" s="63" t="s">
        <v>34</v>
      </c>
      <c r="C31" s="155" t="s">
        <v>198</v>
      </c>
      <c r="D31" s="155" t="s">
        <v>198</v>
      </c>
      <c r="E31" s="155" t="s">
        <v>198</v>
      </c>
      <c r="F31" s="155" t="s">
        <v>198</v>
      </c>
      <c r="G31" s="155" t="s">
        <v>198</v>
      </c>
      <c r="H31" s="155" t="s">
        <v>198</v>
      </c>
      <c r="I31" s="155" t="s">
        <v>198</v>
      </c>
      <c r="J31" s="155" t="s">
        <v>127</v>
      </c>
      <c r="K31" s="129" t="s">
        <v>222</v>
      </c>
      <c r="L31" s="129" t="s">
        <v>223</v>
      </c>
      <c r="M31" s="27" t="s">
        <v>276</v>
      </c>
      <c r="N31" s="218"/>
      <c r="O31" s="218"/>
      <c r="P31" s="179"/>
      <c r="Q31" s="188"/>
      <c r="R31" s="208"/>
      <c r="S31" s="208"/>
      <c r="T31" s="208"/>
    </row>
    <row r="32" spans="2:21" ht="27">
      <c r="B32" s="64" t="s">
        <v>28</v>
      </c>
      <c r="C32" s="326" t="s">
        <v>36</v>
      </c>
      <c r="D32" s="327"/>
      <c r="E32" s="327"/>
      <c r="F32" s="327"/>
      <c r="G32" s="327"/>
      <c r="H32" s="327"/>
      <c r="I32" s="327"/>
      <c r="J32" s="328"/>
      <c r="K32" s="1" t="s">
        <v>274</v>
      </c>
      <c r="L32" s="1" t="s">
        <v>274</v>
      </c>
      <c r="M32" s="28"/>
      <c r="N32" s="218"/>
      <c r="O32" s="218"/>
      <c r="P32" s="179"/>
      <c r="Q32" s="130"/>
      <c r="R32" s="208"/>
      <c r="S32" s="208"/>
      <c r="T32" s="208"/>
    </row>
    <row r="33" spans="2:18" ht="136.5">
      <c r="B33" s="63" t="s">
        <v>29</v>
      </c>
      <c r="C33" s="156" t="s">
        <v>206</v>
      </c>
      <c r="D33" s="156" t="s">
        <v>63</v>
      </c>
      <c r="E33" s="156" t="s">
        <v>207</v>
      </c>
      <c r="F33" s="156" t="s">
        <v>208</v>
      </c>
      <c r="G33" s="156" t="s">
        <v>209</v>
      </c>
      <c r="H33" s="156" t="s">
        <v>210</v>
      </c>
      <c r="I33" s="156" t="s">
        <v>211</v>
      </c>
      <c r="J33" s="156" t="s">
        <v>212</v>
      </c>
      <c r="K33" s="189" t="s">
        <v>267</v>
      </c>
      <c r="L33" s="190" t="s">
        <v>340</v>
      </c>
      <c r="M33" s="27" t="s">
        <v>30</v>
      </c>
      <c r="N33" s="218"/>
      <c r="O33" s="218"/>
      <c r="P33" s="179"/>
      <c r="Q33" s="130"/>
    </row>
    <row r="34" spans="2:18" ht="120.75" customHeight="1" thickBot="1">
      <c r="B34" s="65" t="s">
        <v>31</v>
      </c>
      <c r="C34" s="157" t="s">
        <v>213</v>
      </c>
      <c r="D34" s="157" t="s">
        <v>198</v>
      </c>
      <c r="E34" s="157" t="s">
        <v>213</v>
      </c>
      <c r="F34" s="157" t="s">
        <v>213</v>
      </c>
      <c r="G34" s="157" t="s">
        <v>213</v>
      </c>
      <c r="H34" s="157" t="s">
        <v>213</v>
      </c>
      <c r="I34" s="157" t="s">
        <v>213</v>
      </c>
      <c r="J34" s="157" t="s">
        <v>213</v>
      </c>
      <c r="K34" s="25" t="s">
        <v>278</v>
      </c>
      <c r="L34" s="191" t="s">
        <v>287</v>
      </c>
      <c r="M34" s="29" t="s">
        <v>302</v>
      </c>
      <c r="N34" s="192"/>
      <c r="O34" s="219"/>
      <c r="P34" s="230" t="s">
        <v>305</v>
      </c>
      <c r="Q34" s="131"/>
    </row>
    <row r="35" spans="2:18" ht="14.25" thickTop="1">
      <c r="B35" s="223" t="s">
        <v>244</v>
      </c>
      <c r="C35" s="158" t="s">
        <v>161</v>
      </c>
      <c r="D35" s="158" t="s">
        <v>161</v>
      </c>
      <c r="E35" s="158" t="s">
        <v>161</v>
      </c>
      <c r="F35" s="158" t="s">
        <v>214</v>
      </c>
      <c r="G35" s="158" t="s">
        <v>161</v>
      </c>
      <c r="H35" s="158" t="s">
        <v>161</v>
      </c>
      <c r="I35" s="158" t="s">
        <v>161</v>
      </c>
      <c r="J35" s="158" t="s">
        <v>161</v>
      </c>
      <c r="K35" s="225" t="s">
        <v>281</v>
      </c>
      <c r="L35" s="226" t="s">
        <v>235</v>
      </c>
      <c r="M35" s="33" t="s">
        <v>216</v>
      </c>
      <c r="N35" s="232"/>
      <c r="O35" s="237"/>
      <c r="P35" s="225" t="s">
        <v>127</v>
      </c>
      <c r="Q35" s="197"/>
    </row>
    <row r="36" spans="2:18">
      <c r="B36" s="20" t="s">
        <v>297</v>
      </c>
      <c r="C36" s="158" t="s">
        <v>161</v>
      </c>
      <c r="D36" s="158" t="s">
        <v>161</v>
      </c>
      <c r="E36" s="158" t="s">
        <v>161</v>
      </c>
      <c r="F36" s="158" t="s">
        <v>214</v>
      </c>
      <c r="G36" s="158" t="s">
        <v>161</v>
      </c>
      <c r="H36" s="158" t="s">
        <v>161</v>
      </c>
      <c r="I36" s="158" t="s">
        <v>161</v>
      </c>
      <c r="J36" s="158" t="s">
        <v>161</v>
      </c>
      <c r="K36" s="227" t="s">
        <v>282</v>
      </c>
      <c r="L36" s="228" t="s">
        <v>236</v>
      </c>
      <c r="M36" s="33" t="s">
        <v>300</v>
      </c>
      <c r="N36" s="233"/>
      <c r="O36" s="238"/>
      <c r="P36" s="227" t="s">
        <v>306</v>
      </c>
      <c r="Q36" s="188"/>
    </row>
    <row r="37" spans="2:18">
      <c r="B37" s="224" t="s">
        <v>314</v>
      </c>
      <c r="C37" s="158" t="s">
        <v>161</v>
      </c>
      <c r="D37" s="158" t="s">
        <v>161</v>
      </c>
      <c r="E37" s="158" t="s">
        <v>161</v>
      </c>
      <c r="F37" s="158" t="s">
        <v>214</v>
      </c>
      <c r="G37" s="158" t="s">
        <v>161</v>
      </c>
      <c r="H37" s="158" t="s">
        <v>161</v>
      </c>
      <c r="I37" s="158" t="s">
        <v>161</v>
      </c>
      <c r="J37" s="158" t="s">
        <v>161</v>
      </c>
      <c r="K37" s="227" t="s">
        <v>282</v>
      </c>
      <c r="L37" s="228" t="s">
        <v>237</v>
      </c>
      <c r="M37" s="234" t="s">
        <v>301</v>
      </c>
      <c r="N37" s="233"/>
      <c r="O37" s="238"/>
      <c r="P37" s="227" t="s">
        <v>306</v>
      </c>
      <c r="Q37" s="188"/>
    </row>
    <row r="38" spans="2:18">
      <c r="B38" s="66" t="s">
        <v>299</v>
      </c>
      <c r="C38" s="158" t="s">
        <v>161</v>
      </c>
      <c r="D38" s="158" t="s">
        <v>161</v>
      </c>
      <c r="E38" s="158" t="s">
        <v>161</v>
      </c>
      <c r="F38" s="158" t="s">
        <v>214</v>
      </c>
      <c r="G38" s="158" t="s">
        <v>161</v>
      </c>
      <c r="H38" s="158" t="s">
        <v>161</v>
      </c>
      <c r="I38" s="158" t="s">
        <v>161</v>
      </c>
      <c r="J38" s="158" t="s">
        <v>161</v>
      </c>
      <c r="K38" s="227" t="s">
        <v>282</v>
      </c>
      <c r="L38" s="228" t="s">
        <v>238</v>
      </c>
      <c r="M38" s="33" t="s">
        <v>303</v>
      </c>
      <c r="N38" s="233"/>
      <c r="O38" s="238"/>
      <c r="P38" s="227" t="s">
        <v>307</v>
      </c>
      <c r="Q38" s="188"/>
    </row>
    <row r="39" spans="2:18">
      <c r="B39" s="66" t="s">
        <v>299</v>
      </c>
      <c r="C39" s="158" t="s">
        <v>161</v>
      </c>
      <c r="D39" s="158" t="s">
        <v>161</v>
      </c>
      <c r="E39" s="158" t="s">
        <v>161</v>
      </c>
      <c r="F39" s="158" t="s">
        <v>214</v>
      </c>
      <c r="G39" s="158" t="s">
        <v>161</v>
      </c>
      <c r="H39" s="158" t="s">
        <v>161</v>
      </c>
      <c r="I39" s="158" t="s">
        <v>161</v>
      </c>
      <c r="J39" s="158" t="s">
        <v>161</v>
      </c>
      <c r="K39" s="227" t="s">
        <v>282</v>
      </c>
      <c r="L39" s="195" t="s">
        <v>239</v>
      </c>
      <c r="M39" s="33" t="s">
        <v>304</v>
      </c>
      <c r="N39" s="158"/>
      <c r="O39" s="220"/>
      <c r="P39" s="225" t="s">
        <v>307</v>
      </c>
      <c r="Q39" s="197"/>
    </row>
    <row r="40" spans="2:18">
      <c r="B40" s="66" t="s">
        <v>234</v>
      </c>
      <c r="C40" s="158" t="s">
        <v>161</v>
      </c>
      <c r="D40" s="158" t="s">
        <v>161</v>
      </c>
      <c r="E40" s="158" t="s">
        <v>161</v>
      </c>
      <c r="F40" s="159" t="s">
        <v>214</v>
      </c>
      <c r="G40" s="158" t="s">
        <v>161</v>
      </c>
      <c r="H40" s="158" t="s">
        <v>161</v>
      </c>
      <c r="I40" s="158" t="s">
        <v>161</v>
      </c>
      <c r="J40" s="158" t="s">
        <v>161</v>
      </c>
      <c r="K40" s="227" t="s">
        <v>282</v>
      </c>
      <c r="L40" s="195" t="s">
        <v>240</v>
      </c>
      <c r="M40" s="33" t="s">
        <v>216</v>
      </c>
      <c r="N40" s="158"/>
      <c r="O40" s="220"/>
      <c r="P40" s="53" t="s">
        <v>308</v>
      </c>
      <c r="Q40" s="132"/>
    </row>
    <row r="41" spans="2:18">
      <c r="B41" s="66" t="s">
        <v>234</v>
      </c>
      <c r="C41" s="159" t="s">
        <v>161</v>
      </c>
      <c r="D41" s="159" t="s">
        <v>161</v>
      </c>
      <c r="E41" s="159" t="s">
        <v>161</v>
      </c>
      <c r="F41" s="159" t="s">
        <v>214</v>
      </c>
      <c r="G41" s="159" t="s">
        <v>161</v>
      </c>
      <c r="H41" s="159" t="s">
        <v>161</v>
      </c>
      <c r="I41" s="159" t="s">
        <v>161</v>
      </c>
      <c r="J41" s="159" t="s">
        <v>161</v>
      </c>
      <c r="K41" s="227" t="s">
        <v>282</v>
      </c>
      <c r="L41" s="195" t="s">
        <v>241</v>
      </c>
      <c r="M41" s="33" t="s">
        <v>216</v>
      </c>
      <c r="N41" s="199"/>
      <c r="O41" s="221"/>
      <c r="P41" s="53" t="s">
        <v>309</v>
      </c>
      <c r="Q41" s="132"/>
    </row>
    <row r="42" spans="2:18">
      <c r="B42" s="66" t="s">
        <v>234</v>
      </c>
      <c r="C42" s="159" t="s">
        <v>161</v>
      </c>
      <c r="D42" s="159" t="s">
        <v>161</v>
      </c>
      <c r="E42" s="159" t="s">
        <v>161</v>
      </c>
      <c r="F42" s="159" t="s">
        <v>214</v>
      </c>
      <c r="G42" s="159" t="s">
        <v>161</v>
      </c>
      <c r="H42" s="159" t="s">
        <v>161</v>
      </c>
      <c r="I42" s="159" t="s">
        <v>161</v>
      </c>
      <c r="J42" s="159" t="s">
        <v>161</v>
      </c>
      <c r="K42" s="227" t="s">
        <v>282</v>
      </c>
      <c r="L42" s="195" t="s">
        <v>242</v>
      </c>
      <c r="M42" s="33" t="s">
        <v>216</v>
      </c>
      <c r="N42" s="159"/>
      <c r="O42" s="221"/>
      <c r="P42" s="53" t="s">
        <v>127</v>
      </c>
      <c r="Q42" s="132"/>
    </row>
    <row r="43" spans="2:18">
      <c r="B43" s="66" t="s">
        <v>245</v>
      </c>
      <c r="C43" s="159" t="s">
        <v>161</v>
      </c>
      <c r="D43" s="159" t="s">
        <v>161</v>
      </c>
      <c r="E43" s="159" t="s">
        <v>161</v>
      </c>
      <c r="F43" s="159" t="s">
        <v>214</v>
      </c>
      <c r="G43" s="159" t="s">
        <v>161</v>
      </c>
      <c r="H43" s="159" t="s">
        <v>161</v>
      </c>
      <c r="I43" s="159" t="s">
        <v>161</v>
      </c>
      <c r="J43" s="159" t="s">
        <v>161</v>
      </c>
      <c r="K43" s="212" t="s">
        <v>283</v>
      </c>
      <c r="L43" s="195" t="s">
        <v>243</v>
      </c>
      <c r="M43" s="34" t="s">
        <v>216</v>
      </c>
      <c r="N43" s="159"/>
      <c r="O43" s="221"/>
      <c r="P43" s="53" t="s">
        <v>310</v>
      </c>
      <c r="Q43" s="132"/>
    </row>
    <row r="44" spans="2:18">
      <c r="B44" s="66" t="s">
        <v>279</v>
      </c>
      <c r="C44" s="159" t="s">
        <v>161</v>
      </c>
      <c r="D44" s="159" t="s">
        <v>161</v>
      </c>
      <c r="E44" s="159" t="s">
        <v>161</v>
      </c>
      <c r="F44" s="159" t="s">
        <v>214</v>
      </c>
      <c r="G44" s="159" t="s">
        <v>161</v>
      </c>
      <c r="H44" s="159" t="s">
        <v>161</v>
      </c>
      <c r="I44" s="159" t="s">
        <v>161</v>
      </c>
      <c r="J44" s="159" t="s">
        <v>161</v>
      </c>
      <c r="K44" s="212" t="s">
        <v>284</v>
      </c>
      <c r="L44" s="195" t="s">
        <v>243</v>
      </c>
      <c r="M44" s="34" t="s">
        <v>216</v>
      </c>
      <c r="N44" s="159"/>
      <c r="O44" s="221"/>
      <c r="P44" s="53" t="s">
        <v>311</v>
      </c>
      <c r="Q44" s="132"/>
    </row>
    <row r="45" spans="2:18">
      <c r="B45" s="66" t="s">
        <v>280</v>
      </c>
      <c r="C45" s="159" t="s">
        <v>161</v>
      </c>
      <c r="D45" s="159" t="s">
        <v>161</v>
      </c>
      <c r="E45" s="159" t="s">
        <v>161</v>
      </c>
      <c r="F45" s="159" t="s">
        <v>214</v>
      </c>
      <c r="G45" s="159" t="s">
        <v>161</v>
      </c>
      <c r="H45" s="159" t="s">
        <v>161</v>
      </c>
      <c r="I45" s="159" t="s">
        <v>161</v>
      </c>
      <c r="J45" s="159" t="s">
        <v>161</v>
      </c>
      <c r="K45" s="212" t="s">
        <v>285</v>
      </c>
      <c r="L45" s="195" t="s">
        <v>243</v>
      </c>
      <c r="M45" s="34" t="s">
        <v>216</v>
      </c>
      <c r="N45" s="159"/>
      <c r="O45" s="221"/>
      <c r="P45" s="53" t="s">
        <v>312</v>
      </c>
      <c r="Q45" s="132"/>
    </row>
    <row r="46" spans="2:18" ht="14.25" thickBot="1">
      <c r="B46" s="201" t="s">
        <v>246</v>
      </c>
      <c r="C46" s="202" t="s">
        <v>161</v>
      </c>
      <c r="D46" s="202" t="s">
        <v>161</v>
      </c>
      <c r="E46" s="202" t="s">
        <v>161</v>
      </c>
      <c r="F46" s="202" t="s">
        <v>214</v>
      </c>
      <c r="G46" s="202" t="s">
        <v>161</v>
      </c>
      <c r="H46" s="202" t="s">
        <v>161</v>
      </c>
      <c r="I46" s="202" t="s">
        <v>161</v>
      </c>
      <c r="J46" s="202" t="s">
        <v>161</v>
      </c>
      <c r="K46" s="203" t="s">
        <v>286</v>
      </c>
      <c r="L46" s="204" t="s">
        <v>243</v>
      </c>
      <c r="M46" s="205" t="s">
        <v>216</v>
      </c>
      <c r="N46" s="202"/>
      <c r="O46" s="222"/>
      <c r="P46" s="231" t="s">
        <v>313</v>
      </c>
      <c r="Q46" s="207"/>
    </row>
    <row r="47" spans="2:18">
      <c r="B47" s="38"/>
      <c r="C47" s="52"/>
      <c r="D47" s="52"/>
      <c r="E47" s="52"/>
      <c r="F47" s="52"/>
      <c r="G47" s="52"/>
      <c r="H47" s="52"/>
      <c r="I47" s="52"/>
      <c r="J47" s="52"/>
      <c r="K47" s="52"/>
      <c r="L47" s="52"/>
      <c r="M47" s="52"/>
      <c r="N47" s="52"/>
      <c r="O47" s="52"/>
      <c r="P47" s="52"/>
      <c r="Q47" s="52"/>
      <c r="R47" s="52"/>
    </row>
    <row r="48" spans="2:18">
      <c r="B48" s="38"/>
      <c r="C48" s="52"/>
      <c r="D48" s="52"/>
      <c r="E48" s="52"/>
      <c r="F48" s="52"/>
      <c r="G48" s="52"/>
      <c r="H48" s="52"/>
      <c r="I48" s="52"/>
      <c r="J48" s="52"/>
      <c r="K48" s="52"/>
      <c r="L48" s="52"/>
      <c r="M48" s="52"/>
      <c r="N48" s="52"/>
      <c r="O48" s="52"/>
      <c r="P48" s="52"/>
      <c r="Q48" s="52"/>
      <c r="R48" s="52"/>
    </row>
    <row r="49" spans="2:18">
      <c r="B49" s="38"/>
      <c r="C49" s="52"/>
      <c r="D49" s="52"/>
      <c r="E49" s="52"/>
      <c r="F49" s="52"/>
      <c r="G49" s="52"/>
      <c r="H49" s="52"/>
      <c r="I49" s="52"/>
      <c r="J49" s="52"/>
      <c r="K49" s="52"/>
      <c r="L49" s="52"/>
      <c r="M49" s="52"/>
      <c r="N49" s="52"/>
      <c r="O49" s="52"/>
      <c r="P49" s="52"/>
      <c r="Q49" s="52"/>
      <c r="R49" s="52"/>
    </row>
    <row r="50" spans="2:18">
      <c r="B50" s="38"/>
      <c r="C50" s="52"/>
      <c r="D50" s="52"/>
      <c r="E50" s="52"/>
      <c r="F50" s="52"/>
      <c r="G50" s="52"/>
      <c r="H50" s="52"/>
      <c r="I50" s="52"/>
      <c r="J50" s="52"/>
      <c r="K50" s="52"/>
      <c r="L50" s="52"/>
      <c r="M50" s="52"/>
      <c r="N50" s="52"/>
      <c r="O50" s="52"/>
      <c r="P50" s="52"/>
      <c r="Q50" s="52"/>
      <c r="R50" s="52"/>
    </row>
    <row r="51" spans="2:18">
      <c r="B51" s="38"/>
      <c r="C51" s="52"/>
      <c r="D51" s="52"/>
      <c r="E51" s="52"/>
      <c r="F51" s="52"/>
      <c r="G51" s="52"/>
      <c r="H51" s="52"/>
      <c r="I51" s="52"/>
      <c r="J51" s="52"/>
      <c r="K51" s="52"/>
      <c r="L51" s="52"/>
      <c r="M51" s="52"/>
      <c r="N51" s="52"/>
      <c r="O51" s="52"/>
      <c r="P51" s="52"/>
      <c r="Q51" s="52"/>
      <c r="R51" s="52"/>
    </row>
    <row r="52" spans="2:18">
      <c r="B52" s="38"/>
      <c r="C52" s="52"/>
      <c r="D52" s="52"/>
      <c r="E52" s="52"/>
      <c r="F52" s="52"/>
      <c r="G52" s="52"/>
      <c r="H52" s="52"/>
      <c r="I52" s="52"/>
      <c r="J52" s="52"/>
      <c r="K52" s="52"/>
      <c r="L52" s="52"/>
      <c r="M52" s="52"/>
      <c r="N52" s="52"/>
      <c r="O52" s="52"/>
      <c r="P52" s="52"/>
      <c r="Q52" s="52"/>
      <c r="R52" s="52"/>
    </row>
    <row r="53" spans="2:18">
      <c r="B53" s="38"/>
      <c r="C53" s="52"/>
      <c r="D53" s="52"/>
      <c r="E53" s="52"/>
      <c r="F53" s="52"/>
      <c r="G53" s="52"/>
      <c r="H53" s="52"/>
      <c r="I53" s="52"/>
      <c r="J53" s="52"/>
      <c r="K53" s="52"/>
      <c r="L53" s="52"/>
      <c r="M53" s="52"/>
      <c r="N53" s="52"/>
      <c r="O53" s="52"/>
      <c r="P53" s="52"/>
      <c r="Q53" s="52"/>
      <c r="R53" s="52"/>
    </row>
    <row r="54" spans="2:18">
      <c r="B54" s="38"/>
      <c r="C54" s="52"/>
      <c r="D54" s="52"/>
      <c r="E54" s="52"/>
      <c r="F54" s="52"/>
      <c r="G54" s="52"/>
      <c r="H54" s="52"/>
      <c r="I54" s="52"/>
      <c r="J54" s="52"/>
      <c r="K54" s="52"/>
      <c r="L54" s="52"/>
      <c r="M54" s="52"/>
      <c r="N54" s="52"/>
      <c r="O54" s="52"/>
      <c r="P54" s="52"/>
      <c r="Q54" s="52"/>
      <c r="R54" s="52"/>
    </row>
    <row r="55" spans="2:18">
      <c r="B55" s="38"/>
      <c r="C55" s="52"/>
      <c r="D55" s="52"/>
      <c r="E55" s="52"/>
      <c r="F55" s="52"/>
      <c r="G55" s="52"/>
      <c r="H55" s="52"/>
      <c r="I55" s="52"/>
      <c r="J55" s="52"/>
      <c r="K55" s="52"/>
      <c r="L55" s="52"/>
      <c r="M55" s="52"/>
      <c r="N55" s="52"/>
      <c r="O55" s="52"/>
      <c r="P55" s="52"/>
      <c r="Q55" s="52"/>
      <c r="R55" s="52"/>
    </row>
    <row r="56" spans="2:18">
      <c r="B56" s="38"/>
      <c r="C56" s="52"/>
      <c r="D56" s="52"/>
      <c r="E56" s="52"/>
      <c r="F56" s="52"/>
      <c r="G56" s="52"/>
      <c r="H56" s="52"/>
      <c r="I56" s="52"/>
      <c r="J56" s="52"/>
      <c r="K56" s="52"/>
      <c r="L56" s="52"/>
      <c r="M56" s="52"/>
      <c r="N56" s="52"/>
      <c r="O56" s="52"/>
      <c r="P56" s="52"/>
      <c r="Q56" s="52"/>
      <c r="R56" s="52"/>
    </row>
    <row r="57" spans="2:18">
      <c r="B57" s="38"/>
      <c r="C57" s="52"/>
      <c r="D57" s="52"/>
      <c r="E57" s="52"/>
      <c r="F57" s="52"/>
      <c r="G57" s="52"/>
      <c r="H57" s="52"/>
      <c r="I57" s="52"/>
      <c r="J57" s="52"/>
      <c r="K57" s="52"/>
      <c r="L57" s="52"/>
      <c r="M57" s="52"/>
      <c r="N57" s="52"/>
      <c r="O57" s="52"/>
      <c r="P57" s="52"/>
      <c r="Q57" s="52"/>
      <c r="R57" s="52"/>
    </row>
    <row r="58" spans="2:18">
      <c r="B58" s="38"/>
      <c r="C58" s="52"/>
      <c r="D58" s="52"/>
      <c r="E58" s="52"/>
      <c r="F58" s="52"/>
      <c r="G58" s="52"/>
      <c r="H58" s="52"/>
      <c r="I58" s="52"/>
      <c r="J58" s="52"/>
      <c r="K58" s="52"/>
      <c r="L58" s="52"/>
      <c r="M58" s="52"/>
      <c r="N58" s="52"/>
      <c r="O58" s="52"/>
      <c r="P58" s="52"/>
      <c r="Q58" s="52"/>
      <c r="R58" s="52"/>
    </row>
    <row r="59" spans="2:18">
      <c r="B59" s="38"/>
      <c r="C59" s="52"/>
      <c r="D59" s="52"/>
      <c r="E59" s="52"/>
      <c r="F59" s="52"/>
      <c r="G59" s="52"/>
      <c r="H59" s="52"/>
      <c r="I59" s="52"/>
      <c r="J59" s="52"/>
      <c r="K59" s="52"/>
      <c r="L59" s="52"/>
      <c r="M59" s="52"/>
      <c r="N59" s="52"/>
      <c r="O59" s="52"/>
      <c r="P59" s="52"/>
      <c r="Q59" s="52"/>
      <c r="R59" s="52"/>
    </row>
    <row r="60" spans="2:18">
      <c r="B60" s="38"/>
      <c r="C60" s="52"/>
      <c r="D60" s="52"/>
      <c r="E60" s="52"/>
      <c r="F60" s="52"/>
      <c r="G60" s="52"/>
      <c r="H60" s="52"/>
      <c r="I60" s="52"/>
      <c r="J60" s="52"/>
      <c r="K60" s="52"/>
      <c r="L60" s="52"/>
      <c r="M60" s="52"/>
      <c r="N60" s="52"/>
      <c r="O60" s="52"/>
      <c r="P60" s="52"/>
      <c r="Q60" s="52"/>
      <c r="R60" s="52"/>
    </row>
  </sheetData>
  <mergeCells count="6">
    <mergeCell ref="C32:J32"/>
    <mergeCell ref="C3:J3"/>
    <mergeCell ref="C5:J5"/>
    <mergeCell ref="C7:J7"/>
    <mergeCell ref="C28:J28"/>
    <mergeCell ref="C30:J30"/>
  </mergeCells>
  <phoneticPr fontId="2"/>
  <dataValidations count="1">
    <dataValidation type="list" allowBlank="1" showInputMessage="1" showErrorMessage="1" sqref="C3 C28"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4" t="s">
        <v>86</v>
      </c>
      <c r="C2" s="75">
        <f>MAX(B4:B28)</f>
        <v>19</v>
      </c>
      <c r="D2" s="75"/>
    </row>
    <row r="3" spans="2:4" ht="14.25" thickBot="1">
      <c r="B3" s="68" t="s">
        <v>86</v>
      </c>
      <c r="C3" s="76" t="s">
        <v>90</v>
      </c>
      <c r="D3" s="69" t="s">
        <v>87</v>
      </c>
    </row>
    <row r="4" spans="2:4" ht="14.25" thickTop="1">
      <c r="B4" s="12">
        <v>0</v>
      </c>
      <c r="C4" s="77" t="s">
        <v>91</v>
      </c>
      <c r="D4" s="13" t="s">
        <v>20</v>
      </c>
    </row>
    <row r="5" spans="2:4" ht="40.5">
      <c r="B5" s="2">
        <v>1</v>
      </c>
      <c r="C5" s="78" t="s">
        <v>91</v>
      </c>
      <c r="D5" s="80" t="s">
        <v>92</v>
      </c>
    </row>
    <row r="6" spans="2:4" ht="27">
      <c r="B6" s="2">
        <v>2</v>
      </c>
      <c r="C6" s="78" t="s">
        <v>93</v>
      </c>
      <c r="D6" s="80" t="s">
        <v>94</v>
      </c>
    </row>
    <row r="7" spans="2:4" ht="54">
      <c r="B7" s="2">
        <v>3</v>
      </c>
      <c r="C7" s="78" t="s">
        <v>91</v>
      </c>
      <c r="D7" s="80" t="s">
        <v>97</v>
      </c>
    </row>
    <row r="8" spans="2:4" ht="81">
      <c r="B8" s="2">
        <v>4</v>
      </c>
      <c r="C8" s="78" t="s">
        <v>105</v>
      </c>
      <c r="D8" s="80" t="s">
        <v>111</v>
      </c>
    </row>
    <row r="9" spans="2:4" ht="41.25" customHeight="1">
      <c r="B9" s="2">
        <v>5</v>
      </c>
      <c r="C9" s="78" t="s">
        <v>106</v>
      </c>
      <c r="D9" s="80" t="s">
        <v>107</v>
      </c>
    </row>
    <row r="10" spans="2:4" ht="27">
      <c r="B10" s="2">
        <v>6</v>
      </c>
      <c r="C10" s="78" t="s">
        <v>91</v>
      </c>
      <c r="D10" s="80" t="s">
        <v>110</v>
      </c>
    </row>
    <row r="11" spans="2:4" ht="27">
      <c r="B11" s="2">
        <v>7</v>
      </c>
      <c r="C11" s="78" t="s">
        <v>105</v>
      </c>
      <c r="D11" s="80" t="s">
        <v>109</v>
      </c>
    </row>
    <row r="12" spans="2:4" ht="27">
      <c r="B12" s="2">
        <v>8</v>
      </c>
      <c r="C12" s="78" t="s">
        <v>91</v>
      </c>
      <c r="D12" s="80" t="s">
        <v>112</v>
      </c>
    </row>
    <row r="13" spans="2:4" ht="27">
      <c r="B13" s="2">
        <v>9</v>
      </c>
      <c r="C13" s="78" t="s">
        <v>91</v>
      </c>
      <c r="D13" s="80" t="s">
        <v>113</v>
      </c>
    </row>
    <row r="14" spans="2:4" ht="27">
      <c r="B14" s="2">
        <v>10</v>
      </c>
      <c r="C14" s="78" t="s">
        <v>114</v>
      </c>
      <c r="D14" s="80" t="s">
        <v>115</v>
      </c>
    </row>
    <row r="15" spans="2:4" ht="135">
      <c r="B15" s="2">
        <v>11</v>
      </c>
      <c r="C15" s="78" t="s">
        <v>91</v>
      </c>
      <c r="D15" s="80" t="s">
        <v>128</v>
      </c>
    </row>
    <row r="16" spans="2:4" ht="191.25" customHeight="1">
      <c r="B16" s="2">
        <v>12</v>
      </c>
      <c r="C16" s="78" t="s">
        <v>157</v>
      </c>
      <c r="D16" s="80" t="s">
        <v>166</v>
      </c>
    </row>
    <row r="17" spans="2:4" ht="27">
      <c r="B17" s="2">
        <v>13</v>
      </c>
      <c r="C17" s="78" t="s">
        <v>93</v>
      </c>
      <c r="D17" s="80" t="s">
        <v>169</v>
      </c>
    </row>
    <row r="18" spans="2:4" ht="67.5">
      <c r="B18" s="2">
        <v>14</v>
      </c>
      <c r="C18" s="78" t="s">
        <v>93</v>
      </c>
      <c r="D18" s="80" t="s">
        <v>171</v>
      </c>
    </row>
    <row r="19" spans="2:4" ht="40.5">
      <c r="B19" s="2">
        <v>15</v>
      </c>
      <c r="C19" s="78" t="s">
        <v>106</v>
      </c>
      <c r="D19" s="80" t="s">
        <v>174</v>
      </c>
    </row>
    <row r="20" spans="2:4" ht="64.5" customHeight="1">
      <c r="B20" s="2">
        <v>16</v>
      </c>
      <c r="C20" s="78" t="s">
        <v>106</v>
      </c>
      <c r="D20" s="80" t="s">
        <v>178</v>
      </c>
    </row>
    <row r="21" spans="2:4" ht="66.75" customHeight="1">
      <c r="B21" s="2">
        <v>17</v>
      </c>
      <c r="C21" s="78" t="s">
        <v>105</v>
      </c>
      <c r="D21" s="80" t="s">
        <v>193</v>
      </c>
    </row>
    <row r="22" spans="2:4" ht="27">
      <c r="B22" s="2">
        <v>18</v>
      </c>
      <c r="C22" s="78" t="s">
        <v>341</v>
      </c>
      <c r="D22" s="80" t="s">
        <v>342</v>
      </c>
    </row>
    <row r="23" spans="2:4" ht="27">
      <c r="B23" s="2">
        <v>19</v>
      </c>
      <c r="C23" s="78" t="s">
        <v>341</v>
      </c>
      <c r="D23" s="80" t="s">
        <v>343</v>
      </c>
    </row>
    <row r="24" spans="2:4">
      <c r="B24" s="2"/>
      <c r="C24" s="78"/>
      <c r="D24" s="80"/>
    </row>
    <row r="25" spans="2:4">
      <c r="B25" s="2"/>
      <c r="C25" s="78"/>
      <c r="D25" s="67"/>
    </row>
    <row r="26" spans="2:4">
      <c r="B26" s="2"/>
      <c r="C26" s="78"/>
      <c r="D26" s="67"/>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TT_PD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2025-06-02T06:20:32Z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13f78830-1d7c-419a-83a7-e2852b6508b1</vt:lpwstr>
  </property>
  <property fmtid="{D5CDD505-2E9C-101B-9397-08002B2CF9AE}" pid="8" name="MSIP_Label_7ed1414a-99f2-46f9-bbe5-740af8d1b502_ContentBits">
    <vt:lpwstr>1</vt:lpwstr>
  </property>
</Properties>
</file>