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Dj\"/>
    </mc:Choice>
  </mc:AlternateContent>
  <xr:revisionPtr revIDLastSave="0" documentId="13_ncr:1_{728FBF8A-1219-4D9A-92D0-36F8211653C6}" xr6:coauthVersionLast="47" xr6:coauthVersionMax="47" xr10:uidLastSave="{00000000-0000-0000-0000-000000000000}"/>
  <bookViews>
    <workbookView xWindow="-57720" yWindow="-2250" windowWidth="29040" windowHeight="15720" tabRatio="673" xr2:uid="{00000000-000D-0000-FFFF-FFFF00000000}"/>
  </bookViews>
  <sheets>
    <sheet name="表紙（承認）" sheetId="15" r:id="rId1"/>
    <sheet name="表紙" sheetId="1" r:id="rId2"/>
    <sheet name="はじめに" sheetId="10" r:id="rId3"/>
    <sheet name="Matrix" sheetId="14" r:id="rId4"/>
    <sheet name="Config_IF" sheetId="13" r:id="rId5"/>
    <sheet name="CH_Design" sheetId="5" r:id="rId6"/>
    <sheet name="S_ADBZR_PMAR" sheetId="8" r:id="rId7"/>
    <sheet name="Reference" sheetId="12"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localSheetId="0" hidden="1">{"'2001 4 12'!$A$7:$K$90"}</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35E1E8D_859C_4113_A3E5_0B83A29207D2_.wvu.Cols" localSheetId="3" hidden="1">Matrix!$I:$N</definedName>
    <definedName name="Z_835E1E8D_859C_4113_A3E5_0B83A29207D2_.wvu.Rows" localSheetId="4" hidden="1">Config_IF!#REF!,Config_IF!$34:$34</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0" hidden="1">{"'2001 4 12'!$A$7:$K$90"}</definedName>
    <definedName name="ああ" hidden="1">{"'2001 4 12'!$A$7:$K$90"}</definedName>
    <definedName name="あああああああああああ" localSheetId="0"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5" l="1"/>
  <c r="AU11" i="8"/>
  <c r="AU10" i="8"/>
  <c r="E36" i="13" l="1"/>
  <c r="E37" i="13"/>
  <c r="E38" i="13"/>
  <c r="E39" i="13"/>
  <c r="E40" i="13"/>
  <c r="E41" i="13"/>
  <c r="E42" i="13"/>
  <c r="E43" i="13"/>
  <c r="E44" i="13"/>
  <c r="E45" i="13"/>
  <c r="E46" i="13"/>
  <c r="E47" i="13"/>
  <c r="E48" i="13"/>
  <c r="E49" i="13"/>
  <c r="E50" i="13"/>
  <c r="E51" i="13"/>
  <c r="E52" i="13"/>
  <c r="E53" i="13"/>
  <c r="E54" i="13"/>
  <c r="E55" i="13"/>
  <c r="E56" i="13"/>
  <c r="E57" i="13"/>
  <c r="E58" i="13"/>
  <c r="E59" i="13"/>
  <c r="E35"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N30" i="14"/>
  <c r="M30" i="14"/>
  <c r="I30" i="14"/>
  <c r="H30" i="14"/>
  <c r="G30" i="14"/>
  <c r="F30" i="14"/>
  <c r="M29" i="14"/>
  <c r="N29" i="14" s="1"/>
  <c r="I29" i="14"/>
  <c r="H29" i="14"/>
  <c r="G29" i="14"/>
  <c r="F29" i="14"/>
  <c r="M28" i="14"/>
  <c r="N28" i="14" s="1"/>
  <c r="I28" i="14"/>
  <c r="H28" i="14"/>
  <c r="G28" i="14"/>
  <c r="F28" i="14"/>
  <c r="N27" i="14"/>
  <c r="M27" i="14"/>
  <c r="I27" i="14"/>
  <c r="H27" i="14"/>
  <c r="G27" i="14"/>
  <c r="F27" i="14"/>
  <c r="N26" i="14"/>
  <c r="M26" i="14"/>
  <c r="I26" i="14"/>
  <c r="H26" i="14"/>
  <c r="G26" i="14"/>
  <c r="F26" i="14"/>
  <c r="M25" i="14"/>
  <c r="N25" i="14" s="1"/>
  <c r="I25" i="14"/>
  <c r="H25" i="14"/>
  <c r="G25" i="14"/>
  <c r="F25" i="14"/>
  <c r="M24" i="14"/>
  <c r="N24" i="14" s="1"/>
  <c r="I24" i="14"/>
  <c r="H24" i="14"/>
  <c r="G24" i="14"/>
  <c r="F24" i="14"/>
  <c r="N23" i="14"/>
  <c r="M23" i="14"/>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35"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L192" i="8" s="1"/>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L179" i="8" s="1"/>
  <c r="AA179" i="8"/>
  <c r="Z179" i="8"/>
  <c r="Y179" i="8"/>
  <c r="X179" i="8"/>
  <c r="W179" i="8"/>
  <c r="V179" i="8"/>
  <c r="U179" i="8"/>
  <c r="T179" i="8"/>
  <c r="AM179" i="8" s="1"/>
  <c r="S179" i="8"/>
  <c r="R179" i="8"/>
  <c r="Q179" i="8"/>
  <c r="P179" i="8"/>
  <c r="O179" i="8"/>
  <c r="N179" i="8"/>
  <c r="M179" i="8"/>
  <c r="L179" i="8"/>
  <c r="AN179" i="8" s="1"/>
  <c r="K179" i="8"/>
  <c r="J179" i="8"/>
  <c r="I179" i="8"/>
  <c r="H179" i="8"/>
  <c r="G179" i="8"/>
  <c r="F179" i="8"/>
  <c r="E179" i="8"/>
  <c r="D179" i="8"/>
  <c r="AO179" i="8" s="1"/>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AO156" i="8" s="1"/>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AM95" i="8" s="1"/>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O104" i="8" l="1"/>
  <c r="AN104" i="8"/>
  <c r="AM104" i="8"/>
  <c r="AL104" i="8"/>
  <c r="AO173" i="8"/>
  <c r="AM117" i="8"/>
  <c r="AO127" i="8"/>
  <c r="AN127" i="8"/>
  <c r="AM127" i="8"/>
  <c r="AL127" i="8"/>
  <c r="AN172" i="8"/>
  <c r="AM113" i="8"/>
  <c r="AL182" i="8"/>
  <c r="AO189" i="8"/>
  <c r="AM159" i="8"/>
  <c r="AO99" i="8"/>
  <c r="AR51" i="8"/>
  <c r="AM121" i="8"/>
  <c r="AN122" i="8"/>
  <c r="AR57" i="8"/>
  <c r="AS40" i="8"/>
  <c r="AM195" i="8"/>
  <c r="AO196" i="8"/>
  <c r="AM196" i="8"/>
  <c r="AL196" i="8"/>
  <c r="AN130" i="8"/>
  <c r="AO170" i="8"/>
  <c r="AN170" i="8"/>
  <c r="AM170" i="8"/>
  <c r="AL170" i="8"/>
  <c r="AS48" i="8"/>
  <c r="AS62" i="8"/>
  <c r="AR5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9" i="8" l="1"/>
  <c r="AQ144" i="8"/>
  <c r="AQ145" i="8"/>
  <c r="AS15" i="8" s="1"/>
  <c r="AQ85" i="8"/>
  <c r="AR20" i="8" s="1"/>
  <c r="AQ84" i="8"/>
  <c r="AQ86" i="8"/>
  <c r="AR21" i="8" s="1"/>
  <c r="AQ83" i="8"/>
  <c r="AR18" i="8" s="1"/>
  <c r="AQ79" i="8"/>
  <c r="AR15" i="8" s="1"/>
  <c r="AQ82" i="8"/>
  <c r="AR17" i="8" s="1"/>
  <c r="AS33" i="8"/>
  <c r="AR23" i="8"/>
  <c r="AR27" i="8"/>
  <c r="AS35" i="8"/>
  <c r="AR30" i="8"/>
  <c r="AR33" i="8"/>
  <c r="AS17" i="8"/>
  <c r="AS19" i="8"/>
  <c r="AS21" i="8"/>
  <c r="AR16" i="8"/>
  <c r="AQ74" i="8"/>
  <c r="AR9" i="8" s="1"/>
  <c r="AQ75" i="8"/>
  <c r="AQ142" i="8"/>
  <c r="AR29" i="8"/>
  <c r="AR31" i="8"/>
  <c r="AS18" i="8"/>
  <c r="AS22" i="8"/>
  <c r="AS34" i="8"/>
  <c r="AS36" i="8"/>
  <c r="AS23" i="8"/>
  <c r="AS32" i="8"/>
  <c r="AR25" i="8"/>
  <c r="AS20" i="8"/>
  <c r="AR36" i="8"/>
  <c r="AR24" i="8"/>
  <c r="AR34" i="8"/>
  <c r="AS24" i="8"/>
  <c r="AS16" i="8"/>
  <c r="AS26" i="8"/>
  <c r="AS31" i="8"/>
  <c r="AQ143" i="8"/>
  <c r="AR37" i="8"/>
  <c r="AR38" i="8"/>
  <c r="AS38" i="8"/>
  <c r="AS37" i="8"/>
  <c r="AS29" i="8"/>
  <c r="AS28" i="8"/>
  <c r="AQ140" i="8"/>
  <c r="AQ77" i="8"/>
  <c r="AQ141" i="8"/>
  <c r="AQ139" i="8"/>
  <c r="AS9" i="8" s="1"/>
  <c r="AQ78" i="8"/>
  <c r="AQ76" i="8"/>
  <c r="AQ73" i="8"/>
  <c r="AQ138" i="8"/>
  <c r="AS8" i="8" s="1"/>
  <c r="AQ137" i="8"/>
  <c r="AS7" i="8" s="1"/>
  <c r="AQ72" i="8"/>
  <c r="AQ71" i="8"/>
  <c r="AR6" i="8" s="1"/>
  <c r="AQ136" i="8"/>
  <c r="AS6" i="8" s="1"/>
  <c r="B136" i="8"/>
  <c r="B71" i="8"/>
  <c r="AR19" i="8" l="1"/>
  <c r="AR14" i="8"/>
  <c r="AR22" i="8"/>
  <c r="AS14" i="8"/>
  <c r="AS11" i="8"/>
  <c r="AR11" i="8"/>
  <c r="AR12" i="8"/>
  <c r="AS12" i="8"/>
  <c r="AR10" i="8"/>
  <c r="AS10" i="8"/>
  <c r="AR8" i="8"/>
  <c r="AS13" i="8"/>
  <c r="AR13" i="8"/>
  <c r="AR7" i="8"/>
  <c r="D3" i="1"/>
  <c r="D4" i="14" l="1"/>
  <c r="D6" i="14" s="1"/>
  <c r="D5" i="14"/>
  <c r="G14" i="14" l="1"/>
  <c r="E5" i="13"/>
  <c r="G5" i="13" s="1"/>
  <c r="H13" i="14"/>
  <c r="AW17" i="8"/>
  <c r="AL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R5" i="8"/>
  <c r="AT5" i="8"/>
  <c r="AS5" i="8"/>
  <c r="B13" i="1"/>
  <c r="B12" i="1"/>
  <c r="B11" i="1"/>
  <c r="B9" i="1"/>
  <c r="H5" i="1" s="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433A2693-4BC8-4989-B9DD-9450F73863D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61B8E3E-DFC1-407A-96B3-810290699A06}">
      <text>
        <r>
          <rPr>
            <b/>
            <sz val="9"/>
            <color indexed="81"/>
            <rFont val="MS P ゴシック"/>
            <family val="3"/>
            <charset val="128"/>
          </rPr>
          <t xml:space="preserve">リモート送信条件成立：IG ON 且つ PTS ONが15[s]以上
</t>
        </r>
      </text>
    </comment>
    <comment ref="E10" authorId="1" shapeId="0" xr:uid="{BE1A8F80-CC00-4908-9D7D-EF9DA84AE057}">
      <text>
        <r>
          <rPr>
            <b/>
            <sz val="9"/>
            <color indexed="81"/>
            <rFont val="MS P ゴシック"/>
            <family val="3"/>
            <charset val="128"/>
          </rPr>
          <t xml:space="preserve">IG ON 且つ ST OFF
</t>
        </r>
      </text>
    </comment>
    <comment ref="F10" authorId="1" shapeId="0" xr:uid="{519620EC-AED6-41CB-9AF0-17DC7D35112F}">
      <text>
        <r>
          <rPr>
            <b/>
            <sz val="9"/>
            <color indexed="81"/>
            <rFont val="MS P ゴシック"/>
            <family val="3"/>
            <charset val="128"/>
          </rPr>
          <t>IG ON</t>
        </r>
      </text>
    </comment>
    <comment ref="G10" authorId="1" shapeId="0" xr:uid="{CC8B7800-818F-46CB-A256-A0E261D2F94C}">
      <text>
        <r>
          <rPr>
            <b/>
            <sz val="9"/>
            <color indexed="81"/>
            <rFont val="MS P ゴシック"/>
            <family val="3"/>
            <charset val="128"/>
          </rPr>
          <t xml:space="preserve">IG OFF 且つ IG OFF後25[m]未満
</t>
        </r>
      </text>
    </comment>
    <comment ref="H10" authorId="1" shapeId="0" xr:uid="{D656DA28-854A-48D6-9F70-D74938E9B78E}">
      <text>
        <r>
          <rPr>
            <b/>
            <sz val="9"/>
            <color indexed="81"/>
            <rFont val="MS P ゴシック"/>
            <family val="3"/>
            <charset val="128"/>
          </rPr>
          <t xml:space="preserve">IG OFF
</t>
        </r>
      </text>
    </comment>
    <comment ref="I10" authorId="1" shapeId="0" xr:uid="{E5143CB0-8B84-45DD-A82E-366833A66D1D}">
      <text>
        <r>
          <rPr>
            <b/>
            <sz val="9"/>
            <color indexed="81"/>
            <rFont val="MS P ゴシック"/>
            <family val="3"/>
            <charset val="128"/>
          </rPr>
          <t xml:space="preserve">IG ON 又は IG OFF後25[m]未満
</t>
        </r>
      </text>
    </comment>
    <comment ref="J10" authorId="1" shapeId="0" xr:uid="{C78FD3A5-203F-4B00-925F-179B84B8D7E5}">
      <text>
        <r>
          <rPr>
            <b/>
            <sz val="9"/>
            <color indexed="81"/>
            <rFont val="MS P ゴシック"/>
            <family val="3"/>
            <charset val="128"/>
          </rPr>
          <t>+B ON 又は ACC ON</t>
        </r>
      </text>
    </comment>
  </commentList>
</comments>
</file>

<file path=xl/sharedStrings.xml><?xml version="1.0" encoding="utf-8"?>
<sst xmlns="http://schemas.openxmlformats.org/spreadsheetml/2006/main" count="2514" uniqueCount="265">
  <si>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</si>
  <si>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</si>
  <si>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</si>
  <si>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</si>
  <si>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</si>
  <si>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</si>
  <si>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</si>
  <si>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</si>
  <si>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</si>
  <si>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</si>
  <si>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</si>
  <si>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</si>
  <si>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</si>
  <si>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</si>
  <si>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</si>
  <si>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</si>
  <si>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</si>
  <si>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</si>
  <si>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</si>
  <si>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</si>
  <si>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</si>
  <si>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</si>
  <si>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</si>
  <si>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</si>
  <si>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</si>
  <si>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</si>
  <si>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</si>
  <si>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</si>
  <si>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</si>
  <si>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</si>
  <si>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</si>
  <si>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</si>
  <si>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</si>
  <si>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</si>
  <si>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</si>
  <si>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</si>
  <si>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</si>
  <si>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</si>
  <si>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</si>
  <si>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</si>
  <si>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</si>
  <si>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</si>
  <si>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</si>
  <si>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</si>
  <si>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</si>
  <si>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</si>
  <si>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</si>
  <si>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</si>
  <si>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</si>
  <si>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</si>
  <si>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</si>
  <si>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</si>
  <si>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</si>
  <si>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</si>
  <si>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</si>
  <si>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</si>
  <si>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</si>
  <si>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</si>
  <si>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</si>
  <si>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</si>
  <si>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</si>
  <si>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</si>
  <si>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</si>
  <si>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</si>
  <si>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</si>
  <si>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</si>
  <si>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</si>
  <si>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</si>
  <si>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</si>
  <si>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</si>
  <si>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</si>
  <si>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</si>
  <si>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</si>
  <si>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</si>
  <si>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</si>
  <si>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</si>
  <si>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</si>
  <si>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</si>
  <si>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</si>
  <si>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</si>
  <si>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</si>
  <si>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</si>
  <si>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</si>
  <si>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</si>
  <si>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</si>
  <si>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</si>
  <si>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</si>
  <si>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</si>
  <si>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</si>
  <si>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</si>
  <si>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</si>
  <si>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</si>
  <si>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</si>
  <si>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</si>
  <si>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</si>
  <si>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</si>
  <si>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</si>
  <si>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</si>
  <si>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</si>
  <si>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</si>
  <si>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</si>
  <si>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</si>
  <si>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</si>
  <si>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</si>
  <si>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</si>
  <si>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</si>
  <si>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</si>
  <si>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</si>
  <si>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</si>
  <si>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</si>
  <si>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</si>
  <si>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</si>
  <si>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</si>
  <si>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</si>
  <si>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</si>
  <si>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</si>
  <si>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</si>
  <si>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</si>
  <si>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</si>
  <si>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</si>
  <si>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</si>
  <si>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</si>
  <si>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</si>
  <si>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</si>
  <si>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</si>
  <si>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</si>
  <si>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</si>
  <si>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</si>
  <si>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</si>
  <si>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</si>
  <si>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</si>
  <si>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</si>
  <si>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</si>
  <si>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</si>
  <si>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</si>
  <si>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</si>
  <si>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</si>
  <si>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</si>
  <si>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</si>
  <si>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</si>
  <si>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</si>
  <si>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</si>
  <si>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</si>
  <si>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</si>
  <si>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</si>
  <si>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</si>
  <si>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</si>
  <si>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</si>
  <si>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</si>
  <si>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</si>
  <si>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</si>
  <si>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</si>
  <si>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</si>
  <si>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</si>
  <si>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</si>
  <si>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</si>
  <si>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</si>
  <si>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</si>
  <si>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</si>
  <si>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</si>
  <si>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</si>
  <si>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</si>
  <si>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</si>
  <si>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</si>
  <si>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</si>
  <si>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</si>
  <si>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</si>
  <si>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</si>
  <si>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</si>
  <si>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</si>
  <si>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</si>
  <si>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</si>
  <si>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</si>
  <si>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</si>
  <si>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</si>
  <si>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</si>
  <si>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</si>
  <si>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</si>
  <si>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</si>
  <si>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</si>
  <si>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</si>
  <si>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</si>
  <si>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</si>
  <si>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</si>
  <si>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</si>
  <si>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</si>
  <si>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</si>
  <si>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</si>
  <si>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</si>
  <si>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</si>
  <si>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</si>
  <si>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</si>
  <si>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</si>
  <si>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</si>
  <si>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1.0.0</t>
    <phoneticPr fontId="2"/>
  </si>
  <si>
    <t>－</t>
  </si>
  <si>
    <t>なし</t>
  </si>
  <si>
    <t>NULL</t>
  </si>
  <si>
    <t>-</t>
  </si>
  <si>
    <t>ON</t>
    <phoneticPr fontId="2"/>
  </si>
  <si>
    <t>Index</t>
  </si>
  <si>
    <t>0b</t>
    <phoneticPr fontId="2"/>
  </si>
  <si>
    <t>1b</t>
    <phoneticPr fontId="2"/>
  </si>
  <si>
    <t>*b</t>
    <phoneticPr fontId="2"/>
  </si>
  <si>
    <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</si>
  <si>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</si>
  <si>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</si>
  <si>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</si>
  <si>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CSR1S04</t>
    <phoneticPr fontId="2"/>
  </si>
  <si>
    <t>CSR1S04_STS</t>
    <phoneticPr fontId="2"/>
  </si>
  <si>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</si>
  <si>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</si>
  <si>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</si>
  <si>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</si>
  <si>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</si>
  <si>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承認欄 [DT]</t>
    <phoneticPr fontId="2"/>
  </si>
  <si>
    <t>承認者</t>
    <phoneticPr fontId="2"/>
  </si>
  <si>
    <t>DT南部志門</t>
    <rPh sb="2" eb="6">
      <t>ナンブシモン</t>
    </rPh>
    <phoneticPr fontId="2"/>
  </si>
  <si>
    <t>BC</t>
    <phoneticPr fontId="2"/>
  </si>
  <si>
    <t>ON</t>
  </si>
  <si>
    <t>WACS_BUZ_SIG</t>
    <phoneticPr fontId="2"/>
  </si>
  <si>
    <t>CAN</t>
    <phoneticPr fontId="2"/>
  </si>
  <si>
    <t>IG-ON</t>
  </si>
  <si>
    <t>ALERT_VOM_IGN_ON</t>
    <phoneticPr fontId="2"/>
  </si>
  <si>
    <t>通常(00b)/
未受信(01b)/
通信途絶(10b)/
未受信通信途絶(11b)</t>
  </si>
  <si>
    <t>00b</t>
  </si>
  <si>
    <t>IG-ON + 未受信 + *</t>
  </si>
  <si>
    <t>01b</t>
  </si>
  <si>
    <t>**b</t>
  </si>
  <si>
    <t>IG-ON + 通信途絶 + *</t>
  </si>
  <si>
    <t>10b</t>
  </si>
  <si>
    <t>IG-ON + 未受信通信途絶 + *</t>
  </si>
  <si>
    <t>11b</t>
  </si>
  <si>
    <t>IG-OFF + * + *</t>
  </si>
  <si>
    <t>UNKNOWN/
ON</t>
    <phoneticPr fontId="2"/>
  </si>
  <si>
    <t>REQ02</t>
    <phoneticPr fontId="2"/>
  </si>
  <si>
    <t>-/
REQ02</t>
    <phoneticPr fontId="2"/>
  </si>
  <si>
    <t>正常(0b)/
断続(1b)</t>
    <rPh sb="0" eb="2">
      <t>セイジョウ</t>
    </rPh>
    <phoneticPr fontId="2"/>
  </si>
  <si>
    <t>IG-ON + 通常 + 正常</t>
    <phoneticPr fontId="2"/>
  </si>
  <si>
    <t>IG-ON + 通常 + 断続</t>
    <phoneticPr fontId="2"/>
  </si>
  <si>
    <t xml:space="preserve">    {</t>
    <phoneticPr fontId="2"/>
  </si>
  <si>
    <t xml:space="preserve">    }</t>
    <phoneticPr fontId="2"/>
  </si>
  <si>
    <t>KSE八木春樹</t>
    <rPh sb="3" eb="7">
      <t>ヤギハルキ</t>
    </rPh>
    <phoneticPr fontId="2"/>
  </si>
  <si>
    <t>1.1.0</t>
    <phoneticPr fontId="2"/>
  </si>
  <si>
    <t>BEV シス検#2(流用元：alert_S_PMAR-CSTD-A0-01-A-C0.c)
[Matrix]シート
CH削除
[CH_Design]シート
CH削除に伴い、REQ・機能判定等削除
[PD_WACSP]シート
CH削除に伴い、シート削除
[PD_DISP]シート
CH削除に伴い、シート削除
[Reference]シート
CH削除に伴い、真理値表の修正</t>
    <rPh sb="6" eb="7">
      <t>ケン</t>
    </rPh>
    <rPh sb="54" eb="56">
      <t>ツイカ</t>
    </rPh>
    <rPh sb="60" eb="62">
      <t>サクジョ</t>
    </rPh>
    <rPh sb="90" eb="95">
      <t>キノウハンテイトウ</t>
    </rPh>
    <rPh sb="95" eb="97">
      <t>サクジョ</t>
    </rPh>
    <rPh sb="114" eb="118">
      <t>シンリチヒョウ</t>
    </rPh>
    <rPh sb="118" eb="120">
      <t>ツイカ</t>
    </rPh>
    <rPh sb="123" eb="125">
      <t>サクジョ</t>
    </rPh>
    <rPh sb="153" eb="154">
      <t>トモナ</t>
    </rPh>
    <phoneticPr fontId="2"/>
  </si>
  <si>
    <t>MET-S_ADBZR-CSTD-0-06-A-C0.xlsx</t>
    <phoneticPr fontId="2"/>
  </si>
  <si>
    <t>https://svn.geniie.net/bevs3/bevs3cdc/仕様書/MET/#1/tags/00.Product/v1.19/制御仕様/</t>
    <phoneticPr fontId="2"/>
  </si>
  <si>
    <t>(株)デンソー</t>
    <phoneticPr fontId="2"/>
  </si>
  <si>
    <t>承認</t>
  </si>
  <si>
    <t>検討</t>
  </si>
  <si>
    <t>作成</t>
  </si>
  <si>
    <t>&lt;DN確認印&gt;</t>
  </si>
  <si>
    <t>&lt;DN検討印&gt;</t>
  </si>
  <si>
    <t>デンソーテクノ(株)</t>
    <phoneticPr fontId="2"/>
  </si>
  <si>
    <t>&lt;DT確認印&gt;</t>
  </si>
  <si>
    <t>&lt;DT検討印&gt;</t>
  </si>
  <si>
    <t>DENSO TECHNO PHIL. INC</t>
    <phoneticPr fontId="2"/>
  </si>
  <si>
    <t>1.1.1</t>
    <phoneticPr fontId="2"/>
  </si>
  <si>
    <t>DTPH Dj</t>
    <phoneticPr fontId="2"/>
  </si>
  <si>
    <t>ALERT_CH_S_ADBZR_PMAR</t>
  </si>
  <si>
    <t>S_ADBZR-CSTD-0-BZR01-REQ035-</t>
    <phoneticPr fontId="2"/>
  </si>
  <si>
    <t>5.6.0</t>
    <phoneticPr fontId="2"/>
  </si>
  <si>
    <t>BEV_MCU_シス検ADAS向け (流用元：alert_S_PMAR-CSTD-A0-01-A-C0.xlsx)
機能名の変更対応：S_PMAR → S_ADBZR_PMAR
影響シート:
Matrixシート
CH_Designシート
S_ADBZR_PMARシート
Referenceシート</t>
    <phoneticPr fontId="2"/>
  </si>
  <si>
    <t>ALERT_CH_S_ADBZR_PMAR</t>
    <phoneticPr fontId="2"/>
  </si>
  <si>
    <t>ALERT_CH_S_ADBZR_PMAR判定</t>
    <rPh sb="21" eb="23">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</si>
</sst>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
      <patternFill patternType="solid">
        <fgColor rgb="FFFFFFFF"/>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2" borderId="13" xfId="0" applyFill="1" applyBorder="1" applyProtection="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0" borderId="14" xfId="0" applyBorder="1">
      <alignment vertical="center"/>
    </xf>
    <xf numFmtId="0" fontId="15" fillId="7" borderId="61" xfId="0" applyFont="1" applyFill="1" applyBorder="1" applyAlignment="1">
      <alignment vertical="center"/>
    </xf>
    <xf numFmtId="0" fontId="18" fillId="20" borderId="2" xfId="0" applyFont="1" applyFill="1" applyBorder="1">
      <alignment vertical="center"/>
    </xf>
    <xf numFmtId="0" fontId="18" fillId="15" borderId="16" xfId="0" applyFont="1" applyFill="1" applyBorder="1">
      <alignment vertical="center"/>
    </xf>
    <xf numFmtId="0" fontId="18" fillId="15" borderId="14" xfId="0" applyFont="1" applyFill="1" applyBorder="1" applyAlignment="1">
      <alignment horizontal="center" vertical="center"/>
    </xf>
    <xf numFmtId="0" fontId="18" fillId="15" borderId="2" xfId="0" applyFont="1" applyFill="1" applyBorder="1" applyAlignment="1">
      <alignment horizontal="center" vertical="center"/>
    </xf>
    <xf numFmtId="0" fontId="18" fillId="15" borderId="9" xfId="0" applyFont="1" applyFill="1" applyBorder="1" applyAlignment="1">
      <alignment horizontal="center" vertical="center"/>
    </xf>
    <xf numFmtId="0" fontId="19" fillId="0" borderId="0" xfId="0" applyFont="1">
      <alignment vertical="center"/>
    </xf>
    <xf numFmtId="0" fontId="0" fillId="0" borderId="14" xfId="0" applyBorder="1" applyAlignment="1">
      <alignment vertical="center" wrapText="1"/>
    </xf>
    <xf numFmtId="0" fontId="0" fillId="12" borderId="76" xfId="0" applyFill="1" applyBorder="1">
      <alignment vertical="center"/>
    </xf>
    <xf numFmtId="0" fontId="0" fillId="0" borderId="2" xfId="0" applyBorder="1" applyAlignment="1">
      <alignment horizontal="center"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0" fontId="0" fillId="22" borderId="30" xfId="0" applyFill="1" applyBorder="1" applyAlignment="1">
      <alignment vertical="center" textRotation="90"/>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quotePrefix="1" applyBorder="1">
      <alignment vertical="center"/>
    </xf>
    <xf numFmtId="0" fontId="0" fillId="15" borderId="7" xfId="0" applyFill="1" applyBorder="1" applyAlignment="1">
      <alignment vertical="center" wrapText="1"/>
    </xf>
    <xf numFmtId="0" fontId="0" fillId="0" borderId="27" xfId="0" applyBorder="1">
      <alignment vertical="center"/>
    </xf>
    <xf numFmtId="0" fontId="0" fillId="18" borderId="30" xfId="0" applyFill="1" applyBorder="1" applyAlignment="1">
      <alignment vertical="center" textRotation="90"/>
    </xf>
    <xf numFmtId="0" fontId="0" fillId="0" borderId="77" xfId="0" applyBorder="1" applyAlignment="1">
      <alignment vertical="center" wrapText="1"/>
    </xf>
    <xf numFmtId="0" fontId="0" fillId="0" borderId="28" xfId="0" applyBorder="1" applyAlignment="1">
      <alignment horizontal="center" vertical="center"/>
    </xf>
    <xf numFmtId="0" fontId="0" fillId="0" borderId="27" xfId="0" applyBorder="1" applyAlignment="1">
      <alignment horizontal="center" vertical="center"/>
    </xf>
    <xf numFmtId="0" fontId="0" fillId="24" borderId="2" xfId="0" applyFill="1" applyBorder="1">
      <alignment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24" borderId="9" xfId="0" applyFill="1" applyBorder="1">
      <alignment vertical="center"/>
    </xf>
    <xf numFmtId="0" fontId="0" fillId="0" borderId="30" xfId="0" applyBorder="1">
      <alignment vertical="center"/>
    </xf>
    <xf numFmtId="0" fontId="0" fillId="14" borderId="30" xfId="0" applyFill="1" applyBorder="1">
      <alignment vertical="center"/>
    </xf>
    <xf numFmtId="0" fontId="0" fillId="0" borderId="31" xfId="0" quotePrefix="1" applyBorder="1" applyAlignment="1">
      <alignment vertical="center" wrapText="1"/>
    </xf>
    <xf numFmtId="0" fontId="0" fillId="0" borderId="25" xfId="0" applyBorder="1" applyAlignment="1">
      <alignment horizontal="center" vertical="center"/>
    </xf>
    <xf numFmtId="0" fontId="15" fillId="0" borderId="25" xfId="0" applyFont="1" applyBorder="1" applyAlignment="1">
      <alignment horizontal="center" vertical="center"/>
    </xf>
    <xf numFmtId="0" fontId="20" fillId="25" borderId="63" xfId="2" applyFill="1" applyBorder="1">
      <alignment vertical="center"/>
    </xf>
    <xf numFmtId="0" fontId="20" fillId="25" borderId="65" xfId="2" applyFill="1" applyBorder="1">
      <alignment vertical="center"/>
    </xf>
    <xf numFmtId="0" fontId="20" fillId="25" borderId="64" xfId="2" applyFill="1" applyBorder="1">
      <alignment vertical="center"/>
    </xf>
    <xf numFmtId="0" fontId="20" fillId="0" borderId="0" xfId="2">
      <alignment vertical="center"/>
    </xf>
    <xf numFmtId="0" fontId="20" fillId="25" borderId="78" xfId="2" applyFill="1" applyBorder="1">
      <alignment vertical="center"/>
    </xf>
    <xf numFmtId="0" fontId="20" fillId="25" borderId="0" xfId="2" applyFill="1">
      <alignment vertical="center"/>
    </xf>
    <xf numFmtId="0" fontId="20" fillId="25" borderId="79" xfId="2" applyFill="1" applyBorder="1">
      <alignment vertical="center"/>
    </xf>
    <xf numFmtId="0" fontId="9" fillId="25" borderId="0" xfId="2" applyFont="1" applyFill="1">
      <alignment vertical="center"/>
    </xf>
    <xf numFmtId="0" fontId="20" fillId="25" borderId="80" xfId="2" applyFill="1" applyBorder="1">
      <alignment vertical="center"/>
    </xf>
    <xf numFmtId="0" fontId="20" fillId="25" borderId="81" xfId="2" applyFill="1" applyBorder="1">
      <alignment vertical="center"/>
    </xf>
    <xf numFmtId="0" fontId="22" fillId="25" borderId="0" xfId="2" applyFont="1" applyFill="1" applyAlignment="1">
      <alignment horizontal="center" vertical="center"/>
    </xf>
    <xf numFmtId="0" fontId="20" fillId="25" borderId="28" xfId="2" applyFill="1" applyBorder="1">
      <alignment vertical="center"/>
    </xf>
    <xf numFmtId="0" fontId="20" fillId="25" borderId="11" xfId="2" applyFill="1" applyBorder="1">
      <alignment vertical="center"/>
    </xf>
    <xf numFmtId="0" fontId="20" fillId="25" borderId="25" xfId="2" applyFill="1" applyBorder="1">
      <alignment vertical="center"/>
    </xf>
    <xf numFmtId="0" fontId="20" fillId="25" borderId="82" xfId="2" applyFill="1" applyBorder="1">
      <alignment vertical="center"/>
    </xf>
    <xf numFmtId="0" fontId="10" fillId="0" borderId="6" xfId="0" applyFont="1" applyBorder="1">
      <alignment vertical="center"/>
    </xf>
    <xf numFmtId="0" fontId="10" fillId="0" borderId="2" xfId="0" applyFont="1" applyBorder="1">
      <alignment vertical="center"/>
    </xf>
    <xf numFmtId="14" fontId="10" fillId="0" borderId="7" xfId="0" applyNumberFormat="1" applyFont="1" applyBorder="1">
      <alignment vertical="center"/>
    </xf>
    <xf numFmtId="0" fontId="17" fillId="0" borderId="2" xfId="0" applyFont="1" applyBorder="1" applyAlignment="1">
      <alignment vertical="center" wrapText="1"/>
    </xf>
    <xf numFmtId="0" fontId="10" fillId="0" borderId="32" xfId="0" applyFont="1" applyBorder="1">
      <alignment vertical="center"/>
    </xf>
    <xf numFmtId="0" fontId="20" fillId="25" borderId="27" xfId="2" applyFill="1" applyBorder="1" applyAlignment="1">
      <alignment horizontal="center" vertical="center"/>
    </xf>
    <xf numFmtId="0" fontId="20" fillId="25" borderId="12" xfId="2" applyFill="1" applyBorder="1" applyAlignment="1">
      <alignment horizontal="center" vertical="center"/>
    </xf>
    <xf numFmtId="0" fontId="20" fillId="25" borderId="30" xfId="2" applyFill="1" applyBorder="1" applyAlignment="1">
      <alignment horizontal="center" vertical="center"/>
    </xf>
    <xf numFmtId="0" fontId="21" fillId="25" borderId="78" xfId="2" applyFont="1" applyFill="1" applyBorder="1" applyAlignment="1">
      <alignment horizontal="center" vertical="center"/>
    </xf>
    <xf numFmtId="0" fontId="20" fillId="25" borderId="0" xfId="2" applyFill="1" applyAlignment="1">
      <alignment horizontal="center" vertical="center"/>
    </xf>
    <xf numFmtId="0" fontId="20" fillId="25" borderId="79" xfId="2" applyFill="1" applyBorder="1" applyAlignment="1">
      <alignment horizontal="center" vertical="center"/>
    </xf>
    <xf numFmtId="0" fontId="20" fillId="25" borderId="63"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5" xfId="2" xr:uid="{7154F3C9-F137-45E5-BDB2-98F847789BE7}"/>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34</xdr:col>
      <xdr:colOff>9525</xdr:colOff>
      <xdr:row>35</xdr:row>
      <xdr:rowOff>19050</xdr:rowOff>
    </xdr:from>
    <xdr:to>
      <xdr:col>38</xdr:col>
      <xdr:colOff>151986</xdr:colOff>
      <xdr:row>39</xdr:row>
      <xdr:rowOff>161511</xdr:rowOff>
    </xdr:to>
    <xdr:cxnSp macro="">
      <xdr:nvCxnSpPr>
        <xdr:cNvPr id="3" name="直線コネクタ 2">
          <a:extLst>
            <a:ext uri="{FF2B5EF4-FFF2-40B4-BE49-F238E27FC236}">
              <a16:creationId xmlns:a16="http://schemas.microsoft.com/office/drawing/2014/main" id="{18D9AE9B-15F0-4EBF-BCD9-EB971DE0B7ED}"/>
            </a:ext>
          </a:extLst>
        </xdr:cNvPr>
        <xdr:cNvCxnSpPr/>
      </xdr:nvCxnSpPr>
      <xdr:spPr>
        <a:xfrm flipH="1">
          <a:off x="5838825" y="6400800"/>
          <a:ext cx="828261" cy="82826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15240</xdr:colOff>
      <xdr:row>43</xdr:row>
      <xdr:rowOff>38100</xdr:rowOff>
    </xdr:from>
    <xdr:to>
      <xdr:col>36</xdr:col>
      <xdr:colOff>76200</xdr:colOff>
      <xdr:row>46</xdr:row>
      <xdr:rowOff>95250</xdr:rowOff>
    </xdr:to>
    <xdr:pic>
      <xdr:nvPicPr>
        <xdr:cNvPr id="4" name="図 3">
          <a:extLst>
            <a:ext uri="{FF2B5EF4-FFF2-40B4-BE49-F238E27FC236}">
              <a16:creationId xmlns:a16="http://schemas.microsoft.com/office/drawing/2014/main" id="{A0B26836-6918-CB09-0492-386975978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4440" y="7791450"/>
          <a:ext cx="51816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83820</xdr:colOff>
          <xdr:row>44</xdr:row>
          <xdr:rowOff>167640</xdr:rowOff>
        </xdr:from>
        <xdr:to>
          <xdr:col>39</xdr:col>
          <xdr:colOff>34290</xdr:colOff>
          <xdr:row>48</xdr:row>
          <xdr:rowOff>36195</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D0608C53-D2B3-582E-6069-F5318E01F6F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27</xdr:row>
      <xdr:rowOff>1</xdr:rowOff>
    </xdr:from>
    <xdr:to>
      <xdr:col>42</xdr:col>
      <xdr:colOff>381000</xdr:colOff>
      <xdr:row>44</xdr:row>
      <xdr:rowOff>155023</xdr:rowOff>
    </xdr:to>
    <xdr:pic>
      <xdr:nvPicPr>
        <xdr:cNvPr id="5" name="図 4">
          <a:extLst>
            <a:ext uri="{FF2B5EF4-FFF2-40B4-BE49-F238E27FC236}">
              <a16:creationId xmlns:a16="http://schemas.microsoft.com/office/drawing/2014/main" id="{381FBD6F-B69F-3061-0B1E-5B71D9D5B9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11500" y="5957456"/>
          <a:ext cx="13716000" cy="3099112"/>
        </a:xfrm>
        <a:prstGeom prst="rect">
          <a:avLst/>
        </a:prstGeom>
        <a:solidFill>
          <a:schemeClr val="bg1"/>
        </a:solidFill>
      </xdr:spPr>
    </xdr:pic>
    <xdr:clientData/>
  </xdr:twoCellAnchor>
  <xdr:twoCellAnchor editAs="oneCell">
    <xdr:from>
      <xdr:col>20</xdr:col>
      <xdr:colOff>0</xdr:colOff>
      <xdr:row>1</xdr:row>
      <xdr:rowOff>0</xdr:rowOff>
    </xdr:from>
    <xdr:to>
      <xdr:col>36</xdr:col>
      <xdr:colOff>155863</xdr:colOff>
      <xdr:row>25</xdr:row>
      <xdr:rowOff>149714</xdr:rowOff>
    </xdr:to>
    <xdr:pic>
      <xdr:nvPicPr>
        <xdr:cNvPr id="3" name="図 2">
          <a:extLst>
            <a:ext uri="{FF2B5EF4-FFF2-40B4-BE49-F238E27FC236}">
              <a16:creationId xmlns:a16="http://schemas.microsoft.com/office/drawing/2014/main" id="{5CEDE3B1-CBE8-FBAF-1342-1DA5606787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11500" y="173182"/>
          <a:ext cx="9854045" cy="5587623"/>
        </a:xfrm>
        <a:prstGeom prst="rect">
          <a:avLst/>
        </a:prstGeom>
        <a:solidFill>
          <a:schemeClr val="bg1"/>
        </a:solidFill>
      </xdr:spPr>
    </xdr:pic>
    <xdr:clientData/>
  </xdr:twoCellAnchor>
  <xdr:twoCellAnchor>
    <xdr:from>
      <xdr:col>7</xdr:col>
      <xdr:colOff>185814</xdr:colOff>
      <xdr:row>22</xdr:row>
      <xdr:rowOff>4074</xdr:rowOff>
    </xdr:from>
    <xdr:to>
      <xdr:col>11</xdr:col>
      <xdr:colOff>705300</xdr:colOff>
      <xdr:row>24</xdr:row>
      <xdr:rowOff>31564</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5460283" y="6504887"/>
          <a:ext cx="3043611" cy="360865"/>
        </a:xfrm>
        <a:prstGeom prst="borderCallout1">
          <a:avLst>
            <a:gd name="adj1" fmla="val 47144"/>
            <a:gd name="adj2" fmla="val -921"/>
            <a:gd name="adj3" fmla="val -303053"/>
            <a:gd name="adj4" fmla="val -18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18351</xdr:colOff>
      <xdr:row>11</xdr:row>
      <xdr:rowOff>135346</xdr:rowOff>
    </xdr:from>
    <xdr:to>
      <xdr:col>36</xdr:col>
      <xdr:colOff>17303</xdr:colOff>
      <xdr:row>13</xdr:row>
      <xdr:rowOff>43962</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15822524" y="3300577"/>
          <a:ext cx="9729106" cy="2456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244930</xdr:colOff>
      <xdr:row>9</xdr:row>
      <xdr:rowOff>382121</xdr:rowOff>
    </xdr:from>
    <xdr:to>
      <xdr:col>41</xdr:col>
      <xdr:colOff>568120</xdr:colOff>
      <xdr:row>13</xdr:row>
      <xdr:rowOff>44824</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8808724" y="2757768"/>
          <a:ext cx="3740984" cy="872938"/>
        </a:xfrm>
        <a:prstGeom prst="borderCallout1">
          <a:avLst>
            <a:gd name="adj1" fmla="val 41573"/>
            <a:gd name="adj2" fmla="val -911"/>
            <a:gd name="adj3" fmla="val 51326"/>
            <a:gd name="adj4" fmla="val -6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でリモートワーニングの処理は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で管理しないので、対象外</a:t>
          </a:r>
        </a:p>
      </xdr:txBody>
    </xdr:sp>
    <xdr:clientData/>
  </xdr:twoCellAnchor>
  <xdr:twoCellAnchor editAs="absolute">
    <xdr:from>
      <xdr:col>31</xdr:col>
      <xdr:colOff>407205</xdr:colOff>
      <xdr:row>33</xdr:row>
      <xdr:rowOff>27071</xdr:rowOff>
    </xdr:from>
    <xdr:to>
      <xdr:col>33</xdr:col>
      <xdr:colOff>276225</xdr:colOff>
      <xdr:row>45</xdr:row>
      <xdr:rowOff>0</xdr:rowOff>
    </xdr:to>
    <xdr:sp macro="" textlink="">
      <xdr:nvSpPr>
        <xdr:cNvPr id="19" name="正方形/長方形 18">
          <a:extLst>
            <a:ext uri="{FF2B5EF4-FFF2-40B4-BE49-F238E27FC236}">
              <a16:creationId xmlns:a16="http://schemas.microsoft.com/office/drawing/2014/main" id="{F7691A11-CAAF-46B7-A57E-5628AAFF765E}"/>
            </a:ext>
          </a:extLst>
        </xdr:cNvPr>
        <xdr:cNvSpPr/>
      </xdr:nvSpPr>
      <xdr:spPr>
        <a:xfrm>
          <a:off x="22933830" y="6980321"/>
          <a:ext cx="1088220" cy="20303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47</xdr:row>
      <xdr:rowOff>0</xdr:rowOff>
    </xdr:from>
    <xdr:to>
      <xdr:col>43</xdr:col>
      <xdr:colOff>51955</xdr:colOff>
      <xdr:row>52</xdr:row>
      <xdr:rowOff>122820</xdr:rowOff>
    </xdr:to>
    <xdr:pic>
      <xdr:nvPicPr>
        <xdr:cNvPr id="6" name="図 5">
          <a:extLst>
            <a:ext uri="{FF2B5EF4-FFF2-40B4-BE49-F238E27FC236}">
              <a16:creationId xmlns:a16="http://schemas.microsoft.com/office/drawing/2014/main" id="{053C2E77-15EF-0936-475B-DB909D5F94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11500" y="9421091"/>
          <a:ext cx="13993091" cy="988729"/>
        </a:xfrm>
        <a:prstGeom prst="rect">
          <a:avLst/>
        </a:prstGeom>
        <a:solidFill>
          <a:schemeClr val="bg1"/>
        </a:solidFill>
      </xdr:spPr>
    </xdr:pic>
    <xdr:clientData/>
  </xdr:twoCellAnchor>
  <xdr:twoCellAnchor editAs="absolute">
    <xdr:from>
      <xdr:col>33</xdr:col>
      <xdr:colOff>599610</xdr:colOff>
      <xdr:row>48</xdr:row>
      <xdr:rowOff>17547</xdr:rowOff>
    </xdr:from>
    <xdr:to>
      <xdr:col>40</xdr:col>
      <xdr:colOff>240030</xdr:colOff>
      <xdr:row>53</xdr:row>
      <xdr:rowOff>1</xdr:rowOff>
    </xdr:to>
    <xdr:sp macro="" textlink="">
      <xdr:nvSpPr>
        <xdr:cNvPr id="7" name="正方形/長方形 6">
          <a:extLst>
            <a:ext uri="{FF2B5EF4-FFF2-40B4-BE49-F238E27FC236}">
              <a16:creationId xmlns:a16="http://schemas.microsoft.com/office/drawing/2014/main" id="{464622F7-9428-4394-8C83-2EBD468C4406}"/>
            </a:ext>
          </a:extLst>
        </xdr:cNvPr>
        <xdr:cNvSpPr/>
      </xdr:nvSpPr>
      <xdr:spPr>
        <a:xfrm>
          <a:off x="24345435" y="9542547"/>
          <a:ext cx="3907620" cy="8397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10035B22030582\dn-cdc-mcu-AA_BEVS3_CDC_MCU_020_&#21066;&#38500;&#23550;&#24540;\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DF56-925B-4F73-ADC3-00BC0F2FCF20}">
  <dimension ref="A1:AN49"/>
  <sheetViews>
    <sheetView tabSelected="1" view="pageBreakPreview" zoomScaleNormal="100" zoomScaleSheetLayoutView="100" workbookViewId="0"/>
  </sheetViews>
  <sheetFormatPr defaultColWidth="9" defaultRowHeight="13.2"/>
  <cols>
    <col min="1" max="40" width="2.21875" style="228" customWidth="1"/>
    <col min="41" max="16384" width="9" style="228"/>
  </cols>
  <sheetData>
    <row r="1" spans="1:40" ht="13.5" customHeight="1">
      <c r="A1" s="225"/>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7"/>
    </row>
    <row r="2" spans="1:40" ht="13.5" customHeight="1">
      <c r="A2" s="229"/>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1"/>
    </row>
    <row r="3" spans="1:40" ht="13.5" customHeight="1">
      <c r="A3" s="229"/>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G3" s="230"/>
      <c r="AH3" s="230"/>
      <c r="AI3" s="230"/>
      <c r="AJ3" s="230"/>
      <c r="AK3" s="230"/>
      <c r="AL3" s="230"/>
      <c r="AM3" s="230"/>
      <c r="AN3" s="231"/>
    </row>
    <row r="4" spans="1:40" ht="13.5" customHeight="1">
      <c r="A4" s="229"/>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1"/>
    </row>
    <row r="5" spans="1:40" ht="13.5" customHeight="1">
      <c r="A5" s="229"/>
      <c r="B5" s="230"/>
      <c r="C5" s="230"/>
      <c r="D5" s="230"/>
      <c r="E5" s="230"/>
      <c r="F5" s="230"/>
      <c r="G5" s="230"/>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0"/>
      <c r="AN5" s="231"/>
    </row>
    <row r="6" spans="1:40" ht="13.5" customHeight="1">
      <c r="A6" s="229"/>
      <c r="B6" s="230"/>
      <c r="C6" s="230"/>
      <c r="D6" s="230"/>
      <c r="E6" s="230"/>
      <c r="F6" s="230"/>
      <c r="G6" s="230"/>
      <c r="H6" s="230"/>
      <c r="I6" s="230"/>
      <c r="J6" s="230"/>
      <c r="K6" s="230"/>
      <c r="L6" s="230"/>
      <c r="M6" s="230"/>
      <c r="N6" s="230"/>
      <c r="O6" s="230"/>
      <c r="P6" s="230"/>
      <c r="Q6" s="230"/>
      <c r="R6" s="230"/>
      <c r="S6" s="230"/>
      <c r="T6" s="230"/>
      <c r="U6" s="230"/>
      <c r="V6" s="230"/>
      <c r="W6" s="230"/>
      <c r="X6" s="230"/>
      <c r="Y6" s="230"/>
      <c r="Z6" s="230"/>
      <c r="AA6" s="230"/>
      <c r="AB6" s="230"/>
      <c r="AC6" s="230"/>
      <c r="AD6" s="230"/>
      <c r="AE6" s="230"/>
      <c r="AF6" s="230"/>
      <c r="AG6" s="230"/>
      <c r="AH6" s="230"/>
      <c r="AI6" s="230"/>
      <c r="AJ6" s="230"/>
      <c r="AK6" s="230"/>
      <c r="AL6" s="230"/>
      <c r="AM6" s="230"/>
      <c r="AN6" s="231"/>
    </row>
    <row r="7" spans="1:40" ht="13.5" customHeight="1">
      <c r="A7" s="229"/>
      <c r="B7" s="230"/>
      <c r="C7" s="230"/>
      <c r="D7" s="230"/>
      <c r="E7" s="230"/>
      <c r="F7" s="230"/>
      <c r="G7" s="230"/>
      <c r="H7" s="230"/>
      <c r="I7" s="230"/>
      <c r="J7" s="230"/>
      <c r="K7" s="230"/>
      <c r="L7" s="230"/>
      <c r="M7" s="230"/>
      <c r="N7" s="230"/>
      <c r="O7" s="230"/>
      <c r="P7" s="230"/>
      <c r="Q7" s="230"/>
      <c r="R7" s="230"/>
      <c r="S7" s="230"/>
      <c r="T7" s="230"/>
      <c r="U7" s="230"/>
      <c r="V7" s="230"/>
      <c r="W7" s="230"/>
      <c r="X7" s="230"/>
      <c r="Y7" s="230"/>
      <c r="Z7" s="230"/>
      <c r="AA7" s="230"/>
      <c r="AB7" s="230"/>
      <c r="AC7" s="230"/>
      <c r="AD7" s="230"/>
      <c r="AE7" s="230"/>
      <c r="AF7" s="230"/>
      <c r="AG7" s="230"/>
      <c r="AH7" s="230"/>
      <c r="AI7" s="230"/>
      <c r="AJ7" s="230"/>
      <c r="AK7" s="230"/>
      <c r="AL7" s="230"/>
      <c r="AM7" s="230"/>
      <c r="AN7" s="231"/>
    </row>
    <row r="8" spans="1:40" ht="13.5" customHeight="1">
      <c r="A8" s="229"/>
      <c r="B8" s="230"/>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0"/>
      <c r="AH8" s="230"/>
      <c r="AI8" s="230"/>
      <c r="AJ8" s="230"/>
      <c r="AK8" s="230"/>
      <c r="AL8" s="230"/>
      <c r="AM8" s="230"/>
      <c r="AN8" s="231"/>
    </row>
    <row r="9" spans="1:40" ht="28.5" customHeight="1">
      <c r="A9" s="248" t="str">
        <f ca="1">MID(CELL("filename",A1), FIND("[",CELL("filename",A1))+1, FIND("]",CELL("filename",A1))-FIND("[",CELL("filename",A1))-6)</f>
        <v>alert_S_ADBZR_PMAR-CSTD-0-06-A-C0</v>
      </c>
      <c r="B9" s="249"/>
      <c r="C9" s="249"/>
      <c r="D9" s="249"/>
      <c r="E9" s="249"/>
      <c r="F9" s="249"/>
      <c r="G9" s="249"/>
      <c r="H9" s="249"/>
      <c r="I9" s="249"/>
      <c r="J9" s="249"/>
      <c r="K9" s="249"/>
      <c r="L9" s="249"/>
      <c r="M9" s="249"/>
      <c r="N9" s="249"/>
      <c r="O9" s="249"/>
      <c r="P9" s="249"/>
      <c r="Q9" s="249"/>
      <c r="R9" s="249"/>
      <c r="S9" s="249"/>
      <c r="T9" s="249"/>
      <c r="U9" s="249"/>
      <c r="V9" s="249"/>
      <c r="W9" s="249"/>
      <c r="X9" s="249"/>
      <c r="Y9" s="249"/>
      <c r="Z9" s="249"/>
      <c r="AA9" s="249"/>
      <c r="AB9" s="249"/>
      <c r="AC9" s="249"/>
      <c r="AD9" s="249"/>
      <c r="AE9" s="249"/>
      <c r="AF9" s="249"/>
      <c r="AG9" s="249"/>
      <c r="AH9" s="249"/>
      <c r="AI9" s="249"/>
      <c r="AJ9" s="249"/>
      <c r="AK9" s="249"/>
      <c r="AL9" s="249"/>
      <c r="AM9" s="249"/>
      <c r="AN9" s="250"/>
    </row>
    <row r="10" spans="1:40" ht="28.5" customHeight="1">
      <c r="A10" s="248"/>
      <c r="B10" s="249"/>
      <c r="C10" s="249"/>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50"/>
    </row>
    <row r="11" spans="1:40" ht="13.5" customHeight="1">
      <c r="A11" s="229"/>
      <c r="B11" s="230"/>
      <c r="C11" s="230"/>
      <c r="D11" s="230"/>
      <c r="E11" s="230"/>
      <c r="F11" s="230"/>
      <c r="G11" s="230"/>
      <c r="H11" s="230"/>
      <c r="I11" s="230"/>
      <c r="J11" s="230"/>
      <c r="K11" s="230"/>
      <c r="L11" s="230"/>
      <c r="M11" s="230"/>
      <c r="N11" s="230"/>
      <c r="O11" s="230"/>
      <c r="P11" s="230"/>
      <c r="Q11" s="230"/>
      <c r="R11" s="230"/>
      <c r="S11" s="230"/>
      <c r="T11" s="230"/>
      <c r="U11" s="230"/>
      <c r="V11" s="230"/>
      <c r="W11" s="230"/>
      <c r="X11" s="230"/>
      <c r="Y11" s="230"/>
      <c r="Z11" s="230"/>
      <c r="AA11" s="230"/>
      <c r="AB11" s="230"/>
      <c r="AC11" s="230"/>
      <c r="AD11" s="230"/>
      <c r="AE11" s="230"/>
      <c r="AF11" s="230"/>
      <c r="AG11" s="230"/>
      <c r="AH11" s="230"/>
      <c r="AI11" s="230"/>
      <c r="AJ11" s="230"/>
      <c r="AK11" s="230"/>
      <c r="AL11" s="230"/>
      <c r="AM11" s="230"/>
      <c r="AN11" s="231"/>
    </row>
    <row r="12" spans="1:40" ht="13.5" customHeight="1">
      <c r="A12" s="229"/>
      <c r="B12" s="230"/>
      <c r="C12" s="230"/>
      <c r="D12" s="230"/>
      <c r="E12" s="230"/>
      <c r="F12" s="230"/>
      <c r="G12" s="230"/>
      <c r="H12" s="230"/>
      <c r="I12" s="230"/>
      <c r="J12" s="230"/>
      <c r="K12" s="230"/>
      <c r="L12" s="230"/>
      <c r="M12" s="230"/>
      <c r="N12" s="230"/>
      <c r="O12" s="230"/>
      <c r="P12" s="230"/>
      <c r="Q12" s="230"/>
      <c r="R12" s="230"/>
      <c r="S12" s="230"/>
      <c r="T12" s="230"/>
      <c r="U12" s="230"/>
      <c r="V12" s="230"/>
      <c r="W12" s="230"/>
      <c r="X12" s="230"/>
      <c r="Y12" s="230"/>
      <c r="Z12" s="230"/>
      <c r="AA12" s="230"/>
      <c r="AB12" s="230"/>
      <c r="AC12" s="230"/>
      <c r="AD12" s="230"/>
      <c r="AE12" s="230"/>
      <c r="AF12" s="230"/>
      <c r="AG12" s="230"/>
      <c r="AH12" s="230"/>
      <c r="AI12" s="230"/>
      <c r="AJ12" s="230"/>
      <c r="AK12" s="230"/>
      <c r="AL12" s="230"/>
      <c r="AM12" s="230"/>
      <c r="AN12" s="231"/>
    </row>
    <row r="13" spans="1:40" ht="13.5" customHeight="1">
      <c r="A13" s="229"/>
      <c r="B13" s="230"/>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1"/>
    </row>
    <row r="14" spans="1:40" ht="13.5" customHeight="1">
      <c r="A14" s="229"/>
      <c r="B14" s="230"/>
      <c r="C14" s="230"/>
      <c r="D14" s="230"/>
      <c r="E14" s="230"/>
      <c r="F14" s="230"/>
      <c r="G14" s="230"/>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1"/>
    </row>
    <row r="15" spans="1:40" ht="13.5" customHeight="1">
      <c r="A15" s="229"/>
      <c r="B15" s="230"/>
      <c r="C15" s="230"/>
      <c r="D15" s="230"/>
      <c r="E15" s="230"/>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1"/>
    </row>
    <row r="16" spans="1:40" ht="13.5" customHeight="1">
      <c r="A16" s="229"/>
      <c r="B16" s="230"/>
      <c r="C16" s="230"/>
      <c r="D16" s="230"/>
      <c r="E16" s="230"/>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1"/>
    </row>
    <row r="17" spans="1:40" ht="13.5" customHeight="1">
      <c r="A17" s="229"/>
      <c r="B17" s="230"/>
      <c r="C17" s="230"/>
      <c r="D17" s="230"/>
      <c r="E17" s="230"/>
      <c r="F17" s="230"/>
      <c r="G17" s="230"/>
      <c r="H17" s="230"/>
      <c r="I17" s="230"/>
      <c r="J17" s="230"/>
      <c r="K17" s="230"/>
      <c r="L17" s="230"/>
      <c r="M17" s="230"/>
      <c r="N17" s="230"/>
      <c r="O17" s="230"/>
      <c r="P17" s="230"/>
      <c r="Q17" s="230"/>
      <c r="R17" s="230"/>
      <c r="S17" s="230"/>
      <c r="T17" s="230"/>
      <c r="U17" s="230"/>
      <c r="V17" s="230"/>
      <c r="W17" s="230"/>
      <c r="X17" s="230"/>
      <c r="Y17" s="230"/>
      <c r="Z17" s="230"/>
      <c r="AA17" s="230"/>
      <c r="AB17" s="230"/>
      <c r="AC17" s="230"/>
      <c r="AD17" s="230"/>
      <c r="AE17" s="230"/>
      <c r="AF17" s="230"/>
      <c r="AG17" s="230"/>
      <c r="AH17" s="230"/>
      <c r="AI17" s="230"/>
      <c r="AJ17" s="230"/>
      <c r="AK17" s="230"/>
      <c r="AL17" s="230"/>
      <c r="AM17" s="230"/>
      <c r="AN17" s="231"/>
    </row>
    <row r="18" spans="1:40" ht="13.5" customHeight="1">
      <c r="A18" s="229"/>
      <c r="B18" s="230"/>
      <c r="C18" s="230"/>
      <c r="D18" s="230"/>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1"/>
    </row>
    <row r="19" spans="1:40" ht="13.5" customHeight="1">
      <c r="A19" s="229"/>
      <c r="B19" s="230"/>
      <c r="C19" s="230"/>
      <c r="D19" s="230"/>
      <c r="E19" s="230"/>
      <c r="F19" s="230"/>
      <c r="G19" s="230"/>
      <c r="H19" s="230"/>
      <c r="I19" s="230"/>
      <c r="J19" s="230"/>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1"/>
    </row>
    <row r="20" spans="1:40" ht="13.5" customHeight="1">
      <c r="A20" s="229"/>
      <c r="B20" s="230"/>
      <c r="C20" s="230"/>
      <c r="D20" s="230"/>
      <c r="E20" s="230"/>
      <c r="F20" s="230"/>
      <c r="G20" s="230"/>
      <c r="H20" s="230"/>
      <c r="I20" s="230"/>
      <c r="J20" s="230"/>
      <c r="K20" s="230"/>
      <c r="L20" s="230"/>
      <c r="M20" s="230"/>
      <c r="N20" s="230"/>
      <c r="O20" s="230"/>
      <c r="P20" s="230"/>
      <c r="Q20" s="230"/>
      <c r="R20" s="230"/>
      <c r="S20" s="230"/>
      <c r="T20" s="230"/>
      <c r="U20" s="230"/>
      <c r="V20" s="230"/>
      <c r="W20" s="230"/>
      <c r="X20" s="230"/>
      <c r="Y20" s="230"/>
      <c r="Z20" s="230"/>
      <c r="AA20" s="230"/>
      <c r="AB20" s="230"/>
      <c r="AC20" s="230"/>
      <c r="AD20" s="230"/>
      <c r="AE20" s="230"/>
      <c r="AF20" s="230"/>
      <c r="AG20" s="230"/>
      <c r="AH20" s="230"/>
      <c r="AI20" s="230"/>
      <c r="AJ20" s="230"/>
      <c r="AK20" s="230"/>
      <c r="AL20" s="230"/>
      <c r="AM20" s="230"/>
      <c r="AN20" s="231"/>
    </row>
    <row r="21" spans="1:40" ht="13.5" customHeight="1">
      <c r="A21" s="229"/>
      <c r="B21" s="230"/>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1"/>
    </row>
    <row r="22" spans="1:40" ht="13.5" customHeight="1">
      <c r="A22" s="229"/>
      <c r="B22" s="230"/>
      <c r="C22" s="230"/>
      <c r="D22" s="230"/>
      <c r="E22" s="230"/>
      <c r="F22" s="230"/>
      <c r="G22" s="230"/>
      <c r="H22" s="230"/>
      <c r="I22" s="23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1"/>
    </row>
    <row r="23" spans="1:40" ht="13.5" customHeight="1">
      <c r="A23" s="229"/>
      <c r="B23" s="230"/>
      <c r="C23" s="230"/>
      <c r="D23" s="230"/>
      <c r="E23" s="230"/>
      <c r="F23" s="230"/>
      <c r="G23" s="230"/>
      <c r="H23" s="230"/>
      <c r="I23" s="230"/>
      <c r="J23" s="230"/>
      <c r="K23" s="230"/>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1"/>
    </row>
    <row r="24" spans="1:40" ht="13.5" customHeight="1">
      <c r="A24" s="229"/>
      <c r="B24" s="230"/>
      <c r="C24" s="230"/>
      <c r="D24" s="230"/>
      <c r="E24" s="230"/>
      <c r="F24" s="230"/>
      <c r="G24" s="230"/>
      <c r="H24" s="230"/>
      <c r="I24" s="230"/>
      <c r="J24" s="230"/>
      <c r="K24" s="230"/>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1"/>
    </row>
    <row r="25" spans="1:40" ht="13.5" customHeight="1">
      <c r="A25" s="229"/>
      <c r="B25" s="230"/>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1"/>
    </row>
    <row r="26" spans="1:40" ht="13.5" customHeight="1">
      <c r="A26" s="229"/>
      <c r="B26" s="230"/>
      <c r="C26" s="230"/>
      <c r="D26" s="230"/>
      <c r="E26" s="230"/>
      <c r="F26" s="230"/>
      <c r="G26" s="230"/>
      <c r="H26" s="230"/>
      <c r="I26" s="230"/>
      <c r="J26" s="230"/>
      <c r="K26" s="230"/>
      <c r="L26" s="230"/>
      <c r="M26" s="230"/>
      <c r="N26" s="230"/>
      <c r="O26" s="230"/>
      <c r="P26" s="230"/>
      <c r="Q26" s="230"/>
      <c r="R26" s="230"/>
      <c r="S26" s="230"/>
      <c r="T26" s="230"/>
      <c r="U26" s="230"/>
      <c r="V26" s="230"/>
      <c r="W26" s="230"/>
      <c r="X26" s="230"/>
      <c r="Y26" s="232" t="s">
        <v>247</v>
      </c>
      <c r="Z26" s="230"/>
      <c r="AA26" s="230"/>
      <c r="AB26" s="230"/>
      <c r="AC26" s="230"/>
      <c r="AD26" s="230"/>
      <c r="AE26" s="230"/>
      <c r="AF26" s="230"/>
      <c r="AG26" s="230"/>
      <c r="AH26" s="230"/>
      <c r="AI26" s="230"/>
      <c r="AJ26" s="230"/>
      <c r="AK26" s="230"/>
      <c r="AL26" s="230"/>
      <c r="AM26" s="230"/>
      <c r="AN26" s="231"/>
    </row>
    <row r="27" spans="1:40" ht="13.5" customHeight="1">
      <c r="A27" s="229"/>
      <c r="B27" s="230"/>
      <c r="C27" s="230"/>
      <c r="D27" s="230"/>
      <c r="E27" s="230"/>
      <c r="F27" s="230"/>
      <c r="G27" s="230"/>
      <c r="H27" s="230"/>
      <c r="I27" s="230"/>
      <c r="J27" s="230"/>
      <c r="K27" s="230"/>
      <c r="L27" s="230"/>
      <c r="M27" s="230"/>
      <c r="N27" s="230"/>
      <c r="O27" s="230"/>
      <c r="P27" s="230"/>
      <c r="Q27" s="230"/>
      <c r="R27" s="230"/>
      <c r="S27" s="230"/>
      <c r="T27" s="230"/>
      <c r="U27" s="230"/>
      <c r="V27" s="230"/>
      <c r="W27" s="230"/>
      <c r="X27" s="230"/>
      <c r="Y27" s="245" t="s">
        <v>248</v>
      </c>
      <c r="Z27" s="246"/>
      <c r="AA27" s="246"/>
      <c r="AB27" s="246"/>
      <c r="AC27" s="247"/>
      <c r="AD27" s="245" t="s">
        <v>249</v>
      </c>
      <c r="AE27" s="246"/>
      <c r="AF27" s="246"/>
      <c r="AG27" s="246"/>
      <c r="AH27" s="247"/>
      <c r="AI27" s="251" t="s">
        <v>250</v>
      </c>
      <c r="AJ27" s="246"/>
      <c r="AK27" s="246"/>
      <c r="AL27" s="246"/>
      <c r="AM27" s="247"/>
      <c r="AN27" s="231"/>
    </row>
    <row r="28" spans="1:40" ht="13.5" customHeight="1">
      <c r="A28" s="229"/>
      <c r="B28" s="230"/>
      <c r="C28" s="230"/>
      <c r="D28" s="230"/>
      <c r="E28" s="230"/>
      <c r="F28" s="230"/>
      <c r="G28" s="230"/>
      <c r="H28" s="230"/>
      <c r="I28" s="230"/>
      <c r="J28" s="230"/>
      <c r="K28" s="230"/>
      <c r="L28" s="230"/>
      <c r="M28" s="230"/>
      <c r="N28" s="230"/>
      <c r="O28" s="230"/>
      <c r="P28" s="230"/>
      <c r="Q28" s="230"/>
      <c r="R28" s="230"/>
      <c r="S28" s="230"/>
      <c r="T28" s="230"/>
      <c r="U28" s="230"/>
      <c r="V28" s="230"/>
      <c r="W28" s="230"/>
      <c r="X28" s="230"/>
      <c r="Y28" s="225"/>
      <c r="Z28" s="226"/>
      <c r="AA28" s="226"/>
      <c r="AB28" s="226"/>
      <c r="AC28" s="227"/>
      <c r="AD28" s="225"/>
      <c r="AE28" s="226"/>
      <c r="AF28" s="226"/>
      <c r="AG28" s="226"/>
      <c r="AH28" s="226"/>
      <c r="AI28" s="233"/>
      <c r="AJ28" s="226"/>
      <c r="AK28" s="226"/>
      <c r="AL28" s="226"/>
      <c r="AM28" s="227"/>
      <c r="AN28" s="231"/>
    </row>
    <row r="29" spans="1:40" ht="13.5" customHeight="1">
      <c r="A29" s="229"/>
      <c r="B29" s="230"/>
      <c r="C29" s="230"/>
      <c r="D29" s="230"/>
      <c r="E29" s="230"/>
      <c r="F29" s="230"/>
      <c r="G29" s="230"/>
      <c r="H29" s="230"/>
      <c r="I29" s="230"/>
      <c r="J29" s="230"/>
      <c r="K29" s="230"/>
      <c r="L29" s="230"/>
      <c r="M29" s="230"/>
      <c r="N29" s="230"/>
      <c r="O29" s="230"/>
      <c r="P29" s="230"/>
      <c r="Q29" s="230"/>
      <c r="R29" s="230"/>
      <c r="S29" s="230"/>
      <c r="T29" s="230"/>
      <c r="U29" s="230"/>
      <c r="V29" s="230"/>
      <c r="W29" s="230"/>
      <c r="X29" s="230"/>
      <c r="Y29" s="229"/>
      <c r="Z29" s="230"/>
      <c r="AA29" s="230"/>
      <c r="AB29" s="230"/>
      <c r="AC29" s="231"/>
      <c r="AD29" s="229"/>
      <c r="AE29" s="230"/>
      <c r="AF29" s="230"/>
      <c r="AG29" s="230"/>
      <c r="AH29" s="231"/>
      <c r="AI29" s="229"/>
      <c r="AJ29" s="234"/>
      <c r="AK29" s="230"/>
      <c r="AL29" s="230"/>
      <c r="AM29" s="231"/>
      <c r="AN29" s="231"/>
    </row>
    <row r="30" spans="1:40" ht="13.5" customHeight="1">
      <c r="A30" s="229"/>
      <c r="B30" s="230"/>
      <c r="C30" s="230"/>
      <c r="D30" s="230"/>
      <c r="E30" s="230"/>
      <c r="F30" s="230"/>
      <c r="G30" s="230"/>
      <c r="H30" s="230"/>
      <c r="I30" s="230"/>
      <c r="J30" s="230"/>
      <c r="K30" s="230"/>
      <c r="L30" s="230"/>
      <c r="M30" s="230"/>
      <c r="N30" s="230"/>
      <c r="O30" s="230"/>
      <c r="P30" s="230"/>
      <c r="Q30" s="230"/>
      <c r="R30" s="230"/>
      <c r="S30" s="230"/>
      <c r="T30" s="230"/>
      <c r="U30" s="230"/>
      <c r="V30" s="230"/>
      <c r="W30" s="230"/>
      <c r="X30" s="230"/>
      <c r="Y30" s="229"/>
      <c r="Z30" s="230"/>
      <c r="AA30" s="235" t="s">
        <v>251</v>
      </c>
      <c r="AB30" s="230"/>
      <c r="AC30" s="231"/>
      <c r="AD30" s="229"/>
      <c r="AE30" s="230"/>
      <c r="AF30" s="235" t="s">
        <v>252</v>
      </c>
      <c r="AG30" s="230"/>
      <c r="AH30" s="231"/>
      <c r="AI30" s="229"/>
      <c r="AJ30" s="230"/>
      <c r="AK30" s="234"/>
      <c r="AL30" s="230"/>
      <c r="AM30" s="231"/>
      <c r="AN30" s="231"/>
    </row>
    <row r="31" spans="1:40" ht="13.5" customHeight="1">
      <c r="A31" s="229"/>
      <c r="B31" s="230"/>
      <c r="C31" s="230"/>
      <c r="D31" s="230"/>
      <c r="E31" s="230"/>
      <c r="F31" s="230"/>
      <c r="G31" s="230"/>
      <c r="H31" s="230"/>
      <c r="I31" s="230"/>
      <c r="J31" s="230"/>
      <c r="K31" s="230"/>
      <c r="L31" s="230"/>
      <c r="M31" s="230"/>
      <c r="N31" s="230"/>
      <c r="O31" s="230"/>
      <c r="P31" s="230"/>
      <c r="Q31" s="230"/>
      <c r="R31" s="230"/>
      <c r="S31" s="230"/>
      <c r="T31" s="230"/>
      <c r="U31" s="230"/>
      <c r="V31" s="230"/>
      <c r="W31" s="230"/>
      <c r="X31" s="230"/>
      <c r="Y31" s="229"/>
      <c r="Z31" s="230"/>
      <c r="AA31" s="230"/>
      <c r="AB31" s="230"/>
      <c r="AC31" s="231"/>
      <c r="AD31" s="229"/>
      <c r="AE31" s="230"/>
      <c r="AF31" s="230"/>
      <c r="AG31" s="230"/>
      <c r="AH31" s="231"/>
      <c r="AI31" s="229"/>
      <c r="AJ31" s="230"/>
      <c r="AK31" s="230"/>
      <c r="AL31" s="234"/>
      <c r="AM31" s="231"/>
      <c r="AN31" s="231"/>
    </row>
    <row r="32" spans="1:40" ht="13.5" customHeight="1">
      <c r="A32" s="229"/>
      <c r="B32" s="230"/>
      <c r="C32" s="230"/>
      <c r="D32" s="230"/>
      <c r="E32" s="230"/>
      <c r="F32" s="230"/>
      <c r="G32" s="230"/>
      <c r="H32" s="230"/>
      <c r="I32" s="230"/>
      <c r="J32" s="230"/>
      <c r="K32" s="230"/>
      <c r="L32" s="230"/>
      <c r="M32" s="230"/>
      <c r="N32" s="230"/>
      <c r="O32" s="230"/>
      <c r="P32" s="230"/>
      <c r="Q32" s="230"/>
      <c r="R32" s="230"/>
      <c r="S32" s="230"/>
      <c r="T32" s="230"/>
      <c r="U32" s="230"/>
      <c r="V32" s="230"/>
      <c r="W32" s="230"/>
      <c r="X32" s="230"/>
      <c r="Y32" s="236"/>
      <c r="Z32" s="237"/>
      <c r="AA32" s="237"/>
      <c r="AB32" s="237"/>
      <c r="AC32" s="238"/>
      <c r="AD32" s="236"/>
      <c r="AE32" s="237"/>
      <c r="AF32" s="237"/>
      <c r="AG32" s="237"/>
      <c r="AH32" s="238"/>
      <c r="AI32" s="236"/>
      <c r="AJ32" s="237"/>
      <c r="AK32" s="237"/>
      <c r="AL32" s="237"/>
      <c r="AM32" s="239"/>
      <c r="AN32" s="231"/>
    </row>
    <row r="33" spans="1:40" ht="13.5" customHeight="1">
      <c r="A33" s="229"/>
      <c r="B33" s="230"/>
      <c r="C33" s="230"/>
      <c r="D33" s="230"/>
      <c r="E33" s="230"/>
      <c r="F33" s="230"/>
      <c r="G33" s="230"/>
      <c r="H33" s="230"/>
      <c r="I33" s="230"/>
      <c r="J33" s="230"/>
      <c r="K33" s="230"/>
      <c r="L33" s="230"/>
      <c r="M33" s="230"/>
      <c r="N33" s="230"/>
      <c r="O33" s="230"/>
      <c r="P33" s="230"/>
      <c r="Q33" s="230"/>
      <c r="R33" s="230"/>
      <c r="S33" s="230"/>
      <c r="T33" s="230"/>
      <c r="U33" s="230"/>
      <c r="V33" s="230"/>
      <c r="W33" s="230"/>
      <c r="X33" s="230"/>
      <c r="Y33" s="230"/>
      <c r="Z33" s="230"/>
      <c r="AA33" s="230"/>
      <c r="AB33" s="230"/>
      <c r="AC33" s="230"/>
      <c r="AD33" s="230"/>
      <c r="AE33" s="230"/>
      <c r="AF33" s="230"/>
      <c r="AG33" s="230"/>
      <c r="AH33" s="230"/>
      <c r="AI33" s="230"/>
      <c r="AJ33" s="230"/>
      <c r="AK33" s="230"/>
      <c r="AL33" s="230"/>
      <c r="AM33" s="230"/>
      <c r="AN33" s="231"/>
    </row>
    <row r="34" spans="1:40" ht="13.5" customHeight="1">
      <c r="A34" s="229"/>
      <c r="B34" s="230"/>
      <c r="C34" s="230"/>
      <c r="D34" s="230"/>
      <c r="E34" s="230"/>
      <c r="F34" s="230"/>
      <c r="G34" s="230"/>
      <c r="H34" s="230"/>
      <c r="I34" s="230"/>
      <c r="J34" s="230"/>
      <c r="K34" s="230"/>
      <c r="L34" s="230"/>
      <c r="M34" s="230"/>
      <c r="N34" s="230"/>
      <c r="O34" s="230"/>
      <c r="P34" s="230"/>
      <c r="Q34" s="230"/>
      <c r="R34" s="230"/>
      <c r="S34" s="230"/>
      <c r="T34" s="230"/>
      <c r="U34" s="230"/>
      <c r="V34" s="230"/>
      <c r="W34" s="230"/>
      <c r="X34" s="230"/>
      <c r="Y34" s="232" t="s">
        <v>253</v>
      </c>
      <c r="Z34" s="230"/>
      <c r="AA34" s="230"/>
      <c r="AB34" s="230"/>
      <c r="AC34" s="230"/>
      <c r="AD34" s="230"/>
      <c r="AE34" s="230"/>
      <c r="AF34" s="230"/>
      <c r="AG34" s="230"/>
      <c r="AH34" s="230"/>
      <c r="AI34" s="230"/>
      <c r="AJ34" s="230"/>
      <c r="AK34" s="230"/>
      <c r="AL34" s="230"/>
      <c r="AM34" s="230"/>
      <c r="AN34" s="231"/>
    </row>
    <row r="35" spans="1:40" ht="13.5" customHeight="1">
      <c r="A35" s="229"/>
      <c r="B35" s="230"/>
      <c r="C35" s="230"/>
      <c r="D35" s="230"/>
      <c r="E35" s="230"/>
      <c r="F35" s="230"/>
      <c r="G35" s="230"/>
      <c r="H35" s="230"/>
      <c r="I35" s="230"/>
      <c r="J35" s="230"/>
      <c r="K35" s="230"/>
      <c r="L35" s="230"/>
      <c r="M35" s="230"/>
      <c r="N35" s="230"/>
      <c r="O35" s="230"/>
      <c r="P35" s="230"/>
      <c r="Q35" s="230"/>
      <c r="R35" s="230"/>
      <c r="S35" s="230"/>
      <c r="T35" s="230"/>
      <c r="U35" s="230"/>
      <c r="V35" s="230"/>
      <c r="W35" s="230"/>
      <c r="X35" s="230"/>
      <c r="Y35" s="245" t="s">
        <v>248</v>
      </c>
      <c r="Z35" s="246"/>
      <c r="AA35" s="246"/>
      <c r="AB35" s="246"/>
      <c r="AC35" s="247"/>
      <c r="AD35" s="245" t="s">
        <v>249</v>
      </c>
      <c r="AE35" s="246"/>
      <c r="AF35" s="246"/>
      <c r="AG35" s="246"/>
      <c r="AH35" s="247"/>
      <c r="AI35" s="251" t="s">
        <v>250</v>
      </c>
      <c r="AJ35" s="246"/>
      <c r="AK35" s="246"/>
      <c r="AL35" s="246"/>
      <c r="AM35" s="247"/>
      <c r="AN35" s="231"/>
    </row>
    <row r="36" spans="1:40" ht="13.5" customHeight="1">
      <c r="A36" s="229"/>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25"/>
      <c r="Z36" s="226"/>
      <c r="AA36" s="226"/>
      <c r="AB36" s="226"/>
      <c r="AC36" s="227"/>
      <c r="AD36" s="225"/>
      <c r="AE36" s="226"/>
      <c r="AF36" s="226"/>
      <c r="AG36" s="226"/>
      <c r="AH36" s="226"/>
      <c r="AI36" s="225"/>
      <c r="AJ36" s="226"/>
      <c r="AK36" s="226"/>
      <c r="AL36" s="226"/>
      <c r="AM36" s="227"/>
      <c r="AN36" s="231"/>
    </row>
    <row r="37" spans="1:40" ht="13.5" customHeight="1">
      <c r="A37" s="229"/>
      <c r="B37" s="230"/>
      <c r="C37" s="230"/>
      <c r="D37" s="230"/>
      <c r="E37" s="230"/>
      <c r="F37" s="230"/>
      <c r="G37" s="230"/>
      <c r="H37" s="230"/>
      <c r="I37" s="230"/>
      <c r="J37" s="230"/>
      <c r="K37" s="230"/>
      <c r="L37" s="230"/>
      <c r="M37" s="230"/>
      <c r="N37" s="230"/>
      <c r="O37" s="230"/>
      <c r="P37" s="230"/>
      <c r="Q37" s="230"/>
      <c r="R37" s="230"/>
      <c r="S37" s="230"/>
      <c r="T37" s="230"/>
      <c r="U37" s="230"/>
      <c r="V37" s="230"/>
      <c r="W37" s="230"/>
      <c r="X37" s="230"/>
      <c r="Y37" s="229"/>
      <c r="Z37" s="230"/>
      <c r="AA37" s="230"/>
      <c r="AB37" s="230"/>
      <c r="AC37" s="231"/>
      <c r="AD37" s="229"/>
      <c r="AE37" s="230"/>
      <c r="AF37" s="230"/>
      <c r="AG37" s="230"/>
      <c r="AH37" s="231"/>
      <c r="AI37" s="229"/>
      <c r="AJ37" s="230"/>
      <c r="AK37" s="230"/>
      <c r="AL37" s="230"/>
      <c r="AM37" s="231"/>
      <c r="AN37" s="231"/>
    </row>
    <row r="38" spans="1:40" ht="13.5" customHeight="1">
      <c r="A38" s="229"/>
      <c r="B38" s="230"/>
      <c r="C38" s="230"/>
      <c r="D38" s="230"/>
      <c r="E38" s="230"/>
      <c r="F38" s="230"/>
      <c r="G38" s="230"/>
      <c r="H38" s="230"/>
      <c r="I38" s="230"/>
      <c r="J38" s="230"/>
      <c r="K38" s="230"/>
      <c r="L38" s="230"/>
      <c r="M38" s="230"/>
      <c r="N38" s="230"/>
      <c r="O38" s="230"/>
      <c r="P38" s="230"/>
      <c r="Q38" s="230"/>
      <c r="R38" s="230"/>
      <c r="S38" s="230"/>
      <c r="T38" s="230"/>
      <c r="U38" s="230"/>
      <c r="V38" s="230"/>
      <c r="W38" s="230"/>
      <c r="X38" s="230"/>
      <c r="Y38" s="229"/>
      <c r="Z38" s="230"/>
      <c r="AA38" s="235" t="s">
        <v>254</v>
      </c>
      <c r="AB38" s="230"/>
      <c r="AC38" s="231"/>
      <c r="AD38" s="229"/>
      <c r="AE38" s="230"/>
      <c r="AF38" s="235" t="s">
        <v>255</v>
      </c>
      <c r="AG38" s="230"/>
      <c r="AH38" s="231"/>
      <c r="AI38" s="229"/>
      <c r="AJ38" s="230"/>
      <c r="AK38" s="235" t="s">
        <v>255</v>
      </c>
      <c r="AL38" s="230"/>
      <c r="AM38" s="231"/>
      <c r="AN38" s="231"/>
    </row>
    <row r="39" spans="1:40" ht="13.5" customHeight="1">
      <c r="A39" s="229"/>
      <c r="B39" s="230"/>
      <c r="C39" s="230"/>
      <c r="D39" s="230"/>
      <c r="E39" s="230"/>
      <c r="F39" s="230"/>
      <c r="G39" s="230"/>
      <c r="H39" s="230"/>
      <c r="I39" s="230"/>
      <c r="J39" s="230"/>
      <c r="K39" s="230"/>
      <c r="L39" s="230"/>
      <c r="M39" s="230"/>
      <c r="N39" s="230"/>
      <c r="O39" s="230"/>
      <c r="P39" s="230"/>
      <c r="Q39" s="230"/>
      <c r="R39" s="230"/>
      <c r="S39" s="230"/>
      <c r="T39" s="230"/>
      <c r="U39" s="230"/>
      <c r="V39" s="230"/>
      <c r="W39" s="230"/>
      <c r="X39" s="230"/>
      <c r="Y39" s="229"/>
      <c r="Z39" s="230"/>
      <c r="AA39" s="230"/>
      <c r="AB39" s="230"/>
      <c r="AC39" s="231"/>
      <c r="AD39" s="229"/>
      <c r="AE39" s="230"/>
      <c r="AF39" s="230"/>
      <c r="AG39" s="230"/>
      <c r="AH39" s="231"/>
      <c r="AI39" s="229"/>
      <c r="AJ39" s="230"/>
      <c r="AK39" s="230"/>
      <c r="AL39" s="230"/>
      <c r="AM39" s="231"/>
      <c r="AN39" s="231"/>
    </row>
    <row r="40" spans="1:40" ht="13.5" customHeight="1">
      <c r="A40" s="229"/>
      <c r="B40" s="230"/>
      <c r="C40" s="230"/>
      <c r="D40" s="230"/>
      <c r="E40" s="230"/>
      <c r="F40" s="230"/>
      <c r="G40" s="230"/>
      <c r="H40" s="230"/>
      <c r="I40" s="230"/>
      <c r="J40" s="230"/>
      <c r="K40" s="230"/>
      <c r="L40" s="230"/>
      <c r="M40" s="230"/>
      <c r="N40" s="230"/>
      <c r="O40" s="230"/>
      <c r="P40" s="230"/>
      <c r="Q40" s="230"/>
      <c r="R40" s="230"/>
      <c r="S40" s="230"/>
      <c r="T40" s="230"/>
      <c r="U40" s="230"/>
      <c r="V40" s="230"/>
      <c r="W40" s="230"/>
      <c r="X40" s="230"/>
      <c r="Y40" s="236"/>
      <c r="Z40" s="237"/>
      <c r="AA40" s="237"/>
      <c r="AB40" s="237"/>
      <c r="AC40" s="238"/>
      <c r="AD40" s="236"/>
      <c r="AE40" s="237"/>
      <c r="AF40" s="237"/>
      <c r="AG40" s="237"/>
      <c r="AH40" s="238"/>
      <c r="AI40" s="236"/>
      <c r="AJ40" s="237"/>
      <c r="AK40" s="237"/>
      <c r="AL40" s="237"/>
      <c r="AM40" s="238"/>
      <c r="AN40" s="231"/>
    </row>
    <row r="41" spans="1:40" ht="13.5" customHeight="1">
      <c r="A41" s="229"/>
      <c r="B41" s="230"/>
      <c r="C41" s="230"/>
      <c r="D41" s="230"/>
      <c r="E41" s="230"/>
      <c r="F41" s="230"/>
      <c r="G41" s="230"/>
      <c r="H41" s="230"/>
      <c r="I41" s="230"/>
      <c r="J41" s="230"/>
      <c r="K41" s="230"/>
      <c r="L41" s="230"/>
      <c r="M41" s="230"/>
      <c r="N41" s="230"/>
      <c r="O41" s="230"/>
      <c r="P41" s="230"/>
      <c r="Q41" s="230"/>
      <c r="R41" s="230"/>
      <c r="S41" s="230"/>
      <c r="T41" s="230"/>
      <c r="U41" s="230"/>
      <c r="V41" s="230"/>
      <c r="W41" s="230"/>
      <c r="X41" s="230"/>
      <c r="Y41" s="230"/>
      <c r="Z41" s="230"/>
      <c r="AA41" s="230"/>
      <c r="AB41" s="230"/>
      <c r="AC41" s="230"/>
      <c r="AD41" s="230"/>
      <c r="AE41" s="230"/>
      <c r="AF41" s="230"/>
      <c r="AG41" s="230"/>
      <c r="AH41" s="230"/>
      <c r="AI41" s="230"/>
      <c r="AJ41" s="230"/>
      <c r="AK41" s="230"/>
      <c r="AL41" s="230"/>
      <c r="AM41" s="230"/>
      <c r="AN41" s="231"/>
    </row>
    <row r="42" spans="1:40" ht="13.5" customHeight="1">
      <c r="A42" s="229"/>
      <c r="B42" s="230"/>
      <c r="C42" s="230"/>
      <c r="D42" s="230"/>
      <c r="E42" s="230"/>
      <c r="F42" s="230"/>
      <c r="G42" s="230"/>
      <c r="H42" s="230"/>
      <c r="I42" s="230"/>
      <c r="J42" s="230"/>
      <c r="K42" s="230"/>
      <c r="L42" s="230"/>
      <c r="M42" s="230"/>
      <c r="N42" s="230"/>
      <c r="O42" s="230"/>
      <c r="P42" s="230"/>
      <c r="Q42" s="230"/>
      <c r="R42" s="230"/>
      <c r="S42" s="230"/>
      <c r="T42" s="230"/>
      <c r="U42" s="230"/>
      <c r="V42" s="230"/>
      <c r="W42" s="230"/>
      <c r="X42" s="230"/>
      <c r="Y42" s="232" t="s">
        <v>256</v>
      </c>
      <c r="Z42" s="230"/>
      <c r="AA42" s="230"/>
      <c r="AB42" s="230"/>
      <c r="AC42" s="230"/>
      <c r="AD42" s="230"/>
      <c r="AE42" s="230"/>
      <c r="AF42" s="230"/>
      <c r="AG42" s="230"/>
      <c r="AH42" s="230"/>
      <c r="AI42" s="230"/>
      <c r="AJ42" s="230"/>
      <c r="AK42" s="230"/>
      <c r="AL42" s="230"/>
      <c r="AM42" s="230"/>
      <c r="AN42" s="231"/>
    </row>
    <row r="43" spans="1:40" ht="13.5" customHeight="1">
      <c r="A43" s="229"/>
      <c r="B43" s="230"/>
      <c r="C43" s="230"/>
      <c r="D43" s="230"/>
      <c r="E43" s="230"/>
      <c r="F43" s="230"/>
      <c r="G43" s="230"/>
      <c r="H43" s="230"/>
      <c r="I43" s="230"/>
      <c r="J43" s="230"/>
      <c r="K43" s="230"/>
      <c r="L43" s="230"/>
      <c r="M43" s="230"/>
      <c r="N43" s="230"/>
      <c r="O43" s="230"/>
      <c r="P43" s="230"/>
      <c r="Q43" s="230"/>
      <c r="R43" s="230"/>
      <c r="S43" s="230"/>
      <c r="T43" s="230"/>
      <c r="U43" s="230"/>
      <c r="V43" s="230"/>
      <c r="W43" s="230"/>
      <c r="X43" s="230"/>
      <c r="Y43" s="245" t="s">
        <v>248</v>
      </c>
      <c r="Z43" s="246"/>
      <c r="AA43" s="246"/>
      <c r="AB43" s="246"/>
      <c r="AC43" s="247"/>
      <c r="AD43" s="245" t="s">
        <v>249</v>
      </c>
      <c r="AE43" s="246"/>
      <c r="AF43" s="246"/>
      <c r="AG43" s="246"/>
      <c r="AH43" s="247"/>
      <c r="AI43" s="245" t="s">
        <v>250</v>
      </c>
      <c r="AJ43" s="246"/>
      <c r="AK43" s="246"/>
      <c r="AL43" s="246"/>
      <c r="AM43" s="247"/>
      <c r="AN43" s="231"/>
    </row>
    <row r="44" spans="1:40" ht="13.5" customHeight="1">
      <c r="A44" s="229"/>
      <c r="B44" s="230"/>
      <c r="C44" s="230"/>
      <c r="D44" s="230"/>
      <c r="E44" s="230"/>
      <c r="F44" s="230"/>
      <c r="G44" s="230"/>
      <c r="H44" s="230"/>
      <c r="I44" s="230"/>
      <c r="J44" s="230"/>
      <c r="K44" s="230"/>
      <c r="L44" s="230"/>
      <c r="M44" s="230"/>
      <c r="N44" s="230"/>
      <c r="O44" s="230"/>
      <c r="P44" s="230"/>
      <c r="Q44" s="230"/>
      <c r="R44" s="230"/>
      <c r="S44" s="230"/>
      <c r="T44" s="230"/>
      <c r="U44" s="230"/>
      <c r="V44" s="230"/>
      <c r="W44" s="230"/>
      <c r="X44" s="230"/>
      <c r="Y44" s="233"/>
      <c r="Z44" s="226"/>
      <c r="AA44" s="226"/>
      <c r="AB44" s="226"/>
      <c r="AC44" s="227"/>
      <c r="AD44" s="233"/>
      <c r="AE44" s="226"/>
      <c r="AF44" s="226"/>
      <c r="AG44" s="226"/>
      <c r="AH44" s="227"/>
      <c r="AI44" s="229"/>
      <c r="AJ44" s="230"/>
      <c r="AK44" s="230"/>
      <c r="AL44" s="230"/>
      <c r="AM44" s="231"/>
      <c r="AN44" s="231"/>
    </row>
    <row r="45" spans="1:40" ht="13.5" customHeight="1">
      <c r="A45" s="229"/>
      <c r="B45" s="230"/>
      <c r="C45" s="230"/>
      <c r="D45" s="230"/>
      <c r="E45" s="230"/>
      <c r="F45" s="230"/>
      <c r="G45" s="230"/>
      <c r="H45" s="230"/>
      <c r="I45" s="230"/>
      <c r="J45" s="230"/>
      <c r="K45" s="230"/>
      <c r="L45" s="230"/>
      <c r="M45" s="230"/>
      <c r="N45" s="230"/>
      <c r="O45" s="230"/>
      <c r="P45" s="230"/>
      <c r="Q45" s="230"/>
      <c r="R45" s="230"/>
      <c r="S45" s="230"/>
      <c r="T45" s="230"/>
      <c r="U45" s="230"/>
      <c r="V45" s="230"/>
      <c r="W45" s="230"/>
      <c r="X45" s="230"/>
      <c r="Y45" s="229"/>
      <c r="Z45" s="234"/>
      <c r="AA45" s="230"/>
      <c r="AB45" s="230"/>
      <c r="AC45" s="231"/>
      <c r="AD45" s="229"/>
      <c r="AE45" s="234"/>
      <c r="AF45" s="230"/>
      <c r="AG45" s="230"/>
      <c r="AH45" s="231"/>
      <c r="AI45" s="229"/>
      <c r="AJ45" s="230"/>
      <c r="AK45" s="230"/>
      <c r="AL45" s="230"/>
      <c r="AM45" s="231"/>
      <c r="AN45" s="231"/>
    </row>
    <row r="46" spans="1:40" ht="13.5" customHeight="1">
      <c r="A46" s="229"/>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29"/>
      <c r="Z46" s="230"/>
      <c r="AA46" s="234"/>
      <c r="AB46" s="230"/>
      <c r="AC46" s="231"/>
      <c r="AD46" s="229"/>
      <c r="AE46" s="230"/>
      <c r="AF46" s="234"/>
      <c r="AG46" s="230"/>
      <c r="AH46" s="231"/>
      <c r="AI46" s="229"/>
      <c r="AJ46" s="230"/>
      <c r="AK46" s="230"/>
      <c r="AL46" s="230"/>
      <c r="AM46" s="231"/>
      <c r="AN46" s="231"/>
    </row>
    <row r="47" spans="1:40" ht="13.5" customHeight="1">
      <c r="A47" s="229"/>
      <c r="B47" s="230"/>
      <c r="C47" s="230"/>
      <c r="D47" s="230"/>
      <c r="E47" s="230"/>
      <c r="F47" s="230"/>
      <c r="G47" s="230"/>
      <c r="H47" s="230"/>
      <c r="I47" s="230"/>
      <c r="J47" s="230"/>
      <c r="K47" s="230"/>
      <c r="L47" s="230"/>
      <c r="M47" s="230"/>
      <c r="N47" s="230"/>
      <c r="O47" s="230"/>
      <c r="P47" s="230"/>
      <c r="Q47" s="230"/>
      <c r="R47" s="230"/>
      <c r="S47" s="230"/>
      <c r="T47" s="230"/>
      <c r="U47" s="230"/>
      <c r="V47" s="230"/>
      <c r="W47" s="230"/>
      <c r="X47" s="230"/>
      <c r="Y47" s="229"/>
      <c r="Z47" s="230"/>
      <c r="AA47" s="230"/>
      <c r="AB47" s="234"/>
      <c r="AC47" s="231"/>
      <c r="AD47" s="229"/>
      <c r="AE47" s="230"/>
      <c r="AF47" s="230"/>
      <c r="AG47" s="234"/>
      <c r="AH47" s="231"/>
      <c r="AI47" s="229"/>
      <c r="AJ47" s="230"/>
      <c r="AK47" s="230"/>
      <c r="AL47" s="230"/>
      <c r="AM47" s="231"/>
      <c r="AN47" s="231"/>
    </row>
    <row r="48" spans="1:40" ht="13.5" customHeight="1">
      <c r="A48" s="229"/>
      <c r="B48" s="230"/>
      <c r="C48" s="230"/>
      <c r="D48" s="230"/>
      <c r="E48" s="230"/>
      <c r="F48" s="230"/>
      <c r="G48" s="230"/>
      <c r="H48" s="230"/>
      <c r="I48" s="230"/>
      <c r="J48" s="230"/>
      <c r="K48" s="230"/>
      <c r="L48" s="230"/>
      <c r="M48" s="230"/>
      <c r="N48" s="230"/>
      <c r="O48" s="230"/>
      <c r="P48" s="230"/>
      <c r="Q48" s="230"/>
      <c r="R48" s="230"/>
      <c r="S48" s="230"/>
      <c r="T48" s="230"/>
      <c r="U48" s="230"/>
      <c r="V48" s="230"/>
      <c r="W48" s="230"/>
      <c r="X48" s="230"/>
      <c r="Y48" s="236"/>
      <c r="Z48" s="237"/>
      <c r="AA48" s="237"/>
      <c r="AB48" s="237"/>
      <c r="AC48" s="239"/>
      <c r="AD48" s="236"/>
      <c r="AE48" s="237"/>
      <c r="AF48" s="237"/>
      <c r="AG48" s="237"/>
      <c r="AH48" s="239"/>
      <c r="AI48" s="236"/>
      <c r="AJ48" s="237"/>
      <c r="AK48" s="237"/>
      <c r="AL48" s="237"/>
      <c r="AM48" s="238"/>
      <c r="AN48" s="231"/>
    </row>
    <row r="49" spans="1:40" ht="13.5" customHeight="1">
      <c r="A49" s="236"/>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8"/>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35</xdr:col>
                <xdr:colOff>83820</xdr:colOff>
                <xdr:row>44</xdr:row>
                <xdr:rowOff>167640</xdr:rowOff>
              </from>
              <to>
                <xdr:col>39</xdr:col>
                <xdr:colOff>38100</xdr:colOff>
                <xdr:row>48</xdr:row>
                <xdr:rowOff>38100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alert_S_ADBZR_PMAR-CSTD-0-06-A-C0</v>
      </c>
      <c r="E3" s="6"/>
      <c r="F3" s="6"/>
      <c r="H3" s="8" t="s">
        <v>164</v>
      </c>
      <c r="I3" s="253" t="s">
        <v>163</v>
      </c>
      <c r="J3" s="254"/>
      <c r="K3" s="254"/>
      <c r="L3" s="254"/>
      <c r="M3" s="254"/>
      <c r="N3" s="254"/>
      <c r="O3" s="254"/>
      <c r="P3" s="254"/>
      <c r="Q3" s="254"/>
      <c r="R3" s="254"/>
    </row>
    <row r="4" spans="2:24" ht="25.5" customHeight="1">
      <c r="C4" s="6"/>
      <c r="D4" s="6"/>
      <c r="E4" s="21" t="str">
        <f>DGET(B8:C14,"Ver.",H4:H5)</f>
        <v>1.1.1</v>
      </c>
      <c r="F4" s="6"/>
      <c r="H4" s="9" t="s">
        <v>15</v>
      </c>
    </row>
    <row r="5" spans="2:24" ht="25.5" customHeight="1">
      <c r="C5" s="6"/>
      <c r="D5" s="6"/>
      <c r="E5" s="6"/>
      <c r="F5" s="6"/>
      <c r="H5" s="11">
        <f>MAX(B9:B14)</f>
        <v>3</v>
      </c>
    </row>
    <row r="6" spans="2:24" ht="13.8" thickBot="1"/>
    <row r="7" spans="2:24">
      <c r="C7" s="257" t="s">
        <v>0</v>
      </c>
      <c r="D7" s="258"/>
      <c r="E7" s="259" t="s">
        <v>2</v>
      </c>
      <c r="F7" s="259"/>
      <c r="G7" s="260" t="s">
        <v>5</v>
      </c>
      <c r="H7" s="260"/>
      <c r="I7" s="260"/>
      <c r="J7" s="260"/>
      <c r="K7" s="260"/>
      <c r="L7" s="260"/>
      <c r="M7" s="261" t="s">
        <v>12</v>
      </c>
      <c r="N7" s="261"/>
      <c r="O7" s="261"/>
      <c r="P7" s="261"/>
      <c r="Q7" s="261"/>
      <c r="R7" s="261"/>
      <c r="S7" s="255" t="s">
        <v>215</v>
      </c>
      <c r="T7" s="255"/>
      <c r="U7" s="255"/>
      <c r="V7" s="255"/>
      <c r="W7" s="255"/>
      <c r="X7" s="256"/>
    </row>
    <row r="8" spans="2:24" ht="27" thickBot="1">
      <c r="B8" s="9" t="s">
        <v>85</v>
      </c>
      <c r="C8" s="14" t="s">
        <v>16</v>
      </c>
      <c r="D8" s="15" t="s">
        <v>1</v>
      </c>
      <c r="E8" s="16" t="s">
        <v>3</v>
      </c>
      <c r="F8" s="17" t="s">
        <v>4</v>
      </c>
      <c r="G8" s="18" t="s">
        <v>6</v>
      </c>
      <c r="H8" s="18" t="s">
        <v>7</v>
      </c>
      <c r="I8" s="18" t="s">
        <v>8</v>
      </c>
      <c r="J8" s="18" t="s">
        <v>9</v>
      </c>
      <c r="K8" s="18" t="s">
        <v>10</v>
      </c>
      <c r="L8" s="18" t="s">
        <v>11</v>
      </c>
      <c r="M8" s="200" t="s">
        <v>6</v>
      </c>
      <c r="N8" s="200" t="s">
        <v>7</v>
      </c>
      <c r="O8" s="200" t="s">
        <v>8</v>
      </c>
      <c r="P8" s="200" t="s">
        <v>9</v>
      </c>
      <c r="Q8" s="200" t="s">
        <v>10</v>
      </c>
      <c r="R8" s="200" t="s">
        <v>11</v>
      </c>
      <c r="S8" s="201" t="s">
        <v>216</v>
      </c>
      <c r="T8" s="201" t="s">
        <v>7</v>
      </c>
      <c r="U8" s="201" t="s">
        <v>8</v>
      </c>
      <c r="V8" s="201" t="s">
        <v>9</v>
      </c>
      <c r="W8" s="201" t="s">
        <v>10</v>
      </c>
      <c r="X8" s="202" t="s">
        <v>11</v>
      </c>
    </row>
    <row r="9" spans="2:24" ht="13.8" thickTop="1">
      <c r="B9" s="9">
        <f>IF(C9=0,0,ROW()-ROW($B$8))</f>
        <v>1</v>
      </c>
      <c r="C9" s="12" t="s">
        <v>194</v>
      </c>
      <c r="D9" s="197" t="s">
        <v>19</v>
      </c>
      <c r="E9" s="189" t="s">
        <v>198</v>
      </c>
      <c r="F9" s="189" t="s">
        <v>214</v>
      </c>
      <c r="G9" s="189" t="s">
        <v>198</v>
      </c>
      <c r="H9" s="189" t="s">
        <v>198</v>
      </c>
      <c r="I9" s="189" t="s">
        <v>198</v>
      </c>
      <c r="J9" s="189" t="s">
        <v>198</v>
      </c>
      <c r="K9" s="189" t="s">
        <v>198</v>
      </c>
      <c r="L9" s="189" t="s">
        <v>198</v>
      </c>
      <c r="M9" s="1"/>
      <c r="N9" s="203"/>
      <c r="O9" s="1"/>
      <c r="P9" s="203"/>
      <c r="Q9" s="1"/>
      <c r="R9" s="203"/>
      <c r="S9" s="1"/>
      <c r="T9" s="1"/>
      <c r="U9" s="1"/>
      <c r="V9" s="1"/>
      <c r="W9" s="1" t="s">
        <v>217</v>
      </c>
      <c r="X9" s="169">
        <v>45302</v>
      </c>
    </row>
    <row r="10" spans="2:24" ht="145.19999999999999">
      <c r="C10" s="12" t="s">
        <v>243</v>
      </c>
      <c r="D10" s="168" t="s">
        <v>244</v>
      </c>
      <c r="E10" s="1" t="s">
        <v>198</v>
      </c>
      <c r="F10" s="1" t="s">
        <v>214</v>
      </c>
      <c r="G10" s="1"/>
      <c r="H10" s="1"/>
      <c r="I10" s="1"/>
      <c r="J10" s="1"/>
      <c r="K10" s="1" t="s">
        <v>242</v>
      </c>
      <c r="L10" s="203">
        <v>45839</v>
      </c>
      <c r="M10" s="1" t="s">
        <v>198</v>
      </c>
      <c r="N10" s="1" t="s">
        <v>198</v>
      </c>
      <c r="O10" s="1" t="s">
        <v>198</v>
      </c>
      <c r="P10" s="1" t="s">
        <v>198</v>
      </c>
      <c r="Q10" s="1" t="s">
        <v>198</v>
      </c>
      <c r="R10" s="1" t="s">
        <v>198</v>
      </c>
      <c r="S10" s="1" t="s">
        <v>198</v>
      </c>
      <c r="T10" s="1" t="s">
        <v>198</v>
      </c>
      <c r="U10" s="1" t="s">
        <v>198</v>
      </c>
      <c r="V10" s="1" t="s">
        <v>198</v>
      </c>
      <c r="W10" s="1" t="s">
        <v>198</v>
      </c>
      <c r="X10" s="169" t="s">
        <v>198</v>
      </c>
    </row>
    <row r="11" spans="2:24" ht="105.6">
      <c r="B11" s="9">
        <f>IF(C11=0,0,ROW()-ROW($B$8))</f>
        <v>3</v>
      </c>
      <c r="C11" s="240" t="s">
        <v>257</v>
      </c>
      <c r="D11" s="243" t="s">
        <v>262</v>
      </c>
      <c r="E11" s="241" t="s">
        <v>168</v>
      </c>
      <c r="F11" s="241" t="s">
        <v>261</v>
      </c>
      <c r="G11" s="1"/>
      <c r="H11" s="1"/>
      <c r="I11" s="1"/>
      <c r="J11" s="1"/>
      <c r="K11" s="1"/>
      <c r="L11" s="1"/>
      <c r="M11" s="1"/>
      <c r="N11" s="1"/>
      <c r="O11" s="1"/>
      <c r="P11" s="1"/>
      <c r="Q11" s="1"/>
      <c r="R11" s="1"/>
      <c r="S11" s="241" t="s">
        <v>168</v>
      </c>
      <c r="T11" s="241" t="s">
        <v>168</v>
      </c>
      <c r="U11" s="241" t="s">
        <v>168</v>
      </c>
      <c r="V11" s="241" t="s">
        <v>168</v>
      </c>
      <c r="W11" s="241" t="s">
        <v>258</v>
      </c>
      <c r="X11" s="242">
        <v>46008</v>
      </c>
    </row>
    <row r="12" spans="2:24">
      <c r="B12" s="9">
        <f>IF(C12=0,0,ROW()-ROW($B$8))</f>
        <v>0</v>
      </c>
      <c r="C12" s="2"/>
      <c r="D12" s="1"/>
      <c r="E12" s="1"/>
      <c r="F12" s="1"/>
      <c r="G12" s="1"/>
      <c r="H12" s="1"/>
      <c r="I12" s="1"/>
      <c r="J12" s="1"/>
      <c r="K12" s="1"/>
      <c r="L12" s="1"/>
      <c r="M12" s="1"/>
      <c r="N12" s="1"/>
      <c r="O12" s="1"/>
      <c r="P12" s="1"/>
      <c r="Q12" s="1"/>
      <c r="R12" s="1"/>
      <c r="S12" s="1"/>
      <c r="T12" s="1"/>
      <c r="U12" s="1"/>
      <c r="V12" s="1"/>
      <c r="W12" s="1"/>
      <c r="X12" s="64"/>
    </row>
    <row r="13" spans="2:24" ht="13.8" thickBot="1">
      <c r="B13" s="9">
        <f>IF(C13=0,0,ROW()-ROW($B$8))</f>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46" t="s">
        <v>120</v>
      </c>
    </row>
    <row r="3" spans="2:5">
      <c r="C3" t="s">
        <v>130</v>
      </c>
    </row>
    <row r="6" spans="2:5" ht="13.8" thickBot="1">
      <c r="B6" s="146" t="s">
        <v>121</v>
      </c>
      <c r="C6" s="146"/>
    </row>
    <row r="7" spans="2:5" ht="13.8" thickBot="1">
      <c r="C7" s="68" t="s">
        <v>123</v>
      </c>
      <c r="D7" s="76"/>
      <c r="E7" s="69" t="s">
        <v>131</v>
      </c>
    </row>
    <row r="8" spans="2:5" ht="20.25" customHeight="1" thickTop="1">
      <c r="C8" s="150">
        <v>0</v>
      </c>
      <c r="D8" s="77" t="s">
        <v>132</v>
      </c>
      <c r="E8" s="149" t="s">
        <v>133</v>
      </c>
    </row>
    <row r="9" spans="2:5" ht="26.4">
      <c r="C9" s="156">
        <v>1</v>
      </c>
      <c r="D9" s="158" t="s">
        <v>150</v>
      </c>
      <c r="E9" s="157" t="s">
        <v>149</v>
      </c>
    </row>
    <row r="10" spans="2:5" ht="13.8" thickBot="1">
      <c r="C10" s="154"/>
      <c r="D10" s="79"/>
      <c r="E10" s="5"/>
    </row>
    <row r="11" spans="2:5">
      <c r="C11" s="152"/>
    </row>
    <row r="12" spans="2:5" ht="13.8" thickBot="1">
      <c r="B12" s="147" t="s">
        <v>122</v>
      </c>
      <c r="C12" s="75"/>
      <c r="D12" s="75"/>
    </row>
    <row r="13" spans="2:5" ht="13.8" thickBot="1">
      <c r="B13" s="148"/>
      <c r="C13" s="153" t="s">
        <v>123</v>
      </c>
      <c r="D13" s="76" t="s">
        <v>124</v>
      </c>
      <c r="E13" s="69" t="s">
        <v>125</v>
      </c>
    </row>
    <row r="14" spans="2:5" ht="13.8" thickTop="1">
      <c r="C14" s="150">
        <v>0</v>
      </c>
      <c r="D14" s="77" t="s">
        <v>138</v>
      </c>
      <c r="E14" s="155" t="s">
        <v>139</v>
      </c>
    </row>
    <row r="15" spans="2:5">
      <c r="C15" s="151">
        <v>1</v>
      </c>
      <c r="D15" s="78" t="s">
        <v>22</v>
      </c>
      <c r="E15" s="64" t="s">
        <v>126</v>
      </c>
    </row>
    <row r="16" spans="2:5">
      <c r="C16" s="151">
        <v>2</v>
      </c>
      <c r="D16" s="78" t="s">
        <v>23</v>
      </c>
      <c r="E16" s="64" t="s">
        <v>127</v>
      </c>
    </row>
    <row r="17" spans="2:5">
      <c r="C17" s="151">
        <v>3</v>
      </c>
      <c r="D17" s="78" t="s">
        <v>24</v>
      </c>
      <c r="E17" s="64" t="s">
        <v>128</v>
      </c>
    </row>
    <row r="18" spans="2:5">
      <c r="C18" s="151">
        <v>4</v>
      </c>
      <c r="D18" s="78" t="s">
        <v>25</v>
      </c>
      <c r="E18" s="64" t="s">
        <v>129</v>
      </c>
    </row>
    <row r="19" spans="2:5">
      <c r="C19" s="151">
        <v>5</v>
      </c>
      <c r="D19" s="78" t="s">
        <v>140</v>
      </c>
      <c r="E19" s="64" t="s">
        <v>142</v>
      </c>
    </row>
    <row r="20" spans="2:5">
      <c r="C20" s="151">
        <v>6</v>
      </c>
      <c r="D20" s="78" t="s">
        <v>146</v>
      </c>
      <c r="E20" s="64" t="s">
        <v>158</v>
      </c>
    </row>
    <row r="21" spans="2:5" ht="13.8" thickBot="1">
      <c r="C21" s="154"/>
      <c r="D21" s="79"/>
      <c r="E21" s="5"/>
    </row>
    <row r="24" spans="2:5" ht="13.8" thickBot="1">
      <c r="B24" s="146" t="s">
        <v>134</v>
      </c>
    </row>
    <row r="25" spans="2:5" ht="13.8" thickBot="1">
      <c r="C25" s="153" t="s">
        <v>123</v>
      </c>
      <c r="D25" s="76" t="s">
        <v>124</v>
      </c>
      <c r="E25" s="69" t="s">
        <v>125</v>
      </c>
    </row>
    <row r="26" spans="2:5" ht="30.75" customHeight="1" thickTop="1">
      <c r="C26" s="150">
        <v>0</v>
      </c>
      <c r="D26" s="77" t="s">
        <v>135</v>
      </c>
      <c r="E26" s="155" t="s">
        <v>143</v>
      </c>
    </row>
    <row r="27" spans="2:5" ht="120" customHeight="1">
      <c r="C27" s="151">
        <v>1</v>
      </c>
      <c r="D27" s="78" t="s">
        <v>160</v>
      </c>
      <c r="E27" s="80" t="s">
        <v>162</v>
      </c>
    </row>
    <row r="28" spans="2:5" ht="81" customHeight="1">
      <c r="C28" s="151">
        <v>2</v>
      </c>
      <c r="D28" s="78" t="s">
        <v>157</v>
      </c>
      <c r="E28" s="80" t="s">
        <v>166</v>
      </c>
    </row>
    <row r="29" spans="2:5" ht="45" customHeight="1">
      <c r="C29" s="151">
        <v>3</v>
      </c>
      <c r="D29" s="78" t="s">
        <v>141</v>
      </c>
      <c r="E29" s="80" t="s">
        <v>144</v>
      </c>
    </row>
    <row r="30" spans="2:5" ht="16.5" customHeight="1">
      <c r="C30" s="151">
        <v>4</v>
      </c>
      <c r="D30" s="78" t="s">
        <v>136</v>
      </c>
      <c r="E30" s="64" t="s">
        <v>148</v>
      </c>
    </row>
    <row r="31" spans="2:5" ht="16.5" customHeight="1">
      <c r="C31" s="151">
        <v>5</v>
      </c>
      <c r="D31" s="78" t="s">
        <v>137</v>
      </c>
      <c r="E31" s="64" t="s">
        <v>145</v>
      </c>
    </row>
    <row r="32" spans="2:5">
      <c r="C32" s="151"/>
      <c r="D32" s="78"/>
      <c r="E32" s="64"/>
    </row>
    <row r="33" spans="2:5">
      <c r="C33" s="151"/>
      <c r="D33" s="78"/>
      <c r="E33" s="64"/>
    </row>
    <row r="34" spans="2:5" ht="13.8" thickBot="1">
      <c r="C34" s="154"/>
      <c r="D34" s="79"/>
      <c r="E34" s="5"/>
    </row>
    <row r="37" spans="2:5" ht="13.8" thickBot="1">
      <c r="B37" s="146" t="s">
        <v>154</v>
      </c>
    </row>
    <row r="38" spans="2:5">
      <c r="C38" s="262"/>
      <c r="D38" s="263"/>
      <c r="E38" s="104" t="s">
        <v>111</v>
      </c>
    </row>
    <row r="39" spans="2:5" ht="13.8" thickBot="1">
      <c r="C39" s="264"/>
      <c r="D39" s="265"/>
      <c r="E39" s="5" t="s">
        <v>112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workbookViewId="0"/>
  </sheetViews>
  <sheetFormatPr defaultRowHeight="13.2"/>
  <cols>
    <col min="2" max="2" width="3.77734375" bestFit="1" customWidth="1"/>
    <col min="3" max="3" width="11" customWidth="1"/>
    <col min="4" max="4" width="19.109375" bestFit="1" customWidth="1"/>
    <col min="6" max="8" width="26.77734375" customWidth="1"/>
    <col min="9" max="9" width="20.88671875" hidden="1" customWidth="1"/>
    <col min="10" max="14" width="9" hidden="1" customWidth="1"/>
  </cols>
  <sheetData>
    <row r="1" spans="2:14" ht="13.8" thickBot="1"/>
    <row r="2" spans="2:14">
      <c r="B2" s="266" t="s">
        <v>18</v>
      </c>
      <c r="C2" s="267"/>
      <c r="D2" s="268" t="s">
        <v>245</v>
      </c>
      <c r="E2" s="269"/>
      <c r="F2" s="269"/>
      <c r="G2" s="269"/>
      <c r="H2" s="270"/>
    </row>
    <row r="3" spans="2:14">
      <c r="B3" s="271" t="s">
        <v>109</v>
      </c>
      <c r="C3" s="272"/>
      <c r="D3" s="273" t="s">
        <v>246</v>
      </c>
      <c r="E3" s="274"/>
      <c r="F3" s="274"/>
      <c r="G3" s="274"/>
      <c r="H3" s="275"/>
    </row>
    <row r="4" spans="2:14" ht="13.8" thickBot="1">
      <c r="B4" s="276" t="s">
        <v>17</v>
      </c>
      <c r="C4" s="277"/>
      <c r="D4" s="278" t="str">
        <f ca="1">表紙!D3&amp;".c"</f>
        <v>alert_S_ADBZR_PMAR-CSTD-0-06-A-C0.c</v>
      </c>
      <c r="E4" s="279"/>
      <c r="F4" s="279"/>
      <c r="G4" s="279"/>
      <c r="H4" s="280"/>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66" t="s">
        <v>34</v>
      </c>
      <c r="C6" s="267"/>
      <c r="D6" s="287" t="str">
        <f ca="1">MID(D4, LEN("alert_") + 1, FIND("-",D4,1) - LEN("alert_") - 1)</f>
        <v>S_ADBZR_PMAR</v>
      </c>
      <c r="E6" s="288"/>
      <c r="F6" s="288"/>
      <c r="G6" s="288"/>
      <c r="H6" s="289"/>
    </row>
    <row r="7" spans="2:14">
      <c r="B7" s="271" t="s">
        <v>35</v>
      </c>
      <c r="C7" s="272"/>
      <c r="D7" s="290">
        <f>COUNTA($D$13:$D$37)</f>
        <v>1</v>
      </c>
      <c r="E7" s="291"/>
      <c r="F7" s="291"/>
      <c r="G7" s="291"/>
      <c r="H7" s="292"/>
    </row>
    <row r="8" spans="2:14">
      <c r="B8" s="271" t="s">
        <v>88</v>
      </c>
      <c r="C8" s="272"/>
      <c r="D8" s="290" t="str">
        <f ca="1">"st_gp_ALERT_"&amp;UPPER(D6)&amp;"_MTRX"</f>
        <v>st_gp_ALERT_S_ADBZR_PMAR_MTRX</v>
      </c>
      <c r="E8" s="291"/>
      <c r="F8" s="291"/>
      <c r="G8" s="291"/>
      <c r="H8" s="292"/>
    </row>
    <row r="9" spans="2:14">
      <c r="B9" s="271" t="s">
        <v>36</v>
      </c>
      <c r="C9" s="272"/>
      <c r="D9" s="281" t="s">
        <v>197</v>
      </c>
      <c r="E9" s="282"/>
      <c r="F9" s="282"/>
      <c r="G9" s="282"/>
      <c r="H9" s="283"/>
    </row>
    <row r="10" spans="2:14" ht="13.8" thickBot="1">
      <c r="B10" s="276" t="s">
        <v>207</v>
      </c>
      <c r="C10" s="277"/>
      <c r="D10" s="284"/>
      <c r="E10" s="285"/>
      <c r="F10" s="285"/>
      <c r="G10" s="285"/>
      <c r="H10" s="286"/>
    </row>
    <row r="11" spans="2:14" ht="13.8" thickBot="1"/>
    <row r="12" spans="2:14" ht="13.8" thickBot="1">
      <c r="B12" s="137" t="s">
        <v>32</v>
      </c>
      <c r="C12" s="94" t="s">
        <v>41</v>
      </c>
      <c r="D12" s="95" t="s">
        <v>33</v>
      </c>
      <c r="E12" s="95" t="s">
        <v>37</v>
      </c>
      <c r="F12" s="95" t="s">
        <v>38</v>
      </c>
      <c r="G12" s="95" t="s">
        <v>39</v>
      </c>
      <c r="H12" s="96" t="s">
        <v>40</v>
      </c>
      <c r="I12" s="142" t="s">
        <v>47</v>
      </c>
      <c r="K12" s="35" t="s">
        <v>33</v>
      </c>
      <c r="L12" s="35" t="s">
        <v>36</v>
      </c>
      <c r="M12" t="s">
        <v>80</v>
      </c>
    </row>
    <row r="13" spans="2:14" ht="13.8" thickTop="1">
      <c r="B13" s="97">
        <v>1</v>
      </c>
      <c r="C13" s="102" t="s">
        <v>195</v>
      </c>
      <c r="D13" s="187" t="s">
        <v>44</v>
      </c>
      <c r="E13" s="103" t="s">
        <v>195</v>
      </c>
      <c r="F13" s="41" t="str">
        <f t="shared" ref="F13:F37" ca="1" si="0">IF($D13&lt;&gt;"","u4_s_Alert"&amp;UPPER(LEFT($D$6,1))&amp;LOWER(MID($D$6,2,100))&amp;IF($D$7=1,"",N13)&amp;"Srcchk","")</f>
        <v>u4_s_AlertS_adbzr_pmarSrcchk</v>
      </c>
      <c r="G13" s="41" t="str">
        <f t="shared" ref="G13:G37" si="1">IF($D13&lt;&gt;"",IF($E13="○","vd_s_Alert"&amp;UPPER(LEFT($D$6,1))&amp;LOWER(MID($D$6,2,100))&amp;IF($D$7=1,"",N13)&amp;"RwTx","NULL"),"")</f>
        <v>NULL</v>
      </c>
      <c r="H13" s="101" t="str">
        <f ca="1">IF($D13&lt;&gt;"","ALERT_CH_"&amp;UPPER($D$6)&amp;IF($D$7=1,"","_"&amp;UPPER($C13)),"")</f>
        <v>ALERT_CH_S_ADBZR_PMAR</v>
      </c>
      <c r="I13" s="143" t="str">
        <f ca="1">IF($D13&lt;&gt;"","ALERT_REQ_"&amp;UPPER($D$6)&amp;IF($D$7=1,"","_"&amp;UPPER($C13)),"")</f>
        <v>ALERT_REQ_S_ADBZR_PMAR</v>
      </c>
      <c r="K13" t="s">
        <v>42</v>
      </c>
      <c r="L13" t="s">
        <v>46</v>
      </c>
      <c r="M13" t="e">
        <f t="shared" ref="M13:M37" si="2">FIND("_",C13,1)</f>
        <v>#VALUE!</v>
      </c>
      <c r="N13" t="str">
        <f t="shared" ref="N13:N37" si="3">IF(IFERROR(M13,0),UPPER(LEFT(C13,1))&amp;LOWER(MID(C13,2,M13-2))&amp;UPPER(MID(C13,M13+1,1))&amp;LOWER(MID(C13,M13+2,100)),UPPER(LEFT(C13,1))&amp;LOWER(MID(C13,2,100)))</f>
        <v>－</v>
      </c>
    </row>
    <row r="14" spans="2:14">
      <c r="B14" s="87">
        <v>2</v>
      </c>
      <c r="C14" s="188"/>
      <c r="D14" s="187"/>
      <c r="E14" s="178"/>
      <c r="F14" s="36" t="str">
        <f t="shared" si="0"/>
        <v/>
      </c>
      <c r="G14" s="36" t="str">
        <f t="shared" si="1"/>
        <v/>
      </c>
      <c r="H14" s="57" t="str">
        <f t="shared" ref="H14:H37" si="4">IF($D14&lt;&gt;"","ALERT_CH_"&amp;UPPER($D$6)&amp;IF($D$7=1,"","_"&amp;UPPER($C14)),"")</f>
        <v/>
      </c>
      <c r="I14" s="144" t="str">
        <f t="shared" ref="I14:I37" si="5">IF($D14&lt;&gt;"","ALERT_REQ_"&amp;UPPER($D$6)&amp;IF($D$7=1,"","_"&amp;UPPER($C14)),"")</f>
        <v/>
      </c>
      <c r="K14" t="s">
        <v>43</v>
      </c>
      <c r="L14" t="str">
        <f ca="1">"vd_g_Alert"&amp;UPPER(LEFT(D6,1))&amp;LOWER(MID(D6,2,100))&amp;"Init"</f>
        <v>vd_g_AlertS_adbzr_pmarInit</v>
      </c>
      <c r="M14" t="e">
        <f t="shared" si="2"/>
        <v>#VALUE!</v>
      </c>
      <c r="N14" t="str">
        <f t="shared" si="3"/>
        <v/>
      </c>
    </row>
    <row r="15" spans="2:14">
      <c r="B15" s="87">
        <v>3</v>
      </c>
      <c r="C15" s="140"/>
      <c r="D15" s="187"/>
      <c r="E15" s="178"/>
      <c r="F15" s="36" t="str">
        <f t="shared" si="0"/>
        <v/>
      </c>
      <c r="G15" s="36" t="str">
        <f t="shared" si="1"/>
        <v/>
      </c>
      <c r="H15" s="57" t="str">
        <f t="shared" si="4"/>
        <v/>
      </c>
      <c r="I15" s="144" t="str">
        <f t="shared" si="5"/>
        <v/>
      </c>
      <c r="K15" t="s">
        <v>113</v>
      </c>
      <c r="M15" t="e">
        <f t="shared" si="2"/>
        <v>#VALUE!</v>
      </c>
      <c r="N15" t="str">
        <f t="shared" si="3"/>
        <v/>
      </c>
    </row>
    <row r="16" spans="2:14">
      <c r="B16" s="87">
        <v>4</v>
      </c>
      <c r="C16" s="140"/>
      <c r="D16" s="141"/>
      <c r="E16" s="141"/>
      <c r="F16" s="36" t="str">
        <f t="shared" si="0"/>
        <v/>
      </c>
      <c r="G16" s="36" t="str">
        <f t="shared" si="1"/>
        <v/>
      </c>
      <c r="H16" s="57" t="str">
        <f t="shared" si="4"/>
        <v/>
      </c>
      <c r="I16" s="144" t="str">
        <f t="shared" si="5"/>
        <v/>
      </c>
      <c r="K16" t="s">
        <v>114</v>
      </c>
      <c r="M16" t="e">
        <f t="shared" si="2"/>
        <v>#VALUE!</v>
      </c>
      <c r="N16" t="str">
        <f t="shared" si="3"/>
        <v/>
      </c>
    </row>
    <row r="17" spans="2:14">
      <c r="B17" s="87">
        <v>5</v>
      </c>
      <c r="C17" s="140"/>
      <c r="D17" s="141"/>
      <c r="E17" s="141"/>
      <c r="F17" s="36" t="str">
        <f t="shared" si="0"/>
        <v/>
      </c>
      <c r="G17" s="36" t="str">
        <f t="shared" si="1"/>
        <v/>
      </c>
      <c r="H17" s="57" t="str">
        <f t="shared" si="4"/>
        <v/>
      </c>
      <c r="I17" s="144" t="str">
        <f t="shared" si="5"/>
        <v/>
      </c>
      <c r="K17" t="s">
        <v>44</v>
      </c>
      <c r="M17" t="e">
        <f t="shared" si="2"/>
        <v>#VALUE!</v>
      </c>
      <c r="N17" t="str">
        <f t="shared" si="3"/>
        <v/>
      </c>
    </row>
    <row r="18" spans="2:14">
      <c r="B18" s="87">
        <v>6</v>
      </c>
      <c r="C18" s="140"/>
      <c r="D18" s="141"/>
      <c r="E18" s="141"/>
      <c r="F18" s="36" t="str">
        <f t="shared" si="0"/>
        <v/>
      </c>
      <c r="G18" s="36" t="str">
        <f t="shared" si="1"/>
        <v/>
      </c>
      <c r="H18" s="57" t="str">
        <f t="shared" si="4"/>
        <v/>
      </c>
      <c r="I18" s="144" t="str">
        <f t="shared" si="5"/>
        <v/>
      </c>
      <c r="K18" t="s">
        <v>45</v>
      </c>
      <c r="M18" t="e">
        <f t="shared" si="2"/>
        <v>#VALUE!</v>
      </c>
      <c r="N18" t="str">
        <f t="shared" si="3"/>
        <v/>
      </c>
    </row>
    <row r="19" spans="2:14">
      <c r="B19" s="87">
        <v>7</v>
      </c>
      <c r="C19" s="140"/>
      <c r="D19" s="141"/>
      <c r="E19" s="141"/>
      <c r="F19" s="36" t="str">
        <f t="shared" si="0"/>
        <v/>
      </c>
      <c r="G19" s="36" t="str">
        <f t="shared" si="1"/>
        <v/>
      </c>
      <c r="H19" s="57" t="str">
        <f t="shared" si="4"/>
        <v/>
      </c>
      <c r="I19" s="144" t="str">
        <f t="shared" si="5"/>
        <v/>
      </c>
      <c r="K19" t="s">
        <v>45</v>
      </c>
      <c r="M19" t="e">
        <f t="shared" si="2"/>
        <v>#VALUE!</v>
      </c>
      <c r="N19" t="str">
        <f t="shared" si="3"/>
        <v/>
      </c>
    </row>
    <row r="20" spans="2:14">
      <c r="B20" s="87">
        <v>8</v>
      </c>
      <c r="C20" s="140"/>
      <c r="D20" s="141"/>
      <c r="E20" s="141"/>
      <c r="F20" s="36" t="str">
        <f t="shared" si="0"/>
        <v/>
      </c>
      <c r="G20" s="36" t="str">
        <f t="shared" si="1"/>
        <v/>
      </c>
      <c r="H20" s="57" t="str">
        <f t="shared" si="4"/>
        <v/>
      </c>
      <c r="I20" s="144" t="str">
        <f t="shared" si="5"/>
        <v/>
      </c>
      <c r="K20" t="s">
        <v>45</v>
      </c>
      <c r="M20" t="e">
        <f t="shared" si="2"/>
        <v>#VALUE!</v>
      </c>
      <c r="N20" t="str">
        <f t="shared" si="3"/>
        <v/>
      </c>
    </row>
    <row r="21" spans="2:14">
      <c r="B21" s="87">
        <v>9</v>
      </c>
      <c r="C21" s="140"/>
      <c r="D21" s="141"/>
      <c r="E21" s="141"/>
      <c r="F21" s="36" t="str">
        <f t="shared" si="0"/>
        <v/>
      </c>
      <c r="G21" s="36" t="str">
        <f t="shared" si="1"/>
        <v/>
      </c>
      <c r="H21" s="57" t="str">
        <f t="shared" si="4"/>
        <v/>
      </c>
      <c r="I21" s="144" t="str">
        <f t="shared" si="5"/>
        <v/>
      </c>
      <c r="K21" t="s">
        <v>45</v>
      </c>
      <c r="M21" t="e">
        <f t="shared" si="2"/>
        <v>#VALUE!</v>
      </c>
      <c r="N21" t="str">
        <f t="shared" si="3"/>
        <v/>
      </c>
    </row>
    <row r="22" spans="2:14">
      <c r="B22" s="87">
        <v>10</v>
      </c>
      <c r="C22" s="140"/>
      <c r="D22" s="141"/>
      <c r="E22" s="141"/>
      <c r="F22" s="36" t="str">
        <f t="shared" si="0"/>
        <v/>
      </c>
      <c r="G22" s="36" t="str">
        <f t="shared" si="1"/>
        <v/>
      </c>
      <c r="H22" s="57" t="str">
        <f t="shared" si="4"/>
        <v/>
      </c>
      <c r="I22" s="144" t="str">
        <f t="shared" si="5"/>
        <v/>
      </c>
      <c r="K22" t="s">
        <v>45</v>
      </c>
      <c r="M22" t="e">
        <f t="shared" si="2"/>
        <v>#VALUE!</v>
      </c>
      <c r="N22" t="str">
        <f t="shared" si="3"/>
        <v/>
      </c>
    </row>
    <row r="23" spans="2:14">
      <c r="B23" s="87">
        <v>11</v>
      </c>
      <c r="C23" s="140"/>
      <c r="D23" s="141"/>
      <c r="E23" s="141"/>
      <c r="F23" s="36" t="str">
        <f t="shared" si="0"/>
        <v/>
      </c>
      <c r="G23" s="36" t="str">
        <f t="shared" si="1"/>
        <v/>
      </c>
      <c r="H23" s="57" t="str">
        <f t="shared" si="4"/>
        <v/>
      </c>
      <c r="I23" s="144" t="str">
        <f t="shared" si="5"/>
        <v/>
      </c>
      <c r="K23" t="s">
        <v>45</v>
      </c>
      <c r="M23" t="e">
        <f t="shared" si="2"/>
        <v>#VALUE!</v>
      </c>
      <c r="N23" t="str">
        <f t="shared" si="3"/>
        <v/>
      </c>
    </row>
    <row r="24" spans="2:14">
      <c r="B24" s="87">
        <v>12</v>
      </c>
      <c r="C24" s="140"/>
      <c r="D24" s="141"/>
      <c r="E24" s="141"/>
      <c r="F24" s="36" t="str">
        <f t="shared" si="0"/>
        <v/>
      </c>
      <c r="G24" s="36" t="str">
        <f t="shared" si="1"/>
        <v/>
      </c>
      <c r="H24" s="57" t="str">
        <f t="shared" si="4"/>
        <v/>
      </c>
      <c r="I24" s="144" t="str">
        <f t="shared" si="5"/>
        <v/>
      </c>
      <c r="K24" t="s">
        <v>45</v>
      </c>
      <c r="M24" t="e">
        <f t="shared" si="2"/>
        <v>#VALUE!</v>
      </c>
      <c r="N24" t="str">
        <f t="shared" si="3"/>
        <v/>
      </c>
    </row>
    <row r="25" spans="2:14">
      <c r="B25" s="87">
        <v>13</v>
      </c>
      <c r="C25" s="140"/>
      <c r="D25" s="141"/>
      <c r="E25" s="141"/>
      <c r="F25" s="36" t="str">
        <f t="shared" si="0"/>
        <v/>
      </c>
      <c r="G25" s="36" t="str">
        <f t="shared" si="1"/>
        <v/>
      </c>
      <c r="H25" s="57" t="str">
        <f t="shared" si="4"/>
        <v/>
      </c>
      <c r="I25" s="144" t="str">
        <f t="shared" si="5"/>
        <v/>
      </c>
      <c r="K25" t="s">
        <v>45</v>
      </c>
      <c r="M25" t="e">
        <f t="shared" si="2"/>
        <v>#VALUE!</v>
      </c>
      <c r="N25" t="str">
        <f t="shared" si="3"/>
        <v/>
      </c>
    </row>
    <row r="26" spans="2:14">
      <c r="B26" s="87">
        <v>14</v>
      </c>
      <c r="C26" s="140"/>
      <c r="D26" s="141"/>
      <c r="E26" s="141"/>
      <c r="F26" s="36" t="str">
        <f t="shared" si="0"/>
        <v/>
      </c>
      <c r="G26" s="36" t="str">
        <f t="shared" si="1"/>
        <v/>
      </c>
      <c r="H26" s="57" t="str">
        <f t="shared" si="4"/>
        <v/>
      </c>
      <c r="I26" s="144" t="str">
        <f t="shared" si="5"/>
        <v/>
      </c>
      <c r="K26" t="s">
        <v>45</v>
      </c>
      <c r="M26" t="e">
        <f t="shared" si="2"/>
        <v>#VALUE!</v>
      </c>
      <c r="N26" t="str">
        <f t="shared" si="3"/>
        <v/>
      </c>
    </row>
    <row r="27" spans="2:14">
      <c r="B27" s="87">
        <v>15</v>
      </c>
      <c r="C27" s="140"/>
      <c r="D27" s="141"/>
      <c r="E27" s="141"/>
      <c r="F27" s="36" t="str">
        <f t="shared" si="0"/>
        <v/>
      </c>
      <c r="G27" s="36" t="str">
        <f t="shared" si="1"/>
        <v/>
      </c>
      <c r="H27" s="57" t="str">
        <f t="shared" si="4"/>
        <v/>
      </c>
      <c r="I27" s="144" t="str">
        <f t="shared" si="5"/>
        <v/>
      </c>
      <c r="K27" t="s">
        <v>45</v>
      </c>
      <c r="M27" t="e">
        <f t="shared" si="2"/>
        <v>#VALUE!</v>
      </c>
      <c r="N27" t="str">
        <f t="shared" si="3"/>
        <v/>
      </c>
    </row>
    <row r="28" spans="2:14">
      <c r="B28" s="87">
        <v>16</v>
      </c>
      <c r="C28" s="140"/>
      <c r="D28" s="141"/>
      <c r="E28" s="141"/>
      <c r="F28" s="36" t="str">
        <f t="shared" si="0"/>
        <v/>
      </c>
      <c r="G28" s="36" t="str">
        <f t="shared" si="1"/>
        <v/>
      </c>
      <c r="H28" s="57" t="str">
        <f t="shared" si="4"/>
        <v/>
      </c>
      <c r="I28" s="144" t="str">
        <f t="shared" si="5"/>
        <v/>
      </c>
      <c r="K28" t="s">
        <v>45</v>
      </c>
      <c r="M28" t="e">
        <f t="shared" si="2"/>
        <v>#VALUE!</v>
      </c>
      <c r="N28" t="str">
        <f t="shared" si="3"/>
        <v/>
      </c>
    </row>
    <row r="29" spans="2:14">
      <c r="B29" s="87">
        <v>17</v>
      </c>
      <c r="C29" s="140"/>
      <c r="D29" s="141"/>
      <c r="E29" s="141"/>
      <c r="F29" s="36" t="str">
        <f t="shared" si="0"/>
        <v/>
      </c>
      <c r="G29" s="36" t="str">
        <f t="shared" si="1"/>
        <v/>
      </c>
      <c r="H29" s="57" t="str">
        <f t="shared" si="4"/>
        <v/>
      </c>
      <c r="I29" s="144" t="str">
        <f t="shared" si="5"/>
        <v/>
      </c>
      <c r="K29" t="s">
        <v>45</v>
      </c>
      <c r="M29" t="e">
        <f t="shared" si="2"/>
        <v>#VALUE!</v>
      </c>
      <c r="N29" t="str">
        <f t="shared" si="3"/>
        <v/>
      </c>
    </row>
    <row r="30" spans="2:14">
      <c r="B30" s="87">
        <v>18</v>
      </c>
      <c r="C30" s="140"/>
      <c r="D30" s="141"/>
      <c r="E30" s="141"/>
      <c r="F30" s="36" t="str">
        <f t="shared" si="0"/>
        <v/>
      </c>
      <c r="G30" s="36" t="str">
        <f t="shared" si="1"/>
        <v/>
      </c>
      <c r="H30" s="57" t="str">
        <f t="shared" si="4"/>
        <v/>
      </c>
      <c r="I30" s="144" t="str">
        <f t="shared" si="5"/>
        <v/>
      </c>
      <c r="K30" t="s">
        <v>45</v>
      </c>
      <c r="M30" t="e">
        <f t="shared" si="2"/>
        <v>#VALUE!</v>
      </c>
      <c r="N30" t="str">
        <f t="shared" si="3"/>
        <v/>
      </c>
    </row>
    <row r="31" spans="2:14">
      <c r="B31" s="87">
        <v>19</v>
      </c>
      <c r="C31" s="140"/>
      <c r="D31" s="141"/>
      <c r="E31" s="141"/>
      <c r="F31" s="36" t="str">
        <f t="shared" si="0"/>
        <v/>
      </c>
      <c r="G31" s="36" t="str">
        <f t="shared" si="1"/>
        <v/>
      </c>
      <c r="H31" s="57" t="str">
        <f t="shared" si="4"/>
        <v/>
      </c>
      <c r="I31" s="144" t="str">
        <f t="shared" si="5"/>
        <v/>
      </c>
      <c r="K31" t="s">
        <v>45</v>
      </c>
      <c r="M31" t="e">
        <f t="shared" si="2"/>
        <v>#VALUE!</v>
      </c>
      <c r="N31" t="str">
        <f t="shared" si="3"/>
        <v/>
      </c>
    </row>
    <row r="32" spans="2:14">
      <c r="B32" s="87">
        <v>20</v>
      </c>
      <c r="C32" s="140"/>
      <c r="D32" s="141"/>
      <c r="E32" s="141"/>
      <c r="F32" s="36" t="str">
        <f t="shared" si="0"/>
        <v/>
      </c>
      <c r="G32" s="36" t="str">
        <f t="shared" si="1"/>
        <v/>
      </c>
      <c r="H32" s="57" t="str">
        <f t="shared" si="4"/>
        <v/>
      </c>
      <c r="I32" s="144" t="str">
        <f t="shared" si="5"/>
        <v/>
      </c>
      <c r="K32" t="s">
        <v>45</v>
      </c>
      <c r="M32" t="e">
        <f t="shared" si="2"/>
        <v>#VALUE!</v>
      </c>
      <c r="N32" t="str">
        <f t="shared" si="3"/>
        <v/>
      </c>
    </row>
    <row r="33" spans="2:14">
      <c r="B33" s="87">
        <v>21</v>
      </c>
      <c r="C33" s="140"/>
      <c r="D33" s="141"/>
      <c r="E33" s="141"/>
      <c r="F33" s="36" t="str">
        <f t="shared" si="0"/>
        <v/>
      </c>
      <c r="G33" s="36" t="str">
        <f t="shared" si="1"/>
        <v/>
      </c>
      <c r="H33" s="57" t="str">
        <f t="shared" si="4"/>
        <v/>
      </c>
      <c r="I33" s="144" t="str">
        <f t="shared" si="5"/>
        <v/>
      </c>
      <c r="K33" t="s">
        <v>45</v>
      </c>
      <c r="M33" t="e">
        <f t="shared" si="2"/>
        <v>#VALUE!</v>
      </c>
      <c r="N33" t="str">
        <f t="shared" si="3"/>
        <v/>
      </c>
    </row>
    <row r="34" spans="2:14">
      <c r="B34" s="87">
        <v>22</v>
      </c>
      <c r="C34" s="140"/>
      <c r="D34" s="141"/>
      <c r="E34" s="141"/>
      <c r="F34" s="36" t="str">
        <f t="shared" si="0"/>
        <v/>
      </c>
      <c r="G34" s="36" t="str">
        <f t="shared" si="1"/>
        <v/>
      </c>
      <c r="H34" s="57" t="str">
        <f t="shared" si="4"/>
        <v/>
      </c>
      <c r="I34" s="144" t="str">
        <f t="shared" si="5"/>
        <v/>
      </c>
      <c r="K34" t="s">
        <v>45</v>
      </c>
      <c r="M34" t="e">
        <f t="shared" si="2"/>
        <v>#VALUE!</v>
      </c>
      <c r="N34" t="str">
        <f t="shared" si="3"/>
        <v/>
      </c>
    </row>
    <row r="35" spans="2:14">
      <c r="B35" s="87">
        <v>23</v>
      </c>
      <c r="C35" s="140"/>
      <c r="D35" s="141"/>
      <c r="E35" s="141"/>
      <c r="F35" s="36" t="str">
        <f t="shared" si="0"/>
        <v/>
      </c>
      <c r="G35" s="36" t="str">
        <f t="shared" si="1"/>
        <v/>
      </c>
      <c r="H35" s="57" t="str">
        <f t="shared" si="4"/>
        <v/>
      </c>
      <c r="I35" s="144" t="str">
        <f t="shared" si="5"/>
        <v/>
      </c>
      <c r="K35" t="s">
        <v>45</v>
      </c>
      <c r="M35" t="e">
        <f t="shared" si="2"/>
        <v>#VALUE!</v>
      </c>
      <c r="N35" t="str">
        <f t="shared" si="3"/>
        <v/>
      </c>
    </row>
    <row r="36" spans="2:14">
      <c r="B36" s="87">
        <v>24</v>
      </c>
      <c r="C36" s="140"/>
      <c r="D36" s="141"/>
      <c r="E36" s="141"/>
      <c r="F36" s="36" t="str">
        <f t="shared" si="0"/>
        <v/>
      </c>
      <c r="G36" s="36" t="str">
        <f t="shared" si="1"/>
        <v/>
      </c>
      <c r="H36" s="57" t="str">
        <f t="shared" si="4"/>
        <v/>
      </c>
      <c r="I36" s="144" t="str">
        <f t="shared" si="5"/>
        <v/>
      </c>
      <c r="K36" t="s">
        <v>45</v>
      </c>
      <c r="M36" t="e">
        <f t="shared" si="2"/>
        <v>#VALUE!</v>
      </c>
      <c r="N36" t="str">
        <f t="shared" si="3"/>
        <v/>
      </c>
    </row>
    <row r="37" spans="2:14" ht="13.8" thickBot="1">
      <c r="B37" s="88">
        <v>25</v>
      </c>
      <c r="C37" s="138"/>
      <c r="D37" s="139"/>
      <c r="E37" s="139"/>
      <c r="F37" s="44" t="str">
        <f t="shared" si="0"/>
        <v/>
      </c>
      <c r="G37" s="44" t="str">
        <f t="shared" si="1"/>
        <v/>
      </c>
      <c r="H37" s="58" t="str">
        <f t="shared" si="4"/>
        <v/>
      </c>
      <c r="I37" s="145" t="str">
        <f t="shared" si="5"/>
        <v/>
      </c>
      <c r="K37" t="s">
        <v>45</v>
      </c>
      <c r="M37" t="e">
        <f t="shared" si="2"/>
        <v>#VALUE!</v>
      </c>
      <c r="N37" t="str">
        <f t="shared" si="3"/>
        <v/>
      </c>
    </row>
  </sheetData>
  <sheetProtection sheet="1" objects="1" scenarios="1"/>
  <protectedRanges>
    <protectedRange sqref="D2:H3 D9:H10 C13:E37" name="編集許可"/>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D3:H3"/>
    <mergeCell ref="B4:C4"/>
    <mergeCell ref="D4:H4"/>
  </mergeCells>
  <phoneticPr fontId="2"/>
  <conditionalFormatting sqref="C13:C37">
    <cfRule type="expression" dxfId="8" priority="3">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179</v>
      </c>
      <c r="O2" t="s">
        <v>180</v>
      </c>
    </row>
    <row r="3" spans="2:18" ht="13.8" thickBot="1">
      <c r="B3" s="137" t="s">
        <v>32</v>
      </c>
      <c r="C3" s="95" t="s">
        <v>181</v>
      </c>
      <c r="D3" s="95" t="s">
        <v>182</v>
      </c>
      <c r="E3" s="96" t="s">
        <v>183</v>
      </c>
      <c r="F3" s="184" t="s">
        <v>184</v>
      </c>
      <c r="G3" s="170" t="s">
        <v>206</v>
      </c>
      <c r="H3" s="35"/>
      <c r="I3" s="35"/>
      <c r="J3" s="35"/>
      <c r="K3" s="35"/>
      <c r="L3" s="35"/>
      <c r="M3" s="35"/>
      <c r="O3" s="137" t="s">
        <v>32</v>
      </c>
      <c r="P3" s="171" t="s">
        <v>185</v>
      </c>
      <c r="Q3" s="171" t="s">
        <v>186</v>
      </c>
      <c r="R3" s="170" t="s">
        <v>184</v>
      </c>
    </row>
    <row r="4" spans="2:18" ht="13.8" hidden="1" thickTop="1">
      <c r="B4" s="172">
        <v>0</v>
      </c>
      <c r="C4" s="173" t="s">
        <v>155</v>
      </c>
      <c r="D4" s="173"/>
      <c r="E4" s="174"/>
      <c r="F4" s="185"/>
      <c r="G4" s="186"/>
      <c r="H4" s="35"/>
      <c r="I4" s="35"/>
      <c r="J4" s="35"/>
      <c r="K4" s="35"/>
      <c r="L4" s="35"/>
      <c r="M4" s="35"/>
      <c r="O4" s="175">
        <v>0</v>
      </c>
      <c r="P4" s="176" t="s">
        <v>155</v>
      </c>
      <c r="Q4" s="176" t="s">
        <v>155</v>
      </c>
      <c r="R4" s="132"/>
    </row>
    <row r="5" spans="2:18" ht="13.8" thickTop="1">
      <c r="B5" s="177">
        <v>1</v>
      </c>
      <c r="C5" s="141"/>
      <c r="D5" s="22"/>
      <c r="E5" s="57" t="str">
        <f>IF($C5&lt;&gt;"","ALERT_" &amp; D5 &amp; "_ID_"&amp;UPPER(Matrix!$D$6) &amp; "_" &amp; $C5,"")</f>
        <v/>
      </c>
      <c r="F5" s="108"/>
      <c r="G5" s="57" t="str">
        <f>IF(E5&lt;&gt;"",LEN(E5),"")</f>
        <v/>
      </c>
      <c r="O5" s="177">
        <v>1</v>
      </c>
      <c r="P5" s="141"/>
      <c r="Q5" s="141"/>
      <c r="R5" s="109"/>
    </row>
    <row r="6" spans="2:18">
      <c r="B6" s="177">
        <v>2</v>
      </c>
      <c r="C6" s="141"/>
      <c r="D6" s="22"/>
      <c r="E6" s="57" t="str">
        <f>IF($C6&lt;&gt;"","ALERT_" &amp; D6 &amp; "_ID_"&amp;UPPER(Matrix!$D$6) &amp; "_" &amp; $C6,"")</f>
        <v/>
      </c>
      <c r="F6" s="108"/>
      <c r="G6" s="57" t="str">
        <f t="shared" ref="G6:G29" si="0">IF(E6&lt;&gt;"",LEN(E6),"")</f>
        <v/>
      </c>
      <c r="O6" s="177">
        <v>2</v>
      </c>
      <c r="P6" s="141"/>
      <c r="Q6" s="141"/>
      <c r="R6" s="109"/>
    </row>
    <row r="7" spans="2:18">
      <c r="B7" s="177">
        <v>3</v>
      </c>
      <c r="C7" s="141"/>
      <c r="D7" s="22"/>
      <c r="E7" s="57" t="str">
        <f>IF($C7&lt;&gt;"","ALERT_" &amp; D7 &amp; "_ID_"&amp;UPPER(Matrix!$D$6) &amp; "_" &amp; $C7,"")</f>
        <v/>
      </c>
      <c r="F7" s="108"/>
      <c r="G7" s="57" t="str">
        <f t="shared" si="0"/>
        <v/>
      </c>
      <c r="O7" s="177">
        <v>3</v>
      </c>
      <c r="P7" s="141"/>
      <c r="Q7" s="141"/>
      <c r="R7" s="109"/>
    </row>
    <row r="8" spans="2:18">
      <c r="B8" s="177">
        <v>4</v>
      </c>
      <c r="C8" s="141"/>
      <c r="D8" s="22"/>
      <c r="E8" s="57" t="str">
        <f>IF($C8&lt;&gt;"","ALERT_" &amp; D8 &amp; "_ID_"&amp;UPPER(Matrix!$D$6) &amp; "_" &amp; $C8,"")</f>
        <v/>
      </c>
      <c r="F8" s="108"/>
      <c r="G8" s="57" t="str">
        <f t="shared" si="0"/>
        <v/>
      </c>
      <c r="O8" s="177">
        <v>4</v>
      </c>
      <c r="P8" s="141"/>
      <c r="Q8" s="141"/>
      <c r="R8" s="109"/>
    </row>
    <row r="9" spans="2:18">
      <c r="B9" s="177">
        <v>5</v>
      </c>
      <c r="C9" s="141"/>
      <c r="D9" s="22"/>
      <c r="E9" s="57" t="str">
        <f>IF($C9&lt;&gt;"","ALERT_" &amp; D9 &amp; "_ID_"&amp;UPPER(Matrix!$D$6) &amp; "_" &amp; $C9,"")</f>
        <v/>
      </c>
      <c r="F9" s="108"/>
      <c r="G9" s="57" t="str">
        <f t="shared" si="0"/>
        <v/>
      </c>
      <c r="O9" s="177">
        <v>5</v>
      </c>
      <c r="P9" s="141"/>
      <c r="Q9" s="141"/>
      <c r="R9" s="109"/>
    </row>
    <row r="10" spans="2:18">
      <c r="B10" s="177">
        <v>6</v>
      </c>
      <c r="C10" s="141"/>
      <c r="D10" s="22"/>
      <c r="E10" s="57" t="str">
        <f>IF($C10&lt;&gt;"","ALERT_" &amp; D10 &amp; "_ID_"&amp;UPPER(Matrix!$D$6) &amp; "_" &amp; $C10,"")</f>
        <v/>
      </c>
      <c r="F10" s="108"/>
      <c r="G10" s="57" t="str">
        <f t="shared" si="0"/>
        <v/>
      </c>
      <c r="O10" s="177">
        <v>6</v>
      </c>
      <c r="P10" s="141"/>
      <c r="Q10" s="141"/>
      <c r="R10" s="109"/>
    </row>
    <row r="11" spans="2:18">
      <c r="B11" s="177">
        <v>7</v>
      </c>
      <c r="C11" s="141"/>
      <c r="D11" s="22"/>
      <c r="E11" s="57" t="str">
        <f>IF($C11&lt;&gt;"","ALERT_" &amp; D11 &amp; "_ID_"&amp;UPPER(Matrix!$D$6) &amp; "_" &amp; $C11,"")</f>
        <v/>
      </c>
      <c r="F11" s="108"/>
      <c r="G11" s="57" t="str">
        <f t="shared" si="0"/>
        <v/>
      </c>
      <c r="O11" s="177">
        <v>7</v>
      </c>
      <c r="P11" s="141"/>
      <c r="Q11" s="141"/>
      <c r="R11" s="109"/>
    </row>
    <row r="12" spans="2:18">
      <c r="B12" s="177">
        <v>8</v>
      </c>
      <c r="C12" s="141"/>
      <c r="D12" s="22"/>
      <c r="E12" s="57" t="str">
        <f>IF($C12&lt;&gt;"","ALERT_" &amp; D12 &amp; "_ID_"&amp;UPPER(Matrix!$D$6) &amp; "_" &amp; $C12,"")</f>
        <v/>
      </c>
      <c r="F12" s="108"/>
      <c r="G12" s="57" t="str">
        <f t="shared" si="0"/>
        <v/>
      </c>
      <c r="O12" s="177">
        <v>8</v>
      </c>
      <c r="P12" s="141"/>
      <c r="Q12" s="141"/>
      <c r="R12" s="109"/>
    </row>
    <row r="13" spans="2:18">
      <c r="B13" s="177">
        <v>9</v>
      </c>
      <c r="C13" s="141"/>
      <c r="D13" s="22"/>
      <c r="E13" s="57" t="str">
        <f>IF($C13&lt;&gt;"","ALERT_" &amp; D13 &amp; "_ID_"&amp;UPPER(Matrix!$D$6) &amp; "_" &amp; $C13,"")</f>
        <v/>
      </c>
      <c r="F13" s="108"/>
      <c r="G13" s="57" t="str">
        <f t="shared" si="0"/>
        <v/>
      </c>
      <c r="O13" s="177">
        <v>9</v>
      </c>
      <c r="P13" s="141"/>
      <c r="Q13" s="141"/>
      <c r="R13" s="109"/>
    </row>
    <row r="14" spans="2:18">
      <c r="B14" s="177">
        <v>10</v>
      </c>
      <c r="C14" s="141"/>
      <c r="D14" s="22"/>
      <c r="E14" s="57" t="str">
        <f>IF($C14&lt;&gt;"","ALERT_" &amp; D14 &amp; "_ID_"&amp;UPPER(Matrix!$D$6) &amp; "_" &amp; $C14,"")</f>
        <v/>
      </c>
      <c r="F14" s="108"/>
      <c r="G14" s="57" t="str">
        <f t="shared" si="0"/>
        <v/>
      </c>
      <c r="O14" s="177">
        <v>10</v>
      </c>
      <c r="P14" s="141"/>
      <c r="Q14" s="141"/>
      <c r="R14" s="109"/>
    </row>
    <row r="15" spans="2:18">
      <c r="B15" s="177">
        <v>11</v>
      </c>
      <c r="C15" s="141"/>
      <c r="D15" s="22"/>
      <c r="E15" s="57" t="str">
        <f>IF($C15&lt;&gt;"","ALERT_" &amp; D15 &amp; "_ID_"&amp;UPPER(Matrix!$D$6) &amp; "_" &amp; $C15,"")</f>
        <v/>
      </c>
      <c r="F15" s="108"/>
      <c r="G15" s="57" t="str">
        <f t="shared" si="0"/>
        <v/>
      </c>
      <c r="O15" s="177">
        <v>11</v>
      </c>
      <c r="P15" s="141"/>
      <c r="Q15" s="141"/>
      <c r="R15" s="109"/>
    </row>
    <row r="16" spans="2:18">
      <c r="B16" s="177">
        <v>12</v>
      </c>
      <c r="C16" s="141"/>
      <c r="D16" s="22"/>
      <c r="E16" s="57" t="str">
        <f>IF($C16&lt;&gt;"","ALERT_" &amp; D16 &amp; "_ID_"&amp;UPPER(Matrix!$D$6) &amp; "_" &amp; $C16,"")</f>
        <v/>
      </c>
      <c r="F16" s="108"/>
      <c r="G16" s="57" t="str">
        <f t="shared" si="0"/>
        <v/>
      </c>
      <c r="O16" s="177">
        <v>12</v>
      </c>
      <c r="P16" s="141"/>
      <c r="Q16" s="141"/>
      <c r="R16" s="109"/>
    </row>
    <row r="17" spans="2:18">
      <c r="B17" s="177">
        <v>13</v>
      </c>
      <c r="C17" s="141"/>
      <c r="D17" s="22"/>
      <c r="E17" s="57" t="str">
        <f>IF($C17&lt;&gt;"","ALERT_" &amp; D17 &amp; "_ID_"&amp;UPPER(Matrix!$D$6) &amp; "_" &amp; $C17,"")</f>
        <v/>
      </c>
      <c r="F17" s="108"/>
      <c r="G17" s="57" t="str">
        <f t="shared" si="0"/>
        <v/>
      </c>
      <c r="O17" s="177">
        <v>13</v>
      </c>
      <c r="P17" s="141"/>
      <c r="Q17" s="141"/>
      <c r="R17" s="109"/>
    </row>
    <row r="18" spans="2:18">
      <c r="B18" s="177">
        <v>14</v>
      </c>
      <c r="C18" s="141"/>
      <c r="D18" s="22"/>
      <c r="E18" s="57" t="str">
        <f>IF($C18&lt;&gt;"","ALERT_" &amp; D18 &amp; "_ID_"&amp;UPPER(Matrix!$D$6) &amp; "_" &amp; $C18,"")</f>
        <v/>
      </c>
      <c r="F18" s="108"/>
      <c r="G18" s="57" t="str">
        <f t="shared" si="0"/>
        <v/>
      </c>
      <c r="O18" s="177">
        <v>14</v>
      </c>
      <c r="P18" s="141"/>
      <c r="Q18" s="141"/>
      <c r="R18" s="109"/>
    </row>
    <row r="19" spans="2:18">
      <c r="B19" s="177">
        <v>15</v>
      </c>
      <c r="C19" s="141"/>
      <c r="D19" s="22"/>
      <c r="E19" s="57" t="str">
        <f>IF($C19&lt;&gt;"","ALERT_" &amp; D19 &amp; "_ID_"&amp;UPPER(Matrix!$D$6) &amp; "_" &amp; $C19,"")</f>
        <v/>
      </c>
      <c r="F19" s="108"/>
      <c r="G19" s="57" t="str">
        <f t="shared" si="0"/>
        <v/>
      </c>
      <c r="O19" s="177">
        <v>15</v>
      </c>
      <c r="P19" s="141"/>
      <c r="Q19" s="141"/>
      <c r="R19" s="109"/>
    </row>
    <row r="20" spans="2:18">
      <c r="B20" s="177">
        <v>16</v>
      </c>
      <c r="C20" s="141"/>
      <c r="D20" s="22"/>
      <c r="E20" s="57" t="str">
        <f>IF($C20&lt;&gt;"","ALERT_" &amp; D20 &amp; "_ID_"&amp;UPPER(Matrix!$D$6) &amp; "_" &amp; $C20,"")</f>
        <v/>
      </c>
      <c r="F20" s="108"/>
      <c r="G20" s="57" t="str">
        <f t="shared" si="0"/>
        <v/>
      </c>
      <c r="O20" s="177">
        <v>16</v>
      </c>
      <c r="P20" s="141"/>
      <c r="Q20" s="141"/>
      <c r="R20" s="109"/>
    </row>
    <row r="21" spans="2:18">
      <c r="B21" s="177">
        <v>17</v>
      </c>
      <c r="C21" s="141"/>
      <c r="D21" s="22"/>
      <c r="E21" s="57" t="str">
        <f>IF($C21&lt;&gt;"","ALERT_" &amp; D21 &amp; "_ID_"&amp;UPPER(Matrix!$D$6) &amp; "_" &amp; $C21,"")</f>
        <v/>
      </c>
      <c r="F21" s="108"/>
      <c r="G21" s="57" t="str">
        <f t="shared" si="0"/>
        <v/>
      </c>
      <c r="O21" s="177">
        <v>17</v>
      </c>
      <c r="P21" s="141"/>
      <c r="Q21" s="141"/>
      <c r="R21" s="109"/>
    </row>
    <row r="22" spans="2:18">
      <c r="B22" s="177">
        <v>18</v>
      </c>
      <c r="C22" s="141"/>
      <c r="D22" s="22"/>
      <c r="E22" s="57" t="str">
        <f>IF($C22&lt;&gt;"","ALERT_" &amp; D22 &amp; "_ID_"&amp;UPPER(Matrix!$D$6) &amp; "_" &amp; $C22,"")</f>
        <v/>
      </c>
      <c r="F22" s="108"/>
      <c r="G22" s="57" t="str">
        <f t="shared" si="0"/>
        <v/>
      </c>
      <c r="O22" s="177">
        <v>18</v>
      </c>
      <c r="P22" s="141"/>
      <c r="Q22" s="141"/>
      <c r="R22" s="109"/>
    </row>
    <row r="23" spans="2:18">
      <c r="B23" s="177">
        <v>19</v>
      </c>
      <c r="C23" s="141"/>
      <c r="D23" s="22"/>
      <c r="E23" s="57" t="str">
        <f>IF($C23&lt;&gt;"","ALERT_" &amp; D23 &amp; "_ID_"&amp;UPPER(Matrix!$D$6) &amp; "_" &amp; $C23,"")</f>
        <v/>
      </c>
      <c r="F23" s="108"/>
      <c r="G23" s="57" t="str">
        <f t="shared" si="0"/>
        <v/>
      </c>
      <c r="O23" s="177">
        <v>19</v>
      </c>
      <c r="P23" s="141"/>
      <c r="Q23" s="141"/>
      <c r="R23" s="109"/>
    </row>
    <row r="24" spans="2:18">
      <c r="B24" s="177">
        <v>20</v>
      </c>
      <c r="C24" s="141"/>
      <c r="D24" s="22"/>
      <c r="E24" s="57" t="str">
        <f>IF($C24&lt;&gt;"","ALERT_" &amp; D24 &amp; "_ID_"&amp;UPPER(Matrix!$D$6) &amp; "_" &amp; $C24,"")</f>
        <v/>
      </c>
      <c r="F24" s="108"/>
      <c r="G24" s="57" t="str">
        <f t="shared" si="0"/>
        <v/>
      </c>
      <c r="O24" s="177">
        <v>20</v>
      </c>
      <c r="P24" s="141"/>
      <c r="Q24" s="141"/>
      <c r="R24" s="109"/>
    </row>
    <row r="25" spans="2:18">
      <c r="B25" s="177">
        <v>21</v>
      </c>
      <c r="C25" s="141"/>
      <c r="D25" s="22"/>
      <c r="E25" s="57" t="str">
        <f>IF($C25&lt;&gt;"","ALERT_" &amp; D25 &amp; "_ID_"&amp;UPPER(Matrix!$D$6) &amp; "_" &amp; $C25,"")</f>
        <v/>
      </c>
      <c r="F25" s="108"/>
      <c r="G25" s="57" t="str">
        <f t="shared" si="0"/>
        <v/>
      </c>
      <c r="O25" s="177">
        <v>21</v>
      </c>
      <c r="P25" s="141"/>
      <c r="Q25" s="141"/>
      <c r="R25" s="109"/>
    </row>
    <row r="26" spans="2:18">
      <c r="B26" s="177">
        <v>22</v>
      </c>
      <c r="C26" s="141"/>
      <c r="D26" s="22"/>
      <c r="E26" s="57" t="str">
        <f>IF($C26&lt;&gt;"","ALERT_" &amp; D26 &amp; "_ID_"&amp;UPPER(Matrix!$D$6) &amp; "_" &amp; $C26,"")</f>
        <v/>
      </c>
      <c r="F26" s="108"/>
      <c r="G26" s="57" t="str">
        <f t="shared" si="0"/>
        <v/>
      </c>
      <c r="O26" s="177">
        <v>22</v>
      </c>
      <c r="P26" s="141"/>
      <c r="Q26" s="141"/>
      <c r="R26" s="109"/>
    </row>
    <row r="27" spans="2:18">
      <c r="B27" s="177">
        <v>23</v>
      </c>
      <c r="C27" s="141"/>
      <c r="D27" s="22"/>
      <c r="E27" s="57" t="str">
        <f>IF($C27&lt;&gt;"","ALERT_" &amp; D27 &amp; "_ID_"&amp;UPPER(Matrix!$D$6) &amp; "_" &amp; $C27,"")</f>
        <v/>
      </c>
      <c r="F27" s="108"/>
      <c r="G27" s="57" t="str">
        <f t="shared" si="0"/>
        <v/>
      </c>
      <c r="O27" s="177">
        <v>23</v>
      </c>
      <c r="P27" s="141"/>
      <c r="Q27" s="141"/>
      <c r="R27" s="109"/>
    </row>
    <row r="28" spans="2:18">
      <c r="B28" s="177">
        <v>24</v>
      </c>
      <c r="C28" s="141"/>
      <c r="D28" s="22"/>
      <c r="E28" s="57" t="str">
        <f>IF($C28&lt;&gt;"","ALERT_" &amp; D28 &amp; "_ID_"&amp;UPPER(Matrix!$D$6) &amp; "_" &amp; $C28,"")</f>
        <v/>
      </c>
      <c r="F28" s="108"/>
      <c r="G28" s="57" t="str">
        <f t="shared" si="0"/>
        <v/>
      </c>
      <c r="O28" s="177">
        <v>24</v>
      </c>
      <c r="P28" s="141"/>
      <c r="Q28" s="141"/>
      <c r="R28" s="109"/>
    </row>
    <row r="29" spans="2:18" ht="13.8" thickBot="1">
      <c r="B29" s="179">
        <v>25</v>
      </c>
      <c r="C29" s="139"/>
      <c r="D29" s="43"/>
      <c r="E29" s="58" t="str">
        <f>IF($C29&lt;&gt;"","ALERT_" &amp; D29 &amp; "_ID_"&amp;UPPER(Matrix!$D$6) &amp; "_" &amp; $C29,"")</f>
        <v/>
      </c>
      <c r="F29" s="110"/>
      <c r="G29" s="58" t="str">
        <f t="shared" si="0"/>
        <v/>
      </c>
      <c r="O29" s="179">
        <v>25</v>
      </c>
      <c r="P29" s="139"/>
      <c r="Q29" s="139"/>
      <c r="R29" s="111"/>
    </row>
    <row r="32" spans="2:18" ht="13.8" thickBot="1">
      <c r="B32" t="s">
        <v>187</v>
      </c>
      <c r="O32" t="s">
        <v>188</v>
      </c>
    </row>
    <row r="33" spans="2:18" ht="13.8" thickBot="1">
      <c r="B33" s="137" t="s">
        <v>32</v>
      </c>
      <c r="C33" s="95" t="s">
        <v>181</v>
      </c>
      <c r="D33" s="95" t="s">
        <v>189</v>
      </c>
      <c r="E33" s="96" t="s">
        <v>183</v>
      </c>
      <c r="F33" s="170" t="s">
        <v>190</v>
      </c>
      <c r="G33" s="170" t="s">
        <v>206</v>
      </c>
      <c r="O33" s="137" t="s">
        <v>32</v>
      </c>
      <c r="P33" s="171" t="s">
        <v>191</v>
      </c>
      <c r="Q33" s="171" t="s">
        <v>192</v>
      </c>
      <c r="R33" s="170" t="s">
        <v>184</v>
      </c>
    </row>
    <row r="34" spans="2:18" ht="13.8" hidden="1" thickTop="1">
      <c r="B34" s="172">
        <v>0</v>
      </c>
      <c r="C34" s="173" t="s">
        <v>155</v>
      </c>
      <c r="D34" s="173"/>
      <c r="E34" s="174"/>
      <c r="F34" s="180" t="s">
        <v>155</v>
      </c>
      <c r="G34" s="186"/>
      <c r="O34" s="175">
        <v>0</v>
      </c>
      <c r="P34" s="176" t="s">
        <v>155</v>
      </c>
      <c r="Q34" s="176" t="s">
        <v>155</v>
      </c>
      <c r="R34" s="180" t="s">
        <v>155</v>
      </c>
    </row>
    <row r="35" spans="2:18" ht="13.8" thickTop="1">
      <c r="B35" s="177">
        <v>1</v>
      </c>
      <c r="C35" s="141"/>
      <c r="D35" s="22"/>
      <c r="E35" s="57" t="str">
        <f>IF($C35&lt;&gt;"","ALERT_" &amp; UPPER(Matrix!$D$6) &amp; "_" &amp; $C35,"")</f>
        <v/>
      </c>
      <c r="F35" s="181"/>
      <c r="G35" s="57" t="str">
        <f>IF(E35&lt;&gt;"",LEN(E35),"")</f>
        <v/>
      </c>
      <c r="O35" s="177">
        <v>1</v>
      </c>
      <c r="P35" s="141"/>
      <c r="Q35" s="141"/>
      <c r="R35" s="181"/>
    </row>
    <row r="36" spans="2:18">
      <c r="B36" s="177">
        <v>2</v>
      </c>
      <c r="C36" s="141"/>
      <c r="D36" s="22"/>
      <c r="E36" s="57" t="str">
        <f>IF($C36&lt;&gt;"","ALERT_" &amp; UPPER(Matrix!$D$6) &amp; "_" &amp; $C36,"")</f>
        <v/>
      </c>
      <c r="F36" s="181"/>
      <c r="G36" s="57" t="str">
        <f>IF(E36&lt;&gt;"",LEN(E36),"")</f>
        <v/>
      </c>
      <c r="O36" s="177">
        <v>2</v>
      </c>
      <c r="P36" s="141"/>
      <c r="Q36" s="141"/>
      <c r="R36" s="181"/>
    </row>
    <row r="37" spans="2:18">
      <c r="B37" s="177">
        <v>3</v>
      </c>
      <c r="C37" s="141"/>
      <c r="D37" s="22"/>
      <c r="E37" s="57" t="str">
        <f>IF($C37&lt;&gt;"","ALERT_" &amp; UPPER(Matrix!$D$6) &amp; "_" &amp; $C37,"")</f>
        <v/>
      </c>
      <c r="F37" s="181"/>
      <c r="G37" s="57" t="str">
        <f>IF(E37&lt;&gt;"",LEN(E37),"")</f>
        <v/>
      </c>
      <c r="O37" s="177">
        <v>3</v>
      </c>
      <c r="P37" s="141"/>
      <c r="Q37" s="141"/>
      <c r="R37" s="181"/>
    </row>
    <row r="38" spans="2:18">
      <c r="B38" s="177">
        <v>4</v>
      </c>
      <c r="C38" s="141"/>
      <c r="D38" s="22"/>
      <c r="E38" s="57" t="str">
        <f>IF($C38&lt;&gt;"","ALERT_" &amp; UPPER(Matrix!$D$6) &amp; "_" &amp; $C38,"")</f>
        <v/>
      </c>
      <c r="F38" s="181"/>
      <c r="G38" s="57" t="str">
        <f t="shared" ref="G38:G59" si="1">IF(E38&lt;&gt;"",LEN(E38),"")</f>
        <v/>
      </c>
      <c r="O38" s="177">
        <v>4</v>
      </c>
      <c r="P38" s="141"/>
      <c r="Q38" s="141"/>
      <c r="R38" s="181"/>
    </row>
    <row r="39" spans="2:18">
      <c r="B39" s="177">
        <v>5</v>
      </c>
      <c r="C39" s="141"/>
      <c r="D39" s="22"/>
      <c r="E39" s="57" t="str">
        <f>IF($C39&lt;&gt;"","ALERT_" &amp; UPPER(Matrix!$D$6) &amp; "_" &amp; $C39,"")</f>
        <v/>
      </c>
      <c r="F39" s="181"/>
      <c r="G39" s="57" t="str">
        <f t="shared" si="1"/>
        <v/>
      </c>
      <c r="O39" s="177">
        <v>5</v>
      </c>
      <c r="P39" s="141"/>
      <c r="Q39" s="141"/>
      <c r="R39" s="181"/>
    </row>
    <row r="40" spans="2:18">
      <c r="B40" s="177">
        <v>6</v>
      </c>
      <c r="C40" s="141"/>
      <c r="D40" s="22"/>
      <c r="E40" s="57" t="str">
        <f>IF($C40&lt;&gt;"","ALERT_" &amp; UPPER(Matrix!$D$6) &amp; "_" &amp; $C40,"")</f>
        <v/>
      </c>
      <c r="F40" s="181"/>
      <c r="G40" s="57" t="str">
        <f t="shared" si="1"/>
        <v/>
      </c>
      <c r="O40" s="177">
        <v>6</v>
      </c>
      <c r="P40" s="141"/>
      <c r="Q40" s="141"/>
      <c r="R40" s="181"/>
    </row>
    <row r="41" spans="2:18">
      <c r="B41" s="177">
        <v>7</v>
      </c>
      <c r="C41" s="141"/>
      <c r="D41" s="22"/>
      <c r="E41" s="57" t="str">
        <f>IF($C41&lt;&gt;"","ALERT_" &amp; UPPER(Matrix!$D$6) &amp; "_" &amp; $C41,"")</f>
        <v/>
      </c>
      <c r="F41" s="181"/>
      <c r="G41" s="57" t="str">
        <f t="shared" si="1"/>
        <v/>
      </c>
      <c r="O41" s="177">
        <v>7</v>
      </c>
      <c r="P41" s="141"/>
      <c r="Q41" s="141"/>
      <c r="R41" s="181"/>
    </row>
    <row r="42" spans="2:18">
      <c r="B42" s="177">
        <v>8</v>
      </c>
      <c r="C42" s="141"/>
      <c r="D42" s="22"/>
      <c r="E42" s="57" t="str">
        <f>IF($C42&lt;&gt;"","ALERT_" &amp; UPPER(Matrix!$D$6) &amp; "_" &amp; $C42,"")</f>
        <v/>
      </c>
      <c r="F42" s="181"/>
      <c r="G42" s="57" t="str">
        <f t="shared" si="1"/>
        <v/>
      </c>
      <c r="O42" s="177">
        <v>8</v>
      </c>
      <c r="P42" s="141"/>
      <c r="Q42" s="141"/>
      <c r="R42" s="181"/>
    </row>
    <row r="43" spans="2:18">
      <c r="B43" s="177">
        <v>9</v>
      </c>
      <c r="C43" s="141"/>
      <c r="D43" s="22"/>
      <c r="E43" s="57" t="str">
        <f>IF($C43&lt;&gt;"","ALERT_" &amp; UPPER(Matrix!$D$6) &amp; "_" &amp; $C43,"")</f>
        <v/>
      </c>
      <c r="F43" s="181"/>
      <c r="G43" s="57" t="str">
        <f t="shared" si="1"/>
        <v/>
      </c>
      <c r="O43" s="177">
        <v>9</v>
      </c>
      <c r="P43" s="141"/>
      <c r="Q43" s="141"/>
      <c r="R43" s="181"/>
    </row>
    <row r="44" spans="2:18">
      <c r="B44" s="177">
        <v>10</v>
      </c>
      <c r="C44" s="141"/>
      <c r="D44" s="22"/>
      <c r="E44" s="57" t="str">
        <f>IF($C44&lt;&gt;"","ALERT_" &amp; UPPER(Matrix!$D$6) &amp; "_" &amp; $C44,"")</f>
        <v/>
      </c>
      <c r="F44" s="181"/>
      <c r="G44" s="57" t="str">
        <f t="shared" si="1"/>
        <v/>
      </c>
      <c r="O44" s="177">
        <v>10</v>
      </c>
      <c r="P44" s="141"/>
      <c r="Q44" s="141"/>
      <c r="R44" s="181"/>
    </row>
    <row r="45" spans="2:18">
      <c r="B45" s="177">
        <v>11</v>
      </c>
      <c r="C45" s="141"/>
      <c r="D45" s="22"/>
      <c r="E45" s="57" t="str">
        <f>IF($C45&lt;&gt;"","ALERT_" &amp; UPPER(Matrix!$D$6) &amp; "_" &amp; $C45,"")</f>
        <v/>
      </c>
      <c r="F45" s="181"/>
      <c r="G45" s="57" t="str">
        <f t="shared" si="1"/>
        <v/>
      </c>
      <c r="O45" s="177">
        <v>11</v>
      </c>
      <c r="P45" s="141"/>
      <c r="Q45" s="141"/>
      <c r="R45" s="181"/>
    </row>
    <row r="46" spans="2:18">
      <c r="B46" s="177">
        <v>12</v>
      </c>
      <c r="C46" s="141"/>
      <c r="D46" s="22"/>
      <c r="E46" s="57" t="str">
        <f>IF($C46&lt;&gt;"","ALERT_" &amp; UPPER(Matrix!$D$6) &amp; "_" &amp; $C46,"")</f>
        <v/>
      </c>
      <c r="F46" s="181"/>
      <c r="G46" s="57" t="str">
        <f t="shared" si="1"/>
        <v/>
      </c>
      <c r="O46" s="177">
        <v>12</v>
      </c>
      <c r="P46" s="141"/>
      <c r="Q46" s="141"/>
      <c r="R46" s="181"/>
    </row>
    <row r="47" spans="2:18">
      <c r="B47" s="177">
        <v>13</v>
      </c>
      <c r="C47" s="141"/>
      <c r="D47" s="22"/>
      <c r="E47" s="57" t="str">
        <f>IF($C47&lt;&gt;"","ALERT_" &amp; UPPER(Matrix!$D$6) &amp; "_" &amp; $C47,"")</f>
        <v/>
      </c>
      <c r="F47" s="181"/>
      <c r="G47" s="57" t="str">
        <f t="shared" si="1"/>
        <v/>
      </c>
      <c r="O47" s="177">
        <v>13</v>
      </c>
      <c r="P47" s="141"/>
      <c r="Q47" s="141"/>
      <c r="R47" s="181"/>
    </row>
    <row r="48" spans="2:18">
      <c r="B48" s="177">
        <v>14</v>
      </c>
      <c r="C48" s="141"/>
      <c r="D48" s="22"/>
      <c r="E48" s="57" t="str">
        <f>IF($C48&lt;&gt;"","ALERT_" &amp; UPPER(Matrix!$D$6) &amp; "_" &amp; $C48,"")</f>
        <v/>
      </c>
      <c r="F48" s="181"/>
      <c r="G48" s="57" t="str">
        <f t="shared" si="1"/>
        <v/>
      </c>
      <c r="O48" s="177">
        <v>14</v>
      </c>
      <c r="P48" s="141"/>
      <c r="Q48" s="141"/>
      <c r="R48" s="181"/>
    </row>
    <row r="49" spans="2:18">
      <c r="B49" s="177">
        <v>15</v>
      </c>
      <c r="C49" s="141"/>
      <c r="D49" s="22"/>
      <c r="E49" s="57" t="str">
        <f>IF($C49&lt;&gt;"","ALERT_" &amp; UPPER(Matrix!$D$6) &amp; "_" &amp; $C49,"")</f>
        <v/>
      </c>
      <c r="F49" s="181"/>
      <c r="G49" s="57" t="str">
        <f t="shared" si="1"/>
        <v/>
      </c>
      <c r="O49" s="177">
        <v>15</v>
      </c>
      <c r="P49" s="141"/>
      <c r="Q49" s="141"/>
      <c r="R49" s="181"/>
    </row>
    <row r="50" spans="2:18">
      <c r="B50" s="177">
        <v>16</v>
      </c>
      <c r="C50" s="141"/>
      <c r="D50" s="22"/>
      <c r="E50" s="57" t="str">
        <f>IF($C50&lt;&gt;"","ALERT_" &amp; UPPER(Matrix!$D$6) &amp; "_" &amp; $C50,"")</f>
        <v/>
      </c>
      <c r="F50" s="181"/>
      <c r="G50" s="57" t="str">
        <f t="shared" si="1"/>
        <v/>
      </c>
      <c r="O50" s="177">
        <v>16</v>
      </c>
      <c r="P50" s="141"/>
      <c r="Q50" s="141"/>
      <c r="R50" s="181"/>
    </row>
    <row r="51" spans="2:18">
      <c r="B51" s="177">
        <v>17</v>
      </c>
      <c r="C51" s="141"/>
      <c r="D51" s="22"/>
      <c r="E51" s="57" t="str">
        <f>IF($C51&lt;&gt;"","ALERT_" &amp; UPPER(Matrix!$D$6) &amp; "_" &amp; $C51,"")</f>
        <v/>
      </c>
      <c r="F51" s="181"/>
      <c r="G51" s="57" t="str">
        <f t="shared" si="1"/>
        <v/>
      </c>
      <c r="O51" s="177">
        <v>17</v>
      </c>
      <c r="P51" s="141"/>
      <c r="Q51" s="141"/>
      <c r="R51" s="181"/>
    </row>
    <row r="52" spans="2:18">
      <c r="B52" s="177">
        <v>18</v>
      </c>
      <c r="C52" s="141"/>
      <c r="D52" s="22"/>
      <c r="E52" s="57" t="str">
        <f>IF($C52&lt;&gt;"","ALERT_" &amp; UPPER(Matrix!$D$6) &amp; "_" &amp; $C52,"")</f>
        <v/>
      </c>
      <c r="F52" s="181"/>
      <c r="G52" s="57" t="str">
        <f t="shared" si="1"/>
        <v/>
      </c>
      <c r="O52" s="177">
        <v>18</v>
      </c>
      <c r="P52" s="141"/>
      <c r="Q52" s="141"/>
      <c r="R52" s="181"/>
    </row>
    <row r="53" spans="2:18">
      <c r="B53" s="177">
        <v>19</v>
      </c>
      <c r="C53" s="141"/>
      <c r="D53" s="22"/>
      <c r="E53" s="57" t="str">
        <f>IF($C53&lt;&gt;"","ALERT_" &amp; UPPER(Matrix!$D$6) &amp; "_" &amp; $C53,"")</f>
        <v/>
      </c>
      <c r="F53" s="181"/>
      <c r="G53" s="57" t="str">
        <f t="shared" si="1"/>
        <v/>
      </c>
      <c r="O53" s="177">
        <v>19</v>
      </c>
      <c r="P53" s="141"/>
      <c r="Q53" s="141"/>
      <c r="R53" s="181"/>
    </row>
    <row r="54" spans="2:18">
      <c r="B54" s="177">
        <v>20</v>
      </c>
      <c r="C54" s="141"/>
      <c r="D54" s="22"/>
      <c r="E54" s="57" t="str">
        <f>IF($C54&lt;&gt;"","ALERT_" &amp; UPPER(Matrix!$D$6) &amp; "_" &amp; $C54,"")</f>
        <v/>
      </c>
      <c r="F54" s="181"/>
      <c r="G54" s="57" t="str">
        <f t="shared" si="1"/>
        <v/>
      </c>
      <c r="O54" s="177">
        <v>20</v>
      </c>
      <c r="P54" s="141"/>
      <c r="Q54" s="141"/>
      <c r="R54" s="181"/>
    </row>
    <row r="55" spans="2:18">
      <c r="B55" s="177">
        <v>21</v>
      </c>
      <c r="C55" s="141"/>
      <c r="D55" s="22"/>
      <c r="E55" s="57" t="str">
        <f>IF($C55&lt;&gt;"","ALERT_" &amp; UPPER(Matrix!$D$6) &amp; "_" &amp; $C55,"")</f>
        <v/>
      </c>
      <c r="F55" s="181"/>
      <c r="G55" s="57" t="str">
        <f t="shared" si="1"/>
        <v/>
      </c>
      <c r="O55" s="177">
        <v>21</v>
      </c>
      <c r="P55" s="141"/>
      <c r="Q55" s="141"/>
      <c r="R55" s="181"/>
    </row>
    <row r="56" spans="2:18">
      <c r="B56" s="177">
        <v>22</v>
      </c>
      <c r="C56" s="141"/>
      <c r="D56" s="22"/>
      <c r="E56" s="57" t="str">
        <f>IF($C56&lt;&gt;"","ALERT_" &amp; UPPER(Matrix!$D$6) &amp; "_" &amp; $C56,"")</f>
        <v/>
      </c>
      <c r="F56" s="181"/>
      <c r="G56" s="57" t="str">
        <f t="shared" si="1"/>
        <v/>
      </c>
      <c r="O56" s="177">
        <v>22</v>
      </c>
      <c r="P56" s="141"/>
      <c r="Q56" s="141"/>
      <c r="R56" s="181"/>
    </row>
    <row r="57" spans="2:18">
      <c r="B57" s="177">
        <v>23</v>
      </c>
      <c r="C57" s="141"/>
      <c r="D57" s="22"/>
      <c r="E57" s="57" t="str">
        <f>IF($C57&lt;&gt;"","ALERT_" &amp; UPPER(Matrix!$D$6) &amp; "_" &amp; $C57,"")</f>
        <v/>
      </c>
      <c r="F57" s="181"/>
      <c r="G57" s="57" t="str">
        <f t="shared" si="1"/>
        <v/>
      </c>
      <c r="O57" s="177">
        <v>23</v>
      </c>
      <c r="P57" s="141"/>
      <c r="Q57" s="141"/>
      <c r="R57" s="181"/>
    </row>
    <row r="58" spans="2:18">
      <c r="B58" s="177">
        <v>24</v>
      </c>
      <c r="C58" s="141"/>
      <c r="D58" s="22"/>
      <c r="E58" s="57" t="str">
        <f>IF($C58&lt;&gt;"","ALERT_" &amp; UPPER(Matrix!$D$6) &amp; "_" &amp; $C58,"")</f>
        <v/>
      </c>
      <c r="F58" s="181"/>
      <c r="G58" s="57" t="str">
        <f t="shared" si="1"/>
        <v/>
      </c>
      <c r="O58" s="177">
        <v>24</v>
      </c>
      <c r="P58" s="141"/>
      <c r="Q58" s="141"/>
      <c r="R58" s="181"/>
    </row>
    <row r="59" spans="2:18" ht="13.8" thickBot="1">
      <c r="B59" s="179">
        <v>25</v>
      </c>
      <c r="C59" s="139"/>
      <c r="D59" s="43"/>
      <c r="E59" s="58" t="str">
        <f>IF($C59&lt;&gt;"","ALERT_" &amp; UPPER(Matrix!$D$6) &amp; "_" &amp; $C59,"")</f>
        <v/>
      </c>
      <c r="F59" s="182"/>
      <c r="G59" s="58" t="str">
        <f t="shared" si="1"/>
        <v/>
      </c>
      <c r="O59" s="179">
        <v>25</v>
      </c>
      <c r="P59" s="139"/>
      <c r="Q59" s="139"/>
      <c r="R59" s="182"/>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81" t="s">
        <v>97</v>
      </c>
    </row>
    <row r="2" spans="2:21" ht="13.8" thickBot="1">
      <c r="B2" s="89" t="s">
        <v>54</v>
      </c>
      <c r="C2" s="90" t="s">
        <v>115</v>
      </c>
      <c r="D2" s="91" t="s">
        <v>48</v>
      </c>
      <c r="E2" s="92" t="s">
        <v>49</v>
      </c>
      <c r="F2" s="93" t="s">
        <v>22</v>
      </c>
      <c r="G2" s="92" t="s">
        <v>50</v>
      </c>
      <c r="H2" s="93" t="s">
        <v>24</v>
      </c>
      <c r="I2" s="92" t="s">
        <v>51</v>
      </c>
      <c r="J2" s="93" t="s">
        <v>153</v>
      </c>
      <c r="K2" s="92" t="s">
        <v>52</v>
      </c>
      <c r="L2" s="93" t="s">
        <v>25</v>
      </c>
      <c r="M2" s="90" t="s">
        <v>53</v>
      </c>
      <c r="N2" s="93" t="s">
        <v>110</v>
      </c>
      <c r="O2" s="114" t="s">
        <v>76</v>
      </c>
    </row>
    <row r="3" spans="2:21" ht="14.4" hidden="1" thickTop="1" thickBot="1">
      <c r="B3" s="23"/>
      <c r="C3" s="40" t="s">
        <v>101</v>
      </c>
      <c r="D3" s="105"/>
      <c r="E3" s="12"/>
      <c r="F3" s="13"/>
      <c r="G3" s="12"/>
      <c r="H3" s="13"/>
      <c r="I3" s="12"/>
      <c r="J3" s="13"/>
      <c r="K3" s="12"/>
      <c r="L3" s="13"/>
      <c r="M3" s="41"/>
      <c r="N3" s="101"/>
      <c r="O3" s="115"/>
      <c r="U3" s="85" t="s">
        <v>91</v>
      </c>
    </row>
    <row r="4" spans="2:21" ht="13.8" thickTop="1">
      <c r="B4" s="23" t="s">
        <v>259</v>
      </c>
      <c r="C4" s="40" t="s">
        <v>199</v>
      </c>
      <c r="D4" s="105">
        <v>0</v>
      </c>
      <c r="E4" s="106" t="s">
        <v>196</v>
      </c>
      <c r="F4" s="107" t="s">
        <v>198</v>
      </c>
      <c r="G4" s="106" t="s">
        <v>196</v>
      </c>
      <c r="H4" s="107" t="s">
        <v>260</v>
      </c>
      <c r="I4" s="106" t="s">
        <v>196</v>
      </c>
      <c r="J4" s="107" t="s">
        <v>198</v>
      </c>
      <c r="K4" s="106" t="s">
        <v>196</v>
      </c>
      <c r="L4" s="107" t="s">
        <v>198</v>
      </c>
      <c r="M4" s="41">
        <f ca="1">LEN(N4)</f>
        <v>25</v>
      </c>
      <c r="N4" s="101" t="str">
        <f ca="1">VLOOKUP($B4,Matrix!$H$13:$I$37,2,FALSE)&amp;"_"&amp;C4</f>
        <v>ALERT_REQ_S_ADBZR_PMAR_ON</v>
      </c>
      <c r="O4" s="115" t="str">
        <f t="shared" ref="O4:O35" ca="1" si="0">"#define "&amp;N4&amp;REPT(" ",48-M4)&amp;"("&amp;D4&amp;"U)"</f>
        <v>#define ALERT_REQ_S_ADBZR_PMAR_ON                       (0U)</v>
      </c>
      <c r="U4" s="85" t="s">
        <v>91</v>
      </c>
    </row>
    <row r="5" spans="2:21">
      <c r="B5" s="100"/>
      <c r="C5" s="22"/>
      <c r="D5" s="108"/>
      <c r="E5" s="183"/>
      <c r="F5" s="109"/>
      <c r="G5" s="183"/>
      <c r="H5" s="109"/>
      <c r="I5" s="183"/>
      <c r="J5" s="109"/>
      <c r="K5" s="106"/>
      <c r="L5" s="109"/>
      <c r="M5" s="36" t="e">
        <f t="shared" ref="M5:M68" ca="1" si="1">LEN(N5)</f>
        <v>#N/A</v>
      </c>
      <c r="N5" s="101" t="e">
        <f ca="1">VLOOKUP($B5,Matrix!$H$13:$I$37,2,FALSE)&amp;"_"&amp;C5</f>
        <v>#N/A</v>
      </c>
      <c r="O5" s="116" t="e">
        <f t="shared" ca="1" si="0"/>
        <v>#N/A</v>
      </c>
      <c r="U5" s="83" t="s">
        <v>92</v>
      </c>
    </row>
    <row r="6" spans="2:21">
      <c r="B6" s="23"/>
      <c r="C6" s="98"/>
      <c r="D6" s="112"/>
      <c r="E6" s="23"/>
      <c r="F6" s="109"/>
      <c r="G6" s="23"/>
      <c r="H6" s="109"/>
      <c r="I6" s="23"/>
      <c r="J6" s="109"/>
      <c r="K6" s="23"/>
      <c r="L6" s="109"/>
      <c r="M6" s="36" t="e">
        <f t="shared" ca="1" si="1"/>
        <v>#N/A</v>
      </c>
      <c r="N6" s="101" t="e">
        <f ca="1">VLOOKUP($B6,Matrix!$H$13:$I$37,2,FALSE)&amp;"_"&amp;C6</f>
        <v>#N/A</v>
      </c>
      <c r="O6" s="116" t="e">
        <f t="shared" ca="1" si="0"/>
        <v>#N/A</v>
      </c>
      <c r="U6" s="26" t="s">
        <v>93</v>
      </c>
    </row>
    <row r="7" spans="2:21">
      <c r="B7" s="100"/>
      <c r="C7" s="99"/>
      <c r="D7" s="113"/>
      <c r="E7" s="23"/>
      <c r="F7" s="109"/>
      <c r="G7" s="23"/>
      <c r="H7" s="109"/>
      <c r="I7" s="23"/>
      <c r="J7" s="109"/>
      <c r="K7" s="106"/>
      <c r="L7" s="109"/>
      <c r="M7" s="36" t="e">
        <f t="shared" ca="1" si="1"/>
        <v>#N/A</v>
      </c>
      <c r="N7" s="101" t="e">
        <f ca="1">VLOOKUP($B7,Matrix!$H$13:$I$37,2,FALSE)&amp;"_"&amp;C7</f>
        <v>#N/A</v>
      </c>
      <c r="O7" s="116" t="e">
        <f t="shared" ca="1" si="0"/>
        <v>#N/A</v>
      </c>
      <c r="U7" s="26" t="s">
        <v>94</v>
      </c>
    </row>
    <row r="8" spans="2:21">
      <c r="B8" s="100"/>
      <c r="C8" s="99"/>
      <c r="D8" s="113"/>
      <c r="E8" s="23"/>
      <c r="F8" s="109"/>
      <c r="G8" s="23"/>
      <c r="H8" s="109"/>
      <c r="I8" s="23"/>
      <c r="J8" s="109"/>
      <c r="K8" s="106"/>
      <c r="L8" s="109"/>
      <c r="M8" s="36" t="e">
        <f t="shared" ca="1" si="1"/>
        <v>#N/A</v>
      </c>
      <c r="N8" s="101" t="e">
        <f ca="1">VLOOKUP($B8,Matrix!$H$13:$I$37,2,FALSE)&amp;"_"&amp;C8</f>
        <v>#N/A</v>
      </c>
      <c r="O8" s="116" t="e">
        <f t="shared" ca="1" si="0"/>
        <v>#N/A</v>
      </c>
      <c r="U8" s="26" t="s">
        <v>95</v>
      </c>
    </row>
    <row r="9" spans="2:21">
      <c r="B9" s="23"/>
      <c r="C9" s="22"/>
      <c r="D9" s="108"/>
      <c r="E9" s="23"/>
      <c r="F9" s="109"/>
      <c r="G9" s="23"/>
      <c r="H9" s="109"/>
      <c r="I9" s="23"/>
      <c r="J9" s="109"/>
      <c r="K9" s="106"/>
      <c r="L9" s="109"/>
      <c r="M9" s="36" t="e">
        <f t="shared" ca="1" si="1"/>
        <v>#N/A</v>
      </c>
      <c r="N9" s="101" t="e">
        <f ca="1">VLOOKUP($B9,Matrix!$H$13:$I$37,2,FALSE)&amp;"_"&amp;C9</f>
        <v>#N/A</v>
      </c>
      <c r="O9" s="116" t="e">
        <f t="shared" ca="1" si="0"/>
        <v>#N/A</v>
      </c>
      <c r="U9" s="26" t="s">
        <v>96</v>
      </c>
    </row>
    <row r="10" spans="2:21">
      <c r="B10" s="23"/>
      <c r="C10" s="22"/>
      <c r="D10" s="108"/>
      <c r="E10" s="23"/>
      <c r="F10" s="109"/>
      <c r="G10" s="23"/>
      <c r="H10" s="109"/>
      <c r="I10" s="23"/>
      <c r="J10" s="109"/>
      <c r="K10" s="106"/>
      <c r="L10" s="109"/>
      <c r="M10" s="36" t="e">
        <f t="shared" ca="1" si="1"/>
        <v>#N/A</v>
      </c>
      <c r="N10" s="101" t="e">
        <f ca="1">VLOOKUP($B10,Matrix!$H$13:$I$37,2,FALSE)&amp;"_"&amp;C10</f>
        <v>#N/A</v>
      </c>
      <c r="O10" s="116" t="e">
        <f t="shared" ca="1" si="0"/>
        <v>#N/A</v>
      </c>
      <c r="U10" s="26"/>
    </row>
    <row r="11" spans="2:21">
      <c r="B11" s="23"/>
      <c r="C11" s="22"/>
      <c r="D11" s="108"/>
      <c r="E11" s="23"/>
      <c r="F11" s="109"/>
      <c r="G11" s="23"/>
      <c r="H11" s="109"/>
      <c r="I11" s="23"/>
      <c r="J11" s="109"/>
      <c r="K11" s="106"/>
      <c r="L11" s="109"/>
      <c r="M11" s="36" t="e">
        <f t="shared" ca="1" si="1"/>
        <v>#N/A</v>
      </c>
      <c r="N11" s="101" t="e">
        <f ca="1">VLOOKUP($B11,Matrix!$H$13:$I$37,2,FALSE)&amp;"_"&amp;C11</f>
        <v>#N/A</v>
      </c>
      <c r="O11" s="116" t="e">
        <f t="shared" ca="1" si="0"/>
        <v>#N/A</v>
      </c>
      <c r="U11" s="26"/>
    </row>
    <row r="12" spans="2:21">
      <c r="B12" s="23"/>
      <c r="C12" s="22"/>
      <c r="D12" s="108"/>
      <c r="E12" s="23"/>
      <c r="F12" s="109"/>
      <c r="G12" s="23"/>
      <c r="H12" s="109"/>
      <c r="I12" s="23"/>
      <c r="J12" s="109"/>
      <c r="K12" s="106"/>
      <c r="L12" s="109"/>
      <c r="M12" s="36" t="e">
        <f t="shared" ca="1" si="1"/>
        <v>#N/A</v>
      </c>
      <c r="N12" s="101" t="e">
        <f ca="1">VLOOKUP($B12,Matrix!$H$13:$I$37,2,FALSE)&amp;"_"&amp;C12</f>
        <v>#N/A</v>
      </c>
      <c r="O12" s="116" t="e">
        <f t="shared" ca="1" si="0"/>
        <v>#N/A</v>
      </c>
      <c r="U12" s="26"/>
    </row>
    <row r="13" spans="2:21" ht="13.8" thickBot="1">
      <c r="B13" s="23"/>
      <c r="C13" s="22"/>
      <c r="D13" s="108"/>
      <c r="E13" s="23"/>
      <c r="F13" s="109"/>
      <c r="G13" s="23"/>
      <c r="H13" s="109"/>
      <c r="I13" s="23"/>
      <c r="J13" s="109"/>
      <c r="K13" s="106"/>
      <c r="L13" s="109"/>
      <c r="M13" s="36" t="e">
        <f t="shared" ca="1" si="1"/>
        <v>#N/A</v>
      </c>
      <c r="N13" s="101" t="e">
        <f ca="1">VLOOKUP($B13,Matrix!$H$13:$I$37,2,FALSE)&amp;"_"&amp;C13</f>
        <v>#N/A</v>
      </c>
      <c r="O13" s="116" t="e">
        <f t="shared" ca="1" si="0"/>
        <v>#N/A</v>
      </c>
      <c r="U13" s="84"/>
    </row>
    <row r="14" spans="2:21">
      <c r="B14" s="23"/>
      <c r="C14" s="22"/>
      <c r="D14" s="108"/>
      <c r="E14" s="23"/>
      <c r="F14" s="109"/>
      <c r="G14" s="23"/>
      <c r="H14" s="109"/>
      <c r="I14" s="23"/>
      <c r="J14" s="109"/>
      <c r="K14" s="106"/>
      <c r="L14" s="109"/>
      <c r="M14" s="36" t="e">
        <f t="shared" ca="1" si="1"/>
        <v>#N/A</v>
      </c>
      <c r="N14" s="101" t="e">
        <f ca="1">VLOOKUP($B14,Matrix!$H$13:$I$37,2,FALSE)&amp;"_"&amp;C14</f>
        <v>#N/A</v>
      </c>
      <c r="O14" s="116" t="e">
        <f t="shared" ca="1" si="0"/>
        <v>#N/A</v>
      </c>
    </row>
    <row r="15" spans="2:21">
      <c r="B15" s="23"/>
      <c r="C15" s="22"/>
      <c r="D15" s="108"/>
      <c r="E15" s="23"/>
      <c r="F15" s="109"/>
      <c r="G15" s="23"/>
      <c r="H15" s="109"/>
      <c r="I15" s="23"/>
      <c r="J15" s="109"/>
      <c r="K15" s="106"/>
      <c r="L15" s="109"/>
      <c r="M15" s="36" t="e">
        <f t="shared" ca="1" si="1"/>
        <v>#N/A</v>
      </c>
      <c r="N15" s="101" t="e">
        <f ca="1">VLOOKUP($B15,Matrix!$H$13:$I$37,2,FALSE)&amp;"_"&amp;C15</f>
        <v>#N/A</v>
      </c>
      <c r="O15" s="116" t="e">
        <f t="shared" ca="1" si="0"/>
        <v>#N/A</v>
      </c>
    </row>
    <row r="16" spans="2:21">
      <c r="B16" s="23"/>
      <c r="C16" s="22"/>
      <c r="D16" s="108"/>
      <c r="E16" s="23"/>
      <c r="F16" s="109"/>
      <c r="G16" s="23"/>
      <c r="H16" s="109"/>
      <c r="I16" s="23"/>
      <c r="J16" s="109"/>
      <c r="K16" s="106"/>
      <c r="L16" s="109"/>
      <c r="M16" s="36" t="e">
        <f t="shared" ca="1" si="1"/>
        <v>#N/A</v>
      </c>
      <c r="N16" s="101" t="e">
        <f ca="1">VLOOKUP($B16,Matrix!$H$13:$I$37,2,FALSE)&amp;"_"&amp;C16</f>
        <v>#N/A</v>
      </c>
      <c r="O16" s="116" t="e">
        <f t="shared" ca="1" si="0"/>
        <v>#N/A</v>
      </c>
    </row>
    <row r="17" spans="2:15">
      <c r="B17" s="23"/>
      <c r="C17" s="22"/>
      <c r="D17" s="108"/>
      <c r="E17" s="23"/>
      <c r="F17" s="109"/>
      <c r="G17" s="23"/>
      <c r="H17" s="109"/>
      <c r="I17" s="23"/>
      <c r="J17" s="109"/>
      <c r="K17" s="106"/>
      <c r="L17" s="109"/>
      <c r="M17" s="36" t="e">
        <f t="shared" ca="1" si="1"/>
        <v>#N/A</v>
      </c>
      <c r="N17" s="101" t="e">
        <f ca="1">VLOOKUP($B17,Matrix!$H$13:$I$37,2,FALSE)&amp;"_"&amp;C17</f>
        <v>#N/A</v>
      </c>
      <c r="O17" s="116" t="e">
        <f t="shared" ca="1" si="0"/>
        <v>#N/A</v>
      </c>
    </row>
    <row r="18" spans="2:15">
      <c r="B18" s="23"/>
      <c r="C18" s="22"/>
      <c r="D18" s="108"/>
      <c r="E18" s="23"/>
      <c r="F18" s="109"/>
      <c r="G18" s="23"/>
      <c r="H18" s="109"/>
      <c r="I18" s="23"/>
      <c r="J18" s="109"/>
      <c r="K18" s="106"/>
      <c r="L18" s="109"/>
      <c r="M18" s="36" t="e">
        <f t="shared" ca="1" si="1"/>
        <v>#N/A</v>
      </c>
      <c r="N18" s="101" t="e">
        <f ca="1">VLOOKUP($B18,Matrix!$H$13:$I$37,2,FALSE)&amp;"_"&amp;C18</f>
        <v>#N/A</v>
      </c>
      <c r="O18" s="116" t="e">
        <f t="shared" ca="1" si="0"/>
        <v>#N/A</v>
      </c>
    </row>
    <row r="19" spans="2:15">
      <c r="B19" s="23"/>
      <c r="C19" s="22"/>
      <c r="D19" s="108"/>
      <c r="E19" s="23"/>
      <c r="F19" s="109"/>
      <c r="G19" s="23"/>
      <c r="H19" s="109"/>
      <c r="I19" s="23"/>
      <c r="J19" s="109"/>
      <c r="K19" s="106"/>
      <c r="L19" s="109"/>
      <c r="M19" s="36" t="e">
        <f t="shared" ca="1" si="1"/>
        <v>#N/A</v>
      </c>
      <c r="N19" s="101" t="e">
        <f ca="1">VLOOKUP($B19,Matrix!$H$13:$I$37,2,FALSE)&amp;"_"&amp;C19</f>
        <v>#N/A</v>
      </c>
      <c r="O19" s="116" t="e">
        <f t="shared" ca="1" si="0"/>
        <v>#N/A</v>
      </c>
    </row>
    <row r="20" spans="2:15">
      <c r="B20" s="23"/>
      <c r="C20" s="22"/>
      <c r="D20" s="108"/>
      <c r="E20" s="23"/>
      <c r="F20" s="109"/>
      <c r="G20" s="23"/>
      <c r="H20" s="109"/>
      <c r="I20" s="23"/>
      <c r="J20" s="109"/>
      <c r="K20" s="106"/>
      <c r="L20" s="109"/>
      <c r="M20" s="36" t="e">
        <f t="shared" ca="1" si="1"/>
        <v>#N/A</v>
      </c>
      <c r="N20" s="101" t="e">
        <f ca="1">VLOOKUP($B20,Matrix!$H$13:$I$37,2,FALSE)&amp;"_"&amp;C20</f>
        <v>#N/A</v>
      </c>
      <c r="O20" s="116" t="e">
        <f t="shared" ca="1" si="0"/>
        <v>#N/A</v>
      </c>
    </row>
    <row r="21" spans="2:15">
      <c r="B21" s="23"/>
      <c r="C21" s="22"/>
      <c r="D21" s="108"/>
      <c r="E21" s="23"/>
      <c r="F21" s="109"/>
      <c r="G21" s="23"/>
      <c r="H21" s="109"/>
      <c r="I21" s="23"/>
      <c r="J21" s="109"/>
      <c r="K21" s="106"/>
      <c r="L21" s="109"/>
      <c r="M21" s="36" t="e">
        <f t="shared" ca="1" si="1"/>
        <v>#N/A</v>
      </c>
      <c r="N21" s="101" t="e">
        <f ca="1">VLOOKUP($B21,Matrix!$H$13:$I$37,2,FALSE)&amp;"_"&amp;C21</f>
        <v>#N/A</v>
      </c>
      <c r="O21" s="116" t="e">
        <f t="shared" ca="1" si="0"/>
        <v>#N/A</v>
      </c>
    </row>
    <row r="22" spans="2:15">
      <c r="B22" s="23"/>
      <c r="C22" s="22"/>
      <c r="D22" s="108"/>
      <c r="E22" s="23"/>
      <c r="F22" s="109"/>
      <c r="G22" s="23"/>
      <c r="H22" s="109"/>
      <c r="I22" s="23"/>
      <c r="J22" s="109"/>
      <c r="K22" s="106"/>
      <c r="L22" s="109"/>
      <c r="M22" s="36" t="e">
        <f t="shared" ca="1" si="1"/>
        <v>#N/A</v>
      </c>
      <c r="N22" s="101" t="e">
        <f ca="1">VLOOKUP($B22,Matrix!$H$13:$I$37,2,FALSE)&amp;"_"&amp;C22</f>
        <v>#N/A</v>
      </c>
      <c r="O22" s="116" t="e">
        <f t="shared" ca="1" si="0"/>
        <v>#N/A</v>
      </c>
    </row>
    <row r="23" spans="2:15">
      <c r="B23" s="23"/>
      <c r="C23" s="22"/>
      <c r="D23" s="108"/>
      <c r="E23" s="23"/>
      <c r="F23" s="109"/>
      <c r="G23" s="23"/>
      <c r="H23" s="109"/>
      <c r="I23" s="23"/>
      <c r="J23" s="109"/>
      <c r="K23" s="106"/>
      <c r="L23" s="109"/>
      <c r="M23" s="36" t="e">
        <f t="shared" ca="1" si="1"/>
        <v>#N/A</v>
      </c>
      <c r="N23" s="101" t="e">
        <f ca="1">VLOOKUP($B23,Matrix!$H$13:$I$37,2,FALSE)&amp;"_"&amp;C23</f>
        <v>#N/A</v>
      </c>
      <c r="O23" s="116" t="e">
        <f t="shared" ca="1" si="0"/>
        <v>#N/A</v>
      </c>
    </row>
    <row r="24" spans="2:15">
      <c r="B24" s="23"/>
      <c r="C24" s="22"/>
      <c r="D24" s="108"/>
      <c r="E24" s="23"/>
      <c r="F24" s="109"/>
      <c r="G24" s="23"/>
      <c r="H24" s="109"/>
      <c r="I24" s="23"/>
      <c r="J24" s="109"/>
      <c r="K24" s="106"/>
      <c r="L24" s="109"/>
      <c r="M24" s="36" t="e">
        <f t="shared" ca="1" si="1"/>
        <v>#N/A</v>
      </c>
      <c r="N24" s="101" t="e">
        <f ca="1">VLOOKUP($B24,Matrix!$H$13:$I$37,2,FALSE)&amp;"_"&amp;C24</f>
        <v>#N/A</v>
      </c>
      <c r="O24" s="116" t="e">
        <f t="shared" ca="1" si="0"/>
        <v>#N/A</v>
      </c>
    </row>
    <row r="25" spans="2:15">
      <c r="B25" s="23"/>
      <c r="C25" s="22"/>
      <c r="D25" s="108"/>
      <c r="E25" s="23"/>
      <c r="F25" s="109"/>
      <c r="G25" s="23"/>
      <c r="H25" s="109"/>
      <c r="I25" s="23"/>
      <c r="J25" s="109"/>
      <c r="K25" s="106"/>
      <c r="L25" s="109"/>
      <c r="M25" s="36" t="e">
        <f t="shared" ca="1" si="1"/>
        <v>#N/A</v>
      </c>
      <c r="N25" s="101" t="e">
        <f ca="1">VLOOKUP($B25,Matrix!$H$13:$I$37,2,FALSE)&amp;"_"&amp;C25</f>
        <v>#N/A</v>
      </c>
      <c r="O25" s="116" t="e">
        <f t="shared" ca="1" si="0"/>
        <v>#N/A</v>
      </c>
    </row>
    <row r="26" spans="2:15">
      <c r="B26" s="23"/>
      <c r="C26" s="22"/>
      <c r="D26" s="108"/>
      <c r="E26" s="23"/>
      <c r="F26" s="109"/>
      <c r="G26" s="23"/>
      <c r="H26" s="109"/>
      <c r="I26" s="23"/>
      <c r="J26" s="109"/>
      <c r="K26" s="106"/>
      <c r="L26" s="109"/>
      <c r="M26" s="36" t="e">
        <f t="shared" ca="1" si="1"/>
        <v>#N/A</v>
      </c>
      <c r="N26" s="101" t="e">
        <f ca="1">VLOOKUP($B26,Matrix!$H$13:$I$37,2,FALSE)&amp;"_"&amp;C26</f>
        <v>#N/A</v>
      </c>
      <c r="O26" s="116" t="e">
        <f t="shared" ca="1" si="0"/>
        <v>#N/A</v>
      </c>
    </row>
    <row r="27" spans="2:15">
      <c r="B27" s="23"/>
      <c r="C27" s="22"/>
      <c r="D27" s="108"/>
      <c r="E27" s="23"/>
      <c r="F27" s="109"/>
      <c r="G27" s="23"/>
      <c r="H27" s="109"/>
      <c r="I27" s="23"/>
      <c r="J27" s="109"/>
      <c r="K27" s="106"/>
      <c r="L27" s="109"/>
      <c r="M27" s="36" t="e">
        <f t="shared" ca="1" si="1"/>
        <v>#N/A</v>
      </c>
      <c r="N27" s="101" t="e">
        <f ca="1">VLOOKUP($B27,Matrix!$H$13:$I$37,2,FALSE)&amp;"_"&amp;C27</f>
        <v>#N/A</v>
      </c>
      <c r="O27" s="116" t="e">
        <f t="shared" ca="1" si="0"/>
        <v>#N/A</v>
      </c>
    </row>
    <row r="28" spans="2:15">
      <c r="B28" s="23"/>
      <c r="C28" s="22"/>
      <c r="D28" s="108"/>
      <c r="E28" s="23"/>
      <c r="F28" s="109"/>
      <c r="G28" s="23"/>
      <c r="H28" s="109"/>
      <c r="I28" s="23"/>
      <c r="J28" s="109"/>
      <c r="K28" s="106"/>
      <c r="L28" s="109"/>
      <c r="M28" s="36" t="e">
        <f t="shared" ca="1" si="1"/>
        <v>#N/A</v>
      </c>
      <c r="N28" s="101" t="e">
        <f ca="1">VLOOKUP($B28,Matrix!$H$13:$I$37,2,FALSE)&amp;"_"&amp;C28</f>
        <v>#N/A</v>
      </c>
      <c r="O28" s="116" t="e">
        <f t="shared" ca="1" si="0"/>
        <v>#N/A</v>
      </c>
    </row>
    <row r="29" spans="2:15">
      <c r="B29" s="23"/>
      <c r="C29" s="22"/>
      <c r="D29" s="108"/>
      <c r="E29" s="23"/>
      <c r="F29" s="109"/>
      <c r="G29" s="23"/>
      <c r="H29" s="109"/>
      <c r="I29" s="23"/>
      <c r="J29" s="109"/>
      <c r="K29" s="106"/>
      <c r="L29" s="109"/>
      <c r="M29" s="36" t="e">
        <f t="shared" ca="1" si="1"/>
        <v>#N/A</v>
      </c>
      <c r="N29" s="101" t="e">
        <f ca="1">VLOOKUP($B29,Matrix!$H$13:$I$37,2,FALSE)&amp;"_"&amp;C29</f>
        <v>#N/A</v>
      </c>
      <c r="O29" s="116" t="e">
        <f t="shared" ca="1" si="0"/>
        <v>#N/A</v>
      </c>
    </row>
    <row r="30" spans="2:15">
      <c r="B30" s="23"/>
      <c r="C30" s="22"/>
      <c r="D30" s="108"/>
      <c r="E30" s="23"/>
      <c r="F30" s="109"/>
      <c r="G30" s="23"/>
      <c r="H30" s="109"/>
      <c r="I30" s="23"/>
      <c r="J30" s="109"/>
      <c r="K30" s="106"/>
      <c r="L30" s="109"/>
      <c r="M30" s="36" t="e">
        <f t="shared" ca="1" si="1"/>
        <v>#N/A</v>
      </c>
      <c r="N30" s="101" t="e">
        <f ca="1">VLOOKUP($B30,Matrix!$H$13:$I$37,2,FALSE)&amp;"_"&amp;C30</f>
        <v>#N/A</v>
      </c>
      <c r="O30" s="116" t="e">
        <f t="shared" ca="1" si="0"/>
        <v>#N/A</v>
      </c>
    </row>
    <row r="31" spans="2:15">
      <c r="B31" s="23"/>
      <c r="C31" s="22"/>
      <c r="D31" s="108"/>
      <c r="E31" s="23"/>
      <c r="F31" s="109"/>
      <c r="G31" s="23"/>
      <c r="H31" s="109"/>
      <c r="I31" s="23"/>
      <c r="J31" s="109"/>
      <c r="K31" s="106"/>
      <c r="L31" s="109"/>
      <c r="M31" s="36" t="e">
        <f t="shared" ca="1" si="1"/>
        <v>#N/A</v>
      </c>
      <c r="N31" s="101" t="e">
        <f ca="1">VLOOKUP($B31,Matrix!$H$13:$I$37,2,FALSE)&amp;"_"&amp;C31</f>
        <v>#N/A</v>
      </c>
      <c r="O31" s="116" t="e">
        <f t="shared" ca="1" si="0"/>
        <v>#N/A</v>
      </c>
    </row>
    <row r="32" spans="2:15">
      <c r="B32" s="23"/>
      <c r="C32" s="22"/>
      <c r="D32" s="108"/>
      <c r="E32" s="23"/>
      <c r="F32" s="109"/>
      <c r="G32" s="23"/>
      <c r="H32" s="109"/>
      <c r="I32" s="23"/>
      <c r="J32" s="109"/>
      <c r="K32" s="106"/>
      <c r="L32" s="109"/>
      <c r="M32" s="36" t="e">
        <f t="shared" ca="1" si="1"/>
        <v>#N/A</v>
      </c>
      <c r="N32" s="101" t="e">
        <f ca="1">VLOOKUP($B32,Matrix!$H$13:$I$37,2,FALSE)&amp;"_"&amp;C32</f>
        <v>#N/A</v>
      </c>
      <c r="O32" s="116" t="e">
        <f t="shared" ca="1" si="0"/>
        <v>#N/A</v>
      </c>
    </row>
    <row r="33" spans="2:15">
      <c r="B33" s="23"/>
      <c r="C33" s="22"/>
      <c r="D33" s="108"/>
      <c r="E33" s="23"/>
      <c r="F33" s="109"/>
      <c r="G33" s="23"/>
      <c r="H33" s="109"/>
      <c r="I33" s="23"/>
      <c r="J33" s="109"/>
      <c r="K33" s="106"/>
      <c r="L33" s="109"/>
      <c r="M33" s="36" t="e">
        <f t="shared" ca="1" si="1"/>
        <v>#N/A</v>
      </c>
      <c r="N33" s="101" t="e">
        <f ca="1">VLOOKUP($B33,Matrix!$H$13:$I$37,2,FALSE)&amp;"_"&amp;C33</f>
        <v>#N/A</v>
      </c>
      <c r="O33" s="116" t="e">
        <f t="shared" ca="1" si="0"/>
        <v>#N/A</v>
      </c>
    </row>
    <row r="34" spans="2:15">
      <c r="B34" s="23"/>
      <c r="C34" s="22"/>
      <c r="D34" s="108"/>
      <c r="E34" s="23"/>
      <c r="F34" s="109"/>
      <c r="G34" s="23"/>
      <c r="H34" s="109"/>
      <c r="I34" s="23"/>
      <c r="J34" s="109"/>
      <c r="K34" s="106"/>
      <c r="L34" s="109"/>
      <c r="M34" s="36" t="e">
        <f t="shared" ca="1" si="1"/>
        <v>#N/A</v>
      </c>
      <c r="N34" s="101" t="e">
        <f ca="1">VLOOKUP($B34,Matrix!$H$13:$I$37,2,FALSE)&amp;"_"&amp;C34</f>
        <v>#N/A</v>
      </c>
      <c r="O34" s="116" t="e">
        <f t="shared" ca="1" si="0"/>
        <v>#N/A</v>
      </c>
    </row>
    <row r="35" spans="2:15">
      <c r="B35" s="23"/>
      <c r="C35" s="22"/>
      <c r="D35" s="108"/>
      <c r="E35" s="23"/>
      <c r="F35" s="109"/>
      <c r="G35" s="23"/>
      <c r="H35" s="109"/>
      <c r="I35" s="23"/>
      <c r="J35" s="109"/>
      <c r="K35" s="106"/>
      <c r="L35" s="109"/>
      <c r="M35" s="36" t="e">
        <f t="shared" ca="1" si="1"/>
        <v>#N/A</v>
      </c>
      <c r="N35" s="101" t="e">
        <f ca="1">VLOOKUP($B35,Matrix!$H$13:$I$37,2,FALSE)&amp;"_"&amp;C35</f>
        <v>#N/A</v>
      </c>
      <c r="O35" s="116" t="e">
        <f t="shared" ca="1" si="0"/>
        <v>#N/A</v>
      </c>
    </row>
    <row r="36" spans="2:15">
      <c r="B36" s="23"/>
      <c r="C36" s="22"/>
      <c r="D36" s="108"/>
      <c r="E36" s="23"/>
      <c r="F36" s="109"/>
      <c r="G36" s="23"/>
      <c r="H36" s="109"/>
      <c r="I36" s="23"/>
      <c r="J36" s="109"/>
      <c r="K36" s="106"/>
      <c r="L36" s="109"/>
      <c r="M36" s="36" t="e">
        <f t="shared" ca="1" si="1"/>
        <v>#N/A</v>
      </c>
      <c r="N36" s="101" t="e">
        <f ca="1">VLOOKUP($B36,Matrix!$H$13:$I$37,2,FALSE)&amp;"_"&amp;C36</f>
        <v>#N/A</v>
      </c>
      <c r="O36" s="116" t="e">
        <f t="shared" ref="O36:O67" ca="1" si="2">"#define "&amp;N36&amp;REPT(" ",48-M36)&amp;"("&amp;D36&amp;"U)"</f>
        <v>#N/A</v>
      </c>
    </row>
    <row r="37" spans="2:15">
      <c r="B37" s="23"/>
      <c r="C37" s="22"/>
      <c r="D37" s="108"/>
      <c r="E37" s="23"/>
      <c r="F37" s="109"/>
      <c r="G37" s="23"/>
      <c r="H37" s="109"/>
      <c r="I37" s="23"/>
      <c r="J37" s="109"/>
      <c r="K37" s="106"/>
      <c r="L37" s="109"/>
      <c r="M37" s="36" t="e">
        <f t="shared" ca="1" si="1"/>
        <v>#N/A</v>
      </c>
      <c r="N37" s="101" t="e">
        <f ca="1">VLOOKUP($B37,Matrix!$H$13:$I$37,2,FALSE)&amp;"_"&amp;C37</f>
        <v>#N/A</v>
      </c>
      <c r="O37" s="116" t="e">
        <f t="shared" ca="1" si="2"/>
        <v>#N/A</v>
      </c>
    </row>
    <row r="38" spans="2:15">
      <c r="B38" s="23"/>
      <c r="C38" s="22"/>
      <c r="D38" s="108"/>
      <c r="E38" s="23"/>
      <c r="F38" s="109"/>
      <c r="G38" s="23"/>
      <c r="H38" s="109"/>
      <c r="I38" s="23"/>
      <c r="J38" s="109"/>
      <c r="K38" s="106"/>
      <c r="L38" s="109"/>
      <c r="M38" s="36" t="e">
        <f t="shared" ca="1" si="1"/>
        <v>#N/A</v>
      </c>
      <c r="N38" s="101" t="e">
        <f ca="1">VLOOKUP($B38,Matrix!$H$13:$I$37,2,FALSE)&amp;"_"&amp;C38</f>
        <v>#N/A</v>
      </c>
      <c r="O38" s="116" t="e">
        <f t="shared" ca="1" si="2"/>
        <v>#N/A</v>
      </c>
    </row>
    <row r="39" spans="2:15">
      <c r="B39" s="23"/>
      <c r="C39" s="22"/>
      <c r="D39" s="108"/>
      <c r="E39" s="23"/>
      <c r="F39" s="109"/>
      <c r="G39" s="23"/>
      <c r="H39" s="109"/>
      <c r="I39" s="23"/>
      <c r="J39" s="109"/>
      <c r="K39" s="106"/>
      <c r="L39" s="109"/>
      <c r="M39" s="36" t="e">
        <f t="shared" ca="1" si="1"/>
        <v>#N/A</v>
      </c>
      <c r="N39" s="101" t="e">
        <f ca="1">VLOOKUP($B39,Matrix!$H$13:$I$37,2,FALSE)&amp;"_"&amp;C39</f>
        <v>#N/A</v>
      </c>
      <c r="O39" s="116" t="e">
        <f t="shared" ca="1" si="2"/>
        <v>#N/A</v>
      </c>
    </row>
    <row r="40" spans="2:15">
      <c r="B40" s="23"/>
      <c r="C40" s="22"/>
      <c r="D40" s="108"/>
      <c r="E40" s="23"/>
      <c r="F40" s="109"/>
      <c r="G40" s="23"/>
      <c r="H40" s="109"/>
      <c r="I40" s="23"/>
      <c r="J40" s="109"/>
      <c r="K40" s="106"/>
      <c r="L40" s="109"/>
      <c r="M40" s="36" t="e">
        <f t="shared" ca="1" si="1"/>
        <v>#N/A</v>
      </c>
      <c r="N40" s="101" t="e">
        <f ca="1">VLOOKUP($B40,Matrix!$H$13:$I$37,2,FALSE)&amp;"_"&amp;C40</f>
        <v>#N/A</v>
      </c>
      <c r="O40" s="116" t="e">
        <f t="shared" ca="1" si="2"/>
        <v>#N/A</v>
      </c>
    </row>
    <row r="41" spans="2:15">
      <c r="B41" s="23"/>
      <c r="C41" s="22"/>
      <c r="D41" s="108"/>
      <c r="E41" s="23"/>
      <c r="F41" s="109"/>
      <c r="G41" s="23"/>
      <c r="H41" s="109"/>
      <c r="I41" s="23"/>
      <c r="J41" s="109"/>
      <c r="K41" s="106"/>
      <c r="L41" s="109"/>
      <c r="M41" s="36" t="e">
        <f t="shared" ca="1" si="1"/>
        <v>#N/A</v>
      </c>
      <c r="N41" s="101" t="e">
        <f ca="1">VLOOKUP($B41,Matrix!$H$13:$I$37,2,FALSE)&amp;"_"&amp;C41</f>
        <v>#N/A</v>
      </c>
      <c r="O41" s="116" t="e">
        <f t="shared" ca="1" si="2"/>
        <v>#N/A</v>
      </c>
    </row>
    <row r="42" spans="2:15">
      <c r="B42" s="23"/>
      <c r="C42" s="22"/>
      <c r="D42" s="108"/>
      <c r="E42" s="23"/>
      <c r="F42" s="109"/>
      <c r="G42" s="23"/>
      <c r="H42" s="109"/>
      <c r="I42" s="23"/>
      <c r="J42" s="109"/>
      <c r="K42" s="106"/>
      <c r="L42" s="109"/>
      <c r="M42" s="36" t="e">
        <f t="shared" ca="1" si="1"/>
        <v>#N/A</v>
      </c>
      <c r="N42" s="101" t="e">
        <f ca="1">VLOOKUP($B42,Matrix!$H$13:$I$37,2,FALSE)&amp;"_"&amp;C42</f>
        <v>#N/A</v>
      </c>
      <c r="O42" s="116" t="e">
        <f t="shared" ca="1" si="2"/>
        <v>#N/A</v>
      </c>
    </row>
    <row r="43" spans="2:15">
      <c r="B43" s="23"/>
      <c r="C43" s="22"/>
      <c r="D43" s="108"/>
      <c r="E43" s="23"/>
      <c r="F43" s="109"/>
      <c r="G43" s="23"/>
      <c r="H43" s="109"/>
      <c r="I43" s="23"/>
      <c r="J43" s="109"/>
      <c r="K43" s="106"/>
      <c r="L43" s="109"/>
      <c r="M43" s="36" t="e">
        <f t="shared" ca="1" si="1"/>
        <v>#N/A</v>
      </c>
      <c r="N43" s="101" t="e">
        <f ca="1">VLOOKUP($B43,Matrix!$H$13:$I$37,2,FALSE)&amp;"_"&amp;C43</f>
        <v>#N/A</v>
      </c>
      <c r="O43" s="116" t="e">
        <f t="shared" ca="1" si="2"/>
        <v>#N/A</v>
      </c>
    </row>
    <row r="44" spans="2:15">
      <c r="B44" s="23"/>
      <c r="C44" s="22"/>
      <c r="D44" s="108"/>
      <c r="E44" s="23"/>
      <c r="F44" s="109"/>
      <c r="G44" s="23"/>
      <c r="H44" s="109"/>
      <c r="I44" s="23"/>
      <c r="J44" s="109"/>
      <c r="K44" s="106"/>
      <c r="L44" s="109"/>
      <c r="M44" s="36" t="e">
        <f t="shared" ca="1" si="1"/>
        <v>#N/A</v>
      </c>
      <c r="N44" s="101" t="e">
        <f ca="1">VLOOKUP($B44,Matrix!$H$13:$I$37,2,FALSE)&amp;"_"&amp;C44</f>
        <v>#N/A</v>
      </c>
      <c r="O44" s="116" t="e">
        <f t="shared" ca="1" si="2"/>
        <v>#N/A</v>
      </c>
    </row>
    <row r="45" spans="2:15">
      <c r="B45" s="23"/>
      <c r="C45" s="22"/>
      <c r="D45" s="108"/>
      <c r="E45" s="23"/>
      <c r="F45" s="109"/>
      <c r="G45" s="23"/>
      <c r="H45" s="109"/>
      <c r="I45" s="23"/>
      <c r="J45" s="109"/>
      <c r="K45" s="106"/>
      <c r="L45" s="109"/>
      <c r="M45" s="36" t="e">
        <f t="shared" ca="1" si="1"/>
        <v>#N/A</v>
      </c>
      <c r="N45" s="101" t="e">
        <f ca="1">VLOOKUP($B45,Matrix!$H$13:$I$37,2,FALSE)&amp;"_"&amp;C45</f>
        <v>#N/A</v>
      </c>
      <c r="O45" s="116" t="e">
        <f t="shared" ca="1" si="2"/>
        <v>#N/A</v>
      </c>
    </row>
    <row r="46" spans="2:15">
      <c r="B46" s="23"/>
      <c r="C46" s="22"/>
      <c r="D46" s="108"/>
      <c r="E46" s="23"/>
      <c r="F46" s="109"/>
      <c r="G46" s="23"/>
      <c r="H46" s="109"/>
      <c r="I46" s="23"/>
      <c r="J46" s="109"/>
      <c r="K46" s="106"/>
      <c r="L46" s="109"/>
      <c r="M46" s="36" t="e">
        <f t="shared" ca="1" si="1"/>
        <v>#N/A</v>
      </c>
      <c r="N46" s="101" t="e">
        <f ca="1">VLOOKUP($B46,Matrix!$H$13:$I$37,2,FALSE)&amp;"_"&amp;C46</f>
        <v>#N/A</v>
      </c>
      <c r="O46" s="116" t="e">
        <f t="shared" ca="1" si="2"/>
        <v>#N/A</v>
      </c>
    </row>
    <row r="47" spans="2:15">
      <c r="B47" s="23"/>
      <c r="C47" s="22"/>
      <c r="D47" s="108"/>
      <c r="E47" s="23"/>
      <c r="F47" s="109"/>
      <c r="G47" s="23"/>
      <c r="H47" s="109"/>
      <c r="I47" s="23"/>
      <c r="J47" s="109"/>
      <c r="K47" s="106"/>
      <c r="L47" s="109"/>
      <c r="M47" s="36" t="e">
        <f t="shared" ca="1" si="1"/>
        <v>#N/A</v>
      </c>
      <c r="N47" s="101" t="e">
        <f ca="1">VLOOKUP($B47,Matrix!$H$13:$I$37,2,FALSE)&amp;"_"&amp;C47</f>
        <v>#N/A</v>
      </c>
      <c r="O47" s="116" t="e">
        <f t="shared" ca="1" si="2"/>
        <v>#N/A</v>
      </c>
    </row>
    <row r="48" spans="2:15">
      <c r="B48" s="23"/>
      <c r="C48" s="22"/>
      <c r="D48" s="108"/>
      <c r="E48" s="23"/>
      <c r="F48" s="109"/>
      <c r="G48" s="23"/>
      <c r="H48" s="109"/>
      <c r="I48" s="23"/>
      <c r="J48" s="109"/>
      <c r="K48" s="106"/>
      <c r="L48" s="109"/>
      <c r="M48" s="36" t="e">
        <f t="shared" ca="1" si="1"/>
        <v>#N/A</v>
      </c>
      <c r="N48" s="101" t="e">
        <f ca="1">VLOOKUP($B48,Matrix!$H$13:$I$37,2,FALSE)&amp;"_"&amp;C48</f>
        <v>#N/A</v>
      </c>
      <c r="O48" s="116" t="e">
        <f t="shared" ca="1" si="2"/>
        <v>#N/A</v>
      </c>
    </row>
    <row r="49" spans="2:15">
      <c r="B49" s="23"/>
      <c r="C49" s="22"/>
      <c r="D49" s="108"/>
      <c r="E49" s="23"/>
      <c r="F49" s="109"/>
      <c r="G49" s="23"/>
      <c r="H49" s="109"/>
      <c r="I49" s="23"/>
      <c r="J49" s="109"/>
      <c r="K49" s="106"/>
      <c r="L49" s="109"/>
      <c r="M49" s="36" t="e">
        <f t="shared" ca="1" si="1"/>
        <v>#N/A</v>
      </c>
      <c r="N49" s="101" t="e">
        <f ca="1">VLOOKUP($B49,Matrix!$H$13:$I$37,2,FALSE)&amp;"_"&amp;C49</f>
        <v>#N/A</v>
      </c>
      <c r="O49" s="116" t="e">
        <f t="shared" ca="1" si="2"/>
        <v>#N/A</v>
      </c>
    </row>
    <row r="50" spans="2:15">
      <c r="B50" s="23"/>
      <c r="C50" s="22"/>
      <c r="D50" s="108"/>
      <c r="E50" s="23"/>
      <c r="F50" s="109"/>
      <c r="G50" s="23"/>
      <c r="H50" s="109"/>
      <c r="I50" s="23"/>
      <c r="J50" s="109"/>
      <c r="K50" s="106"/>
      <c r="L50" s="109"/>
      <c r="M50" s="36" t="e">
        <f t="shared" ca="1" si="1"/>
        <v>#N/A</v>
      </c>
      <c r="N50" s="101" t="e">
        <f ca="1">VLOOKUP($B50,Matrix!$H$13:$I$37,2,FALSE)&amp;"_"&amp;C50</f>
        <v>#N/A</v>
      </c>
      <c r="O50" s="116" t="e">
        <f t="shared" ca="1" si="2"/>
        <v>#N/A</v>
      </c>
    </row>
    <row r="51" spans="2:15">
      <c r="B51" s="23"/>
      <c r="C51" s="22"/>
      <c r="D51" s="108"/>
      <c r="E51" s="23"/>
      <c r="F51" s="109"/>
      <c r="G51" s="23"/>
      <c r="H51" s="109"/>
      <c r="I51" s="23"/>
      <c r="J51" s="109"/>
      <c r="K51" s="106"/>
      <c r="L51" s="109"/>
      <c r="M51" s="36" t="e">
        <f t="shared" ca="1" si="1"/>
        <v>#N/A</v>
      </c>
      <c r="N51" s="101" t="e">
        <f ca="1">VLOOKUP($B51,Matrix!$H$13:$I$37,2,FALSE)&amp;"_"&amp;C51</f>
        <v>#N/A</v>
      </c>
      <c r="O51" s="116" t="e">
        <f t="shared" ca="1" si="2"/>
        <v>#N/A</v>
      </c>
    </row>
    <row r="52" spans="2:15">
      <c r="B52" s="23"/>
      <c r="C52" s="22"/>
      <c r="D52" s="108"/>
      <c r="E52" s="23"/>
      <c r="F52" s="109"/>
      <c r="G52" s="23"/>
      <c r="H52" s="109"/>
      <c r="I52" s="23"/>
      <c r="J52" s="109"/>
      <c r="K52" s="106"/>
      <c r="L52" s="109"/>
      <c r="M52" s="36" t="e">
        <f t="shared" ca="1" si="1"/>
        <v>#N/A</v>
      </c>
      <c r="N52" s="101" t="e">
        <f ca="1">VLOOKUP($B52,Matrix!$H$13:$I$37,2,FALSE)&amp;"_"&amp;C52</f>
        <v>#N/A</v>
      </c>
      <c r="O52" s="116" t="e">
        <f t="shared" ca="1" si="2"/>
        <v>#N/A</v>
      </c>
    </row>
    <row r="53" spans="2:15">
      <c r="B53" s="23"/>
      <c r="C53" s="22"/>
      <c r="D53" s="108"/>
      <c r="E53" s="23"/>
      <c r="F53" s="109"/>
      <c r="G53" s="23"/>
      <c r="H53" s="109"/>
      <c r="I53" s="23"/>
      <c r="J53" s="109"/>
      <c r="K53" s="106"/>
      <c r="L53" s="109"/>
      <c r="M53" s="36" t="e">
        <f t="shared" ca="1" si="1"/>
        <v>#N/A</v>
      </c>
      <c r="N53" s="101" t="e">
        <f ca="1">VLOOKUP($B53,Matrix!$H$13:$I$37,2,FALSE)&amp;"_"&amp;C53</f>
        <v>#N/A</v>
      </c>
      <c r="O53" s="116" t="e">
        <f t="shared" ca="1" si="2"/>
        <v>#N/A</v>
      </c>
    </row>
    <row r="54" spans="2:15">
      <c r="B54" s="23"/>
      <c r="C54" s="22"/>
      <c r="D54" s="108"/>
      <c r="E54" s="23"/>
      <c r="F54" s="109"/>
      <c r="G54" s="23"/>
      <c r="H54" s="109"/>
      <c r="I54" s="23"/>
      <c r="J54" s="109"/>
      <c r="K54" s="106"/>
      <c r="L54" s="109"/>
      <c r="M54" s="36" t="e">
        <f t="shared" ca="1" si="1"/>
        <v>#N/A</v>
      </c>
      <c r="N54" s="101" t="e">
        <f ca="1">VLOOKUP($B54,Matrix!$H$13:$I$37,2,FALSE)&amp;"_"&amp;C54</f>
        <v>#N/A</v>
      </c>
      <c r="O54" s="116" t="e">
        <f t="shared" ca="1" si="2"/>
        <v>#N/A</v>
      </c>
    </row>
    <row r="55" spans="2:15">
      <c r="B55" s="23"/>
      <c r="C55" s="22"/>
      <c r="D55" s="108"/>
      <c r="E55" s="23"/>
      <c r="F55" s="109"/>
      <c r="G55" s="23"/>
      <c r="H55" s="109"/>
      <c r="I55" s="23"/>
      <c r="J55" s="109"/>
      <c r="K55" s="106"/>
      <c r="L55" s="109"/>
      <c r="M55" s="36" t="e">
        <f t="shared" ca="1" si="1"/>
        <v>#N/A</v>
      </c>
      <c r="N55" s="101" t="e">
        <f ca="1">VLOOKUP($B55,Matrix!$H$13:$I$37,2,FALSE)&amp;"_"&amp;C55</f>
        <v>#N/A</v>
      </c>
      <c r="O55" s="116" t="e">
        <f t="shared" ca="1" si="2"/>
        <v>#N/A</v>
      </c>
    </row>
    <row r="56" spans="2:15">
      <c r="B56" s="23"/>
      <c r="C56" s="22"/>
      <c r="D56" s="108"/>
      <c r="E56" s="23"/>
      <c r="F56" s="109"/>
      <c r="G56" s="23"/>
      <c r="H56" s="109"/>
      <c r="I56" s="23"/>
      <c r="J56" s="109"/>
      <c r="K56" s="106"/>
      <c r="L56" s="109"/>
      <c r="M56" s="36" t="e">
        <f t="shared" ca="1" si="1"/>
        <v>#N/A</v>
      </c>
      <c r="N56" s="101" t="e">
        <f ca="1">VLOOKUP($B56,Matrix!$H$13:$I$37,2,FALSE)&amp;"_"&amp;C56</f>
        <v>#N/A</v>
      </c>
      <c r="O56" s="116" t="e">
        <f t="shared" ca="1" si="2"/>
        <v>#N/A</v>
      </c>
    </row>
    <row r="57" spans="2:15">
      <c r="B57" s="23"/>
      <c r="C57" s="22"/>
      <c r="D57" s="108"/>
      <c r="E57" s="23"/>
      <c r="F57" s="109"/>
      <c r="G57" s="23"/>
      <c r="H57" s="109"/>
      <c r="I57" s="23"/>
      <c r="J57" s="109"/>
      <c r="K57" s="106"/>
      <c r="L57" s="109"/>
      <c r="M57" s="36" t="e">
        <f t="shared" ca="1" si="1"/>
        <v>#N/A</v>
      </c>
      <c r="N57" s="101" t="e">
        <f ca="1">VLOOKUP($B57,Matrix!$H$13:$I$37,2,FALSE)&amp;"_"&amp;C57</f>
        <v>#N/A</v>
      </c>
      <c r="O57" s="116" t="e">
        <f t="shared" ca="1" si="2"/>
        <v>#N/A</v>
      </c>
    </row>
    <row r="58" spans="2:15">
      <c r="B58" s="23"/>
      <c r="C58" s="22"/>
      <c r="D58" s="108"/>
      <c r="E58" s="23"/>
      <c r="F58" s="109"/>
      <c r="G58" s="23"/>
      <c r="H58" s="109"/>
      <c r="I58" s="23"/>
      <c r="J58" s="109"/>
      <c r="K58" s="106"/>
      <c r="L58" s="109"/>
      <c r="M58" s="36" t="e">
        <f t="shared" ca="1" si="1"/>
        <v>#N/A</v>
      </c>
      <c r="N58" s="101" t="e">
        <f ca="1">VLOOKUP($B58,Matrix!$H$13:$I$37,2,FALSE)&amp;"_"&amp;C58</f>
        <v>#N/A</v>
      </c>
      <c r="O58" s="116" t="e">
        <f t="shared" ca="1" si="2"/>
        <v>#N/A</v>
      </c>
    </row>
    <row r="59" spans="2:15">
      <c r="B59" s="23"/>
      <c r="C59" s="22"/>
      <c r="D59" s="108"/>
      <c r="E59" s="23"/>
      <c r="F59" s="109"/>
      <c r="G59" s="23"/>
      <c r="H59" s="109"/>
      <c r="I59" s="23"/>
      <c r="J59" s="109"/>
      <c r="K59" s="106"/>
      <c r="L59" s="109"/>
      <c r="M59" s="36" t="e">
        <f t="shared" ca="1" si="1"/>
        <v>#N/A</v>
      </c>
      <c r="N59" s="101" t="e">
        <f ca="1">VLOOKUP($B59,Matrix!$H$13:$I$37,2,FALSE)&amp;"_"&amp;C59</f>
        <v>#N/A</v>
      </c>
      <c r="O59" s="116" t="e">
        <f t="shared" ca="1" si="2"/>
        <v>#N/A</v>
      </c>
    </row>
    <row r="60" spans="2:15">
      <c r="B60" s="23"/>
      <c r="C60" s="22"/>
      <c r="D60" s="108"/>
      <c r="E60" s="23"/>
      <c r="F60" s="109"/>
      <c r="G60" s="23"/>
      <c r="H60" s="109"/>
      <c r="I60" s="23"/>
      <c r="J60" s="109"/>
      <c r="K60" s="106"/>
      <c r="L60" s="109"/>
      <c r="M60" s="36" t="e">
        <f t="shared" ca="1" si="1"/>
        <v>#N/A</v>
      </c>
      <c r="N60" s="101" t="e">
        <f ca="1">VLOOKUP($B60,Matrix!$H$13:$I$37,2,FALSE)&amp;"_"&amp;C60</f>
        <v>#N/A</v>
      </c>
      <c r="O60" s="116" t="e">
        <f t="shared" ca="1" si="2"/>
        <v>#N/A</v>
      </c>
    </row>
    <row r="61" spans="2:15">
      <c r="B61" s="23"/>
      <c r="C61" s="22"/>
      <c r="D61" s="108"/>
      <c r="E61" s="23"/>
      <c r="F61" s="109"/>
      <c r="G61" s="23"/>
      <c r="H61" s="109"/>
      <c r="I61" s="23"/>
      <c r="J61" s="109"/>
      <c r="K61" s="106"/>
      <c r="L61" s="109"/>
      <c r="M61" s="36" t="e">
        <f t="shared" ca="1" si="1"/>
        <v>#N/A</v>
      </c>
      <c r="N61" s="101" t="e">
        <f ca="1">VLOOKUP($B61,Matrix!$H$13:$I$37,2,FALSE)&amp;"_"&amp;C61</f>
        <v>#N/A</v>
      </c>
      <c r="O61" s="116" t="e">
        <f t="shared" ca="1" si="2"/>
        <v>#N/A</v>
      </c>
    </row>
    <row r="62" spans="2:15">
      <c r="B62" s="23"/>
      <c r="C62" s="22"/>
      <c r="D62" s="108"/>
      <c r="E62" s="23"/>
      <c r="F62" s="109"/>
      <c r="G62" s="23"/>
      <c r="H62" s="109"/>
      <c r="I62" s="23"/>
      <c r="J62" s="109"/>
      <c r="K62" s="106"/>
      <c r="L62" s="109"/>
      <c r="M62" s="36" t="e">
        <f t="shared" ca="1" si="1"/>
        <v>#N/A</v>
      </c>
      <c r="N62" s="101" t="e">
        <f ca="1">VLOOKUP($B62,Matrix!$H$13:$I$37,2,FALSE)&amp;"_"&amp;C62</f>
        <v>#N/A</v>
      </c>
      <c r="O62" s="116" t="e">
        <f t="shared" ca="1" si="2"/>
        <v>#N/A</v>
      </c>
    </row>
    <row r="63" spans="2:15">
      <c r="B63" s="23"/>
      <c r="C63" s="22"/>
      <c r="D63" s="108"/>
      <c r="E63" s="23"/>
      <c r="F63" s="109"/>
      <c r="G63" s="23"/>
      <c r="H63" s="109"/>
      <c r="I63" s="23"/>
      <c r="J63" s="109"/>
      <c r="K63" s="106"/>
      <c r="L63" s="109"/>
      <c r="M63" s="36" t="e">
        <f t="shared" ca="1" si="1"/>
        <v>#N/A</v>
      </c>
      <c r="N63" s="101" t="e">
        <f ca="1">VLOOKUP($B63,Matrix!$H$13:$I$37,2,FALSE)&amp;"_"&amp;C63</f>
        <v>#N/A</v>
      </c>
      <c r="O63" s="116" t="e">
        <f t="shared" ca="1" si="2"/>
        <v>#N/A</v>
      </c>
    </row>
    <row r="64" spans="2:15">
      <c r="B64" s="23"/>
      <c r="C64" s="22"/>
      <c r="D64" s="108"/>
      <c r="E64" s="23"/>
      <c r="F64" s="109"/>
      <c r="G64" s="23"/>
      <c r="H64" s="109"/>
      <c r="I64" s="23"/>
      <c r="J64" s="109"/>
      <c r="K64" s="106"/>
      <c r="L64" s="109"/>
      <c r="M64" s="36" t="e">
        <f t="shared" ca="1" si="1"/>
        <v>#N/A</v>
      </c>
      <c r="N64" s="101" t="e">
        <f ca="1">VLOOKUP($B64,Matrix!$H$13:$I$37,2,FALSE)&amp;"_"&amp;C64</f>
        <v>#N/A</v>
      </c>
      <c r="O64" s="116" t="e">
        <f t="shared" ca="1" si="2"/>
        <v>#N/A</v>
      </c>
    </row>
    <row r="65" spans="2:15">
      <c r="B65" s="23"/>
      <c r="C65" s="22"/>
      <c r="D65" s="108"/>
      <c r="E65" s="23"/>
      <c r="F65" s="109"/>
      <c r="G65" s="23"/>
      <c r="H65" s="109"/>
      <c r="I65" s="23"/>
      <c r="J65" s="109"/>
      <c r="K65" s="106"/>
      <c r="L65" s="109"/>
      <c r="M65" s="36" t="e">
        <f t="shared" ca="1" si="1"/>
        <v>#N/A</v>
      </c>
      <c r="N65" s="101" t="e">
        <f ca="1">VLOOKUP($B65,Matrix!$H$13:$I$37,2,FALSE)&amp;"_"&amp;C65</f>
        <v>#N/A</v>
      </c>
      <c r="O65" s="116" t="e">
        <f t="shared" ca="1" si="2"/>
        <v>#N/A</v>
      </c>
    </row>
    <row r="66" spans="2:15">
      <c r="B66" s="23"/>
      <c r="C66" s="22"/>
      <c r="D66" s="108"/>
      <c r="E66" s="23"/>
      <c r="F66" s="109"/>
      <c r="G66" s="23"/>
      <c r="H66" s="109"/>
      <c r="I66" s="23"/>
      <c r="J66" s="109"/>
      <c r="K66" s="106"/>
      <c r="L66" s="109"/>
      <c r="M66" s="36" t="e">
        <f t="shared" ca="1" si="1"/>
        <v>#N/A</v>
      </c>
      <c r="N66" s="101" t="e">
        <f ca="1">VLOOKUP($B66,Matrix!$H$13:$I$37,2,FALSE)&amp;"_"&amp;C66</f>
        <v>#N/A</v>
      </c>
      <c r="O66" s="116" t="e">
        <f t="shared" ca="1" si="2"/>
        <v>#N/A</v>
      </c>
    </row>
    <row r="67" spans="2:15">
      <c r="B67" s="23"/>
      <c r="C67" s="22"/>
      <c r="D67" s="108"/>
      <c r="E67" s="23"/>
      <c r="F67" s="109"/>
      <c r="G67" s="23"/>
      <c r="H67" s="109"/>
      <c r="I67" s="23"/>
      <c r="J67" s="109"/>
      <c r="K67" s="106"/>
      <c r="L67" s="109"/>
      <c r="M67" s="36" t="e">
        <f t="shared" ca="1" si="1"/>
        <v>#N/A</v>
      </c>
      <c r="N67" s="101" t="e">
        <f ca="1">VLOOKUP($B67,Matrix!$H$13:$I$37,2,FALSE)&amp;"_"&amp;C67</f>
        <v>#N/A</v>
      </c>
      <c r="O67" s="116" t="e">
        <f t="shared" ca="1" si="2"/>
        <v>#N/A</v>
      </c>
    </row>
    <row r="68" spans="2:15">
      <c r="B68" s="23"/>
      <c r="C68" s="22"/>
      <c r="D68" s="108"/>
      <c r="E68" s="23"/>
      <c r="F68" s="109"/>
      <c r="G68" s="23"/>
      <c r="H68" s="109"/>
      <c r="I68" s="23"/>
      <c r="J68" s="109"/>
      <c r="K68" s="106"/>
      <c r="L68" s="109"/>
      <c r="M68" s="36" t="e">
        <f t="shared" ca="1" si="1"/>
        <v>#N/A</v>
      </c>
      <c r="N68" s="101" t="e">
        <f ca="1">VLOOKUP($B68,Matrix!$H$13:$I$37,2,FALSE)&amp;"_"&amp;C68</f>
        <v>#N/A</v>
      </c>
      <c r="O68" s="116" t="e">
        <f t="shared" ref="O68:O99" ca="1" si="3">"#define "&amp;N68&amp;REPT(" ",48-M68)&amp;"("&amp;D68&amp;"U)"</f>
        <v>#N/A</v>
      </c>
    </row>
    <row r="69" spans="2:15">
      <c r="B69" s="23"/>
      <c r="C69" s="22"/>
      <c r="D69" s="108"/>
      <c r="E69" s="23"/>
      <c r="F69" s="109"/>
      <c r="G69" s="23"/>
      <c r="H69" s="109"/>
      <c r="I69" s="23"/>
      <c r="J69" s="109"/>
      <c r="K69" s="106"/>
      <c r="L69" s="109"/>
      <c r="M69" s="36" t="e">
        <f t="shared" ref="M69:M103" ca="1" si="4">LEN(N69)</f>
        <v>#N/A</v>
      </c>
      <c r="N69" s="101" t="e">
        <f ca="1">VLOOKUP($B69,Matrix!$H$13:$I$37,2,FALSE)&amp;"_"&amp;C69</f>
        <v>#N/A</v>
      </c>
      <c r="O69" s="116" t="e">
        <f t="shared" ca="1" si="3"/>
        <v>#N/A</v>
      </c>
    </row>
    <row r="70" spans="2:15">
      <c r="B70" s="23"/>
      <c r="C70" s="22"/>
      <c r="D70" s="108"/>
      <c r="E70" s="23"/>
      <c r="F70" s="109"/>
      <c r="G70" s="23"/>
      <c r="H70" s="109"/>
      <c r="I70" s="23"/>
      <c r="J70" s="109"/>
      <c r="K70" s="106"/>
      <c r="L70" s="109"/>
      <c r="M70" s="36" t="e">
        <f t="shared" ca="1" si="4"/>
        <v>#N/A</v>
      </c>
      <c r="N70" s="101" t="e">
        <f ca="1">VLOOKUP($B70,Matrix!$H$13:$I$37,2,FALSE)&amp;"_"&amp;C70</f>
        <v>#N/A</v>
      </c>
      <c r="O70" s="116" t="e">
        <f t="shared" ca="1" si="3"/>
        <v>#N/A</v>
      </c>
    </row>
    <row r="71" spans="2:15">
      <c r="B71" s="23"/>
      <c r="C71" s="22"/>
      <c r="D71" s="108"/>
      <c r="E71" s="23"/>
      <c r="F71" s="109"/>
      <c r="G71" s="23"/>
      <c r="H71" s="109"/>
      <c r="I71" s="23"/>
      <c r="J71" s="109"/>
      <c r="K71" s="106"/>
      <c r="L71" s="109"/>
      <c r="M71" s="36" t="e">
        <f t="shared" ca="1" si="4"/>
        <v>#N/A</v>
      </c>
      <c r="N71" s="101" t="e">
        <f ca="1">VLOOKUP($B71,Matrix!$H$13:$I$37,2,FALSE)&amp;"_"&amp;C71</f>
        <v>#N/A</v>
      </c>
      <c r="O71" s="116" t="e">
        <f t="shared" ca="1" si="3"/>
        <v>#N/A</v>
      </c>
    </row>
    <row r="72" spans="2:15">
      <c r="B72" s="23"/>
      <c r="C72" s="22"/>
      <c r="D72" s="108"/>
      <c r="E72" s="23"/>
      <c r="F72" s="109"/>
      <c r="G72" s="23"/>
      <c r="H72" s="109"/>
      <c r="I72" s="23"/>
      <c r="J72" s="109"/>
      <c r="K72" s="106"/>
      <c r="L72" s="109"/>
      <c r="M72" s="36" t="e">
        <f t="shared" ca="1" si="4"/>
        <v>#N/A</v>
      </c>
      <c r="N72" s="101" t="e">
        <f ca="1">VLOOKUP($B72,Matrix!$H$13:$I$37,2,FALSE)&amp;"_"&amp;C72</f>
        <v>#N/A</v>
      </c>
      <c r="O72" s="116" t="e">
        <f t="shared" ca="1" si="3"/>
        <v>#N/A</v>
      </c>
    </row>
    <row r="73" spans="2:15">
      <c r="B73" s="23"/>
      <c r="C73" s="22"/>
      <c r="D73" s="108"/>
      <c r="E73" s="23"/>
      <c r="F73" s="109"/>
      <c r="G73" s="23"/>
      <c r="H73" s="109"/>
      <c r="I73" s="23"/>
      <c r="J73" s="109"/>
      <c r="K73" s="106"/>
      <c r="L73" s="109"/>
      <c r="M73" s="36" t="e">
        <f t="shared" ca="1" si="4"/>
        <v>#N/A</v>
      </c>
      <c r="N73" s="101" t="e">
        <f ca="1">VLOOKUP($B73,Matrix!$H$13:$I$37,2,FALSE)&amp;"_"&amp;C73</f>
        <v>#N/A</v>
      </c>
      <c r="O73" s="116" t="e">
        <f t="shared" ca="1" si="3"/>
        <v>#N/A</v>
      </c>
    </row>
    <row r="74" spans="2:15">
      <c r="B74" s="23"/>
      <c r="C74" s="22"/>
      <c r="D74" s="108"/>
      <c r="E74" s="23"/>
      <c r="F74" s="109"/>
      <c r="G74" s="23"/>
      <c r="H74" s="109"/>
      <c r="I74" s="23"/>
      <c r="J74" s="109"/>
      <c r="K74" s="106"/>
      <c r="L74" s="109"/>
      <c r="M74" s="36" t="e">
        <f t="shared" ca="1" si="4"/>
        <v>#N/A</v>
      </c>
      <c r="N74" s="101" t="e">
        <f ca="1">VLOOKUP($B74,Matrix!$H$13:$I$37,2,FALSE)&amp;"_"&amp;C74</f>
        <v>#N/A</v>
      </c>
      <c r="O74" s="116" t="e">
        <f t="shared" ca="1" si="3"/>
        <v>#N/A</v>
      </c>
    </row>
    <row r="75" spans="2:15">
      <c r="B75" s="23"/>
      <c r="C75" s="22"/>
      <c r="D75" s="108"/>
      <c r="E75" s="23"/>
      <c r="F75" s="109"/>
      <c r="G75" s="23"/>
      <c r="H75" s="109"/>
      <c r="I75" s="23"/>
      <c r="J75" s="109"/>
      <c r="K75" s="106"/>
      <c r="L75" s="109"/>
      <c r="M75" s="36" t="e">
        <f t="shared" ca="1" si="4"/>
        <v>#N/A</v>
      </c>
      <c r="N75" s="101" t="e">
        <f ca="1">VLOOKUP($B75,Matrix!$H$13:$I$37,2,FALSE)&amp;"_"&amp;C75</f>
        <v>#N/A</v>
      </c>
      <c r="O75" s="116" t="e">
        <f t="shared" ca="1" si="3"/>
        <v>#N/A</v>
      </c>
    </row>
    <row r="76" spans="2:15">
      <c r="B76" s="23"/>
      <c r="C76" s="22"/>
      <c r="D76" s="108"/>
      <c r="E76" s="23"/>
      <c r="F76" s="109"/>
      <c r="G76" s="23"/>
      <c r="H76" s="109"/>
      <c r="I76" s="23"/>
      <c r="J76" s="109"/>
      <c r="K76" s="106"/>
      <c r="L76" s="109"/>
      <c r="M76" s="36" t="e">
        <f t="shared" ca="1" si="4"/>
        <v>#N/A</v>
      </c>
      <c r="N76" s="101" t="e">
        <f ca="1">VLOOKUP($B76,Matrix!$H$13:$I$37,2,FALSE)&amp;"_"&amp;C76</f>
        <v>#N/A</v>
      </c>
      <c r="O76" s="116" t="e">
        <f t="shared" ca="1" si="3"/>
        <v>#N/A</v>
      </c>
    </row>
    <row r="77" spans="2:15">
      <c r="B77" s="23"/>
      <c r="C77" s="22"/>
      <c r="D77" s="108"/>
      <c r="E77" s="23"/>
      <c r="F77" s="109"/>
      <c r="G77" s="23"/>
      <c r="H77" s="109"/>
      <c r="I77" s="23"/>
      <c r="J77" s="109"/>
      <c r="K77" s="106"/>
      <c r="L77" s="109"/>
      <c r="M77" s="36" t="e">
        <f t="shared" ca="1" si="4"/>
        <v>#N/A</v>
      </c>
      <c r="N77" s="101" t="e">
        <f ca="1">VLOOKUP($B77,Matrix!$H$13:$I$37,2,FALSE)&amp;"_"&amp;C77</f>
        <v>#N/A</v>
      </c>
      <c r="O77" s="116" t="e">
        <f t="shared" ca="1" si="3"/>
        <v>#N/A</v>
      </c>
    </row>
    <row r="78" spans="2:15">
      <c r="B78" s="23"/>
      <c r="C78" s="22"/>
      <c r="D78" s="108"/>
      <c r="E78" s="23"/>
      <c r="F78" s="109"/>
      <c r="G78" s="23"/>
      <c r="H78" s="109"/>
      <c r="I78" s="23"/>
      <c r="J78" s="109"/>
      <c r="K78" s="106"/>
      <c r="L78" s="109"/>
      <c r="M78" s="36" t="e">
        <f t="shared" ca="1" si="4"/>
        <v>#N/A</v>
      </c>
      <c r="N78" s="101" t="e">
        <f ca="1">VLOOKUP($B78,Matrix!$H$13:$I$37,2,FALSE)&amp;"_"&amp;C78</f>
        <v>#N/A</v>
      </c>
      <c r="O78" s="116" t="e">
        <f t="shared" ca="1" si="3"/>
        <v>#N/A</v>
      </c>
    </row>
    <row r="79" spans="2:15">
      <c r="B79" s="23"/>
      <c r="C79" s="22"/>
      <c r="D79" s="108"/>
      <c r="E79" s="23"/>
      <c r="F79" s="109"/>
      <c r="G79" s="23"/>
      <c r="H79" s="109"/>
      <c r="I79" s="23"/>
      <c r="J79" s="109"/>
      <c r="K79" s="106"/>
      <c r="L79" s="109"/>
      <c r="M79" s="36" t="e">
        <f t="shared" ca="1" si="4"/>
        <v>#N/A</v>
      </c>
      <c r="N79" s="101" t="e">
        <f ca="1">VLOOKUP($B79,Matrix!$H$13:$I$37,2,FALSE)&amp;"_"&amp;C79</f>
        <v>#N/A</v>
      </c>
      <c r="O79" s="116" t="e">
        <f t="shared" ca="1" si="3"/>
        <v>#N/A</v>
      </c>
    </row>
    <row r="80" spans="2:15">
      <c r="B80" s="23"/>
      <c r="C80" s="22"/>
      <c r="D80" s="108"/>
      <c r="E80" s="23"/>
      <c r="F80" s="109"/>
      <c r="G80" s="23"/>
      <c r="H80" s="109"/>
      <c r="I80" s="23"/>
      <c r="J80" s="109"/>
      <c r="K80" s="106"/>
      <c r="L80" s="109"/>
      <c r="M80" s="36" t="e">
        <f t="shared" ca="1" si="4"/>
        <v>#N/A</v>
      </c>
      <c r="N80" s="101" t="e">
        <f ca="1">VLOOKUP($B80,Matrix!$H$13:$I$37,2,FALSE)&amp;"_"&amp;C80</f>
        <v>#N/A</v>
      </c>
      <c r="O80" s="116" t="e">
        <f t="shared" ca="1" si="3"/>
        <v>#N/A</v>
      </c>
    </row>
    <row r="81" spans="2:15">
      <c r="B81" s="23"/>
      <c r="C81" s="22"/>
      <c r="D81" s="108"/>
      <c r="E81" s="23"/>
      <c r="F81" s="109"/>
      <c r="G81" s="23"/>
      <c r="H81" s="109"/>
      <c r="I81" s="23"/>
      <c r="J81" s="109"/>
      <c r="K81" s="106"/>
      <c r="L81" s="109"/>
      <c r="M81" s="36" t="e">
        <f t="shared" ca="1" si="4"/>
        <v>#N/A</v>
      </c>
      <c r="N81" s="101" t="e">
        <f ca="1">VLOOKUP($B81,Matrix!$H$13:$I$37,2,FALSE)&amp;"_"&amp;C81</f>
        <v>#N/A</v>
      </c>
      <c r="O81" s="116" t="e">
        <f t="shared" ca="1" si="3"/>
        <v>#N/A</v>
      </c>
    </row>
    <row r="82" spans="2:15">
      <c r="B82" s="23"/>
      <c r="C82" s="22"/>
      <c r="D82" s="108"/>
      <c r="E82" s="23"/>
      <c r="F82" s="109"/>
      <c r="G82" s="23"/>
      <c r="H82" s="109"/>
      <c r="I82" s="23"/>
      <c r="J82" s="109"/>
      <c r="K82" s="106"/>
      <c r="L82" s="109"/>
      <c r="M82" s="36" t="e">
        <f t="shared" ca="1" si="4"/>
        <v>#N/A</v>
      </c>
      <c r="N82" s="101" t="e">
        <f ca="1">VLOOKUP($B82,Matrix!$H$13:$I$37,2,FALSE)&amp;"_"&amp;C82</f>
        <v>#N/A</v>
      </c>
      <c r="O82" s="116" t="e">
        <f t="shared" ca="1" si="3"/>
        <v>#N/A</v>
      </c>
    </row>
    <row r="83" spans="2:15">
      <c r="B83" s="23"/>
      <c r="C83" s="22"/>
      <c r="D83" s="108"/>
      <c r="E83" s="23"/>
      <c r="F83" s="109"/>
      <c r="G83" s="23"/>
      <c r="H83" s="109"/>
      <c r="I83" s="23"/>
      <c r="J83" s="109"/>
      <c r="K83" s="106"/>
      <c r="L83" s="109"/>
      <c r="M83" s="36" t="e">
        <f t="shared" ca="1" si="4"/>
        <v>#N/A</v>
      </c>
      <c r="N83" s="101" t="e">
        <f ca="1">VLOOKUP($B83,Matrix!$H$13:$I$37,2,FALSE)&amp;"_"&amp;C83</f>
        <v>#N/A</v>
      </c>
      <c r="O83" s="116" t="e">
        <f t="shared" ca="1" si="3"/>
        <v>#N/A</v>
      </c>
    </row>
    <row r="84" spans="2:15">
      <c r="B84" s="23"/>
      <c r="C84" s="22"/>
      <c r="D84" s="108"/>
      <c r="E84" s="23"/>
      <c r="F84" s="109"/>
      <c r="G84" s="23"/>
      <c r="H84" s="109"/>
      <c r="I84" s="23"/>
      <c r="J84" s="109"/>
      <c r="K84" s="106"/>
      <c r="L84" s="109"/>
      <c r="M84" s="36" t="e">
        <f t="shared" ca="1" si="4"/>
        <v>#N/A</v>
      </c>
      <c r="N84" s="101" t="e">
        <f ca="1">VLOOKUP($B84,Matrix!$H$13:$I$37,2,FALSE)&amp;"_"&amp;C84</f>
        <v>#N/A</v>
      </c>
      <c r="O84" s="116" t="e">
        <f t="shared" ca="1" si="3"/>
        <v>#N/A</v>
      </c>
    </row>
    <row r="85" spans="2:15">
      <c r="B85" s="23"/>
      <c r="C85" s="22"/>
      <c r="D85" s="108"/>
      <c r="E85" s="23"/>
      <c r="F85" s="109"/>
      <c r="G85" s="23"/>
      <c r="H85" s="109"/>
      <c r="I85" s="23"/>
      <c r="J85" s="109"/>
      <c r="K85" s="106"/>
      <c r="L85" s="109"/>
      <c r="M85" s="36" t="e">
        <f t="shared" ca="1" si="4"/>
        <v>#N/A</v>
      </c>
      <c r="N85" s="101" t="e">
        <f ca="1">VLOOKUP($B85,Matrix!$H$13:$I$37,2,FALSE)&amp;"_"&amp;C85</f>
        <v>#N/A</v>
      </c>
      <c r="O85" s="116" t="e">
        <f t="shared" ca="1" si="3"/>
        <v>#N/A</v>
      </c>
    </row>
    <row r="86" spans="2:15">
      <c r="B86" s="23"/>
      <c r="C86" s="22"/>
      <c r="D86" s="108"/>
      <c r="E86" s="23"/>
      <c r="F86" s="109"/>
      <c r="G86" s="23"/>
      <c r="H86" s="109"/>
      <c r="I86" s="23"/>
      <c r="J86" s="109"/>
      <c r="K86" s="106"/>
      <c r="L86" s="109"/>
      <c r="M86" s="36" t="e">
        <f t="shared" ca="1" si="4"/>
        <v>#N/A</v>
      </c>
      <c r="N86" s="101" t="e">
        <f ca="1">VLOOKUP($B86,Matrix!$H$13:$I$37,2,FALSE)&amp;"_"&amp;C86</f>
        <v>#N/A</v>
      </c>
      <c r="O86" s="116" t="e">
        <f t="shared" ca="1" si="3"/>
        <v>#N/A</v>
      </c>
    </row>
    <row r="87" spans="2:15">
      <c r="B87" s="23"/>
      <c r="C87" s="22"/>
      <c r="D87" s="108"/>
      <c r="E87" s="23"/>
      <c r="F87" s="109"/>
      <c r="G87" s="23"/>
      <c r="H87" s="109"/>
      <c r="I87" s="23"/>
      <c r="J87" s="109"/>
      <c r="K87" s="106"/>
      <c r="L87" s="109"/>
      <c r="M87" s="36" t="e">
        <f t="shared" ca="1" si="4"/>
        <v>#N/A</v>
      </c>
      <c r="N87" s="57" t="e">
        <f ca="1">VLOOKUP($B87,Matrix!$H$13:$I$37,2,FALSE)&amp;"_"&amp;C87</f>
        <v>#N/A</v>
      </c>
      <c r="O87" s="116" t="e">
        <f t="shared" ca="1" si="3"/>
        <v>#N/A</v>
      </c>
    </row>
    <row r="88" spans="2:15">
      <c r="B88" s="23"/>
      <c r="C88" s="22"/>
      <c r="D88" s="108"/>
      <c r="E88" s="23"/>
      <c r="F88" s="109"/>
      <c r="G88" s="23"/>
      <c r="H88" s="109"/>
      <c r="I88" s="23"/>
      <c r="J88" s="109"/>
      <c r="K88" s="106"/>
      <c r="L88" s="109"/>
      <c r="M88" s="36" t="e">
        <f t="shared" ca="1" si="4"/>
        <v>#N/A</v>
      </c>
      <c r="N88" s="57" t="e">
        <f ca="1">VLOOKUP($B88,Matrix!$H$13:$I$37,2,FALSE)&amp;"_"&amp;C88</f>
        <v>#N/A</v>
      </c>
      <c r="O88" s="116" t="e">
        <f t="shared" ca="1" si="3"/>
        <v>#N/A</v>
      </c>
    </row>
    <row r="89" spans="2:15">
      <c r="B89" s="23"/>
      <c r="C89" s="22"/>
      <c r="D89" s="108"/>
      <c r="E89" s="23"/>
      <c r="F89" s="109"/>
      <c r="G89" s="23"/>
      <c r="H89" s="109"/>
      <c r="I89" s="23"/>
      <c r="J89" s="109"/>
      <c r="K89" s="106"/>
      <c r="L89" s="109"/>
      <c r="M89" s="36" t="e">
        <f t="shared" ca="1" si="4"/>
        <v>#N/A</v>
      </c>
      <c r="N89" s="57" t="e">
        <f ca="1">VLOOKUP($B89,Matrix!$H$13:$I$37,2,FALSE)&amp;"_"&amp;C89</f>
        <v>#N/A</v>
      </c>
      <c r="O89" s="116" t="e">
        <f t="shared" ca="1" si="3"/>
        <v>#N/A</v>
      </c>
    </row>
    <row r="90" spans="2:15">
      <c r="B90" s="23"/>
      <c r="C90" s="22"/>
      <c r="D90" s="108"/>
      <c r="E90" s="23"/>
      <c r="F90" s="109"/>
      <c r="G90" s="23"/>
      <c r="H90" s="109"/>
      <c r="I90" s="23"/>
      <c r="J90" s="109"/>
      <c r="K90" s="106"/>
      <c r="L90" s="109"/>
      <c r="M90" s="36" t="e">
        <f t="shared" ca="1" si="4"/>
        <v>#N/A</v>
      </c>
      <c r="N90" s="57" t="e">
        <f ca="1">VLOOKUP($B90,Matrix!$H$13:$I$37,2,FALSE)&amp;"_"&amp;C90</f>
        <v>#N/A</v>
      </c>
      <c r="O90" s="116" t="e">
        <f t="shared" ca="1" si="3"/>
        <v>#N/A</v>
      </c>
    </row>
    <row r="91" spans="2:15">
      <c r="B91" s="23"/>
      <c r="C91" s="22"/>
      <c r="D91" s="108"/>
      <c r="E91" s="23"/>
      <c r="F91" s="109"/>
      <c r="G91" s="23"/>
      <c r="H91" s="109"/>
      <c r="I91" s="23"/>
      <c r="J91" s="109"/>
      <c r="K91" s="106"/>
      <c r="L91" s="109"/>
      <c r="M91" s="36" t="e">
        <f t="shared" ca="1" si="4"/>
        <v>#N/A</v>
      </c>
      <c r="N91" s="57" t="e">
        <f ca="1">VLOOKUP($B91,Matrix!$H$13:$I$37,2,FALSE)&amp;"_"&amp;C91</f>
        <v>#N/A</v>
      </c>
      <c r="O91" s="116" t="e">
        <f t="shared" ca="1" si="3"/>
        <v>#N/A</v>
      </c>
    </row>
    <row r="92" spans="2:15">
      <c r="B92" s="23"/>
      <c r="C92" s="22"/>
      <c r="D92" s="108"/>
      <c r="E92" s="23"/>
      <c r="F92" s="109"/>
      <c r="G92" s="23"/>
      <c r="H92" s="109"/>
      <c r="I92" s="23"/>
      <c r="J92" s="109"/>
      <c r="K92" s="106"/>
      <c r="L92" s="109"/>
      <c r="M92" s="36" t="e">
        <f t="shared" ca="1" si="4"/>
        <v>#N/A</v>
      </c>
      <c r="N92" s="57" t="e">
        <f ca="1">VLOOKUP($B92,Matrix!$H$13:$I$37,2,FALSE)&amp;"_"&amp;C92</f>
        <v>#N/A</v>
      </c>
      <c r="O92" s="116" t="e">
        <f t="shared" ca="1" si="3"/>
        <v>#N/A</v>
      </c>
    </row>
    <row r="93" spans="2:15">
      <c r="B93" s="23"/>
      <c r="C93" s="22"/>
      <c r="D93" s="108"/>
      <c r="E93" s="23"/>
      <c r="F93" s="109"/>
      <c r="G93" s="23"/>
      <c r="H93" s="109"/>
      <c r="I93" s="23"/>
      <c r="J93" s="109"/>
      <c r="K93" s="106"/>
      <c r="L93" s="109"/>
      <c r="M93" s="36" t="e">
        <f t="shared" ca="1" si="4"/>
        <v>#N/A</v>
      </c>
      <c r="N93" s="57" t="e">
        <f ca="1">VLOOKUP($B93,Matrix!$H$13:$I$37,2,FALSE)&amp;"_"&amp;C93</f>
        <v>#N/A</v>
      </c>
      <c r="O93" s="116" t="e">
        <f t="shared" ca="1" si="3"/>
        <v>#N/A</v>
      </c>
    </row>
    <row r="94" spans="2:15">
      <c r="B94" s="23"/>
      <c r="C94" s="22"/>
      <c r="D94" s="108"/>
      <c r="E94" s="23"/>
      <c r="F94" s="109"/>
      <c r="G94" s="23"/>
      <c r="H94" s="109"/>
      <c r="I94" s="23"/>
      <c r="J94" s="109"/>
      <c r="K94" s="106"/>
      <c r="L94" s="109"/>
      <c r="M94" s="36" t="e">
        <f t="shared" ca="1" si="4"/>
        <v>#N/A</v>
      </c>
      <c r="N94" s="57" t="e">
        <f ca="1">VLOOKUP($B94,Matrix!$H$13:$I$37,2,FALSE)&amp;"_"&amp;C94</f>
        <v>#N/A</v>
      </c>
      <c r="O94" s="116" t="e">
        <f t="shared" ca="1" si="3"/>
        <v>#N/A</v>
      </c>
    </row>
    <row r="95" spans="2:15">
      <c r="B95" s="23"/>
      <c r="C95" s="22"/>
      <c r="D95" s="108"/>
      <c r="E95" s="23"/>
      <c r="F95" s="109"/>
      <c r="G95" s="23"/>
      <c r="H95" s="109"/>
      <c r="I95" s="23"/>
      <c r="J95" s="109"/>
      <c r="K95" s="106"/>
      <c r="L95" s="109"/>
      <c r="M95" s="36" t="e">
        <f t="shared" ca="1" si="4"/>
        <v>#N/A</v>
      </c>
      <c r="N95" s="57" t="e">
        <f ca="1">VLOOKUP($B95,Matrix!$H$13:$I$37,2,FALSE)&amp;"_"&amp;C95</f>
        <v>#N/A</v>
      </c>
      <c r="O95" s="116" t="e">
        <f t="shared" ca="1" si="3"/>
        <v>#N/A</v>
      </c>
    </row>
    <row r="96" spans="2:15">
      <c r="B96" s="23"/>
      <c r="C96" s="22"/>
      <c r="D96" s="108"/>
      <c r="E96" s="23"/>
      <c r="F96" s="109"/>
      <c r="G96" s="23"/>
      <c r="H96" s="109"/>
      <c r="I96" s="23"/>
      <c r="J96" s="109"/>
      <c r="K96" s="106"/>
      <c r="L96" s="109"/>
      <c r="M96" s="36" t="e">
        <f t="shared" ca="1" si="4"/>
        <v>#N/A</v>
      </c>
      <c r="N96" s="57" t="e">
        <f ca="1">VLOOKUP($B96,Matrix!$H$13:$I$37,2,FALSE)&amp;"_"&amp;C96</f>
        <v>#N/A</v>
      </c>
      <c r="O96" s="116" t="e">
        <f t="shared" ca="1" si="3"/>
        <v>#N/A</v>
      </c>
    </row>
    <row r="97" spans="2:15">
      <c r="B97" s="23"/>
      <c r="C97" s="22"/>
      <c r="D97" s="108"/>
      <c r="E97" s="23"/>
      <c r="F97" s="109"/>
      <c r="G97" s="23"/>
      <c r="H97" s="109"/>
      <c r="I97" s="23"/>
      <c r="J97" s="109"/>
      <c r="K97" s="106"/>
      <c r="L97" s="109"/>
      <c r="M97" s="36" t="e">
        <f t="shared" ca="1" si="4"/>
        <v>#N/A</v>
      </c>
      <c r="N97" s="57" t="e">
        <f ca="1">VLOOKUP($B97,Matrix!$H$13:$I$37,2,FALSE)&amp;"_"&amp;C97</f>
        <v>#N/A</v>
      </c>
      <c r="O97" s="116" t="e">
        <f t="shared" ca="1" si="3"/>
        <v>#N/A</v>
      </c>
    </row>
    <row r="98" spans="2:15">
      <c r="B98" s="23"/>
      <c r="C98" s="22"/>
      <c r="D98" s="108"/>
      <c r="E98" s="23"/>
      <c r="F98" s="109"/>
      <c r="G98" s="23"/>
      <c r="H98" s="109"/>
      <c r="I98" s="23"/>
      <c r="J98" s="109"/>
      <c r="K98" s="106"/>
      <c r="L98" s="109"/>
      <c r="M98" s="36" t="e">
        <f t="shared" ca="1" si="4"/>
        <v>#N/A</v>
      </c>
      <c r="N98" s="57" t="e">
        <f ca="1">VLOOKUP($B98,Matrix!$H$13:$I$37,2,FALSE)&amp;"_"&amp;C98</f>
        <v>#N/A</v>
      </c>
      <c r="O98" s="116" t="e">
        <f t="shared" ca="1" si="3"/>
        <v>#N/A</v>
      </c>
    </row>
    <row r="99" spans="2:15">
      <c r="B99" s="23"/>
      <c r="C99" s="22"/>
      <c r="D99" s="108"/>
      <c r="E99" s="23"/>
      <c r="F99" s="109"/>
      <c r="G99" s="23"/>
      <c r="H99" s="109"/>
      <c r="I99" s="23"/>
      <c r="J99" s="109"/>
      <c r="K99" s="106"/>
      <c r="L99" s="109"/>
      <c r="M99" s="36" t="e">
        <f t="shared" ca="1" si="4"/>
        <v>#N/A</v>
      </c>
      <c r="N99" s="57" t="e">
        <f ca="1">VLOOKUP($B99,Matrix!$H$13:$I$37,2,FALSE)&amp;"_"&amp;C99</f>
        <v>#N/A</v>
      </c>
      <c r="O99" s="116" t="e">
        <f t="shared" ca="1" si="3"/>
        <v>#N/A</v>
      </c>
    </row>
    <row r="100" spans="2:15">
      <c r="B100" s="23"/>
      <c r="C100" s="22"/>
      <c r="D100" s="108"/>
      <c r="E100" s="23"/>
      <c r="F100" s="109"/>
      <c r="G100" s="23"/>
      <c r="H100" s="109"/>
      <c r="I100" s="23"/>
      <c r="J100" s="109"/>
      <c r="K100" s="106"/>
      <c r="L100" s="109"/>
      <c r="M100" s="36" t="e">
        <f t="shared" ca="1" si="4"/>
        <v>#N/A</v>
      </c>
      <c r="N100" s="57" t="e">
        <f ca="1">VLOOKUP($B100,Matrix!$H$13:$I$37,2,FALSE)&amp;"_"&amp;C100</f>
        <v>#N/A</v>
      </c>
      <c r="O100" s="116" t="e">
        <f ca="1">"#define "&amp;N100&amp;REPT(" ",48-M100)&amp;"("&amp;D100&amp;"U)"</f>
        <v>#N/A</v>
      </c>
    </row>
    <row r="101" spans="2:15">
      <c r="B101" s="23"/>
      <c r="C101" s="22"/>
      <c r="D101" s="108"/>
      <c r="E101" s="23"/>
      <c r="F101" s="109"/>
      <c r="G101" s="23"/>
      <c r="H101" s="109"/>
      <c r="I101" s="23"/>
      <c r="J101" s="109"/>
      <c r="K101" s="106"/>
      <c r="L101" s="109"/>
      <c r="M101" s="36" t="e">
        <f t="shared" ca="1" si="4"/>
        <v>#N/A</v>
      </c>
      <c r="N101" s="57" t="e">
        <f ca="1">VLOOKUP($B101,Matrix!$H$13:$I$37,2,FALSE)&amp;"_"&amp;C101</f>
        <v>#N/A</v>
      </c>
      <c r="O101" s="116" t="e">
        <f ca="1">"#define "&amp;N101&amp;REPT(" ",48-M101)&amp;"("&amp;D101&amp;"U)"</f>
        <v>#N/A</v>
      </c>
    </row>
    <row r="102" spans="2:15">
      <c r="B102" s="23"/>
      <c r="C102" s="22"/>
      <c r="D102" s="108"/>
      <c r="E102" s="23"/>
      <c r="F102" s="109"/>
      <c r="G102" s="23"/>
      <c r="H102" s="109"/>
      <c r="I102" s="23"/>
      <c r="J102" s="109"/>
      <c r="K102" s="106"/>
      <c r="L102" s="109"/>
      <c r="M102" s="36" t="e">
        <f t="shared" ca="1" si="4"/>
        <v>#N/A</v>
      </c>
      <c r="N102" s="57" t="e">
        <f ca="1">VLOOKUP($B102,Matrix!$H$13:$I$37,2,FALSE)&amp;"_"&amp;C102</f>
        <v>#N/A</v>
      </c>
      <c r="O102" s="116" t="e">
        <f ca="1">"#define "&amp;N102&amp;REPT(" ",48-M102)&amp;"("&amp;D102&amp;"U)"</f>
        <v>#N/A</v>
      </c>
    </row>
    <row r="103" spans="2:15" ht="13.8" thickBot="1">
      <c r="B103" s="42"/>
      <c r="C103" s="43"/>
      <c r="D103" s="110"/>
      <c r="E103" s="42"/>
      <c r="F103" s="111"/>
      <c r="G103" s="42"/>
      <c r="H103" s="111"/>
      <c r="I103" s="42"/>
      <c r="J103" s="111"/>
      <c r="K103" s="198"/>
      <c r="L103" s="111"/>
      <c r="M103" s="44" t="e">
        <f t="shared" ca="1" si="4"/>
        <v>#N/A</v>
      </c>
      <c r="N103" s="58" t="e">
        <f ca="1">VLOOKUP($B103,Matrix!$H$13:$I$37,2,FALSE)&amp;"_"&amp;C103</f>
        <v>#N/A</v>
      </c>
      <c r="O103" s="117" t="e">
        <f ca="1">"#define "&amp;N103&amp;REPT(" ",48-M103)&amp;"("&amp;D103&amp;"U)"</f>
        <v>#N/A</v>
      </c>
    </row>
  </sheetData>
  <sheetProtection sheet="1" objects="1" scenarios="1"/>
  <protectedRanges>
    <protectedRange sqref="B4:L103" name="範囲1"/>
  </protectedRanges>
  <phoneticPr fontId="2"/>
  <conditionalFormatting sqref="M3:M103">
    <cfRule type="cellIs" dxfId="5"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55</v>
      </c>
      <c r="AI1" t="s">
        <v>56</v>
      </c>
    </row>
    <row r="2" spans="1:49">
      <c r="B2" s="118" t="s">
        <v>116</v>
      </c>
      <c r="C2" s="293"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5" t="s">
        <v>193</v>
      </c>
    </row>
    <row r="3" spans="1:49" ht="213" customHeight="1" thickBot="1">
      <c r="B3" s="190" t="str">
        <f>IF(OR(IF(COUNTIF(D6:AC69,"0")&lt;&gt;0,TRUE,FALSE),IF(COUNTIF(D6:AC69,"1")&lt;&gt;0,TRUE,FALSE)),"Search Table","Index Table")</f>
        <v>Index Table</v>
      </c>
      <c r="C3" s="294"/>
      <c r="D3" s="120" t="s">
        <v>57</v>
      </c>
      <c r="E3" s="120" t="s">
        <v>62</v>
      </c>
      <c r="F3" s="120" t="s">
        <v>45</v>
      </c>
      <c r="G3" s="120" t="s">
        <v>44</v>
      </c>
      <c r="H3" s="120" t="s">
        <v>114</v>
      </c>
      <c r="I3" s="120" t="s">
        <v>113</v>
      </c>
      <c r="J3" s="120" t="s">
        <v>118</v>
      </c>
      <c r="K3" s="120" t="s">
        <v>117</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301" t="s">
        <v>209</v>
      </c>
      <c r="AH3" s="302"/>
      <c r="AI3" s="204" t="s">
        <v>220</v>
      </c>
      <c r="AJ3" s="296"/>
      <c r="AR3" s="82" t="s">
        <v>89</v>
      </c>
    </row>
    <row r="4" spans="1:49" ht="13.8" thickBot="1">
      <c r="A4" s="297" t="s">
        <v>59</v>
      </c>
      <c r="B4" s="298"/>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3"/>
      <c r="AR4" s="70" t="s">
        <v>75</v>
      </c>
      <c r="AS4" s="71"/>
      <c r="AT4" s="71"/>
      <c r="AU4" s="71"/>
      <c r="AV4" s="71"/>
      <c r="AW4" s="72"/>
    </row>
    <row r="5" spans="1:49" ht="13.8" thickBot="1">
      <c r="A5" s="299"/>
      <c r="B5" s="30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4"/>
      <c r="AR5" s="73" t="str">
        <f ca="1">"static const U4  "&amp;AW8&amp;"["&amp;AW10&amp;"]"&amp;" = {"</f>
        <v>static const U4  u4_sp_ALERT_S_ADBZR_PMAR_CRIT[ALERT_S_ADBZR_PMAR_NUM_DST] = {</v>
      </c>
      <c r="AS5" s="73" t="str">
        <f ca="1">"static const U4  "&amp;$AW$9&amp;"["&amp;$AW$10&amp;"] = {"</f>
        <v>static const U4  u4_sp_ALERT_S_ADBZR_PMAR_MASK[ALERT_S_ADBZR_PMAR_NUM_DST] = {</v>
      </c>
      <c r="AT5" s="73" t="str">
        <f ca="1">"static const U1  "&amp;$AW$11&amp;"["&amp;$AW$10&amp;"] = {"</f>
        <v>static const U1  u1_sp_ALERT_S_ADBZR_PMAR_DST[ALERT_S_ADBZR_PMAR_NUM_DST] = {</v>
      </c>
      <c r="AU5" s="73" t="str">
        <f ca="1">"const ST_ALERT_MTRX "&amp;$AW$12&amp;" = {"</f>
        <v>const ST_ALERT_MTRX st_gp_ALERT_S_ADBZR_PMAR_MTRX[1] = {</v>
      </c>
      <c r="AV5" s="54" t="str">
        <f ca="1">"#define "&amp;AW10&amp;REPT(" ",41-LEN(AW10))&amp;"("&amp;AW13&amp;"U)"</f>
        <v>#define ALERT_S_ADBZR_PMAR_NUM_DST               (8U)</v>
      </c>
      <c r="AW5" s="55"/>
    </row>
    <row r="6" spans="1:49">
      <c r="B6" s="126" t="str">
        <f ca="1">"Table "&amp;$AW$6</f>
        <v>Table S_ADBZR_PMAR</v>
      </c>
      <c r="C6" s="41">
        <f>ROW()-ROW($C$6)</f>
        <v>0</v>
      </c>
      <c r="D6" s="122" t="s">
        <v>177</v>
      </c>
      <c r="E6" s="122" t="s">
        <v>177</v>
      </c>
      <c r="F6" s="122" t="s">
        <v>177</v>
      </c>
      <c r="G6" s="122" t="s">
        <v>178</v>
      </c>
      <c r="H6" s="122" t="s">
        <v>178</v>
      </c>
      <c r="I6" s="122" t="s">
        <v>178</v>
      </c>
      <c r="J6" s="122" t="s">
        <v>178</v>
      </c>
      <c r="K6" s="122" t="s">
        <v>178</v>
      </c>
      <c r="L6" s="122" t="s">
        <v>178</v>
      </c>
      <c r="M6" s="122" t="s">
        <v>178</v>
      </c>
      <c r="N6" s="122" t="s">
        <v>178</v>
      </c>
      <c r="O6" s="122" t="s">
        <v>178</v>
      </c>
      <c r="P6" s="122" t="s">
        <v>177</v>
      </c>
      <c r="Q6" s="122" t="s">
        <v>177</v>
      </c>
      <c r="R6" s="122" t="s">
        <v>177</v>
      </c>
      <c r="S6" s="122" t="s">
        <v>177</v>
      </c>
      <c r="T6" s="122" t="s">
        <v>177</v>
      </c>
      <c r="U6" s="122" t="s">
        <v>177</v>
      </c>
      <c r="V6" s="122" t="s">
        <v>177</v>
      </c>
      <c r="W6" s="122" t="s">
        <v>177</v>
      </c>
      <c r="X6" s="122" t="s">
        <v>177</v>
      </c>
      <c r="Y6" s="122" t="s">
        <v>177</v>
      </c>
      <c r="Z6" s="122" t="s">
        <v>177</v>
      </c>
      <c r="AA6" s="122" t="s">
        <v>177</v>
      </c>
      <c r="AB6" s="122" t="s">
        <v>177</v>
      </c>
      <c r="AC6" s="122" t="s">
        <v>177</v>
      </c>
      <c r="AD6" s="122" t="s">
        <v>177</v>
      </c>
      <c r="AE6" s="122" t="s">
        <v>177</v>
      </c>
      <c r="AF6" s="122" t="s">
        <v>177</v>
      </c>
      <c r="AG6" s="199">
        <v>0</v>
      </c>
      <c r="AH6" s="199">
        <v>0</v>
      </c>
      <c r="AI6" s="199">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240</v>
      </c>
      <c r="AV6" s="37" t="s">
        <v>64</v>
      </c>
      <c r="AW6" s="56" t="str">
        <f ca="1">UPPER(RIGHT(CELL("filename",A1),LEN(CELL("filename",A1))-FIND("]",CELL("filename",A1))))</f>
        <v>S_ADBZR_PMAR</v>
      </c>
    </row>
    <row r="7" spans="1:49">
      <c r="B7" s="126"/>
      <c r="C7" s="36">
        <f t="shared" ref="C7:C69" si="2">ROW()-ROW($C$6)</f>
        <v>1</v>
      </c>
      <c r="D7" s="50" t="s">
        <v>177</v>
      </c>
      <c r="E7" s="50" t="s">
        <v>177</v>
      </c>
      <c r="F7" s="50" t="s">
        <v>177</v>
      </c>
      <c r="G7" s="50" t="s">
        <v>178</v>
      </c>
      <c r="H7" s="50" t="s">
        <v>178</v>
      </c>
      <c r="I7" s="50" t="s">
        <v>178</v>
      </c>
      <c r="J7" s="50" t="s">
        <v>178</v>
      </c>
      <c r="K7" s="50" t="s">
        <v>178</v>
      </c>
      <c r="L7" s="50" t="s">
        <v>178</v>
      </c>
      <c r="M7" s="50" t="s">
        <v>178</v>
      </c>
      <c r="N7" s="50" t="s">
        <v>178</v>
      </c>
      <c r="O7" s="50" t="s">
        <v>178</v>
      </c>
      <c r="P7" s="50" t="s">
        <v>177</v>
      </c>
      <c r="Q7" s="50" t="s">
        <v>177</v>
      </c>
      <c r="R7" s="50" t="s">
        <v>177</v>
      </c>
      <c r="S7" s="50" t="s">
        <v>177</v>
      </c>
      <c r="T7" s="50" t="s">
        <v>177</v>
      </c>
      <c r="U7" s="50" t="s">
        <v>177</v>
      </c>
      <c r="V7" s="50" t="s">
        <v>177</v>
      </c>
      <c r="W7" s="50" t="s">
        <v>177</v>
      </c>
      <c r="X7" s="50" t="s">
        <v>177</v>
      </c>
      <c r="Y7" s="50" t="s">
        <v>177</v>
      </c>
      <c r="Z7" s="122" t="s">
        <v>177</v>
      </c>
      <c r="AA7" s="122" t="s">
        <v>177</v>
      </c>
      <c r="AB7" s="122" t="s">
        <v>177</v>
      </c>
      <c r="AC7" s="122" t="s">
        <v>177</v>
      </c>
      <c r="AD7" s="122" t="s">
        <v>177</v>
      </c>
      <c r="AE7" s="122" t="s">
        <v>177</v>
      </c>
      <c r="AF7" s="122" t="s">
        <v>177</v>
      </c>
      <c r="AG7" s="199">
        <v>0</v>
      </c>
      <c r="AH7" s="199">
        <v>0</v>
      </c>
      <c r="AI7" s="199">
        <v>1</v>
      </c>
      <c r="AJ7" s="22" t="s">
        <v>219</v>
      </c>
      <c r="AL7" t="str">
        <f t="shared" ca="1" si="0"/>
        <v xml:space="preserve">    (U1)ALERT_REQ_S_ADBZR_PMAR_ON</v>
      </c>
      <c r="AR7" s="52" t="str">
        <f t="shared" ref="AR7:AR70" si="3">IF(AQ72&lt;&gt;"",AQ72,IF(AQ71&lt;&gt;"","};",""))</f>
        <v xml:space="preserve">    (U4)0x00000001U,                                                           /* 01 ON                                              */</v>
      </c>
      <c r="AS7" s="52" t="str">
        <f t="shared" ref="AS7:AS70" si="4">IF(AQ137&lt;&gt;"",AQ137,IF(AQ136&lt;&gt;"","};",""))</f>
        <v xml:space="preserve">    (U4)0x00000007U,                                                           /* 01 ON                                              */</v>
      </c>
      <c r="AT7" s="52" t="str">
        <f t="shared" ca="1" si="1"/>
        <v xml:space="preserve">    (U1)ALERT_REQ_S_ADBZR_PMAR_ON,                                             /* 01 ON                                              */</v>
      </c>
      <c r="AU7" s="52" t="str">
        <f ca="1">"        &amp;"&amp;$AW$14&amp;","&amp;REPT(" ",69-LEN($AW$14))&amp;"/* fp_u4_SRC_CHK                                      */"</f>
        <v xml:space="preserve">        &amp;u4_s_AlertS_adbzr_pmarSrcchk,                                         /* fp_u4_SRC_CHK                                      */</v>
      </c>
      <c r="AV7" s="38" t="s">
        <v>65</v>
      </c>
      <c r="AW7" s="125">
        <f>IF(B3="Search Table",1,0)</f>
        <v>0</v>
      </c>
    </row>
    <row r="8" spans="1:49">
      <c r="B8" s="126"/>
      <c r="C8" s="36">
        <f t="shared" si="2"/>
        <v>2</v>
      </c>
      <c r="D8" s="50" t="s">
        <v>204</v>
      </c>
      <c r="E8" s="50" t="s">
        <v>177</v>
      </c>
      <c r="F8" s="50" t="s">
        <v>177</v>
      </c>
      <c r="G8" s="50" t="s">
        <v>178</v>
      </c>
      <c r="H8" s="50" t="s">
        <v>178</v>
      </c>
      <c r="I8" s="50" t="s">
        <v>178</v>
      </c>
      <c r="J8" s="50" t="s">
        <v>178</v>
      </c>
      <c r="K8" s="50" t="s">
        <v>178</v>
      </c>
      <c r="L8" s="50" t="s">
        <v>178</v>
      </c>
      <c r="M8" s="50" t="s">
        <v>178</v>
      </c>
      <c r="N8" s="50" t="s">
        <v>178</v>
      </c>
      <c r="O8" s="50" t="s">
        <v>178</v>
      </c>
      <c r="P8" s="50" t="s">
        <v>177</v>
      </c>
      <c r="Q8" s="50" t="s">
        <v>177</v>
      </c>
      <c r="R8" s="50" t="s">
        <v>177</v>
      </c>
      <c r="S8" s="50" t="s">
        <v>177</v>
      </c>
      <c r="T8" s="50" t="s">
        <v>177</v>
      </c>
      <c r="U8" s="50" t="s">
        <v>177</v>
      </c>
      <c r="V8" s="50" t="s">
        <v>177</v>
      </c>
      <c r="W8" s="50" t="s">
        <v>177</v>
      </c>
      <c r="X8" s="50" t="s">
        <v>177</v>
      </c>
      <c r="Y8" s="50" t="s">
        <v>177</v>
      </c>
      <c r="Z8" s="122" t="s">
        <v>177</v>
      </c>
      <c r="AA8" s="122" t="s">
        <v>177</v>
      </c>
      <c r="AB8" s="122" t="s">
        <v>177</v>
      </c>
      <c r="AC8" s="122" t="s">
        <v>177</v>
      </c>
      <c r="AD8" s="122" t="s">
        <v>177</v>
      </c>
      <c r="AE8" s="122" t="s">
        <v>177</v>
      </c>
      <c r="AF8" s="122" t="s">
        <v>177</v>
      </c>
      <c r="AG8" s="199">
        <v>0</v>
      </c>
      <c r="AH8" s="199">
        <v>1</v>
      </c>
      <c r="AI8" s="199">
        <v>0</v>
      </c>
      <c r="AJ8" s="22" t="s">
        <v>30</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u4_sp_ALERT_S_ADBZR_PMAR_CRIT</v>
      </c>
    </row>
    <row r="9" spans="1:49">
      <c r="B9" s="126"/>
      <c r="C9" s="36">
        <f t="shared" si="2"/>
        <v>3</v>
      </c>
      <c r="D9" s="50" t="s">
        <v>177</v>
      </c>
      <c r="E9" s="50" t="s">
        <v>177</v>
      </c>
      <c r="F9" s="50" t="s">
        <v>177</v>
      </c>
      <c r="G9" s="50" t="s">
        <v>178</v>
      </c>
      <c r="H9" s="50" t="s">
        <v>178</v>
      </c>
      <c r="I9" s="50" t="s">
        <v>178</v>
      </c>
      <c r="J9" s="50" t="s">
        <v>178</v>
      </c>
      <c r="K9" s="50" t="s">
        <v>178</v>
      </c>
      <c r="L9" s="50" t="s">
        <v>178</v>
      </c>
      <c r="M9" s="50" t="s">
        <v>178</v>
      </c>
      <c r="N9" s="50" t="s">
        <v>178</v>
      </c>
      <c r="O9" s="50" t="s">
        <v>178</v>
      </c>
      <c r="P9" s="50" t="s">
        <v>177</v>
      </c>
      <c r="Q9" s="50" t="s">
        <v>177</v>
      </c>
      <c r="R9" s="50" t="s">
        <v>177</v>
      </c>
      <c r="S9" s="50" t="s">
        <v>177</v>
      </c>
      <c r="T9" s="50" t="s">
        <v>177</v>
      </c>
      <c r="U9" s="50" t="s">
        <v>177</v>
      </c>
      <c r="V9" s="50" t="s">
        <v>177</v>
      </c>
      <c r="W9" s="50" t="s">
        <v>177</v>
      </c>
      <c r="X9" s="50" t="s">
        <v>177</v>
      </c>
      <c r="Y9" s="50" t="s">
        <v>177</v>
      </c>
      <c r="Z9" s="122" t="s">
        <v>177</v>
      </c>
      <c r="AA9" s="122" t="s">
        <v>177</v>
      </c>
      <c r="AB9" s="122" t="s">
        <v>177</v>
      </c>
      <c r="AC9" s="122" t="s">
        <v>177</v>
      </c>
      <c r="AD9" s="122" t="s">
        <v>177</v>
      </c>
      <c r="AE9" s="122" t="s">
        <v>177</v>
      </c>
      <c r="AF9" s="122" t="s">
        <v>177</v>
      </c>
      <c r="AG9" s="199">
        <v>0</v>
      </c>
      <c r="AH9" s="199">
        <v>1</v>
      </c>
      <c r="AI9" s="199">
        <v>1</v>
      </c>
      <c r="AJ9" s="40" t="s">
        <v>30</v>
      </c>
      <c r="AL9" t="str">
        <f t="shared" si="0"/>
        <v xml:space="preserve">    (U1)ALERT_REQ_UNKNOWN</v>
      </c>
      <c r="AR9" s="52" t="str">
        <f t="shared" si="3"/>
        <v xml:space="preserve">    (U4)0x00000003U,                                                           /* 03 UNKNOWN                                         */</v>
      </c>
      <c r="AS9" s="52" t="str">
        <f t="shared" si="4"/>
        <v xml:space="preserve">    (U4)0x00000007U,                                                           /* 03 UNKNOWN                                         */</v>
      </c>
      <c r="AT9" s="52" t="str">
        <f t="shared" si="1"/>
        <v xml:space="preserve">    (U1)ALERT_REQ_UNKNOWN,                                                     /* 03 UNKNOWN                                         */</v>
      </c>
      <c r="AU9" s="52"/>
      <c r="AV9" s="38" t="s">
        <v>67</v>
      </c>
      <c r="AW9" s="57" t="str">
        <f ca="1">"u4_sp_ALERT_"&amp;IF(AW6&lt;&gt;AW17,$AW$17&amp;"_"&amp;$AW$6,AW17)&amp;"_MASK"</f>
        <v>u4_sp_ALERT_S_ADBZR_PMAR_MASK</v>
      </c>
    </row>
    <row r="10" spans="1:49">
      <c r="B10" s="126"/>
      <c r="C10" s="36">
        <f t="shared" si="2"/>
        <v>4</v>
      </c>
      <c r="D10" s="50" t="s">
        <v>177</v>
      </c>
      <c r="E10" s="50" t="s">
        <v>177</v>
      </c>
      <c r="F10" s="50" t="s">
        <v>177</v>
      </c>
      <c r="G10" s="50" t="s">
        <v>178</v>
      </c>
      <c r="H10" s="50" t="s">
        <v>178</v>
      </c>
      <c r="I10" s="50" t="s">
        <v>178</v>
      </c>
      <c r="J10" s="50" t="s">
        <v>178</v>
      </c>
      <c r="K10" s="50" t="s">
        <v>178</v>
      </c>
      <c r="L10" s="50" t="s">
        <v>178</v>
      </c>
      <c r="M10" s="50" t="s">
        <v>178</v>
      </c>
      <c r="N10" s="50" t="s">
        <v>178</v>
      </c>
      <c r="O10" s="50" t="s">
        <v>178</v>
      </c>
      <c r="P10" s="50" t="s">
        <v>177</v>
      </c>
      <c r="Q10" s="50" t="s">
        <v>177</v>
      </c>
      <c r="R10" s="50" t="s">
        <v>177</v>
      </c>
      <c r="S10" s="50" t="s">
        <v>177</v>
      </c>
      <c r="T10" s="50" t="s">
        <v>177</v>
      </c>
      <c r="U10" s="50" t="s">
        <v>177</v>
      </c>
      <c r="V10" s="50" t="s">
        <v>177</v>
      </c>
      <c r="W10" s="50" t="s">
        <v>177</v>
      </c>
      <c r="X10" s="50" t="s">
        <v>177</v>
      </c>
      <c r="Y10" s="50" t="s">
        <v>177</v>
      </c>
      <c r="Z10" s="122" t="s">
        <v>177</v>
      </c>
      <c r="AA10" s="122" t="s">
        <v>177</v>
      </c>
      <c r="AB10" s="122" t="s">
        <v>177</v>
      </c>
      <c r="AC10" s="122" t="s">
        <v>177</v>
      </c>
      <c r="AD10" s="122" t="s">
        <v>177</v>
      </c>
      <c r="AE10" s="122" t="s">
        <v>177</v>
      </c>
      <c r="AF10" s="122" t="s">
        <v>177</v>
      </c>
      <c r="AG10" s="199">
        <v>1</v>
      </c>
      <c r="AH10" s="199">
        <v>0</v>
      </c>
      <c r="AI10" s="199">
        <v>0</v>
      </c>
      <c r="AJ10" s="40" t="s">
        <v>30</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38" t="s">
        <v>68</v>
      </c>
      <c r="AW10" s="57" t="str">
        <f ca="1">"ALERT_"&amp;IF(AW6&lt;&gt;AW17,$AW$17&amp;"_"&amp;$AW$6,AW17)&amp;"_NUM_DST"</f>
        <v>ALERT_S_ADBZR_PMAR_NUM_DST</v>
      </c>
    </row>
    <row r="11" spans="1:49">
      <c r="B11" s="126"/>
      <c r="C11" s="36">
        <f t="shared" si="2"/>
        <v>5</v>
      </c>
      <c r="D11" s="50" t="s">
        <v>177</v>
      </c>
      <c r="E11" s="50" t="s">
        <v>177</v>
      </c>
      <c r="F11" s="50" t="s">
        <v>177</v>
      </c>
      <c r="G11" s="50" t="s">
        <v>178</v>
      </c>
      <c r="H11" s="50" t="s">
        <v>178</v>
      </c>
      <c r="I11" s="50" t="s">
        <v>178</v>
      </c>
      <c r="J11" s="50" t="s">
        <v>178</v>
      </c>
      <c r="K11" s="50" t="s">
        <v>178</v>
      </c>
      <c r="L11" s="50" t="s">
        <v>178</v>
      </c>
      <c r="M11" s="50" t="s">
        <v>178</v>
      </c>
      <c r="N11" s="50" t="s">
        <v>178</v>
      </c>
      <c r="O11" s="50" t="s">
        <v>178</v>
      </c>
      <c r="P11" s="50" t="s">
        <v>177</v>
      </c>
      <c r="Q11" s="50" t="s">
        <v>177</v>
      </c>
      <c r="R11" s="50" t="s">
        <v>177</v>
      </c>
      <c r="S11" s="50" t="s">
        <v>177</v>
      </c>
      <c r="T11" s="50" t="s">
        <v>177</v>
      </c>
      <c r="U11" s="50" t="s">
        <v>177</v>
      </c>
      <c r="V11" s="50" t="s">
        <v>177</v>
      </c>
      <c r="W11" s="50" t="s">
        <v>177</v>
      </c>
      <c r="X11" s="50" t="s">
        <v>177</v>
      </c>
      <c r="Y11" s="50" t="s">
        <v>177</v>
      </c>
      <c r="Z11" s="50" t="s">
        <v>177</v>
      </c>
      <c r="AA11" s="50" t="s">
        <v>177</v>
      </c>
      <c r="AB11" s="50" t="s">
        <v>177</v>
      </c>
      <c r="AC11" s="50" t="s">
        <v>177</v>
      </c>
      <c r="AD11" s="122" t="s">
        <v>177</v>
      </c>
      <c r="AE11" s="122" t="s">
        <v>177</v>
      </c>
      <c r="AF11" s="122" t="s">
        <v>177</v>
      </c>
      <c r="AG11" s="199">
        <v>1</v>
      </c>
      <c r="AH11" s="199">
        <v>0</v>
      </c>
      <c r="AI11" s="199">
        <v>1</v>
      </c>
      <c r="AJ11" s="40" t="s">
        <v>30</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38" t="s">
        <v>69</v>
      </c>
      <c r="AW11" s="57" t="str">
        <f ca="1">"u1_sp_ALERT_"&amp;IF(AW6&lt;&gt;AW17,$AW$17&amp;"_"&amp;$AW$6,AW17)&amp;"_DST"</f>
        <v>u1_sp_ALERT_S_ADBZR_PMAR_DST</v>
      </c>
    </row>
    <row r="12" spans="1:49">
      <c r="B12" s="126"/>
      <c r="C12" s="36">
        <f t="shared" si="2"/>
        <v>6</v>
      </c>
      <c r="D12" s="50" t="s">
        <v>177</v>
      </c>
      <c r="E12" s="50" t="s">
        <v>177</v>
      </c>
      <c r="F12" s="50" t="s">
        <v>177</v>
      </c>
      <c r="G12" s="50" t="s">
        <v>178</v>
      </c>
      <c r="H12" s="50" t="s">
        <v>178</v>
      </c>
      <c r="I12" s="50" t="s">
        <v>178</v>
      </c>
      <c r="J12" s="50" t="s">
        <v>178</v>
      </c>
      <c r="K12" s="50" t="s">
        <v>178</v>
      </c>
      <c r="L12" s="50" t="s">
        <v>178</v>
      </c>
      <c r="M12" s="50" t="s">
        <v>178</v>
      </c>
      <c r="N12" s="50" t="s">
        <v>178</v>
      </c>
      <c r="O12" s="50" t="s">
        <v>178</v>
      </c>
      <c r="P12" s="50" t="s">
        <v>177</v>
      </c>
      <c r="Q12" s="50" t="s">
        <v>177</v>
      </c>
      <c r="R12" s="50" t="s">
        <v>177</v>
      </c>
      <c r="S12" s="50" t="s">
        <v>177</v>
      </c>
      <c r="T12" s="50" t="s">
        <v>177</v>
      </c>
      <c r="U12" s="50" t="s">
        <v>177</v>
      </c>
      <c r="V12" s="50" t="s">
        <v>177</v>
      </c>
      <c r="W12" s="50" t="s">
        <v>177</v>
      </c>
      <c r="X12" s="50" t="s">
        <v>177</v>
      </c>
      <c r="Y12" s="50" t="s">
        <v>177</v>
      </c>
      <c r="Z12" s="50" t="s">
        <v>177</v>
      </c>
      <c r="AA12" s="50" t="s">
        <v>177</v>
      </c>
      <c r="AB12" s="50" t="s">
        <v>177</v>
      </c>
      <c r="AC12" s="50" t="s">
        <v>177</v>
      </c>
      <c r="AD12" s="122" t="s">
        <v>177</v>
      </c>
      <c r="AE12" s="122" t="s">
        <v>177</v>
      </c>
      <c r="AF12" s="122" t="s">
        <v>177</v>
      </c>
      <c r="AG12" s="199">
        <v>1</v>
      </c>
      <c r="AH12" s="199">
        <v>1</v>
      </c>
      <c r="AI12" s="199">
        <v>0</v>
      </c>
      <c r="AJ12" s="40" t="s">
        <v>30</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38" t="s">
        <v>81</v>
      </c>
      <c r="AW12" s="57" t="str">
        <f ca="1">Matrix!D8&amp;"["&amp;Matrix!D7&amp;"]"</f>
        <v>st_gp_ALERT_S_ADBZR_PMAR_MTRX[1]</v>
      </c>
    </row>
    <row r="13" spans="1:49">
      <c r="B13" s="126"/>
      <c r="C13" s="36">
        <f t="shared" si="2"/>
        <v>7</v>
      </c>
      <c r="D13" s="50" t="s">
        <v>177</v>
      </c>
      <c r="E13" s="50" t="s">
        <v>177</v>
      </c>
      <c r="F13" s="50" t="s">
        <v>177</v>
      </c>
      <c r="G13" s="50" t="s">
        <v>178</v>
      </c>
      <c r="H13" s="50" t="s">
        <v>178</v>
      </c>
      <c r="I13" s="50" t="s">
        <v>178</v>
      </c>
      <c r="J13" s="50" t="s">
        <v>178</v>
      </c>
      <c r="K13" s="50" t="s">
        <v>178</v>
      </c>
      <c r="L13" s="50" t="s">
        <v>178</v>
      </c>
      <c r="M13" s="50" t="s">
        <v>178</v>
      </c>
      <c r="N13" s="50" t="s">
        <v>178</v>
      </c>
      <c r="O13" s="50" t="s">
        <v>178</v>
      </c>
      <c r="P13" s="50" t="s">
        <v>177</v>
      </c>
      <c r="Q13" s="50" t="s">
        <v>177</v>
      </c>
      <c r="R13" s="50" t="s">
        <v>177</v>
      </c>
      <c r="S13" s="50" t="s">
        <v>177</v>
      </c>
      <c r="T13" s="50" t="s">
        <v>177</v>
      </c>
      <c r="U13" s="50" t="s">
        <v>177</v>
      </c>
      <c r="V13" s="50" t="s">
        <v>177</v>
      </c>
      <c r="W13" s="50" t="s">
        <v>177</v>
      </c>
      <c r="X13" s="50" t="s">
        <v>177</v>
      </c>
      <c r="Y13" s="50" t="s">
        <v>177</v>
      </c>
      <c r="Z13" s="50" t="s">
        <v>177</v>
      </c>
      <c r="AA13" s="50" t="s">
        <v>177</v>
      </c>
      <c r="AB13" s="50" t="s">
        <v>177</v>
      </c>
      <c r="AC13" s="50" t="s">
        <v>177</v>
      </c>
      <c r="AD13" s="122" t="s">
        <v>177</v>
      </c>
      <c r="AE13" s="122" t="s">
        <v>177</v>
      </c>
      <c r="AF13" s="122" t="s">
        <v>177</v>
      </c>
      <c r="AG13" s="199">
        <v>1</v>
      </c>
      <c r="AH13" s="199">
        <v>1</v>
      </c>
      <c r="AI13" s="199">
        <v>1</v>
      </c>
      <c r="AJ13" s="40" t="s">
        <v>30</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&amp;u1_sp_ALERT_S_ADBZR_PMAR_DST[0],                                      /* u1p_DST                                            */</v>
      </c>
      <c r="AV13" s="38" t="s">
        <v>70</v>
      </c>
      <c r="AW13" s="125">
        <f>COUNTA($AJ$6:$AJ$69)</f>
        <v>8</v>
      </c>
    </row>
    <row r="14" spans="1:49">
      <c r="B14" s="126"/>
      <c r="C14" s="36">
        <f t="shared" si="2"/>
        <v>8</v>
      </c>
      <c r="D14" s="50" t="s">
        <v>177</v>
      </c>
      <c r="E14" s="50" t="s">
        <v>177</v>
      </c>
      <c r="F14" s="50" t="s">
        <v>177</v>
      </c>
      <c r="G14" s="50" t="s">
        <v>178</v>
      </c>
      <c r="H14" s="50" t="s">
        <v>178</v>
      </c>
      <c r="I14" s="50" t="s">
        <v>178</v>
      </c>
      <c r="J14" s="50" t="s">
        <v>178</v>
      </c>
      <c r="K14" s="50" t="s">
        <v>178</v>
      </c>
      <c r="L14" s="50" t="s">
        <v>178</v>
      </c>
      <c r="M14" s="50" t="s">
        <v>178</v>
      </c>
      <c r="N14" s="50" t="s">
        <v>178</v>
      </c>
      <c r="O14" s="50" t="s">
        <v>178</v>
      </c>
      <c r="P14" s="50" t="s">
        <v>177</v>
      </c>
      <c r="Q14" s="50" t="s">
        <v>177</v>
      </c>
      <c r="R14" s="50" t="s">
        <v>177</v>
      </c>
      <c r="S14" s="50" t="s">
        <v>177</v>
      </c>
      <c r="T14" s="50" t="s">
        <v>177</v>
      </c>
      <c r="U14" s="50" t="s">
        <v>177</v>
      </c>
      <c r="V14" s="50" t="s">
        <v>177</v>
      </c>
      <c r="W14" s="50" t="s">
        <v>177</v>
      </c>
      <c r="X14" s="50" t="s">
        <v>177</v>
      </c>
      <c r="Y14" s="50" t="s">
        <v>177</v>
      </c>
      <c r="Z14" s="50" t="s">
        <v>177</v>
      </c>
      <c r="AA14" s="50" t="s">
        <v>177</v>
      </c>
      <c r="AB14" s="50" t="s">
        <v>177</v>
      </c>
      <c r="AC14" s="50" t="s">
        <v>177</v>
      </c>
      <c r="AD14" s="122" t="s">
        <v>177</v>
      </c>
      <c r="AE14" s="122" t="s">
        <v>177</v>
      </c>
      <c r="AF14" s="122" t="s">
        <v>177</v>
      </c>
      <c r="AG14" s="122" t="s">
        <v>177</v>
      </c>
      <c r="AH14" s="122" t="s">
        <v>177</v>
      </c>
      <c r="AI14" s="122" t="s">
        <v>177</v>
      </c>
      <c r="AJ14" s="40"/>
      <c r="AL14" t="str">
        <f t="shared" ca="1" si="0"/>
        <v xml:space="preserve">    (U1)ALERT_REQ_S_ADBZR_PMAR_</v>
      </c>
      <c r="AR14" s="52" t="str">
        <f t="shared" si="3"/>
        <v>};</v>
      </c>
      <c r="AS14" s="52" t="str">
        <f t="shared" si="4"/>
        <v>};</v>
      </c>
      <c r="AT14" s="52" t="str">
        <f t="shared" si="1"/>
        <v>};</v>
      </c>
      <c r="AU14" s="52" t="str">
        <f ca="1">"        (U2)"&amp;$AW$10&amp;","&amp;REPT(" ",66-LEN($AW$10))&amp;"/* u2_num_srch                                        */"</f>
        <v xml:space="preserve">        (U2)ALERT_S_ADBZR_PMAR_NUM_DST,                                        /* u2_num_srch                                        */</v>
      </c>
      <c r="AV14" s="38" t="s">
        <v>71</v>
      </c>
      <c r="AW14" s="57" t="str">
        <f ca="1">IF(AW6&lt;&gt;AW17,VLOOKUP(AW6,Matrix!$C$13:$G$37,4,FALSE),Matrix!F13)</f>
        <v>u4_s_AlertS_adbzr_pmarSrcchk</v>
      </c>
    </row>
    <row r="15" spans="1:49">
      <c r="B15" s="126"/>
      <c r="C15" s="36">
        <f t="shared" si="2"/>
        <v>9</v>
      </c>
      <c r="D15" s="50" t="s">
        <v>177</v>
      </c>
      <c r="E15" s="50" t="s">
        <v>177</v>
      </c>
      <c r="F15" s="50" t="s">
        <v>177</v>
      </c>
      <c r="G15" s="50" t="s">
        <v>178</v>
      </c>
      <c r="H15" s="50" t="s">
        <v>178</v>
      </c>
      <c r="I15" s="50" t="s">
        <v>178</v>
      </c>
      <c r="J15" s="50" t="s">
        <v>178</v>
      </c>
      <c r="K15" s="50" t="s">
        <v>178</v>
      </c>
      <c r="L15" s="50" t="s">
        <v>178</v>
      </c>
      <c r="M15" s="50" t="s">
        <v>178</v>
      </c>
      <c r="N15" s="50" t="s">
        <v>178</v>
      </c>
      <c r="O15" s="50" t="s">
        <v>178</v>
      </c>
      <c r="P15" s="50" t="s">
        <v>177</v>
      </c>
      <c r="Q15" s="50" t="s">
        <v>177</v>
      </c>
      <c r="R15" s="50" t="s">
        <v>177</v>
      </c>
      <c r="S15" s="50" t="s">
        <v>177</v>
      </c>
      <c r="T15" s="50" t="s">
        <v>177</v>
      </c>
      <c r="U15" s="50" t="s">
        <v>177</v>
      </c>
      <c r="V15" s="50" t="s">
        <v>177</v>
      </c>
      <c r="W15" s="50" t="s">
        <v>177</v>
      </c>
      <c r="X15" s="50" t="s">
        <v>177</v>
      </c>
      <c r="Y15" s="50" t="s">
        <v>177</v>
      </c>
      <c r="Z15" s="50" t="s">
        <v>177</v>
      </c>
      <c r="AA15" s="50" t="s">
        <v>177</v>
      </c>
      <c r="AB15" s="50" t="s">
        <v>177</v>
      </c>
      <c r="AC15" s="50" t="s">
        <v>177</v>
      </c>
      <c r="AD15" s="122" t="s">
        <v>177</v>
      </c>
      <c r="AE15" s="122" t="s">
        <v>177</v>
      </c>
      <c r="AF15" s="122" t="s">
        <v>177</v>
      </c>
      <c r="AG15" s="122" t="s">
        <v>177</v>
      </c>
      <c r="AH15" s="122" t="s">
        <v>177</v>
      </c>
      <c r="AI15" s="122" t="s">
        <v>177</v>
      </c>
      <c r="AJ15" s="40"/>
      <c r="AL15" t="str">
        <f t="shared" ca="1" si="0"/>
        <v xml:space="preserve">    (U1)ALERT_REQ_S_ADBZR_PMAR_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177</v>
      </c>
      <c r="E16" s="50" t="s">
        <v>177</v>
      </c>
      <c r="F16" s="50" t="s">
        <v>177</v>
      </c>
      <c r="G16" s="50" t="s">
        <v>178</v>
      </c>
      <c r="H16" s="50" t="s">
        <v>178</v>
      </c>
      <c r="I16" s="50" t="s">
        <v>178</v>
      </c>
      <c r="J16" s="50" t="s">
        <v>178</v>
      </c>
      <c r="K16" s="50" t="s">
        <v>178</v>
      </c>
      <c r="L16" s="50" t="s">
        <v>178</v>
      </c>
      <c r="M16" s="50" t="s">
        <v>178</v>
      </c>
      <c r="N16" s="50" t="s">
        <v>178</v>
      </c>
      <c r="O16" s="50" t="s">
        <v>178</v>
      </c>
      <c r="P16" s="50" t="s">
        <v>177</v>
      </c>
      <c r="Q16" s="50" t="s">
        <v>177</v>
      </c>
      <c r="R16" s="50" t="s">
        <v>177</v>
      </c>
      <c r="S16" s="50" t="s">
        <v>177</v>
      </c>
      <c r="T16" s="50" t="s">
        <v>177</v>
      </c>
      <c r="U16" s="50" t="s">
        <v>177</v>
      </c>
      <c r="V16" s="50" t="s">
        <v>177</v>
      </c>
      <c r="W16" s="50" t="s">
        <v>177</v>
      </c>
      <c r="X16" s="50" t="s">
        <v>177</v>
      </c>
      <c r="Y16" s="50" t="s">
        <v>177</v>
      </c>
      <c r="Z16" s="50" t="s">
        <v>177</v>
      </c>
      <c r="AA16" s="50" t="s">
        <v>177</v>
      </c>
      <c r="AB16" s="50" t="s">
        <v>177</v>
      </c>
      <c r="AC16" s="50" t="s">
        <v>177</v>
      </c>
      <c r="AD16" s="122" t="s">
        <v>177</v>
      </c>
      <c r="AE16" s="122" t="s">
        <v>177</v>
      </c>
      <c r="AF16" s="122" t="s">
        <v>177</v>
      </c>
      <c r="AG16" s="122" t="s">
        <v>177</v>
      </c>
      <c r="AH16" s="122" t="s">
        <v>177</v>
      </c>
      <c r="AI16" s="122" t="s">
        <v>177</v>
      </c>
      <c r="AJ16" s="40"/>
      <c r="AL16" t="str">
        <f t="shared" ca="1" si="0"/>
        <v xml:space="preserve">    (U1)ALERT_REQ_S_ADBZR_PMAR_</v>
      </c>
      <c r="AR16" s="52" t="str">
        <f t="shared" si="3"/>
        <v/>
      </c>
      <c r="AS16" s="52" t="str">
        <f t="shared" si="4"/>
        <v/>
      </c>
      <c r="AT16" s="52" t="str">
        <f t="shared" si="1"/>
        <v/>
      </c>
      <c r="AU16" s="52" t="s">
        <v>241</v>
      </c>
      <c r="AV16" s="38" t="s">
        <v>72</v>
      </c>
      <c r="AW16" s="57" t="str">
        <f ca="1">IF(AW6&lt;&gt;AW17,VLOOKUP(AW6,Matrix!$C$13:$G$37,2,FALSE),Matrix!D13)</f>
        <v>ALERT_VOM_IGN_ON</v>
      </c>
    </row>
    <row r="17" spans="2:49" ht="13.8" thickBot="1">
      <c r="B17" s="126"/>
      <c r="C17" s="36">
        <f t="shared" si="2"/>
        <v>11</v>
      </c>
      <c r="D17" s="50" t="s">
        <v>177</v>
      </c>
      <c r="E17" s="50" t="s">
        <v>177</v>
      </c>
      <c r="F17" s="50" t="s">
        <v>177</v>
      </c>
      <c r="G17" s="50" t="s">
        <v>178</v>
      </c>
      <c r="H17" s="50" t="s">
        <v>178</v>
      </c>
      <c r="I17" s="50" t="s">
        <v>178</v>
      </c>
      <c r="J17" s="50" t="s">
        <v>178</v>
      </c>
      <c r="K17" s="50" t="s">
        <v>178</v>
      </c>
      <c r="L17" s="50" t="s">
        <v>178</v>
      </c>
      <c r="M17" s="50" t="s">
        <v>178</v>
      </c>
      <c r="N17" s="50" t="s">
        <v>178</v>
      </c>
      <c r="O17" s="50" t="s">
        <v>178</v>
      </c>
      <c r="P17" s="50" t="s">
        <v>177</v>
      </c>
      <c r="Q17" s="50" t="s">
        <v>177</v>
      </c>
      <c r="R17" s="50" t="s">
        <v>177</v>
      </c>
      <c r="S17" s="50" t="s">
        <v>177</v>
      </c>
      <c r="T17" s="50" t="s">
        <v>177</v>
      </c>
      <c r="U17" s="50" t="s">
        <v>177</v>
      </c>
      <c r="V17" s="50" t="s">
        <v>177</v>
      </c>
      <c r="W17" s="50" t="s">
        <v>177</v>
      </c>
      <c r="X17" s="50" t="s">
        <v>177</v>
      </c>
      <c r="Y17" s="50" t="s">
        <v>177</v>
      </c>
      <c r="Z17" s="50" t="s">
        <v>177</v>
      </c>
      <c r="AA17" s="50" t="s">
        <v>177</v>
      </c>
      <c r="AB17" s="50" t="s">
        <v>177</v>
      </c>
      <c r="AC17" s="50" t="s">
        <v>177</v>
      </c>
      <c r="AD17" s="122" t="s">
        <v>177</v>
      </c>
      <c r="AE17" s="122" t="s">
        <v>177</v>
      </c>
      <c r="AF17" s="122" t="s">
        <v>177</v>
      </c>
      <c r="AG17" s="122" t="s">
        <v>177</v>
      </c>
      <c r="AH17" s="122" t="s">
        <v>177</v>
      </c>
      <c r="AI17" s="122" t="s">
        <v>177</v>
      </c>
      <c r="AJ17" s="40"/>
      <c r="AL17" t="str">
        <f t="shared" ca="1" si="0"/>
        <v xml:space="preserve">    (U1)ALERT_REQ_S_ADBZR_PMAR_</v>
      </c>
      <c r="AR17" s="52" t="str">
        <f t="shared" si="3"/>
        <v/>
      </c>
      <c r="AS17" s="52" t="str">
        <f t="shared" si="4"/>
        <v/>
      </c>
      <c r="AT17" s="52" t="str">
        <f t="shared" si="1"/>
        <v/>
      </c>
      <c r="AU17" s="53" t="s">
        <v>210</v>
      </c>
      <c r="AV17" s="39" t="s">
        <v>73</v>
      </c>
      <c r="AW17" s="58" t="str">
        <f ca="1">UPPER(Matrix!$D$6)</f>
        <v>S_ADBZR_PMAR</v>
      </c>
    </row>
    <row r="18" spans="2:49">
      <c r="B18" s="126"/>
      <c r="C18" s="36">
        <f t="shared" si="2"/>
        <v>12</v>
      </c>
      <c r="D18" s="50" t="s">
        <v>177</v>
      </c>
      <c r="E18" s="50" t="s">
        <v>177</v>
      </c>
      <c r="F18" s="50" t="s">
        <v>177</v>
      </c>
      <c r="G18" s="50" t="s">
        <v>178</v>
      </c>
      <c r="H18" s="50" t="s">
        <v>178</v>
      </c>
      <c r="I18" s="50" t="s">
        <v>178</v>
      </c>
      <c r="J18" s="50" t="s">
        <v>178</v>
      </c>
      <c r="K18" s="50" t="s">
        <v>178</v>
      </c>
      <c r="L18" s="50" t="s">
        <v>178</v>
      </c>
      <c r="M18" s="50" t="s">
        <v>178</v>
      </c>
      <c r="N18" s="50" t="s">
        <v>178</v>
      </c>
      <c r="O18" s="50" t="s">
        <v>178</v>
      </c>
      <c r="P18" s="50" t="s">
        <v>177</v>
      </c>
      <c r="Q18" s="50" t="s">
        <v>177</v>
      </c>
      <c r="R18" s="50" t="s">
        <v>177</v>
      </c>
      <c r="S18" s="50" t="s">
        <v>177</v>
      </c>
      <c r="T18" s="50" t="s">
        <v>177</v>
      </c>
      <c r="U18" s="50" t="s">
        <v>177</v>
      </c>
      <c r="V18" s="50" t="s">
        <v>177</v>
      </c>
      <c r="W18" s="50" t="s">
        <v>177</v>
      </c>
      <c r="X18" s="50" t="s">
        <v>177</v>
      </c>
      <c r="Y18" s="50" t="s">
        <v>177</v>
      </c>
      <c r="Z18" s="50" t="s">
        <v>177</v>
      </c>
      <c r="AA18" s="50" t="s">
        <v>177</v>
      </c>
      <c r="AB18" s="50" t="s">
        <v>177</v>
      </c>
      <c r="AC18" s="50" t="s">
        <v>177</v>
      </c>
      <c r="AD18" s="122" t="s">
        <v>177</v>
      </c>
      <c r="AE18" s="122" t="s">
        <v>177</v>
      </c>
      <c r="AF18" s="122" t="s">
        <v>177</v>
      </c>
      <c r="AG18" s="122" t="s">
        <v>177</v>
      </c>
      <c r="AH18" s="122" t="s">
        <v>177</v>
      </c>
      <c r="AI18" s="122" t="s">
        <v>177</v>
      </c>
      <c r="AJ18" s="40"/>
      <c r="AL18" t="str">
        <f t="shared" ca="1" si="0"/>
        <v xml:space="preserve">    (U1)ALERT_REQ_S_ADBZR_PMAR_</v>
      </c>
      <c r="AR18" s="52" t="str">
        <f t="shared" si="3"/>
        <v/>
      </c>
      <c r="AS18" s="52" t="str">
        <f t="shared" si="4"/>
        <v/>
      </c>
      <c r="AT18" s="52" t="str">
        <f t="shared" si="1"/>
        <v/>
      </c>
    </row>
    <row r="19" spans="2:49">
      <c r="B19" s="126"/>
      <c r="C19" s="36">
        <f t="shared" si="2"/>
        <v>13</v>
      </c>
      <c r="D19" s="50" t="s">
        <v>177</v>
      </c>
      <c r="E19" s="50" t="s">
        <v>177</v>
      </c>
      <c r="F19" s="50" t="s">
        <v>177</v>
      </c>
      <c r="G19" s="50" t="s">
        <v>178</v>
      </c>
      <c r="H19" s="50" t="s">
        <v>178</v>
      </c>
      <c r="I19" s="50" t="s">
        <v>178</v>
      </c>
      <c r="J19" s="50" t="s">
        <v>178</v>
      </c>
      <c r="K19" s="50" t="s">
        <v>178</v>
      </c>
      <c r="L19" s="50" t="s">
        <v>178</v>
      </c>
      <c r="M19" s="50" t="s">
        <v>178</v>
      </c>
      <c r="N19" s="50" t="s">
        <v>178</v>
      </c>
      <c r="O19" s="50" t="s">
        <v>178</v>
      </c>
      <c r="P19" s="50" t="s">
        <v>177</v>
      </c>
      <c r="Q19" s="50" t="s">
        <v>177</v>
      </c>
      <c r="R19" s="50" t="s">
        <v>177</v>
      </c>
      <c r="S19" s="50" t="s">
        <v>177</v>
      </c>
      <c r="T19" s="50" t="s">
        <v>177</v>
      </c>
      <c r="U19" s="50" t="s">
        <v>177</v>
      </c>
      <c r="V19" s="50" t="s">
        <v>177</v>
      </c>
      <c r="W19" s="50" t="s">
        <v>177</v>
      </c>
      <c r="X19" s="50" t="s">
        <v>177</v>
      </c>
      <c r="Y19" s="50" t="s">
        <v>177</v>
      </c>
      <c r="Z19" s="50" t="s">
        <v>177</v>
      </c>
      <c r="AA19" s="50" t="s">
        <v>177</v>
      </c>
      <c r="AB19" s="50" t="s">
        <v>177</v>
      </c>
      <c r="AC19" s="50" t="s">
        <v>177</v>
      </c>
      <c r="AD19" s="122" t="s">
        <v>177</v>
      </c>
      <c r="AE19" s="122" t="s">
        <v>177</v>
      </c>
      <c r="AF19" s="122" t="s">
        <v>177</v>
      </c>
      <c r="AG19" s="122" t="s">
        <v>177</v>
      </c>
      <c r="AH19" s="122" t="s">
        <v>177</v>
      </c>
      <c r="AI19" s="122" t="s">
        <v>177</v>
      </c>
      <c r="AJ19" s="40"/>
      <c r="AL19" t="str">
        <f t="shared" ca="1" si="0"/>
        <v xml:space="preserve">    (U1)ALERT_REQ_S_ADBZR_PMAR_</v>
      </c>
      <c r="AR19" s="52" t="str">
        <f t="shared" si="3"/>
        <v/>
      </c>
      <c r="AS19" s="52" t="str">
        <f t="shared" si="4"/>
        <v/>
      </c>
      <c r="AT19" s="52" t="str">
        <f t="shared" si="1"/>
        <v/>
      </c>
    </row>
    <row r="20" spans="2:49">
      <c r="B20" s="126"/>
      <c r="C20" s="36">
        <f t="shared" si="2"/>
        <v>14</v>
      </c>
      <c r="D20" s="50" t="s">
        <v>177</v>
      </c>
      <c r="E20" s="50" t="s">
        <v>177</v>
      </c>
      <c r="F20" s="50" t="s">
        <v>177</v>
      </c>
      <c r="G20" s="50" t="s">
        <v>177</v>
      </c>
      <c r="H20" s="50" t="s">
        <v>177</v>
      </c>
      <c r="I20" s="50" t="s">
        <v>177</v>
      </c>
      <c r="J20" s="50" t="s">
        <v>177</v>
      </c>
      <c r="K20" s="50" t="s">
        <v>177</v>
      </c>
      <c r="L20" s="50" t="s">
        <v>177</v>
      </c>
      <c r="M20" s="50" t="s">
        <v>177</v>
      </c>
      <c r="N20" s="50" t="s">
        <v>177</v>
      </c>
      <c r="O20" s="50" t="s">
        <v>177</v>
      </c>
      <c r="P20" s="50" t="s">
        <v>177</v>
      </c>
      <c r="Q20" s="50" t="s">
        <v>177</v>
      </c>
      <c r="R20" s="50" t="s">
        <v>177</v>
      </c>
      <c r="S20" s="50" t="s">
        <v>177</v>
      </c>
      <c r="T20" s="50" t="s">
        <v>177</v>
      </c>
      <c r="U20" s="50" t="s">
        <v>177</v>
      </c>
      <c r="V20" s="50" t="s">
        <v>177</v>
      </c>
      <c r="W20" s="50" t="s">
        <v>177</v>
      </c>
      <c r="X20" s="50" t="s">
        <v>177</v>
      </c>
      <c r="Y20" s="50" t="s">
        <v>177</v>
      </c>
      <c r="Z20" s="50" t="s">
        <v>177</v>
      </c>
      <c r="AA20" s="50" t="s">
        <v>177</v>
      </c>
      <c r="AB20" s="50" t="s">
        <v>177</v>
      </c>
      <c r="AC20" s="50" t="s">
        <v>177</v>
      </c>
      <c r="AD20" s="122" t="s">
        <v>177</v>
      </c>
      <c r="AE20" s="122" t="s">
        <v>177</v>
      </c>
      <c r="AF20" s="122" t="s">
        <v>177</v>
      </c>
      <c r="AG20" s="122" t="s">
        <v>177</v>
      </c>
      <c r="AH20" s="122" t="s">
        <v>177</v>
      </c>
      <c r="AI20" s="122" t="s">
        <v>177</v>
      </c>
      <c r="AJ20" s="40"/>
      <c r="AL20" t="str">
        <f t="shared" ca="1" si="0"/>
        <v xml:space="preserve">    (U1)ALERT_REQ_S_ADBZR_PMAR_</v>
      </c>
      <c r="AR20" s="52" t="str">
        <f t="shared" si="3"/>
        <v/>
      </c>
      <c r="AS20" s="52" t="str">
        <f t="shared" si="4"/>
        <v/>
      </c>
      <c r="AT20" s="52" t="str">
        <f t="shared" si="1"/>
        <v/>
      </c>
    </row>
    <row r="21" spans="2:49">
      <c r="B21" s="126"/>
      <c r="C21" s="36">
        <f t="shared" si="2"/>
        <v>15</v>
      </c>
      <c r="D21" s="50" t="s">
        <v>177</v>
      </c>
      <c r="E21" s="50" t="s">
        <v>177</v>
      </c>
      <c r="F21" s="50" t="s">
        <v>177</v>
      </c>
      <c r="G21" s="50" t="s">
        <v>177</v>
      </c>
      <c r="H21" s="50" t="s">
        <v>177</v>
      </c>
      <c r="I21" s="50" t="s">
        <v>177</v>
      </c>
      <c r="J21" s="50" t="s">
        <v>177</v>
      </c>
      <c r="K21" s="50" t="s">
        <v>177</v>
      </c>
      <c r="L21" s="50" t="s">
        <v>177</v>
      </c>
      <c r="M21" s="50" t="s">
        <v>177</v>
      </c>
      <c r="N21" s="50" t="s">
        <v>177</v>
      </c>
      <c r="O21" s="50" t="s">
        <v>177</v>
      </c>
      <c r="P21" s="50" t="s">
        <v>177</v>
      </c>
      <c r="Q21" s="50" t="s">
        <v>177</v>
      </c>
      <c r="R21" s="50" t="s">
        <v>177</v>
      </c>
      <c r="S21" s="50" t="s">
        <v>177</v>
      </c>
      <c r="T21" s="50" t="s">
        <v>177</v>
      </c>
      <c r="U21" s="50" t="s">
        <v>177</v>
      </c>
      <c r="V21" s="50" t="s">
        <v>177</v>
      </c>
      <c r="W21" s="50" t="s">
        <v>177</v>
      </c>
      <c r="X21" s="50" t="s">
        <v>177</v>
      </c>
      <c r="Y21" s="50" t="s">
        <v>177</v>
      </c>
      <c r="Z21" s="50" t="s">
        <v>177</v>
      </c>
      <c r="AA21" s="50" t="s">
        <v>177</v>
      </c>
      <c r="AB21" s="50" t="s">
        <v>177</v>
      </c>
      <c r="AC21" s="50" t="s">
        <v>177</v>
      </c>
      <c r="AD21" s="122" t="s">
        <v>177</v>
      </c>
      <c r="AE21" s="122" t="s">
        <v>177</v>
      </c>
      <c r="AF21" s="122" t="s">
        <v>177</v>
      </c>
      <c r="AG21" s="122" t="s">
        <v>177</v>
      </c>
      <c r="AH21" s="122" t="s">
        <v>177</v>
      </c>
      <c r="AI21" s="122" t="s">
        <v>177</v>
      </c>
      <c r="AJ21" s="40"/>
      <c r="AL21" t="str">
        <f t="shared" ca="1" si="0"/>
        <v xml:space="preserve">    (U1)ALERT_REQ_S_ADBZR_PMAR_</v>
      </c>
      <c r="AR21" s="52" t="str">
        <f t="shared" si="3"/>
        <v/>
      </c>
      <c r="AS21" s="52" t="str">
        <f t="shared" si="4"/>
        <v/>
      </c>
      <c r="AT21" s="52" t="str">
        <f t="shared" si="1"/>
        <v/>
      </c>
    </row>
    <row r="22" spans="2:49">
      <c r="B22" s="126"/>
      <c r="C22" s="36">
        <f t="shared" si="2"/>
        <v>16</v>
      </c>
      <c r="D22" s="50" t="s">
        <v>177</v>
      </c>
      <c r="E22" s="50" t="s">
        <v>177</v>
      </c>
      <c r="F22" s="50" t="s">
        <v>177</v>
      </c>
      <c r="G22" s="50" t="s">
        <v>177</v>
      </c>
      <c r="H22" s="50" t="s">
        <v>177</v>
      </c>
      <c r="I22" s="50" t="s">
        <v>177</v>
      </c>
      <c r="J22" s="50" t="s">
        <v>177</v>
      </c>
      <c r="K22" s="50" t="s">
        <v>177</v>
      </c>
      <c r="L22" s="50" t="s">
        <v>177</v>
      </c>
      <c r="M22" s="50" t="s">
        <v>177</v>
      </c>
      <c r="N22" s="50" t="s">
        <v>177</v>
      </c>
      <c r="O22" s="50" t="s">
        <v>177</v>
      </c>
      <c r="P22" s="50" t="s">
        <v>177</v>
      </c>
      <c r="Q22" s="50" t="s">
        <v>177</v>
      </c>
      <c r="R22" s="50" t="s">
        <v>177</v>
      </c>
      <c r="S22" s="50" t="s">
        <v>177</v>
      </c>
      <c r="T22" s="50" t="s">
        <v>177</v>
      </c>
      <c r="U22" s="50" t="s">
        <v>177</v>
      </c>
      <c r="V22" s="50" t="s">
        <v>177</v>
      </c>
      <c r="W22" s="50" t="s">
        <v>177</v>
      </c>
      <c r="X22" s="50" t="s">
        <v>177</v>
      </c>
      <c r="Y22" s="50" t="s">
        <v>177</v>
      </c>
      <c r="Z22" s="50" t="s">
        <v>177</v>
      </c>
      <c r="AA22" s="50" t="s">
        <v>177</v>
      </c>
      <c r="AB22" s="50" t="s">
        <v>177</v>
      </c>
      <c r="AC22" s="50" t="s">
        <v>177</v>
      </c>
      <c r="AD22" s="122" t="s">
        <v>177</v>
      </c>
      <c r="AE22" s="122" t="s">
        <v>177</v>
      </c>
      <c r="AF22" s="50" t="s">
        <v>177</v>
      </c>
      <c r="AG22" s="122" t="s">
        <v>177</v>
      </c>
      <c r="AH22" s="122" t="s">
        <v>177</v>
      </c>
      <c r="AI22" s="122" t="s">
        <v>177</v>
      </c>
      <c r="AJ22" s="40"/>
      <c r="AL22" t="str">
        <f t="shared" ca="1" si="0"/>
        <v xml:space="preserve">    (U1)ALERT_REQ_S_ADBZR_PMAR_</v>
      </c>
      <c r="AR22" s="52" t="str">
        <f t="shared" si="3"/>
        <v/>
      </c>
      <c r="AS22" s="52" t="str">
        <f t="shared" si="4"/>
        <v/>
      </c>
      <c r="AT22" s="52" t="str">
        <f t="shared" si="1"/>
        <v/>
      </c>
    </row>
    <row r="23" spans="2:49">
      <c r="B23" s="126"/>
      <c r="C23" s="36">
        <f t="shared" si="2"/>
        <v>17</v>
      </c>
      <c r="D23" s="50" t="s">
        <v>177</v>
      </c>
      <c r="E23" s="50" t="s">
        <v>177</v>
      </c>
      <c r="F23" s="50" t="s">
        <v>177</v>
      </c>
      <c r="G23" s="50" t="s">
        <v>177</v>
      </c>
      <c r="H23" s="50" t="s">
        <v>177</v>
      </c>
      <c r="I23" s="50" t="s">
        <v>177</v>
      </c>
      <c r="J23" s="50" t="s">
        <v>177</v>
      </c>
      <c r="K23" s="50" t="s">
        <v>177</v>
      </c>
      <c r="L23" s="50" t="s">
        <v>177</v>
      </c>
      <c r="M23" s="50" t="s">
        <v>177</v>
      </c>
      <c r="N23" s="50" t="s">
        <v>177</v>
      </c>
      <c r="O23" s="50" t="s">
        <v>177</v>
      </c>
      <c r="P23" s="50" t="s">
        <v>177</v>
      </c>
      <c r="Q23" s="50" t="s">
        <v>177</v>
      </c>
      <c r="R23" s="50" t="s">
        <v>177</v>
      </c>
      <c r="S23" s="50" t="s">
        <v>177</v>
      </c>
      <c r="T23" s="50" t="s">
        <v>177</v>
      </c>
      <c r="U23" s="50" t="s">
        <v>177</v>
      </c>
      <c r="V23" s="50" t="s">
        <v>177</v>
      </c>
      <c r="W23" s="50" t="s">
        <v>177</v>
      </c>
      <c r="X23" s="50" t="s">
        <v>177</v>
      </c>
      <c r="Y23" s="50" t="s">
        <v>177</v>
      </c>
      <c r="Z23" s="50" t="s">
        <v>177</v>
      </c>
      <c r="AA23" s="50" t="s">
        <v>177</v>
      </c>
      <c r="AB23" s="50" t="s">
        <v>177</v>
      </c>
      <c r="AC23" s="50" t="s">
        <v>177</v>
      </c>
      <c r="AD23" s="50" t="s">
        <v>177</v>
      </c>
      <c r="AE23" s="50" t="s">
        <v>177</v>
      </c>
      <c r="AF23" s="50" t="s">
        <v>177</v>
      </c>
      <c r="AG23" s="122" t="s">
        <v>177</v>
      </c>
      <c r="AH23" s="122" t="s">
        <v>177</v>
      </c>
      <c r="AI23" s="122" t="s">
        <v>177</v>
      </c>
      <c r="AJ23" s="40"/>
      <c r="AL23" t="str">
        <f t="shared" ca="1" si="0"/>
        <v xml:space="preserve">    (U1)ALERT_REQ_S_ADBZR_PMAR_</v>
      </c>
      <c r="AR23" s="52" t="str">
        <f t="shared" si="3"/>
        <v/>
      </c>
      <c r="AS23" s="52" t="str">
        <f t="shared" si="4"/>
        <v/>
      </c>
      <c r="AT23" s="52" t="str">
        <f t="shared" si="1"/>
        <v/>
      </c>
    </row>
    <row r="24" spans="2:49">
      <c r="B24" s="126"/>
      <c r="C24" s="36">
        <f t="shared" si="2"/>
        <v>18</v>
      </c>
      <c r="D24" s="50" t="s">
        <v>177</v>
      </c>
      <c r="E24" s="50" t="s">
        <v>177</v>
      </c>
      <c r="F24" s="50" t="s">
        <v>177</v>
      </c>
      <c r="G24" s="50" t="s">
        <v>177</v>
      </c>
      <c r="H24" s="50" t="s">
        <v>177</v>
      </c>
      <c r="I24" s="50" t="s">
        <v>177</v>
      </c>
      <c r="J24" s="50" t="s">
        <v>177</v>
      </c>
      <c r="K24" s="50" t="s">
        <v>177</v>
      </c>
      <c r="L24" s="50" t="s">
        <v>177</v>
      </c>
      <c r="M24" s="50" t="s">
        <v>177</v>
      </c>
      <c r="N24" s="50" t="s">
        <v>177</v>
      </c>
      <c r="O24" s="50" t="s">
        <v>177</v>
      </c>
      <c r="P24" s="50" t="s">
        <v>177</v>
      </c>
      <c r="Q24" s="50" t="s">
        <v>177</v>
      </c>
      <c r="R24" s="50" t="s">
        <v>177</v>
      </c>
      <c r="S24" s="50" t="s">
        <v>177</v>
      </c>
      <c r="T24" s="50" t="s">
        <v>177</v>
      </c>
      <c r="U24" s="50" t="s">
        <v>177</v>
      </c>
      <c r="V24" s="50" t="s">
        <v>177</v>
      </c>
      <c r="W24" s="50" t="s">
        <v>177</v>
      </c>
      <c r="X24" s="50" t="s">
        <v>177</v>
      </c>
      <c r="Y24" s="50" t="s">
        <v>177</v>
      </c>
      <c r="Z24" s="50" t="s">
        <v>177</v>
      </c>
      <c r="AA24" s="50" t="s">
        <v>177</v>
      </c>
      <c r="AB24" s="50" t="s">
        <v>177</v>
      </c>
      <c r="AC24" s="50" t="s">
        <v>177</v>
      </c>
      <c r="AD24" s="50" t="s">
        <v>177</v>
      </c>
      <c r="AE24" s="50" t="s">
        <v>177</v>
      </c>
      <c r="AF24" s="50" t="s">
        <v>177</v>
      </c>
      <c r="AG24" s="122" t="s">
        <v>177</v>
      </c>
      <c r="AH24" s="122" t="s">
        <v>177</v>
      </c>
      <c r="AI24" s="122" t="s">
        <v>177</v>
      </c>
      <c r="AJ24" s="40"/>
      <c r="AL24" t="str">
        <f t="shared" ca="1" si="0"/>
        <v xml:space="preserve">    (U1)ALERT_REQ_S_ADBZR_PMAR_</v>
      </c>
      <c r="AR24" s="52" t="str">
        <f t="shared" si="3"/>
        <v/>
      </c>
      <c r="AS24" s="52" t="str">
        <f t="shared" si="4"/>
        <v/>
      </c>
      <c r="AT24" s="52" t="str">
        <f t="shared" si="1"/>
        <v/>
      </c>
    </row>
    <row r="25" spans="2:49">
      <c r="B25" s="126"/>
      <c r="C25" s="36">
        <f t="shared" si="2"/>
        <v>19</v>
      </c>
      <c r="D25" s="50" t="s">
        <v>177</v>
      </c>
      <c r="E25" s="50" t="s">
        <v>177</v>
      </c>
      <c r="F25" s="50" t="s">
        <v>177</v>
      </c>
      <c r="G25" s="50" t="s">
        <v>177</v>
      </c>
      <c r="H25" s="50" t="s">
        <v>177</v>
      </c>
      <c r="I25" s="50" t="s">
        <v>177</v>
      </c>
      <c r="J25" s="50" t="s">
        <v>177</v>
      </c>
      <c r="K25" s="50" t="s">
        <v>177</v>
      </c>
      <c r="L25" s="50" t="s">
        <v>177</v>
      </c>
      <c r="M25" s="50" t="s">
        <v>177</v>
      </c>
      <c r="N25" s="50" t="s">
        <v>177</v>
      </c>
      <c r="O25" s="50" t="s">
        <v>177</v>
      </c>
      <c r="P25" s="50" t="s">
        <v>177</v>
      </c>
      <c r="Q25" s="50" t="s">
        <v>177</v>
      </c>
      <c r="R25" s="50" t="s">
        <v>177</v>
      </c>
      <c r="S25" s="50" t="s">
        <v>177</v>
      </c>
      <c r="T25" s="50" t="s">
        <v>177</v>
      </c>
      <c r="U25" s="50" t="s">
        <v>177</v>
      </c>
      <c r="V25" s="50" t="s">
        <v>177</v>
      </c>
      <c r="W25" s="50" t="s">
        <v>177</v>
      </c>
      <c r="X25" s="50" t="s">
        <v>177</v>
      </c>
      <c r="Y25" s="50" t="s">
        <v>177</v>
      </c>
      <c r="Z25" s="50" t="s">
        <v>177</v>
      </c>
      <c r="AA25" s="50" t="s">
        <v>177</v>
      </c>
      <c r="AB25" s="50" t="s">
        <v>177</v>
      </c>
      <c r="AC25" s="50" t="s">
        <v>177</v>
      </c>
      <c r="AD25" s="50" t="s">
        <v>177</v>
      </c>
      <c r="AE25" s="50" t="s">
        <v>177</v>
      </c>
      <c r="AF25" s="50" t="s">
        <v>177</v>
      </c>
      <c r="AG25" s="122" t="s">
        <v>177</v>
      </c>
      <c r="AH25" s="122" t="s">
        <v>177</v>
      </c>
      <c r="AI25" s="122" t="s">
        <v>177</v>
      </c>
      <c r="AJ25" s="40"/>
      <c r="AL25" t="str">
        <f t="shared" ca="1" si="0"/>
        <v xml:space="preserve">    (U1)ALERT_REQ_S_ADBZR_PMAR_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177</v>
      </c>
      <c r="AE26" s="50" t="s">
        <v>177</v>
      </c>
      <c r="AF26" s="50" t="s">
        <v>177</v>
      </c>
      <c r="AG26" s="50" t="s">
        <v>177</v>
      </c>
      <c r="AH26" s="50" t="s">
        <v>177</v>
      </c>
      <c r="AI26" s="50" t="s">
        <v>177</v>
      </c>
      <c r="AJ26" s="40"/>
      <c r="AL26" t="str">
        <f t="shared" ca="1" si="0"/>
        <v xml:space="preserve">    (U1)ALERT_REQ_S_ADBZR_PMAR_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177</v>
      </c>
      <c r="AE27" s="50" t="s">
        <v>177</v>
      </c>
      <c r="AF27" s="50" t="s">
        <v>177</v>
      </c>
      <c r="AG27" s="50" t="s">
        <v>177</v>
      </c>
      <c r="AH27" s="50" t="s">
        <v>177</v>
      </c>
      <c r="AI27" s="50" t="s">
        <v>177</v>
      </c>
      <c r="AJ27" s="40"/>
      <c r="AL27" t="str">
        <f t="shared" ca="1" si="0"/>
        <v xml:space="preserve">    (U1)ALERT_REQ_S_ADBZR_PMAR_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177</v>
      </c>
      <c r="AE28" s="50" t="s">
        <v>177</v>
      </c>
      <c r="AF28" s="50" t="s">
        <v>177</v>
      </c>
      <c r="AG28" s="50" t="s">
        <v>177</v>
      </c>
      <c r="AH28" s="50" t="s">
        <v>177</v>
      </c>
      <c r="AI28" s="50" t="s">
        <v>177</v>
      </c>
      <c r="AJ28" s="40"/>
      <c r="AL28" t="str">
        <f t="shared" ca="1" si="0"/>
        <v xml:space="preserve">    (U1)ALERT_REQ_S_ADBZR_PMAR_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177</v>
      </c>
      <c r="AE29" s="50" t="s">
        <v>177</v>
      </c>
      <c r="AF29" s="50" t="s">
        <v>177</v>
      </c>
      <c r="AG29" s="50" t="s">
        <v>177</v>
      </c>
      <c r="AH29" s="50" t="s">
        <v>177</v>
      </c>
      <c r="AI29" s="50" t="s">
        <v>177</v>
      </c>
      <c r="AJ29" s="40"/>
      <c r="AL29" t="str">
        <f t="shared" ca="1" si="0"/>
        <v xml:space="preserve">    (U1)ALERT_REQ_S_ADBZR_PMAR_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177</v>
      </c>
      <c r="AE30" s="50" t="s">
        <v>177</v>
      </c>
      <c r="AF30" s="50" t="s">
        <v>177</v>
      </c>
      <c r="AG30" s="50" t="s">
        <v>177</v>
      </c>
      <c r="AH30" s="50" t="s">
        <v>177</v>
      </c>
      <c r="AI30" s="50" t="s">
        <v>177</v>
      </c>
      <c r="AJ30" s="40"/>
      <c r="AL30" t="str">
        <f t="shared" ca="1" si="0"/>
        <v xml:space="preserve">    (U1)ALERT_REQ_S_ADBZR_PMAR_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177</v>
      </c>
      <c r="AE31" s="50" t="s">
        <v>177</v>
      </c>
      <c r="AF31" s="50" t="s">
        <v>177</v>
      </c>
      <c r="AG31" s="50" t="s">
        <v>177</v>
      </c>
      <c r="AH31" s="50" t="s">
        <v>177</v>
      </c>
      <c r="AI31" s="50" t="s">
        <v>177</v>
      </c>
      <c r="AJ31" s="40"/>
      <c r="AL31" t="str">
        <f t="shared" ca="1" si="0"/>
        <v xml:space="preserve">    (U1)ALERT_REQ_S_ADBZR_PMAR_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177</v>
      </c>
      <c r="AE32" s="50" t="s">
        <v>177</v>
      </c>
      <c r="AF32" s="50" t="s">
        <v>177</v>
      </c>
      <c r="AG32" s="50" t="s">
        <v>177</v>
      </c>
      <c r="AH32" s="50" t="s">
        <v>177</v>
      </c>
      <c r="AI32" s="50" t="s">
        <v>177</v>
      </c>
      <c r="AJ32" s="40"/>
      <c r="AL32" t="str">
        <f t="shared" ca="1" si="0"/>
        <v xml:space="preserve">    (U1)ALERT_REQ_S_ADBZR_PMAR_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177</v>
      </c>
      <c r="AE33" s="50" t="s">
        <v>177</v>
      </c>
      <c r="AF33" s="50" t="s">
        <v>177</v>
      </c>
      <c r="AG33" s="50" t="s">
        <v>177</v>
      </c>
      <c r="AH33" s="50" t="s">
        <v>177</v>
      </c>
      <c r="AI33" s="50" t="s">
        <v>177</v>
      </c>
      <c r="AJ33" s="40"/>
      <c r="AL33" t="str">
        <f t="shared" ca="1" si="0"/>
        <v xml:space="preserve">    (U1)ALERT_REQ_S_ADBZR_PMAR_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177</v>
      </c>
      <c r="AE34" s="50" t="s">
        <v>177</v>
      </c>
      <c r="AF34" s="50" t="s">
        <v>177</v>
      </c>
      <c r="AG34" s="50" t="s">
        <v>177</v>
      </c>
      <c r="AH34" s="50" t="s">
        <v>177</v>
      </c>
      <c r="AI34" s="50" t="s">
        <v>177</v>
      </c>
      <c r="AJ34" s="40"/>
      <c r="AL34" t="str">
        <f t="shared" ca="1" si="0"/>
        <v xml:space="preserve">    (U1)ALERT_REQ_S_ADBZR_PMAR_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177</v>
      </c>
      <c r="AE35" s="50" t="s">
        <v>177</v>
      </c>
      <c r="AF35" s="50" t="s">
        <v>177</v>
      </c>
      <c r="AG35" s="50" t="s">
        <v>177</v>
      </c>
      <c r="AH35" s="50" t="s">
        <v>177</v>
      </c>
      <c r="AI35" s="50" t="s">
        <v>177</v>
      </c>
      <c r="AJ35" s="40"/>
      <c r="AL35" t="str">
        <f t="shared" ca="1" si="0"/>
        <v xml:space="preserve">    (U1)ALERT_REQ_S_ADBZR_PMAR_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177</v>
      </c>
      <c r="AE36" s="50" t="s">
        <v>177</v>
      </c>
      <c r="AF36" s="50" t="s">
        <v>177</v>
      </c>
      <c r="AG36" s="50" t="s">
        <v>177</v>
      </c>
      <c r="AH36" s="50" t="s">
        <v>177</v>
      </c>
      <c r="AI36" s="50" t="s">
        <v>177</v>
      </c>
      <c r="AJ36" s="40"/>
      <c r="AL36" t="str">
        <f t="shared" ca="1" si="0"/>
        <v xml:space="preserve">    (U1)ALERT_REQ_S_ADBZR_PMAR_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177</v>
      </c>
      <c r="AE37" s="50" t="s">
        <v>177</v>
      </c>
      <c r="AF37" s="50" t="s">
        <v>177</v>
      </c>
      <c r="AG37" s="50" t="s">
        <v>177</v>
      </c>
      <c r="AH37" s="50" t="s">
        <v>177</v>
      </c>
      <c r="AI37" s="50" t="s">
        <v>177</v>
      </c>
      <c r="AJ37" s="40"/>
      <c r="AL37" t="str">
        <f t="shared" ca="1" si="0"/>
        <v xml:space="preserve">    (U1)ALERT_REQ_S_ADBZR_PMAR_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t="str">
        <f t="shared" ca="1" si="0"/>
        <v xml:space="preserve">    (U1)ALERT_REQ_S_ADBZR_PMAR_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t="str">
        <f t="shared" ca="1" si="0"/>
        <v xml:space="preserve">    (U1)ALERT_REQ_S_ADBZR_PMAR_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t="str">
        <f t="shared" ca="1" si="0"/>
        <v xml:space="preserve">    (U1)ALERT_REQ_S_ADBZR_PMAR_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t="str">
        <f t="shared" ca="1" si="0"/>
        <v xml:space="preserve">    (U1)ALERT_REQ_S_ADBZR_PMAR_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t="str">
        <f t="shared" ca="1" si="0"/>
        <v xml:space="preserve">    (U1)ALERT_REQ_S_ADBZR_PMAR_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t="str">
        <f t="shared" ca="1" si="0"/>
        <v xml:space="preserve">    (U1)ALERT_REQ_S_ADBZR_PMAR_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t="str">
        <f t="shared" ca="1" si="0"/>
        <v xml:space="preserve">    (U1)ALERT_REQ_S_ADBZR_PMAR_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t="str">
        <f t="shared" ca="1" si="0"/>
        <v xml:space="preserve">    (U1)ALERT_REQ_S_ADBZR_PMAR_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t="str">
        <f t="shared" ca="1" si="0"/>
        <v xml:space="preserve">    (U1)ALERT_REQ_S_ADBZR_PMAR_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t="str">
        <f t="shared" ca="1" si="0"/>
        <v xml:space="preserve">    (U1)ALERT_REQ_S_ADBZR_PMAR_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t="str">
        <f t="shared" ca="1" si="0"/>
        <v xml:space="preserve">    (U1)ALERT_REQ_S_ADBZR_PMAR_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2"/>
      <c r="AL49" t="str">
        <f t="shared" ca="1" si="0"/>
        <v xml:space="preserve">    (U1)ALERT_REQ_S_ADBZR_PMAR_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2"/>
      <c r="AL50" t="str">
        <f t="shared" ca="1" si="0"/>
        <v xml:space="preserve">    (U1)ALERT_REQ_S_ADBZR_PMAR_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2"/>
      <c r="AL51" t="str">
        <f t="shared" ca="1" si="0"/>
        <v xml:space="preserve">    (U1)ALERT_REQ_S_ADBZR_PMAR_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2"/>
      <c r="AL52" t="str">
        <f t="shared" ca="1" si="0"/>
        <v xml:space="preserve">    (U1)ALERT_REQ_S_ADBZR_PMAR_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2"/>
      <c r="AL53" t="str">
        <f t="shared" ca="1" si="0"/>
        <v xml:space="preserve">    (U1)ALERT_REQ_S_ADBZR_PMAR_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2"/>
      <c r="AL54" t="str">
        <f t="shared" ca="1" si="0"/>
        <v xml:space="preserve">    (U1)ALERT_REQ_S_ADBZR_PMAR_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2"/>
      <c r="AL55" t="str">
        <f t="shared" ca="1" si="0"/>
        <v xml:space="preserve">    (U1)ALERT_REQ_S_ADBZR_PMAR_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2"/>
      <c r="AL56" t="str">
        <f t="shared" ca="1" si="0"/>
        <v xml:space="preserve">    (U1)ALERT_REQ_S_ADBZR_PMAR_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2"/>
      <c r="AL57" t="str">
        <f t="shared" ca="1" si="0"/>
        <v xml:space="preserve">    (U1)ALERT_REQ_S_ADBZR_PMAR_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2"/>
      <c r="AL58" t="str">
        <f t="shared" ca="1" si="0"/>
        <v xml:space="preserve">    (U1)ALERT_REQ_S_ADBZR_PMAR_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2"/>
      <c r="AL59" t="str">
        <f t="shared" ca="1" si="0"/>
        <v xml:space="preserve">    (U1)ALERT_REQ_S_ADBZR_PMAR_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2"/>
      <c r="AL60" t="str">
        <f t="shared" ca="1" si="0"/>
        <v xml:space="preserve">    (U1)ALERT_REQ_S_ADBZR_PMAR_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2"/>
      <c r="AL61" t="str">
        <f t="shared" ca="1" si="0"/>
        <v xml:space="preserve">    (U1)ALERT_REQ_S_ADBZR_PMAR_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2"/>
      <c r="AL62" t="str">
        <f t="shared" ca="1" si="0"/>
        <v xml:space="preserve">    (U1)ALERT_REQ_S_ADBZR_PMAR_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2"/>
      <c r="AL63" t="str">
        <f t="shared" ca="1" si="0"/>
        <v xml:space="preserve">    (U1)ALERT_REQ_S_ADBZR_PMAR_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2"/>
      <c r="AL64" t="str">
        <f t="shared" ca="1" si="0"/>
        <v xml:space="preserve">    (U1)ALERT_REQ_S_ADBZR_PMAR_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2"/>
      <c r="AL65" t="str">
        <f t="shared" ca="1" si="0"/>
        <v xml:space="preserve">    (U1)ALERT_REQ_S_ADBZR_PMAR_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2"/>
      <c r="AL66" t="str">
        <f t="shared" ca="1" si="0"/>
        <v xml:space="preserve">    (U1)ALERT_REQ_S_ADBZR_PMAR_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2"/>
      <c r="AL67" t="str">
        <f t="shared" ca="1" si="0"/>
        <v xml:space="preserve">    (U1)ALERT_REQ_S_ADBZR_PMAR_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2"/>
      <c r="AL68" t="str">
        <f t="shared" ca="1" si="0"/>
        <v xml:space="preserve">    (U1)ALERT_REQ_S_ADBZR_PMAR_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2"/>
      <c r="AL69" t="str">
        <f t="shared" ca="1" si="0"/>
        <v xml:space="preserve">    (U1)ALERT_REQ_S_ADBZR_PMAR_</v>
      </c>
      <c r="AR69" s="52" t="str">
        <f t="shared" si="3"/>
        <v/>
      </c>
      <c r="AS69" s="52" t="str">
        <f t="shared" si="4"/>
        <v/>
      </c>
      <c r="AT69" s="52" t="str">
        <f t="shared" si="1"/>
        <v/>
      </c>
    </row>
    <row r="70" spans="1:46" ht="13.8"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S_ADBZR_PMAR</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ON</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ON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1</v>
      </c>
      <c r="AH75" s="119">
        <f t="shared" si="5"/>
        <v>0</v>
      </c>
      <c r="AI75" s="119">
        <f t="shared" si="5"/>
        <v>0</v>
      </c>
      <c r="AJ75" s="36" t="str">
        <f t="shared" si="6"/>
        <v>UNKNOWN</v>
      </c>
      <c r="AK75" s="49"/>
      <c r="AL75" s="49" t="str">
        <f t="shared" si="9"/>
        <v>04</v>
      </c>
      <c r="AM75" s="51" t="str">
        <f t="shared" si="10"/>
        <v>00</v>
      </c>
      <c r="AN75" s="51" t="str">
        <f t="shared" si="11"/>
        <v>00</v>
      </c>
      <c r="AO75" s="51" t="str">
        <f t="shared" si="12"/>
        <v>00</v>
      </c>
      <c r="AQ75" t="str">
        <f t="shared" si="7"/>
        <v xml:space="preserve">    (U4)0x00000004U,                                                           /* 04 UNKNOWN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1</v>
      </c>
      <c r="AH76" s="119">
        <f t="shared" si="5"/>
        <v>0</v>
      </c>
      <c r="AI76" s="119">
        <f t="shared" si="5"/>
        <v>1</v>
      </c>
      <c r="AJ76" s="36" t="str">
        <f t="shared" si="6"/>
        <v>UNKNOWN</v>
      </c>
      <c r="AK76" s="49"/>
      <c r="AL76" s="49" t="str">
        <f t="shared" si="9"/>
        <v>05</v>
      </c>
      <c r="AM76" s="51" t="str">
        <f t="shared" si="10"/>
        <v>00</v>
      </c>
      <c r="AN76" s="51" t="str">
        <f t="shared" si="11"/>
        <v>00</v>
      </c>
      <c r="AO76" s="51" t="str">
        <f t="shared" si="12"/>
        <v>00</v>
      </c>
      <c r="AQ76" t="str">
        <f t="shared" si="7"/>
        <v xml:space="preserve">    (U4)0x00000005U,                                                           /* 05 UNKNOWN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1</v>
      </c>
      <c r="AH77" s="119">
        <f t="shared" si="5"/>
        <v>1</v>
      </c>
      <c r="AI77" s="119">
        <f t="shared" si="5"/>
        <v>0</v>
      </c>
      <c r="AJ77" s="36" t="str">
        <f t="shared" si="6"/>
        <v>UNKNOWN</v>
      </c>
      <c r="AK77" s="49"/>
      <c r="AL77" s="49" t="str">
        <f t="shared" si="9"/>
        <v>06</v>
      </c>
      <c r="AM77" s="51" t="str">
        <f t="shared" si="10"/>
        <v>00</v>
      </c>
      <c r="AN77" s="51" t="str">
        <f t="shared" si="11"/>
        <v>00</v>
      </c>
      <c r="AO77" s="51" t="str">
        <f t="shared" si="12"/>
        <v>00</v>
      </c>
      <c r="AQ77" t="str">
        <f t="shared" si="7"/>
        <v xml:space="preserve">    (U4)0x00000006U,                                                           /* 06 UNKNOWN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1</v>
      </c>
      <c r="AH78" s="119">
        <f t="shared" si="5"/>
        <v>1</v>
      </c>
      <c r="AI78" s="119">
        <f>IF(AI13=1,1,0)</f>
        <v>1</v>
      </c>
      <c r="AJ78" s="36" t="str">
        <f t="shared" si="6"/>
        <v>UNKNOWN</v>
      </c>
      <c r="AK78" s="49"/>
      <c r="AL78" s="49" t="str">
        <f t="shared" si="9"/>
        <v>07</v>
      </c>
      <c r="AM78" s="51" t="str">
        <f t="shared" si="10"/>
        <v>00</v>
      </c>
      <c r="AN78" s="51" t="str">
        <f t="shared" si="11"/>
        <v>00</v>
      </c>
      <c r="AO78" s="51" t="str">
        <f t="shared" si="12"/>
        <v>00</v>
      </c>
      <c r="AQ78" t="str">
        <f t="shared" si="7"/>
        <v xml:space="preserve">    (U4)0x00000007U                                                            /* 07 UNKNOWN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S_ADBZR_PMAR</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1</v>
      </c>
      <c r="AH136" s="119">
        <f t="shared" si="20"/>
        <v>1</v>
      </c>
      <c r="AI136" s="119">
        <f t="shared" si="20"/>
        <v>1</v>
      </c>
      <c r="AJ136" s="36" t="str">
        <f t="shared" ref="AJ136:AJ199" si="21">IF(AJ6&lt;&gt;"",AJ6,"")</f>
        <v>UNKNOWN</v>
      </c>
      <c r="AK136" s="49"/>
      <c r="AL136" s="49"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1</v>
      </c>
      <c r="AH137" s="119">
        <f t="shared" si="20"/>
        <v>1</v>
      </c>
      <c r="AI137" s="119">
        <f t="shared" si="20"/>
        <v>1</v>
      </c>
      <c r="AJ137" s="36" t="str">
        <f t="shared" si="21"/>
        <v>ON</v>
      </c>
      <c r="AK137" s="49"/>
      <c r="AL137" s="49" t="str">
        <f t="shared" ref="AL137:AL199" si="24">BIN2HEX(AB137&amp;AC137&amp;AD137&amp;AE137&amp;AF137&amp;AG137&amp;AH137&amp;AI137,2)</f>
        <v>07</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(U4)0x00000007U,                                                           /* 01 ON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1</v>
      </c>
      <c r="AH138" s="119">
        <f t="shared" si="20"/>
        <v>1</v>
      </c>
      <c r="AI138" s="119">
        <f t="shared" si="20"/>
        <v>1</v>
      </c>
      <c r="AJ138" s="36" t="str">
        <f t="shared" si="21"/>
        <v>UNKNOWN</v>
      </c>
      <c r="AK138" s="49"/>
      <c r="AL138" s="49" t="str">
        <f t="shared" si="24"/>
        <v>07</v>
      </c>
      <c r="AM138" s="51" t="str">
        <f t="shared" si="25"/>
        <v>00</v>
      </c>
      <c r="AN138" s="51" t="str">
        <f t="shared" si="26"/>
        <v>00</v>
      </c>
      <c r="AO138" s="51" t="str">
        <f t="shared" si="27"/>
        <v>00</v>
      </c>
      <c r="AQ138" t="str">
        <f t="shared" si="22"/>
        <v xml:space="preserve">    (U4)0x00000007U,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1</v>
      </c>
      <c r="AH139" s="119">
        <f t="shared" si="20"/>
        <v>1</v>
      </c>
      <c r="AI139" s="119">
        <f t="shared" si="20"/>
        <v>1</v>
      </c>
      <c r="AJ139" s="36" t="str">
        <f t="shared" si="21"/>
        <v>UNKNOWN</v>
      </c>
      <c r="AK139" s="49"/>
      <c r="AL139" s="49" t="str">
        <f t="shared" si="24"/>
        <v>07</v>
      </c>
      <c r="AM139" s="51" t="str">
        <f t="shared" si="25"/>
        <v>00</v>
      </c>
      <c r="AN139" s="51" t="str">
        <f t="shared" si="26"/>
        <v>00</v>
      </c>
      <c r="AO139" s="51" t="str">
        <f t="shared" si="27"/>
        <v>00</v>
      </c>
      <c r="AQ139" t="str">
        <f t="shared" si="22"/>
        <v xml:space="preserve">    (U4)0x00000007U,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1</v>
      </c>
      <c r="AH140" s="119">
        <f t="shared" si="20"/>
        <v>1</v>
      </c>
      <c r="AI140" s="119">
        <f t="shared" si="20"/>
        <v>1</v>
      </c>
      <c r="AJ140" s="36" t="str">
        <f t="shared" si="21"/>
        <v>UNKNOWN</v>
      </c>
      <c r="AK140" s="49"/>
      <c r="AL140" s="49" t="str">
        <f t="shared" si="24"/>
        <v>07</v>
      </c>
      <c r="AM140" s="51" t="str">
        <f t="shared" si="25"/>
        <v>00</v>
      </c>
      <c r="AN140" s="51" t="str">
        <f t="shared" si="26"/>
        <v>00</v>
      </c>
      <c r="AO140" s="51" t="str">
        <f t="shared" si="27"/>
        <v>00</v>
      </c>
      <c r="AQ140" t="str">
        <f t="shared" si="22"/>
        <v xml:space="preserve">    (U4)0x00000007U,                                                           /* 04 UNKNOWN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1</v>
      </c>
      <c r="AH141" s="119">
        <f t="shared" si="20"/>
        <v>1</v>
      </c>
      <c r="AI141" s="119">
        <f t="shared" si="20"/>
        <v>1</v>
      </c>
      <c r="AJ141" s="36" t="str">
        <f t="shared" si="21"/>
        <v>UNKNOWN</v>
      </c>
      <c r="AK141" s="49"/>
      <c r="AL141" s="49" t="str">
        <f t="shared" si="24"/>
        <v>07</v>
      </c>
      <c r="AM141" s="51" t="str">
        <f t="shared" si="25"/>
        <v>00</v>
      </c>
      <c r="AN141" s="51" t="str">
        <f t="shared" si="26"/>
        <v>00</v>
      </c>
      <c r="AO141" s="51" t="str">
        <f t="shared" si="27"/>
        <v>00</v>
      </c>
      <c r="AQ141" t="str">
        <f t="shared" si="22"/>
        <v xml:space="preserve">    (U4)0x00000007U,                                                           /* 05 UNKNOWN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1</v>
      </c>
      <c r="AH142" s="119">
        <f t="shared" si="20"/>
        <v>1</v>
      </c>
      <c r="AI142" s="119">
        <f t="shared" si="20"/>
        <v>1</v>
      </c>
      <c r="AJ142" s="36" t="str">
        <f t="shared" si="21"/>
        <v>UNKNOWN</v>
      </c>
      <c r="AK142" s="49"/>
      <c r="AL142" s="49" t="str">
        <f t="shared" si="24"/>
        <v>07</v>
      </c>
      <c r="AM142" s="51" t="str">
        <f t="shared" si="25"/>
        <v>00</v>
      </c>
      <c r="AN142" s="51" t="str">
        <f t="shared" si="26"/>
        <v>00</v>
      </c>
      <c r="AO142" s="51" t="str">
        <f t="shared" si="27"/>
        <v>00</v>
      </c>
      <c r="AQ142" t="str">
        <f t="shared" si="22"/>
        <v xml:space="preserve">    (U4)0x00000007U,                                                           /* 06 UNKNOWN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1</v>
      </c>
      <c r="AH143" s="119">
        <f t="shared" si="20"/>
        <v>1</v>
      </c>
      <c r="AI143" s="119">
        <f>IF(OR(AI13=0,AI13=1),1,0)</f>
        <v>1</v>
      </c>
      <c r="AJ143" s="36" t="str">
        <f t="shared" si="21"/>
        <v>UNKNOWN</v>
      </c>
      <c r="AK143" s="49"/>
      <c r="AL143" s="49" t="str">
        <f t="shared" si="24"/>
        <v>07</v>
      </c>
      <c r="AM143" s="51" t="str">
        <f t="shared" si="25"/>
        <v>00</v>
      </c>
      <c r="AN143" s="51" t="str">
        <f t="shared" si="26"/>
        <v>00</v>
      </c>
      <c r="AO143" s="51" t="str">
        <f t="shared" si="27"/>
        <v>00</v>
      </c>
      <c r="AQ143" t="str">
        <f t="shared" si="22"/>
        <v xml:space="preserve">    (U4)0x00000007U                                                            /* 07 UNKNOWN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E3 AJ6:AJ13 D6:AF13 D14:AJ69" name="Table作成編集範囲"/>
    <protectedRange sqref="B3" name="Table作成編集範囲_1"/>
    <protectedRange sqref="AF3" name="Table作成編集範囲_1_1"/>
    <protectedRange sqref="AG3" name="Table作成編集範囲_1_1_1"/>
    <protectedRange sqref="AG6:AI13" name="Table作成編集範囲_2"/>
  </protectedRanges>
  <mergeCells count="4">
    <mergeCell ref="C2:C3"/>
    <mergeCell ref="AJ2:AJ3"/>
    <mergeCell ref="A4:B5"/>
    <mergeCell ref="AG3:AH3"/>
  </mergeCells>
  <phoneticPr fontId="2"/>
  <conditionalFormatting sqref="D6:AI69">
    <cfRule type="cellIs" dxfId="4" priority="1" operator="equal">
      <formula>1</formula>
    </cfRule>
    <cfRule type="cellIs" dxfId="3" priority="2" operator="equal">
      <formula>"×"</formula>
    </cfRule>
  </conditionalFormatting>
  <conditionalFormatting sqref="AE6:AF21">
    <cfRule type="cellIs" dxfId="2" priority="4" operator="equal">
      <formula>1</formula>
    </cfRule>
    <cfRule type="cellIs" dxfId="1" priority="5" operator="equal">
      <formula>"×"</formula>
    </cfRule>
  </conditionalFormatting>
  <conditionalFormatting sqref="AR5:AS70">
    <cfRule type="expression" dxfId="0" priority="3">
      <formula>$B$3="Index Table"</formula>
    </cfRule>
  </conditionalFormatting>
  <pageMargins left="0.7" right="0.7" top="0.75" bottom="0.75" header="0.3" footer="0.3"/>
  <pageSetup paperSize="9" orientation="portrait" verticalDpi="0"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W116"/>
  <sheetViews>
    <sheetView zoomScale="55" zoomScaleNormal="55" workbookViewId="0"/>
  </sheetViews>
  <sheetFormatPr defaultRowHeight="13.2"/>
  <cols>
    <col min="2" max="2" width="43" bestFit="1" customWidth="1"/>
    <col min="3" max="10" width="3.33203125" customWidth="1"/>
    <col min="11" max="11" width="22.88671875" customWidth="1"/>
    <col min="12" max="12" width="25.6640625" customWidth="1"/>
    <col min="13" max="13" width="22.6640625" customWidth="1"/>
    <col min="14" max="14" width="10.88671875" customWidth="1"/>
    <col min="15" max="15" width="21.6640625" customWidth="1"/>
    <col min="16" max="17" width="10.88671875" customWidth="1"/>
  </cols>
  <sheetData>
    <row r="3" spans="2:17" ht="13.8" thickBot="1">
      <c r="B3" t="s">
        <v>264</v>
      </c>
    </row>
    <row r="4" spans="2:17" ht="15" thickBot="1">
      <c r="B4" s="86" t="s">
        <v>116</v>
      </c>
      <c r="C4" s="303" t="s">
        <v>200</v>
      </c>
      <c r="D4" s="304"/>
      <c r="E4" s="304"/>
      <c r="F4" s="304"/>
      <c r="G4" s="304"/>
      <c r="H4" s="304"/>
      <c r="I4" s="304"/>
      <c r="J4" s="305"/>
      <c r="K4" s="164"/>
      <c r="L4" s="164"/>
      <c r="M4" s="167"/>
      <c r="N4" s="165"/>
      <c r="O4" s="165"/>
      <c r="P4" s="165"/>
      <c r="Q4" s="166"/>
    </row>
    <row r="5" spans="2:17">
      <c r="B5" s="59"/>
      <c r="C5" s="205" t="s">
        <v>151</v>
      </c>
      <c r="D5" s="205"/>
      <c r="E5" s="205"/>
      <c r="F5" s="205"/>
      <c r="G5" s="205"/>
      <c r="H5" s="205"/>
      <c r="I5" s="205"/>
      <c r="J5" s="205"/>
      <c r="K5" s="205"/>
      <c r="L5" s="205"/>
      <c r="M5" s="25" t="s">
        <v>47</v>
      </c>
      <c r="N5" s="206" t="s">
        <v>20</v>
      </c>
      <c r="O5" s="207"/>
      <c r="P5" s="207"/>
      <c r="Q5" s="208"/>
    </row>
    <row r="6" spans="2:17">
      <c r="B6" s="60" t="s">
        <v>21</v>
      </c>
      <c r="C6" s="306" t="s">
        <v>158</v>
      </c>
      <c r="D6" s="307"/>
      <c r="E6" s="307"/>
      <c r="F6" s="307"/>
      <c r="G6" s="307"/>
      <c r="H6" s="307"/>
      <c r="I6" s="307"/>
      <c r="J6" s="308"/>
      <c r="K6" s="78" t="s">
        <v>221</v>
      </c>
      <c r="L6" s="78"/>
      <c r="M6" s="244" t="s">
        <v>263</v>
      </c>
      <c r="N6" s="176" t="s">
        <v>22</v>
      </c>
      <c r="O6" s="66" t="s">
        <v>153</v>
      </c>
      <c r="P6" s="220" t="s">
        <v>218</v>
      </c>
      <c r="Q6" s="132" t="s">
        <v>25</v>
      </c>
    </row>
    <row r="7" spans="2:17">
      <c r="B7" s="60" t="s">
        <v>31</v>
      </c>
      <c r="C7" s="159" t="s">
        <v>168</v>
      </c>
      <c r="D7" s="159" t="s">
        <v>168</v>
      </c>
      <c r="E7" s="159" t="s">
        <v>168</v>
      </c>
      <c r="F7" s="159" t="s">
        <v>168</v>
      </c>
      <c r="G7" s="159" t="s">
        <v>168</v>
      </c>
      <c r="H7" s="159" t="s">
        <v>168</v>
      </c>
      <c r="I7" s="159" t="s">
        <v>168</v>
      </c>
      <c r="J7" s="159" t="s">
        <v>168</v>
      </c>
      <c r="K7" s="131" t="s">
        <v>222</v>
      </c>
      <c r="L7" s="209" t="s">
        <v>222</v>
      </c>
      <c r="M7" s="26" t="s">
        <v>223</v>
      </c>
      <c r="N7" s="191"/>
      <c r="O7" s="67"/>
      <c r="P7" s="221"/>
      <c r="Q7" s="210"/>
    </row>
    <row r="8" spans="2:17" ht="26.4">
      <c r="B8" s="61" t="s">
        <v>26</v>
      </c>
      <c r="C8" s="309" t="s">
        <v>33</v>
      </c>
      <c r="D8" s="307"/>
      <c r="E8" s="307"/>
      <c r="F8" s="307"/>
      <c r="G8" s="307"/>
      <c r="H8" s="307"/>
      <c r="I8" s="307"/>
      <c r="J8" s="308"/>
      <c r="K8" s="1" t="s">
        <v>208</v>
      </c>
      <c r="L8" s="211" t="s">
        <v>208</v>
      </c>
      <c r="M8" s="27"/>
      <c r="N8" s="191"/>
      <c r="O8" s="67"/>
      <c r="P8" s="221"/>
      <c r="Q8" s="132"/>
    </row>
    <row r="9" spans="2:17" ht="61.2">
      <c r="B9" s="60" t="s">
        <v>27</v>
      </c>
      <c r="C9" s="212" t="s">
        <v>169</v>
      </c>
      <c r="D9" s="212" t="s">
        <v>58</v>
      </c>
      <c r="E9" s="212" t="s">
        <v>170</v>
      </c>
      <c r="F9" s="212" t="s">
        <v>171</v>
      </c>
      <c r="G9" s="212" t="s">
        <v>172</v>
      </c>
      <c r="H9" s="212" t="s">
        <v>173</v>
      </c>
      <c r="I9" s="212" t="s">
        <v>174</v>
      </c>
      <c r="J9" s="212" t="s">
        <v>175</v>
      </c>
      <c r="K9" s="1" t="s">
        <v>209</v>
      </c>
      <c r="L9" s="211" t="s">
        <v>220</v>
      </c>
      <c r="M9" s="26" t="s">
        <v>28</v>
      </c>
      <c r="N9" s="191"/>
      <c r="O9" s="67"/>
      <c r="P9" s="221"/>
      <c r="Q9" s="132"/>
    </row>
    <row r="10" spans="2:17" ht="53.4" thickBot="1">
      <c r="B10" s="62" t="s">
        <v>29</v>
      </c>
      <c r="C10" s="160" t="s">
        <v>176</v>
      </c>
      <c r="D10" s="160" t="s">
        <v>168</v>
      </c>
      <c r="E10" s="160" t="s">
        <v>176</v>
      </c>
      <c r="F10" s="160" t="s">
        <v>176</v>
      </c>
      <c r="G10" s="160" t="s">
        <v>176</v>
      </c>
      <c r="H10" s="160" t="s">
        <v>176</v>
      </c>
      <c r="I10" s="160" t="s">
        <v>176</v>
      </c>
      <c r="J10" s="160" t="s">
        <v>176</v>
      </c>
      <c r="K10" s="24" t="s">
        <v>224</v>
      </c>
      <c r="L10" s="213" t="s">
        <v>237</v>
      </c>
      <c r="M10" s="28" t="s">
        <v>234</v>
      </c>
      <c r="N10" s="192"/>
      <c r="O10" s="65"/>
      <c r="P10" s="222" t="s">
        <v>236</v>
      </c>
      <c r="Q10" s="133"/>
    </row>
    <row r="11" spans="2:17" ht="13.8" thickTop="1">
      <c r="B11" s="63" t="s">
        <v>238</v>
      </c>
      <c r="C11" s="161" t="s">
        <v>152</v>
      </c>
      <c r="D11" s="161" t="s">
        <v>152</v>
      </c>
      <c r="E11" s="161" t="s">
        <v>152</v>
      </c>
      <c r="F11" s="161" t="s">
        <v>152</v>
      </c>
      <c r="G11" s="161" t="s">
        <v>152</v>
      </c>
      <c r="H11" s="161" t="s">
        <v>152</v>
      </c>
      <c r="I11" s="161" t="s">
        <v>152</v>
      </c>
      <c r="J11" s="161" t="s">
        <v>152</v>
      </c>
      <c r="K11" s="29" t="s">
        <v>225</v>
      </c>
      <c r="L11" s="214" t="s">
        <v>201</v>
      </c>
      <c r="M11" s="30" t="s">
        <v>101</v>
      </c>
      <c r="N11" s="193"/>
      <c r="O11" s="33"/>
      <c r="P11" s="223" t="s">
        <v>168</v>
      </c>
      <c r="Q11" s="134"/>
    </row>
    <row r="12" spans="2:17">
      <c r="B12" s="19" t="s">
        <v>239</v>
      </c>
      <c r="C12" s="162" t="s">
        <v>152</v>
      </c>
      <c r="D12" s="162" t="s">
        <v>152</v>
      </c>
      <c r="E12" s="162" t="s">
        <v>152</v>
      </c>
      <c r="F12" s="162" t="s">
        <v>152</v>
      </c>
      <c r="G12" s="162" t="s">
        <v>152</v>
      </c>
      <c r="H12" s="162" t="s">
        <v>152</v>
      </c>
      <c r="I12" s="162" t="s">
        <v>152</v>
      </c>
      <c r="J12" s="162" t="s">
        <v>152</v>
      </c>
      <c r="K12" s="199" t="s">
        <v>225</v>
      </c>
      <c r="L12" s="215" t="s">
        <v>202</v>
      </c>
      <c r="M12" s="31" t="s">
        <v>199</v>
      </c>
      <c r="N12" s="194"/>
      <c r="O12" s="34"/>
      <c r="P12" s="224" t="s">
        <v>235</v>
      </c>
      <c r="Q12" s="134"/>
    </row>
    <row r="13" spans="2:17">
      <c r="B13" s="19" t="s">
        <v>226</v>
      </c>
      <c r="C13" s="162" t="s">
        <v>152</v>
      </c>
      <c r="D13" s="162" t="s">
        <v>152</v>
      </c>
      <c r="E13" s="162" t="s">
        <v>152</v>
      </c>
      <c r="F13" s="162" t="s">
        <v>152</v>
      </c>
      <c r="G13" s="162" t="s">
        <v>152</v>
      </c>
      <c r="H13" s="162" t="s">
        <v>152</v>
      </c>
      <c r="I13" s="162" t="s">
        <v>152</v>
      </c>
      <c r="J13" s="162" t="s">
        <v>152</v>
      </c>
      <c r="K13" s="199" t="s">
        <v>227</v>
      </c>
      <c r="L13" s="215" t="s">
        <v>203</v>
      </c>
      <c r="M13" s="31" t="s">
        <v>30</v>
      </c>
      <c r="N13" s="194"/>
      <c r="O13" s="216"/>
      <c r="P13" s="224" t="s">
        <v>168</v>
      </c>
      <c r="Q13" s="135"/>
    </row>
    <row r="14" spans="2:17">
      <c r="B14" s="19" t="s">
        <v>229</v>
      </c>
      <c r="C14" s="162" t="s">
        <v>152</v>
      </c>
      <c r="D14" s="162" t="s">
        <v>152</v>
      </c>
      <c r="E14" s="162" t="s">
        <v>152</v>
      </c>
      <c r="F14" s="162" t="s">
        <v>152</v>
      </c>
      <c r="G14" s="162" t="s">
        <v>152</v>
      </c>
      <c r="H14" s="162" t="s">
        <v>152</v>
      </c>
      <c r="I14" s="162" t="s">
        <v>152</v>
      </c>
      <c r="J14" s="162" t="s">
        <v>152</v>
      </c>
      <c r="K14" s="199" t="s">
        <v>230</v>
      </c>
      <c r="L14" s="215" t="s">
        <v>203</v>
      </c>
      <c r="M14" s="31" t="s">
        <v>30</v>
      </c>
      <c r="N14" s="194"/>
      <c r="O14" s="216"/>
      <c r="P14" s="224" t="s">
        <v>168</v>
      </c>
      <c r="Q14" s="135"/>
    </row>
    <row r="15" spans="2:17">
      <c r="B15" s="19" t="s">
        <v>231</v>
      </c>
      <c r="C15" s="162" t="s">
        <v>152</v>
      </c>
      <c r="D15" s="162" t="s">
        <v>152</v>
      </c>
      <c r="E15" s="162" t="s">
        <v>152</v>
      </c>
      <c r="F15" s="162" t="s">
        <v>152</v>
      </c>
      <c r="G15" s="162" t="s">
        <v>152</v>
      </c>
      <c r="H15" s="162" t="s">
        <v>152</v>
      </c>
      <c r="I15" s="162" t="s">
        <v>152</v>
      </c>
      <c r="J15" s="162" t="s">
        <v>152</v>
      </c>
      <c r="K15" s="199" t="s">
        <v>232</v>
      </c>
      <c r="L15" s="215" t="s">
        <v>203</v>
      </c>
      <c r="M15" s="31" t="s">
        <v>30</v>
      </c>
      <c r="N15" s="194"/>
      <c r="O15" s="216"/>
      <c r="P15" s="224" t="s">
        <v>168</v>
      </c>
      <c r="Q15" s="135"/>
    </row>
    <row r="16" spans="2:17" ht="13.8" thickBot="1">
      <c r="B16" s="20" t="s">
        <v>233</v>
      </c>
      <c r="C16" s="163" t="s">
        <v>152</v>
      </c>
      <c r="D16" s="163" t="s">
        <v>152</v>
      </c>
      <c r="E16" s="163" t="s">
        <v>152</v>
      </c>
      <c r="F16" s="163" t="s">
        <v>152</v>
      </c>
      <c r="G16" s="163" t="s">
        <v>152</v>
      </c>
      <c r="H16" s="163" t="s">
        <v>152</v>
      </c>
      <c r="I16" s="163" t="s">
        <v>152</v>
      </c>
      <c r="J16" s="163" t="s">
        <v>152</v>
      </c>
      <c r="K16" s="217" t="s">
        <v>228</v>
      </c>
      <c r="L16" s="218" t="s">
        <v>203</v>
      </c>
      <c r="M16" s="32" t="s">
        <v>30</v>
      </c>
      <c r="N16" s="195"/>
      <c r="O16" s="219"/>
      <c r="P16" s="217" t="s">
        <v>198</v>
      </c>
      <c r="Q16" s="136"/>
    </row>
    <row r="24" spans="22:22">
      <c r="V24" s="196"/>
    </row>
    <row r="116" spans="22:23">
      <c r="V116" s="196"/>
      <c r="W116" s="81"/>
    </row>
  </sheetData>
  <mergeCells count="3">
    <mergeCell ref="C4:J4"/>
    <mergeCell ref="C6:J6"/>
    <mergeCell ref="C8:J8"/>
  </mergeCells>
  <phoneticPr fontId="2"/>
  <dataValidations count="1">
    <dataValidation type="list" allowBlank="1" showInputMessage="1" showErrorMessage="1" sqref="C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74" t="s">
        <v>78</v>
      </c>
      <c r="C2" s="75">
        <f>MAX(B4:B28)</f>
        <v>19</v>
      </c>
      <c r="D2" s="75"/>
    </row>
    <row r="3" spans="2:4" ht="13.8" thickBot="1">
      <c r="B3" s="68" t="s">
        <v>78</v>
      </c>
      <c r="C3" s="76" t="s">
        <v>82</v>
      </c>
      <c r="D3" s="69" t="s">
        <v>79</v>
      </c>
    </row>
    <row r="4" spans="2:4" ht="13.8" thickTop="1">
      <c r="B4" s="12">
        <v>0</v>
      </c>
      <c r="C4" s="77" t="s">
        <v>83</v>
      </c>
      <c r="D4" s="13" t="s">
        <v>19</v>
      </c>
    </row>
    <row r="5" spans="2:4" ht="39.6">
      <c r="B5" s="2">
        <v>1</v>
      </c>
      <c r="C5" s="78" t="s">
        <v>83</v>
      </c>
      <c r="D5" s="80" t="s">
        <v>84</v>
      </c>
    </row>
    <row r="6" spans="2:4" ht="26.4">
      <c r="B6" s="2">
        <v>2</v>
      </c>
      <c r="C6" s="78" t="s">
        <v>86</v>
      </c>
      <c r="D6" s="80" t="s">
        <v>87</v>
      </c>
    </row>
    <row r="7" spans="2:4" ht="52.8">
      <c r="B7" s="2">
        <v>3</v>
      </c>
      <c r="C7" s="78" t="s">
        <v>83</v>
      </c>
      <c r="D7" s="80" t="s">
        <v>90</v>
      </c>
    </row>
    <row r="8" spans="2:4" ht="79.2">
      <c r="B8" s="2">
        <v>4</v>
      </c>
      <c r="C8" s="78" t="s">
        <v>98</v>
      </c>
      <c r="D8" s="80" t="s">
        <v>104</v>
      </c>
    </row>
    <row r="9" spans="2:4" ht="41.25" customHeight="1">
      <c r="B9" s="2">
        <v>5</v>
      </c>
      <c r="C9" s="78" t="s">
        <v>99</v>
      </c>
      <c r="D9" s="80" t="s">
        <v>100</v>
      </c>
    </row>
    <row r="10" spans="2:4" ht="26.4">
      <c r="B10" s="2">
        <v>6</v>
      </c>
      <c r="C10" s="78" t="s">
        <v>83</v>
      </c>
      <c r="D10" s="80" t="s">
        <v>103</v>
      </c>
    </row>
    <row r="11" spans="2:4" ht="26.4">
      <c r="B11" s="2">
        <v>7</v>
      </c>
      <c r="C11" s="78" t="s">
        <v>98</v>
      </c>
      <c r="D11" s="80" t="s">
        <v>102</v>
      </c>
    </row>
    <row r="12" spans="2:4" ht="26.4">
      <c r="B12" s="2">
        <v>8</v>
      </c>
      <c r="C12" s="78" t="s">
        <v>83</v>
      </c>
      <c r="D12" s="80" t="s">
        <v>105</v>
      </c>
    </row>
    <row r="13" spans="2:4" ht="26.4">
      <c r="B13" s="2">
        <v>9</v>
      </c>
      <c r="C13" s="78" t="s">
        <v>83</v>
      </c>
      <c r="D13" s="80" t="s">
        <v>106</v>
      </c>
    </row>
    <row r="14" spans="2:4" ht="26.4">
      <c r="B14" s="2">
        <v>10</v>
      </c>
      <c r="C14" s="78" t="s">
        <v>107</v>
      </c>
      <c r="D14" s="80" t="s">
        <v>108</v>
      </c>
    </row>
    <row r="15" spans="2:4" ht="132">
      <c r="B15" s="2">
        <v>11</v>
      </c>
      <c r="C15" s="78" t="s">
        <v>83</v>
      </c>
      <c r="D15" s="80" t="s">
        <v>119</v>
      </c>
    </row>
    <row r="16" spans="2:4" ht="191.25" customHeight="1">
      <c r="B16" s="2">
        <v>12</v>
      </c>
      <c r="C16" s="78" t="s">
        <v>147</v>
      </c>
      <c r="D16" s="80" t="s">
        <v>156</v>
      </c>
    </row>
    <row r="17" spans="2:4" ht="26.4">
      <c r="B17" s="2">
        <v>13</v>
      </c>
      <c r="C17" s="78" t="s">
        <v>86</v>
      </c>
      <c r="D17" s="80" t="s">
        <v>159</v>
      </c>
    </row>
    <row r="18" spans="2:4" ht="92.4">
      <c r="B18" s="2">
        <v>14</v>
      </c>
      <c r="C18" s="78" t="s">
        <v>86</v>
      </c>
      <c r="D18" s="80" t="s">
        <v>161</v>
      </c>
    </row>
    <row r="19" spans="2:4" ht="39.6">
      <c r="B19" s="2">
        <v>15</v>
      </c>
      <c r="C19" s="78" t="s">
        <v>99</v>
      </c>
      <c r="D19" s="80" t="s">
        <v>165</v>
      </c>
    </row>
    <row r="20" spans="2:4" ht="64.5" customHeight="1">
      <c r="B20" s="2">
        <v>16</v>
      </c>
      <c r="C20" s="78" t="s">
        <v>99</v>
      </c>
      <c r="D20" s="80" t="s">
        <v>167</v>
      </c>
    </row>
    <row r="21" spans="2:4" ht="66.75" customHeight="1">
      <c r="B21" s="2">
        <v>17</v>
      </c>
      <c r="C21" s="78" t="s">
        <v>98</v>
      </c>
      <c r="D21" s="80" t="s">
        <v>205</v>
      </c>
    </row>
    <row r="22" spans="2:4" ht="26.4">
      <c r="B22" s="2">
        <v>18</v>
      </c>
      <c r="C22" s="78" t="s">
        <v>211</v>
      </c>
      <c r="D22" s="80" t="s">
        <v>212</v>
      </c>
    </row>
    <row r="23" spans="2:4" ht="26.4">
      <c r="B23" s="2">
        <v>19</v>
      </c>
      <c r="C23" s="78" t="s">
        <v>211</v>
      </c>
      <c r="D23" s="80" t="s">
        <v>213</v>
      </c>
    </row>
    <row r="24" spans="2:4">
      <c r="B24" s="2"/>
      <c r="C24" s="78"/>
      <c r="D24" s="80"/>
    </row>
    <row r="25" spans="2:4">
      <c r="B25" s="2"/>
      <c r="C25" s="78"/>
      <c r="D25" s="64"/>
    </row>
    <row r="26" spans="2:4">
      <c r="B26" s="2"/>
      <c r="C26" s="78"/>
      <c r="D26" s="64"/>
    </row>
    <row r="27" spans="2:4" ht="13.8"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S_ADBZR_PMAR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Dyan Reyes (DTPH)</cp:lastModifiedBy>
  <dcterms:created xsi:type="dcterms:W3CDTF">2019-02-05T04:25:17Z</dcterms:created>
  <dcterms:modified xsi:type="dcterms:W3CDTF">2025-12-17T23:22:23Z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2025-07-01T07:06:15Z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564cc787-ceaf-47c5-99ef-73905bccd5ef</vt:lpwstr>
  </property>
  <property fmtid="{D5CDD505-2E9C-101B-9397-08002B2CF9AE}" pid="8" name="MSIP_Label_7ed1414a-99f2-46f9-bbe5-740af8d1b502_ContentBits">
    <vt:lpwstr>1</vt:lpwstr>
  </property>
</Properties>
</file>