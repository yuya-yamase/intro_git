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10035azcfs0534.file.core.windows.net\metersoft\開発用\Toyota\BEV\設計成果物_MET\MCU-DT\02設計\00.Common\01.共通パラメータ設計書\04_Memory\04_PreCV\"/>
    </mc:Choice>
  </mc:AlternateContent>
  <xr:revisionPtr revIDLastSave="0" documentId="13_ncr:1_{E9F8A213-4ABC-49DC-83C1-49133BF917CD}" xr6:coauthVersionLast="47" xr6:coauthVersionMax="47" xr10:uidLastSave="{00000000-0000-0000-0000-000000000000}"/>
  <bookViews>
    <workbookView xWindow="23880" yWindow="-120" windowWidth="29040" windowHeight="157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<sst xmlns="http://schemas.openxmlformats.org/spreadsheetml/2006/main" count="980" uniqueCount="393">
  <si>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</si>
  <si>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</si>
  <si>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</si>
  <si>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</si>
  <si>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</si>
  <si>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</si>
  <si>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</si>
  <si>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</si>
  <si>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</si>
  <si>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</si>
  <si>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</si>
  <si>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</si>
  <si>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</si>
  <si>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</si>
  <si>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</si>
  <si>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</si>
  <si>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</si>
  <si>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</si>
  <si>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</si>
  <si>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</si>
  <si>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</si>
  <si>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</si>
  <si>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</si>
  <si>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</si>
  <si>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</si>
  <si>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</si>
  <si>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</si>
  <si>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</si>
  <si>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</si>
  <si>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</si>
  <si>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</si>
  <si>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</si>
  <si>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</si>
  <si>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</si>
  <si>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</si>
  <si>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</si>
  <si>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</si>
  <si>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</si>
  <si>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</si>
  <si>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</si>
  <si>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</si>
  <si>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</si>
  <si>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</si>
  <si>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</si>
  <si>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</si>
  <si>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</si>
  <si>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</si>
  <si>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</si>
  <si>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</si>
  <si>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</si>
  <si>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</si>
  <si>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</si>
  <si>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</si>
  <si>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</si>
  <si>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</si>
  <si>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</si>
  <si>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</si>
  <si>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</si>
  <si>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</si>
  <si>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</si>
  <si>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</si>
  <si>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</si>
  <si>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</si>
  <si>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</si>
  <si>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</si>
  <si>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</si>
  <si>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</si>
  <si>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</si>
  <si>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</si>
  <si>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</si>
  <si>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</si>
  <si>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</si>
  <si>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</si>
  <si>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</si>
  <si>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</si>
  <si>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</si>
  <si>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</si>
  <si>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</si>
  <si>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</si>
  <si>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</si>
  <si>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</si>
  <si>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</si>
  <si>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</si>
  <si>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</si>
  <si>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</si>
  <si>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</si>
  <si>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</si>
  <si>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</si>
  <si>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</si>
  <si>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</si>
  <si>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</si>
  <si>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</si>
  <si>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</si>
  <si>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</si>
  <si>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</si>
  <si>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</si>
  <si>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</si>
  <si>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</si>
  <si>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</si>
  <si>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</si>
  <si>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</si>
  <si>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</si>
  <si>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</si>
  <si>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</si>
  <si>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</si>
  <si>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</si>
  <si>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</si>
  <si>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</si>
  <si>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</si>
  <si>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</si>
  <si>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</si>
  <si>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</si>
  <si>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</si>
  <si>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</si>
  <si>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</si>
  <si>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</si>
  <si>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</si>
  <si>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</si>
  <si>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</si>
  <si>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</si>
  <si>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</si>
  <si>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</si>
  <si>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</si>
  <si>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</si>
  <si>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</si>
  <si>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</si>
  <si>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</si>
  <si>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</si>
  <si>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</si>
  <si>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</si>
  <si>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</si>
  <si>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</si>
  <si>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</si>
  <si>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</si>
  <si>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</si>
  <si>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</si>
  <si>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</si>
  <si>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</si>
  <si>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</si>
  <si>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</si>
  <si>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</si>
  <si>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</si>
  <si>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</si>
  <si>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</si>
  <si>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</si>
  <si>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</si>
  <si>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</si>
  <si>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</si>
  <si>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</si>
  <si>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</si>
  <si>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</si>
  <si>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</si>
  <si>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</si>
  <si>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</si>
  <si>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</si>
  <si>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</si>
  <si>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</si>
  <si>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</si>
  <si>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</si>
  <si>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</si>
  <si>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</si>
  <si>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</si>
  <si>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</si>
  <si>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</si>
  <si>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</si>
  <si>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</si>
  <si>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</si>
  <si>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</si>
  <si>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</si>
  <si>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</si>
  <si>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</si>
  <si>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</si>
  <si>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</si>
  <si>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</si>
  <si>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</si>
  <si>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</si>
  <si>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</si>
  <si>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</si>
  <si>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</si>
  <si>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</si>
  <si>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</si>
  <si>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</si>
  <si>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</si>
  <si>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</si>
  <si>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</si>
  <si>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</si>
  <si>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</si>
  <si>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</si>
  <si>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</si>
  <si>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</si>
  <si>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</si>
  <si>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</si>
  <si>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</si>
  <si>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</si>
  <si>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</si>
  <si>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</si>
  <si>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</si>
  <si>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</si>
  <si>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</si>
  <si>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</si>
  <si>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</si>
  <si>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</si>
  <si>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</si>
  <si>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</si>
  <si>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</si>
  <si>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</si>
  <si>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</si>
  <si>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</si>
  <si>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</si>
  <si>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</si>
  <si>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</si>
  <si>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</si>
  <si>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</si>
  <si>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</si>
  <si>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</si>
  <si>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</si>
  <si>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</si>
  <si>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</si>
  <si>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</si>
  <si>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</si>
  <si>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</si>
  <si>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</si>
  <si>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</si>
  <si>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</si>
  <si>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</si>
  <si>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</si>
  <si>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</si>
  <si>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</si>
  <si>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</si>
  <si>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</si>
  <si>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</si>
  <si>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</si>
  <si>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</si>
  <si>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</si>
  <si>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</si>
  <si>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</si>
  <si>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</si>
  <si>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</si>
  <si>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</si>
  <si>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</si>
  <si>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</si>
  <si>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</si>
  <si>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</si>
  <si>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</si>
  <si>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</si>
  <si>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</si>
  <si>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</si>
  <si>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</si>
  <si>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</si>
  <si>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</si>
  <si>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</si>
  <si>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</si>
  <si>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</si>
  <si>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</si>
  <si>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</si>
  <si>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</si>
  <si>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</si>
  <si>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</si>
  <si>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</si>
  <si>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</si>
  <si>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</si>
  <si>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</si>
  <si>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</si>
  <si>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</si>
  <si>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</si>
  <si>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</si>
  <si>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</si>
  <si>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</si>
  <si>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RIM_MOD_3BRAM_U2_ID_NUM                  (1U)</t>
  </si>
  <si>
    <t>#define RIM_MOD_1BRAM_U2_ID_NUM                  (1U)</t>
  </si>
  <si>
    <t>#define RIM_MOD_3BRAM_U4_ID_NUM                  (1U)</t>
  </si>
  <si>
    <t>#define RIM_MOD_1B2CRAM_U4_ID_NUM                (1U)</t>
  </si>
  <si>
    <t>#define RIM_MOD_3BRAM_OTHER_ID_NUM               (1U)</t>
  </si>
  <si>
    <t>#define RIM_MOD_1BRAM_OTHER_ID_NUM               (1U)</t>
  </si>
  <si>
    <t>#define RIM_MOD_3BRAM_OTHER_BUF_NUM              (1U)</t>
  </si>
  <si>
    <t>#define RIM_MOD_1BRAM_OTHER_BUF_NUM              (1U)</t>
  </si>
  <si>
    <t>#define RIM_MOD_3BRAM_OTHER_ID_CFGMAX            (4U)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</si>
  <si>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</si>
  <si>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</si>
  <si>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</si>
  <si>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</si>
  <si>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</si>
  <si>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</si>
  <si>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</si>
  <si>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</si>
  <si>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</si>
  <si>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</si>
  <si>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</si>
  <si>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</si>
  <si>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</si>
  <si>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</si>
  <si>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</si>
  <si>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</si>
  <si>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</si>
  <si>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</si>
  <si>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</si>
  <si>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</si>
  <si>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</si>
  <si>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</si>
  <si>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</si>
  <si>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</si>
  <si>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</si>
  <si>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</si>
  <si>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</si>
  <si>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</si>
  <si>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</si>
  <si>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</si>
  <si>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</si>
  <si>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</si>
  <si>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</si>
  <si>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</si>
  <si>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</si>
  <si>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</si>
  <si>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</si>
  <si>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</si>
  <si>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</si>
  <si>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</si>
  <si>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</si>
  <si>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</si>
  <si>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</si>
  <si>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</si>
  <si>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</si>
  <si>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</si>
  <si>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</si>
  <si>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</si>
  <si>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</si>
  <si>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</si>
  <si>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</si>
  <si>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</si>
  <si>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</si>
  <si>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</si>
  <si>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</si>
  <si>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</si>
  <si>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</si>
  <si>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</si>
  <si>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</si>
  <si>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</si>
  <si>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</si>
  <si>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</si>
  <si>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</si>
  <si>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</si>
  <si>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</si>
  <si>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</si>
  <si>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</si>
  <si>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</si>
  <si>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</si>
  <si>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</si>
  <si>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</si>
  <si>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1"/>
  </si>
  <si>
    <t>設変符号</t>
  </si>
  <si>
    <t>Ver</t>
    <phoneticPr fontId="14"/>
  </si>
  <si>
    <t>変更内容</t>
    <rPh sb="0" eb="2">
      <t>ヘンコウ</t>
    </rPh>
    <rPh sb="2" eb="4">
      <t>ナイヨウ</t>
    </rPh>
    <phoneticPr fontId="14"/>
  </si>
  <si>
    <t>変更日</t>
    <rPh sb="0" eb="3">
      <t>ヘンコウビ</t>
    </rPh>
    <phoneticPr fontId="14"/>
  </si>
  <si>
    <t>変更者</t>
    <rPh sb="0" eb="2">
      <t>ヘンコウ</t>
    </rPh>
    <rPh sb="2" eb="3">
      <t>シャ</t>
    </rPh>
    <phoneticPr fontId="14"/>
  </si>
  <si>
    <t>▲1</t>
    <phoneticPr fontId="14"/>
  </si>
  <si>
    <t>Ver00</t>
    <phoneticPr fontId="11"/>
  </si>
  <si>
    <t>DT佐古竜基</t>
    <rPh sb="2" eb="6">
      <t>サコリュウキ</t>
    </rPh>
    <phoneticPr fontId="14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</si>
  <si>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4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</si>
  <si>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</si>
  <si>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</si>
  <si>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1"/>
  </si>
  <si>
    <t>検討</t>
    <rPh sb="0" eb="2">
      <t>ケントウ</t>
    </rPh>
    <phoneticPr fontId="11"/>
  </si>
  <si>
    <t>作成</t>
    <rPh sb="0" eb="2">
      <t>サクセイ</t>
    </rPh>
    <phoneticPr fontId="11"/>
  </si>
  <si>
    <t>&lt;DN確認印&gt;</t>
    <rPh sb="3" eb="6">
      <t>カクニンイン</t>
    </rPh>
    <rPh sb="6" eb="7">
      <t>ケンイン</t>
    </rPh>
    <phoneticPr fontId="11"/>
  </si>
  <si>
    <t>&lt;DN検討印&gt;</t>
    <rPh sb="3" eb="5">
      <t>ケントウ</t>
    </rPh>
    <rPh sb="5" eb="6">
      <t>イン</t>
    </rPh>
    <phoneticPr fontId="11"/>
  </si>
  <si>
    <t>&lt;OS作成印&gt;</t>
    <rPh sb="3" eb="5">
      <t>サクセイ</t>
    </rPh>
    <rPh sb="5" eb="6">
      <t>イン</t>
    </rPh>
    <phoneticPr fontId="11"/>
  </si>
  <si>
    <t>デンソーテクノ株式会社</t>
    <rPh sb="7" eb="11">
      <t>カブシキガイシャ</t>
    </rPh>
    <phoneticPr fontId="11"/>
  </si>
  <si>
    <t>&lt;DT確認印&gt;</t>
    <rPh sb="3" eb="6">
      <t>カクニンイン</t>
    </rPh>
    <rPh sb="6" eb="7">
      <t>ケンイン</t>
    </rPh>
    <phoneticPr fontId="11"/>
  </si>
  <si>
    <t>&lt;DT検討印&gt;</t>
    <rPh sb="3" eb="5">
      <t>ケントウ</t>
    </rPh>
    <rPh sb="5" eb="6">
      <t>イン</t>
    </rPh>
    <phoneticPr fontId="11"/>
  </si>
  <si>
    <t>&lt;DT作成印&gt;</t>
    <rPh sb="3" eb="5">
      <t>サクセイ</t>
    </rPh>
    <rPh sb="5" eb="6">
      <t>イン</t>
    </rPh>
    <phoneticPr fontId="11"/>
  </si>
  <si>
    <t>(株)カーネル・ソフト・エンジニアリング</t>
    <rPh sb="0" eb="3">
      <t>カブ</t>
    </rPh>
    <phoneticPr fontId="11"/>
  </si>
  <si>
    <t>&lt;OS確認印&gt;</t>
    <rPh sb="3" eb="6">
      <t>カクニンイン</t>
    </rPh>
    <rPh sb="6" eb="7">
      <t>ケンイン</t>
    </rPh>
    <phoneticPr fontId="11"/>
  </si>
  <si>
    <t>&lt;OS検討印&gt;</t>
    <rPh sb="3" eb="5">
      <t>ケントウ</t>
    </rPh>
    <rPh sb="5" eb="6">
      <t>イン</t>
    </rPh>
    <phoneticPr fontId="11"/>
  </si>
  <si>
    <t xml:space="preserve"> </t>
    <phoneticPr fontId="11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</si>
  <si>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</si>
  <si>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</si>
  <si>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</si>
  <si>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</si>
  <si>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</si>
  <si>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</si>
  <si>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</si>
  <si>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</si>
  <si>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</si>
  <si>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4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</si>
  <si>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</si>
  <si>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4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</si>
  <si>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</si>
  <si>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</si>
  <si>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</si>
  <si>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</si>
  <si>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</si>
  <si>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</si>
  <si>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#define RIM_MOD_3BRAM_U1_ID_NUM                  (5U)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</si>
</sst>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rgb="FFFF0000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0" fillId="7" borderId="0" xfId="1" applyFont="1" applyFill="1" applyAlignment="1">
      <alignment vertical="top"/>
    </xf>
    <xf numFmtId="0" fontId="12" fillId="0" borderId="0" xfId="1" applyFont="1">
      <alignment vertical="center"/>
    </xf>
    <xf numFmtId="0" fontId="12" fillId="0" borderId="0" xfId="1" applyFont="1" applyAlignment="1"/>
    <xf numFmtId="0" fontId="13" fillId="0" borderId="7" xfId="1" applyFont="1" applyBorder="1" applyAlignment="1">
      <alignment horizontal="right"/>
    </xf>
    <xf numFmtId="0" fontId="13" fillId="0" borderId="7" xfId="1" applyFont="1" applyBorder="1" applyAlignment="1"/>
    <xf numFmtId="0" fontId="12" fillId="0" borderId="7" xfId="1" applyFont="1" applyBorder="1" applyAlignment="1"/>
    <xf numFmtId="0" fontId="12" fillId="8" borderId="2" xfId="1" applyFont="1" applyFill="1" applyBorder="1" applyAlignment="1">
      <alignment vertical="top"/>
    </xf>
    <xf numFmtId="0" fontId="12" fillId="8" borderId="2" xfId="1" applyFont="1" applyFill="1" applyBorder="1" applyAlignment="1">
      <alignment horizontal="center" vertical="top"/>
    </xf>
    <xf numFmtId="0" fontId="12" fillId="8" borderId="1" xfId="1" applyFont="1" applyFill="1" applyBorder="1" applyAlignment="1">
      <alignment horizontal="center" vertical="top"/>
    </xf>
    <xf numFmtId="0" fontId="12" fillId="9" borderId="2" xfId="1" applyFont="1" applyFill="1" applyBorder="1">
      <alignment vertical="center"/>
    </xf>
    <xf numFmtId="0" fontId="12" fillId="9" borderId="9" xfId="1" applyFont="1" applyFill="1" applyBorder="1" applyAlignment="1">
      <alignment horizontal="center" vertical="center"/>
    </xf>
    <xf numFmtId="0" fontId="12" fillId="9" borderId="10" xfId="1" applyFont="1" applyFill="1" applyBorder="1" applyAlignment="1">
      <alignment horizontal="center" vertical="center"/>
    </xf>
    <xf numFmtId="0" fontId="12" fillId="9" borderId="2" xfId="1" applyFont="1" applyFill="1" applyBorder="1" applyAlignment="1">
      <alignment vertical="center" wrapText="1"/>
    </xf>
    <xf numFmtId="14" fontId="12" fillId="9" borderId="1" xfId="1" applyNumberFormat="1" applyFont="1" applyFill="1" applyBorder="1" applyAlignment="1">
      <alignment horizontal="center" vertical="center"/>
    </xf>
    <xf numFmtId="0" fontId="12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2" fillId="9" borderId="11" xfId="1" applyFont="1" applyFill="1" applyBorder="1" applyAlignment="1">
      <alignment horizontal="center" vertical="center"/>
    </xf>
    <xf numFmtId="0" fontId="12" fillId="0" borderId="1" xfId="2" applyFont="1" applyBorder="1" applyAlignment="1">
      <alignment vertical="center" wrapText="1"/>
    </xf>
    <xf numFmtId="14" fontId="12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2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1" fillId="0" borderId="0" xfId="4">
      <alignment vertical="center"/>
    </xf>
    <xf numFmtId="0" fontId="23" fillId="0" borderId="0" xfId="4" applyFo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top"/>
    </xf>
    <xf numFmtId="0" fontId="12" fillId="8" borderId="8" xfId="1" applyFont="1" applyFill="1" applyBorder="1" applyAlignment="1">
      <alignment horizontal="center" vertical="top"/>
    </xf>
    <xf numFmtId="0" fontId="12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30</xdr:row>
      <xdr:rowOff>28575</xdr:rowOff>
    </xdr:from>
    <xdr:to>
      <xdr:col>12</xdr:col>
      <xdr:colOff>533400</xdr:colOff>
      <xdr:row>48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24250" y="473392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&#38283;&#30330;&#29992;/Toyota/19PFv3/&#12477;&#12501;&#12488;/&#38283;&#30330;&#38306;&#20418;&#65298;/02.Design/03.SoftDoc/04.CV/00.Common/01.&#20849;&#36890;&#12497;&#12521;&#12513;&#12540;&#12479;&#35373;&#35336;&#26360;/04_Memory/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&#38283;&#30330;&#29992;/Toyota/BEV/&#35373;&#35336;&#25104;&#26524;&#29289;_MET/MCU-DT/02&#35373;&#35336;/00.Common/01.&#20849;&#36890;&#12497;&#12521;&#12513;&#12540;&#12479;&#35373;&#35336;&#26360;/04_Memory/03_PreCV/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特性"/>
      <sheetName val="ChoiceValues"/>
      <sheetName val="Dropdowns"/>
      <sheetName val="緊急度"/>
      <sheetName val="電源ボード"/>
      <sheetName val="ブラウザ遷移"/>
      <sheetName val="アミューズメント連携"/>
      <sheetName val="V200複合試験_担当分け_(2)"/>
      <sheetName val="03_リスト"/>
      <sheetName val="17CY利用OSS"/>
      <sheetName val="リスト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Summary"/>
      <sheetName val="データ定義"/>
      <sheetName val="Version"/>
      <sheetName val="Cooling Unit"/>
      <sheetName val="★DropDown"/>
      <sheetName val="加工費"/>
      <sheetName val="Spec_List_(19MC-DCM)_"/>
      <sheetName val="ﾃﾞｰﾀﾍﾞｰｽ"/>
      <sheetName val="凡例・注記記載用"/>
      <sheetName val="R32C_116グループ（144Pin版）"/>
      <sheetName val="MN103SH40Q"/>
      <sheetName val="Inf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表紙"/>
      <sheetName val="index"/>
      <sheetName val="材料受差"/>
      <sheetName val="選定一覧"/>
      <sheetName val="入力リスト"/>
      <sheetName val="rom map"/>
      <sheetName val="メニュー画面"/>
      <sheetName val="DataList"/>
      <sheetName val="議事・勧告一覧"/>
      <sheetName val="前提書情報"/>
      <sheetName val="工数ｺｰﾄﾞﾌﾟﾙﾀﾞｳﾝﾘｽﾄ"/>
      <sheetName val="字段定义"/>
      <sheetName val="Cover"/>
      <sheetName val="投資ﾌｫﾛｰ"/>
      <sheetName val="説明"/>
      <sheetName val="祝日"/>
      <sheetName val="車両仕様"/>
      <sheetName val="#REF!"/>
      <sheetName val="選択リスト"/>
      <sheetName val="DataInputRule"/>
      <sheetName val="信息定义"/>
      <sheetName val="Q&amp;A確認"/>
      <sheetName val="Sheet1"/>
      <sheetName val="⑥フューエル"/>
      <sheetName val="改訂履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1">
          <cell r="A1">
            <v>0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1">
          <cell r="A1">
            <v>0</v>
          </cell>
        </row>
      </sheetData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CS2_SmcDriverインテグ項目"/>
      <sheetName val="Sector Assignment"/>
      <sheetName val="パラメータ設定表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追加検討（調光外部出力）"/>
      <sheetName val="vocabulary"/>
      <sheetName val="Calibration"/>
      <sheetName val="CVBS"/>
      <sheetName val="RGB"/>
      <sheetName val="option"/>
      <sheetName val="課題管理"/>
      <sheetName val="C-55227AB"/>
      <sheetName val="Data Definition"/>
      <sheetName val="FC_まとめる"/>
      <sheetName val="車両仕様_4___x0011__x00"/>
      <sheetName val="ドメインリスト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FMEA記載方法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#入力規則"/>
      <sheetName val="リストデータ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パラメータ一覧(AXSS.AXCS)"/>
      <sheetName val="設定値定義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/>
      <sheetData sheetId="313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3">
          <cell r="B3" t="str">
            <v>TOYOTA   TSUSHO  PHILIPPINES CORPORATION</v>
          </cell>
        </row>
      </sheetData>
      <sheetData sheetId="440">
        <row r="3">
          <cell r="B3" t="str">
            <v>TOYOTA   TSUSHO  PHILIPPINES CORPORATION</v>
          </cell>
        </row>
      </sheetData>
      <sheetData sheetId="441">
        <row r="3">
          <cell r="B3" t="str">
            <v>TOYOTA   TSUSHO  PHILIPPINES CORPORATION</v>
          </cell>
        </row>
      </sheetData>
      <sheetData sheetId="442">
        <row r="3">
          <cell r="B3" t="str">
            <v>TOYOTA   TSUSHO  PHILIPPINES CORPORATION</v>
          </cell>
        </row>
      </sheetData>
      <sheetData sheetId="443">
        <row r="3">
          <cell r="B3" t="str">
            <v>TOYOTA   TSUSHO  PHILIPPINES CORPORATION</v>
          </cell>
        </row>
      </sheetData>
      <sheetData sheetId="444">
        <row r="3">
          <cell r="B3" t="str">
            <v>TOYOTA   TSUSHO  PHILIPPINES CORPORATION</v>
          </cell>
        </row>
      </sheetData>
      <sheetData sheetId="445">
        <row r="3">
          <cell r="B3" t="str">
            <v>TOYOTA   TSUSHO  PHILIPPINES CORPORATION</v>
          </cell>
        </row>
      </sheetData>
      <sheetData sheetId="446">
        <row r="3">
          <cell r="B3" t="str">
            <v>TOYOTA   TSUSHO  PHILIPPINES CORPORATION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B1" t="str">
            <v>1</v>
          </cell>
        </row>
      </sheetData>
      <sheetData sheetId="454">
        <row r="1">
          <cell r="B1" t="str">
            <v>1</v>
          </cell>
        </row>
      </sheetData>
      <sheetData sheetId="455">
        <row r="1">
          <cell r="B1" t="str">
            <v>1</v>
          </cell>
        </row>
      </sheetData>
      <sheetData sheetId="456">
        <row r="1">
          <cell r="B1" t="str">
            <v>1</v>
          </cell>
        </row>
      </sheetData>
      <sheetData sheetId="457">
        <row r="1">
          <cell r="B1" t="str">
            <v>1</v>
          </cell>
        </row>
      </sheetData>
      <sheetData sheetId="458">
        <row r="1">
          <cell r="B1" t="str">
            <v>1</v>
          </cell>
        </row>
      </sheetData>
      <sheetData sheetId="459">
        <row r="1">
          <cell r="B1" t="str">
            <v>1</v>
          </cell>
        </row>
      </sheetData>
      <sheetData sheetId="460">
        <row r="1">
          <cell r="B1" t="str">
            <v>1</v>
          </cell>
        </row>
      </sheetData>
      <sheetData sheetId="461">
        <row r="1">
          <cell r="B1" t="str">
            <v>1</v>
          </cell>
        </row>
      </sheetData>
      <sheetData sheetId="462">
        <row r="1">
          <cell r="B1" t="str">
            <v>1</v>
          </cell>
        </row>
      </sheetData>
      <sheetData sheetId="463">
        <row r="1">
          <cell r="B1" t="str">
            <v>1</v>
          </cell>
        </row>
      </sheetData>
      <sheetData sheetId="464">
        <row r="1">
          <cell r="B1" t="str">
            <v>1</v>
          </cell>
        </row>
      </sheetData>
      <sheetData sheetId="465">
        <row r="1">
          <cell r="B1" t="str">
            <v>1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B1" t="str">
            <v>1</v>
          </cell>
        </row>
      </sheetData>
      <sheetData sheetId="491">
        <row r="1">
          <cell r="B1" t="str">
            <v>1</v>
          </cell>
        </row>
      </sheetData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B1" t="str">
            <v>1</v>
          </cell>
        </row>
      </sheetData>
      <sheetData sheetId="500">
        <row r="1">
          <cell r="B1" t="str">
            <v>1</v>
          </cell>
        </row>
      </sheetData>
      <sheetData sheetId="501">
        <row r="1">
          <cell r="B1" t="str">
            <v>1</v>
          </cell>
        </row>
      </sheetData>
      <sheetData sheetId="502">
        <row r="1">
          <cell r="B1" t="str">
            <v>1</v>
          </cell>
        </row>
      </sheetData>
      <sheetData sheetId="503">
        <row r="1">
          <cell r="B1" t="str">
            <v>1</v>
          </cell>
        </row>
      </sheetData>
      <sheetData sheetId="504">
        <row r="1">
          <cell r="B1" t="str">
            <v>1</v>
          </cell>
        </row>
      </sheetData>
      <sheetData sheetId="505">
        <row r="1">
          <cell r="B1" t="str">
            <v>1</v>
          </cell>
        </row>
      </sheetData>
      <sheetData sheetId="506">
        <row r="1">
          <cell r="B1" t="str">
            <v>1</v>
          </cell>
        </row>
      </sheetData>
      <sheetData sheetId="507">
        <row r="1">
          <cell r="B1" t="str">
            <v>1</v>
          </cell>
        </row>
      </sheetData>
      <sheetData sheetId="508">
        <row r="1">
          <cell r="B1" t="str">
            <v>1</v>
          </cell>
        </row>
      </sheetData>
      <sheetData sheetId="509">
        <row r="1">
          <cell r="B1" t="str">
            <v>1</v>
          </cell>
        </row>
      </sheetData>
      <sheetData sheetId="510">
        <row r="1">
          <cell r="B1" t="str">
            <v>1</v>
          </cell>
        </row>
      </sheetData>
      <sheetData sheetId="511">
        <row r="1">
          <cell r="B1" t="str">
            <v>1</v>
          </cell>
        </row>
      </sheetData>
      <sheetData sheetId="512">
        <row r="1">
          <cell r="B1" t="str">
            <v>1</v>
          </cell>
        </row>
      </sheetData>
      <sheetData sheetId="513">
        <row r="1">
          <cell r="B1" t="str">
            <v>1</v>
          </cell>
        </row>
      </sheetData>
      <sheetData sheetId="514">
        <row r="1">
          <cell r="B1" t="str">
            <v>1</v>
          </cell>
        </row>
      </sheetData>
      <sheetData sheetId="515">
        <row r="1">
          <cell r="B1" t="str">
            <v>1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B1" t="str">
            <v>1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B1" t="str">
            <v>1</v>
          </cell>
        </row>
      </sheetData>
      <sheetData sheetId="655">
        <row r="1">
          <cell r="B1" t="str">
            <v>1</v>
          </cell>
        </row>
      </sheetData>
      <sheetData sheetId="656">
        <row r="1">
          <cell r="B1" t="str">
            <v>1</v>
          </cell>
        </row>
      </sheetData>
      <sheetData sheetId="657">
        <row r="1">
          <cell r="B1" t="str">
            <v>1</v>
          </cell>
        </row>
      </sheetData>
      <sheetData sheetId="658">
        <row r="1">
          <cell r="B1" t="str">
            <v>1</v>
          </cell>
        </row>
      </sheetData>
      <sheetData sheetId="659">
        <row r="1">
          <cell r="B1" t="str">
            <v>1</v>
          </cell>
        </row>
      </sheetData>
      <sheetData sheetId="660">
        <row r="1">
          <cell r="B1" t="str">
            <v>1</v>
          </cell>
        </row>
      </sheetData>
      <sheetData sheetId="661">
        <row r="1">
          <cell r="B1" t="str">
            <v>1</v>
          </cell>
        </row>
      </sheetData>
      <sheetData sheetId="662">
        <row r="1">
          <cell r="B1" t="str">
            <v>1</v>
          </cell>
        </row>
      </sheetData>
      <sheetData sheetId="663">
        <row r="1">
          <cell r="B1" t="str">
            <v>1</v>
          </cell>
        </row>
      </sheetData>
      <sheetData sheetId="664">
        <row r="1">
          <cell r="B1" t="str">
            <v>1</v>
          </cell>
        </row>
      </sheetData>
      <sheetData sheetId="665">
        <row r="1">
          <cell r="B1" t="str">
            <v>1</v>
          </cell>
        </row>
      </sheetData>
      <sheetData sheetId="666">
        <row r="1">
          <cell r="B1" t="str">
            <v>1</v>
          </cell>
        </row>
      </sheetData>
      <sheetData sheetId="667">
        <row r="1">
          <cell r="B1" t="str">
            <v>1</v>
          </cell>
        </row>
      </sheetData>
      <sheetData sheetId="668">
        <row r="1">
          <cell r="B1" t="str">
            <v>1</v>
          </cell>
        </row>
      </sheetData>
      <sheetData sheetId="669">
        <row r="1">
          <cell r="B1" t="str">
            <v>1</v>
          </cell>
        </row>
      </sheetData>
      <sheetData sheetId="670">
        <row r="1">
          <cell r="B1" t="str">
            <v>1</v>
          </cell>
        </row>
      </sheetData>
      <sheetData sheetId="671">
        <row r="1">
          <cell r="B1" t="str">
            <v>1</v>
          </cell>
        </row>
      </sheetData>
      <sheetData sheetId="672">
        <row r="1">
          <cell r="B1" t="str">
            <v>1</v>
          </cell>
        </row>
      </sheetData>
      <sheetData sheetId="673">
        <row r="1">
          <cell r="B1" t="str">
            <v>1</v>
          </cell>
        </row>
      </sheetData>
      <sheetData sheetId="674">
        <row r="1">
          <cell r="B1" t="str">
            <v>1</v>
          </cell>
        </row>
      </sheetData>
      <sheetData sheetId="675">
        <row r="1">
          <cell r="B1" t="str">
            <v>1</v>
          </cell>
        </row>
      </sheetData>
      <sheetData sheetId="676">
        <row r="1">
          <cell r="B1" t="str">
            <v>1</v>
          </cell>
        </row>
      </sheetData>
      <sheetData sheetId="677">
        <row r="1">
          <cell r="B1" t="str">
            <v>1</v>
          </cell>
        </row>
      </sheetData>
      <sheetData sheetId="678">
        <row r="1">
          <cell r="B1" t="str">
            <v>1</v>
          </cell>
        </row>
      </sheetData>
      <sheetData sheetId="679">
        <row r="1">
          <cell r="B1" t="str">
            <v>1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B1" t="str">
            <v>1</v>
          </cell>
        </row>
      </sheetData>
      <sheetData sheetId="682">
        <row r="1">
          <cell r="B1" t="str">
            <v>1</v>
          </cell>
        </row>
      </sheetData>
      <sheetData sheetId="683">
        <row r="1">
          <cell r="B1" t="str">
            <v>1</v>
          </cell>
        </row>
      </sheetData>
      <sheetData sheetId="684">
        <row r="1">
          <cell r="B1" t="str">
            <v>1</v>
          </cell>
        </row>
      </sheetData>
      <sheetData sheetId="685">
        <row r="1">
          <cell r="B1" t="str">
            <v>1</v>
          </cell>
        </row>
      </sheetData>
      <sheetData sheetId="686">
        <row r="1">
          <cell r="B1" t="str">
            <v>1</v>
          </cell>
        </row>
      </sheetData>
      <sheetData sheetId="687">
        <row r="1">
          <cell r="B1" t="str">
            <v>1</v>
          </cell>
        </row>
      </sheetData>
      <sheetData sheetId="688">
        <row r="1">
          <cell r="B1" t="str">
            <v>1</v>
          </cell>
        </row>
      </sheetData>
      <sheetData sheetId="689">
        <row r="1">
          <cell r="B1" t="str">
            <v>1</v>
          </cell>
        </row>
      </sheetData>
      <sheetData sheetId="690">
        <row r="1">
          <cell r="B1" t="str">
            <v>1</v>
          </cell>
        </row>
      </sheetData>
      <sheetData sheetId="691">
        <row r="1">
          <cell r="B1" t="str">
            <v>1</v>
          </cell>
        </row>
      </sheetData>
      <sheetData sheetId="692">
        <row r="1">
          <cell r="B1" t="str">
            <v>1</v>
          </cell>
        </row>
      </sheetData>
      <sheetData sheetId="693">
        <row r="1">
          <cell r="B1" t="str">
            <v>1</v>
          </cell>
        </row>
      </sheetData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B1" t="str">
            <v>1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B1" t="str">
            <v>1</v>
          </cell>
        </row>
      </sheetData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/>
      <sheetData sheetId="1293"/>
      <sheetData sheetId="1294"/>
      <sheetData sheetId="1295" refreshError="1"/>
      <sheetData sheetId="1296" refreshError="1"/>
      <sheetData sheetId="1297">
        <row r="1">
          <cell r="B1" t="str">
            <v>1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B1" t="str">
            <v>1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 refreshError="1"/>
      <sheetData sheetId="1456">
        <row r="3">
          <cell r="C3" t="str">
            <v>2022年</v>
          </cell>
        </row>
      </sheetData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/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車両仕様"/>
      <sheetName val="Sheet1"/>
      <sheetName val="階層一覧"/>
      <sheetName val="1.概述"/>
      <sheetName val="信息定义"/>
      <sheetName val="リスト"/>
      <sheetName val="Inf"/>
      <sheetName val="0.Definitions"/>
      <sheetName val="用語集"/>
      <sheetName val="パラメータ一覧(AXSS.AXCS)"/>
      <sheetName val="ガイド"/>
      <sheetName val="選択肢定義"/>
      <sheetName val="集計(1)"/>
      <sheetName val="②P071中計　工数パターン1312更新"/>
      <sheetName val="发行控制"/>
      <sheetName val="ドメイン一覧"/>
      <sheetName val="設計・評価方針"/>
      <sheetName val="602B変更要件"/>
      <sheetName val="locaup_app"/>
      <sheetName val="mapReg(4)"/>
      <sheetName val="前提書情報"/>
      <sheetName val="工数ｺｰﾄﾞﾌﾟﾙﾀﾞｳﾝﾘｽﾄ"/>
      <sheetName val="パラメータ設定表"/>
      <sheetName val="nearURL"/>
      <sheetName val="PullDown"/>
      <sheetName val="調査シート"/>
      <sheetName val="設定"/>
      <sheetName val="Data Definition"/>
      <sheetName val="main"/>
      <sheetName val="選定一覧"/>
      <sheetName val="Q&amp;A確認"/>
      <sheetName val="改訂履歴"/>
      <sheetName val="集計"/>
      <sheetName val="議事・勧告一覧"/>
      <sheetName val="分类数据"/>
      <sheetName val="会社情報"/>
      <sheetName val="集計ﾘｽﾄ"/>
      <sheetName val="ユーザー選択肢定義"/>
      <sheetName val="追加検討（調光外部出力）"/>
      <sheetName val="format"/>
      <sheetName val="引言"/>
      <sheetName val="#REF!"/>
      <sheetName val="Contents"/>
      <sheetName val="Q&amp;A"/>
      <sheetName val="rom map"/>
      <sheetName val="計画AUDIO"/>
      <sheetName val="List"/>
      <sheetName val="要求仕様Ｑ＆Ａ-ソフト"/>
      <sheetName val="集計表"/>
      <sheetName val="Func.Sha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②P071中計　工数パターン1312更新"/>
      <sheetName val="選定一覧"/>
      <sheetName val="format"/>
      <sheetName val="パラメータ設定表"/>
      <sheetName val="PullDown"/>
      <sheetName val="調査シート"/>
      <sheetName val="改訂履歴"/>
      <sheetName val="Sheet1"/>
      <sheetName val="Inf"/>
      <sheetName val="集計"/>
      <sheetName val="議事・勧告一覧"/>
      <sheetName val="1.概述"/>
      <sheetName val="車両仕様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Inf"/>
      <sheetName val="Sheet1"/>
      <sheetName val="Q&amp;A確認"/>
      <sheetName val="集計"/>
      <sheetName val="パラメータ設定表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バリエーションソフト一覧"/>
      <sheetName val="PinNo別依存有無一覧"/>
      <sheetName val="改訂履歴"/>
      <sheetName val="Q&amp;A"/>
      <sheetName val="DataTabl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信息定义"/>
      <sheetName val="ドメイン一覧"/>
      <sheetName val="リスト"/>
      <sheetName val="RAM_FMEA_CS（FMEA記載方法）"/>
      <sheetName val="rom map"/>
      <sheetName val="選択肢定義"/>
      <sheetName val="集計(1)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入力リスト"/>
      <sheetName val="XSSマイコン依存部 (基本設定)"/>
      <sheetName val="分类数据"/>
      <sheetName val="Func.Share"/>
      <sheetName val="入力_イベント_状態"/>
      <sheetName val="リスト"/>
      <sheetName val="Inf"/>
      <sheetName val="パラメータ設定表"/>
      <sheetName val="Sheet1"/>
      <sheetName val="議事・勧告一覧"/>
      <sheetName val="Q&amp;A確認"/>
      <sheetName val="集計"/>
      <sheetName val="車両仕様"/>
      <sheetName val="検査シート"/>
      <sheetName val="1.概述"/>
      <sheetName val="多言語翻訳リスト"/>
      <sheetName val="ドメイン一覧"/>
      <sheetName val="選択肢定義"/>
      <sheetName val="集計(1)"/>
      <sheetName val="ガイド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②P071中計　工数パターン1312更新"/>
      <sheetName val="調査シート"/>
      <sheetName val="前提書情報"/>
      <sheetName val="工数ｺｰﾄﾞﾌﾟﾙﾀﾞｳﾝﾘｽﾄ"/>
      <sheetName val="改訂履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64" customWidth="1"/>
    <col min="53" max="16384" width="8.125" style="64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5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6" t="str">
        <f ca="1">MID(CELL("filename",A1),FIND("[",CELL("filename",A1))+1,FIND("]",CELL("filename",A1))-FIND("[",CELL("filename",A1))-1)</f>
        <v>BEV_CDC_VM2_RIM_Parameter_Setting.xlsm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7"/>
      <c r="V32" s="67"/>
    </row>
    <row r="33" spans="3:39" ht="13.15" customHeight="1" x14ac:dyDescent="0.15">
      <c r="M33" s="68"/>
      <c r="N33" s="68"/>
      <c r="O33" s="68"/>
      <c r="P33" s="68"/>
      <c r="Q33" s="68"/>
      <c r="AF33" s="68"/>
      <c r="AG33" s="68"/>
      <c r="AH33" s="68"/>
      <c r="AI33" s="68"/>
      <c r="AJ33" s="68"/>
    </row>
    <row r="34" spans="3:39" ht="13.15" customHeight="1" x14ac:dyDescent="0.15">
      <c r="Y34" s="67" t="s">
        <v>359</v>
      </c>
    </row>
    <row r="35" spans="3:39" ht="13.15" customHeight="1" x14ac:dyDescent="0.15">
      <c r="Y35" s="86" t="s">
        <v>360</v>
      </c>
      <c r="Z35" s="87"/>
      <c r="AA35" s="87"/>
      <c r="AB35" s="87"/>
      <c r="AC35" s="88"/>
      <c r="AD35" s="86" t="s">
        <v>361</v>
      </c>
      <c r="AE35" s="87"/>
      <c r="AF35" s="87"/>
      <c r="AG35" s="87"/>
      <c r="AH35" s="88"/>
      <c r="AI35" s="86" t="s">
        <v>362</v>
      </c>
      <c r="AJ35" s="87"/>
      <c r="AK35" s="87"/>
      <c r="AL35" s="87"/>
      <c r="AM35" s="88"/>
    </row>
    <row r="36" spans="3:39" ht="13.15" customHeight="1" x14ac:dyDescent="0.15">
      <c r="D36" s="68"/>
      <c r="E36" s="69"/>
      <c r="F36" s="68"/>
      <c r="G36" s="68"/>
      <c r="I36" s="68"/>
      <c r="J36" s="69"/>
      <c r="K36" s="68"/>
      <c r="L36" s="68"/>
      <c r="M36" s="68"/>
      <c r="N36" s="68"/>
      <c r="O36" s="69"/>
      <c r="P36" s="68"/>
      <c r="Q36" s="68"/>
      <c r="W36" s="68"/>
      <c r="X36" s="69"/>
      <c r="Y36" s="70"/>
      <c r="Z36" s="71"/>
      <c r="AA36" s="71"/>
      <c r="AB36" s="71"/>
      <c r="AC36" s="72"/>
      <c r="AD36" s="70"/>
      <c r="AE36" s="71"/>
      <c r="AF36" s="71"/>
      <c r="AG36" s="71"/>
      <c r="AH36" s="72"/>
      <c r="AI36" s="70"/>
      <c r="AJ36" s="71"/>
      <c r="AK36" s="71"/>
      <c r="AL36" s="71"/>
      <c r="AM36" s="72"/>
    </row>
    <row r="37" spans="3:39" ht="13.15" customHeight="1" x14ac:dyDescent="0.15">
      <c r="Y37" s="73"/>
      <c r="AC37" s="74"/>
      <c r="AD37" s="73"/>
      <c r="AH37" s="74"/>
      <c r="AI37" s="73"/>
      <c r="AM37" s="74"/>
    </row>
    <row r="38" spans="3:39" ht="13.15" customHeight="1" x14ac:dyDescent="0.15">
      <c r="Y38" s="73"/>
      <c r="Z38" s="68"/>
      <c r="AA38" s="69" t="s">
        <v>363</v>
      </c>
      <c r="AB38" s="68"/>
      <c r="AC38" s="75"/>
      <c r="AD38" s="73"/>
      <c r="AE38" s="68"/>
      <c r="AF38" s="69" t="s">
        <v>364</v>
      </c>
      <c r="AG38" s="68"/>
      <c r="AH38" s="75"/>
      <c r="AI38" s="76"/>
      <c r="AJ38" s="68"/>
      <c r="AK38" s="69" t="s">
        <v>365</v>
      </c>
      <c r="AL38" s="68"/>
      <c r="AM38" s="75"/>
    </row>
    <row r="39" spans="3:39" ht="13.15" customHeight="1" x14ac:dyDescent="0.15">
      <c r="Y39" s="73"/>
      <c r="AC39" s="74"/>
      <c r="AD39" s="73"/>
      <c r="AH39" s="74"/>
      <c r="AI39" s="73"/>
      <c r="AM39" s="74"/>
    </row>
    <row r="40" spans="3:39" ht="13.15" customHeight="1" x14ac:dyDescent="0.15">
      <c r="C40" s="67"/>
      <c r="V40" s="67"/>
      <c r="Y40" s="77"/>
      <c r="Z40" s="78"/>
      <c r="AA40" s="78"/>
      <c r="AB40" s="78"/>
      <c r="AC40" s="79"/>
      <c r="AD40" s="77"/>
      <c r="AE40" s="78"/>
      <c r="AF40" s="78"/>
      <c r="AG40" s="78"/>
      <c r="AH40" s="79"/>
      <c r="AI40" s="77"/>
      <c r="AJ40" s="78"/>
      <c r="AK40" s="78"/>
      <c r="AL40" s="78"/>
      <c r="AM40" s="79"/>
    </row>
    <row r="41" spans="3:39" ht="13.15" customHeight="1" x14ac:dyDescent="0.15"/>
    <row r="42" spans="3:39" ht="13.15" customHeight="1" x14ac:dyDescent="0.15">
      <c r="Y42" s="67" t="s">
        <v>366</v>
      </c>
    </row>
    <row r="43" spans="3:39" ht="13.15" customHeight="1" x14ac:dyDescent="0.15">
      <c r="Y43" s="86" t="s">
        <v>360</v>
      </c>
      <c r="Z43" s="87"/>
      <c r="AA43" s="87"/>
      <c r="AB43" s="87"/>
      <c r="AC43" s="88"/>
      <c r="AD43" s="86" t="s">
        <v>361</v>
      </c>
      <c r="AE43" s="87"/>
      <c r="AF43" s="87"/>
      <c r="AG43" s="87"/>
      <c r="AH43" s="88"/>
      <c r="AI43" s="86" t="s">
        <v>362</v>
      </c>
      <c r="AJ43" s="87"/>
      <c r="AK43" s="87"/>
      <c r="AL43" s="87"/>
      <c r="AM43" s="88"/>
    </row>
    <row r="44" spans="3:39" ht="13.15" customHeight="1" x14ac:dyDescent="0.15">
      <c r="D44" s="68"/>
      <c r="E44" s="69"/>
      <c r="F44" s="68"/>
      <c r="G44" s="68"/>
      <c r="H44" s="68"/>
      <c r="I44" s="68"/>
      <c r="J44" s="69"/>
      <c r="K44" s="68"/>
      <c r="L44" s="68"/>
      <c r="M44" s="68"/>
      <c r="N44" s="68"/>
      <c r="O44" s="69"/>
      <c r="P44" s="68"/>
      <c r="Q44" s="68"/>
      <c r="W44" s="68"/>
      <c r="X44" s="69"/>
      <c r="Y44" s="70"/>
      <c r="Z44" s="71"/>
      <c r="AA44" s="71"/>
      <c r="AB44" s="71"/>
      <c r="AC44" s="72"/>
      <c r="AD44" s="71"/>
      <c r="AE44" s="71"/>
      <c r="AF44" s="71"/>
      <c r="AG44" s="71"/>
      <c r="AH44" s="72"/>
      <c r="AI44" s="70"/>
      <c r="AJ44" s="71"/>
      <c r="AK44" s="71"/>
      <c r="AL44" s="71"/>
      <c r="AM44" s="72"/>
    </row>
    <row r="45" spans="3:39" ht="13.15" customHeight="1" x14ac:dyDescent="0.15">
      <c r="Y45" s="73"/>
      <c r="AC45" s="74"/>
      <c r="AH45" s="74"/>
      <c r="AI45" s="73"/>
      <c r="AM45" s="74"/>
    </row>
    <row r="46" spans="3:39" ht="13.15" customHeight="1" x14ac:dyDescent="0.15">
      <c r="Y46" s="73"/>
      <c r="Z46" s="68"/>
      <c r="AA46" s="69" t="s">
        <v>367</v>
      </c>
      <c r="AB46" s="68"/>
      <c r="AC46" s="75"/>
      <c r="AD46" s="68"/>
      <c r="AE46" s="68"/>
      <c r="AF46" s="69" t="s">
        <v>368</v>
      </c>
      <c r="AG46" s="68"/>
      <c r="AH46" s="75"/>
      <c r="AI46" s="76"/>
      <c r="AJ46" s="68"/>
      <c r="AK46" s="69" t="s">
        <v>369</v>
      </c>
      <c r="AL46" s="68"/>
      <c r="AM46" s="75"/>
    </row>
    <row r="47" spans="3:39" ht="13.15" customHeight="1" x14ac:dyDescent="0.15">
      <c r="Y47" s="73"/>
      <c r="AC47" s="74"/>
      <c r="AH47" s="74"/>
      <c r="AI47" s="73"/>
      <c r="AM47" s="74"/>
    </row>
    <row r="48" spans="3:39" ht="13.15" customHeight="1" x14ac:dyDescent="0.15">
      <c r="C48" s="67"/>
      <c r="V48" s="67"/>
      <c r="Y48" s="77"/>
      <c r="Z48" s="78"/>
      <c r="AA48" s="78"/>
      <c r="AB48" s="78"/>
      <c r="AC48" s="79"/>
      <c r="AD48" s="78"/>
      <c r="AE48" s="78"/>
      <c r="AF48" s="78"/>
      <c r="AG48" s="78"/>
      <c r="AH48" s="79"/>
      <c r="AI48" s="77"/>
      <c r="AJ48" s="78"/>
      <c r="AK48" s="78"/>
      <c r="AL48" s="78"/>
      <c r="AM48" s="79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0"/>
      <c r="Y50" s="81" t="s">
        <v>370</v>
      </c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0"/>
      <c r="Y51" s="86" t="s">
        <v>360</v>
      </c>
      <c r="Z51" s="87"/>
      <c r="AA51" s="87"/>
      <c r="AB51" s="87"/>
      <c r="AC51" s="88"/>
      <c r="AD51" s="86" t="s">
        <v>361</v>
      </c>
      <c r="AE51" s="87"/>
      <c r="AF51" s="87"/>
      <c r="AG51" s="87"/>
      <c r="AH51" s="88"/>
      <c r="AI51" s="86" t="s">
        <v>362</v>
      </c>
      <c r="AJ51" s="87"/>
      <c r="AK51" s="87"/>
      <c r="AL51" s="87"/>
      <c r="AM51" s="88"/>
    </row>
    <row r="52" spans="4:39" ht="13.15" customHeight="1" x14ac:dyDescent="0.15">
      <c r="D52" s="68"/>
      <c r="E52" s="69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69"/>
      <c r="W52" s="68"/>
      <c r="X52" s="69"/>
      <c r="Y52" s="70"/>
      <c r="Z52" s="71"/>
      <c r="AA52" s="71"/>
      <c r="AB52" s="71"/>
      <c r="AC52" s="72"/>
      <c r="AD52" s="71"/>
      <c r="AE52" s="71"/>
      <c r="AF52" s="71"/>
      <c r="AG52" s="71"/>
      <c r="AH52" s="72"/>
      <c r="AI52" s="70"/>
      <c r="AJ52" s="71"/>
      <c r="AK52" s="71"/>
      <c r="AL52" s="71"/>
      <c r="AM52" s="72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0"/>
      <c r="Y53" s="73"/>
      <c r="Z53" s="80"/>
      <c r="AA53" s="80"/>
      <c r="AB53" s="80"/>
      <c r="AC53" s="74"/>
      <c r="AD53" s="80"/>
      <c r="AE53" s="80"/>
      <c r="AF53" s="80"/>
      <c r="AG53" s="80"/>
      <c r="AH53" s="74"/>
      <c r="AI53" s="73"/>
      <c r="AJ53" s="80"/>
      <c r="AK53" s="80"/>
      <c r="AL53" s="80"/>
      <c r="AM53" s="74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0"/>
      <c r="Y54" s="73"/>
      <c r="Z54" s="68"/>
      <c r="AA54" s="69" t="s">
        <v>371</v>
      </c>
      <c r="AB54" s="68"/>
      <c r="AC54" s="75"/>
      <c r="AD54" s="68"/>
      <c r="AE54" s="68"/>
      <c r="AF54" s="69" t="s">
        <v>372</v>
      </c>
      <c r="AG54" s="68"/>
      <c r="AH54" s="75"/>
      <c r="AI54" s="76"/>
      <c r="AJ54" s="68"/>
      <c r="AK54" s="69" t="s">
        <v>365</v>
      </c>
      <c r="AL54" s="68"/>
      <c r="AM54" s="75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0"/>
      <c r="Y55" s="73"/>
      <c r="Z55" s="80"/>
      <c r="AA55" s="80"/>
      <c r="AB55" s="80"/>
      <c r="AC55" s="74"/>
      <c r="AD55" s="80"/>
      <c r="AE55" s="80"/>
      <c r="AF55" s="80"/>
      <c r="AG55" s="80"/>
      <c r="AH55" s="74"/>
      <c r="AI55" s="73"/>
      <c r="AJ55" s="80"/>
      <c r="AK55" s="80"/>
      <c r="AL55" s="80"/>
      <c r="AM55" s="74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0"/>
      <c r="Y56" s="77"/>
      <c r="Z56" s="78"/>
      <c r="AA56" s="78"/>
      <c r="AB56" s="78"/>
      <c r="AC56" s="79"/>
      <c r="AD56" s="78"/>
      <c r="AE56" s="78"/>
      <c r="AF56" s="78"/>
      <c r="AG56" s="78"/>
      <c r="AH56" s="79"/>
      <c r="AI56" s="77"/>
      <c r="AJ56" s="78"/>
      <c r="AK56" s="78"/>
      <c r="AL56" s="78"/>
      <c r="AM56" s="79"/>
    </row>
    <row r="57" spans="4:39" ht="13.15" customHeight="1" x14ac:dyDescent="0.15">
      <c r="AK57" s="64" t="s">
        <v>373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0" customWidth="1"/>
    <col min="2" max="3" width="10.625" style="30" customWidth="1"/>
    <col min="4" max="6" width="3" style="30" customWidth="1"/>
    <col min="7" max="7" width="69.25" style="30" customWidth="1"/>
    <col min="8" max="8" width="13.875" style="30" customWidth="1"/>
    <col min="9" max="9" width="12.375" style="30" bestFit="1" customWidth="1"/>
    <col min="10" max="10" width="4.125" style="30" customWidth="1"/>
    <col min="11" max="16384" width="8" style="30"/>
  </cols>
  <sheetData>
    <row r="2" spans="1:10" ht="30" x14ac:dyDescent="0.15">
      <c r="A2" s="29"/>
      <c r="B2" s="29" t="s">
        <v>348</v>
      </c>
      <c r="C2" s="29"/>
      <c r="D2" s="29"/>
      <c r="E2" s="29"/>
      <c r="F2" s="29"/>
      <c r="G2" s="29"/>
      <c r="H2" s="29"/>
      <c r="I2" s="29"/>
      <c r="J2" s="29"/>
    </row>
    <row r="4" spans="1:10" ht="20.25" thickBot="1" x14ac:dyDescent="0.35">
      <c r="A4" s="31"/>
      <c r="B4" s="32"/>
      <c r="C4" s="33" t="str">
        <f ca="1">OFFSET($B$6,COUNTA($D$7:$D$139),1)&amp;"-"&amp;OFFSET($B$6,COUNTA($D$7:$D$139),2)&amp;""&amp;OFFSET($B$6,COUNTA($D$7:$D$139),3)&amp;""&amp;OFFSET($B$6,COUNTA($D$7:$D$139),4)</f>
        <v>Ver00-001</v>
      </c>
      <c r="D4" s="33"/>
      <c r="E4" s="34"/>
      <c r="F4" s="34"/>
      <c r="G4" s="31"/>
      <c r="H4" s="31"/>
      <c r="I4" s="31"/>
      <c r="J4" s="31"/>
    </row>
    <row r="5" spans="1:10" ht="16.5" thickTop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ht="18.75" customHeight="1" x14ac:dyDescent="0.15">
      <c r="B6" s="35" t="s">
        <v>349</v>
      </c>
      <c r="C6" s="89" t="s">
        <v>350</v>
      </c>
      <c r="D6" s="90"/>
      <c r="E6" s="90"/>
      <c r="F6" s="91"/>
      <c r="G6" s="35" t="s">
        <v>351</v>
      </c>
      <c r="H6" s="36" t="s">
        <v>352</v>
      </c>
      <c r="I6" s="37" t="s">
        <v>353</v>
      </c>
    </row>
    <row r="7" spans="1:10" ht="31.5" outlineLevel="1" x14ac:dyDescent="0.15">
      <c r="B7" s="38" t="s">
        <v>354</v>
      </c>
      <c r="C7" s="38" t="s">
        <v>355</v>
      </c>
      <c r="D7" s="39">
        <v>0</v>
      </c>
      <c r="E7" s="39">
        <v>0</v>
      </c>
      <c r="F7" s="40">
        <v>0</v>
      </c>
      <c r="G7" s="41" t="s">
        <v>357</v>
      </c>
      <c r="H7" s="42">
        <v>45803</v>
      </c>
      <c r="I7" s="43" t="s">
        <v>356</v>
      </c>
    </row>
    <row r="8" spans="1:10" ht="31.5" outlineLevel="1" x14ac:dyDescent="0.15">
      <c r="B8" s="38" t="s">
        <v>383</v>
      </c>
      <c r="C8" s="38" t="s">
        <v>384</v>
      </c>
      <c r="D8" s="39">
        <v>0</v>
      </c>
      <c r="E8" s="39">
        <v>0</v>
      </c>
      <c r="F8" s="40">
        <v>1</v>
      </c>
      <c r="G8" s="41" t="s">
        <v>385</v>
      </c>
      <c r="H8" s="42">
        <v>45888</v>
      </c>
      <c r="I8" s="43" t="s">
        <v>356</v>
      </c>
    </row>
    <row r="9" spans="1:10" outlineLevel="1" x14ac:dyDescent="0.15">
      <c r="B9" s="38"/>
      <c r="C9" s="38"/>
      <c r="D9" s="39"/>
      <c r="E9" s="39"/>
      <c r="F9" s="40"/>
      <c r="G9" s="41"/>
      <c r="H9" s="42"/>
      <c r="I9" s="43"/>
    </row>
    <row r="10" spans="1:10" outlineLevel="1" x14ac:dyDescent="0.15">
      <c r="B10" s="38"/>
      <c r="C10" s="38"/>
      <c r="D10" s="39"/>
      <c r="E10" s="39"/>
      <c r="F10" s="40"/>
      <c r="G10" s="41"/>
      <c r="H10" s="42"/>
      <c r="I10" s="43"/>
    </row>
    <row r="11" spans="1:10" outlineLevel="1" x14ac:dyDescent="0.15">
      <c r="B11" s="38"/>
      <c r="C11" s="38"/>
      <c r="D11" s="39"/>
      <c r="E11" s="39"/>
      <c r="F11" s="40"/>
      <c r="G11" s="41"/>
      <c r="H11" s="42"/>
      <c r="I11" s="43"/>
    </row>
    <row r="12" spans="1:10" outlineLevel="1" x14ac:dyDescent="0.15">
      <c r="B12" s="38"/>
      <c r="C12" s="38"/>
      <c r="D12" s="39"/>
      <c r="E12" s="39"/>
      <c r="F12" s="40"/>
      <c r="G12" s="41"/>
      <c r="H12" s="42"/>
      <c r="I12" s="43"/>
    </row>
    <row r="13" spans="1:10" outlineLevel="1" x14ac:dyDescent="0.15">
      <c r="B13" s="38"/>
      <c r="C13" s="38"/>
      <c r="D13" s="39"/>
      <c r="E13" s="39"/>
      <c r="F13" s="40"/>
      <c r="G13" s="41"/>
      <c r="H13" s="44"/>
      <c r="I13" s="43"/>
    </row>
    <row r="14" spans="1:10" outlineLevel="1" x14ac:dyDescent="0.15">
      <c r="B14" s="38"/>
      <c r="C14" s="38"/>
      <c r="D14" s="39"/>
      <c r="E14" s="39"/>
      <c r="F14" s="40"/>
      <c r="G14" s="41"/>
      <c r="H14" s="42"/>
      <c r="I14" s="43"/>
    </row>
    <row r="15" spans="1:10" outlineLevel="1" x14ac:dyDescent="0.15">
      <c r="B15" s="38"/>
      <c r="C15" s="38"/>
      <c r="D15" s="39"/>
      <c r="E15" s="39"/>
      <c r="F15" s="40"/>
      <c r="G15" s="41"/>
      <c r="H15" s="44"/>
      <c r="I15" s="45"/>
    </row>
    <row r="16" spans="1:10" outlineLevel="1" x14ac:dyDescent="0.15">
      <c r="B16" s="38"/>
      <c r="C16" s="38"/>
      <c r="D16" s="39"/>
      <c r="E16" s="39"/>
      <c r="F16" s="40"/>
      <c r="G16" s="41"/>
      <c r="H16" s="42"/>
      <c r="I16" s="43"/>
    </row>
    <row r="17" spans="2:9" outlineLevel="1" x14ac:dyDescent="0.15">
      <c r="B17" s="38"/>
      <c r="C17" s="38"/>
      <c r="D17" s="39"/>
      <c r="E17" s="39"/>
      <c r="F17" s="40"/>
      <c r="G17" s="41"/>
      <c r="H17" s="44"/>
      <c r="I17" s="45"/>
    </row>
    <row r="18" spans="2:9" outlineLevel="1" x14ac:dyDescent="0.15">
      <c r="B18" s="38"/>
      <c r="C18" s="38"/>
      <c r="D18" s="39"/>
      <c r="E18" s="39"/>
      <c r="F18" s="40"/>
      <c r="G18" s="41"/>
      <c r="H18" s="42"/>
      <c r="I18" s="43"/>
    </row>
    <row r="19" spans="2:9" outlineLevel="1" x14ac:dyDescent="0.15">
      <c r="B19" s="38"/>
      <c r="C19" s="38"/>
      <c r="D19" s="39"/>
      <c r="E19" s="39"/>
      <c r="F19" s="40"/>
      <c r="G19" s="41"/>
      <c r="H19" s="42"/>
      <c r="I19" s="43"/>
    </row>
    <row r="20" spans="2:9" outlineLevel="1" x14ac:dyDescent="0.15">
      <c r="B20" s="38"/>
      <c r="C20" s="38"/>
      <c r="D20" s="39"/>
      <c r="E20" s="39"/>
      <c r="F20" s="40"/>
      <c r="G20" s="41"/>
      <c r="H20" s="42"/>
      <c r="I20" s="43"/>
    </row>
    <row r="21" spans="2:9" outlineLevel="1" x14ac:dyDescent="0.15">
      <c r="B21" s="38"/>
      <c r="C21" s="38"/>
      <c r="D21" s="39"/>
      <c r="E21" s="39"/>
      <c r="F21" s="40"/>
      <c r="G21" s="41"/>
      <c r="H21" s="42"/>
      <c r="I21" s="43"/>
    </row>
    <row r="22" spans="2:9" outlineLevel="1" x14ac:dyDescent="0.15">
      <c r="B22" s="38"/>
      <c r="C22" s="38"/>
      <c r="D22" s="39"/>
      <c r="E22" s="39"/>
      <c r="F22" s="40"/>
      <c r="G22" s="41"/>
      <c r="H22" s="42"/>
      <c r="I22" s="43"/>
    </row>
    <row r="23" spans="2:9" outlineLevel="1" x14ac:dyDescent="0.15">
      <c r="B23" s="38"/>
      <c r="C23" s="38"/>
      <c r="D23" s="39"/>
      <c r="E23" s="39"/>
      <c r="F23" s="40"/>
      <c r="G23" s="41"/>
      <c r="H23" s="42"/>
      <c r="I23" s="43"/>
    </row>
    <row r="24" spans="2:9" outlineLevel="1" x14ac:dyDescent="0.15">
      <c r="B24" s="38"/>
      <c r="C24" s="38"/>
      <c r="D24" s="39"/>
      <c r="E24" s="39"/>
      <c r="F24" s="40"/>
      <c r="G24" s="41"/>
      <c r="H24" s="42"/>
      <c r="I24" s="43"/>
    </row>
    <row r="25" spans="2:9" outlineLevel="1" x14ac:dyDescent="0.15">
      <c r="B25" s="38"/>
      <c r="C25" s="38"/>
      <c r="D25" s="39"/>
      <c r="E25" s="39"/>
      <c r="F25" s="40"/>
      <c r="G25" s="41"/>
      <c r="H25" s="42"/>
      <c r="I25" s="43"/>
    </row>
    <row r="26" spans="2:9" outlineLevel="1" x14ac:dyDescent="0.15">
      <c r="B26" s="38"/>
      <c r="C26" s="38"/>
      <c r="D26" s="39"/>
      <c r="E26" s="39"/>
      <c r="F26" s="40"/>
      <c r="G26" s="41"/>
      <c r="H26" s="42"/>
      <c r="I26" s="43"/>
    </row>
    <row r="27" spans="2:9" outlineLevel="1" x14ac:dyDescent="0.15">
      <c r="B27" s="38"/>
      <c r="C27" s="38"/>
      <c r="D27" s="39"/>
      <c r="E27" s="39"/>
      <c r="F27" s="40"/>
      <c r="G27" s="41"/>
      <c r="H27" s="42"/>
      <c r="I27" s="43"/>
    </row>
    <row r="28" spans="2:9" outlineLevel="1" collapsed="1" x14ac:dyDescent="0.15">
      <c r="B28" s="38"/>
      <c r="C28" s="38"/>
      <c r="D28" s="39"/>
      <c r="E28" s="39"/>
      <c r="F28" s="40"/>
      <c r="G28" s="41"/>
      <c r="H28" s="42"/>
      <c r="I28" s="43"/>
    </row>
    <row r="29" spans="2:9" outlineLevel="1" x14ac:dyDescent="0.15">
      <c r="B29" s="38"/>
      <c r="C29" s="38"/>
      <c r="D29" s="39"/>
      <c r="E29" s="39"/>
      <c r="F29" s="40"/>
      <c r="G29" s="41"/>
      <c r="H29" s="42"/>
      <c r="I29" s="43"/>
    </row>
    <row r="30" spans="2:9" outlineLevel="1" x14ac:dyDescent="0.15">
      <c r="B30" s="38"/>
      <c r="C30" s="38"/>
      <c r="D30" s="39"/>
      <c r="E30" s="39"/>
      <c r="F30" s="40"/>
      <c r="G30" s="41"/>
      <c r="H30" s="42"/>
      <c r="I30" s="43"/>
    </row>
    <row r="31" spans="2:9" outlineLevel="1" x14ac:dyDescent="0.15">
      <c r="B31" s="38"/>
      <c r="C31" s="38"/>
      <c r="D31" s="39"/>
      <c r="E31" s="39"/>
      <c r="F31" s="40"/>
      <c r="G31" s="41"/>
      <c r="H31" s="42"/>
      <c r="I31" s="43"/>
    </row>
    <row r="32" spans="2:9" outlineLevel="1" x14ac:dyDescent="0.15">
      <c r="B32" s="38"/>
      <c r="C32" s="38"/>
      <c r="D32" s="39"/>
      <c r="E32" s="39"/>
      <c r="F32" s="40"/>
      <c r="G32" s="41"/>
      <c r="H32" s="42"/>
      <c r="I32" s="43"/>
    </row>
    <row r="33" spans="2:9" outlineLevel="1" x14ac:dyDescent="0.15">
      <c r="B33" s="38"/>
      <c r="C33" s="38"/>
      <c r="D33" s="39"/>
      <c r="E33" s="39"/>
      <c r="F33" s="40"/>
      <c r="G33" s="41"/>
      <c r="H33" s="42"/>
      <c r="I33" s="43"/>
    </row>
    <row r="34" spans="2:9" outlineLevel="1" x14ac:dyDescent="0.15">
      <c r="B34" s="38"/>
      <c r="C34" s="38"/>
      <c r="D34" s="39"/>
      <c r="E34" s="39"/>
      <c r="F34" s="40"/>
      <c r="G34" s="41"/>
      <c r="H34" s="42"/>
      <c r="I34" s="43"/>
    </row>
    <row r="35" spans="2:9" outlineLevel="1" x14ac:dyDescent="0.15">
      <c r="B35" s="38"/>
      <c r="C35" s="38"/>
      <c r="D35" s="39"/>
      <c r="E35" s="39"/>
      <c r="F35" s="40"/>
      <c r="G35" s="41"/>
      <c r="H35" s="42"/>
      <c r="I35" s="43"/>
    </row>
    <row r="36" spans="2:9" outlineLevel="1" x14ac:dyDescent="0.15">
      <c r="B36" s="38"/>
      <c r="C36" s="38"/>
      <c r="D36" s="39"/>
      <c r="E36" s="39"/>
      <c r="F36" s="40"/>
      <c r="G36" s="41"/>
      <c r="H36" s="42"/>
      <c r="I36" s="43"/>
    </row>
    <row r="37" spans="2:9" outlineLevel="1" x14ac:dyDescent="0.15">
      <c r="B37" s="38"/>
      <c r="C37" s="38"/>
      <c r="D37" s="39"/>
      <c r="E37" s="39"/>
      <c r="F37" s="40"/>
      <c r="G37" s="41"/>
      <c r="H37" s="42"/>
      <c r="I37" s="43"/>
    </row>
    <row r="38" spans="2:9" outlineLevel="1" x14ac:dyDescent="0.15">
      <c r="B38" s="38"/>
      <c r="C38" s="38"/>
      <c r="D38" s="39"/>
      <c r="E38" s="39"/>
      <c r="F38" s="40"/>
      <c r="G38" s="41"/>
      <c r="H38" s="42"/>
      <c r="I38" s="43"/>
    </row>
    <row r="39" spans="2:9" outlineLevel="1" x14ac:dyDescent="0.15">
      <c r="B39" s="38"/>
      <c r="C39" s="38"/>
      <c r="D39" s="39"/>
      <c r="E39" s="39"/>
      <c r="F39" s="40"/>
      <c r="G39" s="41"/>
      <c r="H39" s="42"/>
      <c r="I39" s="43"/>
    </row>
    <row r="40" spans="2:9" outlineLevel="1" x14ac:dyDescent="0.15">
      <c r="B40" s="38"/>
      <c r="C40" s="38"/>
      <c r="D40" s="39"/>
      <c r="E40" s="39"/>
      <c r="F40" s="40"/>
      <c r="G40" s="41"/>
      <c r="H40" s="42"/>
      <c r="I40" s="43"/>
    </row>
    <row r="41" spans="2:9" outlineLevel="1" x14ac:dyDescent="0.15">
      <c r="B41" s="38"/>
      <c r="C41" s="38"/>
      <c r="D41" s="39"/>
      <c r="E41" s="39"/>
      <c r="F41" s="40"/>
      <c r="G41" s="41"/>
      <c r="H41" s="42"/>
      <c r="I41" s="43"/>
    </row>
    <row r="42" spans="2:9" outlineLevel="1" x14ac:dyDescent="0.15">
      <c r="B42" s="38"/>
      <c r="C42" s="38"/>
      <c r="D42" s="39"/>
      <c r="E42" s="39"/>
      <c r="F42" s="40"/>
      <c r="G42" s="41"/>
      <c r="H42" s="42"/>
      <c r="I42" s="43"/>
    </row>
    <row r="43" spans="2:9" outlineLevel="1" x14ac:dyDescent="0.15">
      <c r="B43" s="38"/>
      <c r="C43" s="38"/>
      <c r="D43" s="39"/>
      <c r="E43" s="39"/>
      <c r="F43" s="40"/>
      <c r="G43" s="41"/>
      <c r="H43" s="42"/>
      <c r="I43" s="43"/>
    </row>
    <row r="44" spans="2:9" outlineLevel="1" x14ac:dyDescent="0.15">
      <c r="B44" s="38"/>
      <c r="C44" s="38"/>
      <c r="D44" s="39"/>
      <c r="E44" s="39"/>
      <c r="F44" s="40"/>
      <c r="G44" s="41"/>
      <c r="H44" s="42"/>
      <c r="I44" s="43"/>
    </row>
    <row r="45" spans="2:9" outlineLevel="1" x14ac:dyDescent="0.15">
      <c r="B45" s="38"/>
      <c r="C45" s="38"/>
      <c r="D45" s="39"/>
      <c r="E45" s="39"/>
      <c r="F45" s="40"/>
      <c r="G45" s="41"/>
      <c r="H45" s="42"/>
      <c r="I45" s="43"/>
    </row>
    <row r="46" spans="2:9" outlineLevel="1" x14ac:dyDescent="0.15">
      <c r="B46" s="38"/>
      <c r="C46" s="38"/>
      <c r="D46" s="39"/>
      <c r="E46" s="39"/>
      <c r="F46" s="40"/>
      <c r="G46" s="41"/>
      <c r="H46" s="42"/>
      <c r="I46" s="43"/>
    </row>
    <row r="47" spans="2:9" outlineLevel="1" x14ac:dyDescent="0.15">
      <c r="B47" s="38"/>
      <c r="C47" s="38"/>
      <c r="D47" s="39"/>
      <c r="E47" s="39"/>
      <c r="F47" s="40"/>
      <c r="G47" s="41"/>
      <c r="H47" s="42"/>
      <c r="I47" s="43"/>
    </row>
    <row r="48" spans="2:9" outlineLevel="1" x14ac:dyDescent="0.15">
      <c r="B48" s="38"/>
      <c r="C48" s="38"/>
      <c r="D48" s="39"/>
      <c r="E48" s="39"/>
      <c r="F48" s="40"/>
      <c r="G48" s="41"/>
      <c r="H48" s="42"/>
      <c r="I48" s="43"/>
    </row>
    <row r="49" spans="2:9" outlineLevel="1" x14ac:dyDescent="0.15">
      <c r="B49" s="38"/>
      <c r="C49" s="38"/>
      <c r="D49" s="39"/>
      <c r="E49" s="39"/>
      <c r="F49" s="40"/>
      <c r="G49" s="41"/>
      <c r="H49" s="42"/>
      <c r="I49" s="43"/>
    </row>
    <row r="50" spans="2:9" outlineLevel="1" x14ac:dyDescent="0.15">
      <c r="B50" s="38"/>
      <c r="C50" s="38"/>
      <c r="D50" s="39"/>
      <c r="E50" s="39"/>
      <c r="F50" s="40"/>
      <c r="G50" s="41"/>
      <c r="H50" s="42"/>
      <c r="I50" s="43"/>
    </row>
    <row r="51" spans="2:9" outlineLevel="1" x14ac:dyDescent="0.15">
      <c r="B51" s="38"/>
      <c r="C51" s="38"/>
      <c r="D51" s="39"/>
      <c r="E51" s="39"/>
      <c r="F51" s="40"/>
      <c r="G51" s="41"/>
      <c r="H51" s="42"/>
      <c r="I51" s="43"/>
    </row>
    <row r="52" spans="2:9" outlineLevel="1" x14ac:dyDescent="0.15">
      <c r="B52" s="38"/>
      <c r="C52" s="38"/>
      <c r="D52" s="39"/>
      <c r="E52" s="39"/>
      <c r="F52" s="40"/>
      <c r="G52" s="41"/>
      <c r="H52" s="42"/>
      <c r="I52" s="43"/>
    </row>
    <row r="53" spans="2:9" outlineLevel="1" x14ac:dyDescent="0.15">
      <c r="B53" s="38"/>
      <c r="C53" s="38"/>
      <c r="D53" s="39"/>
      <c r="E53" s="39"/>
      <c r="F53" s="40"/>
      <c r="G53" s="41"/>
      <c r="H53" s="42"/>
      <c r="I53" s="43"/>
    </row>
    <row r="54" spans="2:9" outlineLevel="1" x14ac:dyDescent="0.15">
      <c r="B54" s="38"/>
      <c r="C54" s="38"/>
      <c r="D54" s="39"/>
      <c r="E54" s="39"/>
      <c r="F54" s="40"/>
      <c r="G54" s="41"/>
      <c r="H54" s="42"/>
      <c r="I54" s="43"/>
    </row>
    <row r="55" spans="2:9" outlineLevel="1" x14ac:dyDescent="0.15">
      <c r="B55" s="38"/>
      <c r="C55" s="38"/>
      <c r="D55" s="39"/>
      <c r="E55" s="39"/>
      <c r="F55" s="40"/>
      <c r="G55" s="41"/>
      <c r="H55" s="42"/>
      <c r="I55" s="43"/>
    </row>
    <row r="56" spans="2:9" outlineLevel="1" x14ac:dyDescent="0.15">
      <c r="B56" s="38"/>
      <c r="C56" s="38"/>
      <c r="D56" s="39"/>
      <c r="E56" s="39"/>
      <c r="F56" s="40"/>
      <c r="G56" s="41"/>
      <c r="H56" s="42"/>
      <c r="I56" s="43"/>
    </row>
    <row r="57" spans="2:9" outlineLevel="1" x14ac:dyDescent="0.15">
      <c r="B57" s="38"/>
      <c r="C57" s="38"/>
      <c r="D57" s="39"/>
      <c r="E57" s="39"/>
      <c r="F57" s="40"/>
      <c r="G57" s="41"/>
      <c r="H57" s="42"/>
      <c r="I57" s="43"/>
    </row>
    <row r="58" spans="2:9" outlineLevel="1" x14ac:dyDescent="0.15">
      <c r="B58" s="38"/>
      <c r="C58" s="38"/>
      <c r="D58" s="39"/>
      <c r="E58" s="39"/>
      <c r="F58" s="40"/>
      <c r="G58" s="41"/>
      <c r="H58" s="42"/>
      <c r="I58" s="43"/>
    </row>
    <row r="59" spans="2:9" outlineLevel="1" x14ac:dyDescent="0.15">
      <c r="B59" s="38"/>
      <c r="C59" s="38"/>
      <c r="D59" s="39"/>
      <c r="E59" s="39"/>
      <c r="F59" s="40"/>
      <c r="G59" s="41"/>
      <c r="H59" s="42"/>
      <c r="I59" s="43"/>
    </row>
    <row r="60" spans="2:9" outlineLevel="1" x14ac:dyDescent="0.15">
      <c r="B60" s="38"/>
      <c r="C60" s="38"/>
      <c r="D60" s="39"/>
      <c r="E60" s="39"/>
      <c r="F60" s="40"/>
      <c r="G60" s="41"/>
      <c r="H60" s="42"/>
      <c r="I60" s="43"/>
    </row>
    <row r="61" spans="2:9" outlineLevel="1" x14ac:dyDescent="0.15">
      <c r="B61" s="38"/>
      <c r="C61" s="38"/>
      <c r="D61" s="39"/>
      <c r="E61" s="39"/>
      <c r="F61" s="40"/>
      <c r="G61" s="41"/>
      <c r="H61" s="42"/>
      <c r="I61" s="43"/>
    </row>
    <row r="62" spans="2:9" outlineLevel="1" x14ac:dyDescent="0.15">
      <c r="B62" s="38"/>
      <c r="C62" s="38"/>
      <c r="D62" s="39"/>
      <c r="E62" s="39"/>
      <c r="F62" s="40"/>
      <c r="G62" s="41"/>
      <c r="H62" s="42"/>
      <c r="I62" s="43"/>
    </row>
    <row r="63" spans="2:9" outlineLevel="1" x14ac:dyDescent="0.15">
      <c r="B63" s="38"/>
      <c r="C63" s="38"/>
      <c r="D63" s="46"/>
      <c r="E63" s="39"/>
      <c r="F63" s="40"/>
      <c r="G63" s="41"/>
      <c r="H63" s="42"/>
      <c r="I63" s="43"/>
    </row>
    <row r="64" spans="2:9" outlineLevel="1" x14ac:dyDescent="0.15">
      <c r="B64" s="38"/>
      <c r="C64" s="38"/>
      <c r="D64" s="39"/>
      <c r="E64" s="39"/>
      <c r="F64" s="40"/>
      <c r="G64" s="41"/>
      <c r="H64" s="42"/>
      <c r="I64" s="43"/>
    </row>
    <row r="65" spans="2:9" outlineLevel="1" x14ac:dyDescent="0.15">
      <c r="B65" s="38"/>
      <c r="C65" s="38"/>
      <c r="D65" s="39"/>
      <c r="E65" s="39"/>
      <c r="F65" s="40"/>
      <c r="G65" s="47"/>
      <c r="H65" s="48"/>
      <c r="I65" s="43"/>
    </row>
    <row r="66" spans="2:9" outlineLevel="1" x14ac:dyDescent="0.15">
      <c r="B66" s="38"/>
      <c r="C66" s="38"/>
      <c r="D66" s="39"/>
      <c r="E66" s="39"/>
      <c r="F66" s="40"/>
      <c r="G66" s="41"/>
      <c r="H66" s="42"/>
      <c r="I66" s="43"/>
    </row>
    <row r="67" spans="2:9" outlineLevel="1" x14ac:dyDescent="0.15">
      <c r="B67" s="38"/>
      <c r="C67" s="38"/>
      <c r="D67" s="39"/>
      <c r="E67" s="39"/>
      <c r="F67" s="40"/>
      <c r="G67" s="41"/>
      <c r="H67" s="42"/>
      <c r="I67" s="43"/>
    </row>
    <row r="68" spans="2:9" outlineLevel="1" x14ac:dyDescent="0.15">
      <c r="B68" s="38"/>
      <c r="C68" s="38"/>
      <c r="D68" s="39"/>
      <c r="E68" s="39"/>
      <c r="F68" s="40"/>
      <c r="G68" s="41"/>
      <c r="H68" s="42"/>
      <c r="I68" s="43"/>
    </row>
    <row r="69" spans="2:9" outlineLevel="1" x14ac:dyDescent="0.15">
      <c r="B69" s="38"/>
      <c r="C69" s="38"/>
      <c r="D69" s="39"/>
      <c r="E69" s="39"/>
      <c r="F69" s="40"/>
      <c r="G69" s="41"/>
      <c r="H69" s="42"/>
      <c r="I69" s="43"/>
    </row>
    <row r="70" spans="2:9" outlineLevel="1" collapsed="1" x14ac:dyDescent="0.15">
      <c r="B70" s="38"/>
      <c r="C70" s="38"/>
      <c r="D70" s="39"/>
      <c r="E70" s="39"/>
      <c r="F70" s="40"/>
      <c r="G70" s="41"/>
      <c r="H70" s="42"/>
      <c r="I70" s="43"/>
    </row>
    <row r="71" spans="2:9" outlineLevel="1" x14ac:dyDescent="0.15">
      <c r="B71" s="38"/>
      <c r="C71" s="38"/>
      <c r="D71" s="39"/>
      <c r="E71" s="39"/>
      <c r="F71" s="40"/>
      <c r="G71" s="41"/>
      <c r="H71" s="42"/>
      <c r="I71" s="43"/>
    </row>
    <row r="72" spans="2:9" outlineLevel="1" x14ac:dyDescent="0.15">
      <c r="B72" s="38"/>
      <c r="C72" s="38"/>
      <c r="D72" s="39"/>
      <c r="E72" s="39"/>
      <c r="F72" s="40"/>
      <c r="G72" s="41"/>
      <c r="H72" s="42"/>
      <c r="I72" s="43"/>
    </row>
    <row r="73" spans="2:9" outlineLevel="1" x14ac:dyDescent="0.15">
      <c r="B73" s="38"/>
      <c r="C73" s="38"/>
      <c r="D73" s="39"/>
      <c r="E73" s="39"/>
      <c r="F73" s="40"/>
      <c r="G73" s="41"/>
      <c r="H73" s="42"/>
      <c r="I73" s="43"/>
    </row>
    <row r="74" spans="2:9" outlineLevel="1" x14ac:dyDescent="0.15">
      <c r="B74" s="38"/>
      <c r="C74" s="38"/>
      <c r="D74" s="39"/>
      <c r="E74" s="39"/>
      <c r="F74" s="40"/>
      <c r="G74" s="41"/>
      <c r="H74" s="42"/>
      <c r="I74" s="43"/>
    </row>
    <row r="75" spans="2:9" outlineLevel="1" x14ac:dyDescent="0.15">
      <c r="B75" s="38"/>
      <c r="C75" s="38"/>
      <c r="D75" s="39"/>
      <c r="E75" s="39"/>
      <c r="F75" s="40"/>
      <c r="G75" s="41"/>
      <c r="H75" s="42"/>
      <c r="I75" s="43"/>
    </row>
    <row r="76" spans="2:9" outlineLevel="1" x14ac:dyDescent="0.15">
      <c r="B76" s="38"/>
      <c r="C76" s="38"/>
      <c r="D76" s="39"/>
      <c r="E76" s="39"/>
      <c r="F76" s="40"/>
      <c r="G76" s="41"/>
      <c r="H76" s="42"/>
      <c r="I76" s="43"/>
    </row>
    <row r="77" spans="2:9" outlineLevel="1" x14ac:dyDescent="0.15">
      <c r="B77" s="38"/>
      <c r="C77" s="38"/>
      <c r="D77" s="39"/>
      <c r="E77" s="39"/>
      <c r="F77" s="40"/>
      <c r="G77" s="41"/>
      <c r="H77" s="42"/>
      <c r="I77" s="43"/>
    </row>
    <row r="78" spans="2:9" outlineLevel="1" x14ac:dyDescent="0.15">
      <c r="B78" s="38"/>
      <c r="C78" s="38"/>
      <c r="D78" s="39"/>
      <c r="E78" s="39"/>
      <c r="F78" s="40"/>
      <c r="G78" s="41"/>
      <c r="H78" s="42"/>
      <c r="I78" s="43"/>
    </row>
    <row r="79" spans="2:9" outlineLevel="1" x14ac:dyDescent="0.15">
      <c r="B79" s="38"/>
      <c r="C79" s="38"/>
      <c r="D79" s="39"/>
      <c r="E79" s="39"/>
      <c r="F79" s="40"/>
      <c r="G79" s="41"/>
      <c r="H79" s="42"/>
      <c r="I79" s="43"/>
    </row>
    <row r="80" spans="2:9" outlineLevel="1" x14ac:dyDescent="0.15">
      <c r="B80" s="38"/>
      <c r="C80" s="38"/>
      <c r="D80" s="39"/>
      <c r="E80" s="39"/>
      <c r="F80" s="40"/>
      <c r="G80" s="41"/>
      <c r="H80" s="42"/>
      <c r="I80" s="43"/>
    </row>
    <row r="81" spans="2:9" outlineLevel="1" x14ac:dyDescent="0.15">
      <c r="B81" s="38"/>
      <c r="C81" s="38"/>
      <c r="D81" s="39"/>
      <c r="E81" s="39"/>
      <c r="F81" s="40"/>
      <c r="G81" s="41"/>
      <c r="H81" s="42"/>
      <c r="I81" s="43"/>
    </row>
    <row r="82" spans="2:9" outlineLevel="1" x14ac:dyDescent="0.15">
      <c r="B82" s="38"/>
      <c r="C82" s="38"/>
      <c r="D82" s="39"/>
      <c r="E82" s="39"/>
      <c r="F82" s="40"/>
      <c r="G82" s="41"/>
      <c r="H82" s="42"/>
      <c r="I82" s="43"/>
    </row>
    <row r="83" spans="2:9" outlineLevel="1" x14ac:dyDescent="0.15">
      <c r="B83" s="38"/>
      <c r="C83" s="38"/>
      <c r="D83" s="39"/>
      <c r="E83" s="39"/>
      <c r="F83" s="40"/>
      <c r="G83" s="41"/>
      <c r="H83" s="42"/>
      <c r="I83" s="43"/>
    </row>
    <row r="84" spans="2:9" outlineLevel="1" x14ac:dyDescent="0.15">
      <c r="B84" s="38"/>
      <c r="C84" s="38"/>
      <c r="D84" s="39"/>
      <c r="E84" s="39"/>
      <c r="F84" s="40"/>
      <c r="G84" s="41"/>
      <c r="H84" s="42"/>
      <c r="I84" s="43"/>
    </row>
    <row r="85" spans="2:9" outlineLevel="1" x14ac:dyDescent="0.15">
      <c r="B85" s="38"/>
      <c r="C85" s="38"/>
      <c r="D85" s="39"/>
      <c r="E85" s="39"/>
      <c r="F85" s="40"/>
      <c r="G85" s="41"/>
      <c r="H85" s="42"/>
      <c r="I85" s="43"/>
    </row>
    <row r="86" spans="2:9" outlineLevel="1" x14ac:dyDescent="0.15">
      <c r="B86" s="38"/>
      <c r="C86" s="38"/>
      <c r="D86" s="39"/>
      <c r="E86" s="39"/>
      <c r="F86" s="40"/>
      <c r="G86" s="41"/>
      <c r="H86" s="42"/>
      <c r="I86" s="43"/>
    </row>
    <row r="87" spans="2:9" outlineLevel="1" x14ac:dyDescent="0.15">
      <c r="B87" s="49"/>
      <c r="C87" s="38"/>
      <c r="D87" s="39"/>
      <c r="E87" s="39"/>
      <c r="F87" s="40"/>
      <c r="G87" s="41"/>
      <c r="H87" s="42"/>
      <c r="I87" s="43"/>
    </row>
    <row r="88" spans="2:9" outlineLevel="1" x14ac:dyDescent="0.15">
      <c r="B88" s="49"/>
      <c r="C88" s="38"/>
      <c r="D88" s="39"/>
      <c r="E88" s="39"/>
      <c r="F88" s="40"/>
      <c r="G88" s="41"/>
      <c r="H88" s="42"/>
      <c r="I88" s="43"/>
    </row>
    <row r="89" spans="2:9" outlineLevel="1" x14ac:dyDescent="0.15">
      <c r="B89" s="49"/>
      <c r="C89" s="38"/>
      <c r="D89" s="39"/>
      <c r="E89" s="39"/>
      <c r="F89" s="40"/>
      <c r="G89" s="41"/>
      <c r="H89" s="42"/>
      <c r="I89" s="43"/>
    </row>
    <row r="90" spans="2:9" outlineLevel="1" x14ac:dyDescent="0.15">
      <c r="B90" s="49"/>
      <c r="C90" s="38"/>
      <c r="D90" s="39"/>
      <c r="E90" s="39"/>
      <c r="F90" s="40"/>
      <c r="G90" s="41"/>
      <c r="H90" s="42"/>
      <c r="I90" s="43"/>
    </row>
    <row r="91" spans="2:9" outlineLevel="1" x14ac:dyDescent="0.15">
      <c r="B91" s="49"/>
      <c r="C91" s="38"/>
      <c r="D91" s="39"/>
      <c r="E91" s="39"/>
      <c r="F91" s="40"/>
      <c r="G91" s="41"/>
      <c r="H91" s="42"/>
      <c r="I91" s="43"/>
    </row>
    <row r="92" spans="2:9" outlineLevel="1" x14ac:dyDescent="0.15">
      <c r="B92" s="49"/>
      <c r="C92" s="38"/>
      <c r="D92" s="39"/>
      <c r="E92" s="39"/>
      <c r="F92" s="40"/>
      <c r="G92" s="41"/>
      <c r="H92" s="42"/>
      <c r="I92" s="43"/>
    </row>
    <row r="93" spans="2:9" outlineLevel="1" x14ac:dyDescent="0.15">
      <c r="B93" s="49"/>
      <c r="C93" s="38"/>
      <c r="D93" s="39"/>
      <c r="E93" s="39"/>
      <c r="F93" s="40"/>
      <c r="G93" s="41"/>
      <c r="H93" s="42"/>
      <c r="I93" s="43"/>
    </row>
    <row r="94" spans="2:9" outlineLevel="1" x14ac:dyDescent="0.15">
      <c r="B94" s="49"/>
      <c r="C94" s="38"/>
      <c r="D94" s="39"/>
      <c r="E94" s="39"/>
      <c r="F94" s="40"/>
      <c r="G94" s="41"/>
      <c r="H94" s="42"/>
      <c r="I94" s="43"/>
    </row>
    <row r="95" spans="2:9" outlineLevel="1" x14ac:dyDescent="0.15">
      <c r="B95" s="49"/>
      <c r="C95" s="38"/>
      <c r="D95" s="39"/>
      <c r="E95" s="39"/>
      <c r="F95" s="40"/>
      <c r="G95" s="41"/>
      <c r="H95" s="42"/>
      <c r="I95" s="43"/>
    </row>
    <row r="96" spans="2:9" outlineLevel="1" x14ac:dyDescent="0.15">
      <c r="B96" s="49"/>
      <c r="C96" s="38"/>
      <c r="D96" s="39"/>
      <c r="E96" s="39"/>
      <c r="F96" s="40"/>
      <c r="G96" s="41"/>
      <c r="H96" s="42"/>
      <c r="I96" s="43"/>
    </row>
    <row r="97" spans="2:9" outlineLevel="1" x14ac:dyDescent="0.15">
      <c r="B97" s="49"/>
      <c r="C97" s="38"/>
      <c r="D97" s="39"/>
      <c r="E97" s="39"/>
      <c r="F97" s="40"/>
      <c r="G97" s="41"/>
      <c r="H97" s="42"/>
      <c r="I97" s="43"/>
    </row>
    <row r="98" spans="2:9" outlineLevel="1" x14ac:dyDescent="0.15">
      <c r="B98" s="49"/>
      <c r="C98" s="38"/>
      <c r="D98" s="39"/>
      <c r="E98" s="39"/>
      <c r="F98" s="40"/>
      <c r="G98" s="50"/>
      <c r="H98" s="42"/>
      <c r="I98" s="43"/>
    </row>
    <row r="99" spans="2:9" outlineLevel="1" x14ac:dyDescent="0.15">
      <c r="B99" s="49"/>
      <c r="C99" s="38"/>
      <c r="D99" s="39"/>
      <c r="E99" s="39"/>
      <c r="F99" s="40"/>
      <c r="G99" s="41"/>
      <c r="H99" s="42"/>
      <c r="I99" s="43"/>
    </row>
    <row r="100" spans="2:9" outlineLevel="1" x14ac:dyDescent="0.15">
      <c r="B100" s="51"/>
      <c r="C100" s="52"/>
      <c r="D100" s="53"/>
      <c r="E100" s="53"/>
      <c r="F100" s="54"/>
      <c r="G100" s="55"/>
      <c r="H100" s="44"/>
      <c r="I100" s="45"/>
    </row>
    <row r="101" spans="2:9" outlineLevel="1" x14ac:dyDescent="0.15">
      <c r="B101" s="49"/>
      <c r="C101" s="38"/>
      <c r="D101" s="39"/>
      <c r="E101" s="39"/>
      <c r="F101" s="40"/>
      <c r="G101" s="41"/>
      <c r="H101" s="42"/>
      <c r="I101" s="43"/>
    </row>
    <row r="102" spans="2:9" outlineLevel="1" x14ac:dyDescent="0.15">
      <c r="B102" s="49"/>
      <c r="C102" s="38"/>
      <c r="D102" s="39"/>
      <c r="E102" s="39"/>
      <c r="F102" s="40"/>
      <c r="G102" s="41"/>
      <c r="H102" s="42"/>
      <c r="I102" s="43"/>
    </row>
    <row r="103" spans="2:9" outlineLevel="1" x14ac:dyDescent="0.15">
      <c r="B103" s="49"/>
      <c r="C103" s="38"/>
      <c r="D103" s="39"/>
      <c r="E103" s="39"/>
      <c r="F103" s="40"/>
      <c r="G103" s="41"/>
      <c r="H103" s="42"/>
      <c r="I103" s="43"/>
    </row>
    <row r="104" spans="2:9" outlineLevel="1" x14ac:dyDescent="0.15">
      <c r="B104" s="49"/>
      <c r="C104" s="38"/>
      <c r="D104" s="39"/>
      <c r="E104" s="39"/>
      <c r="F104" s="40"/>
      <c r="G104" s="41"/>
      <c r="H104" s="42"/>
      <c r="I104" s="43"/>
    </row>
    <row r="105" spans="2:9" outlineLevel="1" x14ac:dyDescent="0.15">
      <c r="B105" s="49"/>
      <c r="C105" s="38"/>
      <c r="D105" s="39"/>
      <c r="E105" s="39"/>
      <c r="F105" s="40"/>
      <c r="G105" s="41"/>
      <c r="H105" s="42"/>
      <c r="I105" s="43"/>
    </row>
    <row r="106" spans="2:9" outlineLevel="1" x14ac:dyDescent="0.15">
      <c r="B106" s="49"/>
      <c r="C106" s="38"/>
      <c r="D106" s="39"/>
      <c r="E106" s="39"/>
      <c r="F106" s="40"/>
      <c r="G106" s="41"/>
      <c r="H106" s="42"/>
      <c r="I106" s="43"/>
    </row>
    <row r="107" spans="2:9" outlineLevel="1" x14ac:dyDescent="0.15">
      <c r="B107" s="49"/>
      <c r="C107" s="38"/>
      <c r="D107" s="39"/>
      <c r="E107" s="39"/>
      <c r="F107" s="40"/>
      <c r="G107" s="41"/>
      <c r="H107" s="42"/>
      <c r="I107" s="43"/>
    </row>
    <row r="108" spans="2:9" x14ac:dyDescent="0.15">
      <c r="B108" s="49"/>
      <c r="C108" s="38"/>
      <c r="D108" s="39"/>
      <c r="E108" s="39"/>
      <c r="F108" s="40"/>
      <c r="G108" s="41"/>
      <c r="H108" s="42"/>
      <c r="I108" s="43"/>
    </row>
    <row r="109" spans="2:9" x14ac:dyDescent="0.15">
      <c r="B109" s="49"/>
      <c r="C109" s="38"/>
      <c r="D109" s="39"/>
      <c r="E109" s="39"/>
      <c r="F109" s="40"/>
      <c r="G109" s="41"/>
      <c r="H109" s="42"/>
      <c r="I109" s="43"/>
    </row>
    <row r="110" spans="2:9" x14ac:dyDescent="0.15">
      <c r="B110" s="49"/>
      <c r="C110" s="38"/>
      <c r="D110" s="39"/>
      <c r="E110" s="39"/>
      <c r="F110" s="40"/>
      <c r="G110" s="41"/>
      <c r="H110" s="42"/>
      <c r="I110" s="43"/>
    </row>
    <row r="111" spans="2:9" x14ac:dyDescent="0.15">
      <c r="B111" s="49"/>
      <c r="C111" s="38"/>
      <c r="D111" s="39"/>
      <c r="E111" s="39"/>
      <c r="F111" s="40"/>
      <c r="G111" s="41"/>
      <c r="H111" s="42"/>
      <c r="I111" s="43"/>
    </row>
    <row r="112" spans="2:9" x14ac:dyDescent="0.15">
      <c r="B112" s="49"/>
      <c r="C112" s="38"/>
      <c r="D112" s="39"/>
      <c r="E112" s="39"/>
      <c r="F112" s="40"/>
      <c r="G112" s="41"/>
      <c r="H112" s="42"/>
      <c r="I112" s="43"/>
    </row>
    <row r="113" spans="2:9" x14ac:dyDescent="0.15">
      <c r="B113" s="49"/>
      <c r="C113" s="38"/>
      <c r="D113" s="39"/>
      <c r="E113" s="39"/>
      <c r="F113" s="40"/>
      <c r="G113" s="41"/>
      <c r="H113" s="42"/>
      <c r="I113" s="43"/>
    </row>
    <row r="114" spans="2:9" x14ac:dyDescent="0.15">
      <c r="B114" s="49"/>
      <c r="C114" s="38"/>
      <c r="D114" s="39"/>
      <c r="E114" s="39"/>
      <c r="F114" s="40"/>
      <c r="G114" s="41"/>
      <c r="H114" s="42"/>
      <c r="I114" s="43"/>
    </row>
    <row r="115" spans="2:9" x14ac:dyDescent="0.15">
      <c r="B115" s="49"/>
      <c r="C115" s="38"/>
      <c r="D115" s="39"/>
      <c r="E115" s="39"/>
      <c r="F115" s="40"/>
      <c r="G115" s="41"/>
      <c r="H115" s="42"/>
      <c r="I115" s="43"/>
    </row>
    <row r="116" spans="2:9" x14ac:dyDescent="0.15">
      <c r="B116" s="49"/>
      <c r="C116" s="38"/>
      <c r="D116" s="39"/>
      <c r="E116" s="39"/>
      <c r="F116" s="40"/>
      <c r="G116" s="41"/>
      <c r="H116" s="42"/>
      <c r="I116" s="43"/>
    </row>
    <row r="117" spans="2:9" x14ac:dyDescent="0.15">
      <c r="B117" s="49"/>
      <c r="C117" s="38"/>
      <c r="D117" s="39"/>
      <c r="E117" s="39"/>
      <c r="F117" s="40"/>
      <c r="G117" s="41"/>
      <c r="H117" s="42"/>
      <c r="I117" s="43"/>
    </row>
    <row r="118" spans="2:9" x14ac:dyDescent="0.15">
      <c r="B118" s="49"/>
      <c r="C118" s="38"/>
      <c r="D118" s="39"/>
      <c r="E118" s="39"/>
      <c r="F118" s="40"/>
      <c r="G118" s="41"/>
      <c r="H118" s="42"/>
      <c r="I118" s="43"/>
    </row>
    <row r="119" spans="2:9" x14ac:dyDescent="0.15">
      <c r="B119" s="49"/>
      <c r="C119" s="38"/>
      <c r="D119" s="39"/>
      <c r="E119" s="39"/>
      <c r="F119" s="40"/>
      <c r="G119" s="41"/>
      <c r="H119" s="42"/>
      <c r="I119" s="43"/>
    </row>
    <row r="120" spans="2:9" x14ac:dyDescent="0.15">
      <c r="B120" s="49"/>
      <c r="C120" s="38"/>
      <c r="D120" s="39"/>
      <c r="E120" s="39"/>
      <c r="F120" s="40"/>
      <c r="G120" s="41"/>
      <c r="H120" s="42"/>
      <c r="I120" s="43"/>
    </row>
    <row r="121" spans="2:9" x14ac:dyDescent="0.15">
      <c r="B121" s="49"/>
      <c r="C121" s="38"/>
      <c r="D121" s="39"/>
      <c r="E121" s="39"/>
      <c r="F121" s="40"/>
      <c r="G121" s="41"/>
      <c r="H121" s="42"/>
      <c r="I121" s="43"/>
    </row>
    <row r="122" spans="2:9" x14ac:dyDescent="0.15">
      <c r="B122" s="56"/>
      <c r="C122" s="57"/>
      <c r="D122" s="58"/>
      <c r="E122" s="58"/>
      <c r="F122" s="59"/>
      <c r="G122" s="60"/>
      <c r="H122" s="61"/>
      <c r="I122" s="62"/>
    </row>
    <row r="123" spans="2:9" x14ac:dyDescent="0.15">
      <c r="B123" s="49"/>
      <c r="C123" s="38"/>
      <c r="D123" s="39"/>
      <c r="E123" s="39"/>
      <c r="F123" s="40"/>
      <c r="G123" s="41"/>
      <c r="H123" s="42"/>
      <c r="I123" s="43"/>
    </row>
    <row r="124" spans="2:9" x14ac:dyDescent="0.15">
      <c r="B124" s="49"/>
      <c r="C124" s="38"/>
      <c r="D124" s="39"/>
      <c r="E124" s="39"/>
      <c r="F124" s="40"/>
      <c r="G124" s="41"/>
      <c r="H124" s="42"/>
      <c r="I124" s="43"/>
    </row>
    <row r="125" spans="2:9" x14ac:dyDescent="0.15">
      <c r="B125" s="49"/>
      <c r="C125" s="38"/>
      <c r="D125" s="39"/>
      <c r="E125" s="39"/>
      <c r="F125" s="40"/>
      <c r="G125" s="41"/>
      <c r="H125" s="42"/>
      <c r="I125" s="43"/>
    </row>
    <row r="126" spans="2:9" x14ac:dyDescent="0.15">
      <c r="B126" s="49"/>
      <c r="C126" s="38"/>
      <c r="D126" s="39"/>
      <c r="E126" s="39"/>
      <c r="F126" s="40"/>
      <c r="G126" s="41"/>
      <c r="H126" s="42"/>
      <c r="I126" s="43"/>
    </row>
    <row r="127" spans="2:9" x14ac:dyDescent="0.15">
      <c r="B127" s="49"/>
      <c r="C127" s="38"/>
      <c r="D127" s="39"/>
      <c r="E127" s="39"/>
      <c r="F127" s="40"/>
      <c r="G127" s="41"/>
      <c r="H127" s="42"/>
      <c r="I127" s="43"/>
    </row>
    <row r="128" spans="2:9" x14ac:dyDescent="0.15">
      <c r="B128" s="49"/>
      <c r="C128" s="38"/>
      <c r="D128" s="39"/>
      <c r="E128" s="39"/>
      <c r="F128" s="40"/>
      <c r="G128" s="41"/>
      <c r="H128" s="42"/>
      <c r="I128" s="43"/>
    </row>
    <row r="129" spans="2:9" x14ac:dyDescent="0.15">
      <c r="B129" s="49"/>
      <c r="C129" s="38"/>
      <c r="D129" s="39"/>
      <c r="E129" s="39"/>
      <c r="F129" s="40"/>
      <c r="G129" s="41"/>
      <c r="H129" s="42"/>
      <c r="I129" s="43"/>
    </row>
    <row r="130" spans="2:9" x14ac:dyDescent="0.15">
      <c r="B130" s="49"/>
      <c r="C130" s="38"/>
      <c r="D130" s="39"/>
      <c r="E130" s="39"/>
      <c r="F130" s="40"/>
      <c r="G130" s="41"/>
      <c r="H130" s="42"/>
      <c r="I130" s="43"/>
    </row>
    <row r="131" spans="2:9" x14ac:dyDescent="0.15">
      <c r="B131" s="49"/>
      <c r="C131" s="38"/>
      <c r="D131" s="39"/>
      <c r="E131" s="39"/>
      <c r="F131" s="40"/>
      <c r="G131" s="41"/>
      <c r="H131" s="42"/>
      <c r="I131" s="43"/>
    </row>
    <row r="132" spans="2:9" x14ac:dyDescent="0.15">
      <c r="B132" s="49"/>
      <c r="C132" s="38"/>
      <c r="D132" s="39"/>
      <c r="E132" s="39"/>
      <c r="F132" s="40"/>
      <c r="G132" s="41"/>
      <c r="H132" s="42"/>
      <c r="I132" s="43"/>
    </row>
    <row r="133" spans="2:9" x14ac:dyDescent="0.15">
      <c r="B133" s="49"/>
      <c r="C133" s="38"/>
      <c r="D133" s="39"/>
      <c r="E133" s="39"/>
      <c r="F133" s="40"/>
      <c r="G133" s="41"/>
      <c r="H133" s="42"/>
      <c r="I133" s="43"/>
    </row>
    <row r="134" spans="2:9" x14ac:dyDescent="0.15">
      <c r="B134" s="49"/>
      <c r="C134" s="38"/>
      <c r="D134" s="39"/>
      <c r="E134" s="39"/>
      <c r="F134" s="40"/>
      <c r="G134" s="41"/>
      <c r="H134" s="42"/>
      <c r="I134" s="43"/>
    </row>
    <row r="135" spans="2:9" x14ac:dyDescent="0.15">
      <c r="B135" s="49"/>
      <c r="C135" s="38"/>
      <c r="D135" s="39"/>
      <c r="E135" s="39"/>
      <c r="F135" s="40"/>
      <c r="G135" s="41"/>
      <c r="H135" s="42"/>
      <c r="I135" s="43"/>
    </row>
    <row r="136" spans="2:9" x14ac:dyDescent="0.15">
      <c r="B136" s="49"/>
      <c r="C136" s="38"/>
      <c r="D136" s="39"/>
      <c r="E136" s="39"/>
      <c r="F136" s="40"/>
      <c r="G136" s="41"/>
      <c r="H136" s="42"/>
      <c r="I136" s="43"/>
    </row>
    <row r="137" spans="2:9" x14ac:dyDescent="0.15">
      <c r="B137" s="49"/>
      <c r="C137" s="38"/>
      <c r="D137" s="39"/>
      <c r="E137" s="39"/>
      <c r="F137" s="40"/>
      <c r="G137" s="41"/>
      <c r="H137" s="42"/>
      <c r="I137" s="43"/>
    </row>
    <row r="138" spans="2:9" x14ac:dyDescent="0.15">
      <c r="B138" s="49"/>
      <c r="C138" s="38"/>
      <c r="D138" s="39"/>
      <c r="E138" s="39"/>
      <c r="F138" s="40"/>
      <c r="G138" s="41"/>
      <c r="H138" s="42"/>
      <c r="I138" s="43"/>
    </row>
    <row r="139" spans="2:9" x14ac:dyDescent="0.15">
      <c r="B139" s="49"/>
      <c r="C139" s="38"/>
      <c r="D139" s="39"/>
      <c r="E139" s="39"/>
      <c r="F139" s="40"/>
      <c r="G139" s="41"/>
      <c r="H139" s="42"/>
      <c r="I139" s="43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92" t="s">
        <v>163</v>
      </c>
      <c r="C6" s="92"/>
      <c r="D6" s="92"/>
    </row>
    <row r="8" spans="2:4" ht="15" x14ac:dyDescent="0.15">
      <c r="B8" s="93" t="str">
        <f>"ver. "&amp;INDEX(Cover!B25:B56,COUNTA(Cover!B25:B56),0)</f>
        <v>ver. 1.3.1</v>
      </c>
      <c r="C8" s="93"/>
      <c r="D8" s="93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4" t="s">
        <v>118</v>
      </c>
      <c r="D12" s="25" t="s">
        <v>164</v>
      </c>
    </row>
    <row r="13" spans="1:4" ht="83.25" x14ac:dyDescent="0.15">
      <c r="C13" s="95"/>
      <c r="D13" s="25" t="s">
        <v>171</v>
      </c>
    </row>
    <row r="14" spans="1:4" ht="27.75" x14ac:dyDescent="0.15">
      <c r="C14" s="95"/>
      <c r="D14" s="25" t="s">
        <v>165</v>
      </c>
    </row>
    <row r="15" spans="1:4" ht="28.5" x14ac:dyDescent="0.15">
      <c r="C15" s="95"/>
      <c r="D15" s="25" t="s">
        <v>172</v>
      </c>
    </row>
    <row r="16" spans="1:4" x14ac:dyDescent="0.15">
      <c r="C16" s="96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97" t="s">
        <v>222</v>
      </c>
      <c r="D23" s="25" t="s">
        <v>129</v>
      </c>
    </row>
    <row r="24" spans="1:4" x14ac:dyDescent="0.15">
      <c r="C24" s="98"/>
      <c r="D24" s="15" t="s">
        <v>223</v>
      </c>
    </row>
    <row r="25" spans="1:4" ht="27" x14ac:dyDescent="0.15">
      <c r="C25" s="94" t="s">
        <v>126</v>
      </c>
      <c r="D25" s="25" t="s">
        <v>174</v>
      </c>
    </row>
    <row r="26" spans="1:4" ht="27.75" x14ac:dyDescent="0.15">
      <c r="C26" s="96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99" t="s">
        <v>117</v>
      </c>
      <c r="H7" s="100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330</v>
      </c>
      <c r="G8" s="24" t="s">
        <v>7</v>
      </c>
      <c r="H8" s="24" t="s">
        <v>90</v>
      </c>
      <c r="I8" s="24" t="s">
        <v>20</v>
      </c>
      <c r="J8" s="9" t="s">
        <v>288</v>
      </c>
      <c r="K8" s="24">
        <v>0</v>
      </c>
      <c r="L8" s="24" t="s">
        <v>334</v>
      </c>
      <c r="M8" s="24" t="s">
        <v>229</v>
      </c>
      <c r="N8" s="24" t="s">
        <v>90</v>
      </c>
      <c r="P8" s="1" t="s">
        <v>335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331</v>
      </c>
      <c r="G9" s="24" t="s">
        <v>9</v>
      </c>
      <c r="H9" s="24" t="s">
        <v>90</v>
      </c>
      <c r="I9" s="24" t="s">
        <v>20</v>
      </c>
      <c r="J9" s="24" t="s">
        <v>288</v>
      </c>
      <c r="K9" s="24">
        <v>0</v>
      </c>
      <c r="L9" s="24" t="s">
        <v>336</v>
      </c>
      <c r="M9" s="24" t="s">
        <v>230</v>
      </c>
      <c r="N9" s="24" t="s">
        <v>90</v>
      </c>
      <c r="P9" s="1" t="s">
        <v>337</v>
      </c>
      <c r="Q9" s="1" t="s">
        <v>131</v>
      </c>
    </row>
    <row r="10" spans="1:20" x14ac:dyDescent="0.15">
      <c r="E10" s="4">
        <f t="shared" si="0"/>
        <v>3</v>
      </c>
      <c r="F10" s="24" t="s">
        <v>332</v>
      </c>
      <c r="G10" s="24" t="s">
        <v>11</v>
      </c>
      <c r="H10" s="24" t="s">
        <v>90</v>
      </c>
      <c r="I10" s="24" t="s">
        <v>20</v>
      </c>
      <c r="J10" s="24" t="s">
        <v>288</v>
      </c>
      <c r="K10" s="24">
        <v>0</v>
      </c>
      <c r="L10" s="24" t="s">
        <v>338</v>
      </c>
      <c r="M10" s="24" t="s">
        <v>231</v>
      </c>
      <c r="N10" s="24" t="s">
        <v>90</v>
      </c>
      <c r="P10" s="1" t="s">
        <v>339</v>
      </c>
      <c r="Q10" s="1" t="s">
        <v>132</v>
      </c>
    </row>
    <row r="11" spans="1:20" x14ac:dyDescent="0.15">
      <c r="E11" s="4">
        <f t="shared" si="0"/>
        <v>4</v>
      </c>
      <c r="F11" s="24" t="s">
        <v>333</v>
      </c>
      <c r="G11" s="24" t="s">
        <v>29</v>
      </c>
      <c r="H11" s="24">
        <v>4</v>
      </c>
      <c r="I11" s="24" t="s">
        <v>20</v>
      </c>
      <c r="J11" s="24" t="s">
        <v>288</v>
      </c>
      <c r="K11" s="24">
        <v>0</v>
      </c>
      <c r="L11" s="24" t="s">
        <v>340</v>
      </c>
      <c r="M11" s="24" t="s">
        <v>232</v>
      </c>
      <c r="N11" s="24">
        <v>0</v>
      </c>
      <c r="P11" s="1" t="s">
        <v>341</v>
      </c>
      <c r="Q11" s="1" t="s">
        <v>133</v>
      </c>
      <c r="S11" s="1" t="s">
        <v>343</v>
      </c>
      <c r="T11" s="1" t="s">
        <v>134</v>
      </c>
    </row>
    <row r="12" spans="1:20" x14ac:dyDescent="0.15">
      <c r="E12" s="4">
        <f t="shared" si="0"/>
        <v>5</v>
      </c>
      <c r="F12" s="24" t="s">
        <v>289</v>
      </c>
      <c r="G12" s="24" t="s">
        <v>7</v>
      </c>
      <c r="H12" s="24" t="s">
        <v>90</v>
      </c>
      <c r="I12" s="24" t="s">
        <v>21</v>
      </c>
      <c r="J12" s="24" t="s">
        <v>288</v>
      </c>
      <c r="K12" s="24">
        <v>0</v>
      </c>
      <c r="L12" s="24" t="s">
        <v>301</v>
      </c>
      <c r="M12" s="24" t="s">
        <v>233</v>
      </c>
      <c r="N12" s="24" t="s">
        <v>90</v>
      </c>
      <c r="P12" s="1" t="s">
        <v>302</v>
      </c>
      <c r="Q12" s="1" t="s">
        <v>135</v>
      </c>
    </row>
    <row r="13" spans="1:20" x14ac:dyDescent="0.15">
      <c r="E13" s="4">
        <f t="shared" si="0"/>
        <v>6</v>
      </c>
      <c r="F13" s="24" t="s">
        <v>290</v>
      </c>
      <c r="G13" s="24" t="s">
        <v>9</v>
      </c>
      <c r="H13" s="24" t="s">
        <v>90</v>
      </c>
      <c r="I13" s="24" t="s">
        <v>21</v>
      </c>
      <c r="J13" s="24" t="s">
        <v>288</v>
      </c>
      <c r="K13" s="24">
        <v>0</v>
      </c>
      <c r="L13" s="24" t="s">
        <v>303</v>
      </c>
      <c r="M13" s="24" t="s">
        <v>234</v>
      </c>
      <c r="N13" s="24" t="s">
        <v>90</v>
      </c>
      <c r="P13" s="1" t="s">
        <v>304</v>
      </c>
      <c r="Q13" s="1" t="s">
        <v>136</v>
      </c>
    </row>
    <row r="14" spans="1:20" x14ac:dyDescent="0.15">
      <c r="E14" s="4">
        <f t="shared" si="0"/>
        <v>7</v>
      </c>
      <c r="F14" s="24" t="s">
        <v>291</v>
      </c>
      <c r="G14" s="24" t="s">
        <v>11</v>
      </c>
      <c r="H14" s="24" t="s">
        <v>90</v>
      </c>
      <c r="I14" s="24" t="s">
        <v>21</v>
      </c>
      <c r="J14" s="24" t="s">
        <v>288</v>
      </c>
      <c r="K14" s="24">
        <v>0</v>
      </c>
      <c r="L14" s="24" t="s">
        <v>305</v>
      </c>
      <c r="M14" s="24" t="s">
        <v>235</v>
      </c>
      <c r="N14" s="24" t="s">
        <v>90</v>
      </c>
      <c r="P14" s="1" t="s">
        <v>306</v>
      </c>
      <c r="Q14" s="1" t="s">
        <v>137</v>
      </c>
    </row>
    <row r="15" spans="1:20" x14ac:dyDescent="0.15">
      <c r="E15" s="4">
        <f t="shared" si="0"/>
        <v>8</v>
      </c>
      <c r="F15" s="24" t="s">
        <v>292</v>
      </c>
      <c r="G15" s="24" t="s">
        <v>7</v>
      </c>
      <c r="H15" s="24" t="s">
        <v>90</v>
      </c>
      <c r="I15" s="24" t="s">
        <v>22</v>
      </c>
      <c r="J15" s="24" t="s">
        <v>288</v>
      </c>
      <c r="K15" s="24">
        <v>0</v>
      </c>
      <c r="L15" s="24" t="s">
        <v>307</v>
      </c>
      <c r="M15" s="24" t="s">
        <v>236</v>
      </c>
      <c r="N15" s="24" t="s">
        <v>90</v>
      </c>
      <c r="P15" s="1" t="s">
        <v>308</v>
      </c>
      <c r="Q15" s="1" t="s">
        <v>138</v>
      </c>
    </row>
    <row r="16" spans="1:20" x14ac:dyDescent="0.15">
      <c r="E16" s="4">
        <f t="shared" si="0"/>
        <v>9</v>
      </c>
      <c r="F16" s="24" t="s">
        <v>294</v>
      </c>
      <c r="G16" s="24" t="s">
        <v>9</v>
      </c>
      <c r="H16" s="24" t="s">
        <v>90</v>
      </c>
      <c r="I16" s="24" t="s">
        <v>22</v>
      </c>
      <c r="J16" s="24" t="s">
        <v>288</v>
      </c>
      <c r="K16" s="24">
        <v>0</v>
      </c>
      <c r="L16" s="24" t="s">
        <v>309</v>
      </c>
      <c r="M16" s="24" t="s">
        <v>237</v>
      </c>
      <c r="N16" s="24" t="s">
        <v>90</v>
      </c>
      <c r="P16" s="1" t="s">
        <v>310</v>
      </c>
      <c r="Q16" s="1" t="s">
        <v>139</v>
      </c>
    </row>
    <row r="17" spans="3:20" x14ac:dyDescent="0.15">
      <c r="E17" s="4">
        <f t="shared" si="0"/>
        <v>10</v>
      </c>
      <c r="F17" s="24" t="s">
        <v>295</v>
      </c>
      <c r="G17" s="24" t="s">
        <v>11</v>
      </c>
      <c r="H17" s="24" t="s">
        <v>90</v>
      </c>
      <c r="I17" s="24" t="s">
        <v>22</v>
      </c>
      <c r="J17" s="24" t="s">
        <v>288</v>
      </c>
      <c r="K17" s="24">
        <v>0</v>
      </c>
      <c r="L17" s="24" t="s">
        <v>311</v>
      </c>
      <c r="M17" s="24" t="s">
        <v>238</v>
      </c>
      <c r="N17" s="24" t="s">
        <v>90</v>
      </c>
      <c r="P17" s="1" t="s">
        <v>312</v>
      </c>
      <c r="Q17" s="1" t="s">
        <v>140</v>
      </c>
    </row>
    <row r="18" spans="3:20" x14ac:dyDescent="0.15">
      <c r="E18" s="4">
        <f t="shared" si="0"/>
        <v>11</v>
      </c>
      <c r="F18" s="24" t="s">
        <v>296</v>
      </c>
      <c r="G18" s="24" t="s">
        <v>29</v>
      </c>
      <c r="H18" s="24">
        <v>4</v>
      </c>
      <c r="I18" s="24" t="s">
        <v>22</v>
      </c>
      <c r="J18" s="24" t="s">
        <v>288</v>
      </c>
      <c r="K18" s="24">
        <v>0</v>
      </c>
      <c r="L18" s="24" t="s">
        <v>313</v>
      </c>
      <c r="M18" s="24" t="s">
        <v>239</v>
      </c>
      <c r="N18" s="24">
        <v>0</v>
      </c>
      <c r="P18" s="1" t="s">
        <v>314</v>
      </c>
      <c r="Q18" s="1" t="s">
        <v>141</v>
      </c>
      <c r="S18" s="1" t="s">
        <v>327</v>
      </c>
      <c r="T18" s="1" t="s">
        <v>142</v>
      </c>
    </row>
    <row r="19" spans="3:20" x14ac:dyDescent="0.15">
      <c r="E19" s="4">
        <f t="shared" si="0"/>
        <v>12</v>
      </c>
      <c r="F19" s="24" t="s">
        <v>293</v>
      </c>
      <c r="G19" s="24" t="s">
        <v>7</v>
      </c>
      <c r="H19" s="24" t="s">
        <v>90</v>
      </c>
      <c r="I19" s="24" t="s">
        <v>23</v>
      </c>
      <c r="J19" s="24" t="s">
        <v>288</v>
      </c>
      <c r="K19" s="24">
        <v>0</v>
      </c>
      <c r="L19" s="24" t="s">
        <v>315</v>
      </c>
      <c r="M19" s="24" t="s">
        <v>240</v>
      </c>
      <c r="N19" s="24" t="s">
        <v>90</v>
      </c>
      <c r="P19" s="1" t="s">
        <v>316</v>
      </c>
      <c r="Q19" s="1" t="s">
        <v>143</v>
      </c>
    </row>
    <row r="20" spans="3:20" x14ac:dyDescent="0.15">
      <c r="E20" s="4">
        <f t="shared" si="0"/>
        <v>13</v>
      </c>
      <c r="F20" s="24" t="s">
        <v>297</v>
      </c>
      <c r="G20" s="24" t="s">
        <v>9</v>
      </c>
      <c r="H20" s="24" t="s">
        <v>90</v>
      </c>
      <c r="I20" s="24" t="s">
        <v>23</v>
      </c>
      <c r="J20" s="24" t="s">
        <v>288</v>
      </c>
      <c r="K20" s="24">
        <v>0</v>
      </c>
      <c r="L20" s="24" t="s">
        <v>317</v>
      </c>
      <c r="M20" s="24" t="s">
        <v>241</v>
      </c>
      <c r="N20" s="24" t="s">
        <v>90</v>
      </c>
      <c r="P20" s="1" t="s">
        <v>318</v>
      </c>
      <c r="Q20" s="1" t="s">
        <v>153</v>
      </c>
    </row>
    <row r="21" spans="3:20" x14ac:dyDescent="0.15">
      <c r="E21" s="4">
        <f t="shared" si="0"/>
        <v>14</v>
      </c>
      <c r="F21" s="24" t="s">
        <v>298</v>
      </c>
      <c r="G21" s="24" t="s">
        <v>11</v>
      </c>
      <c r="H21" s="24" t="s">
        <v>90</v>
      </c>
      <c r="I21" s="24" t="s">
        <v>23</v>
      </c>
      <c r="J21" s="24" t="s">
        <v>288</v>
      </c>
      <c r="K21" s="24">
        <v>0</v>
      </c>
      <c r="L21" s="24" t="s">
        <v>319</v>
      </c>
      <c r="M21" s="24" t="s">
        <v>242</v>
      </c>
      <c r="N21" s="24" t="s">
        <v>90</v>
      </c>
      <c r="P21" s="1" t="s">
        <v>320</v>
      </c>
      <c r="Q21" s="1" t="s">
        <v>144</v>
      </c>
    </row>
    <row r="22" spans="3:20" x14ac:dyDescent="0.15">
      <c r="E22" s="4">
        <f t="shared" si="0"/>
        <v>15</v>
      </c>
      <c r="F22" s="24" t="s">
        <v>299</v>
      </c>
      <c r="G22" s="24" t="s">
        <v>29</v>
      </c>
      <c r="H22" s="24">
        <v>4</v>
      </c>
      <c r="I22" s="24" t="s">
        <v>23</v>
      </c>
      <c r="J22" s="24" t="s">
        <v>288</v>
      </c>
      <c r="K22" s="24">
        <v>0</v>
      </c>
      <c r="L22" s="24" t="s">
        <v>321</v>
      </c>
      <c r="M22" s="24" t="s">
        <v>243</v>
      </c>
      <c r="N22" s="24">
        <v>0</v>
      </c>
      <c r="P22" s="1" t="s">
        <v>322</v>
      </c>
      <c r="Q22" s="1" t="s">
        <v>154</v>
      </c>
      <c r="S22" s="1" t="s">
        <v>323</v>
      </c>
      <c r="T22" s="1" t="s">
        <v>155</v>
      </c>
    </row>
    <row r="23" spans="3:20" x14ac:dyDescent="0.15">
      <c r="E23" s="4">
        <f t="shared" si="0"/>
        <v>16</v>
      </c>
      <c r="F23" s="24" t="s">
        <v>300</v>
      </c>
      <c r="G23" s="24" t="s">
        <v>29</v>
      </c>
      <c r="H23" s="24">
        <v>8</v>
      </c>
      <c r="I23" s="24" t="s">
        <v>23</v>
      </c>
      <c r="J23" s="24" t="s">
        <v>288</v>
      </c>
      <c r="K23" s="24">
        <v>1</v>
      </c>
      <c r="L23" s="24" t="s">
        <v>324</v>
      </c>
      <c r="M23" s="24" t="s">
        <v>278</v>
      </c>
      <c r="N23" s="24">
        <v>1</v>
      </c>
      <c r="P23" s="1" t="s">
        <v>325</v>
      </c>
      <c r="Q23" s="1" t="s">
        <v>154</v>
      </c>
      <c r="S23" s="1" t="s">
        <v>329</v>
      </c>
      <c r="T23" s="1" t="s">
        <v>155</v>
      </c>
    </row>
    <row r="24" spans="3:20" x14ac:dyDescent="0.15">
      <c r="C24" s="83" t="s">
        <v>358</v>
      </c>
      <c r="E24" s="4">
        <f t="shared" si="0"/>
        <v>17</v>
      </c>
      <c r="F24" s="84" t="s">
        <v>344</v>
      </c>
      <c r="G24" s="84" t="s">
        <v>7</v>
      </c>
      <c r="H24" s="84" t="s">
        <v>90</v>
      </c>
      <c r="I24" s="84" t="s">
        <v>20</v>
      </c>
      <c r="J24" s="85" t="s">
        <v>345</v>
      </c>
      <c r="K24" s="24">
        <v>1</v>
      </c>
      <c r="L24" s="24" t="s">
        <v>374</v>
      </c>
      <c r="M24" s="24" t="s">
        <v>375</v>
      </c>
      <c r="N24" s="24" t="s">
        <v>90</v>
      </c>
      <c r="P24" s="1" t="s">
        <v>376</v>
      </c>
      <c r="Q24" s="1" t="s">
        <v>130</v>
      </c>
    </row>
    <row r="25" spans="3:20" x14ac:dyDescent="0.15">
      <c r="C25" s="83" t="s">
        <v>358</v>
      </c>
      <c r="E25" s="4">
        <f t="shared" si="0"/>
        <v>18</v>
      </c>
      <c r="F25" s="84" t="s">
        <v>346</v>
      </c>
      <c r="G25" s="84" t="s">
        <v>7</v>
      </c>
      <c r="H25" s="84" t="s">
        <v>90</v>
      </c>
      <c r="I25" s="84" t="s">
        <v>20</v>
      </c>
      <c r="J25" s="85" t="s">
        <v>345</v>
      </c>
      <c r="K25" s="24">
        <v>2</v>
      </c>
      <c r="L25" s="24" t="s">
        <v>377</v>
      </c>
      <c r="M25" s="24" t="s">
        <v>378</v>
      </c>
      <c r="N25" s="24" t="s">
        <v>90</v>
      </c>
      <c r="P25" s="1" t="s">
        <v>379</v>
      </c>
      <c r="Q25" s="1" t="s">
        <v>130</v>
      </c>
    </row>
    <row r="26" spans="3:20" x14ac:dyDescent="0.15">
      <c r="C26" s="83" t="s">
        <v>358</v>
      </c>
      <c r="E26" s="4">
        <f t="shared" si="0"/>
        <v>19</v>
      </c>
      <c r="F26" s="84" t="s">
        <v>347</v>
      </c>
      <c r="G26" s="84" t="s">
        <v>7</v>
      </c>
      <c r="H26" s="84" t="s">
        <v>90</v>
      </c>
      <c r="I26" s="84" t="s">
        <v>20</v>
      </c>
      <c r="J26" s="85" t="s">
        <v>345</v>
      </c>
      <c r="K26" s="24">
        <v>3</v>
      </c>
      <c r="L26" s="24" t="s">
        <v>380</v>
      </c>
      <c r="M26" s="24" t="s">
        <v>381</v>
      </c>
      <c r="N26" s="24" t="s">
        <v>90</v>
      </c>
      <c r="P26" s="1" t="s">
        <v>382</v>
      </c>
      <c r="Q26" s="1" t="s">
        <v>130</v>
      </c>
    </row>
    <row r="27" spans="3:20" x14ac:dyDescent="0.15">
      <c r="C27" s="63" t="s">
        <v>386</v>
      </c>
      <c r="E27" s="4">
        <f t="shared" si="0"/>
        <v>20</v>
      </c>
      <c r="F27" s="82" t="s">
        <v>387</v>
      </c>
      <c r="G27" s="82" t="s">
        <v>7</v>
      </c>
      <c r="H27" s="82" t="s">
        <v>24</v>
      </c>
      <c r="I27" s="82" t="s">
        <v>20</v>
      </c>
      <c r="J27" s="82" t="s">
        <v>388</v>
      </c>
      <c r="K27" s="24">
        <v>4</v>
      </c>
      <c r="L27" s="24" t="s">
        <v>389</v>
      </c>
      <c r="M27" s="24" t="s">
        <v>390</v>
      </c>
      <c r="N27" s="24" t="s">
        <v>90</v>
      </c>
      <c r="P27" s="1" t="s">
        <v>391</v>
      </c>
      <c r="Q27" s="1" t="s">
        <v>130</v>
      </c>
    </row>
    <row r="28" spans="3:20" x14ac:dyDescent="0.15">
      <c r="E28" s="4">
        <f t="shared" si="0"/>
        <v>21</v>
      </c>
      <c r="F28" s="24"/>
      <c r="G28" s="24"/>
      <c r="H28" s="24"/>
      <c r="I28" s="24"/>
      <c r="J28" s="9"/>
      <c r="K28" s="24"/>
      <c r="L28" s="24"/>
      <c r="M28" s="24"/>
      <c r="N28" s="24"/>
    </row>
    <row r="29" spans="3:20" x14ac:dyDescent="0.15">
      <c r="E29" s="4">
        <f t="shared" si="0"/>
        <v>22</v>
      </c>
      <c r="F29" s="24"/>
      <c r="G29" s="24"/>
      <c r="H29" s="24"/>
      <c r="I29" s="24"/>
      <c r="J29" s="9"/>
      <c r="K29" s="24"/>
      <c r="L29" s="24"/>
      <c r="M29" s="24"/>
      <c r="N29" s="24"/>
    </row>
    <row r="30" spans="3:20" x14ac:dyDescent="0.15">
      <c r="E30" s="4">
        <f t="shared" si="0"/>
        <v>23</v>
      </c>
      <c r="F30" s="24"/>
      <c r="G30" s="24"/>
      <c r="H30" s="24"/>
      <c r="I30" s="24"/>
      <c r="J30" s="9"/>
      <c r="K30" s="24"/>
      <c r="L30" s="24"/>
      <c r="M30" s="24"/>
      <c r="N30" s="24"/>
    </row>
    <row r="31" spans="3:20" x14ac:dyDescent="0.15">
      <c r="E31" s="4">
        <f t="shared" si="0"/>
        <v>24</v>
      </c>
      <c r="F31" s="24"/>
      <c r="G31" s="24"/>
      <c r="H31" s="24"/>
      <c r="I31" s="24"/>
      <c r="J31" s="9"/>
      <c r="K31" s="24"/>
      <c r="L31" s="24"/>
      <c r="M31" s="24"/>
      <c r="N31" s="24"/>
    </row>
    <row r="32" spans="3:20" x14ac:dyDescent="0.15">
      <c r="E32" s="4">
        <f t="shared" si="0"/>
        <v>25</v>
      </c>
      <c r="F32" s="24"/>
      <c r="G32" s="24"/>
      <c r="H32" s="24"/>
      <c r="I32" s="24"/>
      <c r="J32" s="9"/>
      <c r="K32" s="24"/>
      <c r="L32" s="24"/>
      <c r="M32" s="24"/>
      <c r="N32" s="24"/>
    </row>
    <row r="33" spans="5:14" x14ac:dyDescent="0.15">
      <c r="E33" s="4">
        <f t="shared" si="0"/>
        <v>26</v>
      </c>
      <c r="F33" s="24"/>
      <c r="G33" s="24"/>
      <c r="H33" s="24"/>
      <c r="I33" s="24"/>
      <c r="J33" s="9"/>
      <c r="K33" s="24"/>
      <c r="L33" s="24"/>
      <c r="M33" s="24"/>
      <c r="N33" s="24"/>
    </row>
    <row r="34" spans="5:14" x14ac:dyDescent="0.15">
      <c r="E34" s="4">
        <f t="shared" si="0"/>
        <v>27</v>
      </c>
      <c r="F34" s="24"/>
      <c r="G34" s="24"/>
      <c r="H34" s="24"/>
      <c r="I34" s="24"/>
      <c r="J34" s="9"/>
      <c r="K34" s="24"/>
      <c r="L34" s="24"/>
      <c r="M34" s="24"/>
      <c r="N34" s="24"/>
    </row>
    <row r="35" spans="5:14" x14ac:dyDescent="0.15">
      <c r="E35" s="4">
        <f t="shared" si="0"/>
        <v>28</v>
      </c>
      <c r="F35" s="24"/>
      <c r="G35" s="24"/>
      <c r="H35" s="24"/>
      <c r="I35" s="24"/>
      <c r="J35" s="9"/>
      <c r="K35" s="24"/>
      <c r="L35" s="24"/>
      <c r="M35" s="24"/>
      <c r="N35" s="24"/>
    </row>
    <row r="36" spans="5:14" x14ac:dyDescent="0.15">
      <c r="E36" s="4">
        <f t="shared" si="0"/>
        <v>29</v>
      </c>
      <c r="F36" s="24"/>
      <c r="G36" s="24"/>
      <c r="H36" s="24"/>
      <c r="I36" s="24"/>
      <c r="J36" s="9"/>
      <c r="K36" s="24"/>
      <c r="L36" s="24"/>
      <c r="M36" s="24"/>
      <c r="N36" s="24"/>
    </row>
    <row r="37" spans="5:14" x14ac:dyDescent="0.15">
      <c r="E37" s="4">
        <f t="shared" si="0"/>
        <v>30</v>
      </c>
      <c r="F37" s="24"/>
      <c r="G37" s="24"/>
      <c r="H37" s="24"/>
      <c r="I37" s="24"/>
      <c r="J37" s="9"/>
      <c r="K37" s="24"/>
      <c r="L37" s="24"/>
      <c r="M37" s="24"/>
      <c r="N37" s="24"/>
    </row>
    <row r="38" spans="5:14" x14ac:dyDescent="0.15">
      <c r="E38" s="4">
        <f t="shared" si="0"/>
        <v>31</v>
      </c>
      <c r="F38" s="24"/>
      <c r="G38" s="24"/>
      <c r="H38" s="24"/>
      <c r="I38" s="24"/>
      <c r="J38" s="9"/>
      <c r="K38" s="24"/>
      <c r="L38" s="24"/>
      <c r="M38" s="24"/>
      <c r="N38" s="24"/>
    </row>
    <row r="39" spans="5:14" x14ac:dyDescent="0.15">
      <c r="E39" s="4">
        <f t="shared" si="0"/>
        <v>32</v>
      </c>
      <c r="F39" s="24"/>
      <c r="G39" s="24"/>
      <c r="H39" s="24"/>
      <c r="I39" s="24"/>
      <c r="J39" s="9"/>
      <c r="K39" s="24"/>
      <c r="L39" s="24"/>
      <c r="M39" s="24"/>
      <c r="N39" s="24"/>
    </row>
    <row r="40" spans="5:14" x14ac:dyDescent="0.15">
      <c r="E40" s="4">
        <f t="shared" si="0"/>
        <v>33</v>
      </c>
      <c r="F40" s="24"/>
      <c r="G40" s="24"/>
      <c r="H40" s="24"/>
      <c r="I40" s="24"/>
      <c r="J40" s="9"/>
      <c r="K40" s="24"/>
      <c r="L40" s="24"/>
      <c r="M40" s="24"/>
      <c r="N40" s="24"/>
    </row>
    <row r="41" spans="5:14" x14ac:dyDescent="0.15">
      <c r="E41" s="4">
        <f t="shared" si="0"/>
        <v>34</v>
      </c>
      <c r="F41" s="24"/>
      <c r="G41" s="24"/>
      <c r="H41" s="24"/>
      <c r="I41" s="24"/>
      <c r="J41" s="9"/>
      <c r="K41" s="24"/>
      <c r="L41" s="24"/>
      <c r="M41" s="24"/>
      <c r="N41" s="24"/>
    </row>
    <row r="42" spans="5:14" x14ac:dyDescent="0.15">
      <c r="E42" s="4">
        <f t="shared" si="0"/>
        <v>35</v>
      </c>
      <c r="F42" s="24"/>
      <c r="G42" s="24"/>
      <c r="H42" s="24"/>
      <c r="I42" s="24"/>
      <c r="J42" s="9"/>
      <c r="K42" s="24"/>
      <c r="L42" s="24"/>
      <c r="M42" s="24"/>
      <c r="N42" s="24"/>
    </row>
    <row r="43" spans="5:14" x14ac:dyDescent="0.15">
      <c r="E43" s="4">
        <f t="shared" si="0"/>
        <v>36</v>
      </c>
      <c r="F43" s="24"/>
      <c r="G43" s="24"/>
      <c r="H43" s="24"/>
      <c r="I43" s="24"/>
      <c r="J43" s="9"/>
      <c r="K43" s="24"/>
      <c r="L43" s="24"/>
      <c r="M43" s="24"/>
      <c r="N43" s="24"/>
    </row>
    <row r="44" spans="5:14" x14ac:dyDescent="0.15">
      <c r="E44" s="4">
        <f t="shared" si="0"/>
        <v>37</v>
      </c>
      <c r="F44" s="24"/>
      <c r="G44" s="24"/>
      <c r="H44" s="24"/>
      <c r="I44" s="24"/>
      <c r="J44" s="9"/>
      <c r="K44" s="24"/>
      <c r="L44" s="24"/>
      <c r="M44" s="24"/>
      <c r="N44" s="24"/>
    </row>
    <row r="45" spans="5:14" x14ac:dyDescent="0.15">
      <c r="E45" s="4">
        <f t="shared" si="0"/>
        <v>38</v>
      </c>
      <c r="F45" s="24"/>
      <c r="G45" s="24"/>
      <c r="H45" s="24"/>
      <c r="I45" s="24"/>
      <c r="J45" s="9"/>
      <c r="K45" s="24"/>
      <c r="L45" s="24"/>
      <c r="M45" s="24"/>
      <c r="N45" s="24"/>
    </row>
    <row r="46" spans="5:14" x14ac:dyDescent="0.15">
      <c r="E46" s="4">
        <f t="shared" si="0"/>
        <v>39</v>
      </c>
      <c r="F46" s="24"/>
      <c r="G46" s="24"/>
      <c r="H46" s="24"/>
      <c r="I46" s="24"/>
      <c r="J46" s="9"/>
      <c r="K46" s="24"/>
      <c r="L46" s="24"/>
      <c r="M46" s="24"/>
      <c r="N46" s="24"/>
    </row>
    <row r="47" spans="5:14" x14ac:dyDescent="0.15">
      <c r="E47" s="4">
        <f t="shared" si="0"/>
        <v>40</v>
      </c>
      <c r="F47" s="24"/>
      <c r="G47" s="24"/>
      <c r="H47" s="24"/>
      <c r="I47" s="24"/>
      <c r="J47" s="9"/>
      <c r="K47" s="24"/>
      <c r="L47" s="24"/>
      <c r="M47" s="24"/>
      <c r="N47" s="24"/>
    </row>
    <row r="48" spans="5:14" x14ac:dyDescent="0.15">
      <c r="E48" s="4">
        <f t="shared" si="0"/>
        <v>41</v>
      </c>
      <c r="F48" s="24"/>
      <c r="G48" s="24"/>
      <c r="H48" s="24"/>
      <c r="I48" s="24"/>
      <c r="J48" s="9"/>
      <c r="K48" s="24"/>
      <c r="L48" s="24"/>
      <c r="M48" s="24"/>
      <c r="N48" s="24"/>
    </row>
    <row r="49" spans="5:14" x14ac:dyDescent="0.15">
      <c r="E49" s="4">
        <f t="shared" si="0"/>
        <v>42</v>
      </c>
      <c r="F49" s="24"/>
      <c r="G49" s="24"/>
      <c r="H49" s="24"/>
      <c r="I49" s="24"/>
      <c r="J49" s="9"/>
      <c r="K49" s="24"/>
      <c r="L49" s="24"/>
      <c r="M49" s="24"/>
      <c r="N49" s="24"/>
    </row>
    <row r="50" spans="5:14" x14ac:dyDescent="0.15">
      <c r="E50" s="4">
        <f t="shared" si="0"/>
        <v>43</v>
      </c>
      <c r="F50" s="24"/>
      <c r="G50" s="24"/>
      <c r="H50" s="24"/>
      <c r="I50" s="24"/>
      <c r="J50" s="9"/>
      <c r="K50" s="24"/>
      <c r="L50" s="24"/>
      <c r="M50" s="24"/>
      <c r="N50" s="24"/>
    </row>
    <row r="51" spans="5:14" x14ac:dyDescent="0.15">
      <c r="E51" s="4">
        <f t="shared" si="0"/>
        <v>44</v>
      </c>
      <c r="F51" s="24"/>
      <c r="G51" s="24"/>
      <c r="H51" s="24"/>
      <c r="I51" s="24"/>
      <c r="J51" s="9"/>
      <c r="K51" s="24"/>
      <c r="L51" s="24"/>
      <c r="M51" s="24"/>
      <c r="N51" s="24"/>
    </row>
    <row r="52" spans="5:14" x14ac:dyDescent="0.15">
      <c r="E52" s="4">
        <f t="shared" si="0"/>
        <v>45</v>
      </c>
      <c r="F52" s="24"/>
      <c r="G52" s="24"/>
      <c r="H52" s="24"/>
      <c r="I52" s="24"/>
      <c r="J52" s="9"/>
      <c r="K52" s="24"/>
      <c r="L52" s="24"/>
      <c r="M52" s="24"/>
      <c r="N52" s="24"/>
    </row>
    <row r="53" spans="5:14" x14ac:dyDescent="0.15">
      <c r="E53" s="4">
        <f t="shared" si="0"/>
        <v>46</v>
      </c>
      <c r="F53" s="24"/>
      <c r="G53" s="24"/>
      <c r="H53" s="24"/>
      <c r="I53" s="24"/>
      <c r="J53" s="9"/>
      <c r="K53" s="24"/>
      <c r="L53" s="24"/>
      <c r="M53" s="24"/>
      <c r="N53" s="24"/>
    </row>
    <row r="54" spans="5:14" x14ac:dyDescent="0.15">
      <c r="E54" s="4">
        <f t="shared" si="0"/>
        <v>47</v>
      </c>
      <c r="F54" s="24"/>
      <c r="G54" s="24"/>
      <c r="H54" s="24"/>
      <c r="I54" s="24"/>
      <c r="J54" s="9"/>
      <c r="K54" s="24"/>
      <c r="L54" s="24"/>
      <c r="M54" s="24"/>
      <c r="N54" s="24"/>
    </row>
    <row r="55" spans="5:14" x14ac:dyDescent="0.15">
      <c r="E55" s="4">
        <f t="shared" si="0"/>
        <v>48</v>
      </c>
      <c r="F55" s="24"/>
      <c r="G55" s="24"/>
      <c r="H55" s="24"/>
      <c r="I55" s="24"/>
      <c r="J55" s="9"/>
      <c r="K55" s="24"/>
      <c r="L55" s="24"/>
      <c r="M55" s="24"/>
      <c r="N55" s="24"/>
    </row>
    <row r="56" spans="5:14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4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4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4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4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4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4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4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4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27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1" t="s">
        <v>78</v>
      </c>
      <c r="M6" s="101"/>
      <c r="N6" s="101" t="s">
        <v>79</v>
      </c>
      <c r="O6" s="101"/>
      <c r="P6" s="101" t="s">
        <v>80</v>
      </c>
      <c r="Q6" s="101"/>
      <c r="R6" s="101" t="s">
        <v>81</v>
      </c>
      <c r="S6" s="101"/>
      <c r="T6" s="2"/>
    </row>
    <row r="7" spans="5:20" x14ac:dyDescent="0.15">
      <c r="E7" s="3" t="s">
        <v>82</v>
      </c>
      <c r="F7" s="3" t="s">
        <v>83</v>
      </c>
      <c r="G7" s="102" t="s">
        <v>84</v>
      </c>
      <c r="H7" s="102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334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340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301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303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311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313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321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324</v>
      </c>
      <c r="F23" s="4" t="s">
        <v>278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374</v>
      </c>
      <c r="F24" s="4" t="s">
        <v>375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377</v>
      </c>
      <c r="F25" s="4" t="s">
        <v>378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380</v>
      </c>
      <c r="F26" s="4" t="s">
        <v>381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389</v>
      </c>
      <c r="F27" s="4" t="s">
        <v>390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5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(5U)</v>
      </c>
      <c r="M8" s="1" t="str">
        <f>$M$3&amp;J8&amp;$M$4</f>
        <v>##TOOL_OUT#RIM_MOD_3B_SIZE##</v>
      </c>
      <c r="N8" s="1">
        <v>5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1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(1U)</v>
      </c>
      <c r="M12" s="1" t="str">
        <f t="shared" si="1"/>
        <v>##TOOL_OUT#RIM_MOD_3B_SIZE##</v>
      </c>
      <c r="N12" s="1">
        <v>16385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1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(1U)</v>
      </c>
      <c r="M16" s="1" t="str">
        <f t="shared" si="1"/>
        <v>##TOOL_OUT#RIM_MOD_3B_SIZE##</v>
      </c>
      <c r="N16" s="1">
        <v>32769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45"/>
  <sheetViews>
    <sheetView showGridLines="0" workbookViewId="0"/>
  </sheetViews>
  <sheetFormatPr defaultRowHeight="13.5" x14ac:dyDescent="0.15"/>
  <sheetData>
    <row r="1" spans="1:3" x14ac:dyDescent="0.15">
      <c r="A1">
        <v>45</v>
      </c>
      <c r="B1" t="s">
        <v>335</v>
      </c>
      <c r="C1" t="s">
        <v>130</v>
      </c>
    </row>
    <row r="2" spans="1:3" x14ac:dyDescent="0.15">
      <c r="B2" t="s">
        <v>337</v>
      </c>
      <c r="C2" t="s">
        <v>131</v>
      </c>
    </row>
    <row r="3" spans="1:3" x14ac:dyDescent="0.15">
      <c r="B3" t="s">
        <v>339</v>
      </c>
      <c r="C3" t="s">
        <v>132</v>
      </c>
    </row>
    <row r="4" spans="1:3" x14ac:dyDescent="0.15">
      <c r="B4" t="s">
        <v>341</v>
      </c>
      <c r="C4" t="s">
        <v>133</v>
      </c>
    </row>
    <row r="5" spans="1:3" x14ac:dyDescent="0.15">
      <c r="B5" t="s">
        <v>302</v>
      </c>
      <c r="C5" t="s">
        <v>135</v>
      </c>
    </row>
    <row r="6" spans="1:3" x14ac:dyDescent="0.15">
      <c r="B6" t="s">
        <v>304</v>
      </c>
      <c r="C6" t="s">
        <v>136</v>
      </c>
    </row>
    <row r="7" spans="1:3" x14ac:dyDescent="0.15">
      <c r="B7" t="s">
        <v>306</v>
      </c>
      <c r="C7" t="s">
        <v>137</v>
      </c>
    </row>
    <row r="8" spans="1:3" x14ac:dyDescent="0.15">
      <c r="B8" t="s">
        <v>308</v>
      </c>
      <c r="C8" t="s">
        <v>138</v>
      </c>
    </row>
    <row r="9" spans="1:3" x14ac:dyDescent="0.15">
      <c r="B9" t="s">
        <v>310</v>
      </c>
      <c r="C9" t="s">
        <v>139</v>
      </c>
    </row>
    <row r="10" spans="1:3" x14ac:dyDescent="0.15">
      <c r="B10" t="s">
        <v>312</v>
      </c>
      <c r="C10" t="s">
        <v>140</v>
      </c>
    </row>
    <row r="11" spans="1:3" x14ac:dyDescent="0.15">
      <c r="B11" t="s">
        <v>314</v>
      </c>
      <c r="C11" t="s">
        <v>141</v>
      </c>
    </row>
    <row r="12" spans="1:3" x14ac:dyDescent="0.15">
      <c r="B12" t="s">
        <v>316</v>
      </c>
      <c r="C12" t="s">
        <v>143</v>
      </c>
    </row>
    <row r="13" spans="1:3" x14ac:dyDescent="0.15">
      <c r="B13" t="s">
        <v>318</v>
      </c>
      <c r="C13" t="s">
        <v>153</v>
      </c>
    </row>
    <row r="14" spans="1:3" x14ac:dyDescent="0.15">
      <c r="B14" t="s">
        <v>320</v>
      </c>
      <c r="C14" t="s">
        <v>144</v>
      </c>
    </row>
    <row r="15" spans="1:3" x14ac:dyDescent="0.15">
      <c r="B15" t="s">
        <v>322</v>
      </c>
      <c r="C15" t="s">
        <v>154</v>
      </c>
    </row>
    <row r="16" spans="1:3" x14ac:dyDescent="0.15">
      <c r="B16" t="s">
        <v>325</v>
      </c>
      <c r="C16" t="s">
        <v>154</v>
      </c>
    </row>
    <row r="17" spans="2:3" x14ac:dyDescent="0.15">
      <c r="B17" t="s">
        <v>376</v>
      </c>
      <c r="C17" t="s">
        <v>130</v>
      </c>
    </row>
    <row r="18" spans="2:3" x14ac:dyDescent="0.15">
      <c r="B18" t="s">
        <v>379</v>
      </c>
      <c r="C18" t="s">
        <v>130</v>
      </c>
    </row>
    <row r="19" spans="2:3" x14ac:dyDescent="0.15">
      <c r="B19" t="s">
        <v>382</v>
      </c>
      <c r="C19" t="s">
        <v>130</v>
      </c>
    </row>
    <row r="20" spans="2:3" x14ac:dyDescent="0.15">
      <c r="B20" t="s">
        <v>391</v>
      </c>
      <c r="C20" t="s">
        <v>130</v>
      </c>
    </row>
    <row r="21" spans="2:3" x14ac:dyDescent="0.15">
      <c r="B21" t="s">
        <v>342</v>
      </c>
      <c r="C21" t="s">
        <v>134</v>
      </c>
    </row>
    <row r="22" spans="2:3" x14ac:dyDescent="0.15">
      <c r="B22" t="s">
        <v>326</v>
      </c>
      <c r="C22" t="s">
        <v>142</v>
      </c>
    </row>
    <row r="23" spans="2:3" x14ac:dyDescent="0.15">
      <c r="B23" t="s">
        <v>323</v>
      </c>
      <c r="C23" t="s">
        <v>155</v>
      </c>
    </row>
    <row r="24" spans="2:3" x14ac:dyDescent="0.15">
      <c r="B24" t="s">
        <v>328</v>
      </c>
      <c r="C24" t="s">
        <v>155</v>
      </c>
    </row>
    <row r="25" spans="2:3" x14ac:dyDescent="0.15">
      <c r="B25" t="s">
        <v>392</v>
      </c>
      <c r="C25" t="s">
        <v>93</v>
      </c>
    </row>
    <row r="26" spans="2:3" x14ac:dyDescent="0.15">
      <c r="B26" t="s">
        <v>279</v>
      </c>
      <c r="C26" t="s">
        <v>94</v>
      </c>
    </row>
    <row r="27" spans="2:3" x14ac:dyDescent="0.15">
      <c r="B27" t="s">
        <v>267</v>
      </c>
      <c r="C27" t="s">
        <v>95</v>
      </c>
    </row>
    <row r="28" spans="2:3" x14ac:dyDescent="0.15">
      <c r="B28" t="s">
        <v>280</v>
      </c>
      <c r="C28" t="s">
        <v>96</v>
      </c>
    </row>
    <row r="29" spans="2:3" x14ac:dyDescent="0.15">
      <c r="B29" t="s">
        <v>268</v>
      </c>
      <c r="C29" t="s">
        <v>93</v>
      </c>
    </row>
    <row r="30" spans="2:3" x14ac:dyDescent="0.15">
      <c r="B30" t="s">
        <v>281</v>
      </c>
      <c r="C30" t="s">
        <v>94</v>
      </c>
    </row>
    <row r="31" spans="2:3" x14ac:dyDescent="0.15">
      <c r="B31" t="s">
        <v>269</v>
      </c>
      <c r="C31" t="s">
        <v>95</v>
      </c>
    </row>
    <row r="32" spans="2:3" x14ac:dyDescent="0.15">
      <c r="B32" t="s">
        <v>282</v>
      </c>
      <c r="C32" t="s">
        <v>96</v>
      </c>
    </row>
    <row r="33" spans="2:3" x14ac:dyDescent="0.15">
      <c r="B33" t="s">
        <v>270</v>
      </c>
      <c r="C33" t="s">
        <v>93</v>
      </c>
    </row>
    <row r="34" spans="2:3" x14ac:dyDescent="0.15">
      <c r="B34" t="s">
        <v>271</v>
      </c>
      <c r="C34" t="s">
        <v>94</v>
      </c>
    </row>
    <row r="35" spans="2:3" x14ac:dyDescent="0.15">
      <c r="B35" t="s">
        <v>283</v>
      </c>
      <c r="C35" t="s">
        <v>95</v>
      </c>
    </row>
    <row r="36" spans="2:3" x14ac:dyDescent="0.15">
      <c r="B36" t="s">
        <v>284</v>
      </c>
      <c r="C36" t="s">
        <v>96</v>
      </c>
    </row>
    <row r="37" spans="2:3" x14ac:dyDescent="0.15">
      <c r="B37" t="s">
        <v>272</v>
      </c>
      <c r="C37" t="s">
        <v>93</v>
      </c>
    </row>
    <row r="38" spans="2:3" x14ac:dyDescent="0.15">
      <c r="B38" t="s">
        <v>273</v>
      </c>
      <c r="C38" t="s">
        <v>95</v>
      </c>
    </row>
    <row r="39" spans="2:3" x14ac:dyDescent="0.15">
      <c r="B39" t="s">
        <v>285</v>
      </c>
      <c r="C39" t="s">
        <v>96</v>
      </c>
    </row>
    <row r="40" spans="2:3" x14ac:dyDescent="0.15">
      <c r="B40" t="s">
        <v>274</v>
      </c>
      <c r="C40" t="s">
        <v>97</v>
      </c>
    </row>
    <row r="41" spans="2:3" x14ac:dyDescent="0.15">
      <c r="B41" t="s">
        <v>275</v>
      </c>
      <c r="C41" t="s">
        <v>98</v>
      </c>
    </row>
    <row r="42" spans="2:3" x14ac:dyDescent="0.15">
      <c r="B42" t="s">
        <v>286</v>
      </c>
      <c r="C42" t="s">
        <v>99</v>
      </c>
    </row>
    <row r="43" spans="2:3" x14ac:dyDescent="0.15">
      <c r="B43" t="s">
        <v>276</v>
      </c>
      <c r="C43" t="s">
        <v>100</v>
      </c>
    </row>
    <row r="44" spans="2:3" x14ac:dyDescent="0.15">
      <c r="B44" t="s">
        <v>277</v>
      </c>
      <c r="C44" t="s">
        <v>101</v>
      </c>
    </row>
    <row r="45" spans="2:3" x14ac:dyDescent="0.15">
      <c r="B45" t="s">
        <v>287</v>
      </c>
      <c r="C45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Ryuki Sako (佐古　竜基)</cp:lastModifiedBy>
  <dcterms:created xsi:type="dcterms:W3CDTF">2014-12-23T06:27:41Z</dcterms:created>
  <dcterms:modified xsi:type="dcterms:W3CDTF">2025-08-20T10:20:52Z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