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d177CFS1035\bse\prj\10_dev\BSWPKG\00_ALL\116_CDC\TMC001\Development\MS\001_24年10月末対応\3_DetailedDesign\"/>
    </mc:Choice>
  </mc:AlternateContent>
  <xr:revisionPtr revIDLastSave="0" documentId="13_ncr:1_{733CD9EF-C38C-4127-82FE-9386BD55A8E5}" xr6:coauthVersionLast="47" xr6:coauthVersionMax="47" xr10:uidLastSave="{00000000-0000-0000-0000-000000000000}"/>
  <bookViews>
    <workbookView xWindow="-120" yWindow="-120" windowWidth="29040" windowHeight="17025" activeTab="2" xr2:uid="{00000000-000D-0000-FFFF-FFFF00000000}"/>
  </bookViews>
  <sheets>
    <sheet name="Cover" sheetId="1" r:id="rId1"/>
    <sheet name="Manual" sheetId="9" r:id="rId2"/>
    <sheet name="User" sheetId="2" r:id="rId3"/>
    <sheet name="Check" sheetId="8" state="hidden" r:id="rId4"/>
    <sheet name="Config" sheetId="4" r:id="rId5"/>
    <sheet name="Work" sheetId="7" r:id="rId6"/>
    <sheet name="Tool" sheetId="5" r:id="rId7"/>
    <sheet name="Design" sheetId="10" state="hidden" r:id="rId8"/>
  </sheets>
  <functionGroups builtInGroupCount="19"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<sst xmlns="http://schemas.openxmlformats.org/spreadsheetml/2006/main" count="836" uniqueCount="345">
  <si>
    <t>TOOL_TYPE1</t>
  </si>
  <si>
    <t>Rim ID</t>
    <phoneticPr fontId="1"/>
  </si>
  <si>
    <t>No.</t>
    <phoneticPr fontId="1"/>
  </si>
  <si>
    <t>Name</t>
    <phoneticPr fontId="1"/>
  </si>
  <si>
    <t>Module</t>
    <phoneticPr fontId="1"/>
  </si>
  <si>
    <t>Size</t>
    <phoneticPr fontId="1"/>
  </si>
  <si>
    <t>No.</t>
    <phoneticPr fontId="1"/>
  </si>
  <si>
    <t>1byte</t>
  </si>
  <si>
    <t>1byte</t>
    <phoneticPr fontId="1"/>
  </si>
  <si>
    <t>2byte</t>
  </si>
  <si>
    <t>2byte</t>
    <phoneticPr fontId="1"/>
  </si>
  <si>
    <t>4byte</t>
  </si>
  <si>
    <t>4byte</t>
    <phoneticPr fontId="1"/>
  </si>
  <si>
    <t>RIMID_RIMSIZE_1BYTE</t>
  </si>
  <si>
    <t>RIMID_RIMSIZE_2BYTE</t>
  </si>
  <si>
    <t>RIMID_RIMSIZE_4BYTE</t>
  </si>
  <si>
    <t>RIMID_RIMSIZE_OTHER</t>
  </si>
  <si>
    <t>Label</t>
    <phoneticPr fontId="1"/>
  </si>
  <si>
    <t>Name</t>
    <phoneticPr fontId="1"/>
  </si>
  <si>
    <t>Value (Dec)</t>
    <phoneticPr fontId="1"/>
  </si>
  <si>
    <t>B RAM x 3</t>
  </si>
  <si>
    <t>B RAM x 1 + C RAM x 2</t>
  </si>
  <si>
    <t>B RAM x 1</t>
  </si>
  <si>
    <t>C RAM x 3</t>
  </si>
  <si>
    <t>-</t>
    <phoneticPr fontId="1"/>
  </si>
  <si>
    <t>RIM_MOD_ID_0</t>
  </si>
  <si>
    <t>RIM_MOD_ID_1</t>
  </si>
  <si>
    <t>RIM_MOD_ID_2</t>
  </si>
  <si>
    <t>RIM_MOD_ID_3</t>
  </si>
  <si>
    <t>Other</t>
  </si>
  <si>
    <t>Other</t>
    <phoneticPr fontId="1"/>
  </si>
  <si>
    <t>Keyword</t>
    <phoneticPr fontId="1"/>
  </si>
  <si>
    <t>Short Name</t>
    <phoneticPr fontId="1"/>
  </si>
  <si>
    <t>U1</t>
    <phoneticPr fontId="1"/>
  </si>
  <si>
    <t>U2</t>
    <phoneticPr fontId="1"/>
  </si>
  <si>
    <t>U4</t>
    <phoneticPr fontId="1"/>
  </si>
  <si>
    <t>Pre</t>
    <phoneticPr fontId="1"/>
  </si>
  <si>
    <t>Post</t>
    <phoneticPr fontId="1"/>
  </si>
  <si>
    <t>)</t>
    <phoneticPr fontId="1"/>
  </si>
  <si>
    <t>No.</t>
    <phoneticPr fontId="1"/>
  </si>
  <si>
    <t>Condition</t>
    <phoneticPr fontId="1"/>
  </si>
  <si>
    <t>Input</t>
    <phoneticPr fontId="1"/>
  </si>
  <si>
    <t>##</t>
    <phoneticPr fontId="1"/>
  </si>
  <si>
    <t>Keyword</t>
    <phoneticPr fontId="1"/>
  </si>
  <si>
    <t>OTR</t>
    <phoneticPr fontId="1"/>
  </si>
  <si>
    <t>MOD_3B_SIZE</t>
  </si>
  <si>
    <t>MOD_1B2C_SIZE</t>
  </si>
  <si>
    <t>MOD_1B_SIZE</t>
  </si>
  <si>
    <t>MOD_3C_SIZE</t>
  </si>
  <si>
    <t>Do not modify</t>
    <phoneticPr fontId="1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</si>
  <si>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</si>
  <si>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</si>
  <si>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</si>
  <si>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</si>
  <si>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</si>
  <si>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</si>
  <si>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</si>
  <si>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</si>
  <si>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</si>
  <si>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</si>
  <si>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</si>
  <si>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</si>
  <si>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</si>
  <si>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</si>
  <si>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</si>
  <si>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</si>
  <si>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</si>
  <si>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</si>
  <si>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</si>
  <si>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</si>
  <si>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</si>
  <si>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1"/>
  </si>
  <si>
    <t>-</t>
    <phoneticPr fontId="1"/>
  </si>
  <si>
    <t>-</t>
    <phoneticPr fontId="1"/>
  </si>
  <si>
    <t>Supported size</t>
    <phoneticPr fontId="1"/>
  </si>
  <si>
    <t>Other Buffer</t>
    <phoneticPr fontId="1"/>
  </si>
  <si>
    <t>Backup</t>
    <phoneticPr fontId="1"/>
  </si>
  <si>
    <t>Comment</t>
    <phoneticPr fontId="1"/>
  </si>
  <si>
    <t>BON</t>
    <phoneticPr fontId="1"/>
  </si>
  <si>
    <t>Reset</t>
    <phoneticPr fontId="1"/>
  </si>
  <si>
    <t>Wakeup</t>
    <phoneticPr fontId="1"/>
  </si>
  <si>
    <t>RTC</t>
    <phoneticPr fontId="1"/>
  </si>
  <si>
    <t>Define Name</t>
    <phoneticPr fontId="1"/>
  </si>
  <si>
    <t>Value</t>
    <phoneticPr fontId="1"/>
  </si>
  <si>
    <t>Size</t>
    <phoneticPr fontId="1"/>
  </si>
  <si>
    <t>Module</t>
    <phoneticPr fontId="1"/>
  </si>
  <si>
    <t>Backup</t>
    <phoneticPr fontId="1"/>
  </si>
  <si>
    <t>Read</t>
    <phoneticPr fontId="1"/>
  </si>
  <si>
    <t>Write</t>
    <phoneticPr fontId="1"/>
  </si>
  <si>
    <t>Judgement</t>
    <phoneticPr fontId="1"/>
  </si>
  <si>
    <t>-</t>
  </si>
  <si>
    <t>Warning</t>
  </si>
  <si>
    <t>##TOOL_OUT#RIM_</t>
    <phoneticPr fontId="1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</si>
  <si>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</si>
  <si>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</si>
  <si>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</si>
  <si>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</si>
  <si>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</si>
  <si>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</si>
  <si>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</si>
  <si>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</si>
  <si>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</si>
  <si>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</si>
  <si>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</si>
  <si>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</si>
  <si>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</si>
  <si>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1"/>
  </si>
  <si>
    <t>U2 valiable</t>
    <phoneticPr fontId="1"/>
  </si>
  <si>
    <t>U4 valiable</t>
    <phoneticPr fontId="1"/>
  </si>
  <si>
    <t>Other valiable</t>
    <phoneticPr fontId="1"/>
  </si>
  <si>
    <t>-</t>
    <phoneticPr fontId="1"/>
  </si>
  <si>
    <t>-</t>
    <phoneticPr fontId="1"/>
  </si>
  <si>
    <t>-</t>
    <phoneticPr fontId="1"/>
  </si>
  <si>
    <t>Generate</t>
    <phoneticPr fontId="1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</si>
  <si>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1"/>
  </si>
  <si>
    <t>Update</t>
    <phoneticPr fontId="1"/>
  </si>
  <si>
    <t>Define Name</t>
    <phoneticPr fontId="1"/>
  </si>
  <si>
    <t>Size</t>
    <phoneticPr fontId="1"/>
  </si>
  <si>
    <t>Size</t>
    <phoneticPr fontId="1"/>
  </si>
  <si>
    <t>Number</t>
    <phoneticPr fontId="1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</si>
  <si>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1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</si>
  <si>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1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</si>
  <si>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1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</si>
  <si>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1"/>
  </si>
  <si>
    <t>Unit Test</t>
    <phoneticPr fontId="1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</si>
  <si>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1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</si>
  <si>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1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</si>
  <si>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1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</si>
  <si>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1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</si>
  <si>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1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</si>
  <si>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</si>
  <si>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</si>
  <si>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</si>
  <si>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</si>
  <si>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</si>
  <si>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</si>
  <si>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</si>
  <si>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</si>
  <si>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</si>
  <si>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</si>
  <si>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</si>
  <si>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</si>
  <si>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</si>
  <si>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</si>
  <si>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</si>
  <si>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1"/>
  </si>
  <si>
    <t>Name</t>
    <phoneticPr fontId="1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</si>
  <si>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1"/>
  </si>
  <si>
    <t>Module</t>
    <phoneticPr fontId="1"/>
  </si>
  <si>
    <t>Offset</t>
    <phoneticPr fontId="1"/>
  </si>
  <si>
    <t>-</t>
    <phoneticPr fontId="1"/>
  </si>
  <si>
    <t>-</t>
    <phoneticPr fontId="1"/>
  </si>
  <si>
    <t>-</t>
    <phoneticPr fontId="1"/>
  </si>
  <si>
    <t>##TOOL_OUT#RIM_ID_MOD_3C_U2##</t>
  </si>
  <si>
    <t>##TOOL_OUT#RIM_ID_MOD_3C_OTR##</t>
  </si>
  <si>
    <t>##TOOL_OUT#RIM_MOD_3C_OTR_TABLE##</t>
  </si>
  <si>
    <t>RTC</t>
    <phoneticPr fontId="1"/>
  </si>
  <si>
    <t>RTC Sup</t>
    <phoneticPr fontId="1"/>
  </si>
  <si>
    <t>Version</t>
    <phoneticPr fontId="1"/>
  </si>
  <si>
    <t>Date</t>
    <phoneticPr fontId="1"/>
  </si>
  <si>
    <t>Description</t>
    <phoneticPr fontId="1"/>
  </si>
  <si>
    <t>1.0.0</t>
    <phoneticPr fontId="1"/>
  </si>
  <si>
    <t>New</t>
    <phoneticPr fontId="1"/>
  </si>
  <si>
    <t>RIM Parameter Setting Tool</t>
    <phoneticPr fontId="1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</si>
  <si>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</si>
  <si>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1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</si>
  <si>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1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</si>
  <si>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1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</si>
  <si>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1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</si>
  <si>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1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</si>
  <si>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</si>
  <si>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</si>
  <si>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1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</si>
  <si>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1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</si>
  <si>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1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</si>
  <si>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1"/>
  </si>
  <si>
    <t>1.1.0</t>
    <phoneticPr fontId="1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</si>
  <si>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</si>
  <si>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</si>
  <si>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</si>
  <si>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</si>
  <si>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</si>
  <si>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</si>
  <si>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</si>
  <si>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</si>
  <si>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</si>
  <si>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</si>
  <si>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</si>
  <si>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</si>
  <si>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1"/>
  </si>
  <si>
    <t>1.1.1</t>
  </si>
  <si>
    <t>Add instructions about the Other size to [Manual] sheet.</t>
  </si>
  <si>
    <t>△1</t>
  </si>
  <si>
    <t>-</t>
    <phoneticPr fontId="1"/>
  </si>
  <si>
    <t>-</t>
    <phoneticPr fontId="1"/>
  </si>
  <si>
    <t>Mark</t>
    <phoneticPr fontId="1"/>
  </si>
  <si>
    <t>1.1.2</t>
    <phoneticPr fontId="1"/>
  </si>
  <si>
    <t>Fix VBA issue.</t>
    <phoneticPr fontId="1"/>
  </si>
  <si>
    <t>-</t>
    <phoneticPr fontId="1"/>
  </si>
  <si>
    <t>1.2.0</t>
    <phoneticPr fontId="1"/>
  </si>
  <si>
    <t>Remove access check feature.</t>
    <phoneticPr fontId="1"/>
  </si>
  <si>
    <t>1.3.0</t>
    <phoneticPr fontId="1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</si>
  <si>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1"/>
  </si>
  <si>
    <t>CSV</t>
    <phoneticPr fontId="1"/>
  </si>
  <si>
    <t>Add feature to output configurations to csv file.</t>
    <phoneticPr fontId="1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</si>
  <si>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</si>
  <si>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</si>
  <si>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</si>
  <si>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</si>
  <si>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</si>
  <si>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</si>
  <si>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</si>
  <si>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</si>
  <si>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</si>
  <si>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</si>
  <si>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</si>
  <si>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</si>
  <si>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</si>
  <si>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</si>
  <si>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</si>
  <si>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1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</si>
  <si>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1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</si>
  <si>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1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</si>
  <si>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1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</si>
  <si>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</si>
  <si>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1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</si>
  <si>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1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</si>
  <si>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</si>
  <si>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1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</si>
  <si>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</si>
  <si>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</si>
  <si>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</si>
  <si>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</si>
  <si>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</si>
  <si>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</si>
  <si>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</si>
  <si>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</si>
  <si>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</si>
  <si>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</si>
  <si>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</si>
  <si>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</si>
  <si>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</si>
  <si>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</si>
  <si>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</si>
  <si>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1"/>
  </si>
  <si>
    <t>DDS1437 was Supported.</t>
    <phoneticPr fontId="1"/>
  </si>
  <si>
    <t>#define RIM_MOD_3BRAM_U1_ID_NUM                  (</t>
    <phoneticPr fontId="1"/>
  </si>
  <si>
    <t>#define RIM_MOD_1B2CRAM_U1_ID_NUM                (</t>
    <phoneticPr fontId="1"/>
  </si>
  <si>
    <t>#define RIM_MOD_1BRAM_U1_ID_NUM                  (</t>
    <phoneticPr fontId="1"/>
  </si>
  <si>
    <t>#define RIM_MOD_3CRAM_U1_ID_NUM                  (</t>
    <phoneticPr fontId="1"/>
  </si>
  <si>
    <t>#define RIM_MOD_3BRAM_U2_ID_NUM                  (</t>
    <phoneticPr fontId="1"/>
  </si>
  <si>
    <t>#define RIM_MOD_1B2CRAM_U2_ID_NUM                (</t>
    <phoneticPr fontId="1"/>
  </si>
  <si>
    <t>#define RIM_MOD_1BRAM_U2_ID_NUM                  (</t>
    <phoneticPr fontId="1"/>
  </si>
  <si>
    <t>#define RIM_MOD_3CRAM_U2_ID_NUM                  (</t>
    <phoneticPr fontId="1"/>
  </si>
  <si>
    <t>#define RIM_MOD_3BRAM_U4_ID_NUM                  (</t>
    <phoneticPr fontId="1"/>
  </si>
  <si>
    <t>#define RIM_MOD_1B2CRAM_U4_ID_NUM                (</t>
    <phoneticPr fontId="1"/>
  </si>
  <si>
    <t>#define RIM_MOD_1BRAM_U4_ID_NUM                  (</t>
    <phoneticPr fontId="1"/>
  </si>
  <si>
    <t>#define RIM_MOD_3CRAM_U4_ID_NUM                  (</t>
    <phoneticPr fontId="1"/>
  </si>
  <si>
    <t>#define RIM_MOD_3BRAM_OTHER_ID_NUM               (</t>
    <phoneticPr fontId="1"/>
  </si>
  <si>
    <t>#define RIM_MOD_1BRAM_OTHER_ID_NUM               (</t>
    <phoneticPr fontId="1"/>
  </si>
  <si>
    <t>#define RIM_MOD_3CRAM_OTHER_ID_NUM               (</t>
    <phoneticPr fontId="1"/>
  </si>
  <si>
    <t>#define RIM_MOD_3BRAM_OTHER_BUF_NUM              (</t>
    <phoneticPr fontId="1"/>
  </si>
  <si>
    <t>#define RIM_MOD_1BRAM_OTHER_BUF_NUM              (</t>
    <phoneticPr fontId="1"/>
  </si>
  <si>
    <t>#define RIM_MOD_3CRAM_OTHER_BUF_NUM              (</t>
    <phoneticPr fontId="1"/>
  </si>
  <si>
    <t>#define RIM_MOD_3BRAM_OTHER_ID_CFGMAX            (</t>
    <phoneticPr fontId="1"/>
  </si>
  <si>
    <t>#define RIM_MOD_1BRAM_OTHER_ID_CFGMAX            (</t>
    <phoneticPr fontId="1"/>
  </si>
  <si>
    <t>#define RIM_MOD_3CRAM_OTHER_ID_CFGMAX            (</t>
    <phoneticPr fontId="1"/>
  </si>
  <si>
    <t>#define RIM_MOD_1BRAM_U1_ID_NUM                  (1U)</t>
  </si>
  <si>
    <t>#define RIM_MOD_3BRAM_U2_ID_NUM                  (1U)</t>
  </si>
  <si>
    <t>#define RIM_MOD_1BRAM_U2_ID_NUM                  (1U)</t>
  </si>
  <si>
    <t>#define RIM_MOD_3BRAM_U4_ID_NUM                  (1U)</t>
  </si>
  <si>
    <t>#define RIM_MOD_1B2CRAM_U4_ID_NUM                (1U)</t>
  </si>
  <si>
    <t>#define RIM_MOD_3BRAM_OTHER_ID_NUM               (1U)</t>
  </si>
  <si>
    <t>#define RIM_MOD_1BRAM_OTHER_ID_NUM               (1U)</t>
  </si>
  <si>
    <t>#define RIM_MOD_3BRAM_OTHER_BUF_NUM              (1U)</t>
  </si>
  <si>
    <t>#define RIM_MOD_1BRAM_OTHER_BUF_NUM              (1U)</t>
  </si>
  <si>
    <t>#define RIM_MOD_3BRAM_OTHER_ID_CFGMAX            (4U)</t>
  </si>
  <si>
    <t>#define RIM_MOD_1BRAM_OTHER_ID_CFGMAX            (4U)</t>
  </si>
  <si>
    <t>0xC601U</t>
  </si>
  <si>
    <t>#define RIM_MOD_3BRAM_U1_ID_NUM                  (1U)</t>
  </si>
  <si>
    <t>#define RIM_MOD_1B2CRAM_U1_ID_NUM                (1U)</t>
  </si>
  <si>
    <t>#define RIM_MOD_3CRAM_U1_ID_NUM                  (1U)</t>
  </si>
  <si>
    <t>#define RIM_MOD_1B2CRAM_U2_ID_NUM                (1U)</t>
  </si>
  <si>
    <t>#define RIM_MOD_3CRAM_U2_ID_NUM                  (1U)</t>
  </si>
  <si>
    <t>#define RIM_MOD_1BRAM_U4_ID_NUM                  (1U)</t>
  </si>
  <si>
    <t>#define RIM_MOD_3CRAM_U4_ID_NUM                  (1U)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</si>
  <si>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</si>
  <si>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</si>
  <si>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</si>
  <si>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1"/>
  </si>
  <si>
    <t>SAMPLE_BCC_1</t>
    <phoneticPr fontId="1"/>
  </si>
  <si>
    <t>SAMPLE_BCC_2</t>
    <phoneticPr fontId="1"/>
  </si>
  <si>
    <t>SAMPLE_BCC_4</t>
    <phoneticPr fontId="1"/>
  </si>
  <si>
    <t>SAMPLE_B_1</t>
    <phoneticPr fontId="1"/>
  </si>
  <si>
    <t>SAMPLE_CCC_1</t>
    <phoneticPr fontId="1"/>
  </si>
  <si>
    <t>SAMPLE_B_2</t>
    <phoneticPr fontId="1"/>
  </si>
  <si>
    <t>SAMPLE_B_4</t>
    <phoneticPr fontId="1"/>
  </si>
  <si>
    <t>SAMPLE_B_OTH</t>
    <phoneticPr fontId="1"/>
  </si>
  <si>
    <t>SAMPLE_CCC_2</t>
    <phoneticPr fontId="1"/>
  </si>
  <si>
    <t>SAMPLE_CCC_4</t>
    <phoneticPr fontId="1"/>
  </si>
  <si>
    <t>SAMPLE_CCC_OTH</t>
    <phoneticPr fontId="1"/>
  </si>
  <si>
    <t>SAMPLE_CCC_OTH_2</t>
    <phoneticPr fontId="1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</si>
  <si>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</si>
  <si>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</si>
  <si>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</si>
  <si>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</si>
  <si>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</si>
  <si>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</si>
  <si>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</si>
  <si>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</si>
  <si>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</si>
  <si>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</si>
  <si>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</si>
  <si>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</si>
  <si>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</si>
  <si>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</si>
  <si>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</si>
  <si>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</si>
  <si>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</si>
  <si>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</si>
  <si>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</si>
  <si>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</si>
  <si>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</si>
  <si>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</si>
  <si>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</si>
  <si>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</si>
  <si>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</si>
  <si>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</si>
  <si>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1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</si>
  <si>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</si>
  <si>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1"/>
  </si>
  <si>
    <t>SAMPLE_BBB_1</t>
    <phoneticPr fontId="1"/>
  </si>
  <si>
    <t>SAMPLE_BBB_2</t>
    <phoneticPr fontId="1"/>
  </si>
  <si>
    <t>SAMPLE_BBB_4</t>
    <phoneticPr fontId="1"/>
  </si>
  <si>
    <t>SAMPLE_BBB_OTH</t>
    <phoneticPr fontId="1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</si>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</sst>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5" fontId="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257175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9525</xdr:colOff>
      <xdr:row>30</xdr:row>
      <xdr:rowOff>28575</xdr:rowOff>
    </xdr:from>
    <xdr:to>
      <xdr:col>12</xdr:col>
      <xdr:colOff>533400</xdr:colOff>
      <xdr:row>48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524250" y="4733925"/>
          <a:ext cx="8277225" cy="32480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案①：各モジュール</a:t>
          </a:r>
          <a:r>
            <a:rPr kumimoji="1" lang="en-US" altLang="ja-JP" sz="1100"/>
            <a:t>×</a:t>
          </a:r>
          <a:r>
            <a:rPr kumimoji="1" lang="ja-JP" altLang="en-US" sz="1100"/>
            <a:t>各サイズの組み合わせ　　　</a:t>
          </a:r>
          <a:r>
            <a:rPr kumimoji="1" lang="en-US" altLang="ja-JP" sz="1100"/>
            <a:t>other</a:t>
          </a:r>
          <a:r>
            <a:rPr kumimoji="1" lang="ja-JP" altLang="en-US" sz="1100"/>
            <a:t>は</a:t>
          </a:r>
          <a:r>
            <a:rPr kumimoji="1" lang="en-US" altLang="ja-JP" sz="1100"/>
            <a:t>32</a:t>
          </a:r>
          <a:r>
            <a:rPr kumimoji="1" lang="ja-JP" altLang="en-US" sz="1100"/>
            <a:t>とか</a:t>
          </a:r>
          <a:r>
            <a:rPr kumimoji="1" lang="en-US" altLang="ja-JP" sz="1100"/>
            <a:t>64</a:t>
          </a:r>
          <a:r>
            <a:rPr kumimoji="1" lang="ja-JP" altLang="en-US" sz="1100"/>
            <a:t>まで変更可能。　</a:t>
          </a:r>
          <a:r>
            <a:rPr kumimoji="1" lang="en-US" altLang="ja-JP" sz="1100"/>
            <a:t>1byte</a:t>
          </a:r>
          <a:r>
            <a:rPr kumimoji="1" lang="ja-JP" altLang="en-US" sz="1100"/>
            <a:t>単位で刻める。</a:t>
          </a:r>
          <a:br>
            <a:rPr kumimoji="1" lang="en-US" altLang="ja-JP" sz="1100"/>
          </a:br>
          <a:r>
            <a:rPr kumimoji="1" lang="ja-JP" altLang="en-US" sz="1100"/>
            <a:t>案①ー２：</a:t>
          </a:r>
          <a:r>
            <a:rPr kumimoji="1" lang="en-US" altLang="ja-JP" sz="1100"/>
            <a:t>other</a:t>
          </a:r>
          <a:r>
            <a:rPr kumimoji="1" lang="ja-JP" altLang="en-US" sz="1100"/>
            <a:t>のバリエーション違いを用意しておいてあげると、変更できることがユーザに伝わるので良いと思う。　★採用</a:t>
          </a:r>
          <a:br>
            <a:rPr kumimoji="1" lang="en-US" altLang="ja-JP" sz="1100"/>
          </a:br>
          <a:r>
            <a:rPr kumimoji="1" lang="ja-JP" altLang="en-US" sz="1100"/>
            <a:t>　　⇒</a:t>
          </a:r>
          <a:r>
            <a:rPr kumimoji="1" lang="en-US" altLang="ja-JP" sz="1100"/>
            <a:t>15</a:t>
          </a:r>
          <a:r>
            <a:rPr kumimoji="1" lang="ja-JP" altLang="en-US" sz="1100"/>
            <a:t>行目を</a:t>
          </a:r>
          <a:r>
            <a:rPr kumimoji="1" lang="en-US" altLang="ja-JP" sz="1100"/>
            <a:t>16</a:t>
          </a:r>
          <a:r>
            <a:rPr kumimoji="1" lang="ja-JP" altLang="en-US" sz="1100"/>
            <a:t>行目にコピーして、データを</a:t>
          </a:r>
          <a:r>
            <a:rPr kumimoji="1" lang="en-US" altLang="ja-JP" sz="1100"/>
            <a:t>other8</a:t>
          </a:r>
          <a:r>
            <a:rPr kumimoji="1" lang="ja-JP" altLang="en-US" sz="1100"/>
            <a:t>にする。</a:t>
          </a:r>
          <a:endParaRPr kumimoji="1" lang="en-US" altLang="ja-JP" sz="1100"/>
        </a:p>
        <a:p>
          <a:pPr algn="l"/>
          <a:r>
            <a:rPr kumimoji="1" lang="ja-JP" altLang="en-US" sz="1100"/>
            <a:t>　　　　袁さんに渡して再マージして貰う。</a:t>
          </a:r>
          <a:br>
            <a:rPr kumimoji="1" lang="en-US" altLang="ja-JP" sz="1100"/>
          </a:br>
          <a:r>
            <a:rPr kumimoji="1" lang="ja-JP" altLang="en-US" sz="1100"/>
            <a:t>　　⇒今日中に対応可能。</a:t>
          </a:r>
          <a:br>
            <a:rPr kumimoji="1" lang="en-US" altLang="ja-JP" sz="1100"/>
          </a:br>
          <a:br>
            <a:rPr kumimoji="1" lang="en-US" altLang="ja-JP" sz="1100"/>
          </a:br>
          <a:endParaRPr kumimoji="1" lang="en-US" altLang="ja-JP" sz="1100"/>
        </a:p>
        <a:p>
          <a:pPr algn="l"/>
          <a:r>
            <a:rPr kumimoji="1" lang="ja-JP" altLang="en-US" sz="1100"/>
            <a:t>案②：テスト仕様書にテストデータが定義されているので、それをコンフィグして出す。案①＋アルファになるはず。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E56"/>
  <sheetViews>
    <sheetView showGridLines="0" topLeftCell="A14" zoomScaleNormal="100" workbookViewId="0">
      <selection activeCell="D32" sqref="D32"/>
    </sheetView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6" spans="2:4" ht="25.5" x14ac:dyDescent="0.15">
      <c r="B6" s="29" t="s">
        <v>163</v>
      </c>
      <c r="C6" s="29"/>
      <c r="D6" s="29"/>
    </row>
    <row r="8" spans="2:4" ht="15" x14ac:dyDescent="0.15">
      <c r="B8" s="30" t="str">
        <f>"ver. "&amp;INDEX(Cover!B25:B56,COUNTA(Cover!B25:B56),0)</f>
        <v>ver. 1.3.1</v>
      </c>
      <c r="C8" s="30"/>
      <c r="D8" s="30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1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31" t="s">
        <v>118</v>
      </c>
      <c r="D12" s="25" t="s">
        <v>164</v>
      </c>
    </row>
    <row r="13" spans="1:4" ht="83.25" x14ac:dyDescent="0.15">
      <c r="C13" s="32"/>
      <c r="D13" s="25" t="s">
        <v>171</v>
      </c>
    </row>
    <row r="14" spans="1:4" ht="27.75" x14ac:dyDescent="0.15">
      <c r="C14" s="32"/>
      <c r="D14" s="25" t="s">
        <v>165</v>
      </c>
    </row>
    <row r="15" spans="1:4" ht="28.5" x14ac:dyDescent="0.15">
      <c r="C15" s="32"/>
      <c r="D15" s="25" t="s">
        <v>172</v>
      </c>
    </row>
    <row r="16" spans="1:4" x14ac:dyDescent="0.15">
      <c r="C16" s="33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34" t="s">
        <v>222</v>
      </c>
      <c r="D23" s="25" t="s">
        <v>129</v>
      </c>
    </row>
    <row r="24" spans="1:4" x14ac:dyDescent="0.15">
      <c r="C24" s="35"/>
      <c r="D24" s="15" t="s">
        <v>223</v>
      </c>
    </row>
    <row r="25" spans="1:4" ht="27" x14ac:dyDescent="0.15">
      <c r="C25" s="31" t="s">
        <v>126</v>
      </c>
      <c r="D25" s="25" t="s">
        <v>174</v>
      </c>
    </row>
    <row r="26" spans="1:4" ht="27.75" x14ac:dyDescent="0.15">
      <c r="C26" s="33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tabSelected="1" zoomScaleNormal="100" workbookViewId="0"/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36" t="s">
        <v>117</v>
      </c>
      <c r="H7" s="37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331</v>
      </c>
      <c r="G8" s="24" t="s">
        <v>7</v>
      </c>
      <c r="H8" s="24" t="s">
        <v>90</v>
      </c>
      <c r="I8" s="24" t="s">
        <v>20</v>
      </c>
      <c r="J8" s="9" t="s">
        <v>289</v>
      </c>
      <c r="K8" s="24">
        <v>0</v>
      </c>
      <c r="L8" s="24" t="s">
        <v>335</v>
      </c>
      <c r="M8" s="24" t="s">
        <v>229</v>
      </c>
      <c r="N8" s="24" t="s">
        <v>90</v>
      </c>
      <c r="P8" s="1" t="s">
        <v>336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332</v>
      </c>
      <c r="G9" s="24" t="s">
        <v>9</v>
      </c>
      <c r="H9" s="24" t="s">
        <v>90</v>
      </c>
      <c r="I9" s="24" t="s">
        <v>20</v>
      </c>
      <c r="J9" s="24" t="s">
        <v>289</v>
      </c>
      <c r="K9" s="24">
        <v>0</v>
      </c>
      <c r="L9" s="24" t="s">
        <v>337</v>
      </c>
      <c r="M9" s="24" t="s">
        <v>230</v>
      </c>
      <c r="N9" s="24" t="s">
        <v>90</v>
      </c>
      <c r="P9" s="1" t="s">
        <v>338</v>
      </c>
      <c r="Q9" s="1" t="s">
        <v>131</v>
      </c>
    </row>
    <row r="10" spans="1:20" x14ac:dyDescent="0.15">
      <c r="E10" s="4">
        <f t="shared" si="0"/>
        <v>3</v>
      </c>
      <c r="F10" s="24" t="s">
        <v>333</v>
      </c>
      <c r="G10" s="24" t="s">
        <v>11</v>
      </c>
      <c r="H10" s="24" t="s">
        <v>90</v>
      </c>
      <c r="I10" s="24" t="s">
        <v>20</v>
      </c>
      <c r="J10" s="24" t="s">
        <v>289</v>
      </c>
      <c r="K10" s="24">
        <v>0</v>
      </c>
      <c r="L10" s="24" t="s">
        <v>339</v>
      </c>
      <c r="M10" s="24" t="s">
        <v>231</v>
      </c>
      <c r="N10" s="24" t="s">
        <v>90</v>
      </c>
      <c r="P10" s="1" t="s">
        <v>340</v>
      </c>
      <c r="Q10" s="1" t="s">
        <v>132</v>
      </c>
    </row>
    <row r="11" spans="1:20" x14ac:dyDescent="0.15">
      <c r="E11" s="4">
        <f t="shared" si="0"/>
        <v>4</v>
      </c>
      <c r="F11" s="24" t="s">
        <v>334</v>
      </c>
      <c r="G11" s="24" t="s">
        <v>29</v>
      </c>
      <c r="H11" s="24">
        <v>4</v>
      </c>
      <c r="I11" s="24" t="s">
        <v>20</v>
      </c>
      <c r="J11" s="24" t="s">
        <v>289</v>
      </c>
      <c r="K11" s="24">
        <v>0</v>
      </c>
      <c r="L11" s="24" t="s">
        <v>341</v>
      </c>
      <c r="M11" s="24" t="s">
        <v>232</v>
      </c>
      <c r="N11" s="24">
        <v>0</v>
      </c>
      <c r="P11" s="1" t="s">
        <v>342</v>
      </c>
      <c r="Q11" s="1" t="s">
        <v>133</v>
      </c>
      <c r="S11" s="1" t="s">
        <v>344</v>
      </c>
      <c r="T11" s="1" t="s">
        <v>134</v>
      </c>
    </row>
    <row r="12" spans="1:20" x14ac:dyDescent="0.15">
      <c r="E12" s="4">
        <f t="shared" si="0"/>
        <v>5</v>
      </c>
      <c r="F12" s="24" t="s">
        <v>290</v>
      </c>
      <c r="G12" s="24" t="s">
        <v>7</v>
      </c>
      <c r="H12" s="24" t="s">
        <v>90</v>
      </c>
      <c r="I12" s="24" t="s">
        <v>21</v>
      </c>
      <c r="J12" s="24" t="s">
        <v>289</v>
      </c>
      <c r="K12" s="24">
        <v>0</v>
      </c>
      <c r="L12" s="24" t="s">
        <v>302</v>
      </c>
      <c r="M12" s="24" t="s">
        <v>233</v>
      </c>
      <c r="N12" s="24" t="s">
        <v>90</v>
      </c>
      <c r="P12" s="1" t="s">
        <v>303</v>
      </c>
      <c r="Q12" s="1" t="s">
        <v>135</v>
      </c>
    </row>
    <row r="13" spans="1:20" x14ac:dyDescent="0.15">
      <c r="E13" s="4">
        <f t="shared" si="0"/>
        <v>6</v>
      </c>
      <c r="F13" s="24" t="s">
        <v>291</v>
      </c>
      <c r="G13" s="24" t="s">
        <v>9</v>
      </c>
      <c r="H13" s="24" t="s">
        <v>90</v>
      </c>
      <c r="I13" s="24" t="s">
        <v>21</v>
      </c>
      <c r="J13" s="24" t="s">
        <v>289</v>
      </c>
      <c r="K13" s="24">
        <v>0</v>
      </c>
      <c r="L13" s="24" t="s">
        <v>304</v>
      </c>
      <c r="M13" s="24" t="s">
        <v>234</v>
      </c>
      <c r="N13" s="24" t="s">
        <v>90</v>
      </c>
      <c r="P13" s="1" t="s">
        <v>305</v>
      </c>
      <c r="Q13" s="1" t="s">
        <v>136</v>
      </c>
    </row>
    <row r="14" spans="1:20" x14ac:dyDescent="0.15">
      <c r="E14" s="4">
        <f t="shared" si="0"/>
        <v>7</v>
      </c>
      <c r="F14" s="24" t="s">
        <v>292</v>
      </c>
      <c r="G14" s="24" t="s">
        <v>11</v>
      </c>
      <c r="H14" s="24" t="s">
        <v>90</v>
      </c>
      <c r="I14" s="24" t="s">
        <v>21</v>
      </c>
      <c r="J14" s="24" t="s">
        <v>289</v>
      </c>
      <c r="K14" s="24">
        <v>0</v>
      </c>
      <c r="L14" s="24" t="s">
        <v>306</v>
      </c>
      <c r="M14" s="24" t="s">
        <v>235</v>
      </c>
      <c r="N14" s="24" t="s">
        <v>90</v>
      </c>
      <c r="P14" s="1" t="s">
        <v>307</v>
      </c>
      <c r="Q14" s="1" t="s">
        <v>137</v>
      </c>
    </row>
    <row r="15" spans="1:20" x14ac:dyDescent="0.15">
      <c r="E15" s="4">
        <f t="shared" si="0"/>
        <v>8</v>
      </c>
      <c r="F15" s="24" t="s">
        <v>293</v>
      </c>
      <c r="G15" s="24" t="s">
        <v>7</v>
      </c>
      <c r="H15" s="24" t="s">
        <v>90</v>
      </c>
      <c r="I15" s="24" t="s">
        <v>22</v>
      </c>
      <c r="J15" s="24" t="s">
        <v>289</v>
      </c>
      <c r="K15" s="24">
        <v>0</v>
      </c>
      <c r="L15" s="24" t="s">
        <v>308</v>
      </c>
      <c r="M15" s="24" t="s">
        <v>236</v>
      </c>
      <c r="N15" s="24" t="s">
        <v>90</v>
      </c>
      <c r="P15" s="1" t="s">
        <v>309</v>
      </c>
      <c r="Q15" s="1" t="s">
        <v>138</v>
      </c>
    </row>
    <row r="16" spans="1:20" x14ac:dyDescent="0.15">
      <c r="E16" s="4">
        <f t="shared" si="0"/>
        <v>9</v>
      </c>
      <c r="F16" s="24" t="s">
        <v>295</v>
      </c>
      <c r="G16" s="24" t="s">
        <v>9</v>
      </c>
      <c r="H16" s="24" t="s">
        <v>90</v>
      </c>
      <c r="I16" s="24" t="s">
        <v>22</v>
      </c>
      <c r="J16" s="24" t="s">
        <v>289</v>
      </c>
      <c r="K16" s="24">
        <v>0</v>
      </c>
      <c r="L16" s="24" t="s">
        <v>310</v>
      </c>
      <c r="M16" s="24" t="s">
        <v>237</v>
      </c>
      <c r="N16" s="24" t="s">
        <v>90</v>
      </c>
      <c r="P16" s="1" t="s">
        <v>311</v>
      </c>
      <c r="Q16" s="1" t="s">
        <v>139</v>
      </c>
    </row>
    <row r="17" spans="5:20" x14ac:dyDescent="0.15">
      <c r="E17" s="4">
        <f t="shared" si="0"/>
        <v>10</v>
      </c>
      <c r="F17" s="24" t="s">
        <v>296</v>
      </c>
      <c r="G17" s="24" t="s">
        <v>11</v>
      </c>
      <c r="H17" s="24" t="s">
        <v>90</v>
      </c>
      <c r="I17" s="24" t="s">
        <v>22</v>
      </c>
      <c r="J17" s="24" t="s">
        <v>289</v>
      </c>
      <c r="K17" s="24">
        <v>0</v>
      </c>
      <c r="L17" s="24" t="s">
        <v>312</v>
      </c>
      <c r="M17" s="24" t="s">
        <v>238</v>
      </c>
      <c r="N17" s="24" t="s">
        <v>90</v>
      </c>
      <c r="P17" s="1" t="s">
        <v>313</v>
      </c>
      <c r="Q17" s="1" t="s">
        <v>140</v>
      </c>
    </row>
    <row r="18" spans="5:20" x14ac:dyDescent="0.15">
      <c r="E18" s="4">
        <f t="shared" si="0"/>
        <v>11</v>
      </c>
      <c r="F18" s="24" t="s">
        <v>297</v>
      </c>
      <c r="G18" s="24" t="s">
        <v>29</v>
      </c>
      <c r="H18" s="24">
        <v>4</v>
      </c>
      <c r="I18" s="24" t="s">
        <v>22</v>
      </c>
      <c r="J18" s="24" t="s">
        <v>289</v>
      </c>
      <c r="K18" s="24">
        <v>0</v>
      </c>
      <c r="L18" s="24" t="s">
        <v>314</v>
      </c>
      <c r="M18" s="24" t="s">
        <v>239</v>
      </c>
      <c r="N18" s="24">
        <v>0</v>
      </c>
      <c r="P18" s="1" t="s">
        <v>315</v>
      </c>
      <c r="Q18" s="1" t="s">
        <v>141</v>
      </c>
      <c r="S18" s="1" t="s">
        <v>328</v>
      </c>
      <c r="T18" s="1" t="s">
        <v>142</v>
      </c>
    </row>
    <row r="19" spans="5:20" x14ac:dyDescent="0.15">
      <c r="E19" s="4">
        <f t="shared" si="0"/>
        <v>12</v>
      </c>
      <c r="F19" s="24" t="s">
        <v>294</v>
      </c>
      <c r="G19" s="24" t="s">
        <v>7</v>
      </c>
      <c r="H19" s="24" t="s">
        <v>90</v>
      </c>
      <c r="I19" s="24" t="s">
        <v>23</v>
      </c>
      <c r="J19" s="24" t="s">
        <v>289</v>
      </c>
      <c r="K19" s="24">
        <v>0</v>
      </c>
      <c r="L19" s="24" t="s">
        <v>316</v>
      </c>
      <c r="M19" s="24" t="s">
        <v>240</v>
      </c>
      <c r="N19" s="24" t="s">
        <v>90</v>
      </c>
      <c r="P19" s="1" t="s">
        <v>317</v>
      </c>
      <c r="Q19" s="1" t="s">
        <v>143</v>
      </c>
    </row>
    <row r="20" spans="5:20" x14ac:dyDescent="0.15">
      <c r="E20" s="4">
        <f t="shared" si="0"/>
        <v>13</v>
      </c>
      <c r="F20" s="24" t="s">
        <v>298</v>
      </c>
      <c r="G20" s="24" t="s">
        <v>9</v>
      </c>
      <c r="H20" s="24" t="s">
        <v>90</v>
      </c>
      <c r="I20" s="24" t="s">
        <v>23</v>
      </c>
      <c r="J20" s="24" t="s">
        <v>289</v>
      </c>
      <c r="K20" s="24">
        <v>0</v>
      </c>
      <c r="L20" s="24" t="s">
        <v>318</v>
      </c>
      <c r="M20" s="24" t="s">
        <v>241</v>
      </c>
      <c r="N20" s="24" t="s">
        <v>90</v>
      </c>
      <c r="P20" s="1" t="s">
        <v>319</v>
      </c>
      <c r="Q20" s="1" t="s">
        <v>153</v>
      </c>
    </row>
    <row r="21" spans="5:20" x14ac:dyDescent="0.15">
      <c r="E21" s="4">
        <f t="shared" si="0"/>
        <v>14</v>
      </c>
      <c r="F21" s="24" t="s">
        <v>299</v>
      </c>
      <c r="G21" s="24" t="s">
        <v>11</v>
      </c>
      <c r="H21" s="24" t="s">
        <v>90</v>
      </c>
      <c r="I21" s="24" t="s">
        <v>23</v>
      </c>
      <c r="J21" s="24" t="s">
        <v>289</v>
      </c>
      <c r="K21" s="24">
        <v>0</v>
      </c>
      <c r="L21" s="24" t="s">
        <v>320</v>
      </c>
      <c r="M21" s="24" t="s">
        <v>242</v>
      </c>
      <c r="N21" s="24" t="s">
        <v>90</v>
      </c>
      <c r="P21" s="1" t="s">
        <v>321</v>
      </c>
      <c r="Q21" s="1" t="s">
        <v>144</v>
      </c>
    </row>
    <row r="22" spans="5:20" x14ac:dyDescent="0.15">
      <c r="E22" s="4">
        <f t="shared" si="0"/>
        <v>15</v>
      </c>
      <c r="F22" s="24" t="s">
        <v>300</v>
      </c>
      <c r="G22" s="24" t="s">
        <v>29</v>
      </c>
      <c r="H22" s="24">
        <v>4</v>
      </c>
      <c r="I22" s="24" t="s">
        <v>23</v>
      </c>
      <c r="J22" s="24" t="s">
        <v>289</v>
      </c>
      <c r="K22" s="24">
        <v>0</v>
      </c>
      <c r="L22" s="24" t="s">
        <v>322</v>
      </c>
      <c r="M22" s="24" t="s">
        <v>243</v>
      </c>
      <c r="N22" s="24">
        <v>0</v>
      </c>
      <c r="P22" s="1" t="s">
        <v>323</v>
      </c>
      <c r="Q22" s="1" t="s">
        <v>154</v>
      </c>
      <c r="S22" s="1" t="s">
        <v>324</v>
      </c>
      <c r="T22" s="1" t="s">
        <v>155</v>
      </c>
    </row>
    <row r="23" spans="5:20" x14ac:dyDescent="0.15">
      <c r="E23" s="4">
        <f t="shared" si="0"/>
        <v>16</v>
      </c>
      <c r="F23" s="24" t="s">
        <v>301</v>
      </c>
      <c r="G23" s="24" t="s">
        <v>29</v>
      </c>
      <c r="H23" s="24">
        <v>8</v>
      </c>
      <c r="I23" s="24" t="s">
        <v>23</v>
      </c>
      <c r="J23" s="24" t="s">
        <v>289</v>
      </c>
      <c r="K23" s="24">
        <v>1</v>
      </c>
      <c r="L23" s="24" t="s">
        <v>325</v>
      </c>
      <c r="M23" s="24" t="s">
        <v>278</v>
      </c>
      <c r="N23" s="24">
        <v>1</v>
      </c>
      <c r="P23" s="1" t="s">
        <v>326</v>
      </c>
      <c r="Q23" s="1" t="s">
        <v>154</v>
      </c>
      <c r="S23" s="1" t="s">
        <v>330</v>
      </c>
      <c r="T23" s="1" t="s">
        <v>155</v>
      </c>
    </row>
    <row r="24" spans="5:20" x14ac:dyDescent="0.15">
      <c r="E24" s="4">
        <f t="shared" si="0"/>
        <v>17</v>
      </c>
      <c r="F24" s="24"/>
      <c r="G24" s="24"/>
      <c r="H24" s="24"/>
      <c r="I24" s="24"/>
      <c r="J24" s="9"/>
      <c r="K24" s="24"/>
      <c r="L24" s="24"/>
      <c r="M24" s="24"/>
      <c r="N24" s="24"/>
    </row>
    <row r="25" spans="5:20" x14ac:dyDescent="0.15">
      <c r="E25" s="4">
        <f t="shared" si="0"/>
        <v>18</v>
      </c>
      <c r="F25" s="24"/>
      <c r="G25" s="24"/>
      <c r="H25" s="24"/>
      <c r="I25" s="24"/>
      <c r="J25" s="9"/>
      <c r="K25" s="24"/>
      <c r="L25" s="24"/>
      <c r="M25" s="24"/>
      <c r="N25" s="24"/>
    </row>
    <row r="26" spans="5:20" x14ac:dyDescent="0.15">
      <c r="E26" s="4">
        <f t="shared" si="0"/>
        <v>19</v>
      </c>
      <c r="F26" s="24"/>
      <c r="G26" s="24"/>
      <c r="H26" s="24"/>
      <c r="I26" s="24"/>
      <c r="J26" s="9"/>
      <c r="K26" s="24"/>
      <c r="L26" s="24"/>
      <c r="M26" s="24"/>
      <c r="N26" s="24"/>
    </row>
    <row r="27" spans="5:20" x14ac:dyDescent="0.15">
      <c r="E27" s="4">
        <f t="shared" si="0"/>
        <v>20</v>
      </c>
      <c r="F27" s="24"/>
      <c r="G27" s="24"/>
      <c r="H27" s="24"/>
      <c r="I27" s="24"/>
      <c r="J27" s="9"/>
      <c r="K27" s="24"/>
      <c r="L27" s="24"/>
      <c r="M27" s="24"/>
      <c r="N27" s="24"/>
    </row>
    <row r="28" spans="5:20" x14ac:dyDescent="0.15">
      <c r="E28" s="4">
        <f t="shared" si="0"/>
        <v>21</v>
      </c>
      <c r="F28" s="24"/>
      <c r="G28" s="24"/>
      <c r="H28" s="24"/>
      <c r="I28" s="24"/>
      <c r="J28" s="9"/>
      <c r="K28" s="24"/>
      <c r="L28" s="24"/>
      <c r="M28" s="24"/>
      <c r="N28" s="24"/>
    </row>
    <row r="29" spans="5:20" x14ac:dyDescent="0.15">
      <c r="E29" s="4">
        <f t="shared" si="0"/>
        <v>22</v>
      </c>
      <c r="F29" s="24"/>
      <c r="G29" s="24"/>
      <c r="H29" s="24"/>
      <c r="I29" s="24"/>
      <c r="J29" s="9"/>
      <c r="K29" s="24"/>
      <c r="L29" s="24"/>
      <c r="M29" s="24"/>
      <c r="N29" s="24"/>
    </row>
    <row r="30" spans="5:20" x14ac:dyDescent="0.15">
      <c r="E30" s="4">
        <f t="shared" si="0"/>
        <v>23</v>
      </c>
      <c r="F30" s="24"/>
      <c r="G30" s="24"/>
      <c r="H30" s="24"/>
      <c r="I30" s="24"/>
      <c r="J30" s="9"/>
      <c r="K30" s="24"/>
      <c r="L30" s="24"/>
      <c r="M30" s="24"/>
      <c r="N30" s="24"/>
    </row>
    <row r="31" spans="5:20" x14ac:dyDescent="0.15">
      <c r="E31" s="4">
        <f t="shared" si="0"/>
        <v>24</v>
      </c>
      <c r="F31" s="24"/>
      <c r="G31" s="24"/>
      <c r="H31" s="24"/>
      <c r="I31" s="24"/>
      <c r="J31" s="9"/>
      <c r="K31" s="24"/>
      <c r="L31" s="24"/>
      <c r="M31" s="24"/>
      <c r="N31" s="24"/>
    </row>
    <row r="32" spans="5:20" x14ac:dyDescent="0.15">
      <c r="E32" s="4">
        <f t="shared" si="0"/>
        <v>25</v>
      </c>
      <c r="F32" s="24"/>
      <c r="G32" s="24"/>
      <c r="H32" s="24"/>
      <c r="I32" s="24"/>
      <c r="J32" s="9"/>
      <c r="K32" s="24"/>
      <c r="L32" s="24"/>
      <c r="M32" s="24"/>
      <c r="N32" s="24"/>
    </row>
    <row r="33" spans="5:14" x14ac:dyDescent="0.15">
      <c r="E33" s="4">
        <f t="shared" si="0"/>
        <v>26</v>
      </c>
      <c r="F33" s="24"/>
      <c r="G33" s="24"/>
      <c r="H33" s="24"/>
      <c r="I33" s="24"/>
      <c r="J33" s="9"/>
      <c r="K33" s="24"/>
      <c r="L33" s="24"/>
      <c r="M33" s="24"/>
      <c r="N33" s="24"/>
    </row>
    <row r="34" spans="5:14" x14ac:dyDescent="0.15">
      <c r="E34" s="4">
        <f t="shared" si="0"/>
        <v>27</v>
      </c>
      <c r="F34" s="24"/>
      <c r="G34" s="24"/>
      <c r="H34" s="24"/>
      <c r="I34" s="24"/>
      <c r="J34" s="9"/>
      <c r="K34" s="24"/>
      <c r="L34" s="24"/>
      <c r="M34" s="24"/>
      <c r="N34" s="24"/>
    </row>
    <row r="35" spans="5:14" x14ac:dyDescent="0.15">
      <c r="E35" s="4">
        <f t="shared" si="0"/>
        <v>28</v>
      </c>
      <c r="F35" s="24"/>
      <c r="G35" s="24"/>
      <c r="H35" s="24"/>
      <c r="I35" s="24"/>
      <c r="J35" s="9"/>
      <c r="K35" s="24"/>
      <c r="L35" s="24"/>
      <c r="M35" s="24"/>
      <c r="N35" s="24"/>
    </row>
    <row r="36" spans="5:14" x14ac:dyDescent="0.15">
      <c r="E36" s="4">
        <f t="shared" si="0"/>
        <v>29</v>
      </c>
      <c r="F36" s="24"/>
      <c r="G36" s="24"/>
      <c r="H36" s="24"/>
      <c r="I36" s="24"/>
      <c r="J36" s="9"/>
      <c r="K36" s="24"/>
      <c r="L36" s="24"/>
      <c r="M36" s="24"/>
      <c r="N36" s="24"/>
    </row>
    <row r="37" spans="5:14" x14ac:dyDescent="0.15">
      <c r="E37" s="4">
        <f t="shared" si="0"/>
        <v>30</v>
      </c>
      <c r="F37" s="24"/>
      <c r="G37" s="24"/>
      <c r="H37" s="24"/>
      <c r="I37" s="24"/>
      <c r="J37" s="9"/>
      <c r="K37" s="24"/>
      <c r="L37" s="24"/>
      <c r="M37" s="24"/>
      <c r="N37" s="24"/>
    </row>
    <row r="38" spans="5:14" x14ac:dyDescent="0.15">
      <c r="E38" s="4">
        <f t="shared" si="0"/>
        <v>31</v>
      </c>
      <c r="F38" s="24"/>
      <c r="G38" s="24"/>
      <c r="H38" s="24"/>
      <c r="I38" s="24"/>
      <c r="J38" s="9"/>
      <c r="K38" s="24"/>
      <c r="L38" s="24"/>
      <c r="M38" s="24"/>
      <c r="N38" s="24"/>
    </row>
    <row r="39" spans="5:14" x14ac:dyDescent="0.15">
      <c r="E39" s="4">
        <f t="shared" si="0"/>
        <v>32</v>
      </c>
      <c r="F39" s="24"/>
      <c r="G39" s="24"/>
      <c r="H39" s="24"/>
      <c r="I39" s="24"/>
      <c r="J39" s="9"/>
      <c r="K39" s="24"/>
      <c r="L39" s="24"/>
      <c r="M39" s="24"/>
      <c r="N39" s="24"/>
    </row>
    <row r="40" spans="5:14" x14ac:dyDescent="0.15">
      <c r="E40" s="4">
        <f t="shared" si="0"/>
        <v>33</v>
      </c>
      <c r="F40" s="24"/>
      <c r="G40" s="24"/>
      <c r="H40" s="24"/>
      <c r="I40" s="24"/>
      <c r="J40" s="9"/>
      <c r="K40" s="24"/>
      <c r="L40" s="24"/>
      <c r="M40" s="24"/>
      <c r="N40" s="24"/>
    </row>
    <row r="41" spans="5:14" x14ac:dyDescent="0.15">
      <c r="E41" s="4">
        <f t="shared" si="0"/>
        <v>34</v>
      </c>
      <c r="F41" s="24"/>
      <c r="G41" s="24"/>
      <c r="H41" s="24"/>
      <c r="I41" s="24"/>
      <c r="J41" s="9"/>
      <c r="K41" s="24"/>
      <c r="L41" s="24"/>
      <c r="M41" s="24"/>
      <c r="N41" s="24"/>
    </row>
    <row r="42" spans="5:14" x14ac:dyDescent="0.15">
      <c r="E42" s="4">
        <f t="shared" si="0"/>
        <v>35</v>
      </c>
      <c r="F42" s="24"/>
      <c r="G42" s="24"/>
      <c r="H42" s="24"/>
      <c r="I42" s="24"/>
      <c r="J42" s="9"/>
      <c r="K42" s="24"/>
      <c r="L42" s="24"/>
      <c r="M42" s="24"/>
      <c r="N42" s="24"/>
    </row>
    <row r="43" spans="5:14" x14ac:dyDescent="0.15">
      <c r="E43" s="4">
        <f t="shared" si="0"/>
        <v>36</v>
      </c>
      <c r="F43" s="24"/>
      <c r="G43" s="24"/>
      <c r="H43" s="24"/>
      <c r="I43" s="24"/>
      <c r="J43" s="9"/>
      <c r="K43" s="24"/>
      <c r="L43" s="24"/>
      <c r="M43" s="24"/>
      <c r="N43" s="24"/>
    </row>
    <row r="44" spans="5:14" x14ac:dyDescent="0.15">
      <c r="E44" s="4">
        <f t="shared" si="0"/>
        <v>37</v>
      </c>
      <c r="F44" s="24"/>
      <c r="G44" s="24"/>
      <c r="H44" s="24"/>
      <c r="I44" s="24"/>
      <c r="J44" s="9"/>
      <c r="K44" s="24"/>
      <c r="L44" s="24"/>
      <c r="M44" s="24"/>
      <c r="N44" s="24"/>
    </row>
    <row r="45" spans="5:14" x14ac:dyDescent="0.15">
      <c r="E45" s="4">
        <f t="shared" si="0"/>
        <v>38</v>
      </c>
      <c r="F45" s="24"/>
      <c r="G45" s="24"/>
      <c r="H45" s="24"/>
      <c r="I45" s="24"/>
      <c r="J45" s="9"/>
      <c r="K45" s="24"/>
      <c r="L45" s="24"/>
      <c r="M45" s="24"/>
      <c r="N45" s="24"/>
    </row>
    <row r="46" spans="5:14" x14ac:dyDescent="0.15">
      <c r="E46" s="4">
        <f t="shared" si="0"/>
        <v>39</v>
      </c>
      <c r="F46" s="24"/>
      <c r="G46" s="24"/>
      <c r="H46" s="24"/>
      <c r="I46" s="24"/>
      <c r="J46" s="9"/>
      <c r="K46" s="24"/>
      <c r="L46" s="24"/>
      <c r="M46" s="24"/>
      <c r="N46" s="24"/>
    </row>
    <row r="47" spans="5:14" x14ac:dyDescent="0.15">
      <c r="E47" s="4">
        <f t="shared" si="0"/>
        <v>40</v>
      </c>
      <c r="F47" s="24"/>
      <c r="G47" s="24"/>
      <c r="H47" s="24"/>
      <c r="I47" s="24"/>
      <c r="J47" s="9"/>
      <c r="K47" s="24"/>
      <c r="L47" s="24"/>
      <c r="M47" s="24"/>
      <c r="N47" s="24"/>
    </row>
    <row r="48" spans="5:14" x14ac:dyDescent="0.15">
      <c r="E48" s="4">
        <f t="shared" si="0"/>
        <v>41</v>
      </c>
      <c r="F48" s="24"/>
      <c r="G48" s="24"/>
      <c r="H48" s="24"/>
      <c r="I48" s="24"/>
      <c r="J48" s="9"/>
      <c r="K48" s="24"/>
      <c r="L48" s="24"/>
      <c r="M48" s="24"/>
      <c r="N48" s="24"/>
    </row>
    <row r="49" spans="5:14" x14ac:dyDescent="0.15">
      <c r="E49" s="4">
        <f t="shared" si="0"/>
        <v>42</v>
      </c>
      <c r="F49" s="24"/>
      <c r="G49" s="24"/>
      <c r="H49" s="24"/>
      <c r="I49" s="24"/>
      <c r="J49" s="9"/>
      <c r="K49" s="24"/>
      <c r="L49" s="24"/>
      <c r="M49" s="24"/>
      <c r="N49" s="24"/>
    </row>
    <row r="50" spans="5:14" x14ac:dyDescent="0.15">
      <c r="E50" s="4">
        <f t="shared" si="0"/>
        <v>43</v>
      </c>
      <c r="F50" s="24"/>
      <c r="G50" s="24"/>
      <c r="H50" s="24"/>
      <c r="I50" s="24"/>
      <c r="J50" s="9"/>
      <c r="K50" s="24"/>
      <c r="L50" s="24"/>
      <c r="M50" s="24"/>
      <c r="N50" s="24"/>
    </row>
    <row r="51" spans="5:14" x14ac:dyDescent="0.15">
      <c r="E51" s="4">
        <f t="shared" si="0"/>
        <v>44</v>
      </c>
      <c r="F51" s="24"/>
      <c r="G51" s="24"/>
      <c r="H51" s="24"/>
      <c r="I51" s="24"/>
      <c r="J51" s="9"/>
      <c r="K51" s="24"/>
      <c r="L51" s="24"/>
      <c r="M51" s="24"/>
      <c r="N51" s="24"/>
    </row>
    <row r="52" spans="5:14" x14ac:dyDescent="0.15">
      <c r="E52" s="4">
        <f t="shared" si="0"/>
        <v>45</v>
      </c>
      <c r="F52" s="24"/>
      <c r="G52" s="24"/>
      <c r="H52" s="24"/>
      <c r="I52" s="24"/>
      <c r="J52" s="9"/>
      <c r="K52" s="24"/>
      <c r="L52" s="24"/>
      <c r="M52" s="24"/>
      <c r="N52" s="24"/>
    </row>
    <row r="53" spans="5:14" x14ac:dyDescent="0.15">
      <c r="E53" s="4">
        <f t="shared" si="0"/>
        <v>46</v>
      </c>
      <c r="F53" s="24"/>
      <c r="G53" s="24"/>
      <c r="H53" s="24"/>
      <c r="I53" s="24"/>
      <c r="J53" s="9"/>
      <c r="K53" s="24"/>
      <c r="L53" s="24"/>
      <c r="M53" s="24"/>
      <c r="N53" s="24"/>
    </row>
    <row r="54" spans="5:14" x14ac:dyDescent="0.15">
      <c r="E54" s="4">
        <f t="shared" si="0"/>
        <v>47</v>
      </c>
      <c r="F54" s="24"/>
      <c r="G54" s="24"/>
      <c r="H54" s="24"/>
      <c r="I54" s="24"/>
      <c r="J54" s="9"/>
      <c r="K54" s="24"/>
      <c r="L54" s="24"/>
      <c r="M54" s="24"/>
      <c r="N54" s="24"/>
    </row>
    <row r="55" spans="5:14" x14ac:dyDescent="0.15">
      <c r="E55" s="4">
        <f t="shared" si="0"/>
        <v>48</v>
      </c>
      <c r="F55" s="24"/>
      <c r="G55" s="24"/>
      <c r="H55" s="24"/>
      <c r="I55" s="24"/>
      <c r="J55" s="9"/>
      <c r="K55" s="24"/>
      <c r="L55" s="24"/>
      <c r="M55" s="24"/>
      <c r="N55" s="24"/>
    </row>
    <row r="56" spans="5:14" x14ac:dyDescent="0.15">
      <c r="E56" s="4">
        <f t="shared" si="0"/>
        <v>49</v>
      </c>
      <c r="F56" s="24"/>
      <c r="G56" s="24"/>
      <c r="H56" s="24"/>
      <c r="I56" s="24"/>
      <c r="J56" s="9"/>
      <c r="K56" s="24"/>
      <c r="L56" s="24"/>
      <c r="M56" s="24"/>
      <c r="N56" s="24"/>
    </row>
    <row r="57" spans="5:14" x14ac:dyDescent="0.15">
      <c r="E57" s="4">
        <f t="shared" si="0"/>
        <v>50</v>
      </c>
      <c r="F57" s="24"/>
      <c r="G57" s="24"/>
      <c r="H57" s="24"/>
      <c r="I57" s="24"/>
      <c r="J57" s="9"/>
      <c r="K57" s="24"/>
      <c r="L57" s="24"/>
      <c r="M57" s="24"/>
      <c r="N57" s="24"/>
    </row>
    <row r="58" spans="5:14" x14ac:dyDescent="0.15">
      <c r="E58" s="4">
        <f t="shared" si="0"/>
        <v>51</v>
      </c>
      <c r="F58" s="24"/>
      <c r="G58" s="24"/>
      <c r="H58" s="24"/>
      <c r="I58" s="24"/>
      <c r="J58" s="9"/>
      <c r="K58" s="24"/>
      <c r="L58" s="24"/>
      <c r="M58" s="24"/>
      <c r="N58" s="24"/>
    </row>
    <row r="59" spans="5:14" x14ac:dyDescent="0.15">
      <c r="E59" s="4">
        <f t="shared" si="0"/>
        <v>52</v>
      </c>
      <c r="F59" s="24"/>
      <c r="G59" s="24"/>
      <c r="H59" s="24"/>
      <c r="I59" s="24"/>
      <c r="J59" s="9"/>
      <c r="K59" s="24"/>
      <c r="L59" s="24"/>
      <c r="M59" s="24"/>
      <c r="N59" s="24"/>
    </row>
    <row r="60" spans="5:14" x14ac:dyDescent="0.15">
      <c r="E60" s="4">
        <f t="shared" si="0"/>
        <v>53</v>
      </c>
      <c r="F60" s="24"/>
      <c r="G60" s="24"/>
      <c r="H60" s="24"/>
      <c r="I60" s="24"/>
      <c r="J60" s="9"/>
      <c r="K60" s="24"/>
      <c r="L60" s="24"/>
      <c r="M60" s="24"/>
      <c r="N60" s="24"/>
    </row>
    <row r="61" spans="5:14" x14ac:dyDescent="0.15">
      <c r="E61" s="4">
        <f t="shared" si="0"/>
        <v>54</v>
      </c>
      <c r="F61" s="24"/>
      <c r="G61" s="24"/>
      <c r="H61" s="24"/>
      <c r="I61" s="24"/>
      <c r="J61" s="9"/>
      <c r="K61" s="24"/>
      <c r="L61" s="24"/>
      <c r="M61" s="24"/>
      <c r="N61" s="24"/>
    </row>
    <row r="62" spans="5:14" x14ac:dyDescent="0.15">
      <c r="E62" s="4">
        <f t="shared" si="0"/>
        <v>55</v>
      </c>
      <c r="F62" s="24"/>
      <c r="G62" s="24"/>
      <c r="H62" s="24"/>
      <c r="I62" s="24"/>
      <c r="J62" s="9"/>
      <c r="K62" s="24"/>
      <c r="L62" s="24"/>
      <c r="M62" s="24"/>
      <c r="N62" s="24"/>
    </row>
    <row r="63" spans="5:14" x14ac:dyDescent="0.15">
      <c r="E63" s="4">
        <f t="shared" si="0"/>
        <v>56</v>
      </c>
      <c r="F63" s="24"/>
      <c r="G63" s="24"/>
      <c r="H63" s="24"/>
      <c r="I63" s="24"/>
      <c r="J63" s="9"/>
      <c r="K63" s="24"/>
      <c r="L63" s="24"/>
      <c r="M63" s="24"/>
      <c r="N63" s="24"/>
    </row>
    <row r="64" spans="5:14" x14ac:dyDescent="0.15">
      <c r="E64" s="4">
        <f t="shared" si="0"/>
        <v>57</v>
      </c>
      <c r="F64" s="24"/>
      <c r="G64" s="24"/>
      <c r="H64" s="24"/>
      <c r="I64" s="24"/>
      <c r="J64" s="9"/>
      <c r="K64" s="24"/>
      <c r="L64" s="24"/>
      <c r="M64" s="24"/>
      <c r="N64" s="24"/>
    </row>
    <row r="65" spans="5:14" x14ac:dyDescent="0.15">
      <c r="E65" s="4">
        <f t="shared" si="0"/>
        <v>58</v>
      </c>
      <c r="F65" s="24"/>
      <c r="G65" s="24"/>
      <c r="H65" s="24"/>
      <c r="I65" s="24"/>
      <c r="J65" s="9"/>
      <c r="K65" s="24"/>
      <c r="L65" s="24"/>
      <c r="M65" s="24"/>
      <c r="N65" s="24"/>
    </row>
    <row r="66" spans="5:14" x14ac:dyDescent="0.15">
      <c r="E66" s="4">
        <f t="shared" si="0"/>
        <v>59</v>
      </c>
      <c r="F66" s="24"/>
      <c r="G66" s="24"/>
      <c r="H66" s="24"/>
      <c r="I66" s="24"/>
      <c r="J66" s="9"/>
      <c r="K66" s="24"/>
      <c r="L66" s="24"/>
      <c r="M66" s="24"/>
      <c r="N66" s="24"/>
    </row>
    <row r="67" spans="5:14" x14ac:dyDescent="0.15">
      <c r="E67" s="4">
        <f t="shared" si="0"/>
        <v>60</v>
      </c>
      <c r="F67" s="24"/>
      <c r="G67" s="24"/>
      <c r="H67" s="24"/>
      <c r="I67" s="24"/>
      <c r="J67" s="9"/>
      <c r="K67" s="24"/>
      <c r="L67" s="24"/>
      <c r="M67" s="24"/>
      <c r="N67" s="24"/>
    </row>
    <row r="68" spans="5:14" x14ac:dyDescent="0.15">
      <c r="E68" s="4">
        <f t="shared" si="0"/>
        <v>61</v>
      </c>
      <c r="F68" s="24"/>
      <c r="G68" s="24"/>
      <c r="H68" s="24"/>
      <c r="I68" s="24"/>
      <c r="J68" s="9"/>
      <c r="K68" s="24"/>
      <c r="L68" s="24"/>
      <c r="M68" s="24"/>
      <c r="N68" s="24"/>
    </row>
    <row r="69" spans="5:14" x14ac:dyDescent="0.15">
      <c r="E69" s="4">
        <f t="shared" si="0"/>
        <v>62</v>
      </c>
      <c r="F69" s="24"/>
      <c r="G69" s="24"/>
      <c r="H69" s="24"/>
      <c r="I69" s="24"/>
      <c r="J69" s="9"/>
      <c r="K69" s="24"/>
      <c r="L69" s="24"/>
      <c r="M69" s="24"/>
      <c r="N69" s="24"/>
    </row>
    <row r="70" spans="5:14" x14ac:dyDescent="0.15">
      <c r="E70" s="4">
        <f t="shared" si="0"/>
        <v>63</v>
      </c>
      <c r="F70" s="24"/>
      <c r="G70" s="24"/>
      <c r="H70" s="24"/>
      <c r="I70" s="24"/>
      <c r="J70" s="9"/>
      <c r="K70" s="24"/>
      <c r="L70" s="24"/>
      <c r="M70" s="24"/>
      <c r="N70" s="24"/>
    </row>
    <row r="71" spans="5:14" x14ac:dyDescent="0.15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5:14" x14ac:dyDescent="0.15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5:14" x14ac:dyDescent="0.15">
      <c r="E73" s="4">
        <f t="shared" ref="E73:E136" si="1">ROW(E73)-ROW($E$7)</f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5:14" x14ac:dyDescent="0.15">
      <c r="E74" s="4">
        <f t="shared" si="1"/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5:14" x14ac:dyDescent="0.15">
      <c r="E75" s="4">
        <f t="shared" si="1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5:14" x14ac:dyDescent="0.15">
      <c r="E76" s="4">
        <f t="shared" si="1"/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5:14" x14ac:dyDescent="0.15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5:14" x14ac:dyDescent="0.15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5:14" x14ac:dyDescent="0.15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5:14" x14ac:dyDescent="0.15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15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15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15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15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15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15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15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15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15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15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15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15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15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15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15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15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4">
        <f t="shared" ref="E137:E200" si="2">ROW(E137)-ROW($E$7)</f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4">
        <f t="shared" si="2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4">
        <f t="shared" si="2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4">
        <f t="shared" si="2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ref="E201:E264" si="3">ROW(E201)-ROW($E$7)</f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si="3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ref="E265:E328" si="4">ROW(E265)-ROW($E$7)</f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si="4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ref="E329:E392" si="5">ROW(E329)-ROW($E$7)</f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si="5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ref="E393:E456" si="6">ROW(E393)-ROW($E$7)</f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si="6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ref="E457:E519" si="7">ROW(E457)-ROW($E$7)</f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si="7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</sheetData>
  <mergeCells count="1">
    <mergeCell ref="G7:H7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r:id="rId7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I8:I519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23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38" t="s">
        <v>78</v>
      </c>
      <c r="M6" s="38"/>
      <c r="N6" s="38" t="s">
        <v>79</v>
      </c>
      <c r="O6" s="38"/>
      <c r="P6" s="38" t="s">
        <v>80</v>
      </c>
      <c r="Q6" s="38"/>
      <c r="R6" s="38" t="s">
        <v>81</v>
      </c>
      <c r="S6" s="38"/>
      <c r="T6" s="2"/>
    </row>
    <row r="7" spans="5:20" x14ac:dyDescent="0.15">
      <c r="E7" s="3" t="s">
        <v>82</v>
      </c>
      <c r="F7" s="3" t="s">
        <v>83</v>
      </c>
      <c r="G7" s="39" t="s">
        <v>84</v>
      </c>
      <c r="H7" s="39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335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337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339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341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302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304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306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308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310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312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314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316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318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320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322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325</v>
      </c>
      <c r="F23" s="4" t="s">
        <v>278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</sheetData>
  <mergeCells count="5">
    <mergeCell ref="L6:M6"/>
    <mergeCell ref="N6:O6"/>
    <mergeCell ref="P6:Q6"/>
    <mergeCell ref="R6:S6"/>
    <mergeCell ref="G7:H7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topLeftCell="A4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topLeftCell="F7" workbookViewId="0">
      <selection activeCell="H29" sqref="H29"/>
    </sheetView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(1U)</v>
      </c>
      <c r="M8" s="1" t="str">
        <f>$M$3&amp;J8&amp;$M$4</f>
        <v>##TOOL_OUT#RIM_MOD_3B_SIZE##</v>
      </c>
      <c r="N8" s="1">
        <v>1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1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(1U)</v>
      </c>
      <c r="M12" s="1" t="str">
        <f t="shared" si="1"/>
        <v>##TOOL_OUT#RIM_MOD_3B_SIZE##</v>
      </c>
      <c r="N12" s="1">
        <v>16385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1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(1U)</v>
      </c>
      <c r="M15" s="1" t="str">
        <f t="shared" si="1"/>
        <v>##TOOL_OUT#RIM_MOD_3C_SIZE##</v>
      </c>
      <c r="N15" s="1">
        <v>17921</v>
      </c>
    </row>
    <row r="16" spans="2:14" x14ac:dyDescent="0.15">
      <c r="E16" s="4">
        <f t="shared" si="2"/>
        <v>9</v>
      </c>
      <c r="F16" s="4" t="s">
        <v>64</v>
      </c>
      <c r="G16" s="4">
        <v>1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(1U)</v>
      </c>
      <c r="M16" s="1" t="str">
        <f t="shared" si="1"/>
        <v>##TOOL_OUT#RIM_MOD_3B_SIZE##</v>
      </c>
      <c r="N16" s="1">
        <v>32769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1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(1U)</v>
      </c>
      <c r="M19" s="1" t="str">
        <f t="shared" si="1"/>
        <v>##TOOL_OUT#RIM_MOD_3C_SIZE##</v>
      </c>
      <c r="N19" s="1">
        <v>34305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1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41"/>
  <sheetViews>
    <sheetView showGridLines="0" workbookViewId="0"/>
  </sheetViews>
  <sheetFormatPr defaultRowHeight="13.5" x14ac:dyDescent="0.15"/>
  <sheetData>
    <row r="1" spans="1:3" x14ac:dyDescent="0.15">
      <c r="A1">
        <v>41</v>
      </c>
      <c r="B1" t="s">
        <v>336</v>
      </c>
      <c r="C1" t="s">
        <v>130</v>
      </c>
    </row>
    <row r="2" spans="1:3" x14ac:dyDescent="0.15">
      <c r="B2" t="s">
        <v>338</v>
      </c>
      <c r="C2" t="s">
        <v>131</v>
      </c>
    </row>
    <row r="3" spans="1:3" x14ac:dyDescent="0.15">
      <c r="B3" t="s">
        <v>340</v>
      </c>
      <c r="C3" t="s">
        <v>132</v>
      </c>
    </row>
    <row r="4" spans="1:3" x14ac:dyDescent="0.15">
      <c r="B4" t="s">
        <v>342</v>
      </c>
      <c r="C4" t="s">
        <v>133</v>
      </c>
    </row>
    <row r="5" spans="1:3" x14ac:dyDescent="0.15">
      <c r="B5" t="s">
        <v>303</v>
      </c>
      <c r="C5" t="s">
        <v>135</v>
      </c>
    </row>
    <row r="6" spans="1:3" x14ac:dyDescent="0.15">
      <c r="B6" t="s">
        <v>305</v>
      </c>
      <c r="C6" t="s">
        <v>136</v>
      </c>
    </row>
    <row r="7" spans="1:3" x14ac:dyDescent="0.15">
      <c r="B7" t="s">
        <v>307</v>
      </c>
      <c r="C7" t="s">
        <v>137</v>
      </c>
    </row>
    <row r="8" spans="1:3" x14ac:dyDescent="0.15">
      <c r="B8" t="s">
        <v>309</v>
      </c>
      <c r="C8" t="s">
        <v>138</v>
      </c>
    </row>
    <row r="9" spans="1:3" x14ac:dyDescent="0.15">
      <c r="B9" t="s">
        <v>311</v>
      </c>
      <c r="C9" t="s">
        <v>139</v>
      </c>
    </row>
    <row r="10" spans="1:3" x14ac:dyDescent="0.15">
      <c r="B10" t="s">
        <v>313</v>
      </c>
      <c r="C10" t="s">
        <v>140</v>
      </c>
    </row>
    <row r="11" spans="1:3" x14ac:dyDescent="0.15">
      <c r="B11" t="s">
        <v>315</v>
      </c>
      <c r="C11" t="s">
        <v>141</v>
      </c>
    </row>
    <row r="12" spans="1:3" x14ac:dyDescent="0.15">
      <c r="B12" t="s">
        <v>317</v>
      </c>
      <c r="C12" t="s">
        <v>143</v>
      </c>
    </row>
    <row r="13" spans="1:3" x14ac:dyDescent="0.15">
      <c r="B13" t="s">
        <v>319</v>
      </c>
      <c r="C13" t="s">
        <v>153</v>
      </c>
    </row>
    <row r="14" spans="1:3" x14ac:dyDescent="0.15">
      <c r="B14" t="s">
        <v>321</v>
      </c>
      <c r="C14" t="s">
        <v>144</v>
      </c>
    </row>
    <row r="15" spans="1:3" x14ac:dyDescent="0.15">
      <c r="B15" t="s">
        <v>323</v>
      </c>
      <c r="C15" t="s">
        <v>154</v>
      </c>
    </row>
    <row r="16" spans="1:3" x14ac:dyDescent="0.15">
      <c r="B16" t="s">
        <v>326</v>
      </c>
      <c r="C16" t="s">
        <v>154</v>
      </c>
    </row>
    <row r="17" spans="2:3" x14ac:dyDescent="0.15">
      <c r="B17" t="s">
        <v>343</v>
      </c>
      <c r="C17" t="s">
        <v>134</v>
      </c>
    </row>
    <row r="18" spans="2:3" x14ac:dyDescent="0.15">
      <c r="B18" t="s">
        <v>327</v>
      </c>
      <c r="C18" t="s">
        <v>142</v>
      </c>
    </row>
    <row r="19" spans="2:3" x14ac:dyDescent="0.15">
      <c r="B19" t="s">
        <v>324</v>
      </c>
      <c r="C19" t="s">
        <v>155</v>
      </c>
    </row>
    <row r="20" spans="2:3" x14ac:dyDescent="0.15">
      <c r="B20" t="s">
        <v>329</v>
      </c>
      <c r="C20" t="s">
        <v>155</v>
      </c>
    </row>
    <row r="21" spans="2:3" x14ac:dyDescent="0.15">
      <c r="B21" t="s">
        <v>279</v>
      </c>
      <c r="C21" t="s">
        <v>93</v>
      </c>
    </row>
    <row r="22" spans="2:3" x14ac:dyDescent="0.15">
      <c r="B22" t="s">
        <v>280</v>
      </c>
      <c r="C22" t="s">
        <v>94</v>
      </c>
    </row>
    <row r="23" spans="2:3" x14ac:dyDescent="0.15">
      <c r="B23" t="s">
        <v>267</v>
      </c>
      <c r="C23" t="s">
        <v>95</v>
      </c>
    </row>
    <row r="24" spans="2:3" x14ac:dyDescent="0.15">
      <c r="B24" t="s">
        <v>281</v>
      </c>
      <c r="C24" t="s">
        <v>96</v>
      </c>
    </row>
    <row r="25" spans="2:3" x14ac:dyDescent="0.15">
      <c r="B25" t="s">
        <v>268</v>
      </c>
      <c r="C25" t="s">
        <v>93</v>
      </c>
    </row>
    <row r="26" spans="2:3" x14ac:dyDescent="0.15">
      <c r="B26" t="s">
        <v>282</v>
      </c>
      <c r="C26" t="s">
        <v>94</v>
      </c>
    </row>
    <row r="27" spans="2:3" x14ac:dyDescent="0.15">
      <c r="B27" t="s">
        <v>269</v>
      </c>
      <c r="C27" t="s">
        <v>95</v>
      </c>
    </row>
    <row r="28" spans="2:3" x14ac:dyDescent="0.15">
      <c r="B28" t="s">
        <v>283</v>
      </c>
      <c r="C28" t="s">
        <v>96</v>
      </c>
    </row>
    <row r="29" spans="2:3" x14ac:dyDescent="0.15">
      <c r="B29" t="s">
        <v>270</v>
      </c>
      <c r="C29" t="s">
        <v>93</v>
      </c>
    </row>
    <row r="30" spans="2:3" x14ac:dyDescent="0.15">
      <c r="B30" t="s">
        <v>271</v>
      </c>
      <c r="C30" t="s">
        <v>94</v>
      </c>
    </row>
    <row r="31" spans="2:3" x14ac:dyDescent="0.15">
      <c r="B31" t="s">
        <v>284</v>
      </c>
      <c r="C31" t="s">
        <v>95</v>
      </c>
    </row>
    <row r="32" spans="2:3" x14ac:dyDescent="0.15">
      <c r="B32" t="s">
        <v>285</v>
      </c>
      <c r="C32" t="s">
        <v>96</v>
      </c>
    </row>
    <row r="33" spans="2:3" x14ac:dyDescent="0.15">
      <c r="B33" t="s">
        <v>272</v>
      </c>
      <c r="C33" t="s">
        <v>93</v>
      </c>
    </row>
    <row r="34" spans="2:3" x14ac:dyDescent="0.15">
      <c r="B34" t="s">
        <v>273</v>
      </c>
      <c r="C34" t="s">
        <v>95</v>
      </c>
    </row>
    <row r="35" spans="2:3" x14ac:dyDescent="0.15">
      <c r="B35" t="s">
        <v>286</v>
      </c>
      <c r="C35" t="s">
        <v>96</v>
      </c>
    </row>
    <row r="36" spans="2:3" x14ac:dyDescent="0.15">
      <c r="B36" t="s">
        <v>274</v>
      </c>
      <c r="C36" t="s">
        <v>97</v>
      </c>
    </row>
    <row r="37" spans="2:3" x14ac:dyDescent="0.15">
      <c r="B37" t="s">
        <v>275</v>
      </c>
      <c r="C37" t="s">
        <v>98</v>
      </c>
    </row>
    <row r="38" spans="2:3" x14ac:dyDescent="0.15">
      <c r="B38" t="s">
        <v>287</v>
      </c>
      <c r="C38" t="s">
        <v>99</v>
      </c>
    </row>
    <row r="39" spans="2:3" x14ac:dyDescent="0.15">
      <c r="B39" t="s">
        <v>276</v>
      </c>
      <c r="C39" t="s">
        <v>100</v>
      </c>
    </row>
    <row r="40" spans="2:3" x14ac:dyDescent="0.15">
      <c r="B40" t="s">
        <v>277</v>
      </c>
      <c r="C40" t="s">
        <v>101</v>
      </c>
    </row>
    <row r="41" spans="2:3" x14ac:dyDescent="0.15">
      <c r="B41" t="s">
        <v>288</v>
      </c>
      <c r="C41" t="s">
        <v>102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Cover</vt:lpstr>
      <vt:lpstr>Manual</vt:lpstr>
      <vt:lpstr>User</vt:lpstr>
      <vt:lpstr>Check</vt:lpstr>
      <vt:lpstr>Config</vt:lpstr>
      <vt:lpstr>Work</vt:lpstr>
      <vt:lpstr>Tool</vt:lpstr>
      <vt:lpstr>Design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Kazuyuki Makino (牧野 和之)</cp:lastModifiedBy>
  <dcterms:created xsi:type="dcterms:W3CDTF">2014-12-23T06:27:41Z</dcterms:created>
  <dcterms:modified xsi:type="dcterms:W3CDTF">2024-10-23T08:00:24Z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